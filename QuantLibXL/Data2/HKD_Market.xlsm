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18390" windowHeight="8340" tabRatio="777" firstSheet="2" activeTab="12"/>
  </bookViews>
  <sheets>
    <sheet name="BasisSwap1M3M" sheetId="5" r:id="rId1"/>
    <sheet name="BasisSwap3M6M" sheetId="6" r:id="rId2"/>
    <sheet name="Deposits" sheetId="9" r:id="rId3"/>
    <sheet name="FRA" sheetId="10" r:id="rId4"/>
    <sheet name="Futures3M" sheetId="12" r:id="rId5"/>
    <sheet name="FuturesHWConvAdj" sheetId="14" r:id="rId6"/>
    <sheet name="OIS" sheetId="16" r:id="rId7"/>
    <sheet name="Swaps1M" sheetId="17" r:id="rId8"/>
    <sheet name="Swap3M" sheetId="19" r:id="rId9"/>
    <sheet name="HKD" sheetId="39" r:id="rId10"/>
    <sheet name="Hibor" sheetId="36" r:id="rId11"/>
    <sheet name="SpecialTriggers" sheetId="41" r:id="rId12"/>
    <sheet name="HKD_InterestRateQuotesFeed" sheetId="40" r:id="rId13"/>
  </sheets>
  <functionGroups builtInGroupCount="17"/>
  <definedNames>
    <definedName name="Contributor" localSheetId="0">BasisSwap1M3M!$S$2</definedName>
    <definedName name="Contributor" localSheetId="1">BasisSwap3M6M!$S$2</definedName>
    <definedName name="Contributor" localSheetId="3">FRA!$M$2</definedName>
    <definedName name="Contributor" localSheetId="5">FuturesHWConvAdj!$H$2</definedName>
    <definedName name="Contributor" localSheetId="6">OIS!$O$2</definedName>
    <definedName name="Contributor" localSheetId="8">Swap3M!$S$2</definedName>
    <definedName name="Contributor" localSheetId="7">Swaps1M!$O$2</definedName>
    <definedName name="Contributors" localSheetId="2">Deposits!$T$3:$T$12</definedName>
    <definedName name="Contributors" localSheetId="11">HKD_InterestRateQuotesFeed!$C$9:$C$16</definedName>
    <definedName name="Contributors">HKD_InterestRateQuotesFeed!$C$9:$C$16</definedName>
    <definedName name="ContributorTable" localSheetId="11">HKD_InterestRateQuotesFeed!$C$9:$D$16</definedName>
    <definedName name="ContributorTable">HKD_InterestRateQuotesFeed!$C$9:$D$16</definedName>
    <definedName name="Conventions" localSheetId="0">BasisSwap1M3M!$AG$5:$AI$9</definedName>
    <definedName name="Conventions" localSheetId="1">BasisSwap3M6M!$AG$5:$AI$9</definedName>
    <definedName name="Conventions" localSheetId="8">Swap3M!$AG$5:$AI$10</definedName>
    <definedName name="Currency">HKD_InterestRateQuotesFeed!$J$14</definedName>
    <definedName name="FamilyName" localSheetId="10">Hibor!$L$3</definedName>
    <definedName name="FamilyName">#REF!</definedName>
    <definedName name="FileName" localSheetId="10">Hibor!$K$5</definedName>
    <definedName name="FileOverwrite">HKD_InterestRateQuotesFeed!$J$9</definedName>
    <definedName name="FixingType">#REF!</definedName>
    <definedName name="FuturesCodes" localSheetId="4">Futures3M!$M$6:$M$41</definedName>
    <definedName name="FuturesDates" localSheetId="4">Futures3M!$N$6:$N$41</definedName>
    <definedName name="GENERAL_SETTINGS">HKD_InterestRateQuotesFeed!$B$2</definedName>
    <definedName name="Instruments" localSheetId="0">BasisSwap1M3M!$R$5:$R$42</definedName>
    <definedName name="Instruments" localSheetId="1">BasisSwap3M6M!$R$5:$R$42</definedName>
    <definedName name="Instruments" localSheetId="3">FRA!$L$5:$L$36</definedName>
    <definedName name="Instruments" localSheetId="8">Swap3M!$R$5:$R$32</definedName>
    <definedName name="Instruments" localSheetId="7">Swaps1M!$N$5:$N$15</definedName>
    <definedName name="InterpolationType" localSheetId="11">HKD_InterestRateQuotesFeed!$D$6</definedName>
    <definedName name="InterpolationType">HKD_InterestRateQuotesFeed!$D$6</definedName>
    <definedName name="LastUpdate">HKD_InterestRateQuotesFeed!$E$19</definedName>
    <definedName name="LiffeCodes" localSheetId="4">Futures3M!$AD$6:$AE$11</definedName>
    <definedName name="LiveDataFeed">HKD_InterestRateQuotesFeed!$E$22</definedName>
    <definedName name="MainTenor">#REF!</definedName>
    <definedName name="MarketTickCounter">HKD_InterestRateQuotesFeed!#REF!</definedName>
    <definedName name="ObjectOverwrite">HKD_InterestRateQuotesFeed!$J$6</definedName>
    <definedName name="Permanent">HKD_InterestRateQuotesFeed!$J$5</definedName>
    <definedName name="PriceTickValue">HKD_InterestRateQuotesFeed!$J$17</definedName>
    <definedName name="Quote" localSheetId="0">BasisSwap1M3M!$AC$5:$AC$42</definedName>
    <definedName name="Quote" localSheetId="1">BasisSwap3M6M!$AC$5:$AC$42</definedName>
    <definedName name="Quote" localSheetId="2">Deposits!$P$5:$P$22</definedName>
    <definedName name="Quote" localSheetId="3">FRA!$W$5:$W$36</definedName>
    <definedName name="Quote" localSheetId="4">Futures3M!$Z$6:$Z$41</definedName>
    <definedName name="Quote" localSheetId="5">FuturesHWConvAdj!$Q$5:$Q$6</definedName>
    <definedName name="Quote" localSheetId="6">OIS!$Y$5:$Y$23</definedName>
    <definedName name="Quote" localSheetId="8">Swap3M!$AC$5:$AC$32</definedName>
    <definedName name="Quote" localSheetId="7">Swaps1M!$Y$5:$Y$15</definedName>
    <definedName name="QuoteLive" localSheetId="0">BasisSwap1M3M!$X$5:$X$42</definedName>
    <definedName name="QuoteLive" localSheetId="1">BasisSwap3M6M!$X$5:$X$42</definedName>
    <definedName name="QuoteLive" localSheetId="2">Deposits!$K$5:$K$22</definedName>
    <definedName name="QuoteLive" localSheetId="3">FRA!$R$5:$R$36</definedName>
    <definedName name="QuoteLive" localSheetId="4">Futures3M!$U$6:$U$41</definedName>
    <definedName name="QuoteLive" localSheetId="5">FuturesHWConvAdj!$L$5:$L$6</definedName>
    <definedName name="QuoteLive" localSheetId="6">OIS!$T$5:$T$23</definedName>
    <definedName name="QuoteLive" localSheetId="8">Swap3M!$X$5:$X$32</definedName>
    <definedName name="QuoteLive" localSheetId="7">Swaps1M!$T$5:$T$15</definedName>
    <definedName name="QuoteStatic" localSheetId="0">BasisSwap1M3M!$Z$5:$Z$42</definedName>
    <definedName name="QuoteStatic" localSheetId="1">BasisSwap3M6M!$Z$5:$Z$42</definedName>
    <definedName name="QuoteStatic" localSheetId="2">Deposits!$M$5:$M$22</definedName>
    <definedName name="QuoteStatic" localSheetId="3">FRA!$T$5:$T$36</definedName>
    <definedName name="QuoteStatic" localSheetId="4">Futures3M!$W$6:$W$41</definedName>
    <definedName name="QuoteStatic" localSheetId="5">FuturesHWConvAdj!$N$5:$N$6</definedName>
    <definedName name="QuoteStatic" localSheetId="6">OIS!$V$5:$V$23</definedName>
    <definedName name="QuoteStatic" localSheetId="8">Swap3M!$Z$5:$Z$32</definedName>
    <definedName name="QuoteStatic" localSheetId="7">Swaps1M!$V$5:$V$15</definedName>
    <definedName name="QuoteSuffix">HKD_InterestRateQuotesFeed!$J$15</definedName>
    <definedName name="RateTickValue">HKD_InterestRateQuotesFeed!$J$16</definedName>
    <definedName name="ReutersRtMode" localSheetId="11">HKD_InterestRateQuotesFeed!$D$4</definedName>
    <definedName name="ReutersRtMode">HKD_InterestRateQuotesFeed!$D$4</definedName>
    <definedName name="SerializationPath">HKD_InterestRateQuotesFeed!$J$8</definedName>
    <definedName name="Serialize">HKD_InterestRateQuotesFeed!$J$7</definedName>
    <definedName name="Swap3M4Y">Swap3M!$AC$12</definedName>
    <definedName name="Swap6M4Y">#REF!</definedName>
    <definedName name="SwapMainSetConventions">Swap3M!$J$5:$L$12</definedName>
    <definedName name="SwapSecondarySetConventions">#REF!</definedName>
    <definedName name="Traits" localSheetId="10">Hibor!$S$26:$U$32</definedName>
    <definedName name="Trigger">HKD_InterestRateQuotesFeed!$J$4</definedName>
    <definedName name="TriggerCounter">HKD_InterestRateQuotesFeed!$D$5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J8" i="40" l="1"/>
  <c r="Q5" i="19" l="1" a="1"/>
  <c r="Q8" i="19" s="1"/>
  <c r="P5" i="19" a="1"/>
  <c r="P20" i="19" s="1"/>
  <c r="D5" i="19" a="1"/>
  <c r="D5" i="19" s="1"/>
  <c r="C5" i="19" a="1"/>
  <c r="C5" i="19" s="1"/>
  <c r="Q23" i="19" l="1"/>
  <c r="Q7" i="19"/>
  <c r="Q22" i="19"/>
  <c r="Q6" i="19"/>
  <c r="Q21" i="19"/>
  <c r="Q5" i="19"/>
  <c r="Q20" i="19"/>
  <c r="Q19" i="19"/>
  <c r="Q18" i="19"/>
  <c r="Q17" i="19"/>
  <c r="Q32" i="19"/>
  <c r="Q16" i="19"/>
  <c r="Q31" i="19"/>
  <c r="Q15" i="19"/>
  <c r="Q30" i="19"/>
  <c r="Q14" i="19"/>
  <c r="Q29" i="19"/>
  <c r="Q13" i="19"/>
  <c r="Q28" i="19"/>
  <c r="Q12" i="19"/>
  <c r="Q27" i="19"/>
  <c r="Q11" i="19"/>
  <c r="Q26" i="19"/>
  <c r="Q10" i="19"/>
  <c r="Q25" i="19"/>
  <c r="Q9" i="19"/>
  <c r="Q24" i="19"/>
  <c r="P6" i="19"/>
  <c r="P21" i="19"/>
  <c r="P19" i="19"/>
  <c r="P18" i="19"/>
  <c r="P17" i="19"/>
  <c r="P32" i="19"/>
  <c r="P16" i="19"/>
  <c r="P31" i="19"/>
  <c r="P15" i="19"/>
  <c r="P30" i="19"/>
  <c r="P14" i="19"/>
  <c r="P29" i="19"/>
  <c r="P13" i="19"/>
  <c r="P28" i="19"/>
  <c r="P12" i="19"/>
  <c r="P27" i="19"/>
  <c r="P11" i="19"/>
  <c r="P26" i="19"/>
  <c r="P10" i="19"/>
  <c r="P25" i="19"/>
  <c r="P9" i="19"/>
  <c r="P24" i="19"/>
  <c r="P8" i="19"/>
  <c r="P23" i="19"/>
  <c r="P7" i="19"/>
  <c r="P5" i="19"/>
  <c r="P22" i="19"/>
  <c r="D20" i="19"/>
  <c r="D19" i="19"/>
  <c r="D18" i="19"/>
  <c r="D17" i="19"/>
  <c r="D32" i="19"/>
  <c r="D16" i="19"/>
  <c r="D31" i="19"/>
  <c r="D15" i="19"/>
  <c r="D30" i="19"/>
  <c r="D14" i="19"/>
  <c r="D29" i="19"/>
  <c r="D13" i="19"/>
  <c r="D28" i="19"/>
  <c r="D12" i="19"/>
  <c r="D27" i="19"/>
  <c r="D11" i="19"/>
  <c r="D26" i="19"/>
  <c r="D10" i="19"/>
  <c r="D25" i="19"/>
  <c r="D9" i="19"/>
  <c r="D24" i="19"/>
  <c r="D8" i="19"/>
  <c r="D23" i="19"/>
  <c r="D7" i="19"/>
  <c r="D22" i="19"/>
  <c r="D6" i="19"/>
  <c r="D21" i="19"/>
  <c r="C25" i="19"/>
  <c r="C20" i="19"/>
  <c r="C19" i="19"/>
  <c r="C18" i="19"/>
  <c r="C17" i="19"/>
  <c r="C32" i="19"/>
  <c r="C16" i="19"/>
  <c r="C31" i="19"/>
  <c r="C15" i="19"/>
  <c r="C30" i="19"/>
  <c r="C14" i="19"/>
  <c r="C29" i="19"/>
  <c r="C13" i="19"/>
  <c r="C28" i="19"/>
  <c r="C12" i="19"/>
  <c r="C27" i="19"/>
  <c r="C11" i="19"/>
  <c r="C26" i="19"/>
  <c r="C10" i="19"/>
  <c r="C9" i="19"/>
  <c r="C24" i="19"/>
  <c r="C8" i="19"/>
  <c r="C23" i="19"/>
  <c r="C7" i="19"/>
  <c r="C22" i="19"/>
  <c r="C6" i="19"/>
  <c r="C21" i="19"/>
  <c r="D6" i="12" a="1"/>
  <c r="N6" i="12" a="1"/>
  <c r="D21" i="12" l="1"/>
  <c r="D37" i="12"/>
  <c r="D6" i="12"/>
  <c r="D22" i="12"/>
  <c r="D38" i="12"/>
  <c r="D14" i="12"/>
  <c r="D31" i="12"/>
  <c r="D16" i="12"/>
  <c r="D33" i="12"/>
  <c r="D35" i="12"/>
  <c r="D36" i="12"/>
  <c r="D7" i="12"/>
  <c r="D23" i="12"/>
  <c r="D39" i="12"/>
  <c r="D8" i="12"/>
  <c r="D24" i="12"/>
  <c r="D40" i="12"/>
  <c r="D9" i="12"/>
  <c r="D41" i="12"/>
  <c r="D10" i="12"/>
  <c r="D26" i="12"/>
  <c r="D11" i="12"/>
  <c r="D27" i="12"/>
  <c r="D12" i="12"/>
  <c r="D28" i="12"/>
  <c r="D13" i="12"/>
  <c r="D29" i="12"/>
  <c r="D30" i="12"/>
  <c r="D15" i="12"/>
  <c r="D32" i="12"/>
  <c r="D17" i="12"/>
  <c r="D19" i="12"/>
  <c r="D25" i="12"/>
  <c r="D18" i="12"/>
  <c r="D34" i="12"/>
  <c r="D20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20" i="12"/>
  <c r="N36" i="12"/>
  <c r="N21" i="12"/>
  <c r="N37" i="12"/>
  <c r="N6" i="12"/>
  <c r="N22" i="12"/>
  <c r="N38" i="12"/>
  <c r="N7" i="12"/>
  <c r="N23" i="12"/>
  <c r="N39" i="12"/>
  <c r="N8" i="12"/>
  <c r="N24" i="12"/>
  <c r="N40" i="12"/>
  <c r="N9" i="12"/>
  <c r="N25" i="12"/>
  <c r="N41" i="12"/>
  <c r="N10" i="12"/>
  <c r="N26" i="12"/>
  <c r="N11" i="12"/>
  <c r="N27" i="12"/>
  <c r="N12" i="12"/>
  <c r="N28" i="12"/>
  <c r="N13" i="12"/>
  <c r="N29" i="12"/>
  <c r="M6" i="12" a="1"/>
  <c r="M39" i="12" l="1"/>
  <c r="M16" i="12"/>
  <c r="M8" i="12"/>
  <c r="M32" i="12"/>
  <c r="M24" i="12"/>
  <c r="M17" i="12"/>
  <c r="M40" i="12"/>
  <c r="M33" i="12"/>
  <c r="M9" i="12"/>
  <c r="M18" i="12"/>
  <c r="M25" i="12"/>
  <c r="M34" i="12"/>
  <c r="M41" i="12"/>
  <c r="M19" i="12"/>
  <c r="M10" i="12"/>
  <c r="M35" i="12"/>
  <c r="M26" i="12"/>
  <c r="M20" i="12"/>
  <c r="M27" i="12"/>
  <c r="M36" i="12"/>
  <c r="M12" i="12"/>
  <c r="M21" i="12"/>
  <c r="M6" i="12"/>
  <c r="M13" i="12"/>
  <c r="M37" i="12"/>
  <c r="M22" i="12"/>
  <c r="M14" i="12"/>
  <c r="M11" i="12"/>
  <c r="M38" i="12"/>
  <c r="M30" i="12"/>
  <c r="M28" i="12"/>
  <c r="M7" i="12"/>
  <c r="M15" i="12"/>
  <c r="M29" i="12"/>
  <c r="M23" i="12"/>
  <c r="M31" i="12"/>
  <c r="Y6" i="12" l="1" a="1"/>
  <c r="O6" i="12" a="1"/>
  <c r="O7" i="12" l="1"/>
  <c r="O37" i="12"/>
  <c r="O29" i="12"/>
  <c r="O21" i="12"/>
  <c r="O13" i="12"/>
  <c r="O36" i="12"/>
  <c r="O28" i="12"/>
  <c r="O20" i="12"/>
  <c r="O12" i="12"/>
  <c r="O35" i="12"/>
  <c r="O27" i="12"/>
  <c r="O19" i="12"/>
  <c r="O11" i="12"/>
  <c r="O34" i="12"/>
  <c r="O26" i="12"/>
  <c r="O18" i="12"/>
  <c r="O10" i="12"/>
  <c r="O33" i="12"/>
  <c r="O41" i="12"/>
  <c r="O17" i="12"/>
  <c r="O25" i="12"/>
  <c r="O32" i="12"/>
  <c r="O9" i="12"/>
  <c r="O16" i="12"/>
  <c r="O40" i="12"/>
  <c r="O31" i="12"/>
  <c r="O24" i="12"/>
  <c r="O38" i="12"/>
  <c r="O22" i="12"/>
  <c r="O6" i="12"/>
  <c r="O15" i="12"/>
  <c r="O30" i="12"/>
  <c r="O14" i="12"/>
  <c r="O8" i="12"/>
  <c r="O39" i="12"/>
  <c r="O23" i="12"/>
  <c r="Y14" i="12"/>
  <c r="Y26" i="12"/>
  <c r="Y36" i="12"/>
  <c r="Y10" i="12"/>
  <c r="Y20" i="12"/>
  <c r="Y41" i="12"/>
  <c r="Y35" i="12"/>
  <c r="Y25" i="12"/>
  <c r="Y19" i="12"/>
  <c r="Y9" i="12"/>
  <c r="Y34" i="12"/>
  <c r="Y40" i="12"/>
  <c r="Y18" i="12"/>
  <c r="Y24" i="12"/>
  <c r="Y33" i="12"/>
  <c r="Y8" i="12"/>
  <c r="Y17" i="12"/>
  <c r="Y39" i="12"/>
  <c r="Y32" i="12"/>
  <c r="Y23" i="12"/>
  <c r="Y16" i="12"/>
  <c r="Y29" i="12"/>
  <c r="Y7" i="12"/>
  <c r="Y31" i="12"/>
  <c r="Y13" i="12"/>
  <c r="Y38" i="12"/>
  <c r="Y15" i="12"/>
  <c r="Y28" i="12"/>
  <c r="Y22" i="12"/>
  <c r="Y30" i="12"/>
  <c r="Y37" i="12"/>
  <c r="Y21" i="12"/>
  <c r="Y12" i="12"/>
  <c r="Y27" i="12"/>
  <c r="Y11" i="12"/>
  <c r="Y6" i="12"/>
  <c r="P5" i="9" l="1" a="1"/>
  <c r="P5" i="9" s="1"/>
  <c r="P18" i="9" l="1"/>
  <c r="P17" i="9"/>
  <c r="P16" i="9"/>
  <c r="P15" i="9"/>
  <c r="P14" i="9"/>
  <c r="P13" i="9"/>
  <c r="P12" i="9"/>
  <c r="P11" i="9"/>
  <c r="P20" i="9"/>
  <c r="P19" i="9"/>
  <c r="P10" i="9"/>
  <c r="P9" i="9"/>
  <c r="P22" i="9"/>
  <c r="P6" i="9"/>
  <c r="P8" i="9"/>
  <c r="P7" i="9"/>
  <c r="P21" i="9"/>
  <c r="T4" i="36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W10" i="36"/>
  <c r="W11" i="36"/>
  <c r="X11" i="36" s="1"/>
  <c r="AB11" i="36" s="1"/>
  <c r="W12" i="36"/>
  <c r="W13" i="36"/>
  <c r="W14" i="36"/>
  <c r="W15" i="36"/>
  <c r="W16" i="36"/>
  <c r="W17" i="36"/>
  <c r="W18" i="36"/>
  <c r="W19" i="36"/>
  <c r="W20" i="36"/>
  <c r="W21" i="36"/>
  <c r="W22" i="36"/>
  <c r="W23" i="36"/>
  <c r="F13" i="16"/>
  <c r="AA10" i="36"/>
  <c r="F8" i="17"/>
  <c r="F13" i="17"/>
  <c r="F9" i="17"/>
  <c r="F10" i="17"/>
  <c r="F12" i="17"/>
  <c r="F11" i="17"/>
  <c r="F6" i="16"/>
  <c r="F6" i="17"/>
  <c r="F7" i="16"/>
  <c r="F17" i="16"/>
  <c r="F14" i="16"/>
  <c r="F14" i="17"/>
  <c r="F11" i="16"/>
  <c r="F5" i="16"/>
  <c r="F7" i="17"/>
  <c r="F18" i="16"/>
  <c r="F12" i="16"/>
  <c r="F19" i="16"/>
  <c r="F16" i="16"/>
  <c r="F8" i="16"/>
  <c r="F15" i="16"/>
  <c r="F5" i="17"/>
  <c r="F15" i="17"/>
  <c r="F9" i="16"/>
  <c r="F10" i="16"/>
  <c r="Z23" i="36" l="1"/>
  <c r="Z19" i="36"/>
  <c r="Z17" i="36"/>
  <c r="T23" i="36"/>
  <c r="Z22" i="36"/>
  <c r="Z13" i="36"/>
  <c r="T13" i="36"/>
  <c r="Z18" i="36"/>
  <c r="T10" i="36"/>
  <c r="T11" i="36"/>
  <c r="T19" i="36"/>
  <c r="T18" i="36"/>
  <c r="T17" i="36"/>
  <c r="Z21" i="36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16" i="36"/>
  <c r="AA11" i="36"/>
  <c r="AA17" i="36"/>
  <c r="AD11" i="36"/>
  <c r="AA9" i="36"/>
  <c r="AA23" i="36"/>
  <c r="AA21" i="36"/>
  <c r="AD8" i="36"/>
  <c r="AA13" i="36"/>
  <c r="AA7" i="36"/>
  <c r="AA12" i="36"/>
  <c r="AA18" i="36"/>
  <c r="AA14" i="36"/>
  <c r="X10" i="36"/>
  <c r="AA22" i="36"/>
  <c r="AA6" i="36"/>
  <c r="AA20" i="36"/>
  <c r="AD7" i="36"/>
  <c r="AA15" i="36"/>
  <c r="AA19" i="36"/>
  <c r="AA8" i="36"/>
  <c r="AC7" i="36" l="1"/>
  <c r="AC8" i="36"/>
  <c r="AC11" i="36"/>
  <c r="AE11" i="36" s="1"/>
  <c r="AB10" i="36"/>
  <c r="X6" i="36"/>
  <c r="X12" i="36"/>
  <c r="X21" i="36"/>
  <c r="X18" i="36"/>
  <c r="X15" i="36"/>
  <c r="X14" i="36"/>
  <c r="X17" i="36"/>
  <c r="X13" i="36"/>
  <c r="X19" i="36"/>
  <c r="X9" i="36"/>
  <c r="X22" i="36"/>
  <c r="X23" i="36"/>
  <c r="AD10" i="36"/>
  <c r="X16" i="36"/>
  <c r="X20" i="36"/>
  <c r="AC10" i="36" l="1"/>
  <c r="AE10" i="36" s="1"/>
  <c r="AB23" i="36"/>
  <c r="AB16" i="36"/>
  <c r="AB20" i="36"/>
  <c r="AB22" i="36"/>
  <c r="AB13" i="36"/>
  <c r="AB17" i="36"/>
  <c r="AB6" i="36"/>
  <c r="AB19" i="36"/>
  <c r="AB9" i="36"/>
  <c r="AB21" i="36"/>
  <c r="AB15" i="36"/>
  <c r="AB18" i="36"/>
  <c r="AB14" i="36"/>
  <c r="AB12" i="36"/>
  <c r="AD12" i="36"/>
  <c r="AD16" i="36"/>
  <c r="AD22" i="36"/>
  <c r="AD13" i="36"/>
  <c r="AD18" i="36"/>
  <c r="AD23" i="36"/>
  <c r="AD15" i="36"/>
  <c r="AD6" i="36"/>
  <c r="AD9" i="36"/>
  <c r="AD14" i="36"/>
  <c r="AD20" i="36"/>
  <c r="AD19" i="36"/>
  <c r="AD17" i="36"/>
  <c r="AD21" i="36"/>
  <c r="AC23" i="36" l="1"/>
  <c r="AE23" i="36" s="1"/>
  <c r="AC17" i="36"/>
  <c r="AE17" i="36" s="1"/>
  <c r="AC19" i="36"/>
  <c r="AE19" i="36" s="1"/>
  <c r="AC18" i="36"/>
  <c r="AE18" i="36" s="1"/>
  <c r="AC13" i="36"/>
  <c r="AE13" i="36" s="1"/>
  <c r="AC22" i="36"/>
  <c r="AE22" i="36" s="1"/>
  <c r="AC6" i="36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12" i="36"/>
  <c r="AE12" i="36" s="1"/>
  <c r="AC14" i="36"/>
  <c r="AE14" i="36" s="1"/>
  <c r="AC4" i="36" l="1"/>
  <c r="D9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 s="1"/>
  <c r="T16" i="16"/>
  <c r="X16" i="16"/>
  <c r="N17" i="16"/>
  <c r="O17" i="16" s="1"/>
  <c r="T17" i="16"/>
  <c r="X17" i="16"/>
  <c r="N18" i="16"/>
  <c r="O18" i="16" s="1"/>
  <c r="T18" i="16"/>
  <c r="X18" i="16"/>
  <c r="N19" i="16"/>
  <c r="O19" i="16" s="1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32" i="6"/>
  <c r="V12" i="6"/>
  <c r="V40" i="6"/>
  <c r="V5" i="6"/>
  <c r="V7" i="6"/>
  <c r="V16" i="6"/>
  <c r="V34" i="6"/>
  <c r="V35" i="6"/>
  <c r="V27" i="6"/>
  <c r="V15" i="6"/>
  <c r="V41" i="6"/>
  <c r="V8" i="6"/>
  <c r="V19" i="6"/>
  <c r="V33" i="6"/>
  <c r="V28" i="6"/>
  <c r="V21" i="6"/>
  <c r="V30" i="6"/>
  <c r="V26" i="6"/>
  <c r="V25" i="6"/>
  <c r="V17" i="6"/>
  <c r="V18" i="6"/>
  <c r="V37" i="6"/>
  <c r="V13" i="6"/>
  <c r="V14" i="6"/>
  <c r="V10" i="6"/>
  <c r="V31" i="6"/>
  <c r="V24" i="6"/>
  <c r="V11" i="6"/>
  <c r="V36" i="6"/>
  <c r="V23" i="6"/>
  <c r="V9" i="6"/>
  <c r="V20" i="6"/>
  <c r="V6" i="6"/>
  <c r="V39" i="6"/>
  <c r="V42" i="6"/>
  <c r="V38" i="6"/>
  <c r="V22" i="6"/>
  <c r="V29" i="6"/>
  <c r="AG45" i="6"/>
  <c r="Y5" i="16" l="1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P5" i="14"/>
  <c r="P6" i="14"/>
  <c r="X25" i="19"/>
  <c r="T9" i="17"/>
  <c r="V25" i="5"/>
  <c r="V5" i="5"/>
  <c r="V10" i="5"/>
  <c r="X7" i="19"/>
  <c r="V24" i="5"/>
  <c r="X32" i="19"/>
  <c r="T11" i="17"/>
  <c r="V36" i="5"/>
  <c r="V15" i="5"/>
  <c r="X5" i="19"/>
  <c r="V22" i="5"/>
  <c r="V34" i="5"/>
  <c r="T5" i="17"/>
  <c r="T15" i="17"/>
  <c r="X20" i="19"/>
  <c r="V18" i="5"/>
  <c r="X6" i="19"/>
  <c r="V32" i="5"/>
  <c r="V8" i="5"/>
  <c r="X9" i="19"/>
  <c r="V33" i="5"/>
  <c r="V11" i="5"/>
  <c r="V39" i="5"/>
  <c r="T12" i="17"/>
  <c r="V26" i="5"/>
  <c r="X30" i="19"/>
  <c r="V12" i="5"/>
  <c r="X13" i="19"/>
  <c r="V38" i="5"/>
  <c r="V20" i="5"/>
  <c r="T7" i="17"/>
  <c r="V35" i="5"/>
  <c r="T8" i="17"/>
  <c r="T10" i="17"/>
  <c r="V41" i="5"/>
  <c r="X27" i="19"/>
  <c r="V7" i="5"/>
  <c r="X11" i="19"/>
  <c r="V27" i="5"/>
  <c r="X8" i="19"/>
  <c r="T13" i="17"/>
  <c r="V17" i="5"/>
  <c r="V13" i="5"/>
  <c r="X19" i="19"/>
  <c r="X16" i="19"/>
  <c r="V19" i="5"/>
  <c r="V6" i="5"/>
  <c r="X23" i="19"/>
  <c r="X10" i="19"/>
  <c r="X29" i="19"/>
  <c r="X15" i="19"/>
  <c r="X31" i="19"/>
  <c r="V29" i="5"/>
  <c r="T14" i="17"/>
  <c r="V40" i="5"/>
  <c r="V14" i="5"/>
  <c r="X18" i="19"/>
  <c r="V16" i="5"/>
  <c r="V30" i="5"/>
  <c r="X28" i="19"/>
  <c r="X26" i="19"/>
  <c r="V31" i="5"/>
  <c r="V42" i="5"/>
  <c r="X24" i="19"/>
  <c r="V9" i="5"/>
  <c r="T6" i="17"/>
  <c r="X14" i="19"/>
  <c r="V21" i="5"/>
  <c r="V28" i="5"/>
  <c r="X22" i="19"/>
  <c r="X17" i="19"/>
  <c r="V37" i="5"/>
  <c r="X12" i="19"/>
  <c r="X21" i="19"/>
  <c r="V23" i="5"/>
  <c r="H4" i="14"/>
  <c r="AC5" i="19" l="1" a="1"/>
  <c r="AC32" i="19" s="1"/>
  <c r="Y10" i="16"/>
  <c r="Y9" i="16"/>
  <c r="Y11" i="16"/>
  <c r="Y22" i="16"/>
  <c r="Y21" i="16"/>
  <c r="Y20" i="16"/>
  <c r="Y19" i="16"/>
  <c r="Y17" i="16"/>
  <c r="Y16" i="16"/>
  <c r="Y15" i="16"/>
  <c r="Y8" i="16"/>
  <c r="Y6" i="16"/>
  <c r="Y5" i="16"/>
  <c r="Y18" i="16"/>
  <c r="Y13" i="16"/>
  <c r="Y12" i="16"/>
  <c r="Y7" i="16"/>
  <c r="Y14" i="16"/>
  <c r="Y23" i="16"/>
  <c r="Y5" i="17" a="1"/>
  <c r="Y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8" i="19"/>
  <c r="AB8" i="19" s="1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O5" i="17" a="1"/>
  <c r="O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27" i="19"/>
  <c r="AK10" i="19"/>
  <c r="AK20" i="19"/>
  <c r="AK17" i="19"/>
  <c r="AK11" i="19"/>
  <c r="AK25" i="19"/>
  <c r="AK26" i="19"/>
  <c r="AK19" i="19"/>
  <c r="AK18" i="19"/>
  <c r="AK9" i="19"/>
  <c r="AK32" i="19"/>
  <c r="AK16" i="19"/>
  <c r="AK23" i="19"/>
  <c r="AK7" i="19"/>
  <c r="AK30" i="19"/>
  <c r="AK14" i="19"/>
  <c r="AK21" i="19"/>
  <c r="AK28" i="19"/>
  <c r="AK12" i="19"/>
  <c r="AK5" i="19"/>
  <c r="AK24" i="19"/>
  <c r="AK8" i="19"/>
  <c r="AK31" i="19"/>
  <c r="AK15" i="19"/>
  <c r="AK22" i="19"/>
  <c r="AK6" i="19"/>
  <c r="AK29" i="19"/>
  <c r="AK13" i="19"/>
  <c r="R16" i="19"/>
  <c r="AB16" i="19" s="1"/>
  <c r="AG6" i="17"/>
  <c r="AG15" i="17"/>
  <c r="AG8" i="17"/>
  <c r="AG13" i="17"/>
  <c r="AG10" i="17"/>
  <c r="AG12" i="17"/>
  <c r="AG14" i="17"/>
  <c r="AG5" i="17"/>
  <c r="AG7" i="17"/>
  <c r="AG11" i="17"/>
  <c r="AG9" i="17"/>
  <c r="X8" i="17"/>
  <c r="U10" i="12"/>
  <c r="Z8" i="16"/>
  <c r="Z11" i="16"/>
  <c r="U35" i="12"/>
  <c r="Z15" i="16"/>
  <c r="U8" i="12"/>
  <c r="U22" i="12"/>
  <c r="U33" i="12"/>
  <c r="U18" i="12"/>
  <c r="U15" i="12"/>
  <c r="Z12" i="16"/>
  <c r="U39" i="12"/>
  <c r="U32" i="12"/>
  <c r="U37" i="12"/>
  <c r="U20" i="12"/>
  <c r="U27" i="12"/>
  <c r="U23" i="12"/>
  <c r="Z14" i="16"/>
  <c r="Z7" i="16"/>
  <c r="U38" i="12"/>
  <c r="Z5" i="16"/>
  <c r="Z20" i="16"/>
  <c r="Z19" i="16"/>
  <c r="U25" i="12"/>
  <c r="U24" i="12"/>
  <c r="U6" i="12"/>
  <c r="U30" i="12"/>
  <c r="Z10" i="16"/>
  <c r="U26" i="12"/>
  <c r="Z6" i="16"/>
  <c r="Z22" i="16"/>
  <c r="Z17" i="16"/>
  <c r="U36" i="12"/>
  <c r="U11" i="12"/>
  <c r="U19" i="12"/>
  <c r="U9" i="12"/>
  <c r="Z9" i="16"/>
  <c r="U17" i="12"/>
  <c r="U12" i="12"/>
  <c r="U31" i="12"/>
  <c r="U13" i="12"/>
  <c r="U28" i="12"/>
  <c r="U7" i="12"/>
  <c r="U21" i="12"/>
  <c r="U16" i="12"/>
  <c r="U29" i="12"/>
  <c r="U14" i="12"/>
  <c r="U34" i="12"/>
  <c r="Z16" i="16"/>
  <c r="Z18" i="16"/>
  <c r="Z13" i="16"/>
  <c r="Z23" i="16"/>
  <c r="Z21" i="16"/>
  <c r="AF39" i="12"/>
  <c r="AC5" i="19" l="1"/>
  <c r="AC20" i="19"/>
  <c r="AC11" i="19"/>
  <c r="AC18" i="19"/>
  <c r="AC26" i="19"/>
  <c r="AC31" i="19"/>
  <c r="AC25" i="19"/>
  <c r="AC30" i="19"/>
  <c r="AC9" i="19"/>
  <c r="AC13" i="19"/>
  <c r="AC24" i="19"/>
  <c r="AC12" i="19"/>
  <c r="AC8" i="19"/>
  <c r="AC27" i="19"/>
  <c r="AC23" i="19"/>
  <c r="AC10" i="19"/>
  <c r="AC7" i="19"/>
  <c r="AC6" i="19"/>
  <c r="AC22" i="19"/>
  <c r="AC19" i="19"/>
  <c r="AC21" i="19"/>
  <c r="AC17" i="19"/>
  <c r="AC16" i="19"/>
  <c r="AC15" i="19"/>
  <c r="AC14" i="19"/>
  <c r="AC29" i="19"/>
  <c r="AC28" i="19"/>
  <c r="R29" i="5"/>
  <c r="AB29" i="5" s="1"/>
  <c r="Y8" i="17"/>
  <c r="Y14" i="17"/>
  <c r="Y10" i="17"/>
  <c r="Y6" i="17"/>
  <c r="Y13" i="17"/>
  <c r="Y9" i="17"/>
  <c r="Y7" i="17"/>
  <c r="Y15" i="17"/>
  <c r="Y5" i="17"/>
  <c r="R31" i="19"/>
  <c r="AB31" i="19" s="1"/>
  <c r="Y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14" i="19"/>
  <c r="AB14" i="19" s="1"/>
  <c r="R6" i="5"/>
  <c r="AB6" i="5" s="1"/>
  <c r="R9" i="19"/>
  <c r="AB9" i="19" s="1"/>
  <c r="R30" i="5"/>
  <c r="AB30" i="5" s="1"/>
  <c r="R17" i="5"/>
  <c r="AB17" i="5" s="1"/>
  <c r="R11" i="5"/>
  <c r="AB11" i="5" s="1"/>
  <c r="R14" i="5"/>
  <c r="AB14" i="5" s="1"/>
  <c r="R26" i="5"/>
  <c r="AB26" i="5" s="1"/>
  <c r="R17" i="19"/>
  <c r="AB17" i="19" s="1"/>
  <c r="R22" i="19"/>
  <c r="AB22" i="19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20" i="5"/>
  <c r="AB20" i="5" s="1"/>
  <c r="R36" i="5"/>
  <c r="AB36" i="5" s="1"/>
  <c r="R33" i="5"/>
  <c r="AB33" i="5" s="1"/>
  <c r="R24" i="19"/>
  <c r="AB24" i="19" s="1"/>
  <c r="R8" i="5"/>
  <c r="AB8" i="5" s="1"/>
  <c r="R34" i="5"/>
  <c r="AB34" i="5" s="1"/>
  <c r="R27" i="5"/>
  <c r="AB27" i="5" s="1"/>
  <c r="R16" i="5"/>
  <c r="AB16" i="5" s="1"/>
  <c r="O12" i="17"/>
  <c r="R19" i="19"/>
  <c r="AB19" i="19" s="1"/>
  <c r="R35" i="5"/>
  <c r="AB35" i="5" s="1"/>
  <c r="R40" i="5"/>
  <c r="AB40" i="5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1" i="19"/>
  <c r="AB21" i="19" s="1"/>
  <c r="R30" i="19"/>
  <c r="AB30" i="19" s="1"/>
  <c r="R25" i="19"/>
  <c r="AB25" i="19" s="1"/>
  <c r="O9" i="17"/>
  <c r="R28" i="5"/>
  <c r="AB28" i="5" s="1"/>
  <c r="O13" i="17"/>
  <c r="R23" i="19"/>
  <c r="AB23" i="19" s="1"/>
  <c r="O6" i="17"/>
  <c r="R19" i="5"/>
  <c r="AB19" i="5" s="1"/>
  <c r="R28" i="19"/>
  <c r="AB28" i="19" s="1"/>
  <c r="R15" i="19"/>
  <c r="AB15" i="19" s="1"/>
  <c r="R20" i="19"/>
  <c r="AB20" i="19" s="1"/>
  <c r="R27" i="19"/>
  <c r="AB27" i="19" s="1"/>
  <c r="R18" i="19"/>
  <c r="AB18" i="19" s="1"/>
  <c r="R12" i="5"/>
  <c r="AB12" i="5" s="1"/>
  <c r="R13" i="19"/>
  <c r="AB13" i="19" s="1"/>
  <c r="R12" i="19"/>
  <c r="AB12" i="19" s="1"/>
  <c r="O15" i="17"/>
  <c r="O8" i="17"/>
  <c r="O11" i="17"/>
  <c r="S5" i="6" a="1"/>
  <c r="R15" i="5"/>
  <c r="AB15" i="5" s="1"/>
  <c r="R23" i="5"/>
  <c r="AB23" i="5" s="1"/>
  <c r="R31" i="5"/>
  <c r="AB31" i="5" s="1"/>
  <c r="R32" i="19"/>
  <c r="AG20" i="12"/>
  <c r="AG30" i="12"/>
  <c r="AG18" i="12"/>
  <c r="AG38" i="12"/>
  <c r="AG28" i="12"/>
  <c r="AG16" i="12"/>
  <c r="AG26" i="12"/>
  <c r="AG14" i="12"/>
  <c r="AG36" i="12"/>
  <c r="AG12" i="12"/>
  <c r="AG24" i="12"/>
  <c r="AG34" i="12"/>
  <c r="AG10" i="12"/>
  <c r="AG22" i="12"/>
  <c r="AG8" i="12"/>
  <c r="AG32" i="12"/>
  <c r="AG6" i="12"/>
  <c r="AG37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39" i="12"/>
  <c r="L5" i="10"/>
  <c r="V5" i="10" s="1"/>
  <c r="L6" i="10"/>
  <c r="V6" i="10" s="1"/>
  <c r="L7" i="10"/>
  <c r="V7" i="10" s="1"/>
  <c r="L8" i="10"/>
  <c r="V8" i="10" s="1"/>
  <c r="L9" i="10"/>
  <c r="V9" i="10" s="1"/>
  <c r="L10" i="10"/>
  <c r="V10" i="10" s="1"/>
  <c r="L11" i="10"/>
  <c r="V11" i="10" s="1"/>
  <c r="L12" i="10"/>
  <c r="V12" i="10" s="1"/>
  <c r="L13" i="10"/>
  <c r="V13" i="10" s="1"/>
  <c r="L14" i="10"/>
  <c r="V14" i="10" s="1"/>
  <c r="L15" i="10"/>
  <c r="V15" i="10" s="1"/>
  <c r="L16" i="10"/>
  <c r="V16" i="10" s="1"/>
  <c r="L17" i="10"/>
  <c r="V17" i="10" s="1"/>
  <c r="K18" i="10"/>
  <c r="L18" i="10" s="1"/>
  <c r="V18" i="10" s="1"/>
  <c r="K19" i="10"/>
  <c r="L19" i="10" s="1"/>
  <c r="V19" i="10" s="1"/>
  <c r="K20" i="10"/>
  <c r="L20" i="10" s="1"/>
  <c r="V20" i="10" s="1"/>
  <c r="K21" i="10"/>
  <c r="L21" i="10" s="1"/>
  <c r="V21" i="10" s="1"/>
  <c r="K22" i="10"/>
  <c r="L22" i="10" s="1"/>
  <c r="V22" i="10" s="1"/>
  <c r="K23" i="10"/>
  <c r="L23" i="10" s="1"/>
  <c r="V23" i="10" s="1"/>
  <c r="K24" i="10"/>
  <c r="L24" i="10" s="1"/>
  <c r="V24" i="10" s="1"/>
  <c r="K25" i="10"/>
  <c r="L25" i="10" s="1"/>
  <c r="V25" i="10" s="1"/>
  <c r="K26" i="10"/>
  <c r="L26" i="10" s="1"/>
  <c r="V26" i="10" s="1"/>
  <c r="K27" i="10"/>
  <c r="L27" i="10" s="1"/>
  <c r="V27" i="10" s="1"/>
  <c r="K28" i="10"/>
  <c r="L28" i="10" s="1"/>
  <c r="V28" i="10" s="1"/>
  <c r="K29" i="10"/>
  <c r="L29" i="10" s="1"/>
  <c r="V29" i="10" s="1"/>
  <c r="K30" i="10"/>
  <c r="L30" i="10" s="1"/>
  <c r="V30" i="10" s="1"/>
  <c r="K31" i="10"/>
  <c r="L31" i="10" s="1"/>
  <c r="V31" i="10" s="1"/>
  <c r="K32" i="10"/>
  <c r="L32" i="10" s="1"/>
  <c r="V32" i="10" s="1"/>
  <c r="K33" i="10"/>
  <c r="L33" i="10" s="1"/>
  <c r="V33" i="10" s="1"/>
  <c r="K34" i="10"/>
  <c r="L34" i="10" s="1"/>
  <c r="V34" i="10" s="1"/>
  <c r="K35" i="10"/>
  <c r="L35" i="10" s="1"/>
  <c r="V35" i="10" s="1"/>
  <c r="K36" i="10"/>
  <c r="L36" i="10" s="1"/>
  <c r="V36" i="10" s="1"/>
  <c r="R7" i="10"/>
  <c r="R29" i="10"/>
  <c r="R13" i="10"/>
  <c r="R19" i="10"/>
  <c r="R6" i="10"/>
  <c r="U41" i="12"/>
  <c r="Z9" i="17"/>
  <c r="R14" i="10"/>
  <c r="R32" i="10"/>
  <c r="R16" i="10"/>
  <c r="R25" i="10"/>
  <c r="R10" i="10"/>
  <c r="R20" i="10"/>
  <c r="R27" i="10"/>
  <c r="R34" i="10"/>
  <c r="R15" i="10"/>
  <c r="R23" i="10"/>
  <c r="R33" i="10"/>
  <c r="R24" i="10"/>
  <c r="R11" i="10"/>
  <c r="R22" i="10"/>
  <c r="R21" i="10"/>
  <c r="Z13" i="17"/>
  <c r="R12" i="10"/>
  <c r="R28" i="10"/>
  <c r="R35" i="10"/>
  <c r="U40" i="12"/>
  <c r="Z12" i="17"/>
  <c r="R8" i="10"/>
  <c r="R18" i="10"/>
  <c r="R17" i="10"/>
  <c r="R31" i="10"/>
  <c r="R9" i="10"/>
  <c r="Z11" i="17"/>
  <c r="R26" i="10"/>
  <c r="R5" i="10"/>
  <c r="R36" i="10"/>
  <c r="Z5" i="17"/>
  <c r="R30" i="10"/>
  <c r="Z7" i="17"/>
  <c r="Z8" i="17"/>
  <c r="Z14" i="17"/>
  <c r="Z10" i="17"/>
  <c r="Z6" i="17"/>
  <c r="Z15" i="17"/>
  <c r="X41" i="10"/>
  <c r="X40" i="10"/>
  <c r="AB32" i="19" l="1"/>
  <c r="S5" i="19" a="1"/>
  <c r="Z6" i="12" a="1"/>
  <c r="W5" i="10" a="1"/>
  <c r="W14" i="10" s="1"/>
  <c r="M5" i="10" a="1"/>
  <c r="M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G40" i="12"/>
  <c r="AG41" i="12"/>
  <c r="AE11" i="10"/>
  <c r="AE30" i="10"/>
  <c r="AE18" i="10"/>
  <c r="AE6" i="10"/>
  <c r="AE8" i="10"/>
  <c r="AE34" i="10"/>
  <c r="AE19" i="10"/>
  <c r="AE5" i="10"/>
  <c r="AE32" i="10"/>
  <c r="AE24" i="10"/>
  <c r="AE10" i="10"/>
  <c r="AE25" i="10"/>
  <c r="AE7" i="10"/>
  <c r="AE16" i="10"/>
  <c r="AE36" i="10"/>
  <c r="AE22" i="10"/>
  <c r="AE33" i="10"/>
  <c r="AE21" i="10"/>
  <c r="AE28" i="10"/>
  <c r="AE26" i="10"/>
  <c r="AE20" i="10"/>
  <c r="AE15" i="10"/>
  <c r="AE35" i="10"/>
  <c r="AE31" i="10"/>
  <c r="AE29" i="10"/>
  <c r="AE27" i="10"/>
  <c r="AE23" i="10"/>
  <c r="AE17" i="10"/>
  <c r="AE9" i="10"/>
  <c r="W3" i="9"/>
  <c r="J5" i="9"/>
  <c r="O5" i="9"/>
  <c r="Q5" i="9"/>
  <c r="W31" i="10" l="1"/>
  <c r="W8" i="10"/>
  <c r="W6" i="10"/>
  <c r="W9" i="10"/>
  <c r="W23" i="10"/>
  <c r="W13" i="10"/>
  <c r="W24" i="10"/>
  <c r="W27" i="10"/>
  <c r="W22" i="10"/>
  <c r="W11" i="10"/>
  <c r="S5" i="19"/>
  <c r="S16" i="19"/>
  <c r="S8" i="19"/>
  <c r="S20" i="19"/>
  <c r="S19" i="19"/>
  <c r="S25" i="19"/>
  <c r="S31" i="19"/>
  <c r="S23" i="19"/>
  <c r="S13" i="19"/>
  <c r="S12" i="19"/>
  <c r="S27" i="19"/>
  <c r="S26" i="19"/>
  <c r="S10" i="19"/>
  <c r="S17" i="19"/>
  <c r="S24" i="19"/>
  <c r="S15" i="19"/>
  <c r="S7" i="19"/>
  <c r="S30" i="19"/>
  <c r="S22" i="19"/>
  <c r="S14" i="19"/>
  <c r="S6" i="19"/>
  <c r="S29" i="19"/>
  <c r="S21" i="19"/>
  <c r="S28" i="19"/>
  <c r="S11" i="19"/>
  <c r="S9" i="19"/>
  <c r="S32" i="19"/>
  <c r="S18" i="19"/>
  <c r="Z6" i="12"/>
  <c r="Z21" i="12"/>
  <c r="Z12" i="12"/>
  <c r="Z36" i="12"/>
  <c r="Z27" i="12"/>
  <c r="Z20" i="12"/>
  <c r="Z10" i="12"/>
  <c r="Z35" i="12"/>
  <c r="Z25" i="12"/>
  <c r="Z19" i="12"/>
  <c r="Z40" i="12"/>
  <c r="Z34" i="12"/>
  <c r="Z8" i="12"/>
  <c r="Z18" i="12"/>
  <c r="Z23" i="12"/>
  <c r="Z29" i="12"/>
  <c r="Z33" i="12"/>
  <c r="Z7" i="12"/>
  <c r="Z28" i="12"/>
  <c r="Z17" i="12"/>
  <c r="Z38" i="12"/>
  <c r="Z11" i="12"/>
  <c r="Z32" i="12"/>
  <c r="Z22" i="12"/>
  <c r="Z26" i="12"/>
  <c r="Z16" i="12"/>
  <c r="Z41" i="12"/>
  <c r="Z31" i="12"/>
  <c r="Z9" i="12"/>
  <c r="Z15" i="12"/>
  <c r="Z24" i="12"/>
  <c r="Z39" i="12"/>
  <c r="Z37" i="12"/>
  <c r="Z30" i="12"/>
  <c r="Z14" i="12"/>
  <c r="Z13" i="12"/>
  <c r="W12" i="10"/>
  <c r="W35" i="10"/>
  <c r="W34" i="10"/>
  <c r="W10" i="10"/>
  <c r="W5" i="10"/>
  <c r="W33" i="10"/>
  <c r="W20" i="10"/>
  <c r="W25" i="10"/>
  <c r="W16" i="10"/>
  <c r="W7" i="10"/>
  <c r="W32" i="10"/>
  <c r="W21" i="10"/>
  <c r="W30" i="10"/>
  <c r="W36" i="10"/>
  <c r="W29" i="10"/>
  <c r="W26" i="10"/>
  <c r="W17" i="10"/>
  <c r="W15" i="10"/>
  <c r="W28" i="10"/>
  <c r="W18" i="10"/>
  <c r="W19" i="10"/>
  <c r="Q5" i="14" a="1"/>
  <c r="Q6" i="14" s="1"/>
  <c r="M10" i="10"/>
  <c r="M16" i="10"/>
  <c r="M33" i="10"/>
  <c r="M27" i="10"/>
  <c r="M23" i="10"/>
  <c r="M11" i="10"/>
  <c r="M35" i="10"/>
  <c r="M36" i="10"/>
  <c r="M29" i="10"/>
  <c r="M30" i="10"/>
  <c r="M12" i="10"/>
  <c r="M20" i="10"/>
  <c r="M31" i="10"/>
  <c r="M18" i="10"/>
  <c r="M13" i="10"/>
  <c r="M19" i="10"/>
  <c r="M34" i="10"/>
  <c r="M25" i="10"/>
  <c r="M6" i="10"/>
  <c r="M7" i="10"/>
  <c r="M32" i="10"/>
  <c r="M8" i="10"/>
  <c r="M15" i="10"/>
  <c r="M14" i="10"/>
  <c r="M28" i="10"/>
  <c r="M21" i="10"/>
  <c r="M26" i="10"/>
  <c r="M17" i="10"/>
  <c r="M24" i="10"/>
  <c r="M5" i="10"/>
  <c r="M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J6" i="9"/>
  <c r="O6" i="9"/>
  <c r="J7" i="9"/>
  <c r="O7" i="9"/>
  <c r="J8" i="9"/>
  <c r="O8" i="9"/>
  <c r="J9" i="9"/>
  <c r="O9" i="9"/>
  <c r="J10" i="9"/>
  <c r="O10" i="9"/>
  <c r="J11" i="9"/>
  <c r="O11" i="9"/>
  <c r="J12" i="9"/>
  <c r="O12" i="9"/>
  <c r="J13" i="9"/>
  <c r="O13" i="9"/>
  <c r="J14" i="9"/>
  <c r="O14" i="9"/>
  <c r="J15" i="9"/>
  <c r="O15" i="9"/>
  <c r="J16" i="9"/>
  <c r="O16" i="9"/>
  <c r="J17" i="9"/>
  <c r="O17" i="9"/>
  <c r="J18" i="9"/>
  <c r="O18" i="9"/>
  <c r="J19" i="9"/>
  <c r="O19" i="9"/>
  <c r="J20" i="9"/>
  <c r="O20" i="9"/>
  <c r="J21" i="9"/>
  <c r="O21" i="9"/>
  <c r="J22" i="9"/>
  <c r="O22" i="9"/>
  <c r="Q17" i="9"/>
  <c r="Q21" i="9"/>
  <c r="Q10" i="9"/>
  <c r="Q16" i="9"/>
  <c r="Q13" i="9"/>
  <c r="Q8" i="9"/>
  <c r="Q22" i="9"/>
  <c r="Q12" i="9"/>
  <c r="Q14" i="9"/>
  <c r="Q7" i="9"/>
  <c r="Q6" i="9"/>
  <c r="Q15" i="9"/>
  <c r="Q18" i="9"/>
  <c r="Q19" i="9"/>
  <c r="Q9" i="9"/>
  <c r="Q11" i="9"/>
  <c r="Q20" i="9"/>
  <c r="R6" i="14"/>
  <c r="Q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E21" i="39"/>
  <c r="E29" i="39"/>
  <c r="E25" i="39"/>
  <c r="E7" i="39"/>
  <c r="E10" i="39"/>
  <c r="E20" i="39"/>
  <c r="E16" i="39"/>
  <c r="E13" i="39"/>
  <c r="E6" i="39"/>
  <c r="E22" i="39"/>
  <c r="E12" i="39"/>
  <c r="R5" i="14"/>
  <c r="E28" i="39"/>
  <c r="E23" i="39"/>
  <c r="E26" i="39"/>
  <c r="E8" i="39"/>
  <c r="E9" i="39"/>
  <c r="E17" i="39"/>
  <c r="E27" i="39"/>
  <c r="E11" i="39"/>
  <c r="E24" i="39"/>
  <c r="E5" i="39"/>
  <c r="K5" i="36" l="1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26" i="39"/>
  <c r="F27" i="39"/>
  <c r="F13" i="39"/>
  <c r="L12" i="36"/>
  <c r="R3" i="14"/>
  <c r="F16" i="39"/>
  <c r="F6" i="39"/>
  <c r="L13" i="36"/>
  <c r="F9" i="39"/>
  <c r="F25" i="39"/>
  <c r="F10" i="39"/>
  <c r="F20" i="39"/>
  <c r="F17" i="39"/>
  <c r="F24" i="39"/>
  <c r="L6" i="36"/>
  <c r="F21" i="39"/>
  <c r="F29" i="39"/>
  <c r="F12" i="39"/>
  <c r="F23" i="39"/>
  <c r="F11" i="39"/>
  <c r="L9" i="36"/>
  <c r="F22" i="39"/>
  <c r="F8" i="39"/>
  <c r="F7" i="39"/>
  <c r="F28" i="39"/>
  <c r="L14" i="36"/>
  <c r="L11" i="36"/>
  <c r="M11" i="36" s="1"/>
  <c r="L10" i="36"/>
  <c r="E19" i="39"/>
  <c r="E15" i="39"/>
  <c r="F5" i="39"/>
  <c r="D15" i="36" l="1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M13" i="36"/>
  <c r="L16" i="36"/>
  <c r="M9" i="36"/>
  <c r="N13" i="36"/>
  <c r="M6" i="36"/>
  <c r="M16" i="36"/>
  <c r="N14" i="36"/>
  <c r="N6" i="36"/>
  <c r="L22" i="36"/>
  <c r="N11" i="36"/>
  <c r="N16" i="36"/>
  <c r="N9" i="36"/>
  <c r="M10" i="36"/>
  <c r="L21" i="36"/>
  <c r="N21" i="36" s="1"/>
  <c r="M21" i="36"/>
  <c r="L18" i="36"/>
  <c r="L20" i="36"/>
  <c r="N20" i="36" s="1"/>
  <c r="N12" i="36"/>
  <c r="N10" i="36"/>
  <c r="M12" i="36"/>
  <c r="M14" i="36"/>
  <c r="M22" i="36"/>
  <c r="L15" i="36"/>
  <c r="L17" i="36"/>
  <c r="M20" i="36"/>
  <c r="M18" i="36"/>
  <c r="M17" i="36"/>
  <c r="L23" i="36"/>
  <c r="L19" i="36"/>
  <c r="N19" i="36" s="1"/>
  <c r="M19" i="36"/>
  <c r="F19" i="39"/>
  <c r="F15" i="39"/>
  <c r="N15" i="36"/>
  <c r="M15" i="36"/>
  <c r="M23" i="36"/>
  <c r="E4" i="19" l="1"/>
  <c r="E5" i="19"/>
  <c r="N23" i="36"/>
  <c r="N17" i="36"/>
  <c r="N22" i="36"/>
  <c r="N18" i="36"/>
  <c r="F5" i="19"/>
  <c r="G5" i="19"/>
  <c r="L5" i="36"/>
  <c r="E6" i="19" l="1"/>
  <c r="F6" i="19"/>
  <c r="AD6" i="19"/>
  <c r="AD5" i="19"/>
  <c r="N5" i="36"/>
  <c r="E7" i="19" l="1"/>
  <c r="G6" i="19"/>
  <c r="F7" i="19"/>
  <c r="G7" i="19" s="1"/>
  <c r="E8" i="19" l="1"/>
  <c r="AD7" i="19"/>
  <c r="F8" i="19"/>
  <c r="F9" i="19"/>
  <c r="G8" i="19"/>
  <c r="E9" i="19" l="1"/>
  <c r="AD8" i="19"/>
  <c r="AD9" i="19"/>
  <c r="G9" i="19"/>
  <c r="E10" i="19" l="1"/>
  <c r="F10" i="19"/>
  <c r="G10" i="19"/>
  <c r="E11" i="19" l="1"/>
  <c r="F11" i="19"/>
  <c r="AD10" i="19"/>
  <c r="E12" i="19" l="1"/>
  <c r="G11" i="19"/>
  <c r="AD11" i="19"/>
  <c r="F12" i="19"/>
  <c r="AD12" i="19"/>
  <c r="E13" i="19" l="1"/>
  <c r="G12" i="19"/>
  <c r="F13" i="19"/>
  <c r="G13" i="19" s="1"/>
  <c r="E14" i="19" l="1"/>
  <c r="AD13" i="19"/>
  <c r="F14" i="19"/>
  <c r="G14" i="19" s="1"/>
  <c r="E15" i="19" l="1"/>
  <c r="AD14" i="19"/>
  <c r="F15" i="19"/>
  <c r="G15" i="19" s="1"/>
  <c r="E16" i="19" l="1"/>
  <c r="F17" i="19"/>
  <c r="AD15" i="19"/>
  <c r="F16" i="19"/>
  <c r="G17" i="19"/>
  <c r="E17" i="19" l="1"/>
  <c r="AD17" i="19"/>
  <c r="AD16" i="19"/>
  <c r="G16" i="19"/>
  <c r="E18" i="19" l="1"/>
  <c r="E19" i="19"/>
  <c r="F18" i="19"/>
  <c r="G18" i="19" s="1"/>
  <c r="F21" i="19"/>
  <c r="F19" i="19"/>
  <c r="G19" i="19" s="1"/>
  <c r="E20" i="19" l="1"/>
  <c r="E21" i="19"/>
  <c r="F20" i="19"/>
  <c r="AD18" i="19"/>
  <c r="AD21" i="19"/>
  <c r="G21" i="19"/>
  <c r="AD19" i="19"/>
  <c r="F22" i="19"/>
  <c r="E22" i="19" l="1"/>
  <c r="AD22" i="19"/>
  <c r="G22" i="19"/>
  <c r="G20" i="19"/>
  <c r="AD20" i="19"/>
  <c r="F23" i="19"/>
  <c r="E23" i="19" l="1"/>
  <c r="E25" i="19"/>
  <c r="E24" i="19"/>
  <c r="E26" i="19"/>
  <c r="AD23" i="19"/>
  <c r="F25" i="19"/>
  <c r="F26" i="19"/>
  <c r="F24" i="19"/>
  <c r="F28" i="19"/>
  <c r="E27" i="19" l="1"/>
  <c r="E28" i="19"/>
  <c r="F27" i="19"/>
  <c r="G23" i="19"/>
  <c r="AD24" i="19"/>
  <c r="G25" i="19"/>
  <c r="F29" i="19"/>
  <c r="AD28" i="19"/>
  <c r="AD26" i="19"/>
  <c r="AD27" i="19"/>
  <c r="AD25" i="19"/>
  <c r="G24" i="19"/>
  <c r="G26" i="19"/>
  <c r="G28" i="19"/>
  <c r="E29" i="19" l="1"/>
  <c r="G27" i="19"/>
  <c r="G29" i="19"/>
  <c r="AD29" i="19"/>
  <c r="F30" i="19"/>
  <c r="E30" i="19" l="1"/>
  <c r="G30" i="19"/>
  <c r="AD30" i="19"/>
  <c r="F31" i="19"/>
  <c r="E31" i="19" l="1"/>
  <c r="AD31" i="19"/>
  <c r="G31" i="19"/>
  <c r="F32" i="19"/>
  <c r="E32" i="19" l="1"/>
  <c r="AD32" i="19"/>
  <c r="G32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1" i="17"/>
  <c r="G15" i="16"/>
  <c r="G17" i="16"/>
  <c r="F22" i="16"/>
  <c r="G5" i="16"/>
  <c r="G15" i="17"/>
  <c r="G13" i="17"/>
  <c r="G6" i="17"/>
  <c r="G6" i="16"/>
  <c r="G9" i="17"/>
  <c r="F20" i="16"/>
  <c r="G12" i="16"/>
  <c r="G14" i="16"/>
  <c r="G16" i="16"/>
  <c r="G19" i="16"/>
  <c r="G12" i="17"/>
  <c r="G10" i="17"/>
  <c r="G9" i="16"/>
  <c r="G7" i="17"/>
  <c r="G5" i="17"/>
  <c r="G18" i="16"/>
  <c r="G11" i="16"/>
  <c r="G10" i="16"/>
  <c r="F21" i="16"/>
  <c r="G13" i="16"/>
  <c r="F23" i="16"/>
  <c r="G14" i="17"/>
  <c r="G8" i="17"/>
  <c r="G7" i="16"/>
  <c r="G8" i="16"/>
  <c r="F4" i="17"/>
  <c r="B4" i="14" l="1"/>
  <c r="B5" i="14"/>
  <c r="G20" i="16"/>
  <c r="C5" i="14"/>
  <c r="G23" i="16"/>
  <c r="G22" i="16"/>
  <c r="G21" i="16"/>
  <c r="F4" i="19"/>
  <c r="G4" i="17"/>
  <c r="B6" i="14" l="1"/>
  <c r="E5" i="12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E30" i="10"/>
  <c r="E37" i="10"/>
  <c r="D8" i="9"/>
  <c r="E23" i="10"/>
  <c r="E10" i="10"/>
  <c r="D5" i="9"/>
  <c r="E32" i="10"/>
  <c r="E36" i="10"/>
  <c r="F36" i="10" s="1"/>
  <c r="C6" i="14"/>
  <c r="E38" i="10"/>
  <c r="E27" i="10"/>
  <c r="E25" i="10"/>
  <c r="D5" i="14"/>
  <c r="E24" i="10"/>
  <c r="E8" i="10"/>
  <c r="D22" i="9"/>
  <c r="X27" i="10"/>
  <c r="D12" i="9"/>
  <c r="E5" i="10"/>
  <c r="F32" i="10"/>
  <c r="E34" i="10"/>
  <c r="E31" i="10"/>
  <c r="D19" i="9"/>
  <c r="F31" i="10"/>
  <c r="D11" i="9"/>
  <c r="E3" i="10"/>
  <c r="E16" i="10"/>
  <c r="E14" i="10"/>
  <c r="D9" i="9"/>
  <c r="D14" i="9"/>
  <c r="E9" i="10"/>
  <c r="E35" i="10"/>
  <c r="E26" i="10"/>
  <c r="X26" i="10" s="1"/>
  <c r="D7" i="9"/>
  <c r="E12" i="10"/>
  <c r="X25" i="10"/>
  <c r="D17" i="9"/>
  <c r="E22" i="10"/>
  <c r="D13" i="9"/>
  <c r="E29" i="10"/>
  <c r="E17" i="10"/>
  <c r="E13" i="10"/>
  <c r="E18" i="10"/>
  <c r="E20" i="10"/>
  <c r="E15" i="10"/>
  <c r="E33" i="10"/>
  <c r="F33" i="10" s="1"/>
  <c r="D21" i="9"/>
  <c r="E19" i="10"/>
  <c r="D15" i="9"/>
  <c r="E4" i="10"/>
  <c r="E6" i="10"/>
  <c r="F30" i="10"/>
  <c r="D16" i="9"/>
  <c r="E11" i="10"/>
  <c r="F17" i="10"/>
  <c r="F27" i="10"/>
  <c r="E7" i="10"/>
  <c r="E28" i="10"/>
  <c r="D18" i="9"/>
  <c r="X24" i="10"/>
  <c r="E21" i="10"/>
  <c r="F38" i="10"/>
  <c r="D6" i="9"/>
  <c r="D20" i="9"/>
  <c r="D10" i="9"/>
  <c r="G4" i="19"/>
  <c r="C4" i="14"/>
  <c r="X16" i="10"/>
  <c r="E13" i="12" l="1"/>
  <c r="E21" i="12"/>
  <c r="E29" i="12"/>
  <c r="E37" i="12"/>
  <c r="E8" i="12"/>
  <c r="E16" i="12"/>
  <c r="E24" i="12"/>
  <c r="E32" i="12"/>
  <c r="E40" i="12"/>
  <c r="E11" i="12"/>
  <c r="E19" i="12"/>
  <c r="E27" i="12"/>
  <c r="E35" i="12"/>
  <c r="E6" i="12"/>
  <c r="E18" i="12"/>
  <c r="E31" i="12"/>
  <c r="E17" i="12"/>
  <c r="E30" i="12"/>
  <c r="E10" i="12"/>
  <c r="E23" i="12"/>
  <c r="E36" i="12"/>
  <c r="E7" i="12"/>
  <c r="E33" i="12"/>
  <c r="E38" i="12"/>
  <c r="E15" i="12"/>
  <c r="E28" i="12"/>
  <c r="E41" i="12"/>
  <c r="E20" i="12"/>
  <c r="E12" i="12"/>
  <c r="E25" i="12"/>
  <c r="E34" i="12"/>
  <c r="E26" i="12"/>
  <c r="E22" i="12"/>
  <c r="E39" i="12"/>
  <c r="E9" i="12"/>
  <c r="E14" i="12"/>
  <c r="E10" i="9"/>
  <c r="E8" i="9"/>
  <c r="F7" i="10"/>
  <c r="F38" i="12"/>
  <c r="F11" i="10"/>
  <c r="E13" i="9"/>
  <c r="F34" i="12"/>
  <c r="E22" i="9"/>
  <c r="G38" i="12"/>
  <c r="F25" i="10"/>
  <c r="X21" i="10"/>
  <c r="F8" i="12"/>
  <c r="X31" i="10"/>
  <c r="X20" i="10"/>
  <c r="F11" i="12"/>
  <c r="E20" i="9"/>
  <c r="E7" i="9"/>
  <c r="E17" i="9"/>
  <c r="F28" i="12"/>
  <c r="G28" i="12" s="1"/>
  <c r="X9" i="10"/>
  <c r="E11" i="9"/>
  <c r="F7" i="12"/>
  <c r="E14" i="9"/>
  <c r="G8" i="12"/>
  <c r="X8" i="10"/>
  <c r="F32" i="12"/>
  <c r="E12" i="9"/>
  <c r="F18" i="10"/>
  <c r="F29" i="12"/>
  <c r="X28" i="10"/>
  <c r="F23" i="10"/>
  <c r="F13" i="12"/>
  <c r="E19" i="9"/>
  <c r="G7" i="12"/>
  <c r="F12" i="10"/>
  <c r="F4" i="10"/>
  <c r="X23" i="10"/>
  <c r="F29" i="10"/>
  <c r="G34" i="12"/>
  <c r="F5" i="10"/>
  <c r="F21" i="12"/>
  <c r="F25" i="12"/>
  <c r="X7" i="10"/>
  <c r="F8" i="10"/>
  <c r="F20" i="10"/>
  <c r="F10" i="12"/>
  <c r="G10" i="12" s="1"/>
  <c r="G29" i="12"/>
  <c r="E16" i="9"/>
  <c r="F40" i="12"/>
  <c r="F34" i="10"/>
  <c r="E15" i="9"/>
  <c r="E21" i="9"/>
  <c r="X19" i="10"/>
  <c r="E18" i="9"/>
  <c r="X11" i="10"/>
  <c r="F12" i="12"/>
  <c r="G12" i="12" s="1"/>
  <c r="F9" i="10"/>
  <c r="X36" i="10"/>
  <c r="X17" i="10"/>
  <c r="F6" i="12"/>
  <c r="G32" i="12"/>
  <c r="F3" i="10"/>
  <c r="F35" i="10"/>
  <c r="G13" i="12"/>
  <c r="F9" i="12"/>
  <c r="G9" i="12" s="1"/>
  <c r="F37" i="12"/>
  <c r="X32" i="10"/>
  <c r="X10" i="10"/>
  <c r="X6" i="10"/>
  <c r="F26" i="12"/>
  <c r="G26" i="12" s="1"/>
  <c r="F26" i="10"/>
  <c r="F19" i="12"/>
  <c r="F18" i="12"/>
  <c r="G18" i="12" s="1"/>
  <c r="F41" i="12"/>
  <c r="G41" i="12" s="1"/>
  <c r="G19" i="12"/>
  <c r="G40" i="12"/>
  <c r="X15" i="10"/>
  <c r="F37" i="10"/>
  <c r="F14" i="12"/>
  <c r="F36" i="12"/>
  <c r="G36" i="12" s="1"/>
  <c r="G11" i="12"/>
  <c r="X12" i="10"/>
  <c r="G21" i="12"/>
  <c r="F22" i="10"/>
  <c r="G14" i="12"/>
  <c r="F16" i="12"/>
  <c r="G16" i="12" s="1"/>
  <c r="X5" i="10"/>
  <c r="E5" i="9"/>
  <c r="F30" i="12"/>
  <c r="G30" i="12" s="1"/>
  <c r="X13" i="10"/>
  <c r="F24" i="10"/>
  <c r="F24" i="12"/>
  <c r="G24" i="12" s="1"/>
  <c r="D6" i="14"/>
  <c r="F33" i="12"/>
  <c r="G33" i="12" s="1"/>
  <c r="F22" i="12"/>
  <c r="G22" i="12" s="1"/>
  <c r="X35" i="10"/>
  <c r="X33" i="10"/>
  <c r="E6" i="9"/>
  <c r="X29" i="10"/>
  <c r="F14" i="10"/>
  <c r="X14" i="10"/>
  <c r="F15" i="12"/>
  <c r="G15" i="12" s="1"/>
  <c r="X22" i="10"/>
  <c r="F20" i="12"/>
  <c r="G20" i="12" s="1"/>
  <c r="F15" i="10"/>
  <c r="E9" i="9"/>
  <c r="F28" i="10"/>
  <c r="G6" i="12"/>
  <c r="G37" i="12"/>
  <c r="F16" i="10"/>
  <c r="F39" i="12"/>
  <c r="G39" i="12" s="1"/>
  <c r="F13" i="10"/>
  <c r="F6" i="10"/>
  <c r="F35" i="12"/>
  <c r="G35" i="12" s="1"/>
  <c r="F17" i="12"/>
  <c r="G17" i="12" s="1"/>
  <c r="F21" i="10"/>
  <c r="G25" i="12"/>
  <c r="X34" i="10"/>
  <c r="F31" i="12"/>
  <c r="G31" i="12" s="1"/>
  <c r="F23" i="12"/>
  <c r="G23" i="12" s="1"/>
  <c r="X30" i="10"/>
  <c r="F19" i="10"/>
  <c r="F10" i="10"/>
  <c r="X18" i="10"/>
  <c r="F27" i="12"/>
  <c r="G27" i="12" s="1"/>
  <c r="D4" i="14"/>
  <c r="D4" i="9"/>
  <c r="E2" i="10"/>
  <c r="E4" i="9"/>
  <c r="F4" i="16"/>
  <c r="F2" i="10"/>
  <c r="G4" i="16"/>
  <c r="C5" i="6" l="1"/>
  <c r="D5" i="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F8" i="6"/>
  <c r="G7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G10" i="6"/>
  <c r="F11" i="6"/>
  <c r="E12" i="6" l="1"/>
  <c r="C13" i="6"/>
  <c r="D13" i="6"/>
  <c r="G11" i="6"/>
  <c r="F12" i="6"/>
  <c r="E13" i="6" l="1"/>
  <c r="C14" i="6"/>
  <c r="D14" i="6"/>
  <c r="G12" i="6"/>
  <c r="F13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G15" i="6"/>
  <c r="F16" i="6"/>
  <c r="E17" i="6" l="1"/>
  <c r="C18" i="6"/>
  <c r="D18" i="6"/>
  <c r="G16" i="6"/>
  <c r="F17" i="6"/>
  <c r="E18" i="6" l="1"/>
  <c r="C19" i="6"/>
  <c r="D19" i="6"/>
  <c r="F18" i="6"/>
  <c r="G17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G21" i="6"/>
  <c r="F22" i="6"/>
  <c r="E23" i="6" l="1"/>
  <c r="C24" i="6"/>
  <c r="D24" i="6"/>
  <c r="F23" i="6"/>
  <c r="G22" i="6"/>
  <c r="E24" i="6" l="1"/>
  <c r="C25" i="6"/>
  <c r="D25" i="6"/>
  <c r="G23" i="6"/>
  <c r="F24" i="6"/>
  <c r="E25" i="6" l="1"/>
  <c r="C26" i="6"/>
  <c r="D26" i="6"/>
  <c r="G24" i="6"/>
  <c r="F25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F31" i="6"/>
  <c r="G30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G34" i="6"/>
  <c r="F35" i="6"/>
  <c r="E36" i="6" l="1"/>
  <c r="C37" i="6"/>
  <c r="D37" i="6"/>
  <c r="F36" i="6"/>
  <c r="G35" i="6"/>
  <c r="E37" i="6" l="1"/>
  <c r="C38" i="6"/>
  <c r="D38" i="6"/>
  <c r="F37" i="6"/>
  <c r="G36" i="6"/>
  <c r="E38" i="6" l="1"/>
  <c r="C39" i="6"/>
  <c r="D39" i="6"/>
  <c r="G37" i="6"/>
  <c r="F38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G5" i="5"/>
  <c r="F6" i="5"/>
  <c r="E7" i="5" l="1"/>
  <c r="C8" i="5"/>
  <c r="D8" i="5"/>
  <c r="F7" i="5"/>
  <c r="G6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F15" i="5"/>
  <c r="G14" i="5"/>
  <c r="E16" i="5" l="1"/>
  <c r="C17" i="5"/>
  <c r="D17" i="5"/>
  <c r="G15" i="5"/>
  <c r="F16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G26" i="5"/>
  <c r="F27" i="5"/>
  <c r="E28" i="5" l="1"/>
  <c r="C29" i="5"/>
  <c r="D29" i="5"/>
  <c r="F28" i="5"/>
  <c r="G27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G33" i="5"/>
  <c r="F34" i="5"/>
  <c r="E35" i="5" l="1"/>
  <c r="C36" i="5"/>
  <c r="D36" i="5"/>
  <c r="F35" i="5"/>
  <c r="G34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G37" i="5"/>
  <c r="F38" i="5"/>
  <c r="E39" i="5" l="1"/>
  <c r="C40" i="5"/>
  <c r="D40" i="5"/>
  <c r="G38" i="5"/>
  <c r="F39" i="5"/>
  <c r="E40" i="5" l="1"/>
  <c r="C41" i="5"/>
  <c r="D41" i="5"/>
  <c r="F40" i="5"/>
  <c r="G39" i="5"/>
  <c r="E41" i="5" l="1"/>
  <c r="C42" i="5"/>
  <c r="D42" i="5"/>
  <c r="F41" i="5"/>
  <c r="G40" i="5"/>
  <c r="E42" i="5" l="1"/>
  <c r="F42" i="5"/>
  <c r="X3" i="10"/>
  <c r="S3" i="6"/>
  <c r="AD3" i="19"/>
  <c r="Z3" i="17"/>
  <c r="Z3" i="16"/>
  <c r="G42" i="5"/>
  <c r="G41" i="5"/>
  <c r="S3" i="5"/>
  <c r="Q3" i="9"/>
  <c r="X5" i="5" a="1"/>
  <c r="X5" i="6" a="1"/>
  <c r="F5" i="12"/>
  <c r="G5" i="12" s="1"/>
  <c r="S4" i="6"/>
  <c r="S4" i="19"/>
  <c r="J4" i="9"/>
  <c r="O4" i="16"/>
  <c r="S4" i="5"/>
  <c r="O4" i="17"/>
  <c r="F4" i="6"/>
  <c r="G4" i="6" s="1"/>
  <c r="M4" i="10"/>
  <c r="F4" i="5"/>
  <c r="G4" i="5" s="1"/>
  <c r="X36" i="6" l="1"/>
  <c r="X32" i="6"/>
  <c r="X9" i="6"/>
  <c r="X5" i="6"/>
  <c r="X6" i="6"/>
  <c r="X7" i="6"/>
  <c r="X40" i="6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Y41" i="6"/>
  <c r="AA14" i="12"/>
  <c r="AA17" i="12"/>
  <c r="AA33" i="12"/>
  <c r="AA31" i="12"/>
  <c r="AA28" i="12"/>
  <c r="AA40" i="12"/>
  <c r="AA18" i="12"/>
  <c r="AA11" i="12"/>
  <c r="AA37" i="12"/>
  <c r="AA35" i="12"/>
  <c r="AA9" i="12"/>
  <c r="AA26" i="12"/>
  <c r="AA8" i="12"/>
  <c r="AA23" i="12"/>
  <c r="AA10" i="12"/>
  <c r="AA29" i="12"/>
  <c r="AA16" i="12"/>
  <c r="AA20" i="12"/>
  <c r="AA32" i="12"/>
  <c r="AA21" i="12"/>
  <c r="AA30" i="12"/>
  <c r="AA41" i="12"/>
  <c r="AA12" i="12"/>
  <c r="AA7" i="12"/>
  <c r="AA22" i="12"/>
  <c r="AA38" i="12"/>
  <c r="AA25" i="12"/>
  <c r="AA27" i="12"/>
  <c r="AA6" i="12"/>
  <c r="AA19" i="12"/>
  <c r="AA13" i="12"/>
  <c r="AA15" i="12"/>
  <c r="AA39" i="12"/>
  <c r="AA34" i="12"/>
  <c r="AA36" i="12"/>
  <c r="AA24" i="12"/>
  <c r="AC5" i="5" l="1" a="1"/>
  <c r="AC42" i="5" s="1"/>
  <c r="Y40" i="6"/>
  <c r="Y42" i="6" s="1"/>
  <c r="X42" i="6" s="1"/>
  <c r="AD42" i="5"/>
  <c r="AC17" i="5" l="1"/>
  <c r="AC21" i="5"/>
  <c r="AC23" i="5"/>
  <c r="AC28" i="5"/>
  <c r="AC11" i="5"/>
  <c r="AC5" i="5"/>
  <c r="AC15" i="5"/>
  <c r="AC10" i="5"/>
  <c r="AC31" i="5"/>
  <c r="AC37" i="5"/>
  <c r="AC20" i="5"/>
  <c r="AC22" i="5"/>
  <c r="AC14" i="5"/>
  <c r="AC39" i="5"/>
  <c r="AC27" i="5"/>
  <c r="AC35" i="5"/>
  <c r="AC18" i="5"/>
  <c r="AC7" i="5"/>
  <c r="AC33" i="5"/>
  <c r="AC34" i="5"/>
  <c r="AC13" i="5"/>
  <c r="AC30" i="5"/>
  <c r="AC41" i="5"/>
  <c r="AC16" i="5"/>
  <c r="AC36" i="5"/>
  <c r="AC12" i="5"/>
  <c r="AC40" i="5"/>
  <c r="AC38" i="5"/>
  <c r="AC25" i="5"/>
  <c r="AC9" i="5"/>
  <c r="AC24" i="5"/>
  <c r="AC26" i="5"/>
  <c r="AC6" i="5"/>
  <c r="AC29" i="5"/>
  <c r="AC32" i="5"/>
  <c r="AC5" i="6" a="1"/>
  <c r="AC19" i="5"/>
  <c r="AC8" i="5"/>
  <c r="AA4" i="12"/>
  <c r="AD18" i="5"/>
  <c r="AD23" i="5"/>
  <c r="AD21" i="5"/>
  <c r="AD7" i="5"/>
  <c r="AD5" i="5"/>
  <c r="AD33" i="5"/>
  <c r="AD17" i="5"/>
  <c r="AD28" i="5"/>
  <c r="AD32" i="5"/>
  <c r="AD11" i="5"/>
  <c r="AD30" i="5"/>
  <c r="AD16" i="5"/>
  <c r="AD6" i="5"/>
  <c r="AD12" i="5"/>
  <c r="AD40" i="5"/>
  <c r="AD13" i="5"/>
  <c r="AD37" i="5"/>
  <c r="AD19" i="5"/>
  <c r="AD8" i="5"/>
  <c r="AD34" i="5"/>
  <c r="AD29" i="5"/>
  <c r="AD15" i="5"/>
  <c r="AD10" i="5"/>
  <c r="AD31" i="5"/>
  <c r="AD38" i="5"/>
  <c r="AD39" i="5"/>
  <c r="AD9" i="5"/>
  <c r="AD35" i="5"/>
  <c r="AD41" i="5"/>
  <c r="AD36" i="5"/>
  <c r="AD25" i="5"/>
  <c r="AD24" i="5"/>
  <c r="AD14" i="5"/>
  <c r="AD20" i="5"/>
  <c r="AD26" i="5"/>
  <c r="AD22" i="5"/>
  <c r="AD27" i="5"/>
  <c r="O5" i="12"/>
  <c r="T5" i="36"/>
  <c r="AC16" i="6" l="1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D3" i="5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5" i="6"/>
  <c r="AD11" i="6"/>
  <c r="AD28" i="6"/>
  <c r="AD31" i="6"/>
  <c r="AD24" i="6"/>
  <c r="AD33" i="6"/>
  <c r="AD22" i="6"/>
  <c r="AD9" i="6"/>
  <c r="AD23" i="6"/>
  <c r="AD20" i="6"/>
  <c r="AD10" i="6"/>
  <c r="AD8" i="6"/>
  <c r="AD40" i="6"/>
  <c r="AD12" i="6"/>
  <c r="AD16" i="6"/>
  <c r="AD26" i="6"/>
  <c r="AD7" i="6"/>
  <c r="AD30" i="6"/>
  <c r="AD38" i="6"/>
  <c r="AD17" i="6"/>
  <c r="AD34" i="6"/>
  <c r="AD42" i="6"/>
  <c r="AD39" i="6"/>
  <c r="AD35" i="6"/>
  <c r="AD36" i="6"/>
  <c r="AD29" i="6"/>
  <c r="AD13" i="6"/>
  <c r="AD6" i="6"/>
  <c r="AD32" i="6"/>
  <c r="AD18" i="6"/>
  <c r="AD14" i="6"/>
  <c r="AD41" i="6"/>
  <c r="AD15" i="6"/>
  <c r="AD21" i="6"/>
  <c r="AD19" i="6"/>
  <c r="AD37" i="6"/>
  <c r="AD27" i="6"/>
  <c r="AD25" i="6"/>
  <c r="AD3" i="6"/>
  <c r="D5" i="40"/>
</calcChain>
</file>

<file path=xl/sharedStrings.xml><?xml version="1.0" encoding="utf-8"?>
<sst xmlns="http://schemas.openxmlformats.org/spreadsheetml/2006/main" count="1410" uniqueCount="260">
  <si>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</si>
  <si>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</si>
  <si>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</si>
  <si>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</si>
  <si>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</si>
  <si>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</si>
  <si>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</si>
  <si>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</si>
  <si>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</si>
  <si>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</si>
  <si>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</si>
  <si>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</si>
  <si>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</si>
  <si>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</si>
  <si>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</si>
  <si>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</si>
  <si>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</si>
  <si>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</si>
  <si>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</si>
  <si>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</si>
  <si>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</si>
  <si>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</si>
  <si>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</si>
  <si>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</si>
  <si>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</si>
  <si>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</si>
  <si>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</si>
  <si>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</si>
  <si>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</si>
  <si>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</si>
  <si>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</si>
  <si>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</si>
  <si>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</si>
  <si>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</si>
  <si>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</si>
  <si>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</si>
  <si>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</si>
  <si>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</si>
  <si>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</si>
  <si>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</si>
  <si>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</si>
  <si>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</si>
  <si>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</si>
  <si>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</si>
  <si>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</si>
  <si>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</si>
  <si>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</si>
  <si>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</si>
  <si>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</si>
  <si>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</si>
  <si>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</si>
  <si>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</si>
  <si>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</si>
  <si>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</si>
  <si>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</si>
  <si>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</si>
  <si>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</si>
  <si>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</si>
  <si>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</si>
  <si>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</si>
  <si>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</si>
  <si>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</si>
  <si>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</si>
  <si>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</si>
  <si>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</si>
  <si>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</si>
  <si>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</si>
  <si>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</si>
  <si>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</si>
  <si>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</si>
  <si>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</si>
  <si>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</si>
  <si>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</si>
  <si>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</si>
  <si>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</si>
  <si>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</si>
  <si>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</si>
  <si>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</si>
  <si>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</si>
  <si>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</si>
  <si>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</si>
  <si>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</si>
  <si>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</si>
  <si>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</si>
  <si>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</si>
  <si>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</si>
  <si>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</si>
  <si>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</si>
  <si>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</si>
  <si>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</si>
  <si>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</si>
  <si>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</si>
  <si>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</si>
  <si>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</si>
  <si>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</si>
  <si>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</si>
  <si>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</si>
  <si>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</si>
  <si>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</si>
  <si>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</si>
  <si>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</si>
  <si>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</si>
  <si>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</si>
  <si>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</si>
  <si>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</si>
  <si>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</si>
  <si>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</si>
  <si>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</si>
  <si>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</si>
  <si>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</si>
  <si>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</si>
  <si>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</si>
  <si>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</si>
  <si>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</si>
  <si>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</si>
  <si>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</si>
  <si>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</si>
  <si>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</si>
  <si>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</si>
  <si>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</si>
  <si>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</si>
  <si>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</si>
  <si>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</si>
  <si>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</si>
  <si>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</si>
  <si>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</si>
  <si>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</si>
  <si>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Conventions</t>
  </si>
  <si>
    <t>Set</t>
  </si>
  <si>
    <t>Main</t>
  </si>
  <si>
    <t>TOY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</si>
  <si>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</si>
  <si>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</si>
  <si>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</si>
  <si>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</si>
  <si>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</si>
  <si>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</si>
  <si>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</si>
  <si>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</si>
  <si>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</si>
  <si>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</si>
  <si>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</si>
  <si>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</si>
  <si>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</si>
  <si>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</si>
  <si>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</si>
  <si>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</si>
  <si>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</si>
  <si>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</si>
  <si>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</si>
  <si>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</si>
  <si>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</si>
  <si>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</si>
  <si>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</si>
  <si>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</si>
  <si>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</si>
  <si>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</si>
  <si>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</si>
  <si>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</si>
  <si>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</si>
  <si>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</si>
  <si>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</si>
  <si>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</si>
  <si>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</si>
  <si>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</si>
  <si>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</si>
  <si>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</si>
  <si>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</si>
  <si>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</si>
  <si>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</si>
  <si>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</si>
  <si>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</si>
  <si>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</si>
  <si>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</si>
  <si>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</si>
  <si>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</si>
  <si>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</si>
  <si>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</si>
  <si>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</si>
  <si>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</si>
  <si>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</si>
  <si>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</si>
  <si>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</si>
  <si>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</si>
  <si>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</si>
  <si>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</si>
  <si>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</si>
  <si>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</si>
  <si>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</si>
  <si>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</si>
  <si>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</si>
  <si>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</si>
  <si>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</si>
  <si>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</si>
  <si>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</si>
  <si>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</si>
  <si>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</si>
  <si>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</si>
  <si>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</si>
  <si>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</si>
  <si>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</si>
  <si>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</si>
  <si>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</si>
  <si>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</si>
  <si>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</si>
  <si>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</si>
  <si>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</si>
  <si>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</si>
  <si>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</si>
  <si>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</si>
  <si>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</si>
  <si>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</si>
  <si>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</si>
  <si>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</si>
  <si>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CODES</t>
  </si>
  <si>
    <t>LIFFE</t>
  </si>
  <si>
    <t>EXPIRE DATE</t>
  </si>
  <si>
    <t>Effective Date</t>
  </si>
  <si>
    <t>ED</t>
  </si>
  <si>
    <t>HIR</t>
  </si>
  <si>
    <t>FSS</t>
  </si>
  <si>
    <t>FEI</t>
  </si>
  <si>
    <t>FES</t>
  </si>
  <si>
    <t>FUT3M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</si>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</sst>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6" formatCode="ddd\,\ dd\-mmm\-yyyy\,\ h:mm:ss"/>
    <numFmt numFmtId="177" formatCode="ddd\,\ dd\-mmm\-yyyy\,\ hh:mm:ss"/>
    <numFmt numFmtId="178" formatCode="ddd\,\ dd\-mmm\-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52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73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0" fontId="21" fillId="3" borderId="14" xfId="2" quotePrefix="1" applyNumberFormat="1" applyFont="1" applyFill="1" applyBorder="1" applyAlignment="1">
      <alignment horizontal="center"/>
    </xf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6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7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6" fillId="3" borderId="0" xfId="10" applyNumberFormat="1" applyFont="1" applyFill="1"/>
    <xf numFmtId="0" fontId="26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6" fillId="2" borderId="2" xfId="10" applyNumberFormat="1" applyFont="1" applyFill="1" applyBorder="1"/>
    <xf numFmtId="0" fontId="26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8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8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8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7" fillId="2" borderId="18" xfId="0" applyFont="1" applyFill="1" applyBorder="1"/>
    <xf numFmtId="0" fontId="26" fillId="2" borderId="18" xfId="0" applyFont="1" applyFill="1" applyBorder="1"/>
    <xf numFmtId="0" fontId="26" fillId="2" borderId="18" xfId="0" applyFont="1" applyFill="1" applyBorder="1" applyAlignment="1">
      <alignment horizontal="left"/>
    </xf>
    <xf numFmtId="0" fontId="27" fillId="2" borderId="18" xfId="0" applyFont="1" applyFill="1" applyBorder="1" applyAlignment="1">
      <alignment horizontal="center"/>
    </xf>
    <xf numFmtId="0" fontId="0" fillId="2" borderId="19" xfId="0" applyFill="1" applyBorder="1"/>
    <xf numFmtId="0" fontId="26" fillId="3" borderId="0" xfId="0" applyFont="1" applyFill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On Pause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12"/>
      </tp>
    </main>
    <main first="pldatasource.rdatartdserver">
      <tp t="s">
        <v>On Pause</v>
        <stp/>
        <stp>{27E5CB1B-16BD-4D75-AAD1-5F2A32B69B7E}</stp>
        <tr r="S4" s="19"/>
      </tp>
    </main>
    <main first="pldatasource.rtgetrtdserver">
      <tp t="s">
        <v>#N/A On Pause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0" s="10"/>
      </tp>
    </main>
    <main first="pldatasource.rdatartdserver">
      <tp t="s">
        <v>On Pause</v>
        <stp/>
        <stp>{07903D1E-4CF0-4073-8CF9-52C0195AA674}</stp>
        <tr r="O4" s="17"/>
      </tp>
      <tp t="s">
        <v>On Pause</v>
        <stp/>
        <stp>{2BDEA094-A4B0-46FF-8EAA-BF799F614F94}</stp>
        <tr r="J4" s="9"/>
      </tp>
      <tp t="s">
        <v>On Pause</v>
        <stp/>
        <stp>{D14C40B9-6C6A-47F8-A2D8-32628D404D38}</stp>
        <tr r="O5" s="12"/>
      </tp>
      <tp t="s">
        <v>On Pause</v>
        <stp/>
        <stp>{C3D67800-BE64-4877-82E2-21CA4C89AEB9}</stp>
        <tr r="S4" s="5"/>
      </tp>
    </main>
    <main first="pldatasource.rtgetrtdserver">
      <tp t="s">
        <v>#N/A On Pause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1" s="10"/>
      </tp>
    </main>
    <main first="pldatasource.rdatartdserver">
      <tp t="s">
        <v>On Pause</v>
        <stp/>
        <stp>{399A978E-8480-454C-B223-2D42A4223DFC}</stp>
        <tr r="T5" s="36"/>
      </tp>
      <tp t="s">
        <v>On Pause</v>
        <stp/>
        <stp>{749A3962-88C2-4451-BF9A-1EC17539F1AA}</stp>
        <tr r="M4" s="10"/>
      </tp>
      <tp t="s">
        <v>On Pause</v>
        <stp/>
        <stp>{97E41AC9-9CF1-47AB-AECF-4792FC8F8EFB}</stp>
        <tr r="O4" s="16"/>
      </tp>
      <tp t="s">
        <v>On Pause</v>
        <stp/>
        <stp>{5F2D2F32-28FC-4E3C-B71C-90F9214EE9B7}</stp>
        <tr r="H4" s="14"/>
      </tp>
      <tp t="s">
        <v>On Pause</v>
        <stp/>
        <stp>{49502499-0C1C-41C1-AFE5-5532995EBB79}</stp>
        <tr r="S4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3</xdr:col>
          <xdr:colOff>381000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6" customWidth="1"/>
    <col min="2" max="2" width="6.5703125" style="16" bestFit="1" customWidth="1"/>
    <col min="3" max="4" width="2.7109375" style="16" bestFit="1" customWidth="1"/>
    <col min="5" max="5" width="17.85546875" style="16" bestFit="1" customWidth="1"/>
    <col min="6" max="6" width="19.7109375" style="17" bestFit="1" customWidth="1"/>
    <col min="7" max="7" width="38.28515625" style="16" customWidth="1"/>
    <col min="8" max="8" width="4.42578125" style="16" customWidth="1"/>
    <col min="9" max="12" width="3.5703125" style="16" customWidth="1"/>
    <col min="13" max="17" width="9.140625" style="16"/>
    <col min="18" max="18" width="12.85546875" style="16" bestFit="1" customWidth="1"/>
    <col min="19" max="16384" width="9.140625" style="16"/>
  </cols>
  <sheetData>
    <row r="1" spans="1:36" s="149" customFormat="1" x14ac:dyDescent="0.2">
      <c r="A1" s="149" t="s">
        <v>257</v>
      </c>
      <c r="F1" s="17"/>
      <c r="N1" s="26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2"/>
      <c r="AF1" s="224"/>
      <c r="AG1" s="224"/>
      <c r="AH1" s="224"/>
      <c r="AI1" s="224"/>
      <c r="AJ1" s="224"/>
    </row>
    <row r="2" spans="1:36" s="149" customFormat="1" x14ac:dyDescent="0.2">
      <c r="F2" s="17"/>
      <c r="N2" s="211"/>
      <c r="O2" s="182"/>
      <c r="P2" s="182"/>
      <c r="Q2" s="182"/>
      <c r="R2" s="182"/>
      <c r="S2" s="209" t="s">
        <v>192</v>
      </c>
      <c r="T2" s="182"/>
      <c r="U2" s="182"/>
      <c r="V2" s="182"/>
      <c r="W2" s="182"/>
      <c r="X2" s="260"/>
      <c r="Y2" s="182"/>
      <c r="Z2" s="182"/>
      <c r="AA2" s="182"/>
      <c r="AB2" s="351" t="s">
        <v>175</v>
      </c>
      <c r="AC2" s="209" t="s">
        <v>2</v>
      </c>
      <c r="AD2" s="260"/>
      <c r="AE2" s="206"/>
      <c r="AF2" s="224"/>
      <c r="AG2" s="224"/>
      <c r="AH2" s="224"/>
      <c r="AI2" s="224"/>
      <c r="AJ2" s="224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87"/>
      <c r="O3" s="182"/>
      <c r="P3" s="260"/>
      <c r="Q3" s="260"/>
      <c r="R3" s="260"/>
      <c r="S3" s="260" t="e">
        <f>_xll.qlInterpolation(,InterpolationType,_xll.ohFilter(N5:N42,W5:W42),_xll.ohFilter(V5:V42,W5:W42))</f>
        <v>#NUM!</v>
      </c>
      <c r="T3" s="260"/>
      <c r="U3" s="260"/>
      <c r="V3" s="260"/>
      <c r="W3" s="260"/>
      <c r="X3" s="260"/>
      <c r="Y3" s="182"/>
      <c r="Z3" s="182"/>
      <c r="AA3" s="182"/>
      <c r="AB3" s="260"/>
      <c r="AC3" s="260"/>
      <c r="AD3" s="204">
        <f>_xll.ohTrigger(AD5:AD42)</f>
        <v>9</v>
      </c>
      <c r="AE3" s="178"/>
      <c r="AF3" s="224"/>
      <c r="AG3" s="224"/>
      <c r="AH3" s="224"/>
      <c r="AI3" s="224"/>
      <c r="AJ3" s="224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7"/>
      <c r="O4" s="331"/>
      <c r="P4" s="257"/>
      <c r="Q4" s="257"/>
      <c r="R4" s="257"/>
      <c r="S4" s="203" t="str">
        <f>_xll.RData(S5:S42,T4:U4,,ReutersRtMode,,T5)</f>
        <v>On Pause</v>
      </c>
      <c r="T4" s="256" t="s">
        <v>213</v>
      </c>
      <c r="U4" s="256" t="s">
        <v>188</v>
      </c>
      <c r="V4" s="256" t="s">
        <v>233</v>
      </c>
      <c r="W4" s="256"/>
      <c r="X4" s="198" t="s">
        <v>232</v>
      </c>
      <c r="Y4" s="182"/>
      <c r="Z4" s="201" t="s">
        <v>172</v>
      </c>
      <c r="AA4" s="182"/>
      <c r="AB4" s="200" t="s">
        <v>171</v>
      </c>
      <c r="AC4" s="330" t="s">
        <v>170</v>
      </c>
      <c r="AD4" s="329" t="s">
        <v>169</v>
      </c>
      <c r="AE4" s="178"/>
      <c r="AF4" s="224"/>
      <c r="AG4" s="224"/>
      <c r="AH4" s="224"/>
      <c r="AI4" s="224"/>
      <c r="AJ4" s="224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HKD1L6L6M_Quote#0011</v>
      </c>
      <c r="G5" s="23" t="str">
        <f>_xll.ohRangeRetrieveError(F5)</f>
        <v/>
      </c>
      <c r="H5" s="22"/>
      <c r="N5" s="350">
        <v>0.5</v>
      </c>
      <c r="O5" s="239" t="s">
        <v>61</v>
      </c>
      <c r="P5" s="238" t="str">
        <f t="array" ref="P5:P42">VLOOKUP(Currency,Conventions,2)</f>
        <v>1L</v>
      </c>
      <c r="Q5" s="238" t="str">
        <f t="array" ref="Q5:Q42">VLOOKUP(Currency,Conventions,3)</f>
        <v>6L</v>
      </c>
      <c r="R5" s="236" t="str">
        <f t="shared" ref="R5:R42" si="1">Currency&amp;$P5&amp;$Q5&amp;$O5</f>
        <v>HKD1L6L6M</v>
      </c>
      <c r="S5" s="185" t="str">
        <f t="array" ref="S5:S42">Instruments&amp;"="&amp;VLOOKUP(Contributor,ContributorTable,2,FALSE)</f>
        <v>HKD1L6L6M=ICAP</v>
      </c>
      <c r="T5" s="349" t="s">
        <v>168</v>
      </c>
      <c r="U5" s="349" t="s">
        <v>168</v>
      </c>
      <c r="V5" s="349" t="e">
        <f>_xll.qlMidEquivalent(T5,U5)</f>
        <v>#NUM!</v>
      </c>
      <c r="W5" s="189" t="b">
        <f t="shared" ref="W5:W42" si="2">IF(ISNUMBER(V5),TRUE,FALSE)</f>
        <v>0</v>
      </c>
      <c r="X5" s="348" t="e">
        <f t="array" ref="X5:X42">_xll.qlInterpolationInterpolate(S3,N5:N42)</f>
        <v>#VALUE!</v>
      </c>
      <c r="Y5" s="182"/>
      <c r="Z5" s="347" t="e">
        <v>#VALUE!</v>
      </c>
      <c r="AA5" s="182"/>
      <c r="AB5" s="190" t="str">
        <f t="shared" ref="AB5:AB42" si="3">$R5&amp;$AC$2</f>
        <v>HKD1L6L6M_Quote</v>
      </c>
      <c r="AC5" s="346" t="e">
        <f t="array" ref="AC5:AC42">QuoteLive</f>
        <v>#VALUE!</v>
      </c>
      <c r="AD5" s="188" t="e">
        <f>_xll.qlSimpleQuoteSetValue($AB5,ROUND($AC5/10000,6),Trigger)</f>
        <v>#NUM!</v>
      </c>
      <c r="AE5" s="178"/>
      <c r="AF5" s="224"/>
      <c r="AG5" s="316" t="s">
        <v>55</v>
      </c>
      <c r="AH5" s="344" t="s">
        <v>42</v>
      </c>
      <c r="AI5" s="343" t="s">
        <v>46</v>
      </c>
      <c r="AJ5" s="224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HKD1L6L1Y_Quote#0011</v>
      </c>
      <c r="G6" s="23" t="str">
        <f>_xll.ohRangeRetrieveError(F6)</f>
        <v/>
      </c>
      <c r="H6" s="22"/>
      <c r="N6" s="350">
        <v>1</v>
      </c>
      <c r="O6" s="239" t="s">
        <v>60</v>
      </c>
      <c r="P6" s="238" t="str">
        <v>1L</v>
      </c>
      <c r="Q6" s="238" t="str">
        <v>6L</v>
      </c>
      <c r="R6" s="236" t="str">
        <f t="shared" si="1"/>
        <v>HKD1L6L1Y</v>
      </c>
      <c r="S6" s="185" t="str">
        <v>HKD1L6L1Y=ICAP</v>
      </c>
      <c r="T6" s="349" t="s">
        <v>168</v>
      </c>
      <c r="U6" s="349" t="s">
        <v>168</v>
      </c>
      <c r="V6" s="349" t="e">
        <f>_xll.qlMidEquivalent(T6,U6)</f>
        <v>#NUM!</v>
      </c>
      <c r="W6" s="189" t="b">
        <f t="shared" si="2"/>
        <v>0</v>
      </c>
      <c r="X6" s="348" t="e">
        <v>#VALUE!</v>
      </c>
      <c r="Y6" s="182"/>
      <c r="Z6" s="347" t="e">
        <v>#VALUE!</v>
      </c>
      <c r="AA6" s="182"/>
      <c r="AB6" s="190" t="str">
        <f t="shared" si="3"/>
        <v>HKD1L6L1Y_Quote</v>
      </c>
      <c r="AC6" s="346" t="e">
        <v>#VALUE!</v>
      </c>
      <c r="AD6" s="188" t="e">
        <f>_xll.qlSimpleQuoteSetValue($AB6,ROUND($AC6/10000,6),Trigger)</f>
        <v>#NUM!</v>
      </c>
      <c r="AE6" s="178"/>
      <c r="AF6" s="224"/>
      <c r="AG6" s="281" t="s">
        <v>53</v>
      </c>
      <c r="AH6" s="219" t="s">
        <v>52</v>
      </c>
      <c r="AI6" s="280" t="s">
        <v>51</v>
      </c>
      <c r="AJ6" s="224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HKD1L6L15M_Quote#0011</v>
      </c>
      <c r="G7" s="23" t="str">
        <f>_xll.ohRangeRetrieveError(F7)</f>
        <v/>
      </c>
      <c r="H7" s="22"/>
      <c r="N7" s="350">
        <v>1.25</v>
      </c>
      <c r="O7" s="239" t="s">
        <v>59</v>
      </c>
      <c r="P7" s="238" t="str">
        <v>1L</v>
      </c>
      <c r="Q7" s="238" t="str">
        <v>6L</v>
      </c>
      <c r="R7" s="236" t="str">
        <f t="shared" si="1"/>
        <v>HKD1L6L15M</v>
      </c>
      <c r="S7" s="185" t="str">
        <v>HKD1L6L15M=ICAP</v>
      </c>
      <c r="T7" s="349" t="s">
        <v>168</v>
      </c>
      <c r="U7" s="349" t="s">
        <v>168</v>
      </c>
      <c r="V7" s="349" t="e">
        <f>_xll.qlMidEquivalent(T7,U7)</f>
        <v>#NUM!</v>
      </c>
      <c r="W7" s="189" t="b">
        <f t="shared" si="2"/>
        <v>0</v>
      </c>
      <c r="X7" s="348" t="e">
        <v>#VALUE!</v>
      </c>
      <c r="Y7" s="182"/>
      <c r="Z7" s="347" t="e">
        <v>#VALUE!</v>
      </c>
      <c r="AA7" s="182"/>
      <c r="AB7" s="190" t="str">
        <f t="shared" si="3"/>
        <v>HKD1L6L15M_Quote</v>
      </c>
      <c r="AC7" s="346" t="e">
        <v>#VALUE!</v>
      </c>
      <c r="AD7" s="188" t="e">
        <f>_xll.qlSimpleQuoteSetValue($AB7,ROUND($AC7/10000,6),Trigger)</f>
        <v>#NUM!</v>
      </c>
      <c r="AE7" s="178"/>
      <c r="AF7" s="224"/>
      <c r="AG7" s="281" t="s">
        <v>49</v>
      </c>
      <c r="AH7" s="219" t="s">
        <v>42</v>
      </c>
      <c r="AI7" s="280" t="s">
        <v>46</v>
      </c>
      <c r="AJ7" s="224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HKD1L6L18M_Quote#0011</v>
      </c>
      <c r="G8" s="23" t="str">
        <f>_xll.ohRangeRetrieveError(F8)</f>
        <v/>
      </c>
      <c r="H8" s="22"/>
      <c r="N8" s="350">
        <v>1.5</v>
      </c>
      <c r="O8" s="239" t="s">
        <v>58</v>
      </c>
      <c r="P8" s="238" t="str">
        <v>1L</v>
      </c>
      <c r="Q8" s="238" t="str">
        <v>6L</v>
      </c>
      <c r="R8" s="236" t="str">
        <f t="shared" si="1"/>
        <v>HKD1L6L18M</v>
      </c>
      <c r="S8" s="185" t="str">
        <v>HKD1L6L18M=ICAP</v>
      </c>
      <c r="T8" s="349" t="s">
        <v>168</v>
      </c>
      <c r="U8" s="349" t="s">
        <v>168</v>
      </c>
      <c r="V8" s="349" t="e">
        <f>_xll.qlMidEquivalent(T8,U8)</f>
        <v>#NUM!</v>
      </c>
      <c r="W8" s="189" t="b">
        <f t="shared" si="2"/>
        <v>0</v>
      </c>
      <c r="X8" s="348" t="e">
        <v>#VALUE!</v>
      </c>
      <c r="Y8" s="182"/>
      <c r="Z8" s="347" t="e">
        <v>#VALUE!</v>
      </c>
      <c r="AA8" s="182"/>
      <c r="AB8" s="190" t="str">
        <f t="shared" si="3"/>
        <v>HKD1L6L18M_Quote</v>
      </c>
      <c r="AC8" s="346" t="e">
        <v>#VALUE!</v>
      </c>
      <c r="AD8" s="188" t="e">
        <f>_xll.qlSimpleQuoteSetValue($AB8,ROUND($AC8/10000,6),Trigger)</f>
        <v>#NUM!</v>
      </c>
      <c r="AE8" s="178"/>
      <c r="AF8" s="224"/>
      <c r="AG8" s="281" t="s">
        <v>47</v>
      </c>
      <c r="AH8" s="219" t="s">
        <v>42</v>
      </c>
      <c r="AI8" s="280" t="s">
        <v>46</v>
      </c>
      <c r="AJ8" s="224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HKD1L6L21M_Quote#0011</v>
      </c>
      <c r="G9" s="23" t="str">
        <f>_xll.ohRangeRetrieveError(F9)</f>
        <v/>
      </c>
      <c r="H9" s="22"/>
      <c r="N9" s="350">
        <v>1.75</v>
      </c>
      <c r="O9" s="239" t="s">
        <v>57</v>
      </c>
      <c r="P9" s="238" t="str">
        <v>1L</v>
      </c>
      <c r="Q9" s="238" t="str">
        <v>6L</v>
      </c>
      <c r="R9" s="236" t="str">
        <f t="shared" si="1"/>
        <v>HKD1L6L21M</v>
      </c>
      <c r="S9" s="185" t="str">
        <v>HKD1L6L21M=ICAP</v>
      </c>
      <c r="T9" s="349" t="s">
        <v>168</v>
      </c>
      <c r="U9" s="349" t="s">
        <v>168</v>
      </c>
      <c r="V9" s="349" t="e">
        <f>_xll.qlMidEquivalent(T9,U9)</f>
        <v>#NUM!</v>
      </c>
      <c r="W9" s="189" t="b">
        <f t="shared" si="2"/>
        <v>0</v>
      </c>
      <c r="X9" s="348" t="e">
        <v>#VALUE!</v>
      </c>
      <c r="Y9" s="182"/>
      <c r="Z9" s="347" t="e">
        <v>#VALUE!</v>
      </c>
      <c r="AA9" s="182"/>
      <c r="AB9" s="190" t="str">
        <f t="shared" si="3"/>
        <v>HKD1L6L21M_Quote</v>
      </c>
      <c r="AC9" s="346" t="e">
        <v>#VALUE!</v>
      </c>
      <c r="AD9" s="188" t="e">
        <f>_xll.qlSimpleQuoteSetValue($AB9,ROUND($AC9/10000,6),Trigger)</f>
        <v>#NUM!</v>
      </c>
      <c r="AE9" s="178"/>
      <c r="AF9" s="224"/>
      <c r="AG9" s="279" t="s">
        <v>44</v>
      </c>
      <c r="AH9" s="340" t="s">
        <v>43</v>
      </c>
      <c r="AI9" s="278" t="s">
        <v>42</v>
      </c>
      <c r="AJ9" s="224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HKD1L6L2Y_Quote#0011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87">
        <v>2</v>
      </c>
      <c r="O10" s="239" t="s">
        <v>56</v>
      </c>
      <c r="P10" s="238" t="str">
        <v>1L</v>
      </c>
      <c r="Q10" s="238" t="str">
        <v>6L</v>
      </c>
      <c r="R10" s="236" t="str">
        <f t="shared" si="1"/>
        <v>HKD1L6L2Y</v>
      </c>
      <c r="S10" s="185" t="str">
        <v>HKD1L6L2Y=ICAP</v>
      </c>
      <c r="T10" s="349" t="s">
        <v>168</v>
      </c>
      <c r="U10" s="349" t="s">
        <v>168</v>
      </c>
      <c r="V10" s="349" t="e">
        <f>_xll.qlMidEquivalent(T10,U10)</f>
        <v>#NUM!</v>
      </c>
      <c r="W10" s="189" t="b">
        <f t="shared" si="2"/>
        <v>0</v>
      </c>
      <c r="X10" s="348" t="e">
        <v>#VALUE!</v>
      </c>
      <c r="Y10" s="182"/>
      <c r="Z10" s="347" t="e">
        <v>#VALUE!</v>
      </c>
      <c r="AA10" s="182"/>
      <c r="AB10" s="190" t="str">
        <f t="shared" si="3"/>
        <v>HKD1L6L2Y_Quote</v>
      </c>
      <c r="AC10" s="346" t="e">
        <v>#VALUE!</v>
      </c>
      <c r="AD10" s="188" t="e">
        <f>_xll.qlSimpleQuoteSetValue($AB10,ROUND($AC10/10000,6),Trigger)</f>
        <v>#NUM!</v>
      </c>
      <c r="AE10" s="178"/>
      <c r="AF10" s="224"/>
      <c r="AG10" s="224"/>
      <c r="AH10" s="224"/>
      <c r="AI10" s="224"/>
      <c r="AJ10" s="224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HKD1L6L3Y_Quote#0011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87">
        <v>3</v>
      </c>
      <c r="O11" s="239" t="s">
        <v>54</v>
      </c>
      <c r="P11" s="238" t="str">
        <v>1L</v>
      </c>
      <c r="Q11" s="238" t="str">
        <v>6L</v>
      </c>
      <c r="R11" s="236" t="str">
        <f t="shared" si="1"/>
        <v>HKD1L6L3Y</v>
      </c>
      <c r="S11" s="185" t="str">
        <v>HKD1L6L3Y=ICAP</v>
      </c>
      <c r="T11" s="349" t="s">
        <v>168</v>
      </c>
      <c r="U11" s="349" t="s">
        <v>168</v>
      </c>
      <c r="V11" s="349" t="e">
        <f>_xll.qlMidEquivalent(T11,U11)</f>
        <v>#NUM!</v>
      </c>
      <c r="W11" s="189" t="b">
        <f t="shared" si="2"/>
        <v>0</v>
      </c>
      <c r="X11" s="348" t="e">
        <v>#VALUE!</v>
      </c>
      <c r="Y11" s="182"/>
      <c r="Z11" s="347" t="e">
        <v>#VALUE!</v>
      </c>
      <c r="AA11" s="182"/>
      <c r="AB11" s="190" t="str">
        <f t="shared" si="3"/>
        <v>HKD1L6L3Y_Quote</v>
      </c>
      <c r="AC11" s="346" t="e">
        <v>#VALUE!</v>
      </c>
      <c r="AD11" s="188" t="e">
        <f>_xll.qlSimpleQuoteSetValue($AB11,ROUND($AC11/10000,6),Trigger)</f>
        <v>#NUM!</v>
      </c>
      <c r="AE11" s="178"/>
      <c r="AF11" s="224"/>
      <c r="AG11" s="224"/>
      <c r="AH11" s="224"/>
      <c r="AI11" s="224"/>
      <c r="AJ11" s="224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HKD1L6L4Y_Quote#0011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87">
        <v>4</v>
      </c>
      <c r="O12" s="239" t="s">
        <v>50</v>
      </c>
      <c r="P12" s="238" t="str">
        <v>1L</v>
      </c>
      <c r="Q12" s="238" t="str">
        <v>6L</v>
      </c>
      <c r="R12" s="236" t="str">
        <f t="shared" si="1"/>
        <v>HKD1L6L4Y</v>
      </c>
      <c r="S12" s="185" t="str">
        <v>HKD1L6L4Y=ICAP</v>
      </c>
      <c r="T12" s="349" t="s">
        <v>168</v>
      </c>
      <c r="U12" s="349" t="s">
        <v>168</v>
      </c>
      <c r="V12" s="349" t="e">
        <f>_xll.qlMidEquivalent(T12,U12)</f>
        <v>#NUM!</v>
      </c>
      <c r="W12" s="189" t="b">
        <f t="shared" si="2"/>
        <v>0</v>
      </c>
      <c r="X12" s="348" t="e">
        <v>#VALUE!</v>
      </c>
      <c r="Y12" s="182"/>
      <c r="Z12" s="347" t="e">
        <v>#VALUE!</v>
      </c>
      <c r="AA12" s="182"/>
      <c r="AB12" s="190" t="str">
        <f t="shared" si="3"/>
        <v>HKD1L6L4Y_Quote</v>
      </c>
      <c r="AC12" s="346" t="e">
        <v>#VALUE!</v>
      </c>
      <c r="AD12" s="188" t="e">
        <f>_xll.qlSimpleQuoteSetValue($AB12,ROUND($AC12/10000,6),Trigger)</f>
        <v>#NUM!</v>
      </c>
      <c r="AE12" s="178"/>
      <c r="AF12" s="224"/>
      <c r="AG12" s="224"/>
      <c r="AH12" s="224"/>
      <c r="AI12" s="224"/>
      <c r="AJ12" s="224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HKD1L6L5Y_Quote#0011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87">
        <v>5</v>
      </c>
      <c r="O13" s="239" t="s">
        <v>48</v>
      </c>
      <c r="P13" s="238" t="str">
        <v>1L</v>
      </c>
      <c r="Q13" s="238" t="str">
        <v>6L</v>
      </c>
      <c r="R13" s="236" t="str">
        <f t="shared" si="1"/>
        <v>HKD1L6L5Y</v>
      </c>
      <c r="S13" s="185" t="str">
        <v>HKD1L6L5Y=ICAP</v>
      </c>
      <c r="T13" s="349" t="s">
        <v>168</v>
      </c>
      <c r="U13" s="349" t="s">
        <v>168</v>
      </c>
      <c r="V13" s="349" t="e">
        <f>_xll.qlMidEquivalent(T13,U13)</f>
        <v>#NUM!</v>
      </c>
      <c r="W13" s="189" t="b">
        <f t="shared" si="2"/>
        <v>0</v>
      </c>
      <c r="X13" s="348" t="e">
        <v>#VALUE!</v>
      </c>
      <c r="Y13" s="182"/>
      <c r="Z13" s="347" t="e">
        <v>#VALUE!</v>
      </c>
      <c r="AA13" s="182"/>
      <c r="AB13" s="190" t="str">
        <f t="shared" si="3"/>
        <v>HKD1L6L5Y_Quote</v>
      </c>
      <c r="AC13" s="346" t="e">
        <v>#VALUE!</v>
      </c>
      <c r="AD13" s="188" t="e">
        <f>_xll.qlSimpleQuoteSetValue($AB13,ROUND($AC13/10000,6),Trigger)</f>
        <v>#NUM!</v>
      </c>
      <c r="AE13" s="178"/>
      <c r="AF13" s="224"/>
      <c r="AG13" s="224"/>
      <c r="AH13" s="224"/>
      <c r="AI13" s="224"/>
      <c r="AJ13" s="224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HKD1L6L6Y_Quote#0011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87">
        <v>6</v>
      </c>
      <c r="O14" s="239" t="s">
        <v>45</v>
      </c>
      <c r="P14" s="238" t="str">
        <v>1L</v>
      </c>
      <c r="Q14" s="238" t="str">
        <v>6L</v>
      </c>
      <c r="R14" s="236" t="str">
        <f t="shared" si="1"/>
        <v>HKD1L6L6Y</v>
      </c>
      <c r="S14" s="185" t="str">
        <v>HKD1L6L6Y=ICAP</v>
      </c>
      <c r="T14" s="349" t="s">
        <v>168</v>
      </c>
      <c r="U14" s="349" t="s">
        <v>168</v>
      </c>
      <c r="V14" s="349" t="e">
        <f>_xll.qlMidEquivalent(T14,U14)</f>
        <v>#NUM!</v>
      </c>
      <c r="W14" s="189" t="b">
        <f t="shared" si="2"/>
        <v>0</v>
      </c>
      <c r="X14" s="348" t="e">
        <v>#VALUE!</v>
      </c>
      <c r="Y14" s="182"/>
      <c r="Z14" s="347" t="e">
        <v>#VALUE!</v>
      </c>
      <c r="AA14" s="182"/>
      <c r="AB14" s="190" t="str">
        <f t="shared" si="3"/>
        <v>HKD1L6L6Y_Quote</v>
      </c>
      <c r="AC14" s="346" t="e">
        <v>#VALUE!</v>
      </c>
      <c r="AD14" s="188" t="e">
        <f>_xll.qlSimpleQuoteSetValue($AB14,ROUND($AC14/10000,6),Trigger)</f>
        <v>#NUM!</v>
      </c>
      <c r="AE14" s="178"/>
      <c r="AF14" s="224"/>
      <c r="AG14" s="224"/>
      <c r="AH14" s="224"/>
      <c r="AI14" s="224"/>
      <c r="AJ14" s="224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HKD1L6L7Y_Quote#0011</v>
      </c>
      <c r="G15" s="23" t="str">
        <f>_xll.ohRangeRetrieveError(F15)</f>
        <v/>
      </c>
      <c r="H15" s="22"/>
      <c r="N15" s="187">
        <v>7</v>
      </c>
      <c r="O15" s="239" t="s">
        <v>41</v>
      </c>
      <c r="P15" s="238" t="str">
        <v>1L</v>
      </c>
      <c r="Q15" s="238" t="str">
        <v>6L</v>
      </c>
      <c r="R15" s="236" t="str">
        <f t="shared" si="1"/>
        <v>HKD1L6L7Y</v>
      </c>
      <c r="S15" s="185" t="str">
        <v>HKD1L6L7Y=ICAP</v>
      </c>
      <c r="T15" s="349" t="s">
        <v>168</v>
      </c>
      <c r="U15" s="349" t="s">
        <v>168</v>
      </c>
      <c r="V15" s="349" t="e">
        <f>_xll.qlMidEquivalent(T15,U15)</f>
        <v>#NUM!</v>
      </c>
      <c r="W15" s="189" t="b">
        <f t="shared" si="2"/>
        <v>0</v>
      </c>
      <c r="X15" s="348" t="e">
        <v>#VALUE!</v>
      </c>
      <c r="Y15" s="182"/>
      <c r="Z15" s="347" t="e">
        <v>#VALUE!</v>
      </c>
      <c r="AA15" s="182"/>
      <c r="AB15" s="190" t="str">
        <f t="shared" si="3"/>
        <v>HKD1L6L7Y_Quote</v>
      </c>
      <c r="AC15" s="346" t="e">
        <v>#VALUE!</v>
      </c>
      <c r="AD15" s="188" t="e">
        <f>_xll.qlSimpleQuoteSetValue($AB15,ROUND($AC15/10000,6),Trigger)</f>
        <v>#NUM!</v>
      </c>
      <c r="AE15" s="178"/>
      <c r="AF15" s="224"/>
      <c r="AG15" s="224"/>
      <c r="AH15" s="224"/>
      <c r="AI15" s="224"/>
      <c r="AJ15" s="224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HKD1L6L8Y_Quote#0011</v>
      </c>
      <c r="G16" s="23" t="str">
        <f>_xll.ohRangeRetrieveError(F16)</f>
        <v/>
      </c>
      <c r="H16" s="22"/>
      <c r="N16" s="187">
        <v>8</v>
      </c>
      <c r="O16" s="239" t="s">
        <v>40</v>
      </c>
      <c r="P16" s="238" t="str">
        <v>1L</v>
      </c>
      <c r="Q16" s="238" t="str">
        <v>6L</v>
      </c>
      <c r="R16" s="236" t="str">
        <f t="shared" si="1"/>
        <v>HKD1L6L8Y</v>
      </c>
      <c r="S16" s="185" t="str">
        <v>HKD1L6L8Y=ICAP</v>
      </c>
      <c r="T16" s="349" t="s">
        <v>168</v>
      </c>
      <c r="U16" s="349" t="s">
        <v>168</v>
      </c>
      <c r="V16" s="349" t="e">
        <f>_xll.qlMidEquivalent(T16,U16)</f>
        <v>#NUM!</v>
      </c>
      <c r="W16" s="189" t="b">
        <f t="shared" si="2"/>
        <v>0</v>
      </c>
      <c r="X16" s="348" t="e">
        <v>#VALUE!</v>
      </c>
      <c r="Y16" s="182"/>
      <c r="Z16" s="347" t="e">
        <v>#VALUE!</v>
      </c>
      <c r="AA16" s="182"/>
      <c r="AB16" s="190" t="str">
        <f t="shared" si="3"/>
        <v>HKD1L6L8Y_Quote</v>
      </c>
      <c r="AC16" s="346" t="e">
        <v>#VALUE!</v>
      </c>
      <c r="AD16" s="188" t="e">
        <f>_xll.qlSimpleQuoteSetValue($AB16,ROUND($AC16/10000,6),Trigger)</f>
        <v>#NUM!</v>
      </c>
      <c r="AE16" s="178"/>
      <c r="AF16" s="224"/>
      <c r="AG16" s="224"/>
      <c r="AH16" s="224"/>
      <c r="AI16" s="224"/>
      <c r="AJ16" s="224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HKD1L6L9Y_Quote#0011</v>
      </c>
      <c r="G17" s="23" t="str">
        <f>_xll.ohRangeRetrieveError(F17)</f>
        <v/>
      </c>
      <c r="H17" s="22"/>
      <c r="N17" s="187">
        <v>9</v>
      </c>
      <c r="O17" s="239" t="s">
        <v>39</v>
      </c>
      <c r="P17" s="238" t="str">
        <v>1L</v>
      </c>
      <c r="Q17" s="238" t="str">
        <v>6L</v>
      </c>
      <c r="R17" s="236" t="str">
        <f t="shared" si="1"/>
        <v>HKD1L6L9Y</v>
      </c>
      <c r="S17" s="185" t="str">
        <v>HKD1L6L9Y=ICAP</v>
      </c>
      <c r="T17" s="349" t="s">
        <v>168</v>
      </c>
      <c r="U17" s="349" t="s">
        <v>168</v>
      </c>
      <c r="V17" s="349" t="e">
        <f>_xll.qlMidEquivalent(T17,U17)</f>
        <v>#NUM!</v>
      </c>
      <c r="W17" s="189" t="b">
        <f t="shared" si="2"/>
        <v>0</v>
      </c>
      <c r="X17" s="348" t="e">
        <v>#VALUE!</v>
      </c>
      <c r="Y17" s="182"/>
      <c r="Z17" s="347" t="e">
        <v>#VALUE!</v>
      </c>
      <c r="AA17" s="182"/>
      <c r="AB17" s="190" t="str">
        <f t="shared" si="3"/>
        <v>HKD1L6L9Y_Quote</v>
      </c>
      <c r="AC17" s="346" t="e">
        <v>#VALUE!</v>
      </c>
      <c r="AD17" s="188" t="e">
        <f>_xll.qlSimpleQuoteSetValue($AB17,ROUND($AC17/10000,6),Trigger)</f>
        <v>#NUM!</v>
      </c>
      <c r="AE17" s="178"/>
      <c r="AF17" s="224"/>
      <c r="AG17" s="224"/>
      <c r="AH17" s="224"/>
      <c r="AI17" s="224"/>
      <c r="AJ17" s="224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HKD1L6L10Y_Quote#0011</v>
      </c>
      <c r="G18" s="23" t="str">
        <f>_xll.ohRangeRetrieveError(F18)</f>
        <v/>
      </c>
      <c r="H18" s="22"/>
      <c r="N18" s="187">
        <v>10</v>
      </c>
      <c r="O18" s="239" t="s">
        <v>38</v>
      </c>
      <c r="P18" s="238" t="str">
        <v>1L</v>
      </c>
      <c r="Q18" s="238" t="str">
        <v>6L</v>
      </c>
      <c r="R18" s="236" t="str">
        <f t="shared" si="1"/>
        <v>HKD1L6L10Y</v>
      </c>
      <c r="S18" s="185" t="str">
        <v>HKD1L6L10Y=ICAP</v>
      </c>
      <c r="T18" s="349" t="s">
        <v>168</v>
      </c>
      <c r="U18" s="349" t="s">
        <v>168</v>
      </c>
      <c r="V18" s="349" t="e">
        <f>_xll.qlMidEquivalent(T18,U18)</f>
        <v>#NUM!</v>
      </c>
      <c r="W18" s="189" t="b">
        <f t="shared" si="2"/>
        <v>0</v>
      </c>
      <c r="X18" s="348" t="e">
        <v>#VALUE!</v>
      </c>
      <c r="Y18" s="182"/>
      <c r="Z18" s="347" t="e">
        <v>#VALUE!</v>
      </c>
      <c r="AA18" s="182"/>
      <c r="AB18" s="190" t="str">
        <f t="shared" si="3"/>
        <v>HKD1L6L10Y_Quote</v>
      </c>
      <c r="AC18" s="346" t="e">
        <v>#VALUE!</v>
      </c>
      <c r="AD18" s="188" t="e">
        <f>_xll.qlSimpleQuoteSetValue($AB18,ROUND($AC18/10000,6),Trigger)</f>
        <v>#NUM!</v>
      </c>
      <c r="AE18" s="178"/>
      <c r="AF18" s="224"/>
      <c r="AG18" s="224"/>
      <c r="AH18" s="224"/>
      <c r="AI18" s="224"/>
      <c r="AJ18" s="224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HKD1L6L11Y_Quote#0011</v>
      </c>
      <c r="G19" s="23" t="str">
        <f>_xll.ohRangeRetrieveError(F19)</f>
        <v/>
      </c>
      <c r="H19" s="22"/>
      <c r="N19" s="187">
        <v>11</v>
      </c>
      <c r="O19" s="239" t="s">
        <v>37</v>
      </c>
      <c r="P19" s="238" t="str">
        <v>1L</v>
      </c>
      <c r="Q19" s="238" t="str">
        <v>6L</v>
      </c>
      <c r="R19" s="236" t="str">
        <f t="shared" si="1"/>
        <v>HKD1L6L11Y</v>
      </c>
      <c r="S19" s="185" t="str">
        <v>HKD1L6L11Y=ICAP</v>
      </c>
      <c r="T19" s="349" t="s">
        <v>168</v>
      </c>
      <c r="U19" s="349" t="s">
        <v>168</v>
      </c>
      <c r="V19" s="349" t="e">
        <f>_xll.qlMidEquivalent(T19,U19)</f>
        <v>#NUM!</v>
      </c>
      <c r="W19" s="189" t="b">
        <f t="shared" si="2"/>
        <v>0</v>
      </c>
      <c r="X19" s="348" t="e">
        <v>#VALUE!</v>
      </c>
      <c r="Y19" s="182"/>
      <c r="Z19" s="347" t="e">
        <v>#VALUE!</v>
      </c>
      <c r="AA19" s="182"/>
      <c r="AB19" s="190" t="str">
        <f t="shared" si="3"/>
        <v>HKD1L6L11Y_Quote</v>
      </c>
      <c r="AC19" s="346" t="e">
        <v>#VALUE!</v>
      </c>
      <c r="AD19" s="188" t="e">
        <f>_xll.qlSimpleQuoteSetValue($AB19,ROUND($AC19/10000,6),Trigger)</f>
        <v>#NUM!</v>
      </c>
      <c r="AE19" s="178"/>
      <c r="AF19" s="224"/>
      <c r="AG19" s="224"/>
      <c r="AH19" s="224"/>
      <c r="AI19" s="224"/>
      <c r="AJ19" s="224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HKD1L6L12Y_Quote#0011</v>
      </c>
      <c r="G20" s="23" t="str">
        <f>_xll.ohRangeRetrieveError(F20)</f>
        <v/>
      </c>
      <c r="H20" s="22"/>
      <c r="N20" s="187">
        <v>12</v>
      </c>
      <c r="O20" s="239" t="s">
        <v>36</v>
      </c>
      <c r="P20" s="238" t="str">
        <v>1L</v>
      </c>
      <c r="Q20" s="238" t="str">
        <v>6L</v>
      </c>
      <c r="R20" s="236" t="str">
        <f t="shared" si="1"/>
        <v>HKD1L6L12Y</v>
      </c>
      <c r="S20" s="185" t="str">
        <v>HKD1L6L12Y=ICAP</v>
      </c>
      <c r="T20" s="349" t="s">
        <v>168</v>
      </c>
      <c r="U20" s="349" t="s">
        <v>168</v>
      </c>
      <c r="V20" s="349" t="e">
        <f>_xll.qlMidEquivalent(T20,U20)</f>
        <v>#NUM!</v>
      </c>
      <c r="W20" s="189" t="b">
        <f t="shared" si="2"/>
        <v>0</v>
      </c>
      <c r="X20" s="348" t="e">
        <v>#VALUE!</v>
      </c>
      <c r="Y20" s="182"/>
      <c r="Z20" s="347" t="e">
        <v>#VALUE!</v>
      </c>
      <c r="AA20" s="182"/>
      <c r="AB20" s="190" t="str">
        <f t="shared" si="3"/>
        <v>HKD1L6L12Y_Quote</v>
      </c>
      <c r="AC20" s="346" t="e">
        <v>#VALUE!</v>
      </c>
      <c r="AD20" s="188" t="e">
        <f>_xll.qlSimpleQuoteSetValue($AB20,ROUND($AC20/10000,6),Trigger)</f>
        <v>#NUM!</v>
      </c>
      <c r="AE20" s="178"/>
      <c r="AF20" s="224"/>
      <c r="AG20" s="224"/>
      <c r="AH20" s="224"/>
      <c r="AI20" s="224"/>
      <c r="AJ20" s="224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HKD1L6L13Y_Quote#0011</v>
      </c>
      <c r="G21" s="23" t="str">
        <f>_xll.ohRangeRetrieveError(F21)</f>
        <v/>
      </c>
      <c r="H21" s="22"/>
      <c r="N21" s="187">
        <v>13</v>
      </c>
      <c r="O21" s="239" t="s">
        <v>35</v>
      </c>
      <c r="P21" s="238" t="str">
        <v>1L</v>
      </c>
      <c r="Q21" s="238" t="str">
        <v>6L</v>
      </c>
      <c r="R21" s="236" t="str">
        <f t="shared" si="1"/>
        <v>HKD1L6L13Y</v>
      </c>
      <c r="S21" s="185" t="str">
        <v>HKD1L6L13Y=ICAP</v>
      </c>
      <c r="T21" s="349" t="s">
        <v>168</v>
      </c>
      <c r="U21" s="349" t="s">
        <v>168</v>
      </c>
      <c r="V21" s="349" t="e">
        <f>_xll.qlMidEquivalent(T21,U21)</f>
        <v>#NUM!</v>
      </c>
      <c r="W21" s="189" t="b">
        <f t="shared" si="2"/>
        <v>0</v>
      </c>
      <c r="X21" s="348" t="e">
        <v>#VALUE!</v>
      </c>
      <c r="Y21" s="182"/>
      <c r="Z21" s="347" t="e">
        <v>#VALUE!</v>
      </c>
      <c r="AA21" s="182"/>
      <c r="AB21" s="190" t="str">
        <f t="shared" si="3"/>
        <v>HKD1L6L13Y_Quote</v>
      </c>
      <c r="AC21" s="346" t="e">
        <v>#VALUE!</v>
      </c>
      <c r="AD21" s="188" t="e">
        <f>_xll.qlSimpleQuoteSetValue($AB21,ROUND($AC21/10000,6),Trigger)</f>
        <v>#NUM!</v>
      </c>
      <c r="AE21" s="178"/>
      <c r="AF21" s="224"/>
      <c r="AG21" s="224"/>
      <c r="AH21" s="224"/>
      <c r="AI21" s="224"/>
      <c r="AJ21" s="224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HKD1L6L14Y_Quote#0011</v>
      </c>
      <c r="G22" s="23" t="str">
        <f>_xll.ohRangeRetrieveError(F22)</f>
        <v/>
      </c>
      <c r="H22" s="22"/>
      <c r="N22" s="187">
        <v>14</v>
      </c>
      <c r="O22" s="239" t="s">
        <v>34</v>
      </c>
      <c r="P22" s="238" t="str">
        <v>1L</v>
      </c>
      <c r="Q22" s="238" t="str">
        <v>6L</v>
      </c>
      <c r="R22" s="236" t="str">
        <f t="shared" si="1"/>
        <v>HKD1L6L14Y</v>
      </c>
      <c r="S22" s="185" t="str">
        <v>HKD1L6L14Y=ICAP</v>
      </c>
      <c r="T22" s="349" t="s">
        <v>168</v>
      </c>
      <c r="U22" s="349" t="s">
        <v>168</v>
      </c>
      <c r="V22" s="349" t="e">
        <f>_xll.qlMidEquivalent(T22,U22)</f>
        <v>#NUM!</v>
      </c>
      <c r="W22" s="189" t="b">
        <f t="shared" si="2"/>
        <v>0</v>
      </c>
      <c r="X22" s="348" t="e">
        <v>#VALUE!</v>
      </c>
      <c r="Y22" s="182"/>
      <c r="Z22" s="347" t="e">
        <v>#VALUE!</v>
      </c>
      <c r="AA22" s="182"/>
      <c r="AB22" s="190" t="str">
        <f t="shared" si="3"/>
        <v>HKD1L6L14Y_Quote</v>
      </c>
      <c r="AC22" s="346" t="e">
        <v>#VALUE!</v>
      </c>
      <c r="AD22" s="188" t="e">
        <f>_xll.qlSimpleQuoteSetValue($AB22,ROUND($AC22/10000,6),Trigger)</f>
        <v>#NUM!</v>
      </c>
      <c r="AE22" s="178"/>
      <c r="AF22" s="224"/>
      <c r="AG22" s="224"/>
      <c r="AH22" s="224"/>
      <c r="AI22" s="224"/>
      <c r="AJ22" s="224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HKD1L6L15Y_Quote#0011</v>
      </c>
      <c r="G23" s="23" t="str">
        <f>_xll.ohRangeRetrieveError(F23)</f>
        <v/>
      </c>
      <c r="H23" s="22"/>
      <c r="N23" s="187">
        <v>15</v>
      </c>
      <c r="O23" s="239" t="s">
        <v>33</v>
      </c>
      <c r="P23" s="238" t="str">
        <v>1L</v>
      </c>
      <c r="Q23" s="238" t="str">
        <v>6L</v>
      </c>
      <c r="R23" s="236" t="str">
        <f t="shared" si="1"/>
        <v>HKD1L6L15Y</v>
      </c>
      <c r="S23" s="185" t="str">
        <v>HKD1L6L15Y=ICAP</v>
      </c>
      <c r="T23" s="349" t="s">
        <v>168</v>
      </c>
      <c r="U23" s="349" t="s">
        <v>168</v>
      </c>
      <c r="V23" s="349" t="e">
        <f>_xll.qlMidEquivalent(T23,U23)</f>
        <v>#NUM!</v>
      </c>
      <c r="W23" s="189" t="b">
        <f t="shared" si="2"/>
        <v>0</v>
      </c>
      <c r="X23" s="348" t="e">
        <v>#VALUE!</v>
      </c>
      <c r="Y23" s="182"/>
      <c r="Z23" s="347" t="e">
        <v>#VALUE!</v>
      </c>
      <c r="AA23" s="182"/>
      <c r="AB23" s="190" t="str">
        <f t="shared" si="3"/>
        <v>HKD1L6L15Y_Quote</v>
      </c>
      <c r="AC23" s="346" t="e">
        <v>#VALUE!</v>
      </c>
      <c r="AD23" s="188" t="e">
        <f>_xll.qlSimpleQuoteSetValue($AB23,ROUND($AC23/10000,6),Trigger)</f>
        <v>#NUM!</v>
      </c>
      <c r="AE23" s="178"/>
      <c r="AF23" s="224"/>
      <c r="AG23" s="224"/>
      <c r="AH23" s="224"/>
      <c r="AI23" s="224"/>
      <c r="AJ23" s="224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HKD1L6L16Y_Quote#0011</v>
      </c>
      <c r="G24" s="23" t="str">
        <f>_xll.ohRangeRetrieveError(F24)</f>
        <v/>
      </c>
      <c r="H24" s="22"/>
      <c r="N24" s="187">
        <v>16</v>
      </c>
      <c r="O24" s="239" t="s">
        <v>32</v>
      </c>
      <c r="P24" s="238" t="str">
        <v>1L</v>
      </c>
      <c r="Q24" s="238" t="str">
        <v>6L</v>
      </c>
      <c r="R24" s="236" t="str">
        <f t="shared" si="1"/>
        <v>HKD1L6L16Y</v>
      </c>
      <c r="S24" s="185" t="str">
        <v>HKD1L6L16Y=ICAP</v>
      </c>
      <c r="T24" s="349" t="s">
        <v>168</v>
      </c>
      <c r="U24" s="349" t="s">
        <v>168</v>
      </c>
      <c r="V24" s="349" t="e">
        <f>_xll.qlMidEquivalent(T24,U24)</f>
        <v>#NUM!</v>
      </c>
      <c r="W24" s="189" t="b">
        <f t="shared" si="2"/>
        <v>0</v>
      </c>
      <c r="X24" s="348" t="e">
        <v>#VALUE!</v>
      </c>
      <c r="Y24" s="182"/>
      <c r="Z24" s="347" t="e">
        <v>#VALUE!</v>
      </c>
      <c r="AA24" s="182"/>
      <c r="AB24" s="190" t="str">
        <f t="shared" si="3"/>
        <v>HKD1L6L16Y_Quote</v>
      </c>
      <c r="AC24" s="346" t="e">
        <v>#VALUE!</v>
      </c>
      <c r="AD24" s="188" t="e">
        <f>_xll.qlSimpleQuoteSetValue($AB24,ROUND($AC24/10000,6),Trigger)</f>
        <v>#NUM!</v>
      </c>
      <c r="AE24" s="178"/>
      <c r="AF24" s="224"/>
      <c r="AG24" s="224"/>
      <c r="AH24" s="224"/>
      <c r="AI24" s="224"/>
      <c r="AJ24" s="224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HKD1L6L17Y_Quote#0011</v>
      </c>
      <c r="G25" s="23" t="str">
        <f>_xll.ohRangeRetrieveError(F25)</f>
        <v/>
      </c>
      <c r="H25" s="22"/>
      <c r="N25" s="187">
        <v>17</v>
      </c>
      <c r="O25" s="239" t="s">
        <v>31</v>
      </c>
      <c r="P25" s="238" t="str">
        <v>1L</v>
      </c>
      <c r="Q25" s="238" t="str">
        <v>6L</v>
      </c>
      <c r="R25" s="236" t="str">
        <f t="shared" si="1"/>
        <v>HKD1L6L17Y</v>
      </c>
      <c r="S25" s="185" t="str">
        <v>HKD1L6L17Y=ICAP</v>
      </c>
      <c r="T25" s="349" t="s">
        <v>168</v>
      </c>
      <c r="U25" s="349" t="s">
        <v>168</v>
      </c>
      <c r="V25" s="349" t="e">
        <f>_xll.qlMidEquivalent(T25,U25)</f>
        <v>#NUM!</v>
      </c>
      <c r="W25" s="189" t="b">
        <f t="shared" si="2"/>
        <v>0</v>
      </c>
      <c r="X25" s="348" t="e">
        <v>#VALUE!</v>
      </c>
      <c r="Y25" s="182"/>
      <c r="Z25" s="347" t="e">
        <v>#VALUE!</v>
      </c>
      <c r="AA25" s="182"/>
      <c r="AB25" s="190" t="str">
        <f t="shared" si="3"/>
        <v>HKD1L6L17Y_Quote</v>
      </c>
      <c r="AC25" s="346" t="e">
        <v>#VALUE!</v>
      </c>
      <c r="AD25" s="188" t="e">
        <f>_xll.qlSimpleQuoteSetValue($AB25,ROUND($AC25/10000,6),Trigger)</f>
        <v>#NUM!</v>
      </c>
      <c r="AE25" s="178"/>
      <c r="AF25" s="224"/>
      <c r="AG25" s="224"/>
      <c r="AH25" s="224"/>
      <c r="AI25" s="224"/>
      <c r="AJ25" s="224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HKD1L6L18Y_Quote#0011</v>
      </c>
      <c r="G26" s="23" t="str">
        <f>_xll.ohRangeRetrieveError(F26)</f>
        <v/>
      </c>
      <c r="H26" s="22"/>
      <c r="N26" s="187">
        <v>18</v>
      </c>
      <c r="O26" s="239" t="s">
        <v>30</v>
      </c>
      <c r="P26" s="238" t="str">
        <v>1L</v>
      </c>
      <c r="Q26" s="238" t="str">
        <v>6L</v>
      </c>
      <c r="R26" s="236" t="str">
        <f t="shared" si="1"/>
        <v>HKD1L6L18Y</v>
      </c>
      <c r="S26" s="185" t="str">
        <v>HKD1L6L18Y=ICAP</v>
      </c>
      <c r="T26" s="349" t="s">
        <v>168</v>
      </c>
      <c r="U26" s="349" t="s">
        <v>168</v>
      </c>
      <c r="V26" s="349" t="e">
        <f>_xll.qlMidEquivalent(T26,U26)</f>
        <v>#NUM!</v>
      </c>
      <c r="W26" s="189" t="b">
        <f t="shared" si="2"/>
        <v>0</v>
      </c>
      <c r="X26" s="348" t="e">
        <v>#VALUE!</v>
      </c>
      <c r="Y26" s="182"/>
      <c r="Z26" s="347" t="e">
        <v>#VALUE!</v>
      </c>
      <c r="AA26" s="182"/>
      <c r="AB26" s="190" t="str">
        <f t="shared" si="3"/>
        <v>HKD1L6L18Y_Quote</v>
      </c>
      <c r="AC26" s="346" t="e">
        <v>#VALUE!</v>
      </c>
      <c r="AD26" s="188" t="e">
        <f>_xll.qlSimpleQuoteSetValue($AB26,ROUND($AC26/10000,6),Trigger)</f>
        <v>#NUM!</v>
      </c>
      <c r="AE26" s="178"/>
      <c r="AF26" s="224"/>
      <c r="AG26" s="224"/>
      <c r="AH26" s="224"/>
      <c r="AI26" s="224"/>
      <c r="AJ26" s="224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HKD1L6L19Y_Quote#0011</v>
      </c>
      <c r="G27" s="23" t="str">
        <f>_xll.ohRangeRetrieveError(F27)</f>
        <v/>
      </c>
      <c r="H27" s="22"/>
      <c r="N27" s="187">
        <v>19</v>
      </c>
      <c r="O27" s="239" t="s">
        <v>29</v>
      </c>
      <c r="P27" s="238" t="str">
        <v>1L</v>
      </c>
      <c r="Q27" s="238" t="str">
        <v>6L</v>
      </c>
      <c r="R27" s="236" t="str">
        <f t="shared" si="1"/>
        <v>HKD1L6L19Y</v>
      </c>
      <c r="S27" s="185" t="str">
        <v>HKD1L6L19Y=ICAP</v>
      </c>
      <c r="T27" s="349" t="s">
        <v>168</v>
      </c>
      <c r="U27" s="349" t="s">
        <v>168</v>
      </c>
      <c r="V27" s="349" t="e">
        <f>_xll.qlMidEquivalent(T27,U27)</f>
        <v>#NUM!</v>
      </c>
      <c r="W27" s="189" t="b">
        <f t="shared" si="2"/>
        <v>0</v>
      </c>
      <c r="X27" s="348" t="e">
        <v>#VALUE!</v>
      </c>
      <c r="Y27" s="182"/>
      <c r="Z27" s="347" t="e">
        <v>#VALUE!</v>
      </c>
      <c r="AA27" s="182"/>
      <c r="AB27" s="190" t="str">
        <f t="shared" si="3"/>
        <v>HKD1L6L19Y_Quote</v>
      </c>
      <c r="AC27" s="346" t="e">
        <v>#VALUE!</v>
      </c>
      <c r="AD27" s="188" t="e">
        <f>_xll.qlSimpleQuoteSetValue($AB27,ROUND($AC27/10000,6),Trigger)</f>
        <v>#NUM!</v>
      </c>
      <c r="AE27" s="178"/>
      <c r="AF27" s="224"/>
      <c r="AG27" s="224"/>
      <c r="AH27" s="224"/>
      <c r="AI27" s="224"/>
      <c r="AJ27" s="224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HKD1L6L20Y_Quote#0011</v>
      </c>
      <c r="G28" s="23" t="str">
        <f>_xll.ohRangeRetrieveError(F28)</f>
        <v/>
      </c>
      <c r="H28" s="22"/>
      <c r="N28" s="187">
        <v>20</v>
      </c>
      <c r="O28" s="239" t="s">
        <v>28</v>
      </c>
      <c r="P28" s="238" t="str">
        <v>1L</v>
      </c>
      <c r="Q28" s="238" t="str">
        <v>6L</v>
      </c>
      <c r="R28" s="236" t="str">
        <f t="shared" si="1"/>
        <v>HKD1L6L20Y</v>
      </c>
      <c r="S28" s="185" t="str">
        <v>HKD1L6L20Y=ICAP</v>
      </c>
      <c r="T28" s="349" t="s">
        <v>168</v>
      </c>
      <c r="U28" s="349" t="s">
        <v>168</v>
      </c>
      <c r="V28" s="349" t="e">
        <f>_xll.qlMidEquivalent(T28,U28)</f>
        <v>#NUM!</v>
      </c>
      <c r="W28" s="189" t="b">
        <f t="shared" si="2"/>
        <v>0</v>
      </c>
      <c r="X28" s="348" t="e">
        <v>#VALUE!</v>
      </c>
      <c r="Y28" s="182"/>
      <c r="Z28" s="347" t="e">
        <v>#VALUE!</v>
      </c>
      <c r="AA28" s="182"/>
      <c r="AB28" s="190" t="str">
        <f t="shared" si="3"/>
        <v>HKD1L6L20Y_Quote</v>
      </c>
      <c r="AC28" s="346" t="e">
        <v>#VALUE!</v>
      </c>
      <c r="AD28" s="188" t="e">
        <f>_xll.qlSimpleQuoteSetValue($AB28,ROUND($AC28/10000,6),Trigger)</f>
        <v>#NUM!</v>
      </c>
      <c r="AE28" s="178"/>
      <c r="AF28" s="224"/>
      <c r="AG28" s="224"/>
      <c r="AH28" s="224"/>
      <c r="AI28" s="224"/>
      <c r="AJ28" s="224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HKD1L6L21Y_Quote#0011</v>
      </c>
      <c r="G29" s="23" t="str">
        <f>_xll.ohRangeRetrieveError(F29)</f>
        <v/>
      </c>
      <c r="H29" s="22"/>
      <c r="N29" s="187">
        <v>21</v>
      </c>
      <c r="O29" s="239" t="s">
        <v>27</v>
      </c>
      <c r="P29" s="238" t="str">
        <v>1L</v>
      </c>
      <c r="Q29" s="238" t="str">
        <v>6L</v>
      </c>
      <c r="R29" s="236" t="str">
        <f t="shared" si="1"/>
        <v>HKD1L6L21Y</v>
      </c>
      <c r="S29" s="185" t="str">
        <v>HKD1L6L21Y=ICAP</v>
      </c>
      <c r="T29" s="349" t="s">
        <v>168</v>
      </c>
      <c r="U29" s="349" t="s">
        <v>168</v>
      </c>
      <c r="V29" s="349" t="e">
        <f>_xll.qlMidEquivalent(T29,U29)</f>
        <v>#NUM!</v>
      </c>
      <c r="W29" s="189" t="b">
        <f t="shared" si="2"/>
        <v>0</v>
      </c>
      <c r="X29" s="348" t="e">
        <v>#VALUE!</v>
      </c>
      <c r="Y29" s="182"/>
      <c r="Z29" s="347" t="e">
        <v>#VALUE!</v>
      </c>
      <c r="AA29" s="182"/>
      <c r="AB29" s="190" t="str">
        <f t="shared" si="3"/>
        <v>HKD1L6L21Y_Quote</v>
      </c>
      <c r="AC29" s="346" t="e">
        <v>#VALUE!</v>
      </c>
      <c r="AD29" s="188" t="e">
        <f>_xll.qlSimpleQuoteSetValue($AB29,ROUND($AC29/10000,6),Trigger)</f>
        <v>#NUM!</v>
      </c>
      <c r="AE29" s="178"/>
      <c r="AF29" s="224"/>
      <c r="AG29" s="224"/>
      <c r="AH29" s="224"/>
      <c r="AI29" s="224"/>
      <c r="AJ29" s="224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HKD1L6L22Y_Quote#0011</v>
      </c>
      <c r="G30" s="23" t="str">
        <f>_xll.ohRangeRetrieveError(F30)</f>
        <v/>
      </c>
      <c r="H30" s="22"/>
      <c r="N30" s="187">
        <v>22</v>
      </c>
      <c r="O30" s="239" t="s">
        <v>26</v>
      </c>
      <c r="P30" s="238" t="str">
        <v>1L</v>
      </c>
      <c r="Q30" s="238" t="str">
        <v>6L</v>
      </c>
      <c r="R30" s="236" t="str">
        <f t="shared" si="1"/>
        <v>HKD1L6L22Y</v>
      </c>
      <c r="S30" s="185" t="str">
        <v>HKD1L6L22Y=ICAP</v>
      </c>
      <c r="T30" s="349" t="s">
        <v>168</v>
      </c>
      <c r="U30" s="349" t="s">
        <v>168</v>
      </c>
      <c r="V30" s="349" t="e">
        <f>_xll.qlMidEquivalent(T30,U30)</f>
        <v>#NUM!</v>
      </c>
      <c r="W30" s="189" t="b">
        <f t="shared" si="2"/>
        <v>0</v>
      </c>
      <c r="X30" s="348" t="e">
        <v>#VALUE!</v>
      </c>
      <c r="Y30" s="182"/>
      <c r="Z30" s="347" t="e">
        <v>#VALUE!</v>
      </c>
      <c r="AA30" s="182"/>
      <c r="AB30" s="190" t="str">
        <f t="shared" si="3"/>
        <v>HKD1L6L22Y_Quote</v>
      </c>
      <c r="AC30" s="346" t="e">
        <v>#VALUE!</v>
      </c>
      <c r="AD30" s="188" t="e">
        <f>_xll.qlSimpleQuoteSetValue($AB30,ROUND($AC30/10000,6),Trigger)</f>
        <v>#NUM!</v>
      </c>
      <c r="AE30" s="178"/>
      <c r="AF30" s="224"/>
      <c r="AG30" s="224"/>
      <c r="AH30" s="224"/>
      <c r="AI30" s="224"/>
      <c r="AJ30" s="224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HKD1L6L23Y_Quote#0011</v>
      </c>
      <c r="G31" s="23" t="str">
        <f>_xll.ohRangeRetrieveError(F31)</f>
        <v/>
      </c>
      <c r="H31" s="22"/>
      <c r="N31" s="187">
        <v>23</v>
      </c>
      <c r="O31" s="239" t="s">
        <v>25</v>
      </c>
      <c r="P31" s="238" t="str">
        <v>1L</v>
      </c>
      <c r="Q31" s="238" t="str">
        <v>6L</v>
      </c>
      <c r="R31" s="236" t="str">
        <f t="shared" si="1"/>
        <v>HKD1L6L23Y</v>
      </c>
      <c r="S31" s="185" t="str">
        <v>HKD1L6L23Y=ICAP</v>
      </c>
      <c r="T31" s="349" t="s">
        <v>168</v>
      </c>
      <c r="U31" s="349" t="s">
        <v>168</v>
      </c>
      <c r="V31" s="349" t="e">
        <f>_xll.qlMidEquivalent(T31,U31)</f>
        <v>#NUM!</v>
      </c>
      <c r="W31" s="189" t="b">
        <f t="shared" si="2"/>
        <v>0</v>
      </c>
      <c r="X31" s="348" t="e">
        <v>#VALUE!</v>
      </c>
      <c r="Y31" s="182"/>
      <c r="Z31" s="347" t="e">
        <v>#VALUE!</v>
      </c>
      <c r="AA31" s="182"/>
      <c r="AB31" s="190" t="str">
        <f t="shared" si="3"/>
        <v>HKD1L6L23Y_Quote</v>
      </c>
      <c r="AC31" s="346" t="e">
        <v>#VALUE!</v>
      </c>
      <c r="AD31" s="188" t="e">
        <f>_xll.qlSimpleQuoteSetValue($AB31,ROUND($AC31/10000,6),Trigger)</f>
        <v>#NUM!</v>
      </c>
      <c r="AE31" s="178"/>
      <c r="AF31" s="224"/>
      <c r="AG31" s="224"/>
      <c r="AH31" s="224"/>
      <c r="AI31" s="224"/>
      <c r="AJ31" s="224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HKD1L6L24Y_Quote#0011</v>
      </c>
      <c r="G32" s="23" t="str">
        <f>_xll.ohRangeRetrieveError(F32)</f>
        <v/>
      </c>
      <c r="H32" s="22"/>
      <c r="N32" s="187">
        <v>24</v>
      </c>
      <c r="O32" s="239" t="s">
        <v>24</v>
      </c>
      <c r="P32" s="238" t="str">
        <v>1L</v>
      </c>
      <c r="Q32" s="238" t="str">
        <v>6L</v>
      </c>
      <c r="R32" s="236" t="str">
        <f t="shared" si="1"/>
        <v>HKD1L6L24Y</v>
      </c>
      <c r="S32" s="185" t="str">
        <v>HKD1L6L24Y=ICAP</v>
      </c>
      <c r="T32" s="349" t="s">
        <v>168</v>
      </c>
      <c r="U32" s="349" t="s">
        <v>168</v>
      </c>
      <c r="V32" s="349" t="e">
        <f>_xll.qlMidEquivalent(T32,U32)</f>
        <v>#NUM!</v>
      </c>
      <c r="W32" s="189" t="b">
        <f t="shared" si="2"/>
        <v>0</v>
      </c>
      <c r="X32" s="348" t="e">
        <v>#VALUE!</v>
      </c>
      <c r="Y32" s="182"/>
      <c r="Z32" s="347" t="e">
        <v>#VALUE!</v>
      </c>
      <c r="AA32" s="182"/>
      <c r="AB32" s="190" t="str">
        <f t="shared" si="3"/>
        <v>HKD1L6L24Y_Quote</v>
      </c>
      <c r="AC32" s="346" t="e">
        <v>#VALUE!</v>
      </c>
      <c r="AD32" s="188" t="e">
        <f>_xll.qlSimpleQuoteSetValue($AB32,ROUND($AC32/10000,6),Trigger)</f>
        <v>#NUM!</v>
      </c>
      <c r="AE32" s="178"/>
      <c r="AF32" s="224"/>
      <c r="AG32" s="224"/>
      <c r="AH32" s="224"/>
      <c r="AI32" s="224"/>
      <c r="AJ32" s="224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HKD1L6L25Y_Quote#0011</v>
      </c>
      <c r="G33" s="23" t="str">
        <f>_xll.ohRangeRetrieveError(F33)</f>
        <v/>
      </c>
      <c r="H33" s="22"/>
      <c r="N33" s="187">
        <v>25</v>
      </c>
      <c r="O33" s="239" t="s">
        <v>23</v>
      </c>
      <c r="P33" s="238" t="str">
        <v>1L</v>
      </c>
      <c r="Q33" s="238" t="str">
        <v>6L</v>
      </c>
      <c r="R33" s="236" t="str">
        <f t="shared" si="1"/>
        <v>HKD1L6L25Y</v>
      </c>
      <c r="S33" s="185" t="str">
        <v>HKD1L6L25Y=ICAP</v>
      </c>
      <c r="T33" s="349" t="s">
        <v>168</v>
      </c>
      <c r="U33" s="349" t="s">
        <v>168</v>
      </c>
      <c r="V33" s="349" t="e">
        <f>_xll.qlMidEquivalent(T33,U33)</f>
        <v>#NUM!</v>
      </c>
      <c r="W33" s="189" t="b">
        <f t="shared" si="2"/>
        <v>0</v>
      </c>
      <c r="X33" s="348" t="e">
        <v>#VALUE!</v>
      </c>
      <c r="Y33" s="182"/>
      <c r="Z33" s="347" t="e">
        <v>#VALUE!</v>
      </c>
      <c r="AA33" s="182"/>
      <c r="AB33" s="190" t="str">
        <f t="shared" si="3"/>
        <v>HKD1L6L25Y_Quote</v>
      </c>
      <c r="AC33" s="346" t="e">
        <v>#VALUE!</v>
      </c>
      <c r="AD33" s="188" t="e">
        <f>_xll.qlSimpleQuoteSetValue($AB33,ROUND($AC33/10000,6),Trigger)</f>
        <v>#NUM!</v>
      </c>
      <c r="AE33" s="178"/>
      <c r="AF33" s="224"/>
      <c r="AG33" s="224"/>
      <c r="AH33" s="224"/>
      <c r="AI33" s="224"/>
      <c r="AJ33" s="224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HKD1L6L26Y_Quote#0011</v>
      </c>
      <c r="G34" s="23" t="str">
        <f>_xll.ohRangeRetrieveError(F34)</f>
        <v/>
      </c>
      <c r="H34" s="22"/>
      <c r="N34" s="187">
        <v>26</v>
      </c>
      <c r="O34" s="239" t="s">
        <v>22</v>
      </c>
      <c r="P34" s="238" t="str">
        <v>1L</v>
      </c>
      <c r="Q34" s="238" t="str">
        <v>6L</v>
      </c>
      <c r="R34" s="236" t="str">
        <f t="shared" si="1"/>
        <v>HKD1L6L26Y</v>
      </c>
      <c r="S34" s="185" t="str">
        <v>HKD1L6L26Y=ICAP</v>
      </c>
      <c r="T34" s="349" t="s">
        <v>168</v>
      </c>
      <c r="U34" s="349" t="s">
        <v>168</v>
      </c>
      <c r="V34" s="349" t="e">
        <f>_xll.qlMidEquivalent(T34,U34)</f>
        <v>#NUM!</v>
      </c>
      <c r="W34" s="189" t="b">
        <f t="shared" si="2"/>
        <v>0</v>
      </c>
      <c r="X34" s="348" t="e">
        <v>#VALUE!</v>
      </c>
      <c r="Y34" s="182"/>
      <c r="Z34" s="347" t="e">
        <v>#VALUE!</v>
      </c>
      <c r="AA34" s="182"/>
      <c r="AB34" s="190" t="str">
        <f t="shared" si="3"/>
        <v>HKD1L6L26Y_Quote</v>
      </c>
      <c r="AC34" s="346" t="e">
        <v>#VALUE!</v>
      </c>
      <c r="AD34" s="188" t="e">
        <f>_xll.qlSimpleQuoteSetValue($AB34,ROUND($AC34/10000,6),Trigger)</f>
        <v>#NUM!</v>
      </c>
      <c r="AE34" s="178"/>
      <c r="AF34" s="224"/>
      <c r="AG34" s="224"/>
      <c r="AH34" s="224"/>
      <c r="AI34" s="224"/>
      <c r="AJ34" s="224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HKD1L6L27Y_Quote#0011</v>
      </c>
      <c r="G35" s="23" t="str">
        <f>_xll.ohRangeRetrieveError(F35)</f>
        <v/>
      </c>
      <c r="H35" s="22"/>
      <c r="N35" s="187">
        <v>27</v>
      </c>
      <c r="O35" s="239" t="s">
        <v>21</v>
      </c>
      <c r="P35" s="238" t="str">
        <v>1L</v>
      </c>
      <c r="Q35" s="238" t="str">
        <v>6L</v>
      </c>
      <c r="R35" s="236" t="str">
        <f t="shared" si="1"/>
        <v>HKD1L6L27Y</v>
      </c>
      <c r="S35" s="185" t="str">
        <v>HKD1L6L27Y=ICAP</v>
      </c>
      <c r="T35" s="349" t="s">
        <v>168</v>
      </c>
      <c r="U35" s="349" t="s">
        <v>168</v>
      </c>
      <c r="V35" s="349" t="e">
        <f>_xll.qlMidEquivalent(T35,U35)</f>
        <v>#NUM!</v>
      </c>
      <c r="W35" s="189" t="b">
        <f t="shared" si="2"/>
        <v>0</v>
      </c>
      <c r="X35" s="348" t="e">
        <v>#VALUE!</v>
      </c>
      <c r="Y35" s="182"/>
      <c r="Z35" s="347" t="e">
        <v>#VALUE!</v>
      </c>
      <c r="AA35" s="182"/>
      <c r="AB35" s="190" t="str">
        <f t="shared" si="3"/>
        <v>HKD1L6L27Y_Quote</v>
      </c>
      <c r="AC35" s="346" t="e">
        <v>#VALUE!</v>
      </c>
      <c r="AD35" s="188" t="e">
        <f>_xll.qlSimpleQuoteSetValue($AB35,ROUND($AC35/10000,6),Trigger)</f>
        <v>#NUM!</v>
      </c>
      <c r="AE35" s="178"/>
      <c r="AF35" s="224"/>
      <c r="AG35" s="224"/>
      <c r="AH35" s="224"/>
      <c r="AI35" s="224"/>
      <c r="AJ35" s="224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HKD1L6L28Y_Quote#0011</v>
      </c>
      <c r="G36" s="23" t="str">
        <f>_xll.ohRangeRetrieveError(F36)</f>
        <v/>
      </c>
      <c r="H36" s="22"/>
      <c r="N36" s="187">
        <v>28</v>
      </c>
      <c r="O36" s="239" t="s">
        <v>20</v>
      </c>
      <c r="P36" s="238" t="str">
        <v>1L</v>
      </c>
      <c r="Q36" s="238" t="str">
        <v>6L</v>
      </c>
      <c r="R36" s="236" t="str">
        <f t="shared" si="1"/>
        <v>HKD1L6L28Y</v>
      </c>
      <c r="S36" s="185" t="str">
        <v>HKD1L6L28Y=ICAP</v>
      </c>
      <c r="T36" s="349" t="s">
        <v>168</v>
      </c>
      <c r="U36" s="349" t="s">
        <v>168</v>
      </c>
      <c r="V36" s="349" t="e">
        <f>_xll.qlMidEquivalent(T36,U36)</f>
        <v>#NUM!</v>
      </c>
      <c r="W36" s="189" t="b">
        <f t="shared" si="2"/>
        <v>0</v>
      </c>
      <c r="X36" s="348" t="e">
        <v>#VALUE!</v>
      </c>
      <c r="Y36" s="182"/>
      <c r="Z36" s="347" t="e">
        <v>#VALUE!</v>
      </c>
      <c r="AA36" s="182"/>
      <c r="AB36" s="190" t="str">
        <f t="shared" si="3"/>
        <v>HKD1L6L28Y_Quote</v>
      </c>
      <c r="AC36" s="346" t="e">
        <v>#VALUE!</v>
      </c>
      <c r="AD36" s="188" t="e">
        <f>_xll.qlSimpleQuoteSetValue($AB36,ROUND($AC36/10000,6),Trigger)</f>
        <v>#NUM!</v>
      </c>
      <c r="AE36" s="178"/>
      <c r="AF36" s="224"/>
      <c r="AG36" s="224"/>
      <c r="AH36" s="224"/>
      <c r="AI36" s="224"/>
      <c r="AJ36" s="224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HKD1L6L29Y_Quote#0011</v>
      </c>
      <c r="G37" s="23" t="str">
        <f>_xll.ohRangeRetrieveError(F37)</f>
        <v/>
      </c>
      <c r="H37" s="22"/>
      <c r="N37" s="187">
        <v>29</v>
      </c>
      <c r="O37" s="239" t="s">
        <v>19</v>
      </c>
      <c r="P37" s="238" t="str">
        <v>1L</v>
      </c>
      <c r="Q37" s="238" t="str">
        <v>6L</v>
      </c>
      <c r="R37" s="236" t="str">
        <f t="shared" si="1"/>
        <v>HKD1L6L29Y</v>
      </c>
      <c r="S37" s="185" t="str">
        <v>HKD1L6L29Y=ICAP</v>
      </c>
      <c r="T37" s="349" t="s">
        <v>168</v>
      </c>
      <c r="U37" s="349" t="s">
        <v>168</v>
      </c>
      <c r="V37" s="349" t="e">
        <f>_xll.qlMidEquivalent(T37,U37)</f>
        <v>#NUM!</v>
      </c>
      <c r="W37" s="189" t="b">
        <f t="shared" si="2"/>
        <v>0</v>
      </c>
      <c r="X37" s="348" t="e">
        <v>#VALUE!</v>
      </c>
      <c r="Y37" s="182"/>
      <c r="Z37" s="347" t="e">
        <v>#VALUE!</v>
      </c>
      <c r="AA37" s="182"/>
      <c r="AB37" s="190" t="str">
        <f t="shared" si="3"/>
        <v>HKD1L6L29Y_Quote</v>
      </c>
      <c r="AC37" s="346" t="e">
        <v>#VALUE!</v>
      </c>
      <c r="AD37" s="188" t="e">
        <f>_xll.qlSimpleQuoteSetValue($AB37,ROUND($AC37/10000,6),Trigger)</f>
        <v>#NUM!</v>
      </c>
      <c r="AE37" s="178"/>
      <c r="AF37" s="224"/>
      <c r="AG37" s="224"/>
      <c r="AH37" s="224"/>
      <c r="AI37" s="224"/>
      <c r="AJ37" s="224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HKD1L6L30Y_Quote#0011</v>
      </c>
      <c r="G38" s="23" t="str">
        <f>_xll.ohRangeRetrieveError(F38)</f>
        <v/>
      </c>
      <c r="H38" s="22"/>
      <c r="N38" s="187">
        <v>30</v>
      </c>
      <c r="O38" s="239" t="s">
        <v>18</v>
      </c>
      <c r="P38" s="238" t="str">
        <v>1L</v>
      </c>
      <c r="Q38" s="238" t="str">
        <v>6L</v>
      </c>
      <c r="R38" s="236" t="str">
        <f t="shared" si="1"/>
        <v>HKD1L6L30Y</v>
      </c>
      <c r="S38" s="185" t="str">
        <v>HKD1L6L30Y=ICAP</v>
      </c>
      <c r="T38" s="349" t="s">
        <v>168</v>
      </c>
      <c r="U38" s="349" t="s">
        <v>168</v>
      </c>
      <c r="V38" s="349" t="e">
        <f>_xll.qlMidEquivalent(T38,U38)</f>
        <v>#NUM!</v>
      </c>
      <c r="W38" s="189" t="b">
        <f t="shared" si="2"/>
        <v>0</v>
      </c>
      <c r="X38" s="348" t="e">
        <v>#VALUE!</v>
      </c>
      <c r="Y38" s="182"/>
      <c r="Z38" s="347" t="e">
        <v>#VALUE!</v>
      </c>
      <c r="AA38" s="182"/>
      <c r="AB38" s="190" t="str">
        <f t="shared" si="3"/>
        <v>HKD1L6L30Y_Quote</v>
      </c>
      <c r="AC38" s="346" t="e">
        <v>#VALUE!</v>
      </c>
      <c r="AD38" s="188" t="e">
        <f>_xll.qlSimpleQuoteSetValue($AB38,ROUND($AC38/10000,6),Trigger)</f>
        <v>#NUM!</v>
      </c>
      <c r="AE38" s="178"/>
      <c r="AF38" s="224"/>
      <c r="AG38" s="224"/>
      <c r="AH38" s="224"/>
      <c r="AI38" s="224"/>
      <c r="AJ38" s="224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HKD1L6L35Y_Quote#0011</v>
      </c>
      <c r="G39" s="23" t="str">
        <f>_xll.ohRangeRetrieveError(F39)</f>
        <v/>
      </c>
      <c r="H39" s="22"/>
      <c r="N39" s="187">
        <v>35</v>
      </c>
      <c r="O39" s="239" t="s">
        <v>17</v>
      </c>
      <c r="P39" s="238" t="str">
        <v>1L</v>
      </c>
      <c r="Q39" s="238" t="str">
        <v>6L</v>
      </c>
      <c r="R39" s="236" t="str">
        <f t="shared" si="1"/>
        <v>HKD1L6L35Y</v>
      </c>
      <c r="S39" s="185" t="str">
        <v>HKD1L6L35Y=ICAP</v>
      </c>
      <c r="T39" s="349" t="s">
        <v>168</v>
      </c>
      <c r="U39" s="349" t="s">
        <v>168</v>
      </c>
      <c r="V39" s="349" t="e">
        <f>_xll.qlMidEquivalent(T39,U39)</f>
        <v>#NUM!</v>
      </c>
      <c r="W39" s="189" t="b">
        <f t="shared" si="2"/>
        <v>0</v>
      </c>
      <c r="X39" s="348" t="e">
        <v>#VALUE!</v>
      </c>
      <c r="Y39" s="182"/>
      <c r="Z39" s="347" t="e">
        <v>#VALUE!</v>
      </c>
      <c r="AA39" s="182"/>
      <c r="AB39" s="190" t="str">
        <f t="shared" si="3"/>
        <v>HKD1L6L35Y_Quote</v>
      </c>
      <c r="AC39" s="346" t="e">
        <v>#VALUE!</v>
      </c>
      <c r="AD39" s="188" t="e">
        <f>_xll.qlSimpleQuoteSetValue($AB39,ROUND($AC39/10000,6),Trigger)</f>
        <v>#NUM!</v>
      </c>
      <c r="AE39" s="178"/>
      <c r="AF39" s="224"/>
      <c r="AG39" s="224"/>
      <c r="AH39" s="224"/>
      <c r="AI39" s="224"/>
      <c r="AJ39" s="224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HKD1L6L40Y_Quote#0011</v>
      </c>
      <c r="G40" s="23" t="str">
        <f>_xll.ohRangeRetrieveError(F40)</f>
        <v/>
      </c>
      <c r="H40" s="22"/>
      <c r="N40" s="187">
        <v>40</v>
      </c>
      <c r="O40" s="239" t="s">
        <v>16</v>
      </c>
      <c r="P40" s="238" t="str">
        <v>1L</v>
      </c>
      <c r="Q40" s="238" t="str">
        <v>6L</v>
      </c>
      <c r="R40" s="236" t="str">
        <f t="shared" si="1"/>
        <v>HKD1L6L40Y</v>
      </c>
      <c r="S40" s="185" t="str">
        <v>HKD1L6L40Y=ICAP</v>
      </c>
      <c r="T40" s="349" t="s">
        <v>168</v>
      </c>
      <c r="U40" s="349" t="s">
        <v>168</v>
      </c>
      <c r="V40" s="349" t="e">
        <f>_xll.qlMidEquivalent(T40,U40)</f>
        <v>#NUM!</v>
      </c>
      <c r="W40" s="189" t="b">
        <f t="shared" si="2"/>
        <v>0</v>
      </c>
      <c r="X40" s="348" t="e">
        <v>#VALUE!</v>
      </c>
      <c r="Y40" s="182"/>
      <c r="Z40" s="347" t="e">
        <v>#VALUE!</v>
      </c>
      <c r="AA40" s="182"/>
      <c r="AB40" s="190" t="str">
        <f t="shared" si="3"/>
        <v>HKD1L6L40Y_Quote</v>
      </c>
      <c r="AC40" s="346" t="e">
        <v>#VALUE!</v>
      </c>
      <c r="AD40" s="188" t="e">
        <f>_xll.qlSimpleQuoteSetValue($AB40,ROUND($AC40/10000,6),Trigger)</f>
        <v>#NUM!</v>
      </c>
      <c r="AE40" s="178"/>
      <c r="AF40" s="224"/>
      <c r="AG40" s="224"/>
      <c r="AH40" s="224"/>
      <c r="AI40" s="224"/>
      <c r="AJ40" s="224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HKD1L6L50Y_Quote#0011</v>
      </c>
      <c r="G41" s="23" t="str">
        <f>_xll.ohRangeRetrieveError(F41)</f>
        <v/>
      </c>
      <c r="H41" s="22"/>
      <c r="N41" s="187">
        <v>50</v>
      </c>
      <c r="O41" s="239" t="s">
        <v>15</v>
      </c>
      <c r="P41" s="238" t="str">
        <v>1L</v>
      </c>
      <c r="Q41" s="238" t="str">
        <v>6L</v>
      </c>
      <c r="R41" s="236" t="str">
        <f t="shared" si="1"/>
        <v>HKD1L6L50Y</v>
      </c>
      <c r="S41" s="185" t="str">
        <v>HKD1L6L50Y=ICAP</v>
      </c>
      <c r="T41" s="349" t="s">
        <v>168</v>
      </c>
      <c r="U41" s="349" t="s">
        <v>168</v>
      </c>
      <c r="V41" s="349" t="e">
        <f>_xll.qlMidEquivalent(T41,U41)</f>
        <v>#NUM!</v>
      </c>
      <c r="W41" s="189" t="b">
        <f t="shared" si="2"/>
        <v>0</v>
      </c>
      <c r="X41" s="348" t="e">
        <v>#VALUE!</v>
      </c>
      <c r="Y41" s="182"/>
      <c r="Z41" s="347" t="e">
        <v>#VALUE!</v>
      </c>
      <c r="AA41" s="182"/>
      <c r="AB41" s="190" t="str">
        <f t="shared" si="3"/>
        <v>HKD1L6L50Y_Quote</v>
      </c>
      <c r="AC41" s="346" t="e">
        <v>#VALUE!</v>
      </c>
      <c r="AD41" s="188" t="e">
        <f>_xll.qlSimpleQuoteSetValue($AB41,ROUND($AC41/10000,6),Trigger)</f>
        <v>#NUM!</v>
      </c>
      <c r="AE41" s="178"/>
      <c r="AF41" s="224"/>
      <c r="AG41" s="224"/>
      <c r="AH41" s="224"/>
      <c r="AI41" s="224"/>
      <c r="AJ41" s="224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HKD1L6L60Y_Quote#0011</v>
      </c>
      <c r="G42" s="23" t="str">
        <f>_xll.ohRangeRetrieveError(F42)</f>
        <v/>
      </c>
      <c r="H42" s="22"/>
      <c r="N42" s="187">
        <v>60</v>
      </c>
      <c r="O42" s="239" t="s">
        <v>14</v>
      </c>
      <c r="P42" s="238" t="str">
        <v>1L</v>
      </c>
      <c r="Q42" s="238" t="str">
        <v>6L</v>
      </c>
      <c r="R42" s="236" t="str">
        <f t="shared" si="1"/>
        <v>HKD1L6L60Y</v>
      </c>
      <c r="S42" s="185" t="str">
        <v>HKD1L6L60Y=ICAP</v>
      </c>
      <c r="T42" s="349" t="s">
        <v>168</v>
      </c>
      <c r="U42" s="349" t="s">
        <v>168</v>
      </c>
      <c r="V42" s="349" t="e">
        <f>_xll.qlMidEquivalent(T42,U42)</f>
        <v>#NUM!</v>
      </c>
      <c r="W42" s="189" t="b">
        <f t="shared" si="2"/>
        <v>0</v>
      </c>
      <c r="X42" s="348" t="e">
        <v>#VALUE!</v>
      </c>
      <c r="Y42" s="182"/>
      <c r="Z42" s="347" t="e">
        <v>#VALUE!</v>
      </c>
      <c r="AA42" s="182"/>
      <c r="AB42" s="190" t="str">
        <f t="shared" si="3"/>
        <v>HKD1L6L60Y_Quote</v>
      </c>
      <c r="AC42" s="346" t="e">
        <v>#VALUE!</v>
      </c>
      <c r="AD42" s="188" t="e">
        <f>_xll.qlSimpleQuoteSetValue($AB42,ROUND($AC42/10000,6),Trigger)</f>
        <v>#NUM!</v>
      </c>
      <c r="AE42" s="178"/>
      <c r="AF42" s="224"/>
      <c r="AG42" s="224"/>
      <c r="AH42" s="224"/>
      <c r="AI42" s="224"/>
      <c r="AJ42" s="224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77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5"/>
      <c r="Z43" s="176"/>
      <c r="AA43" s="175"/>
      <c r="AB43" s="176"/>
      <c r="AC43" s="176"/>
      <c r="AD43" s="176"/>
      <c r="AE43" s="324"/>
      <c r="AF43" s="224"/>
      <c r="AG43" s="224"/>
      <c r="AH43" s="224"/>
      <c r="AI43" s="224"/>
      <c r="AJ43" s="224"/>
    </row>
    <row r="44" spans="1:36" x14ac:dyDescent="0.2"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  <c r="AA44" s="224"/>
      <c r="AB44" s="224"/>
      <c r="AC44" s="224"/>
      <c r="AD44" s="224"/>
      <c r="AE44" s="224"/>
      <c r="AF44" s="224"/>
      <c r="AG44" s="224"/>
      <c r="AH44" s="224"/>
      <c r="AI44" s="224"/>
      <c r="AJ44" s="224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8" width="3.7109375" style="38" customWidth="1"/>
    <col min="9" max="12" width="3.5703125" style="38" customWidth="1"/>
    <col min="13" max="16384" width="9.140625" style="38"/>
  </cols>
  <sheetData>
    <row r="1" spans="1:38" x14ac:dyDescent="0.2">
      <c r="A1" s="38" t="s">
        <v>257</v>
      </c>
      <c r="N1" s="26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2"/>
      <c r="AF1" s="224"/>
      <c r="AG1" s="224"/>
      <c r="AH1" s="224"/>
      <c r="AI1" s="224"/>
      <c r="AJ1" s="224"/>
      <c r="AK1" s="224"/>
      <c r="AL1" s="224"/>
    </row>
    <row r="2" spans="1:38" x14ac:dyDescent="0.2">
      <c r="N2" s="211"/>
      <c r="O2" s="260"/>
      <c r="P2" s="182"/>
      <c r="Q2" s="182"/>
      <c r="R2" s="182"/>
      <c r="S2" s="209" t="s">
        <v>192</v>
      </c>
      <c r="T2" s="182"/>
      <c r="U2" s="182"/>
      <c r="V2" s="182"/>
      <c r="W2" s="182"/>
      <c r="X2" s="260"/>
      <c r="Y2" s="182"/>
      <c r="Z2" s="182"/>
      <c r="AA2" s="182"/>
      <c r="AB2" s="351" t="s">
        <v>175</v>
      </c>
      <c r="AC2" s="209" t="s">
        <v>2</v>
      </c>
      <c r="AD2" s="260"/>
      <c r="AE2" s="206"/>
      <c r="AF2" s="224"/>
      <c r="AG2" s="224"/>
      <c r="AH2" s="224"/>
      <c r="AI2" s="224"/>
      <c r="AJ2" s="224"/>
      <c r="AK2" s="224"/>
      <c r="AL2" s="224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87"/>
      <c r="O3" s="182"/>
      <c r="P3" s="260"/>
      <c r="Q3" s="260"/>
      <c r="R3" s="260"/>
      <c r="S3" s="260" t="e">
        <f>_xll.qlInterpolation(,InterpolationType,_xll.ohFilter(N5:N42,W5:W42),_xll.ohFilter(V5:V42,W5:W42))</f>
        <v>#NUM!</v>
      </c>
      <c r="T3" s="260"/>
      <c r="U3" s="260"/>
      <c r="V3" s="260"/>
      <c r="W3" s="260"/>
      <c r="X3" s="260"/>
      <c r="Y3" s="182"/>
      <c r="Z3" s="182"/>
      <c r="AA3" s="182"/>
      <c r="AB3" s="260"/>
      <c r="AC3" s="260"/>
      <c r="AD3" s="204">
        <f>_xll.ohTrigger(AD5:AD42)</f>
        <v>9</v>
      </c>
      <c r="AE3" s="178"/>
      <c r="AF3" s="224"/>
      <c r="AG3" s="224"/>
      <c r="AH3" s="224"/>
      <c r="AI3" s="224"/>
      <c r="AJ3" s="224"/>
      <c r="AK3" s="224"/>
      <c r="AL3" s="224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22"/>
      <c r="N4" s="187"/>
      <c r="O4" s="331"/>
      <c r="P4" s="257"/>
      <c r="Q4" s="257"/>
      <c r="R4" s="257"/>
      <c r="S4" s="203" t="str">
        <f>_xll.RData(S5:S42,T4:U4,,ReutersRtMode,,T5)</f>
        <v>On Pause</v>
      </c>
      <c r="T4" s="256" t="s">
        <v>213</v>
      </c>
      <c r="U4" s="256" t="s">
        <v>188</v>
      </c>
      <c r="V4" s="256" t="s">
        <v>233</v>
      </c>
      <c r="W4" s="256"/>
      <c r="X4" s="198" t="s">
        <v>232</v>
      </c>
      <c r="Y4" s="182"/>
      <c r="Z4" s="201" t="s">
        <v>172</v>
      </c>
      <c r="AA4" s="182"/>
      <c r="AB4" s="200" t="s">
        <v>171</v>
      </c>
      <c r="AC4" s="330" t="s">
        <v>170</v>
      </c>
      <c r="AD4" s="329" t="s">
        <v>169</v>
      </c>
      <c r="AE4" s="178"/>
      <c r="AF4" s="224"/>
      <c r="AG4" s="224"/>
      <c r="AH4" s="224"/>
      <c r="AI4" s="224"/>
      <c r="AJ4" s="224"/>
      <c r="AK4" s="252" t="s">
        <v>234</v>
      </c>
      <c r="AL4" s="224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HKD3L6L6M_Quote#0011</v>
      </c>
      <c r="G5" s="23" t="str">
        <f>_xll.ohRangeRetrieveError(F5)</f>
        <v/>
      </c>
      <c r="H5" s="22"/>
      <c r="N5" s="350">
        <v>0.5</v>
      </c>
      <c r="O5" s="239" t="s">
        <v>61</v>
      </c>
      <c r="P5" s="238" t="str">
        <f t="array" ref="P5:P42">VLOOKUP(Currency,Conventions,2)</f>
        <v>3L</v>
      </c>
      <c r="Q5" s="238" t="str">
        <f t="array" ref="Q5:Q42">VLOOKUP(Currency,Conventions,3)</f>
        <v>6L</v>
      </c>
      <c r="R5" s="236" t="str">
        <f t="shared" ref="R5:R42" si="1">Currency&amp;$P5&amp;$Q5&amp;$O5</f>
        <v>HKD3L6L6M</v>
      </c>
      <c r="S5" s="185" t="str">
        <f t="array" ref="S5:S42">Instruments&amp;"="&amp;VLOOKUP(Contributor,ContributorTable,2,FALSE)</f>
        <v>HKD3L6L6M=ICAP</v>
      </c>
      <c r="T5" s="349" t="s">
        <v>168</v>
      </c>
      <c r="U5" s="349" t="s">
        <v>168</v>
      </c>
      <c r="V5" s="349" t="e">
        <f>_xll.qlMidEquivalent(T5,U5)</f>
        <v>#NUM!</v>
      </c>
      <c r="W5" s="189" t="b">
        <f t="shared" ref="W5:W42" si="2">IF(ISNUMBER(V5),TRUE,FALSE)</f>
        <v>0</v>
      </c>
      <c r="X5" s="355" t="e">
        <f t="array" ref="X5:X41">_xll.qlInterpolationInterpolate(S3,N5:N42)</f>
        <v>#VALUE!</v>
      </c>
      <c r="Y5" s="182"/>
      <c r="Z5" s="347" t="e">
        <v>#VALUE!</v>
      </c>
      <c r="AA5" s="182"/>
      <c r="AB5" s="190" t="str">
        <f t="shared" ref="AB5:AB42" si="3">$R5&amp;$AC$2</f>
        <v>HKD3L6L6M_Quote</v>
      </c>
      <c r="AC5" s="346" t="e">
        <f t="array" ref="AC5:AC42">QuoteLive</f>
        <v>#VALUE!</v>
      </c>
      <c r="AD5" s="188" t="e">
        <f>_xll.qlSimpleQuoteSetValue($AB5,ROUND($AC5/10000,6),Trigger)</f>
        <v>#NUM!</v>
      </c>
      <c r="AE5" s="178"/>
      <c r="AF5" s="224"/>
      <c r="AG5" s="316" t="s">
        <v>55</v>
      </c>
      <c r="AH5" s="344" t="s">
        <v>43</v>
      </c>
      <c r="AI5" s="343" t="s">
        <v>46</v>
      </c>
      <c r="AJ5" s="224" t="str">
        <f t="shared" ref="AJ5:AJ42" si="4">O5</f>
        <v>6M</v>
      </c>
      <c r="AK5" s="352" t="e">
        <f>((#REF!-Swap3M!AC5)*100-AC5)/10000</f>
        <v>#REF!</v>
      </c>
      <c r="AL5" s="224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HKD3L6L1Y_Quote#0011</v>
      </c>
      <c r="G6" s="23" t="str">
        <f>_xll.ohRangeRetrieveError(F6)</f>
        <v/>
      </c>
      <c r="H6" s="22"/>
      <c r="N6" s="350">
        <v>1</v>
      </c>
      <c r="O6" s="239" t="s">
        <v>60</v>
      </c>
      <c r="P6" s="238" t="str">
        <v>3L</v>
      </c>
      <c r="Q6" s="238" t="str">
        <v>6L</v>
      </c>
      <c r="R6" s="236" t="str">
        <f t="shared" si="1"/>
        <v>HKD3L6L1Y</v>
      </c>
      <c r="S6" s="185" t="str">
        <v>HKD3L6L1Y=ICAP</v>
      </c>
      <c r="T6" s="349" t="s">
        <v>168</v>
      </c>
      <c r="U6" s="349" t="s">
        <v>168</v>
      </c>
      <c r="V6" s="349" t="e">
        <f>_xll.qlMidEquivalent(T6,U6)</f>
        <v>#NUM!</v>
      </c>
      <c r="W6" s="189" t="b">
        <f t="shared" si="2"/>
        <v>0</v>
      </c>
      <c r="X6" s="355" t="e">
        <v>#VALUE!</v>
      </c>
      <c r="Y6" s="182"/>
      <c r="Z6" s="347" t="e">
        <v>#VALUE!</v>
      </c>
      <c r="AA6" s="182"/>
      <c r="AB6" s="190" t="str">
        <f t="shared" si="3"/>
        <v>HKD3L6L1Y_Quote</v>
      </c>
      <c r="AC6" s="346" t="e">
        <v>#VALUE!</v>
      </c>
      <c r="AD6" s="188" t="e">
        <f>_xll.qlSimpleQuoteSetValue($AB6,ROUND($AC6/10000,6),Trigger)</f>
        <v>#NUM!</v>
      </c>
      <c r="AE6" s="178"/>
      <c r="AF6" s="224"/>
      <c r="AG6" s="281" t="s">
        <v>53</v>
      </c>
      <c r="AH6" s="219" t="s">
        <v>63</v>
      </c>
      <c r="AI6" s="280" t="s">
        <v>51</v>
      </c>
      <c r="AJ6" s="224" t="str">
        <f t="shared" si="4"/>
        <v>1Y</v>
      </c>
      <c r="AK6" s="352" t="e">
        <f>((#REF!-Swap3M!AC6)*100-AC6)/10000</f>
        <v>#REF!</v>
      </c>
      <c r="AL6" s="224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HKD3L6L15M_Quote#0011</v>
      </c>
      <c r="G7" s="23" t="str">
        <f>_xll.ohRangeRetrieveError(F7)</f>
        <v/>
      </c>
      <c r="H7" s="22"/>
      <c r="N7" s="350">
        <v>1.25</v>
      </c>
      <c r="O7" s="239" t="s">
        <v>59</v>
      </c>
      <c r="P7" s="238" t="str">
        <v>3L</v>
      </c>
      <c r="Q7" s="238" t="str">
        <v>6L</v>
      </c>
      <c r="R7" s="236" t="str">
        <f t="shared" si="1"/>
        <v>HKD3L6L15M</v>
      </c>
      <c r="S7" s="185" t="str">
        <v>HKD3L6L15M=ICAP</v>
      </c>
      <c r="T7" s="349" t="s">
        <v>168</v>
      </c>
      <c r="U7" s="349" t="s">
        <v>168</v>
      </c>
      <c r="V7" s="349" t="e">
        <f>_xll.qlMidEquivalent(T7,U7)</f>
        <v>#NUM!</v>
      </c>
      <c r="W7" s="189" t="b">
        <f t="shared" si="2"/>
        <v>0</v>
      </c>
      <c r="X7" s="355" t="e">
        <v>#VALUE!</v>
      </c>
      <c r="Y7" s="182"/>
      <c r="Z7" s="347" t="e">
        <v>#VALUE!</v>
      </c>
      <c r="AA7" s="182"/>
      <c r="AB7" s="190" t="str">
        <f t="shared" si="3"/>
        <v>HKD3L6L15M_Quote</v>
      </c>
      <c r="AC7" s="346" t="e">
        <v>#VALUE!</v>
      </c>
      <c r="AD7" s="188" t="e">
        <f>_xll.qlSimpleQuoteSetValue($AB7,ROUND($AC7/10000,6),Trigger)</f>
        <v>#NUM!</v>
      </c>
      <c r="AE7" s="178"/>
      <c r="AF7" s="224"/>
      <c r="AG7" s="281" t="s">
        <v>49</v>
      </c>
      <c r="AH7" s="219" t="s">
        <v>43</v>
      </c>
      <c r="AI7" s="280" t="s">
        <v>46</v>
      </c>
      <c r="AJ7" s="224" t="str">
        <f t="shared" si="4"/>
        <v>15M</v>
      </c>
      <c r="AK7" s="352" t="e">
        <f>((#REF!-Swap3M!AC7)*100-AC7)/10000</f>
        <v>#REF!</v>
      </c>
      <c r="AL7" s="224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HKD3L6L18M_Quote#0011</v>
      </c>
      <c r="G8" s="23" t="str">
        <f>_xll.ohRangeRetrieveError(F8)</f>
        <v/>
      </c>
      <c r="H8" s="22"/>
      <c r="N8" s="350">
        <v>1.5</v>
      </c>
      <c r="O8" s="239" t="s">
        <v>58</v>
      </c>
      <c r="P8" s="238" t="str">
        <v>3L</v>
      </c>
      <c r="Q8" s="238" t="str">
        <v>6L</v>
      </c>
      <c r="R8" s="236" t="str">
        <f t="shared" si="1"/>
        <v>HKD3L6L18M</v>
      </c>
      <c r="S8" s="185" t="str">
        <v>HKD3L6L18M=ICAP</v>
      </c>
      <c r="T8" s="349" t="s">
        <v>168</v>
      </c>
      <c r="U8" s="349" t="s">
        <v>168</v>
      </c>
      <c r="V8" s="349" t="e">
        <f>_xll.qlMidEquivalent(T8,U8)</f>
        <v>#NUM!</v>
      </c>
      <c r="W8" s="189" t="b">
        <f t="shared" si="2"/>
        <v>0</v>
      </c>
      <c r="X8" s="355" t="e">
        <v>#VALUE!</v>
      </c>
      <c r="Y8" s="182"/>
      <c r="Z8" s="347" t="e">
        <v>#VALUE!</v>
      </c>
      <c r="AA8" s="182"/>
      <c r="AB8" s="190" t="str">
        <f t="shared" si="3"/>
        <v>HKD3L6L18M_Quote</v>
      </c>
      <c r="AC8" s="346" t="e">
        <v>#VALUE!</v>
      </c>
      <c r="AD8" s="188" t="e">
        <f>_xll.qlSimpleQuoteSetValue($AB8,ROUND($AC8/10000,6),Trigger)</f>
        <v>#NUM!</v>
      </c>
      <c r="AE8" s="178"/>
      <c r="AF8" s="224"/>
      <c r="AG8" s="281" t="s">
        <v>47</v>
      </c>
      <c r="AH8" s="219" t="s">
        <v>43</v>
      </c>
      <c r="AI8" s="280" t="s">
        <v>46</v>
      </c>
      <c r="AJ8" s="224" t="str">
        <f t="shared" si="4"/>
        <v>18M</v>
      </c>
      <c r="AK8" s="352" t="e">
        <f>((#REF!-Swap3M!AC8)*100-AC8)/10000</f>
        <v>#REF!</v>
      </c>
      <c r="AL8" s="224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HKD3L6L21M_Quote#0011</v>
      </c>
      <c r="G9" s="23" t="str">
        <f>_xll.ohRangeRetrieveError(F9)</f>
        <v/>
      </c>
      <c r="H9" s="22"/>
      <c r="N9" s="350">
        <v>1.75</v>
      </c>
      <c r="O9" s="239" t="s">
        <v>57</v>
      </c>
      <c r="P9" s="238" t="str">
        <v>3L</v>
      </c>
      <c r="Q9" s="238" t="str">
        <v>6L</v>
      </c>
      <c r="R9" s="236" t="str">
        <f t="shared" si="1"/>
        <v>HKD3L6L21M</v>
      </c>
      <c r="S9" s="185" t="str">
        <v>HKD3L6L21M=ICAP</v>
      </c>
      <c r="T9" s="349" t="s">
        <v>168</v>
      </c>
      <c r="U9" s="349" t="s">
        <v>168</v>
      </c>
      <c r="V9" s="349" t="e">
        <f>_xll.qlMidEquivalent(T9,U9)</f>
        <v>#NUM!</v>
      </c>
      <c r="W9" s="189" t="b">
        <f t="shared" si="2"/>
        <v>0</v>
      </c>
      <c r="X9" s="355" t="e">
        <v>#VALUE!</v>
      </c>
      <c r="Y9" s="182"/>
      <c r="Z9" s="347" t="e">
        <v>#VALUE!</v>
      </c>
      <c r="AA9" s="182"/>
      <c r="AB9" s="190" t="str">
        <f t="shared" si="3"/>
        <v>HKD3L6L21M_Quote</v>
      </c>
      <c r="AC9" s="346" t="e">
        <v>#VALUE!</v>
      </c>
      <c r="AD9" s="188" t="e">
        <f>_xll.qlSimpleQuoteSetValue($AB9,ROUND($AC9/10000,6),Trigger)</f>
        <v>#NUM!</v>
      </c>
      <c r="AE9" s="178"/>
      <c r="AF9" s="224"/>
      <c r="AG9" s="279" t="s">
        <v>44</v>
      </c>
      <c r="AH9" s="340" t="s">
        <v>46</v>
      </c>
      <c r="AI9" s="278" t="s">
        <v>43</v>
      </c>
      <c r="AJ9" s="224" t="str">
        <f t="shared" si="4"/>
        <v>21M</v>
      </c>
      <c r="AK9" s="352" t="e">
        <f>((#REF!-Swap3M!AC9)*100-AC9)/10000</f>
        <v>#REF!</v>
      </c>
      <c r="AL9" s="224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HKD3L6L2Y_Quote#0011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87">
        <v>2</v>
      </c>
      <c r="O10" s="239" t="s">
        <v>56</v>
      </c>
      <c r="P10" s="238" t="str">
        <v>3L</v>
      </c>
      <c r="Q10" s="238" t="str">
        <v>6L</v>
      </c>
      <c r="R10" s="236" t="str">
        <f t="shared" si="1"/>
        <v>HKD3L6L2Y</v>
      </c>
      <c r="S10" s="185" t="str">
        <v>HKD3L6L2Y=ICAP</v>
      </c>
      <c r="T10" s="349" t="s">
        <v>168</v>
      </c>
      <c r="U10" s="349" t="s">
        <v>168</v>
      </c>
      <c r="V10" s="349" t="e">
        <f>_xll.qlMidEquivalent(T10,U10)</f>
        <v>#NUM!</v>
      </c>
      <c r="W10" s="189" t="b">
        <f t="shared" si="2"/>
        <v>0</v>
      </c>
      <c r="X10" s="355" t="e">
        <v>#VALUE!</v>
      </c>
      <c r="Y10" s="182"/>
      <c r="Z10" s="347" t="e">
        <v>#VALUE!</v>
      </c>
      <c r="AA10" s="182"/>
      <c r="AB10" s="190" t="str">
        <f t="shared" si="3"/>
        <v>HKD3L6L2Y_Quote</v>
      </c>
      <c r="AC10" s="346" t="e">
        <v>#VALUE!</v>
      </c>
      <c r="AD10" s="188" t="e">
        <f>_xll.qlSimpleQuoteSetValue($AB10,ROUND($AC10/10000,6),Trigger)</f>
        <v>#NUM!</v>
      </c>
      <c r="AE10" s="178"/>
      <c r="AF10" s="224"/>
      <c r="AG10" s="224"/>
      <c r="AH10" s="224"/>
      <c r="AI10" s="224"/>
      <c r="AJ10" s="224" t="str">
        <f t="shared" si="4"/>
        <v>2Y</v>
      </c>
      <c r="AK10" s="352" t="e">
        <f>((#REF!-Swap3M!AC10)*100-AC10)/10000</f>
        <v>#REF!</v>
      </c>
      <c r="AL10" s="224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HKD3L6L3Y_Quote#0011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87">
        <v>3</v>
      </c>
      <c r="O11" s="239" t="s">
        <v>54</v>
      </c>
      <c r="P11" s="238" t="str">
        <v>3L</v>
      </c>
      <c r="Q11" s="238" t="str">
        <v>6L</v>
      </c>
      <c r="R11" s="236" t="str">
        <f t="shared" si="1"/>
        <v>HKD3L6L3Y</v>
      </c>
      <c r="S11" s="185" t="str">
        <v>HKD3L6L3Y=ICAP</v>
      </c>
      <c r="T11" s="349" t="s">
        <v>168</v>
      </c>
      <c r="U11" s="349" t="s">
        <v>168</v>
      </c>
      <c r="V11" s="349" t="e">
        <f>_xll.qlMidEquivalent(T11,U11)</f>
        <v>#NUM!</v>
      </c>
      <c r="W11" s="189" t="b">
        <f t="shared" si="2"/>
        <v>0</v>
      </c>
      <c r="X11" s="355" t="e">
        <v>#VALUE!</v>
      </c>
      <c r="Y11" s="182"/>
      <c r="Z11" s="347" t="e">
        <v>#VALUE!</v>
      </c>
      <c r="AA11" s="182"/>
      <c r="AB11" s="190" t="str">
        <f t="shared" si="3"/>
        <v>HKD3L6L3Y_Quote</v>
      </c>
      <c r="AC11" s="346" t="e">
        <v>#VALUE!</v>
      </c>
      <c r="AD11" s="188" t="e">
        <f>_xll.qlSimpleQuoteSetValue($AB11,ROUND($AC11/10000,6),Trigger)</f>
        <v>#NUM!</v>
      </c>
      <c r="AE11" s="178"/>
      <c r="AF11" s="224"/>
      <c r="AG11" s="224"/>
      <c r="AH11" s="224"/>
      <c r="AI11" s="224"/>
      <c r="AJ11" s="224" t="str">
        <f t="shared" si="4"/>
        <v>3Y</v>
      </c>
      <c r="AK11" s="352" t="e">
        <f>((#REF!-Swap3M!AC11)*100-AC11)/10000</f>
        <v>#REF!</v>
      </c>
      <c r="AL11" s="224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HKD3L6L4Y_Quote#0011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87">
        <v>4</v>
      </c>
      <c r="O12" s="239" t="s">
        <v>50</v>
      </c>
      <c r="P12" s="238" t="str">
        <v>3L</v>
      </c>
      <c r="Q12" s="238" t="str">
        <v>6L</v>
      </c>
      <c r="R12" s="236" t="str">
        <f t="shared" si="1"/>
        <v>HKD3L6L4Y</v>
      </c>
      <c r="S12" s="185" t="str">
        <v>HKD3L6L4Y=ICAP</v>
      </c>
      <c r="T12" s="349" t="s">
        <v>168</v>
      </c>
      <c r="U12" s="349" t="s">
        <v>168</v>
      </c>
      <c r="V12" s="349" t="e">
        <f>_xll.qlMidEquivalent(T12,U12)</f>
        <v>#NUM!</v>
      </c>
      <c r="W12" s="189" t="b">
        <f t="shared" si="2"/>
        <v>0</v>
      </c>
      <c r="X12" s="355" t="e">
        <v>#VALUE!</v>
      </c>
      <c r="Y12" s="182"/>
      <c r="Z12" s="347" t="e">
        <v>#VALUE!</v>
      </c>
      <c r="AA12" s="182"/>
      <c r="AB12" s="190" t="str">
        <f t="shared" si="3"/>
        <v>HKD3L6L4Y_Quote</v>
      </c>
      <c r="AC12" s="346" t="e">
        <v>#VALUE!</v>
      </c>
      <c r="AD12" s="188" t="e">
        <f>_xll.qlSimpleQuoteSetValue($AB12,ROUND($AC12/10000,6),Trigger)</f>
        <v>#NUM!</v>
      </c>
      <c r="AE12" s="178"/>
      <c r="AF12" s="224"/>
      <c r="AG12" s="224"/>
      <c r="AH12" s="224"/>
      <c r="AI12" s="224"/>
      <c r="AJ12" s="224" t="str">
        <f t="shared" si="4"/>
        <v>4Y</v>
      </c>
      <c r="AK12" s="352" t="e">
        <f>((#REF!-Swap3M!AC12)*100-AC12)/10000</f>
        <v>#REF!</v>
      </c>
      <c r="AL12" s="224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HKD3L6L5Y_Quote#0011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87">
        <v>5</v>
      </c>
      <c r="O13" s="239" t="s">
        <v>48</v>
      </c>
      <c r="P13" s="238" t="str">
        <v>3L</v>
      </c>
      <c r="Q13" s="238" t="str">
        <v>6L</v>
      </c>
      <c r="R13" s="236" t="str">
        <f t="shared" si="1"/>
        <v>HKD3L6L5Y</v>
      </c>
      <c r="S13" s="185" t="str">
        <v>HKD3L6L5Y=ICAP</v>
      </c>
      <c r="T13" s="349" t="s">
        <v>168</v>
      </c>
      <c r="U13" s="349" t="s">
        <v>168</v>
      </c>
      <c r="V13" s="349" t="e">
        <f>_xll.qlMidEquivalent(T13,U13)</f>
        <v>#NUM!</v>
      </c>
      <c r="W13" s="189" t="b">
        <f t="shared" si="2"/>
        <v>0</v>
      </c>
      <c r="X13" s="355" t="e">
        <v>#VALUE!</v>
      </c>
      <c r="Y13" s="182"/>
      <c r="Z13" s="347" t="e">
        <v>#VALUE!</v>
      </c>
      <c r="AA13" s="182"/>
      <c r="AB13" s="190" t="str">
        <f t="shared" si="3"/>
        <v>HKD3L6L5Y_Quote</v>
      </c>
      <c r="AC13" s="346" t="e">
        <v>#VALUE!</v>
      </c>
      <c r="AD13" s="188" t="e">
        <f>_xll.qlSimpleQuoteSetValue($AB13,ROUND($AC13/10000,6),Trigger)</f>
        <v>#NUM!</v>
      </c>
      <c r="AE13" s="178"/>
      <c r="AF13" s="224"/>
      <c r="AG13" s="224"/>
      <c r="AH13" s="224"/>
      <c r="AI13" s="224"/>
      <c r="AJ13" s="224" t="str">
        <f t="shared" si="4"/>
        <v>5Y</v>
      </c>
      <c r="AK13" s="352" t="e">
        <f>((#REF!-Swap3M!AC13)*100-AC13)/10000</f>
        <v>#REF!</v>
      </c>
      <c r="AL13" s="224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HKD3L6L6Y_Quote#0011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87">
        <v>6</v>
      </c>
      <c r="O14" s="239" t="s">
        <v>45</v>
      </c>
      <c r="P14" s="238" t="str">
        <v>3L</v>
      </c>
      <c r="Q14" s="238" t="str">
        <v>6L</v>
      </c>
      <c r="R14" s="236" t="str">
        <f t="shared" si="1"/>
        <v>HKD3L6L6Y</v>
      </c>
      <c r="S14" s="185" t="str">
        <v>HKD3L6L6Y=ICAP</v>
      </c>
      <c r="T14" s="349" t="s">
        <v>168</v>
      </c>
      <c r="U14" s="349" t="s">
        <v>168</v>
      </c>
      <c r="V14" s="349" t="e">
        <f>_xll.qlMidEquivalent(T14,U14)</f>
        <v>#NUM!</v>
      </c>
      <c r="W14" s="189" t="b">
        <f t="shared" si="2"/>
        <v>0</v>
      </c>
      <c r="X14" s="355" t="e">
        <v>#VALUE!</v>
      </c>
      <c r="Y14" s="182"/>
      <c r="Z14" s="347" t="e">
        <v>#VALUE!</v>
      </c>
      <c r="AA14" s="182"/>
      <c r="AB14" s="190" t="str">
        <f t="shared" si="3"/>
        <v>HKD3L6L6Y_Quote</v>
      </c>
      <c r="AC14" s="346" t="e">
        <v>#VALUE!</v>
      </c>
      <c r="AD14" s="188" t="e">
        <f>_xll.qlSimpleQuoteSetValue($AB14,ROUND($AC14/10000,6),Trigger)</f>
        <v>#NUM!</v>
      </c>
      <c r="AE14" s="178"/>
      <c r="AF14" s="224"/>
      <c r="AG14" s="224"/>
      <c r="AH14" s="224"/>
      <c r="AI14" s="224"/>
      <c r="AJ14" s="224" t="str">
        <f t="shared" si="4"/>
        <v>6Y</v>
      </c>
      <c r="AK14" s="352" t="e">
        <f>((#REF!-Swap3M!AC14)*100-AC14)/10000</f>
        <v>#REF!</v>
      </c>
      <c r="AL14" s="224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HKD3L6L7Y_Quote#0011</v>
      </c>
      <c r="G15" s="23" t="str">
        <f>_xll.ohRangeRetrieveError(F15)</f>
        <v/>
      </c>
      <c r="H15" s="22"/>
      <c r="N15" s="187">
        <v>7</v>
      </c>
      <c r="O15" s="239" t="s">
        <v>41</v>
      </c>
      <c r="P15" s="238" t="str">
        <v>3L</v>
      </c>
      <c r="Q15" s="238" t="str">
        <v>6L</v>
      </c>
      <c r="R15" s="236" t="str">
        <f t="shared" si="1"/>
        <v>HKD3L6L7Y</v>
      </c>
      <c r="S15" s="185" t="str">
        <v>HKD3L6L7Y=ICAP</v>
      </c>
      <c r="T15" s="349" t="s">
        <v>168</v>
      </c>
      <c r="U15" s="349" t="s">
        <v>168</v>
      </c>
      <c r="V15" s="349" t="e">
        <f>_xll.qlMidEquivalent(T15,U15)</f>
        <v>#NUM!</v>
      </c>
      <c r="W15" s="189" t="b">
        <f t="shared" si="2"/>
        <v>0</v>
      </c>
      <c r="X15" s="355" t="e">
        <v>#VALUE!</v>
      </c>
      <c r="Y15" s="182"/>
      <c r="Z15" s="347" t="e">
        <v>#VALUE!</v>
      </c>
      <c r="AA15" s="182"/>
      <c r="AB15" s="190" t="str">
        <f t="shared" si="3"/>
        <v>HKD3L6L7Y_Quote</v>
      </c>
      <c r="AC15" s="346" t="e">
        <v>#VALUE!</v>
      </c>
      <c r="AD15" s="188" t="e">
        <f>_xll.qlSimpleQuoteSetValue($AB15,ROUND($AC15/10000,6),Trigger)</f>
        <v>#NUM!</v>
      </c>
      <c r="AE15" s="178"/>
      <c r="AF15" s="224"/>
      <c r="AG15" s="224"/>
      <c r="AH15" s="224"/>
      <c r="AI15" s="224"/>
      <c r="AJ15" s="224" t="str">
        <f t="shared" si="4"/>
        <v>7Y</v>
      </c>
      <c r="AK15" s="352" t="e">
        <f>((#REF!-Swap3M!AC15)*100-AC15)/10000</f>
        <v>#REF!</v>
      </c>
      <c r="AL15" s="224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HKD3L6L8Y_Quote#0011</v>
      </c>
      <c r="G16" s="23" t="str">
        <f>_xll.ohRangeRetrieveError(F16)</f>
        <v/>
      </c>
      <c r="H16" s="22"/>
      <c r="N16" s="187">
        <v>8</v>
      </c>
      <c r="O16" s="239" t="s">
        <v>40</v>
      </c>
      <c r="P16" s="238" t="str">
        <v>3L</v>
      </c>
      <c r="Q16" s="238" t="str">
        <v>6L</v>
      </c>
      <c r="R16" s="236" t="str">
        <f t="shared" si="1"/>
        <v>HKD3L6L8Y</v>
      </c>
      <c r="S16" s="185" t="str">
        <v>HKD3L6L8Y=ICAP</v>
      </c>
      <c r="T16" s="349" t="s">
        <v>168</v>
      </c>
      <c r="U16" s="349" t="s">
        <v>168</v>
      </c>
      <c r="V16" s="349" t="e">
        <f>_xll.qlMidEquivalent(T16,U16)</f>
        <v>#NUM!</v>
      </c>
      <c r="W16" s="189" t="b">
        <f t="shared" si="2"/>
        <v>0</v>
      </c>
      <c r="X16" s="355" t="e">
        <v>#VALUE!</v>
      </c>
      <c r="Y16" s="182"/>
      <c r="Z16" s="347" t="e">
        <v>#VALUE!</v>
      </c>
      <c r="AA16" s="182"/>
      <c r="AB16" s="190" t="str">
        <f t="shared" si="3"/>
        <v>HKD3L6L8Y_Quote</v>
      </c>
      <c r="AC16" s="346" t="e">
        <v>#VALUE!</v>
      </c>
      <c r="AD16" s="188" t="e">
        <f>_xll.qlSimpleQuoteSetValue($AB16,ROUND($AC16/10000,6),Trigger)</f>
        <v>#NUM!</v>
      </c>
      <c r="AE16" s="178"/>
      <c r="AF16" s="224"/>
      <c r="AG16" s="224"/>
      <c r="AH16" s="224"/>
      <c r="AI16" s="224"/>
      <c r="AJ16" s="224" t="str">
        <f t="shared" si="4"/>
        <v>8Y</v>
      </c>
      <c r="AK16" s="352" t="e">
        <f>((#REF!-Swap3M!AC16)*100-AC16)/10000</f>
        <v>#REF!</v>
      </c>
      <c r="AL16" s="224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HKD3L6L9Y_Quote#0011</v>
      </c>
      <c r="G17" s="23" t="str">
        <f>_xll.ohRangeRetrieveError(F17)</f>
        <v/>
      </c>
      <c r="H17" s="22"/>
      <c r="N17" s="187">
        <v>9</v>
      </c>
      <c r="O17" s="239" t="s">
        <v>39</v>
      </c>
      <c r="P17" s="238" t="str">
        <v>3L</v>
      </c>
      <c r="Q17" s="238" t="str">
        <v>6L</v>
      </c>
      <c r="R17" s="236" t="str">
        <f t="shared" si="1"/>
        <v>HKD3L6L9Y</v>
      </c>
      <c r="S17" s="185" t="str">
        <v>HKD3L6L9Y=ICAP</v>
      </c>
      <c r="T17" s="349" t="s">
        <v>168</v>
      </c>
      <c r="U17" s="349" t="s">
        <v>168</v>
      </c>
      <c r="V17" s="349" t="e">
        <f>_xll.qlMidEquivalent(T17,U17)</f>
        <v>#NUM!</v>
      </c>
      <c r="W17" s="189" t="b">
        <f t="shared" si="2"/>
        <v>0</v>
      </c>
      <c r="X17" s="355" t="e">
        <v>#VALUE!</v>
      </c>
      <c r="Y17" s="182"/>
      <c r="Z17" s="347" t="e">
        <v>#VALUE!</v>
      </c>
      <c r="AA17" s="182"/>
      <c r="AB17" s="190" t="str">
        <f t="shared" si="3"/>
        <v>HKD3L6L9Y_Quote</v>
      </c>
      <c r="AC17" s="346" t="e">
        <v>#VALUE!</v>
      </c>
      <c r="AD17" s="188" t="e">
        <f>_xll.qlSimpleQuoteSetValue($AB17,ROUND($AC17/10000,6),Trigger)</f>
        <v>#NUM!</v>
      </c>
      <c r="AE17" s="178"/>
      <c r="AF17" s="224"/>
      <c r="AG17" s="224"/>
      <c r="AH17" s="224"/>
      <c r="AI17" s="224"/>
      <c r="AJ17" s="224" t="str">
        <f t="shared" si="4"/>
        <v>9Y</v>
      </c>
      <c r="AK17" s="352" t="e">
        <f>((#REF!-Swap3M!AC17)*100-AC17)/10000</f>
        <v>#REF!</v>
      </c>
      <c r="AL17" s="224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HKD3L6L10Y_Quote#0011</v>
      </c>
      <c r="G18" s="23" t="str">
        <f>_xll.ohRangeRetrieveError(F18)</f>
        <v/>
      </c>
      <c r="H18" s="22"/>
      <c r="N18" s="187">
        <v>10</v>
      </c>
      <c r="O18" s="239" t="s">
        <v>38</v>
      </c>
      <c r="P18" s="238" t="str">
        <v>3L</v>
      </c>
      <c r="Q18" s="238" t="str">
        <v>6L</v>
      </c>
      <c r="R18" s="236" t="str">
        <f t="shared" si="1"/>
        <v>HKD3L6L10Y</v>
      </c>
      <c r="S18" s="185" t="str">
        <v>HKD3L6L10Y=ICAP</v>
      </c>
      <c r="T18" s="349" t="s">
        <v>168</v>
      </c>
      <c r="U18" s="349" t="s">
        <v>168</v>
      </c>
      <c r="V18" s="349" t="e">
        <f>_xll.qlMidEquivalent(T18,U18)</f>
        <v>#NUM!</v>
      </c>
      <c r="W18" s="189" t="b">
        <f t="shared" si="2"/>
        <v>0</v>
      </c>
      <c r="X18" s="355" t="e">
        <v>#VALUE!</v>
      </c>
      <c r="Y18" s="182"/>
      <c r="Z18" s="347" t="e">
        <v>#VALUE!</v>
      </c>
      <c r="AA18" s="182"/>
      <c r="AB18" s="190" t="str">
        <f t="shared" si="3"/>
        <v>HKD3L6L10Y_Quote</v>
      </c>
      <c r="AC18" s="346" t="e">
        <v>#VALUE!</v>
      </c>
      <c r="AD18" s="188" t="e">
        <f>_xll.qlSimpleQuoteSetValue($AB18,ROUND($AC18/10000,6),Trigger)</f>
        <v>#NUM!</v>
      </c>
      <c r="AE18" s="178"/>
      <c r="AF18" s="224"/>
      <c r="AG18" s="224"/>
      <c r="AH18" s="224"/>
      <c r="AI18" s="224"/>
      <c r="AJ18" s="224" t="str">
        <f t="shared" si="4"/>
        <v>10Y</v>
      </c>
      <c r="AK18" s="352" t="e">
        <f>((#REF!-Swap3M!AC18)*100-AC18)/10000</f>
        <v>#REF!</v>
      </c>
      <c r="AL18" s="224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HKD3L6L11Y_Quote#0011</v>
      </c>
      <c r="G19" s="23" t="str">
        <f>_xll.ohRangeRetrieveError(F19)</f>
        <v/>
      </c>
      <c r="H19" s="22"/>
      <c r="N19" s="187">
        <v>11</v>
      </c>
      <c r="O19" s="239" t="s">
        <v>37</v>
      </c>
      <c r="P19" s="238" t="str">
        <v>3L</v>
      </c>
      <c r="Q19" s="238" t="str">
        <v>6L</v>
      </c>
      <c r="R19" s="236" t="str">
        <f t="shared" si="1"/>
        <v>HKD3L6L11Y</v>
      </c>
      <c r="S19" s="185" t="str">
        <v>HKD3L6L11Y=ICAP</v>
      </c>
      <c r="T19" s="349" t="s">
        <v>168</v>
      </c>
      <c r="U19" s="349" t="s">
        <v>168</v>
      </c>
      <c r="V19" s="349" t="e">
        <f>_xll.qlMidEquivalent(T19,U19)</f>
        <v>#NUM!</v>
      </c>
      <c r="W19" s="189" t="b">
        <f t="shared" si="2"/>
        <v>0</v>
      </c>
      <c r="X19" s="355" t="e">
        <v>#VALUE!</v>
      </c>
      <c r="Y19" s="182"/>
      <c r="Z19" s="347" t="e">
        <v>#VALUE!</v>
      </c>
      <c r="AA19" s="182"/>
      <c r="AB19" s="190" t="str">
        <f t="shared" si="3"/>
        <v>HKD3L6L11Y_Quote</v>
      </c>
      <c r="AC19" s="346" t="e">
        <v>#VALUE!</v>
      </c>
      <c r="AD19" s="188" t="e">
        <f>_xll.qlSimpleQuoteSetValue($AB19,ROUND($AC19/10000,6),Trigger)</f>
        <v>#NUM!</v>
      </c>
      <c r="AE19" s="178"/>
      <c r="AF19" s="224"/>
      <c r="AG19" s="224"/>
      <c r="AH19" s="224"/>
      <c r="AI19" s="224"/>
      <c r="AJ19" s="224" t="str">
        <f t="shared" si="4"/>
        <v>11Y</v>
      </c>
      <c r="AK19" s="352" t="e">
        <f>((#REF!-Swap3M!AC19)*100-AC19)/10000</f>
        <v>#REF!</v>
      </c>
      <c r="AL19" s="224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HKD3L6L12Y_Quote#0011</v>
      </c>
      <c r="G20" s="23" t="str">
        <f>_xll.ohRangeRetrieveError(F20)</f>
        <v/>
      </c>
      <c r="H20" s="22"/>
      <c r="N20" s="187">
        <v>12</v>
      </c>
      <c r="O20" s="239" t="s">
        <v>36</v>
      </c>
      <c r="P20" s="238" t="str">
        <v>3L</v>
      </c>
      <c r="Q20" s="238" t="str">
        <v>6L</v>
      </c>
      <c r="R20" s="236" t="str">
        <f t="shared" si="1"/>
        <v>HKD3L6L12Y</v>
      </c>
      <c r="S20" s="185" t="str">
        <v>HKD3L6L12Y=ICAP</v>
      </c>
      <c r="T20" s="349" t="s">
        <v>168</v>
      </c>
      <c r="U20" s="349" t="s">
        <v>168</v>
      </c>
      <c r="V20" s="349" t="e">
        <f>_xll.qlMidEquivalent(T20,U20)</f>
        <v>#NUM!</v>
      </c>
      <c r="W20" s="189" t="b">
        <f t="shared" si="2"/>
        <v>0</v>
      </c>
      <c r="X20" s="355" t="e">
        <v>#VALUE!</v>
      </c>
      <c r="Y20" s="182"/>
      <c r="Z20" s="347" t="e">
        <v>#VALUE!</v>
      </c>
      <c r="AA20" s="182"/>
      <c r="AB20" s="190" t="str">
        <f t="shared" si="3"/>
        <v>HKD3L6L12Y_Quote</v>
      </c>
      <c r="AC20" s="346" t="e">
        <v>#VALUE!</v>
      </c>
      <c r="AD20" s="188" t="e">
        <f>_xll.qlSimpleQuoteSetValue($AB20,ROUND($AC20/10000,6),Trigger)</f>
        <v>#NUM!</v>
      </c>
      <c r="AE20" s="178"/>
      <c r="AF20" s="224"/>
      <c r="AG20" s="224"/>
      <c r="AH20" s="224"/>
      <c r="AI20" s="224"/>
      <c r="AJ20" s="224" t="str">
        <f t="shared" si="4"/>
        <v>12Y</v>
      </c>
      <c r="AK20" s="352" t="e">
        <f>((#REF!-Swap3M!AC20)*100-AC20)/10000</f>
        <v>#REF!</v>
      </c>
      <c r="AL20" s="224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HKD3L6L13Y_Quote#0011</v>
      </c>
      <c r="G21" s="23" t="str">
        <f>_xll.ohRangeRetrieveError(F21)</f>
        <v/>
      </c>
      <c r="H21" s="22"/>
      <c r="N21" s="187">
        <v>13</v>
      </c>
      <c r="O21" s="239" t="s">
        <v>35</v>
      </c>
      <c r="P21" s="238" t="str">
        <v>3L</v>
      </c>
      <c r="Q21" s="238" t="str">
        <v>6L</v>
      </c>
      <c r="R21" s="236" t="str">
        <f t="shared" si="1"/>
        <v>HKD3L6L13Y</v>
      </c>
      <c r="S21" s="185" t="str">
        <v>HKD3L6L13Y=ICAP</v>
      </c>
      <c r="T21" s="349" t="s">
        <v>168</v>
      </c>
      <c r="U21" s="349" t="s">
        <v>168</v>
      </c>
      <c r="V21" s="349" t="e">
        <f>_xll.qlMidEquivalent(T21,U21)</f>
        <v>#NUM!</v>
      </c>
      <c r="W21" s="189" t="b">
        <f t="shared" si="2"/>
        <v>0</v>
      </c>
      <c r="X21" s="355" t="e">
        <v>#VALUE!</v>
      </c>
      <c r="Y21" s="182"/>
      <c r="Z21" s="347" t="e">
        <v>#VALUE!</v>
      </c>
      <c r="AA21" s="182"/>
      <c r="AB21" s="190" t="str">
        <f t="shared" si="3"/>
        <v>HKD3L6L13Y_Quote</v>
      </c>
      <c r="AC21" s="346" t="e">
        <v>#VALUE!</v>
      </c>
      <c r="AD21" s="188" t="e">
        <f>_xll.qlSimpleQuoteSetValue($AB21,ROUND($AC21/10000,6),Trigger)</f>
        <v>#NUM!</v>
      </c>
      <c r="AE21" s="178"/>
      <c r="AF21" s="224"/>
      <c r="AG21" s="224"/>
      <c r="AH21" s="224"/>
      <c r="AI21" s="224"/>
      <c r="AJ21" s="224" t="str">
        <f t="shared" si="4"/>
        <v>13Y</v>
      </c>
      <c r="AK21" s="352" t="e">
        <f>((#REF!-Swap3M!AC21)*100-AC21)/10000</f>
        <v>#REF!</v>
      </c>
      <c r="AL21" s="224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HKD3L6L14Y_Quote#0011</v>
      </c>
      <c r="G22" s="23" t="str">
        <f>_xll.ohRangeRetrieveError(F22)</f>
        <v/>
      </c>
      <c r="H22" s="22"/>
      <c r="N22" s="187">
        <v>14</v>
      </c>
      <c r="O22" s="239" t="s">
        <v>34</v>
      </c>
      <c r="P22" s="238" t="str">
        <v>3L</v>
      </c>
      <c r="Q22" s="238" t="str">
        <v>6L</v>
      </c>
      <c r="R22" s="236" t="str">
        <f t="shared" si="1"/>
        <v>HKD3L6L14Y</v>
      </c>
      <c r="S22" s="185" t="str">
        <v>HKD3L6L14Y=ICAP</v>
      </c>
      <c r="T22" s="349" t="s">
        <v>168</v>
      </c>
      <c r="U22" s="349" t="s">
        <v>168</v>
      </c>
      <c r="V22" s="349" t="e">
        <f>_xll.qlMidEquivalent(T22,U22)</f>
        <v>#NUM!</v>
      </c>
      <c r="W22" s="189" t="b">
        <f t="shared" si="2"/>
        <v>0</v>
      </c>
      <c r="X22" s="355" t="e">
        <v>#VALUE!</v>
      </c>
      <c r="Y22" s="182"/>
      <c r="Z22" s="347" t="e">
        <v>#VALUE!</v>
      </c>
      <c r="AA22" s="182"/>
      <c r="AB22" s="190" t="str">
        <f t="shared" si="3"/>
        <v>HKD3L6L14Y_Quote</v>
      </c>
      <c r="AC22" s="346" t="e">
        <v>#VALUE!</v>
      </c>
      <c r="AD22" s="188" t="e">
        <f>_xll.qlSimpleQuoteSetValue($AB22,ROUND($AC22/10000,6),Trigger)</f>
        <v>#NUM!</v>
      </c>
      <c r="AE22" s="178"/>
      <c r="AF22" s="224"/>
      <c r="AG22" s="224"/>
      <c r="AH22" s="224"/>
      <c r="AI22" s="224"/>
      <c r="AJ22" s="224" t="str">
        <f t="shared" si="4"/>
        <v>14Y</v>
      </c>
      <c r="AK22" s="352" t="e">
        <f>((#REF!-Swap3M!AC22)*100-AC22)/10000</f>
        <v>#REF!</v>
      </c>
      <c r="AL22" s="224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HKD3L6L15Y_Quote#0011</v>
      </c>
      <c r="G23" s="23" t="str">
        <f>_xll.ohRangeRetrieveError(F23)</f>
        <v/>
      </c>
      <c r="H23" s="22"/>
      <c r="N23" s="187">
        <v>15</v>
      </c>
      <c r="O23" s="239" t="s">
        <v>33</v>
      </c>
      <c r="P23" s="238" t="str">
        <v>3L</v>
      </c>
      <c r="Q23" s="238" t="str">
        <v>6L</v>
      </c>
      <c r="R23" s="236" t="str">
        <f t="shared" si="1"/>
        <v>HKD3L6L15Y</v>
      </c>
      <c r="S23" s="185" t="str">
        <v>HKD3L6L15Y=ICAP</v>
      </c>
      <c r="T23" s="349" t="s">
        <v>168</v>
      </c>
      <c r="U23" s="349" t="s">
        <v>168</v>
      </c>
      <c r="V23" s="349" t="e">
        <f>_xll.qlMidEquivalent(T23,U23)</f>
        <v>#NUM!</v>
      </c>
      <c r="W23" s="189" t="b">
        <f t="shared" si="2"/>
        <v>0</v>
      </c>
      <c r="X23" s="355" t="e">
        <v>#VALUE!</v>
      </c>
      <c r="Y23" s="182"/>
      <c r="Z23" s="347" t="e">
        <v>#VALUE!</v>
      </c>
      <c r="AA23" s="182"/>
      <c r="AB23" s="190" t="str">
        <f t="shared" si="3"/>
        <v>HKD3L6L15Y_Quote</v>
      </c>
      <c r="AC23" s="346" t="e">
        <v>#VALUE!</v>
      </c>
      <c r="AD23" s="188" t="e">
        <f>_xll.qlSimpleQuoteSetValue($AB23,ROUND($AC23/10000,6),Trigger)</f>
        <v>#NUM!</v>
      </c>
      <c r="AE23" s="178"/>
      <c r="AF23" s="224"/>
      <c r="AG23" s="224"/>
      <c r="AH23" s="224"/>
      <c r="AI23" s="224"/>
      <c r="AJ23" s="224" t="str">
        <f t="shared" si="4"/>
        <v>15Y</v>
      </c>
      <c r="AK23" s="352" t="e">
        <f>((#REF!-Swap3M!AC23)*100-AC23)/10000</f>
        <v>#REF!</v>
      </c>
      <c r="AL23" s="224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HKD3L6L16Y_Quote#0011</v>
      </c>
      <c r="G24" s="23" t="str">
        <f>_xll.ohRangeRetrieveError(F24)</f>
        <v/>
      </c>
      <c r="H24" s="22"/>
      <c r="N24" s="187">
        <v>16</v>
      </c>
      <c r="O24" s="239" t="s">
        <v>32</v>
      </c>
      <c r="P24" s="238" t="str">
        <v>3L</v>
      </c>
      <c r="Q24" s="238" t="str">
        <v>6L</v>
      </c>
      <c r="R24" s="236" t="str">
        <f t="shared" si="1"/>
        <v>HKD3L6L16Y</v>
      </c>
      <c r="S24" s="185" t="str">
        <v>HKD3L6L16Y=ICAP</v>
      </c>
      <c r="T24" s="349" t="s">
        <v>168</v>
      </c>
      <c r="U24" s="349" t="s">
        <v>168</v>
      </c>
      <c r="V24" s="349" t="e">
        <f>_xll.qlMidEquivalent(T24,U24)</f>
        <v>#NUM!</v>
      </c>
      <c r="W24" s="189" t="b">
        <f t="shared" si="2"/>
        <v>0</v>
      </c>
      <c r="X24" s="355" t="e">
        <v>#VALUE!</v>
      </c>
      <c r="Y24" s="182"/>
      <c r="Z24" s="347" t="e">
        <v>#VALUE!</v>
      </c>
      <c r="AA24" s="182"/>
      <c r="AB24" s="190" t="str">
        <f t="shared" si="3"/>
        <v>HKD3L6L16Y_Quote</v>
      </c>
      <c r="AC24" s="346" t="e">
        <v>#VALUE!</v>
      </c>
      <c r="AD24" s="188" t="e">
        <f>_xll.qlSimpleQuoteSetValue($AB24,ROUND($AC24/10000,6),Trigger)</f>
        <v>#NUM!</v>
      </c>
      <c r="AE24" s="178"/>
      <c r="AF24" s="224"/>
      <c r="AG24" s="224"/>
      <c r="AH24" s="224"/>
      <c r="AI24" s="224"/>
      <c r="AJ24" s="224" t="str">
        <f t="shared" si="4"/>
        <v>16Y</v>
      </c>
      <c r="AK24" s="352" t="e">
        <f>((#REF!-Swap3M!AC24)*100-AC24)/10000</f>
        <v>#REF!</v>
      </c>
      <c r="AL24" s="224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HKD3L6L17Y_Quote#0011</v>
      </c>
      <c r="G25" s="23" t="str">
        <f>_xll.ohRangeRetrieveError(F25)</f>
        <v/>
      </c>
      <c r="H25" s="22"/>
      <c r="N25" s="187">
        <v>17</v>
      </c>
      <c r="O25" s="239" t="s">
        <v>31</v>
      </c>
      <c r="P25" s="238" t="str">
        <v>3L</v>
      </c>
      <c r="Q25" s="238" t="str">
        <v>6L</v>
      </c>
      <c r="R25" s="236" t="str">
        <f t="shared" si="1"/>
        <v>HKD3L6L17Y</v>
      </c>
      <c r="S25" s="185" t="str">
        <v>HKD3L6L17Y=ICAP</v>
      </c>
      <c r="T25" s="349" t="s">
        <v>168</v>
      </c>
      <c r="U25" s="349" t="s">
        <v>168</v>
      </c>
      <c r="V25" s="349" t="e">
        <f>_xll.qlMidEquivalent(T25,U25)</f>
        <v>#NUM!</v>
      </c>
      <c r="W25" s="189" t="b">
        <f t="shared" si="2"/>
        <v>0</v>
      </c>
      <c r="X25" s="355" t="e">
        <v>#VALUE!</v>
      </c>
      <c r="Y25" s="182"/>
      <c r="Z25" s="347" t="e">
        <v>#VALUE!</v>
      </c>
      <c r="AA25" s="182"/>
      <c r="AB25" s="190" t="str">
        <f t="shared" si="3"/>
        <v>HKD3L6L17Y_Quote</v>
      </c>
      <c r="AC25" s="346" t="e">
        <v>#VALUE!</v>
      </c>
      <c r="AD25" s="188" t="e">
        <f>_xll.qlSimpleQuoteSetValue($AB25,ROUND($AC25/10000,6),Trigger)</f>
        <v>#NUM!</v>
      </c>
      <c r="AE25" s="178"/>
      <c r="AF25" s="224"/>
      <c r="AG25" s="224"/>
      <c r="AH25" s="224"/>
      <c r="AI25" s="224"/>
      <c r="AJ25" s="224" t="str">
        <f t="shared" si="4"/>
        <v>17Y</v>
      </c>
      <c r="AK25" s="352" t="e">
        <f>((#REF!-Swap3M!AC25)*100-AC25)/10000</f>
        <v>#REF!</v>
      </c>
      <c r="AL25" s="224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HKD3L6L18Y_Quote#0011</v>
      </c>
      <c r="G26" s="23" t="str">
        <f>_xll.ohRangeRetrieveError(F26)</f>
        <v/>
      </c>
      <c r="H26" s="22"/>
      <c r="N26" s="187">
        <v>18</v>
      </c>
      <c r="O26" s="239" t="s">
        <v>30</v>
      </c>
      <c r="P26" s="238" t="str">
        <v>3L</v>
      </c>
      <c r="Q26" s="238" t="str">
        <v>6L</v>
      </c>
      <c r="R26" s="236" t="str">
        <f t="shared" si="1"/>
        <v>HKD3L6L18Y</v>
      </c>
      <c r="S26" s="185" t="str">
        <v>HKD3L6L18Y=ICAP</v>
      </c>
      <c r="T26" s="349" t="s">
        <v>168</v>
      </c>
      <c r="U26" s="349" t="s">
        <v>168</v>
      </c>
      <c r="V26" s="349" t="e">
        <f>_xll.qlMidEquivalent(T26,U26)</f>
        <v>#NUM!</v>
      </c>
      <c r="W26" s="189" t="b">
        <f t="shared" si="2"/>
        <v>0</v>
      </c>
      <c r="X26" s="355" t="e">
        <v>#VALUE!</v>
      </c>
      <c r="Y26" s="182"/>
      <c r="Z26" s="347" t="e">
        <v>#VALUE!</v>
      </c>
      <c r="AA26" s="182"/>
      <c r="AB26" s="190" t="str">
        <f t="shared" si="3"/>
        <v>HKD3L6L18Y_Quote</v>
      </c>
      <c r="AC26" s="346" t="e">
        <v>#VALUE!</v>
      </c>
      <c r="AD26" s="188" t="e">
        <f>_xll.qlSimpleQuoteSetValue($AB26,ROUND($AC26/10000,6),Trigger)</f>
        <v>#NUM!</v>
      </c>
      <c r="AE26" s="178"/>
      <c r="AF26" s="224"/>
      <c r="AG26" s="224"/>
      <c r="AH26" s="224"/>
      <c r="AI26" s="224"/>
      <c r="AJ26" s="224" t="str">
        <f t="shared" si="4"/>
        <v>18Y</v>
      </c>
      <c r="AK26" s="352" t="e">
        <f>((#REF!-Swap3M!AC26)*100-AC26)/10000</f>
        <v>#REF!</v>
      </c>
      <c r="AL26" s="224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HKD3L6L19Y_Quote#0011</v>
      </c>
      <c r="G27" s="23" t="str">
        <f>_xll.ohRangeRetrieveError(F27)</f>
        <v/>
      </c>
      <c r="H27" s="22"/>
      <c r="N27" s="187">
        <v>19</v>
      </c>
      <c r="O27" s="239" t="s">
        <v>29</v>
      </c>
      <c r="P27" s="238" t="str">
        <v>3L</v>
      </c>
      <c r="Q27" s="238" t="str">
        <v>6L</v>
      </c>
      <c r="R27" s="236" t="str">
        <f t="shared" si="1"/>
        <v>HKD3L6L19Y</v>
      </c>
      <c r="S27" s="185" t="str">
        <v>HKD3L6L19Y=ICAP</v>
      </c>
      <c r="T27" s="349" t="s">
        <v>168</v>
      </c>
      <c r="U27" s="349" t="s">
        <v>168</v>
      </c>
      <c r="V27" s="349" t="e">
        <f>_xll.qlMidEquivalent(T27,U27)</f>
        <v>#NUM!</v>
      </c>
      <c r="W27" s="189" t="b">
        <f t="shared" si="2"/>
        <v>0</v>
      </c>
      <c r="X27" s="355" t="e">
        <v>#VALUE!</v>
      </c>
      <c r="Y27" s="182"/>
      <c r="Z27" s="347" t="e">
        <v>#VALUE!</v>
      </c>
      <c r="AA27" s="182"/>
      <c r="AB27" s="190" t="str">
        <f t="shared" si="3"/>
        <v>HKD3L6L19Y_Quote</v>
      </c>
      <c r="AC27" s="346" t="e">
        <v>#VALUE!</v>
      </c>
      <c r="AD27" s="188" t="e">
        <f>_xll.qlSimpleQuoteSetValue($AB27,ROUND($AC27/10000,6),Trigger)</f>
        <v>#NUM!</v>
      </c>
      <c r="AE27" s="178"/>
      <c r="AF27" s="224"/>
      <c r="AG27" s="224"/>
      <c r="AH27" s="224"/>
      <c r="AI27" s="224"/>
      <c r="AJ27" s="224" t="str">
        <f t="shared" si="4"/>
        <v>19Y</v>
      </c>
      <c r="AK27" s="352" t="e">
        <f>((#REF!-Swap3M!AC27)*100-AC27)/10000</f>
        <v>#REF!</v>
      </c>
      <c r="AL27" s="224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HKD3L6L20Y_Quote#0011</v>
      </c>
      <c r="G28" s="23" t="str">
        <f>_xll.ohRangeRetrieveError(F28)</f>
        <v/>
      </c>
      <c r="H28" s="22"/>
      <c r="N28" s="187">
        <v>20</v>
      </c>
      <c r="O28" s="239" t="s">
        <v>28</v>
      </c>
      <c r="P28" s="238" t="str">
        <v>3L</v>
      </c>
      <c r="Q28" s="238" t="str">
        <v>6L</v>
      </c>
      <c r="R28" s="236" t="str">
        <f t="shared" si="1"/>
        <v>HKD3L6L20Y</v>
      </c>
      <c r="S28" s="185" t="str">
        <v>HKD3L6L20Y=ICAP</v>
      </c>
      <c r="T28" s="349" t="s">
        <v>168</v>
      </c>
      <c r="U28" s="349" t="s">
        <v>168</v>
      </c>
      <c r="V28" s="349" t="e">
        <f>_xll.qlMidEquivalent(T28,U28)</f>
        <v>#NUM!</v>
      </c>
      <c r="W28" s="189" t="b">
        <f t="shared" si="2"/>
        <v>0</v>
      </c>
      <c r="X28" s="355" t="e">
        <v>#VALUE!</v>
      </c>
      <c r="Y28" s="182"/>
      <c r="Z28" s="347" t="e">
        <v>#VALUE!</v>
      </c>
      <c r="AA28" s="182"/>
      <c r="AB28" s="190" t="str">
        <f t="shared" si="3"/>
        <v>HKD3L6L20Y_Quote</v>
      </c>
      <c r="AC28" s="346" t="e">
        <v>#VALUE!</v>
      </c>
      <c r="AD28" s="188" t="e">
        <f>_xll.qlSimpleQuoteSetValue($AB28,ROUND($AC28/10000,6),Trigger)</f>
        <v>#NUM!</v>
      </c>
      <c r="AE28" s="178"/>
      <c r="AF28" s="224"/>
      <c r="AG28" s="224"/>
      <c r="AH28" s="224"/>
      <c r="AI28" s="224"/>
      <c r="AJ28" s="224" t="str">
        <f t="shared" si="4"/>
        <v>20Y</v>
      </c>
      <c r="AK28" s="352" t="e">
        <f>((#REF!-Swap3M!AC28)*100-AC28)/10000</f>
        <v>#REF!</v>
      </c>
      <c r="AL28" s="224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HKD3L6L21Y_Quote#0011</v>
      </c>
      <c r="G29" s="23" t="str">
        <f>_xll.ohRangeRetrieveError(F29)</f>
        <v/>
      </c>
      <c r="H29" s="22"/>
      <c r="N29" s="187">
        <v>21</v>
      </c>
      <c r="O29" s="239" t="s">
        <v>27</v>
      </c>
      <c r="P29" s="238" t="str">
        <v>3L</v>
      </c>
      <c r="Q29" s="238" t="str">
        <v>6L</v>
      </c>
      <c r="R29" s="236" t="str">
        <f t="shared" si="1"/>
        <v>HKD3L6L21Y</v>
      </c>
      <c r="S29" s="185" t="str">
        <v>HKD3L6L21Y=ICAP</v>
      </c>
      <c r="T29" s="349" t="s">
        <v>168</v>
      </c>
      <c r="U29" s="349" t="s">
        <v>168</v>
      </c>
      <c r="V29" s="349" t="e">
        <f>_xll.qlMidEquivalent(T29,U29)</f>
        <v>#NUM!</v>
      </c>
      <c r="W29" s="189" t="b">
        <f t="shared" si="2"/>
        <v>0</v>
      </c>
      <c r="X29" s="355" t="e">
        <v>#VALUE!</v>
      </c>
      <c r="Y29" s="182"/>
      <c r="Z29" s="347" t="e">
        <v>#VALUE!</v>
      </c>
      <c r="AA29" s="182"/>
      <c r="AB29" s="190" t="str">
        <f t="shared" si="3"/>
        <v>HKD3L6L21Y_Quote</v>
      </c>
      <c r="AC29" s="346" t="e">
        <v>#VALUE!</v>
      </c>
      <c r="AD29" s="188" t="e">
        <f>_xll.qlSimpleQuoteSetValue($AB29,ROUND($AC29/10000,6),Trigger)</f>
        <v>#NUM!</v>
      </c>
      <c r="AE29" s="178"/>
      <c r="AF29" s="224"/>
      <c r="AG29" s="224"/>
      <c r="AH29" s="224"/>
      <c r="AI29" s="224"/>
      <c r="AJ29" s="224" t="str">
        <f t="shared" si="4"/>
        <v>21Y</v>
      </c>
      <c r="AK29" s="352" t="e">
        <f>((#REF!-Swap3M!AC29)*100-AC29)/10000</f>
        <v>#REF!</v>
      </c>
      <c r="AL29" s="224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HKD3L6L22Y_Quote#0011</v>
      </c>
      <c r="G30" s="23" t="str">
        <f>_xll.ohRangeRetrieveError(F30)</f>
        <v/>
      </c>
      <c r="H30" s="22"/>
      <c r="N30" s="187">
        <v>22</v>
      </c>
      <c r="O30" s="239" t="s">
        <v>26</v>
      </c>
      <c r="P30" s="238" t="str">
        <v>3L</v>
      </c>
      <c r="Q30" s="238" t="str">
        <v>6L</v>
      </c>
      <c r="R30" s="236" t="str">
        <f t="shared" si="1"/>
        <v>HKD3L6L22Y</v>
      </c>
      <c r="S30" s="185" t="str">
        <v>HKD3L6L22Y=ICAP</v>
      </c>
      <c r="T30" s="349" t="s">
        <v>168</v>
      </c>
      <c r="U30" s="349" t="s">
        <v>168</v>
      </c>
      <c r="V30" s="349" t="e">
        <f>_xll.qlMidEquivalent(T30,U30)</f>
        <v>#NUM!</v>
      </c>
      <c r="W30" s="189" t="b">
        <f t="shared" si="2"/>
        <v>0</v>
      </c>
      <c r="X30" s="355" t="e">
        <v>#VALUE!</v>
      </c>
      <c r="Y30" s="182"/>
      <c r="Z30" s="347" t="e">
        <v>#VALUE!</v>
      </c>
      <c r="AA30" s="182"/>
      <c r="AB30" s="190" t="str">
        <f t="shared" si="3"/>
        <v>HKD3L6L22Y_Quote</v>
      </c>
      <c r="AC30" s="346" t="e">
        <v>#VALUE!</v>
      </c>
      <c r="AD30" s="188" t="e">
        <f>_xll.qlSimpleQuoteSetValue($AB30,ROUND($AC30/10000,6),Trigger)</f>
        <v>#NUM!</v>
      </c>
      <c r="AE30" s="178"/>
      <c r="AF30" s="224"/>
      <c r="AG30" s="224"/>
      <c r="AH30" s="224"/>
      <c r="AI30" s="224"/>
      <c r="AJ30" s="224" t="str">
        <f t="shared" si="4"/>
        <v>22Y</v>
      </c>
      <c r="AK30" s="352" t="e">
        <f>((#REF!-Swap3M!AC30)*100-AC30)/10000</f>
        <v>#REF!</v>
      </c>
      <c r="AL30" s="224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HKD3L6L23Y_Quote#0011</v>
      </c>
      <c r="G31" s="23" t="str">
        <f>_xll.ohRangeRetrieveError(F31)</f>
        <v/>
      </c>
      <c r="H31" s="22"/>
      <c r="N31" s="187">
        <v>23</v>
      </c>
      <c r="O31" s="239" t="s">
        <v>25</v>
      </c>
      <c r="P31" s="238" t="str">
        <v>3L</v>
      </c>
      <c r="Q31" s="238" t="str">
        <v>6L</v>
      </c>
      <c r="R31" s="236" t="str">
        <f t="shared" si="1"/>
        <v>HKD3L6L23Y</v>
      </c>
      <c r="S31" s="185" t="str">
        <v>HKD3L6L23Y=ICAP</v>
      </c>
      <c r="T31" s="349" t="s">
        <v>168</v>
      </c>
      <c r="U31" s="349" t="s">
        <v>168</v>
      </c>
      <c r="V31" s="349" t="e">
        <f>_xll.qlMidEquivalent(T31,U31)</f>
        <v>#NUM!</v>
      </c>
      <c r="W31" s="189" t="b">
        <f t="shared" si="2"/>
        <v>0</v>
      </c>
      <c r="X31" s="355" t="e">
        <v>#VALUE!</v>
      </c>
      <c r="Y31" s="182"/>
      <c r="Z31" s="347" t="e">
        <v>#VALUE!</v>
      </c>
      <c r="AA31" s="182"/>
      <c r="AB31" s="190" t="str">
        <f t="shared" si="3"/>
        <v>HKD3L6L23Y_Quote</v>
      </c>
      <c r="AC31" s="346" t="e">
        <v>#VALUE!</v>
      </c>
      <c r="AD31" s="188" t="e">
        <f>_xll.qlSimpleQuoteSetValue($AB31,ROUND($AC31/10000,6),Trigger)</f>
        <v>#NUM!</v>
      </c>
      <c r="AE31" s="178"/>
      <c r="AF31" s="224"/>
      <c r="AG31" s="224"/>
      <c r="AH31" s="224"/>
      <c r="AI31" s="224"/>
      <c r="AJ31" s="224" t="str">
        <f t="shared" si="4"/>
        <v>23Y</v>
      </c>
      <c r="AK31" s="352" t="e">
        <f>((#REF!-Swap3M!AC31)*100-AC31)/10000</f>
        <v>#REF!</v>
      </c>
      <c r="AL31" s="224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HKD3L6L24Y_Quote#0011</v>
      </c>
      <c r="G32" s="23" t="str">
        <f>_xll.ohRangeRetrieveError(F32)</f>
        <v/>
      </c>
      <c r="H32" s="22"/>
      <c r="N32" s="187">
        <v>24</v>
      </c>
      <c r="O32" s="239" t="s">
        <v>24</v>
      </c>
      <c r="P32" s="238" t="str">
        <v>3L</v>
      </c>
      <c r="Q32" s="238" t="str">
        <v>6L</v>
      </c>
      <c r="R32" s="236" t="str">
        <f t="shared" si="1"/>
        <v>HKD3L6L24Y</v>
      </c>
      <c r="S32" s="185" t="str">
        <v>HKD3L6L24Y=ICAP</v>
      </c>
      <c r="T32" s="349" t="s">
        <v>168</v>
      </c>
      <c r="U32" s="349" t="s">
        <v>168</v>
      </c>
      <c r="V32" s="349" t="e">
        <f>_xll.qlMidEquivalent(T32,U32)</f>
        <v>#NUM!</v>
      </c>
      <c r="W32" s="189" t="b">
        <f t="shared" si="2"/>
        <v>0</v>
      </c>
      <c r="X32" s="355" t="e">
        <v>#VALUE!</v>
      </c>
      <c r="Y32" s="182"/>
      <c r="Z32" s="347" t="e">
        <v>#VALUE!</v>
      </c>
      <c r="AA32" s="182"/>
      <c r="AB32" s="190" t="str">
        <f t="shared" si="3"/>
        <v>HKD3L6L24Y_Quote</v>
      </c>
      <c r="AC32" s="346" t="e">
        <v>#VALUE!</v>
      </c>
      <c r="AD32" s="188" t="e">
        <f>_xll.qlSimpleQuoteSetValue($AB32,ROUND($AC32/10000,6),Trigger)</f>
        <v>#NUM!</v>
      </c>
      <c r="AE32" s="178"/>
      <c r="AF32" s="224"/>
      <c r="AG32" s="224"/>
      <c r="AH32" s="224"/>
      <c r="AI32" s="224"/>
      <c r="AJ32" s="224" t="str">
        <f t="shared" si="4"/>
        <v>24Y</v>
      </c>
      <c r="AK32" s="352" t="e">
        <f>((#REF!-Swap3M!AC32)*100-AC32)/10000</f>
        <v>#REF!</v>
      </c>
      <c r="AL32" s="224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HKD3L6L25Y_Quote#0011</v>
      </c>
      <c r="G33" s="23" t="str">
        <f>_xll.ohRangeRetrieveError(F33)</f>
        <v/>
      </c>
      <c r="H33" s="22"/>
      <c r="N33" s="187">
        <v>25</v>
      </c>
      <c r="O33" s="239" t="s">
        <v>23</v>
      </c>
      <c r="P33" s="238" t="str">
        <v>3L</v>
      </c>
      <c r="Q33" s="238" t="str">
        <v>6L</v>
      </c>
      <c r="R33" s="236" t="str">
        <f t="shared" si="1"/>
        <v>HKD3L6L25Y</v>
      </c>
      <c r="S33" s="185" t="str">
        <v>HKD3L6L25Y=ICAP</v>
      </c>
      <c r="T33" s="349" t="s">
        <v>168</v>
      </c>
      <c r="U33" s="349" t="s">
        <v>168</v>
      </c>
      <c r="V33" s="349" t="e">
        <f>_xll.qlMidEquivalent(T33,U33)</f>
        <v>#NUM!</v>
      </c>
      <c r="W33" s="189" t="b">
        <f t="shared" si="2"/>
        <v>0</v>
      </c>
      <c r="X33" s="355" t="e">
        <v>#VALUE!</v>
      </c>
      <c r="Y33" s="182"/>
      <c r="Z33" s="347" t="e">
        <v>#VALUE!</v>
      </c>
      <c r="AA33" s="182"/>
      <c r="AB33" s="190" t="str">
        <f t="shared" si="3"/>
        <v>HKD3L6L25Y_Quote</v>
      </c>
      <c r="AC33" s="346" t="e">
        <v>#VALUE!</v>
      </c>
      <c r="AD33" s="188" t="e">
        <f>_xll.qlSimpleQuoteSetValue($AB33,ROUND($AC33/10000,6),Trigger)</f>
        <v>#NUM!</v>
      </c>
      <c r="AE33" s="178"/>
      <c r="AF33" s="224"/>
      <c r="AG33" s="224"/>
      <c r="AH33" s="224"/>
      <c r="AI33" s="224"/>
      <c r="AJ33" s="224" t="str">
        <f t="shared" si="4"/>
        <v>25Y</v>
      </c>
      <c r="AK33" s="352" t="e">
        <f>((#REF!-Swap3M!#REF!)*100-AC33)/10000</f>
        <v>#REF!</v>
      </c>
      <c r="AL33" s="224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HKD3L6L26Y_Quote#0011</v>
      </c>
      <c r="G34" s="23" t="str">
        <f>_xll.ohRangeRetrieveError(F34)</f>
        <v/>
      </c>
      <c r="H34" s="22"/>
      <c r="N34" s="187">
        <v>26</v>
      </c>
      <c r="O34" s="239" t="s">
        <v>22</v>
      </c>
      <c r="P34" s="238" t="str">
        <v>3L</v>
      </c>
      <c r="Q34" s="238" t="str">
        <v>6L</v>
      </c>
      <c r="R34" s="236" t="str">
        <f t="shared" si="1"/>
        <v>HKD3L6L26Y</v>
      </c>
      <c r="S34" s="185" t="str">
        <v>HKD3L6L26Y=ICAP</v>
      </c>
      <c r="T34" s="349" t="s">
        <v>168</v>
      </c>
      <c r="U34" s="349" t="s">
        <v>168</v>
      </c>
      <c r="V34" s="349" t="e">
        <f>_xll.qlMidEquivalent(T34,U34)</f>
        <v>#NUM!</v>
      </c>
      <c r="W34" s="189" t="b">
        <f t="shared" si="2"/>
        <v>0</v>
      </c>
      <c r="X34" s="355" t="e">
        <v>#VALUE!</v>
      </c>
      <c r="Y34" s="182"/>
      <c r="Z34" s="347" t="e">
        <v>#VALUE!</v>
      </c>
      <c r="AA34" s="182"/>
      <c r="AB34" s="190" t="str">
        <f t="shared" si="3"/>
        <v>HKD3L6L26Y_Quote</v>
      </c>
      <c r="AC34" s="346" t="e">
        <v>#VALUE!</v>
      </c>
      <c r="AD34" s="188" t="e">
        <f>_xll.qlSimpleQuoteSetValue($AB34,ROUND($AC34/10000,6),Trigger)</f>
        <v>#NUM!</v>
      </c>
      <c r="AE34" s="178"/>
      <c r="AF34" s="224"/>
      <c r="AG34" s="224"/>
      <c r="AH34" s="224"/>
      <c r="AI34" s="224"/>
      <c r="AJ34" s="224" t="str">
        <f t="shared" si="4"/>
        <v>26Y</v>
      </c>
      <c r="AK34" s="352" t="e">
        <f>((#REF!-Swap3M!#REF!)*100-AC34)/10000</f>
        <v>#REF!</v>
      </c>
      <c r="AL34" s="224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HKD3L6L27Y_Quote#0011</v>
      </c>
      <c r="G35" s="23" t="str">
        <f>_xll.ohRangeRetrieveError(F35)</f>
        <v/>
      </c>
      <c r="H35" s="22"/>
      <c r="N35" s="187">
        <v>27</v>
      </c>
      <c r="O35" s="239" t="s">
        <v>21</v>
      </c>
      <c r="P35" s="238" t="str">
        <v>3L</v>
      </c>
      <c r="Q35" s="238" t="str">
        <v>6L</v>
      </c>
      <c r="R35" s="236" t="str">
        <f t="shared" si="1"/>
        <v>HKD3L6L27Y</v>
      </c>
      <c r="S35" s="185" t="str">
        <v>HKD3L6L27Y=ICAP</v>
      </c>
      <c r="T35" s="349" t="s">
        <v>168</v>
      </c>
      <c r="U35" s="349" t="s">
        <v>168</v>
      </c>
      <c r="V35" s="349" t="e">
        <f>_xll.qlMidEquivalent(T35,U35)</f>
        <v>#NUM!</v>
      </c>
      <c r="W35" s="189" t="b">
        <f t="shared" si="2"/>
        <v>0</v>
      </c>
      <c r="X35" s="355" t="e">
        <v>#VALUE!</v>
      </c>
      <c r="Y35" s="182"/>
      <c r="Z35" s="347" t="e">
        <v>#VALUE!</v>
      </c>
      <c r="AA35" s="182"/>
      <c r="AB35" s="190" t="str">
        <f t="shared" si="3"/>
        <v>HKD3L6L27Y_Quote</v>
      </c>
      <c r="AC35" s="346" t="e">
        <v>#VALUE!</v>
      </c>
      <c r="AD35" s="188" t="e">
        <f>_xll.qlSimpleQuoteSetValue($AB35,ROUND($AC35/10000,6),Trigger)</f>
        <v>#NUM!</v>
      </c>
      <c r="AE35" s="178"/>
      <c r="AF35" s="224"/>
      <c r="AG35" s="224"/>
      <c r="AH35" s="224"/>
      <c r="AI35" s="224"/>
      <c r="AJ35" s="224" t="str">
        <f t="shared" si="4"/>
        <v>27Y</v>
      </c>
      <c r="AK35" s="352" t="e">
        <f>((#REF!-Swap3M!#REF!)*100-AC35)/10000</f>
        <v>#REF!</v>
      </c>
      <c r="AL35" s="224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HKD3L6L28Y_Quote#0011</v>
      </c>
      <c r="G36" s="23" t="str">
        <f>_xll.ohRangeRetrieveError(F36)</f>
        <v/>
      </c>
      <c r="H36" s="22"/>
      <c r="N36" s="187">
        <v>28</v>
      </c>
      <c r="O36" s="239" t="s">
        <v>20</v>
      </c>
      <c r="P36" s="238" t="str">
        <v>3L</v>
      </c>
      <c r="Q36" s="238" t="str">
        <v>6L</v>
      </c>
      <c r="R36" s="236" t="str">
        <f t="shared" si="1"/>
        <v>HKD3L6L28Y</v>
      </c>
      <c r="S36" s="185" t="str">
        <v>HKD3L6L28Y=ICAP</v>
      </c>
      <c r="T36" s="349" t="s">
        <v>168</v>
      </c>
      <c r="U36" s="349" t="s">
        <v>168</v>
      </c>
      <c r="V36" s="349" t="e">
        <f>_xll.qlMidEquivalent(T36,U36)</f>
        <v>#NUM!</v>
      </c>
      <c r="W36" s="189" t="b">
        <f t="shared" si="2"/>
        <v>0</v>
      </c>
      <c r="X36" s="355" t="e">
        <v>#VALUE!</v>
      </c>
      <c r="Y36" s="182"/>
      <c r="Z36" s="347" t="e">
        <v>#VALUE!</v>
      </c>
      <c r="AA36" s="182"/>
      <c r="AB36" s="190" t="str">
        <f t="shared" si="3"/>
        <v>HKD3L6L28Y_Quote</v>
      </c>
      <c r="AC36" s="346" t="e">
        <v>#VALUE!</v>
      </c>
      <c r="AD36" s="188" t="e">
        <f>_xll.qlSimpleQuoteSetValue($AB36,ROUND($AC36/10000,6),Trigger)</f>
        <v>#NUM!</v>
      </c>
      <c r="AE36" s="178"/>
      <c r="AF36" s="224"/>
      <c r="AG36" s="224"/>
      <c r="AH36" s="224"/>
      <c r="AI36" s="224"/>
      <c r="AJ36" s="224" t="str">
        <f t="shared" si="4"/>
        <v>28Y</v>
      </c>
      <c r="AK36" s="352" t="e">
        <f>((#REF!-Swap3M!#REF!)*100-AC36)/10000</f>
        <v>#REF!</v>
      </c>
      <c r="AL36" s="224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HKD3L6L29Y_Quote#0011</v>
      </c>
      <c r="G37" s="23" t="str">
        <f>_xll.ohRangeRetrieveError(F37)</f>
        <v/>
      </c>
      <c r="H37" s="22"/>
      <c r="N37" s="187">
        <v>29</v>
      </c>
      <c r="O37" s="239" t="s">
        <v>19</v>
      </c>
      <c r="P37" s="238" t="str">
        <v>3L</v>
      </c>
      <c r="Q37" s="238" t="str">
        <v>6L</v>
      </c>
      <c r="R37" s="236" t="str">
        <f t="shared" si="1"/>
        <v>HKD3L6L29Y</v>
      </c>
      <c r="S37" s="185" t="str">
        <v>HKD3L6L29Y=ICAP</v>
      </c>
      <c r="T37" s="349" t="s">
        <v>168</v>
      </c>
      <c r="U37" s="349" t="s">
        <v>168</v>
      </c>
      <c r="V37" s="349" t="e">
        <f>_xll.qlMidEquivalent(T37,U37)</f>
        <v>#NUM!</v>
      </c>
      <c r="W37" s="189" t="b">
        <f t="shared" si="2"/>
        <v>0</v>
      </c>
      <c r="X37" s="355" t="e">
        <v>#VALUE!</v>
      </c>
      <c r="Y37" s="182"/>
      <c r="Z37" s="347" t="e">
        <v>#VALUE!</v>
      </c>
      <c r="AA37" s="182"/>
      <c r="AB37" s="190" t="str">
        <f t="shared" si="3"/>
        <v>HKD3L6L29Y_Quote</v>
      </c>
      <c r="AC37" s="346" t="e">
        <v>#VALUE!</v>
      </c>
      <c r="AD37" s="188" t="e">
        <f>_xll.qlSimpleQuoteSetValue($AB37,ROUND($AC37/10000,6),Trigger)</f>
        <v>#NUM!</v>
      </c>
      <c r="AE37" s="178"/>
      <c r="AF37" s="224"/>
      <c r="AG37" s="224"/>
      <c r="AH37" s="224"/>
      <c r="AI37" s="224"/>
      <c r="AJ37" s="224" t="str">
        <f t="shared" si="4"/>
        <v>29Y</v>
      </c>
      <c r="AK37" s="352" t="e">
        <f>((#REF!-Swap3M!#REF!)*100-AC37)/10000</f>
        <v>#REF!</v>
      </c>
      <c r="AL37" s="224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HKD3L6L30Y_Quote#0011</v>
      </c>
      <c r="G38" s="23" t="str">
        <f>_xll.ohRangeRetrieveError(F38)</f>
        <v/>
      </c>
      <c r="H38" s="22"/>
      <c r="N38" s="187">
        <v>30</v>
      </c>
      <c r="O38" s="239" t="s">
        <v>18</v>
      </c>
      <c r="P38" s="238" t="str">
        <v>3L</v>
      </c>
      <c r="Q38" s="238" t="str">
        <v>6L</v>
      </c>
      <c r="R38" s="236" t="str">
        <f t="shared" si="1"/>
        <v>HKD3L6L30Y</v>
      </c>
      <c r="S38" s="185" t="str">
        <v>HKD3L6L30Y=ICAP</v>
      </c>
      <c r="T38" s="349" t="s">
        <v>168</v>
      </c>
      <c r="U38" s="349" t="s">
        <v>168</v>
      </c>
      <c r="V38" s="349" t="e">
        <f>_xll.qlMidEquivalent(T38,U38)</f>
        <v>#NUM!</v>
      </c>
      <c r="W38" s="189" t="b">
        <f t="shared" si="2"/>
        <v>0</v>
      </c>
      <c r="X38" s="355" t="e">
        <v>#VALUE!</v>
      </c>
      <c r="Y38" s="182"/>
      <c r="Z38" s="347" t="e">
        <v>#VALUE!</v>
      </c>
      <c r="AA38" s="182"/>
      <c r="AB38" s="190" t="str">
        <f t="shared" si="3"/>
        <v>HKD3L6L30Y_Quote</v>
      </c>
      <c r="AC38" s="346" t="e">
        <v>#VALUE!</v>
      </c>
      <c r="AD38" s="188" t="e">
        <f>_xll.qlSimpleQuoteSetValue($AB38,ROUND($AC38/10000,6),Trigger)</f>
        <v>#NUM!</v>
      </c>
      <c r="AE38" s="178"/>
      <c r="AF38" s="224"/>
      <c r="AG38" s="224"/>
      <c r="AH38" s="224"/>
      <c r="AI38" s="224"/>
      <c r="AJ38" s="224" t="str">
        <f t="shared" si="4"/>
        <v>30Y</v>
      </c>
      <c r="AK38" s="352" t="e">
        <f>((#REF!-Swap3M!#REF!)*100-AC38)/10000</f>
        <v>#REF!</v>
      </c>
      <c r="AL38" s="224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HKD3L6L35Y_Quote#0011</v>
      </c>
      <c r="G39" s="23" t="str">
        <f>_xll.ohRangeRetrieveError(F39)</f>
        <v/>
      </c>
      <c r="H39" s="22"/>
      <c r="N39" s="187">
        <v>35</v>
      </c>
      <c r="O39" s="239" t="s">
        <v>17</v>
      </c>
      <c r="P39" s="238" t="str">
        <v>3L</v>
      </c>
      <c r="Q39" s="238" t="str">
        <v>6L</v>
      </c>
      <c r="R39" s="236" t="str">
        <f t="shared" si="1"/>
        <v>HKD3L6L35Y</v>
      </c>
      <c r="S39" s="185" t="str">
        <v>HKD3L6L35Y=ICAP</v>
      </c>
      <c r="T39" s="349" t="s">
        <v>168</v>
      </c>
      <c r="U39" s="349" t="s">
        <v>168</v>
      </c>
      <c r="V39" s="349" t="e">
        <f>_xll.qlMidEquivalent(T39,U39)</f>
        <v>#NUM!</v>
      </c>
      <c r="W39" s="189" t="b">
        <f t="shared" si="2"/>
        <v>0</v>
      </c>
      <c r="X39" s="355" t="e">
        <v>#VALUE!</v>
      </c>
      <c r="Y39" s="182"/>
      <c r="Z39" s="347" t="e">
        <v>#VALUE!</v>
      </c>
      <c r="AA39" s="182"/>
      <c r="AB39" s="190" t="str">
        <f t="shared" si="3"/>
        <v>HKD3L6L35Y_Quote</v>
      </c>
      <c r="AC39" s="346" t="e">
        <v>#VALUE!</v>
      </c>
      <c r="AD39" s="188" t="e">
        <f>_xll.qlSimpleQuoteSetValue($AB39,ROUND($AC39/10000,6),Trigger)</f>
        <v>#NUM!</v>
      </c>
      <c r="AE39" s="178"/>
      <c r="AF39" s="224"/>
      <c r="AG39" s="224"/>
      <c r="AH39" s="224"/>
      <c r="AI39" s="224"/>
      <c r="AJ39" s="224" t="str">
        <f t="shared" si="4"/>
        <v>35Y</v>
      </c>
      <c r="AK39" s="352" t="e">
        <f>((#REF!-Swap3M!#REF!)*100-AC39)/10000</f>
        <v>#REF!</v>
      </c>
      <c r="AL39" s="224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HKD3L6L40Y_Quote#0011</v>
      </c>
      <c r="G40" s="23" t="str">
        <f>_xll.ohRangeRetrieveError(F40)</f>
        <v/>
      </c>
      <c r="H40" s="22"/>
      <c r="N40" s="187">
        <v>40</v>
      </c>
      <c r="O40" s="239" t="s">
        <v>16</v>
      </c>
      <c r="P40" s="238" t="str">
        <v>3L</v>
      </c>
      <c r="Q40" s="238" t="str">
        <v>6L</v>
      </c>
      <c r="R40" s="236" t="str">
        <f t="shared" si="1"/>
        <v>HKD3L6L40Y</v>
      </c>
      <c r="S40" s="185" t="str">
        <v>HKD3L6L40Y=ICAP</v>
      </c>
      <c r="T40" s="349" t="s">
        <v>168</v>
      </c>
      <c r="U40" s="349" t="s">
        <v>168</v>
      </c>
      <c r="V40" s="349" t="e">
        <f>_xll.qlMidEquivalent(T40,U40)</f>
        <v>#NUM!</v>
      </c>
      <c r="W40" s="189" t="b">
        <f t="shared" si="2"/>
        <v>0</v>
      </c>
      <c r="X40" s="355" t="e">
        <v>#VALUE!</v>
      </c>
      <c r="Y40" s="353" t="e">
        <f>X38-X40</f>
        <v>#VALUE!</v>
      </c>
      <c r="Z40" s="347" t="e">
        <v>#VALUE!</v>
      </c>
      <c r="AA40" s="182"/>
      <c r="AB40" s="190" t="str">
        <f t="shared" si="3"/>
        <v>HKD3L6L40Y_Quote</v>
      </c>
      <c r="AC40" s="346" t="e">
        <v>#VALUE!</v>
      </c>
      <c r="AD40" s="188" t="e">
        <f>_xll.qlSimpleQuoteSetValue($AB40,ROUND($AC40/10000,6),Trigger)</f>
        <v>#NUM!</v>
      </c>
      <c r="AE40" s="178"/>
      <c r="AF40" s="224"/>
      <c r="AG40" s="224"/>
      <c r="AH40" s="224"/>
      <c r="AI40" s="224"/>
      <c r="AJ40" s="224" t="str">
        <f t="shared" si="4"/>
        <v>40Y</v>
      </c>
      <c r="AK40" s="352" t="e">
        <f>((#REF!-Swap3M!#REF!)*100-AC40)/10000</f>
        <v>#REF!</v>
      </c>
      <c r="AL40" s="224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HKD3L6L50Y_Quote#0011</v>
      </c>
      <c r="G41" s="23" t="str">
        <f>_xll.ohRangeRetrieveError(F41)</f>
        <v/>
      </c>
      <c r="H41" s="22"/>
      <c r="N41" s="187">
        <v>50</v>
      </c>
      <c r="O41" s="239" t="s">
        <v>15</v>
      </c>
      <c r="P41" s="238" t="str">
        <v>3L</v>
      </c>
      <c r="Q41" s="238" t="str">
        <v>6L</v>
      </c>
      <c r="R41" s="236" t="str">
        <f t="shared" si="1"/>
        <v>HKD3L6L50Y</v>
      </c>
      <c r="S41" s="185" t="str">
        <v>HKD3L6L50Y=ICAP</v>
      </c>
      <c r="T41" s="349" t="s">
        <v>168</v>
      </c>
      <c r="U41" s="349" t="s">
        <v>168</v>
      </c>
      <c r="V41" s="349" t="e">
        <f>_xll.qlMidEquivalent(T41,U41)</f>
        <v>#NUM!</v>
      </c>
      <c r="W41" s="189" t="b">
        <f t="shared" si="2"/>
        <v>0</v>
      </c>
      <c r="X41" s="355" t="e">
        <v>#VALUE!</v>
      </c>
      <c r="Y41" s="353" t="e">
        <f>X40-X41</f>
        <v>#VALUE!</v>
      </c>
      <c r="Z41" s="347" t="e">
        <v>#VALUE!</v>
      </c>
      <c r="AA41" s="182"/>
      <c r="AB41" s="190" t="str">
        <f t="shared" si="3"/>
        <v>HKD3L6L50Y_Quote</v>
      </c>
      <c r="AC41" s="346" t="e">
        <v>#VALUE!</v>
      </c>
      <c r="AD41" s="188" t="e">
        <f>_xll.qlSimpleQuoteSetValue($AB41,ROUND($AC41/10000,6),Trigger)</f>
        <v>#NUM!</v>
      </c>
      <c r="AE41" s="178"/>
      <c r="AF41" s="224"/>
      <c r="AG41" s="224"/>
      <c r="AH41" s="224"/>
      <c r="AI41" s="224"/>
      <c r="AJ41" s="224" t="str">
        <f t="shared" si="4"/>
        <v>50Y</v>
      </c>
      <c r="AK41" s="352" t="e">
        <f>((#REF!-Swap3M!#REF!)*100-AC41)/10000</f>
        <v>#REF!</v>
      </c>
      <c r="AL41" s="224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HKD3L6L60Y_Quote#0011</v>
      </c>
      <c r="G42" s="23" t="str">
        <f>_xll.ohRangeRetrieveError(F42)</f>
        <v/>
      </c>
      <c r="H42" s="22"/>
      <c r="N42" s="187">
        <v>60</v>
      </c>
      <c r="O42" s="239" t="s">
        <v>14</v>
      </c>
      <c r="P42" s="238" t="str">
        <v>3L</v>
      </c>
      <c r="Q42" s="238" t="str">
        <v>6L</v>
      </c>
      <c r="R42" s="236" t="str">
        <f t="shared" si="1"/>
        <v>HKD3L6L60Y</v>
      </c>
      <c r="S42" s="185" t="str">
        <v>HKD3L6L60Y=ICAP</v>
      </c>
      <c r="T42" s="349" t="s">
        <v>168</v>
      </c>
      <c r="U42" s="349" t="s">
        <v>168</v>
      </c>
      <c r="V42" s="349" t="e">
        <f>_xll.qlMidEquivalent(T42,U42)</f>
        <v>#NUM!</v>
      </c>
      <c r="W42" s="189" t="b">
        <f t="shared" si="2"/>
        <v>0</v>
      </c>
      <c r="X42" s="354" t="e">
        <f>X41-Y42</f>
        <v>#VALUE!</v>
      </c>
      <c r="Y42" s="353" t="e">
        <f>Y41/Y40*Y41</f>
        <v>#VALUE!</v>
      </c>
      <c r="Z42" s="347" t="e">
        <v>#VALUE!</v>
      </c>
      <c r="AA42" s="182"/>
      <c r="AB42" s="190" t="str">
        <f t="shared" si="3"/>
        <v>HKD3L6L60Y_Quote</v>
      </c>
      <c r="AC42" s="346" t="e">
        <v>#VALUE!</v>
      </c>
      <c r="AD42" s="188" t="e">
        <f>_xll.qlSimpleQuoteSetValue($AB42,ROUND($AC42/10000,6),Trigger)</f>
        <v>#NUM!</v>
      </c>
      <c r="AE42" s="178"/>
      <c r="AF42" s="224"/>
      <c r="AG42" s="224"/>
      <c r="AH42" s="224"/>
      <c r="AI42" s="224"/>
      <c r="AJ42" s="224" t="str">
        <f t="shared" si="4"/>
        <v>60Y</v>
      </c>
      <c r="AK42" s="352" t="e">
        <f>((#REF!-Swap3M!#REF!)*100-AC42)/10000</f>
        <v>#REF!</v>
      </c>
      <c r="AL42" s="224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77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5"/>
      <c r="Z43" s="176"/>
      <c r="AA43" s="175"/>
      <c r="AB43" s="176"/>
      <c r="AC43" s="176"/>
      <c r="AD43" s="176"/>
      <c r="AE43" s="324"/>
      <c r="AF43" s="224"/>
      <c r="AG43" s="224"/>
      <c r="AH43" s="224"/>
      <c r="AI43" s="224"/>
      <c r="AJ43" s="224"/>
      <c r="AK43" s="224"/>
      <c r="AL43" s="224"/>
    </row>
    <row r="44" spans="1:38" x14ac:dyDescent="0.2"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  <c r="AA44" s="224"/>
      <c r="AB44" s="224"/>
      <c r="AC44" s="224"/>
      <c r="AD44" s="224"/>
      <c r="AE44" s="224"/>
      <c r="AF44" s="224"/>
      <c r="AG44" s="224"/>
      <c r="AH44" s="224"/>
      <c r="AI44" s="224"/>
      <c r="AJ44" s="224"/>
      <c r="AK44" s="224"/>
      <c r="AL44" s="224"/>
    </row>
    <row r="45" spans="1:38" ht="15" x14ac:dyDescent="0.25"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  <c r="AA45" s="224"/>
      <c r="AB45" s="224"/>
      <c r="AC45" s="224"/>
      <c r="AD45" s="224"/>
      <c r="AE45" s="224"/>
      <c r="AF45" s="224"/>
      <c r="AG45" t="str">
        <f>_xll.RtGet("IDN","ICHKD9","ROW80_8")</f>
        <v>#N/A On Pause</v>
      </c>
      <c r="AH45" s="224"/>
      <c r="AI45" s="224"/>
      <c r="AJ45" s="224"/>
      <c r="AK45" s="224"/>
      <c r="AL45" s="224"/>
    </row>
    <row r="46" spans="1:38" x14ac:dyDescent="0.2"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3"/>
  <sheetViews>
    <sheetView workbookViewId="0"/>
  </sheetViews>
  <sheetFormatPr defaultRowHeight="11.25" x14ac:dyDescent="0.2"/>
  <cols>
    <col min="1" max="1" width="4.42578125" style="16" customWidth="1"/>
    <col min="2" max="2" width="5.140625" style="16" bestFit="1" customWidth="1"/>
    <col min="3" max="3" width="17.85546875" style="16" bestFit="1" customWidth="1"/>
    <col min="4" max="4" width="16.7109375" style="16" bestFit="1" customWidth="1"/>
    <col min="5" max="5" width="36.85546875" style="16" bestFit="1" customWidth="1"/>
    <col min="6" max="6" width="5" style="16" customWidth="1"/>
    <col min="7" max="7" width="9.140625" style="16"/>
    <col min="8" max="8" width="8.140625" style="16" customWidth="1"/>
    <col min="9" max="9" width="3.85546875" style="16" bestFit="1" customWidth="1"/>
    <col min="10" max="10" width="9.7109375" style="16" customWidth="1"/>
    <col min="11" max="11" width="10.28515625" style="16" customWidth="1"/>
    <col min="12" max="14" width="8.140625" style="16" customWidth="1"/>
    <col min="15" max="15" width="12.85546875" style="16" bestFit="1" customWidth="1"/>
    <col min="16" max="16" width="9" style="16" customWidth="1"/>
    <col min="17" max="18" width="8.140625" style="16" customWidth="1"/>
    <col min="19" max="16384" width="9.140625" style="16"/>
  </cols>
  <sheetData>
    <row r="1" spans="1:24" s="149" customFormat="1" x14ac:dyDescent="0.2">
      <c r="A1" s="149" t="s">
        <v>258</v>
      </c>
      <c r="H1" s="214"/>
      <c r="I1" s="213"/>
      <c r="J1" s="213"/>
      <c r="K1" s="213"/>
      <c r="L1" s="213"/>
      <c r="M1" s="213"/>
      <c r="N1" s="213"/>
      <c r="O1" s="213"/>
      <c r="P1" s="213"/>
      <c r="Q1" s="213"/>
      <c r="R1" s="212"/>
    </row>
    <row r="2" spans="1:24" s="149" customFormat="1" ht="22.5" x14ac:dyDescent="0.2">
      <c r="H2" s="211"/>
      <c r="I2" s="210"/>
      <c r="J2" s="209" t="s">
        <v>132</v>
      </c>
      <c r="K2" s="182"/>
      <c r="L2" s="182"/>
      <c r="M2" s="182"/>
      <c r="N2" s="182"/>
      <c r="O2" s="208" t="s">
        <v>175</v>
      </c>
      <c r="P2" s="207" t="s">
        <v>174</v>
      </c>
      <c r="Q2" s="205"/>
      <c r="R2" s="206"/>
      <c r="T2" s="215" t="s">
        <v>176</v>
      </c>
      <c r="U2" s="216" t="s">
        <v>177</v>
      </c>
      <c r="V2" s="216" t="s">
        <v>178</v>
      </c>
      <c r="W2" s="216" t="s">
        <v>179</v>
      </c>
      <c r="X2" s="217" t="s">
        <v>180</v>
      </c>
    </row>
    <row r="3" spans="1:24" x14ac:dyDescent="0.2">
      <c r="A3" s="58"/>
      <c r="B3" s="47"/>
      <c r="C3" s="47"/>
      <c r="D3" s="47"/>
      <c r="E3" s="47"/>
      <c r="F3" s="44"/>
      <c r="H3" s="187"/>
      <c r="I3" s="205"/>
      <c r="J3" s="205"/>
      <c r="K3" s="205"/>
      <c r="L3" s="182"/>
      <c r="M3" s="182"/>
      <c r="N3" s="182"/>
      <c r="O3" s="205"/>
      <c r="P3" s="205"/>
      <c r="Q3" s="204">
        <f>_xll.ohTrigger(Q5:Q22)</f>
        <v>8</v>
      </c>
      <c r="R3" s="178"/>
      <c r="T3" s="218" t="s">
        <v>181</v>
      </c>
      <c r="U3" s="219" t="s">
        <v>182</v>
      </c>
      <c r="V3" s="219" t="s">
        <v>183</v>
      </c>
      <c r="W3" s="219" t="str">
        <f>""</f>
        <v/>
      </c>
      <c r="X3" s="220" t="s">
        <v>184</v>
      </c>
    </row>
    <row r="4" spans="1:24" ht="17.25" customHeight="1" x14ac:dyDescent="0.2">
      <c r="A4" s="28"/>
      <c r="B4" s="57"/>
      <c r="C4" s="41" t="str">
        <f>Currency&amp;"_010_"&amp;"Deposits.xml"</f>
        <v>HKD_010_Deposits.xml</v>
      </c>
      <c r="D4" s="56">
        <f ca="1">IF(Serialize,_xll.ohObjectSave(D5:D22,SerializationPath&amp;C4,FileOverwrite,,Serialize),"---")</f>
        <v>18</v>
      </c>
      <c r="E4" s="55" t="str">
        <f ca="1">_xll.ohRangeRetrieveError(D4)</f>
        <v/>
      </c>
      <c r="F4" s="51"/>
      <c r="H4" s="187"/>
      <c r="I4" s="200"/>
      <c r="J4" s="203" t="str">
        <f>_xll.RData(J5:J22,K4:K4,,ReutersRtMode,,K5)</f>
        <v>On Pause</v>
      </c>
      <c r="K4" s="202" t="s">
        <v>173</v>
      </c>
      <c r="L4" s="182"/>
      <c r="M4" s="201" t="s">
        <v>172</v>
      </c>
      <c r="N4" s="182"/>
      <c r="O4" s="200" t="s">
        <v>171</v>
      </c>
      <c r="P4" s="199" t="s">
        <v>170</v>
      </c>
      <c r="Q4" s="198" t="s">
        <v>169</v>
      </c>
      <c r="R4" s="178"/>
      <c r="T4" s="218" t="s">
        <v>185</v>
      </c>
      <c r="U4" s="219"/>
      <c r="V4" s="219" t="s">
        <v>186</v>
      </c>
      <c r="W4" s="219"/>
      <c r="X4" s="220" t="s">
        <v>184</v>
      </c>
    </row>
    <row r="5" spans="1:24" x14ac:dyDescent="0.2">
      <c r="A5" s="28"/>
      <c r="B5" s="54" t="s">
        <v>81</v>
      </c>
      <c r="C5" s="53" t="str">
        <f t="shared" ref="C5:C22" si="0">Currency&amp;$B5&amp;QuoteSuffix</f>
        <v>HKDOND_Quote</v>
      </c>
      <c r="D5" s="53" t="str">
        <f>_xll.qlSimpleQuote(C5,,RateTickValue,Permanent,Trigger,ObjectOverwrite)</f>
        <v>HKDOND_Quote#0010</v>
      </c>
      <c r="E5" s="52" t="str">
        <f>_xll.ohRangeRetrieveError(D5)</f>
        <v/>
      </c>
      <c r="F5" s="51"/>
      <c r="H5" s="187"/>
      <c r="I5" s="197" t="s">
        <v>131</v>
      </c>
      <c r="J5" s="185" t="str">
        <f t="shared" ref="J5:J22" si="1">"HIHKD"&amp;I5&amp;"D="</f>
        <v>HIHKDOND=</v>
      </c>
      <c r="K5" s="196">
        <v>6.4810000000000006E-2</v>
      </c>
      <c r="L5" s="182"/>
      <c r="M5" s="195"/>
      <c r="N5" s="182"/>
      <c r="O5" s="194" t="str">
        <f t="shared" ref="O5:O22" si="2">Currency&amp;I5&amp;$P$2</f>
        <v>HKDOND_Quote</v>
      </c>
      <c r="P5" s="193">
        <f t="array" ref="P5:P22">QuoteLive</f>
        <v>6.4810000000000006E-2</v>
      </c>
      <c r="Q5" s="192" t="e">
        <f>_xll.qlSimpleQuoteSetValue($O5,$P5/100,Trigger)</f>
        <v>#N/A</v>
      </c>
      <c r="R5" s="178"/>
      <c r="T5" s="218" t="s">
        <v>132</v>
      </c>
      <c r="U5" s="219" t="s">
        <v>187</v>
      </c>
      <c r="V5" s="219" t="s">
        <v>183</v>
      </c>
      <c r="W5" s="219"/>
      <c r="X5" s="220" t="s">
        <v>188</v>
      </c>
    </row>
    <row r="6" spans="1:24" x14ac:dyDescent="0.2">
      <c r="A6" s="28"/>
      <c r="B6" s="54" t="s">
        <v>80</v>
      </c>
      <c r="C6" s="53" t="str">
        <f t="shared" si="0"/>
        <v>HKDTND_Quote</v>
      </c>
      <c r="D6" s="53" t="str">
        <f>_xll.qlSimpleQuote(C6,,RateTickValue,Permanent,Trigger,ObjectOverwrite)</f>
        <v>HKDTND_Quote#0010</v>
      </c>
      <c r="E6" s="52" t="str">
        <f>_xll.ohRangeRetrieveError(D6)</f>
        <v/>
      </c>
      <c r="F6" s="51"/>
      <c r="H6" s="187"/>
      <c r="I6" s="186" t="s">
        <v>139</v>
      </c>
      <c r="J6" s="185" t="str">
        <f t="shared" si="1"/>
        <v>HIHKDTND=</v>
      </c>
      <c r="K6" s="184" t="s">
        <v>168</v>
      </c>
      <c r="L6" s="182"/>
      <c r="M6" s="191" t="s">
        <v>168</v>
      </c>
      <c r="N6" s="182"/>
      <c r="O6" s="190" t="str">
        <f t="shared" si="2"/>
        <v>HKDTND_Quote</v>
      </c>
      <c r="P6" s="189" t="str">
        <v>The record could not be found</v>
      </c>
      <c r="Q6" s="188" t="e">
        <f>_xll.qlSimpleQuoteSetValue($O6,$P6/100,Trigger)</f>
        <v>#NUM!</v>
      </c>
      <c r="R6" s="178"/>
      <c r="T6" s="218" t="s">
        <v>189</v>
      </c>
      <c r="U6" s="219"/>
      <c r="V6" s="219" t="s">
        <v>183</v>
      </c>
      <c r="W6" s="219"/>
      <c r="X6" s="220" t="s">
        <v>188</v>
      </c>
    </row>
    <row r="7" spans="1:24" x14ac:dyDescent="0.2">
      <c r="A7" s="28"/>
      <c r="B7" s="54" t="s">
        <v>79</v>
      </c>
      <c r="C7" s="53" t="str">
        <f t="shared" si="0"/>
        <v>HKDSND_Quote</v>
      </c>
      <c r="D7" s="53" t="str">
        <f>_xll.qlSimpleQuote(C7,,RateTickValue,Permanent,Trigger,ObjectOverwrite)</f>
        <v>HKDSND_Quote#0010</v>
      </c>
      <c r="E7" s="52" t="str">
        <f>_xll.ohRangeRetrieveError(D7)</f>
        <v/>
      </c>
      <c r="F7" s="51"/>
      <c r="H7" s="187"/>
      <c r="I7" s="186" t="s">
        <v>138</v>
      </c>
      <c r="J7" s="185" t="str">
        <f t="shared" si="1"/>
        <v>HIHKDSND=</v>
      </c>
      <c r="K7" s="184" t="s">
        <v>168</v>
      </c>
      <c r="L7" s="182"/>
      <c r="M7" s="191" t="s">
        <v>168</v>
      </c>
      <c r="N7" s="182"/>
      <c r="O7" s="190" t="str">
        <f t="shared" si="2"/>
        <v>HKDSND_Quote</v>
      </c>
      <c r="P7" s="189" t="str">
        <v>The record could not be found</v>
      </c>
      <c r="Q7" s="188" t="e">
        <f>_xll.qlSimpleQuoteSetValue($O7,$P7/100,Trigger)</f>
        <v>#NUM!</v>
      </c>
      <c r="R7" s="178"/>
      <c r="T7" s="218" t="s">
        <v>190</v>
      </c>
      <c r="U7" s="219"/>
      <c r="V7" s="219" t="s">
        <v>183</v>
      </c>
      <c r="W7" s="219" t="s">
        <v>191</v>
      </c>
      <c r="X7" s="220" t="s">
        <v>188</v>
      </c>
    </row>
    <row r="8" spans="1:24" x14ac:dyDescent="0.2">
      <c r="A8" s="28"/>
      <c r="B8" s="54" t="s">
        <v>78</v>
      </c>
      <c r="C8" s="53" t="str">
        <f t="shared" si="0"/>
        <v>HKDSWD_Quote</v>
      </c>
      <c r="D8" s="53" t="str">
        <f>_xll.qlSimpleQuote(C8,,RateTickValue,Permanent,Trigger,ObjectOverwrite)</f>
        <v>HKDSWD_Quote#0010</v>
      </c>
      <c r="E8" s="52" t="str">
        <f>_xll.ohRangeRetrieveError(D8)</f>
        <v/>
      </c>
      <c r="F8" s="51"/>
      <c r="H8" s="187"/>
      <c r="I8" s="186" t="s">
        <v>137</v>
      </c>
      <c r="J8" s="185" t="str">
        <f t="shared" si="1"/>
        <v>HIHKD1WD=</v>
      </c>
      <c r="K8" s="184">
        <v>0.12179</v>
      </c>
      <c r="L8" s="182"/>
      <c r="M8" s="191">
        <v>0.13428999999999999</v>
      </c>
      <c r="N8" s="182"/>
      <c r="O8" s="190" t="str">
        <f t="shared" si="2"/>
        <v>HKD1WD_Quote</v>
      </c>
      <c r="P8" s="189">
        <v>0.12179</v>
      </c>
      <c r="Q8" s="188" t="e">
        <f>_xll.qlSimpleQuoteSetValue($O8,$P8/100,Trigger)</f>
        <v>#NUM!</v>
      </c>
      <c r="R8" s="178"/>
      <c r="T8" s="218" t="s">
        <v>192</v>
      </c>
      <c r="U8" s="219"/>
      <c r="V8" s="219" t="s">
        <v>183</v>
      </c>
      <c r="W8" s="219" t="s">
        <v>192</v>
      </c>
      <c r="X8" s="220" t="s">
        <v>188</v>
      </c>
    </row>
    <row r="9" spans="1:24" x14ac:dyDescent="0.2">
      <c r="A9" s="28"/>
      <c r="B9" s="54" t="s">
        <v>77</v>
      </c>
      <c r="C9" s="53" t="str">
        <f t="shared" si="0"/>
        <v>HKD2WD_Quote</v>
      </c>
      <c r="D9" s="53" t="str">
        <f>_xll.qlSimpleQuote(C9,,RateTickValue,Permanent,Trigger,ObjectOverwrite)</f>
        <v>HKD2WD_Quote#0010</v>
      </c>
      <c r="E9" s="52" t="str">
        <f>_xll.ohRangeRetrieveError(D9)</f>
        <v/>
      </c>
      <c r="F9" s="51"/>
      <c r="H9" s="187"/>
      <c r="I9" s="186" t="s">
        <v>117</v>
      </c>
      <c r="J9" s="185" t="str">
        <f t="shared" si="1"/>
        <v>HIHKD2WD=</v>
      </c>
      <c r="K9" s="184">
        <v>0.15643000000000001</v>
      </c>
      <c r="L9" s="182"/>
      <c r="M9" s="191">
        <v>0.16070999999999999</v>
      </c>
      <c r="N9" s="182"/>
      <c r="O9" s="190" t="str">
        <f t="shared" si="2"/>
        <v>HKD2WD_Quote</v>
      </c>
      <c r="P9" s="189">
        <v>0.15643000000000001</v>
      </c>
      <c r="Q9" s="188" t="e">
        <f>_xll.qlSimpleQuoteSetValue($O9,$P9/100,Trigger)</f>
        <v>#N/A</v>
      </c>
      <c r="R9" s="178"/>
      <c r="T9" s="218" t="s">
        <v>193</v>
      </c>
      <c r="U9" s="219"/>
      <c r="V9" s="219" t="s">
        <v>183</v>
      </c>
      <c r="W9" s="219" t="s">
        <v>194</v>
      </c>
      <c r="X9" s="220" t="s">
        <v>188</v>
      </c>
    </row>
    <row r="10" spans="1:24" x14ac:dyDescent="0.2">
      <c r="A10" s="28"/>
      <c r="B10" s="54" t="s">
        <v>76</v>
      </c>
      <c r="C10" s="53" t="str">
        <f t="shared" si="0"/>
        <v>HKD3WD_Quote</v>
      </c>
      <c r="D10" s="53" t="str">
        <f>_xll.qlSimpleQuote(C10,,RateTickValue,Permanent,Trigger,ObjectOverwrite)</f>
        <v>HKD3WD_Quote#0010</v>
      </c>
      <c r="E10" s="52" t="str">
        <f>_xll.ohRangeRetrieveError(D10)</f>
        <v/>
      </c>
      <c r="F10" s="51"/>
      <c r="H10" s="187"/>
      <c r="I10" s="186" t="s">
        <v>116</v>
      </c>
      <c r="J10" s="185" t="str">
        <f t="shared" si="1"/>
        <v>HIHKD3WD=</v>
      </c>
      <c r="K10" s="184" t="s">
        <v>168</v>
      </c>
      <c r="L10" s="182"/>
      <c r="M10" s="191" t="s">
        <v>168</v>
      </c>
      <c r="N10" s="182"/>
      <c r="O10" s="190" t="str">
        <f t="shared" si="2"/>
        <v>HKD3WD_Quote</v>
      </c>
      <c r="P10" s="189" t="str">
        <v>The record could not be found</v>
      </c>
      <c r="Q10" s="188" t="e">
        <f>_xll.qlSimpleQuoteSetValue($O10,$P10/100,Trigger)</f>
        <v>#NUM!</v>
      </c>
      <c r="R10" s="178"/>
      <c r="T10" s="218" t="s">
        <v>195</v>
      </c>
      <c r="U10" s="219"/>
      <c r="V10" s="219" t="s">
        <v>183</v>
      </c>
      <c r="W10" s="219" t="s">
        <v>196</v>
      </c>
      <c r="X10" s="220" t="s">
        <v>188</v>
      </c>
    </row>
    <row r="11" spans="1:24" x14ac:dyDescent="0.2">
      <c r="A11" s="28"/>
      <c r="B11" s="54" t="s">
        <v>75</v>
      </c>
      <c r="C11" s="53" t="str">
        <f t="shared" si="0"/>
        <v>HKD1MD_Quote</v>
      </c>
      <c r="D11" s="53" t="str">
        <f>_xll.qlSimpleQuote(C11,,RateTickValue,Permanent,Trigger,ObjectOverwrite)</f>
        <v>HKD1MD_Quote#0010</v>
      </c>
      <c r="E11" s="52" t="str">
        <f>_xll.ohRangeRetrieveError(D11)</f>
        <v/>
      </c>
      <c r="F11" s="51"/>
      <c r="H11" s="187"/>
      <c r="I11" s="186" t="s">
        <v>104</v>
      </c>
      <c r="J11" s="185" t="str">
        <f t="shared" si="1"/>
        <v>HIHKD1MD=</v>
      </c>
      <c r="K11" s="184">
        <v>0.21357000000000001</v>
      </c>
      <c r="L11" s="182"/>
      <c r="M11" s="191">
        <v>0.215</v>
      </c>
      <c r="N11" s="182"/>
      <c r="O11" s="190" t="str">
        <f t="shared" si="2"/>
        <v>HKD1MD_Quote</v>
      </c>
      <c r="P11" s="189">
        <v>0.21357000000000001</v>
      </c>
      <c r="Q11" s="188" t="e">
        <f>_xll.qlSimpleQuoteSetValue($O11,$P11/100,Trigger)</f>
        <v>#N/A</v>
      </c>
      <c r="R11" s="178"/>
      <c r="T11" s="218" t="s">
        <v>197</v>
      </c>
      <c r="U11" s="219"/>
      <c r="V11" s="219" t="s">
        <v>183</v>
      </c>
      <c r="W11" s="219" t="s">
        <v>198</v>
      </c>
      <c r="X11" s="220" t="s">
        <v>188</v>
      </c>
    </row>
    <row r="12" spans="1:24" x14ac:dyDescent="0.2">
      <c r="A12" s="28"/>
      <c r="B12" s="54" t="s">
        <v>74</v>
      </c>
      <c r="C12" s="53" t="str">
        <f t="shared" si="0"/>
        <v>HKD2MD_Quote</v>
      </c>
      <c r="D12" s="53" t="str">
        <f>_xll.qlSimpleQuote(C12,,RateTickValue,Permanent,Trigger,ObjectOverwrite)</f>
        <v>HKD2MD_Quote#0010</v>
      </c>
      <c r="E12" s="52" t="str">
        <f>_xll.ohRangeRetrieveError(D12)</f>
        <v/>
      </c>
      <c r="F12" s="51"/>
      <c r="H12" s="187"/>
      <c r="I12" s="186" t="s">
        <v>115</v>
      </c>
      <c r="J12" s="185" t="str">
        <f t="shared" si="1"/>
        <v>HIHKD2MD=</v>
      </c>
      <c r="K12" s="184">
        <v>0.31470999999999999</v>
      </c>
      <c r="L12" s="182"/>
      <c r="M12" s="191">
        <v>0.32500000000000001</v>
      </c>
      <c r="N12" s="182"/>
      <c r="O12" s="190" t="str">
        <f t="shared" si="2"/>
        <v>HKD2MD_Quote</v>
      </c>
      <c r="P12" s="189">
        <v>0.31470999999999999</v>
      </c>
      <c r="Q12" s="188" t="e">
        <f>_xll.qlSimpleQuoteSetValue($O12,$P12/100,Trigger)</f>
        <v>#N/A</v>
      </c>
      <c r="R12" s="178"/>
      <c r="T12" s="221" t="s">
        <v>199</v>
      </c>
      <c r="U12" s="222"/>
      <c r="V12" s="222" t="s">
        <v>183</v>
      </c>
      <c r="W12" s="222" t="s">
        <v>200</v>
      </c>
      <c r="X12" s="223" t="s">
        <v>188</v>
      </c>
    </row>
    <row r="13" spans="1:24" x14ac:dyDescent="0.2">
      <c r="A13" s="28"/>
      <c r="B13" s="54" t="s">
        <v>73</v>
      </c>
      <c r="C13" s="53" t="str">
        <f t="shared" si="0"/>
        <v>HKD3MD_Quote</v>
      </c>
      <c r="D13" s="53" t="str">
        <f>_xll.qlSimpleQuote(C13,,RateTickValue,Permanent,Trigger,ObjectOverwrite)</f>
        <v>HKD3MD_Quote#0010</v>
      </c>
      <c r="E13" s="52" t="str">
        <f>_xll.ohRangeRetrieveError(D13)</f>
        <v/>
      </c>
      <c r="F13" s="51"/>
      <c r="H13" s="187"/>
      <c r="I13" s="186" t="s">
        <v>106</v>
      </c>
      <c r="J13" s="185" t="str">
        <f t="shared" si="1"/>
        <v>HIHKD3MD=</v>
      </c>
      <c r="K13" s="184">
        <v>0.37785999999999997</v>
      </c>
      <c r="L13" s="182"/>
      <c r="M13" s="191">
        <v>0.38429000000000002</v>
      </c>
      <c r="N13" s="182"/>
      <c r="O13" s="190" t="str">
        <f t="shared" si="2"/>
        <v>HKD3MD_Quote</v>
      </c>
      <c r="P13" s="189">
        <v>0.37785999999999997</v>
      </c>
      <c r="Q13" s="188" t="e">
        <f>_xll.qlSimpleQuoteSetValue($O13,$P13/100,Trigger)</f>
        <v>#N/A</v>
      </c>
      <c r="R13" s="178"/>
    </row>
    <row r="14" spans="1:24" x14ac:dyDescent="0.2">
      <c r="A14" s="28"/>
      <c r="B14" s="54" t="s">
        <v>72</v>
      </c>
      <c r="C14" s="53" t="str">
        <f t="shared" si="0"/>
        <v>HKD4MD_Quote</v>
      </c>
      <c r="D14" s="53" t="str">
        <f>_xll.qlSimpleQuote(C14,,RateTickValue,Permanent,Trigger,ObjectOverwrite)</f>
        <v>HKD4MD_Quote#0010</v>
      </c>
      <c r="E14" s="52" t="str">
        <f>_xll.ohRangeRetrieveError(D14)</f>
        <v/>
      </c>
      <c r="F14" s="51"/>
      <c r="H14" s="187"/>
      <c r="I14" s="186" t="s">
        <v>114</v>
      </c>
      <c r="J14" s="185" t="str">
        <f t="shared" si="1"/>
        <v>HIHKD4MD=</v>
      </c>
      <c r="K14" s="184">
        <v>0.41214000000000001</v>
      </c>
      <c r="L14" s="182"/>
      <c r="M14" s="191">
        <v>0.41143000000000002</v>
      </c>
      <c r="N14" s="182"/>
      <c r="O14" s="190" t="str">
        <f t="shared" si="2"/>
        <v>HKD4MD_Quote</v>
      </c>
      <c r="P14" s="189">
        <v>0.41214000000000001</v>
      </c>
      <c r="Q14" s="188" t="e">
        <f>_xll.qlSimpleQuoteSetValue($O14,$P14/100,Trigger)</f>
        <v>#N/A</v>
      </c>
      <c r="R14" s="178"/>
    </row>
    <row r="15" spans="1:24" x14ac:dyDescent="0.2">
      <c r="A15" s="28"/>
      <c r="B15" s="54" t="s">
        <v>71</v>
      </c>
      <c r="C15" s="53" t="str">
        <f t="shared" si="0"/>
        <v>HKD5MD_Quote</v>
      </c>
      <c r="D15" s="53" t="str">
        <f>_xll.qlSimpleQuote(C15,,RateTickValue,Permanent,Trigger,ObjectOverwrite)</f>
        <v>HKD5MD_Quote#0010</v>
      </c>
      <c r="E15" s="52" t="str">
        <f>_xll.ohRangeRetrieveError(D15)</f>
        <v/>
      </c>
      <c r="F15" s="51"/>
      <c r="H15" s="187"/>
      <c r="I15" s="186" t="s">
        <v>113</v>
      </c>
      <c r="J15" s="185" t="str">
        <f t="shared" si="1"/>
        <v>HIHKD5MD=</v>
      </c>
      <c r="K15" s="184">
        <v>0.45918999999999999</v>
      </c>
      <c r="L15" s="182"/>
      <c r="M15" s="191">
        <v>0.45213999999999999</v>
      </c>
      <c r="N15" s="182"/>
      <c r="O15" s="190" t="str">
        <f t="shared" si="2"/>
        <v>HKD5MD_Quote</v>
      </c>
      <c r="P15" s="189">
        <v>0.45918999999999999</v>
      </c>
      <c r="Q15" s="188" t="e">
        <f>_xll.qlSimpleQuoteSetValue($O15,$P15/100,Trigger)</f>
        <v>#N/A</v>
      </c>
      <c r="R15" s="178"/>
    </row>
    <row r="16" spans="1:24" x14ac:dyDescent="0.2">
      <c r="A16" s="28"/>
      <c r="B16" s="54" t="s">
        <v>70</v>
      </c>
      <c r="C16" s="53" t="str">
        <f t="shared" si="0"/>
        <v>HKD6MD_Quote</v>
      </c>
      <c r="D16" s="53" t="str">
        <f>_xll.qlSimpleQuote(C16,,RateTickValue,Permanent,Trigger,ObjectOverwrite)</f>
        <v>HKD6MD_Quote#0010</v>
      </c>
      <c r="E16" s="52" t="str">
        <f>_xll.ohRangeRetrieveError(D16)</f>
        <v/>
      </c>
      <c r="F16" s="51"/>
      <c r="H16" s="187"/>
      <c r="I16" s="186" t="s">
        <v>61</v>
      </c>
      <c r="J16" s="185" t="str">
        <f t="shared" si="1"/>
        <v>HIHKD6MD=</v>
      </c>
      <c r="K16" s="184">
        <v>0.54786000000000001</v>
      </c>
      <c r="L16" s="182"/>
      <c r="M16" s="191">
        <v>0.54571000000000003</v>
      </c>
      <c r="N16" s="182"/>
      <c r="O16" s="190" t="str">
        <f t="shared" si="2"/>
        <v>HKD6MD_Quote</v>
      </c>
      <c r="P16" s="189">
        <v>0.54786000000000001</v>
      </c>
      <c r="Q16" s="188" t="e">
        <f>_xll.qlSimpleQuoteSetValue($O16,$P16/100,Trigger)</f>
        <v>#N/A</v>
      </c>
      <c r="R16" s="178"/>
    </row>
    <row r="17" spans="1:18" x14ac:dyDescent="0.2">
      <c r="A17" s="28"/>
      <c r="B17" s="54" t="s">
        <v>69</v>
      </c>
      <c r="C17" s="53" t="str">
        <f t="shared" si="0"/>
        <v>HKD7MD_Quote</v>
      </c>
      <c r="D17" s="53" t="str">
        <f>_xll.qlSimpleQuote(C17,,RateTickValue,Permanent,Trigger,ObjectOverwrite)</f>
        <v>HKD7MD_Quote#0010</v>
      </c>
      <c r="E17" s="52" t="str">
        <f>_xll.ohRangeRetrieveError(D17)</f>
        <v/>
      </c>
      <c r="F17" s="51"/>
      <c r="H17" s="187"/>
      <c r="I17" s="186" t="s">
        <v>112</v>
      </c>
      <c r="J17" s="185" t="str">
        <f t="shared" si="1"/>
        <v>HIHKD7MD=</v>
      </c>
      <c r="K17" s="184">
        <v>0.57786000000000004</v>
      </c>
      <c r="L17" s="182"/>
      <c r="M17" s="191">
        <v>0.57071000000000005</v>
      </c>
      <c r="N17" s="182"/>
      <c r="O17" s="190" t="str">
        <f t="shared" si="2"/>
        <v>HKD7MD_Quote</v>
      </c>
      <c r="P17" s="189">
        <v>0.57786000000000004</v>
      </c>
      <c r="Q17" s="188" t="e">
        <f>_xll.qlSimpleQuoteSetValue($O17,$P17/100,Trigger)</f>
        <v>#N/A</v>
      </c>
      <c r="R17" s="178"/>
    </row>
    <row r="18" spans="1:18" x14ac:dyDescent="0.2">
      <c r="A18" s="28"/>
      <c r="B18" s="54" t="s">
        <v>68</v>
      </c>
      <c r="C18" s="53" t="str">
        <f t="shared" si="0"/>
        <v>HKD8MD_Quote</v>
      </c>
      <c r="D18" s="53" t="str">
        <f>_xll.qlSimpleQuote(C18,,RateTickValue,Permanent,Trigger,ObjectOverwrite)</f>
        <v>HKD8MD_Quote#0010</v>
      </c>
      <c r="E18" s="52" t="str">
        <f>_xll.ohRangeRetrieveError(D18)</f>
        <v/>
      </c>
      <c r="F18" s="51"/>
      <c r="H18" s="187"/>
      <c r="I18" s="186" t="s">
        <v>111</v>
      </c>
      <c r="J18" s="185" t="str">
        <f t="shared" si="1"/>
        <v>HIHKD8MD=</v>
      </c>
      <c r="K18" s="184">
        <v>0.6089</v>
      </c>
      <c r="L18" s="182"/>
      <c r="M18" s="191">
        <v>0.59214</v>
      </c>
      <c r="N18" s="182"/>
      <c r="O18" s="190" t="str">
        <f t="shared" si="2"/>
        <v>HKD8MD_Quote</v>
      </c>
      <c r="P18" s="189">
        <v>0.6089</v>
      </c>
      <c r="Q18" s="188" t="e">
        <f>_xll.qlSimpleQuoteSetValue($O18,$P18/100,Trigger)</f>
        <v>#N/A</v>
      </c>
      <c r="R18" s="178"/>
    </row>
    <row r="19" spans="1:18" x14ac:dyDescent="0.2">
      <c r="A19" s="28"/>
      <c r="B19" s="54" t="s">
        <v>67</v>
      </c>
      <c r="C19" s="53" t="str">
        <f t="shared" si="0"/>
        <v>HKD9MD_Quote</v>
      </c>
      <c r="D19" s="53" t="str">
        <f>_xll.qlSimpleQuote(C19,,RateTickValue,Permanent,Trigger,ObjectOverwrite)</f>
        <v>HKD9MD_Quote#0010</v>
      </c>
      <c r="E19" s="52" t="str">
        <f>_xll.ohRangeRetrieveError(D19)</f>
        <v/>
      </c>
      <c r="F19" s="51"/>
      <c r="H19" s="187"/>
      <c r="I19" s="186" t="s">
        <v>110</v>
      </c>
      <c r="J19" s="185" t="str">
        <f t="shared" si="1"/>
        <v>HIHKD9MD=</v>
      </c>
      <c r="K19" s="184">
        <v>0.63871</v>
      </c>
      <c r="L19" s="182"/>
      <c r="M19" s="191">
        <v>0.62070999999999998</v>
      </c>
      <c r="N19" s="182"/>
      <c r="O19" s="190" t="str">
        <f t="shared" si="2"/>
        <v>HKD9MD_Quote</v>
      </c>
      <c r="P19" s="189">
        <v>0.63871</v>
      </c>
      <c r="Q19" s="188" t="e">
        <f>_xll.qlSimpleQuoteSetValue($O19,$P19/100,Trigger)</f>
        <v>#N/A</v>
      </c>
      <c r="R19" s="178"/>
    </row>
    <row r="20" spans="1:18" x14ac:dyDescent="0.2">
      <c r="A20" s="28"/>
      <c r="B20" s="54" t="s">
        <v>66</v>
      </c>
      <c r="C20" s="53" t="str">
        <f t="shared" si="0"/>
        <v>HKD10MD_Quote</v>
      </c>
      <c r="D20" s="53" t="str">
        <f>_xll.qlSimpleQuote(C20,,RateTickValue,Permanent,Trigger,ObjectOverwrite)</f>
        <v>HKD10MD_Quote#0010</v>
      </c>
      <c r="E20" s="52" t="str">
        <f>_xll.ohRangeRetrieveError(D20)</f>
        <v/>
      </c>
      <c r="F20" s="51"/>
      <c r="H20" s="187"/>
      <c r="I20" s="186" t="s">
        <v>109</v>
      </c>
      <c r="J20" s="185" t="str">
        <f t="shared" si="1"/>
        <v>HIHKD10MD=</v>
      </c>
      <c r="K20" s="184">
        <v>0.71421000000000001</v>
      </c>
      <c r="L20" s="182"/>
      <c r="M20" s="191">
        <v>0.70143</v>
      </c>
      <c r="N20" s="182"/>
      <c r="O20" s="190" t="str">
        <f t="shared" si="2"/>
        <v>HKD10MD_Quote</v>
      </c>
      <c r="P20" s="189">
        <v>0.71421000000000001</v>
      </c>
      <c r="Q20" s="188" t="e">
        <f>_xll.qlSimpleQuoteSetValue($O20,$P20/100,Trigger)</f>
        <v>#N/A</v>
      </c>
      <c r="R20" s="178"/>
    </row>
    <row r="21" spans="1:18" x14ac:dyDescent="0.2">
      <c r="A21" s="28"/>
      <c r="B21" s="54" t="s">
        <v>65</v>
      </c>
      <c r="C21" s="53" t="str">
        <f t="shared" si="0"/>
        <v>HKD11MD_Quote</v>
      </c>
      <c r="D21" s="53" t="str">
        <f>_xll.qlSimpleQuote(C21,,RateTickValue,Permanent,Trigger,ObjectOverwrite)</f>
        <v>HKD11MD_Quote#0010</v>
      </c>
      <c r="E21" s="52" t="str">
        <f>_xll.ohRangeRetrieveError(D21)</f>
        <v/>
      </c>
      <c r="F21" s="51"/>
      <c r="H21" s="187"/>
      <c r="I21" s="186" t="s">
        <v>108</v>
      </c>
      <c r="J21" s="185" t="str">
        <f t="shared" si="1"/>
        <v>HIHKD11MD=</v>
      </c>
      <c r="K21" s="184">
        <v>0.79049999999999998</v>
      </c>
      <c r="L21" s="182"/>
      <c r="M21" s="191">
        <v>0.78571000000000002</v>
      </c>
      <c r="N21" s="182"/>
      <c r="O21" s="190" t="str">
        <f t="shared" si="2"/>
        <v>HKD11MD_Quote</v>
      </c>
      <c r="P21" s="189">
        <v>0.79049999999999998</v>
      </c>
      <c r="Q21" s="188" t="e">
        <f>_xll.qlSimpleQuoteSetValue($O21,$P21/100,Trigger)</f>
        <v>#N/A</v>
      </c>
      <c r="R21" s="178"/>
    </row>
    <row r="22" spans="1:18" x14ac:dyDescent="0.2">
      <c r="A22" s="28"/>
      <c r="B22" s="54" t="s">
        <v>64</v>
      </c>
      <c r="C22" s="53" t="str">
        <f t="shared" si="0"/>
        <v>HKD1YD_Quote</v>
      </c>
      <c r="D22" s="53" t="str">
        <f>_xll.qlSimpleQuote(C22,,RateTickValue,Permanent,Trigger,ObjectOverwrite)</f>
        <v>HKD1YD_Quote#0010</v>
      </c>
      <c r="E22" s="52" t="str">
        <f>_xll.ohRangeRetrieveError(D22)</f>
        <v/>
      </c>
      <c r="F22" s="51"/>
      <c r="H22" s="187"/>
      <c r="I22" s="186" t="s">
        <v>60</v>
      </c>
      <c r="J22" s="185" t="str">
        <f t="shared" si="1"/>
        <v>HIHKD1YD=</v>
      </c>
      <c r="K22" s="184">
        <v>0.86643000000000003</v>
      </c>
      <c r="L22" s="182"/>
      <c r="M22" s="183">
        <v>0.87070999999999998</v>
      </c>
      <c r="N22" s="182"/>
      <c r="O22" s="181" t="str">
        <f t="shared" si="2"/>
        <v>HKD1YD_Quote</v>
      </c>
      <c r="P22" s="180">
        <v>0.86643000000000003</v>
      </c>
      <c r="Q22" s="179" t="e">
        <f>_xll.qlSimpleQuoteSetValue($O22,$P22/100,Trigger)</f>
        <v>#N/A</v>
      </c>
      <c r="R22" s="178"/>
    </row>
    <row r="23" spans="1:18" ht="12" thickBot="1" x14ac:dyDescent="0.25">
      <c r="A23" s="21"/>
      <c r="B23" s="20"/>
      <c r="C23" s="20"/>
      <c r="D23" s="20"/>
      <c r="E23" s="20"/>
      <c r="F23" s="18"/>
      <c r="H23" s="177"/>
      <c r="I23" s="176"/>
      <c r="J23" s="176"/>
      <c r="K23" s="176"/>
      <c r="L23" s="175"/>
      <c r="M23" s="175"/>
      <c r="N23" s="175"/>
      <c r="O23" s="175"/>
      <c r="P23" s="175"/>
      <c r="Q23" s="175"/>
      <c r="R23" s="174"/>
    </row>
  </sheetData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3"/>
  <sheetViews>
    <sheetView workbookViewId="0"/>
  </sheetViews>
  <sheetFormatPr defaultRowHeight="12.75" x14ac:dyDescent="0.2"/>
  <cols>
    <col min="1" max="1" width="4.2851562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0" style="38" bestFit="1" customWidth="1"/>
    <col min="6" max="6" width="57.42578125" style="59" customWidth="1"/>
    <col min="7" max="7" width="4.28515625" style="38" customWidth="1"/>
    <col min="8" max="8" width="4.42578125" style="38" customWidth="1"/>
    <col min="9" max="12" width="9.140625" style="38"/>
    <col min="13" max="13" width="14.5703125" style="38" bestFit="1" customWidth="1"/>
    <col min="14" max="16384" width="9.140625" style="38"/>
  </cols>
  <sheetData>
    <row r="1" spans="1:32" x14ac:dyDescent="0.2">
      <c r="A1" s="451" t="s">
        <v>258</v>
      </c>
      <c r="B1" s="86"/>
      <c r="C1" s="86"/>
      <c r="D1" s="38"/>
      <c r="E1" s="59"/>
      <c r="F1" s="38"/>
      <c r="G1" s="65"/>
      <c r="I1" s="26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2"/>
      <c r="Z1" s="224"/>
      <c r="AA1" s="224"/>
      <c r="AB1" s="224"/>
      <c r="AC1" s="224"/>
      <c r="AD1" s="224"/>
      <c r="AE1" s="224"/>
      <c r="AF1" s="224"/>
    </row>
    <row r="2" spans="1:32" ht="24" customHeight="1" x14ac:dyDescent="0.2">
      <c r="A2" s="71"/>
      <c r="B2" s="85"/>
      <c r="C2" s="84"/>
      <c r="D2" s="83" t="str">
        <f>Currency&amp;"_010_"&amp;"FRA.xml"</f>
        <v>HKD_010_FRA.xml</v>
      </c>
      <c r="E2" s="82">
        <f ca="1">IF(Serialize,_xll.ohObjectSave(E3:E38,SerializationPath&amp;D2,FileOverwrite,,Serialize),"---")</f>
        <v>36</v>
      </c>
      <c r="F2" s="81" t="str">
        <f ca="1">_xll.ohRangeRetrieveError(E2)</f>
        <v/>
      </c>
      <c r="G2" s="65"/>
      <c r="I2" s="211"/>
      <c r="J2" s="262"/>
      <c r="K2" s="260"/>
      <c r="L2" s="260"/>
      <c r="M2" s="209" t="s">
        <v>197</v>
      </c>
      <c r="N2" s="260"/>
      <c r="O2" s="260"/>
      <c r="P2" s="260"/>
      <c r="Q2" s="260"/>
      <c r="R2" s="182"/>
      <c r="S2" s="182"/>
      <c r="T2" s="182"/>
      <c r="U2" s="182"/>
      <c r="V2" s="261" t="s">
        <v>175</v>
      </c>
      <c r="W2" s="209" t="s">
        <v>2</v>
      </c>
      <c r="X2" s="260"/>
      <c r="Y2" s="206"/>
      <c r="Z2" s="224"/>
      <c r="AA2" s="224"/>
      <c r="AB2" s="224"/>
      <c r="AC2" s="224"/>
      <c r="AD2" s="224"/>
      <c r="AE2" s="224"/>
      <c r="AF2" s="224"/>
    </row>
    <row r="3" spans="1:32" x14ac:dyDescent="0.2">
      <c r="A3" s="71"/>
      <c r="B3" s="75" t="s">
        <v>100</v>
      </c>
      <c r="C3" s="76" t="s">
        <v>83</v>
      </c>
      <c r="D3" s="75" t="str">
        <f t="shared" ref="D3:D38" si="0">Currency&amp;$B3&amp;$C3&amp;QuoteSuffix</f>
        <v>HKDT1F1_Quote</v>
      </c>
      <c r="E3" s="74" t="str">
        <f>_xll.qlSimpleQuote(D3,,RateTickValue,Permanent,Trigger,ObjectOverwrite)</f>
        <v>HKDT1F1_Quote#0010</v>
      </c>
      <c r="F3" s="73" t="str">
        <f>_xll.ohRangeRetrieveError(E3)</f>
        <v/>
      </c>
      <c r="G3" s="65"/>
      <c r="I3" s="187"/>
      <c r="J3" s="260"/>
      <c r="K3" s="182"/>
      <c r="L3" s="260"/>
      <c r="M3" s="260"/>
      <c r="N3" s="260"/>
      <c r="O3" s="260"/>
      <c r="P3" s="260"/>
      <c r="Q3" s="260"/>
      <c r="R3" s="260"/>
      <c r="S3" s="182"/>
      <c r="T3" s="182"/>
      <c r="U3" s="182"/>
      <c r="V3" s="260"/>
      <c r="W3" s="260"/>
      <c r="X3" s="204">
        <f>_xll.ohTrigger(X5:X26)</f>
        <v>10</v>
      </c>
      <c r="Y3" s="178"/>
      <c r="Z3" s="224"/>
      <c r="AA3" s="224"/>
      <c r="AB3" s="224"/>
      <c r="AC3" s="224"/>
      <c r="AD3" s="224"/>
      <c r="AE3" s="224"/>
      <c r="AF3" s="224"/>
    </row>
    <row r="4" spans="1:32" ht="22.5" x14ac:dyDescent="0.2">
      <c r="A4" s="71"/>
      <c r="B4" s="68" t="s">
        <v>99</v>
      </c>
      <c r="C4" s="72" t="s">
        <v>83</v>
      </c>
      <c r="D4" s="68" t="str">
        <f t="shared" si="0"/>
        <v>HKDTOM1F1_Quote</v>
      </c>
      <c r="E4" s="67" t="str">
        <f>_xll.qlSimpleQuote(D4,,RateTickValue,Permanent,Trigger,ObjectOverwrite)</f>
        <v>HKDTOM1F1_Quote#0010</v>
      </c>
      <c r="F4" s="66" t="str">
        <f>_xll.ohRangeRetrieveError(E4)</f>
        <v/>
      </c>
      <c r="G4" s="65"/>
      <c r="I4" s="187"/>
      <c r="J4" s="259"/>
      <c r="K4" s="258"/>
      <c r="L4" s="257"/>
      <c r="M4" s="203" t="str">
        <f>_xll.RData(M5:M36,N4:Q4,,ReutersRtMode,,N5)</f>
        <v>On Pause</v>
      </c>
      <c r="N4" s="256" t="s">
        <v>213</v>
      </c>
      <c r="O4" s="256" t="s">
        <v>188</v>
      </c>
      <c r="P4" s="256" t="s">
        <v>184</v>
      </c>
      <c r="Q4" s="256" t="s">
        <v>212</v>
      </c>
      <c r="R4" s="198" t="s">
        <v>211</v>
      </c>
      <c r="S4" s="182"/>
      <c r="T4" s="201" t="s">
        <v>172</v>
      </c>
      <c r="U4" s="182"/>
      <c r="V4" s="255" t="s">
        <v>171</v>
      </c>
      <c r="W4" s="254" t="s">
        <v>170</v>
      </c>
      <c r="X4" s="253" t="s">
        <v>169</v>
      </c>
      <c r="Y4" s="178"/>
      <c r="Z4" s="224"/>
      <c r="AA4" s="224"/>
      <c r="AB4" s="224"/>
      <c r="AC4" s="224"/>
      <c r="AD4" s="224"/>
      <c r="AE4" s="252" t="s">
        <v>210</v>
      </c>
      <c r="AF4" s="224"/>
    </row>
    <row r="5" spans="1:32" x14ac:dyDescent="0.2">
      <c r="A5" s="71"/>
      <c r="B5" s="75" t="s">
        <v>98</v>
      </c>
      <c r="C5" s="76" t="s">
        <v>83</v>
      </c>
      <c r="D5" s="75" t="str">
        <f t="shared" si="0"/>
        <v>HKDT3F1_Quote</v>
      </c>
      <c r="E5" s="74" t="str">
        <f>_xll.qlSimpleQuote(D5,,RateTickValue,Permanent,Trigger,ObjectOverwrite)</f>
        <v>HKDT3F1_Quote#0010</v>
      </c>
      <c r="F5" s="73" t="str">
        <f>_xll.ohRangeRetrieveError(E5)</f>
        <v/>
      </c>
      <c r="G5" s="65"/>
      <c r="I5" s="187"/>
      <c r="J5" s="251" t="s">
        <v>98</v>
      </c>
      <c r="K5" s="250" t="s">
        <v>83</v>
      </c>
      <c r="L5" s="248" t="str">
        <f t="shared" ref="L5:L36" si="1">Currency&amp;$J5&amp;$K5</f>
        <v>HKDT3F1</v>
      </c>
      <c r="M5" s="248" t="str">
        <f t="array" ref="M5:M36">UPPER(Instruments)&amp;"="&amp;VLOOKUP(Contributor,ContributorTable,2,FALSE)</f>
        <v>HKDT3F1=PREA</v>
      </c>
      <c r="N5" s="249" t="s">
        <v>168</v>
      </c>
      <c r="O5" s="249" t="s">
        <v>168</v>
      </c>
      <c r="P5" s="248" t="s">
        <v>168</v>
      </c>
      <c r="Q5" s="248" t="s">
        <v>168</v>
      </c>
      <c r="R5" s="196" t="e">
        <f>_xll.qlMidSafe($N5,$O5)</f>
        <v>#NUM!</v>
      </c>
      <c r="S5" s="182"/>
      <c r="T5" s="247" t="e">
        <v>#NUM!</v>
      </c>
      <c r="U5" s="182"/>
      <c r="V5" s="194" t="str">
        <f t="shared" ref="V5:V36" si="2">$L5&amp;$W$2</f>
        <v>HKDT3F1_Quote</v>
      </c>
      <c r="W5" s="193" t="e">
        <f t="array" ref="W5:W36">QuoteLive</f>
        <v>#NUM!</v>
      </c>
      <c r="X5" s="192" t="e">
        <f>_xll.qlSimpleQuoteSetValue($V5,$W5/100,_xll.ohTrigger(Trigger,E5))</f>
        <v>#NUM!</v>
      </c>
      <c r="Y5" s="178"/>
      <c r="Z5" s="224"/>
      <c r="AA5" s="240"/>
      <c r="AB5" s="224"/>
      <c r="AC5" s="224"/>
      <c r="AD5" s="224"/>
      <c r="AE5" s="225" t="e">
        <f t="shared" ref="AE5:AE11" si="3">(O5-R5)/50</f>
        <v>#VALUE!</v>
      </c>
      <c r="AF5" s="224"/>
    </row>
    <row r="6" spans="1:32" x14ac:dyDescent="0.2">
      <c r="A6" s="71"/>
      <c r="B6" s="68" t="s">
        <v>97</v>
      </c>
      <c r="C6" s="72" t="s">
        <v>83</v>
      </c>
      <c r="D6" s="68" t="str">
        <f t="shared" si="0"/>
        <v>HKDTOM3F1_Quote</v>
      </c>
      <c r="E6" s="67" t="str">
        <f>_xll.qlSimpleQuote(D6,,RateTickValue,Permanent,Trigger,ObjectOverwrite)</f>
        <v>HKDTOM3F1_Quote#0010</v>
      </c>
      <c r="F6" s="66" t="str">
        <f>_xll.ohRangeRetrieveError(E6)</f>
        <v/>
      </c>
      <c r="G6" s="65"/>
      <c r="I6" s="187"/>
      <c r="J6" s="246" t="s">
        <v>97</v>
      </c>
      <c r="K6" s="245" t="s">
        <v>83</v>
      </c>
      <c r="L6" s="243" t="str">
        <f t="shared" si="1"/>
        <v>HKDTOM3F1</v>
      </c>
      <c r="M6" s="243" t="str">
        <v>HKDTOM3F1=PREA</v>
      </c>
      <c r="N6" s="244" t="s">
        <v>168</v>
      </c>
      <c r="O6" s="244" t="s">
        <v>168</v>
      </c>
      <c r="P6" s="243" t="s">
        <v>168</v>
      </c>
      <c r="Q6" s="243" t="s">
        <v>168</v>
      </c>
      <c r="R6" s="242" t="e">
        <f>_xll.qlMidSafe($N6,$O6)</f>
        <v>#NUM!</v>
      </c>
      <c r="S6" s="182"/>
      <c r="T6" s="241" t="e">
        <v>#NUM!</v>
      </c>
      <c r="U6" s="182"/>
      <c r="V6" s="181" t="str">
        <f t="shared" si="2"/>
        <v>HKDTOM3F1_Quote</v>
      </c>
      <c r="W6" s="180" t="e">
        <v>#NUM!</v>
      </c>
      <c r="X6" s="179" t="e">
        <f>_xll.qlSimpleQuoteSetValue($V6,$W6/100,_xll.ohTrigger(Trigger,E6))</f>
        <v>#NUM!</v>
      </c>
      <c r="Y6" s="178"/>
      <c r="Z6" s="224"/>
      <c r="AA6" s="240"/>
      <c r="AB6" s="224"/>
      <c r="AC6" s="224"/>
      <c r="AD6" s="224"/>
      <c r="AE6" s="225" t="e">
        <f t="shared" si="3"/>
        <v>#VALUE!</v>
      </c>
      <c r="AF6" s="224"/>
    </row>
    <row r="7" spans="1:32" x14ac:dyDescent="0.2">
      <c r="A7" s="71"/>
      <c r="B7" s="75">
        <v>1</v>
      </c>
      <c r="C7" s="76" t="s">
        <v>96</v>
      </c>
      <c r="D7" s="75" t="str">
        <f t="shared" si="0"/>
        <v>HKD1x4F_Quote</v>
      </c>
      <c r="E7" s="74" t="str">
        <f>_xll.qlSimpleQuote(D7,,RateTickValue,Permanent,Trigger,ObjectOverwrite)</f>
        <v>HKD1x4F_Quote#0010</v>
      </c>
      <c r="F7" s="73" t="str">
        <f>_xll.ohRangeRetrieveError(E7)</f>
        <v/>
      </c>
      <c r="G7" s="65"/>
      <c r="I7" s="187"/>
      <c r="J7" s="251">
        <v>1</v>
      </c>
      <c r="K7" s="250" t="s">
        <v>96</v>
      </c>
      <c r="L7" s="248" t="str">
        <f t="shared" si="1"/>
        <v>HKD1x4F</v>
      </c>
      <c r="M7" s="248" t="str">
        <v>HKD1X4F=PREA</v>
      </c>
      <c r="N7" s="249">
        <v>0.36</v>
      </c>
      <c r="O7" s="249">
        <v>0.46</v>
      </c>
      <c r="P7" s="248">
        <v>0</v>
      </c>
      <c r="Q7" s="248">
        <v>0</v>
      </c>
      <c r="R7" s="196">
        <f>_xll.qlMidSafe($N7,$O7)</f>
        <v>0.41000000000000003</v>
      </c>
      <c r="S7" s="182"/>
      <c r="T7" s="235">
        <v>0.41000000000000003</v>
      </c>
      <c r="U7" s="182"/>
      <c r="V7" s="190" t="str">
        <f t="shared" si="2"/>
        <v>HKD1x4F_Quote</v>
      </c>
      <c r="W7" s="189">
        <v>0.41000000000000003</v>
      </c>
      <c r="X7" s="188" t="e">
        <f>_xll.qlSimpleQuoteSetValue($V7,$W7/100,_xll.ohTrigger(Trigger,E7))</f>
        <v>#N/A</v>
      </c>
      <c r="Y7" s="178"/>
      <c r="Z7" s="224"/>
      <c r="AA7" s="240"/>
      <c r="AB7" s="224"/>
      <c r="AC7" s="224"/>
      <c r="AD7" s="224"/>
      <c r="AE7" s="225">
        <f t="shared" si="3"/>
        <v>9.999999999999998E-4</v>
      </c>
      <c r="AF7" s="224"/>
    </row>
    <row r="8" spans="1:32" x14ac:dyDescent="0.2">
      <c r="A8" s="71"/>
      <c r="B8" s="79">
        <v>2</v>
      </c>
      <c r="C8" s="80" t="s">
        <v>95</v>
      </c>
      <c r="D8" s="79" t="str">
        <f t="shared" si="0"/>
        <v>HKD2x5F_Quote</v>
      </c>
      <c r="E8" s="78" t="str">
        <f>_xll.qlSimpleQuote(D8,,RateTickValue,Permanent,Trigger,ObjectOverwrite)</f>
        <v>HKD2x5F_Quote#0010</v>
      </c>
      <c r="F8" s="77" t="str">
        <f>_xll.ohRangeRetrieveError(E8)</f>
        <v/>
      </c>
      <c r="G8" s="65"/>
      <c r="I8" s="187"/>
      <c r="J8" s="239">
        <v>2</v>
      </c>
      <c r="K8" s="238" t="s">
        <v>95</v>
      </c>
      <c r="L8" s="236" t="str">
        <f t="shared" si="1"/>
        <v>HKD2x5F</v>
      </c>
      <c r="M8" s="236" t="str">
        <v>HKD2X5F=PREA</v>
      </c>
      <c r="N8" s="237">
        <v>0.36</v>
      </c>
      <c r="O8" s="237">
        <v>0.46</v>
      </c>
      <c r="P8" s="236">
        <v>0</v>
      </c>
      <c r="Q8" s="236">
        <v>0</v>
      </c>
      <c r="R8" s="184">
        <f>_xll.qlMidSafe($N8,$O8)</f>
        <v>0.41000000000000003</v>
      </c>
      <c r="S8" s="182"/>
      <c r="T8" s="235">
        <v>0.41000000000000003</v>
      </c>
      <c r="U8" s="182"/>
      <c r="V8" s="190" t="str">
        <f t="shared" si="2"/>
        <v>HKD2x5F_Quote</v>
      </c>
      <c r="W8" s="189">
        <v>0.41000000000000003</v>
      </c>
      <c r="X8" s="188" t="e">
        <f>_xll.qlSimpleQuoteSetValue($V8,$W8/100,_xll.ohTrigger(Trigger,E8))</f>
        <v>#N/A</v>
      </c>
      <c r="Y8" s="178"/>
      <c r="Z8" s="224"/>
      <c r="AA8" s="240"/>
      <c r="AB8" s="224"/>
      <c r="AC8" s="224"/>
      <c r="AD8" s="224"/>
      <c r="AE8" s="225">
        <f t="shared" si="3"/>
        <v>9.999999999999998E-4</v>
      </c>
      <c r="AF8" s="224"/>
    </row>
    <row r="9" spans="1:32" x14ac:dyDescent="0.2">
      <c r="A9" s="71"/>
      <c r="B9" s="79">
        <v>3</v>
      </c>
      <c r="C9" s="80" t="s">
        <v>94</v>
      </c>
      <c r="D9" s="79" t="str">
        <f t="shared" si="0"/>
        <v>HKD3x6F_Quote</v>
      </c>
      <c r="E9" s="78" t="str">
        <f>_xll.qlSimpleQuote(D9,,RateTickValue,Permanent,Trigger,ObjectOverwrite)</f>
        <v>HKD3x6F_Quote#0010</v>
      </c>
      <c r="F9" s="77" t="str">
        <f>_xll.ohRangeRetrieveError(E9)</f>
        <v/>
      </c>
      <c r="G9" s="65"/>
      <c r="I9" s="187"/>
      <c r="J9" s="239">
        <v>3</v>
      </c>
      <c r="K9" s="238" t="s">
        <v>94</v>
      </c>
      <c r="L9" s="236" t="str">
        <f t="shared" si="1"/>
        <v>HKD3x6F</v>
      </c>
      <c r="M9" s="236" t="str">
        <v>HKD3X6F=PREA</v>
      </c>
      <c r="N9" s="237">
        <v>0.36</v>
      </c>
      <c r="O9" s="237">
        <v>0.46</v>
      </c>
      <c r="P9" s="236">
        <v>0</v>
      </c>
      <c r="Q9" s="236">
        <v>0</v>
      </c>
      <c r="R9" s="184">
        <f>_xll.qlMidSafe($N9,$O9)</f>
        <v>0.41000000000000003</v>
      </c>
      <c r="S9" s="182"/>
      <c r="T9" s="235">
        <v>0.41000000000000003</v>
      </c>
      <c r="U9" s="182"/>
      <c r="V9" s="190" t="str">
        <f t="shared" si="2"/>
        <v>HKD3x6F_Quote</v>
      </c>
      <c r="W9" s="189">
        <v>0.41000000000000003</v>
      </c>
      <c r="X9" s="188" t="e">
        <f>_xll.qlSimpleQuoteSetValue($V9,$W9/100,_xll.ohTrigger(Trigger,E9))</f>
        <v>#N/A</v>
      </c>
      <c r="Y9" s="178"/>
      <c r="Z9" s="224"/>
      <c r="AA9" s="240"/>
      <c r="AB9" s="224"/>
      <c r="AC9" s="224"/>
      <c r="AD9" s="224"/>
      <c r="AE9" s="225">
        <f t="shared" si="3"/>
        <v>9.999999999999998E-4</v>
      </c>
      <c r="AF9" s="224"/>
    </row>
    <row r="10" spans="1:32" x14ac:dyDescent="0.2">
      <c r="A10" s="71"/>
      <c r="B10" s="79">
        <v>4</v>
      </c>
      <c r="C10" s="80" t="s">
        <v>93</v>
      </c>
      <c r="D10" s="79" t="str">
        <f t="shared" si="0"/>
        <v>HKD4x7F_Quote</v>
      </c>
      <c r="E10" s="78" t="str">
        <f>_xll.qlSimpleQuote(D10,,RateTickValue,Permanent,Trigger,ObjectOverwrite)</f>
        <v>HKD4x7F_Quote#0010</v>
      </c>
      <c r="F10" s="77" t="str">
        <f>_xll.ohRangeRetrieveError(E10)</f>
        <v/>
      </c>
      <c r="G10" s="65"/>
      <c r="I10" s="187"/>
      <c r="J10" s="239">
        <v>4</v>
      </c>
      <c r="K10" s="238" t="s">
        <v>93</v>
      </c>
      <c r="L10" s="236" t="str">
        <f t="shared" si="1"/>
        <v>HKD4x7F</v>
      </c>
      <c r="M10" s="236" t="str">
        <v>HKD4X7F=PREA</v>
      </c>
      <c r="N10" s="237">
        <v>0.37</v>
      </c>
      <c r="O10" s="237">
        <v>0.47</v>
      </c>
      <c r="P10" s="236">
        <v>0</v>
      </c>
      <c r="Q10" s="236">
        <v>0</v>
      </c>
      <c r="R10" s="184">
        <f>_xll.qlMidSafe($N10,$O10)</f>
        <v>0.42</v>
      </c>
      <c r="S10" s="182"/>
      <c r="T10" s="235">
        <v>0.43</v>
      </c>
      <c r="U10" s="182"/>
      <c r="V10" s="190" t="str">
        <f t="shared" si="2"/>
        <v>HKD4x7F_Quote</v>
      </c>
      <c r="W10" s="189">
        <v>0.42</v>
      </c>
      <c r="X10" s="188" t="e">
        <f>_xll.qlSimpleQuoteSetValue($V10,$W10/100,_xll.ohTrigger(Trigger,E10))</f>
        <v>#N/A</v>
      </c>
      <c r="Y10" s="178"/>
      <c r="Z10" s="224"/>
      <c r="AA10" s="240"/>
      <c r="AB10" s="224"/>
      <c r="AC10" s="224"/>
      <c r="AD10" s="224"/>
      <c r="AE10" s="225">
        <f t="shared" si="3"/>
        <v>9.999999999999998E-4</v>
      </c>
      <c r="AF10" s="224"/>
    </row>
    <row r="11" spans="1:32" x14ac:dyDescent="0.2">
      <c r="A11" s="71"/>
      <c r="B11" s="79">
        <v>5</v>
      </c>
      <c r="C11" s="80" t="s">
        <v>92</v>
      </c>
      <c r="D11" s="79" t="str">
        <f t="shared" si="0"/>
        <v>HKD5x8F_Quote</v>
      </c>
      <c r="E11" s="78" t="str">
        <f>_xll.qlSimpleQuote(D11,,RateTickValue,Permanent,Trigger,ObjectOverwrite)</f>
        <v>HKD5x8F_Quote#0010</v>
      </c>
      <c r="F11" s="77" t="str">
        <f>_xll.ohRangeRetrieveError(E11)</f>
        <v/>
      </c>
      <c r="G11" s="65"/>
      <c r="I11" s="187"/>
      <c r="J11" s="239">
        <v>5</v>
      </c>
      <c r="K11" s="238" t="s">
        <v>92</v>
      </c>
      <c r="L11" s="236" t="str">
        <f t="shared" si="1"/>
        <v>HKD5x8F</v>
      </c>
      <c r="M11" s="236" t="str">
        <v>HKD5X8F=PREA</v>
      </c>
      <c r="N11" s="237">
        <v>0.39</v>
      </c>
      <c r="O11" s="237">
        <v>0.49</v>
      </c>
      <c r="P11" s="236">
        <v>0</v>
      </c>
      <c r="Q11" s="236">
        <v>0</v>
      </c>
      <c r="R11" s="184">
        <f>_xll.qlMidSafe($N11,$O11)</f>
        <v>0.44</v>
      </c>
      <c r="S11" s="182"/>
      <c r="T11" s="235">
        <v>0.44</v>
      </c>
      <c r="U11" s="182"/>
      <c r="V11" s="190" t="str">
        <f t="shared" si="2"/>
        <v>HKD5x8F_Quote</v>
      </c>
      <c r="W11" s="189">
        <v>0.44</v>
      </c>
      <c r="X11" s="188" t="e">
        <f>_xll.qlSimpleQuoteSetValue($V11,$W11/100,_xll.ohTrigger(Trigger,E11))</f>
        <v>#N/A</v>
      </c>
      <c r="Y11" s="178"/>
      <c r="Z11" s="224"/>
      <c r="AA11" s="240"/>
      <c r="AB11" s="224"/>
      <c r="AC11" s="224"/>
      <c r="AD11" s="224"/>
      <c r="AE11" s="225">
        <f t="shared" si="3"/>
        <v>9.999999999999998E-4</v>
      </c>
      <c r="AF11" s="224"/>
    </row>
    <row r="12" spans="1:32" x14ac:dyDescent="0.2">
      <c r="A12" s="71"/>
      <c r="B12" s="79">
        <v>6</v>
      </c>
      <c r="C12" s="80" t="s">
        <v>91</v>
      </c>
      <c r="D12" s="79" t="str">
        <f t="shared" si="0"/>
        <v>HKD6x9F_Quote</v>
      </c>
      <c r="E12" s="78" t="str">
        <f>_xll.qlSimpleQuote(D12,,RateTickValue,Permanent,Trigger,ObjectOverwrite)</f>
        <v>HKD6x9F_Quote#0010</v>
      </c>
      <c r="F12" s="77" t="str">
        <f>_xll.ohRangeRetrieveError(E12)</f>
        <v/>
      </c>
      <c r="G12" s="65"/>
      <c r="I12" s="187"/>
      <c r="J12" s="239">
        <v>6</v>
      </c>
      <c r="K12" s="238" t="s">
        <v>91</v>
      </c>
      <c r="L12" s="236" t="str">
        <f t="shared" si="1"/>
        <v>HKD6x9F</v>
      </c>
      <c r="M12" s="236" t="str">
        <v>HKD6X9F=PREA</v>
      </c>
      <c r="N12" s="237">
        <v>0.4</v>
      </c>
      <c r="O12" s="237">
        <v>0.5</v>
      </c>
      <c r="P12" s="236">
        <v>0</v>
      </c>
      <c r="Q12" s="236">
        <v>0</v>
      </c>
      <c r="R12" s="184">
        <f>_xll.qlMidSafe($N12,$O12)</f>
        <v>0.45</v>
      </c>
      <c r="S12" s="182"/>
      <c r="T12" s="235">
        <v>0.45</v>
      </c>
      <c r="U12" s="182"/>
      <c r="V12" s="190" t="str">
        <f t="shared" si="2"/>
        <v>HKD6x9F_Quote</v>
      </c>
      <c r="W12" s="189">
        <v>0.45</v>
      </c>
      <c r="X12" s="188" t="e">
        <f>_xll.qlSimpleQuoteSetValue($V12,$W12/100,_xll.ohTrigger(Trigger,E12))</f>
        <v>#N/A</v>
      </c>
      <c r="Y12" s="178"/>
      <c r="Z12" s="224"/>
      <c r="AA12" s="240"/>
      <c r="AB12" s="224"/>
      <c r="AC12" s="224"/>
      <c r="AD12" s="224"/>
      <c r="AE12" s="225"/>
      <c r="AF12" s="224"/>
    </row>
    <row r="13" spans="1:32" x14ac:dyDescent="0.2">
      <c r="A13" s="71"/>
      <c r="B13" s="79">
        <v>7</v>
      </c>
      <c r="C13" s="80" t="s">
        <v>90</v>
      </c>
      <c r="D13" s="79" t="str">
        <f t="shared" si="0"/>
        <v>HKD7x10F_Quote</v>
      </c>
      <c r="E13" s="78" t="str">
        <f>_xll.qlSimpleQuote(D13,,RateTickValue,Permanent,Trigger,ObjectOverwrite)</f>
        <v>HKD7x10F_Quote#0010</v>
      </c>
      <c r="F13" s="77" t="str">
        <f>_xll.ohRangeRetrieveError(E13)</f>
        <v/>
      </c>
      <c r="G13" s="65"/>
      <c r="I13" s="187"/>
      <c r="J13" s="239">
        <v>7</v>
      </c>
      <c r="K13" s="238" t="s">
        <v>90</v>
      </c>
      <c r="L13" s="236" t="str">
        <f t="shared" si="1"/>
        <v>HKD7x10F</v>
      </c>
      <c r="M13" s="236" t="str">
        <v>HKD7X10F=PREA</v>
      </c>
      <c r="N13" s="237">
        <v>0.41</v>
      </c>
      <c r="O13" s="237">
        <v>0.51</v>
      </c>
      <c r="P13" s="236">
        <v>0</v>
      </c>
      <c r="Q13" s="236">
        <v>0</v>
      </c>
      <c r="R13" s="184">
        <f>_xll.qlMidSafe($N13,$O13)</f>
        <v>0.45999999999999996</v>
      </c>
      <c r="S13" s="182"/>
      <c r="T13" s="235">
        <v>0.47</v>
      </c>
      <c r="U13" s="182"/>
      <c r="V13" s="190" t="str">
        <f t="shared" si="2"/>
        <v>HKD7x10F_Quote</v>
      </c>
      <c r="W13" s="189">
        <v>0.45999999999999996</v>
      </c>
      <c r="X13" s="188" t="e">
        <f>_xll.qlSimpleQuoteSetValue($V13,$W13/100,_xll.ohTrigger(Trigger,E13))</f>
        <v>#N/A</v>
      </c>
      <c r="Y13" s="178"/>
      <c r="Z13" s="224"/>
      <c r="AA13" s="240"/>
      <c r="AB13" s="224"/>
      <c r="AC13" s="224"/>
      <c r="AD13" s="224"/>
      <c r="AE13" s="225"/>
      <c r="AF13" s="224"/>
    </row>
    <row r="14" spans="1:32" x14ac:dyDescent="0.2">
      <c r="A14" s="71"/>
      <c r="B14" s="79">
        <v>8</v>
      </c>
      <c r="C14" s="80" t="s">
        <v>89</v>
      </c>
      <c r="D14" s="79" t="str">
        <f t="shared" si="0"/>
        <v>HKD8x11F_Quote</v>
      </c>
      <c r="E14" s="78" t="str">
        <f>_xll.qlSimpleQuote(D14,,RateTickValue,Permanent,Trigger,ObjectOverwrite)</f>
        <v>HKD8x11F_Quote#0010</v>
      </c>
      <c r="F14" s="77" t="str">
        <f>_xll.ohRangeRetrieveError(E14)</f>
        <v/>
      </c>
      <c r="G14" s="65"/>
      <c r="I14" s="187"/>
      <c r="J14" s="239">
        <v>8</v>
      </c>
      <c r="K14" s="238" t="s">
        <v>89</v>
      </c>
      <c r="L14" s="236" t="str">
        <f t="shared" si="1"/>
        <v>HKD8x11F</v>
      </c>
      <c r="M14" s="236" t="str">
        <v>HKD8X11F=PREA</v>
      </c>
      <c r="N14" s="237">
        <v>0.42</v>
      </c>
      <c r="O14" s="237">
        <v>0.52</v>
      </c>
      <c r="P14" s="236">
        <v>0</v>
      </c>
      <c r="Q14" s="236">
        <v>0</v>
      </c>
      <c r="R14" s="184">
        <f>_xll.qlMidSafe($N14,$O14)</f>
        <v>0.47</v>
      </c>
      <c r="S14" s="182"/>
      <c r="T14" s="235">
        <v>0.48</v>
      </c>
      <c r="U14" s="182"/>
      <c r="V14" s="190" t="str">
        <f t="shared" si="2"/>
        <v>HKD8x11F_Quote</v>
      </c>
      <c r="W14" s="189">
        <v>0.47</v>
      </c>
      <c r="X14" s="188" t="e">
        <f>_xll.qlSimpleQuoteSetValue($V14,$W14/100,_xll.ohTrigger(Trigger,E14))</f>
        <v>#N/A</v>
      </c>
      <c r="Y14" s="178"/>
      <c r="Z14" s="224"/>
      <c r="AA14" s="240"/>
      <c r="AB14" s="224"/>
      <c r="AC14" s="224"/>
      <c r="AD14" s="224"/>
      <c r="AE14" s="225"/>
      <c r="AF14" s="224"/>
    </row>
    <row r="15" spans="1:32" x14ac:dyDescent="0.2">
      <c r="A15" s="71"/>
      <c r="B15" s="68">
        <v>9</v>
      </c>
      <c r="C15" s="72" t="s">
        <v>88</v>
      </c>
      <c r="D15" s="68" t="str">
        <f t="shared" si="0"/>
        <v>HKD9x12F_Quote</v>
      </c>
      <c r="E15" s="67" t="str">
        <f>_xll.qlSimpleQuote(D15,,RateTickValue,Permanent,Trigger,ObjectOverwrite)</f>
        <v>HKD9x12F_Quote#0010</v>
      </c>
      <c r="F15" s="66" t="str">
        <f>_xll.ohRangeRetrieveError(E15)</f>
        <v/>
      </c>
      <c r="G15" s="65"/>
      <c r="I15" s="187"/>
      <c r="J15" s="246">
        <v>9</v>
      </c>
      <c r="K15" s="245" t="s">
        <v>88</v>
      </c>
      <c r="L15" s="243" t="str">
        <f t="shared" si="1"/>
        <v>HKD9x12F</v>
      </c>
      <c r="M15" s="243" t="str">
        <v>HKD9X12F=PREA</v>
      </c>
      <c r="N15" s="244">
        <v>0.43</v>
      </c>
      <c r="O15" s="244">
        <v>0.53</v>
      </c>
      <c r="P15" s="243">
        <v>0</v>
      </c>
      <c r="Q15" s="243">
        <v>0</v>
      </c>
      <c r="R15" s="242">
        <f>_xll.qlMidSafe($N15,$O15)</f>
        <v>0.48</v>
      </c>
      <c r="S15" s="182"/>
      <c r="T15" s="241">
        <v>0.5</v>
      </c>
      <c r="U15" s="182"/>
      <c r="V15" s="190" t="str">
        <f t="shared" si="2"/>
        <v>HKD9x12F_Quote</v>
      </c>
      <c r="W15" s="189">
        <v>0.48</v>
      </c>
      <c r="X15" s="188" t="e">
        <f>_xll.qlSimpleQuoteSetValue($V15,$W15/100,_xll.ohTrigger(Trigger,E15))</f>
        <v>#N/A</v>
      </c>
      <c r="Y15" s="178"/>
      <c r="Z15" s="224"/>
      <c r="AA15" s="240"/>
      <c r="AB15" s="224"/>
      <c r="AC15" s="224"/>
      <c r="AD15" s="224"/>
      <c r="AE15" s="225">
        <f t="shared" ref="AE15:AE36" si="4">(O15-R15)/50</f>
        <v>1.0000000000000009E-3</v>
      </c>
      <c r="AF15" s="224"/>
    </row>
    <row r="16" spans="1:32" x14ac:dyDescent="0.2">
      <c r="A16" s="71"/>
      <c r="B16" s="75" t="s">
        <v>87</v>
      </c>
      <c r="C16" s="76" t="s">
        <v>83</v>
      </c>
      <c r="D16" s="75" t="str">
        <f t="shared" si="0"/>
        <v>HKDT6F1_Quote</v>
      </c>
      <c r="E16" s="74" t="str">
        <f>_xll.qlSimpleQuote(D16,,RateTickValue,Permanent,Trigger,ObjectOverwrite)</f>
        <v>HKDT6F1_Quote#0010</v>
      </c>
      <c r="F16" s="73" t="str">
        <f>_xll.ohRangeRetrieveError(E16)</f>
        <v/>
      </c>
      <c r="G16" s="65"/>
      <c r="I16" s="187"/>
      <c r="J16" s="251" t="s">
        <v>87</v>
      </c>
      <c r="K16" s="250" t="s">
        <v>83</v>
      </c>
      <c r="L16" s="248" t="str">
        <f t="shared" si="1"/>
        <v>HKDT6F1</v>
      </c>
      <c r="M16" s="248" t="str">
        <v>HKDT6F1=PREA</v>
      </c>
      <c r="N16" s="249" t="s">
        <v>168</v>
      </c>
      <c r="O16" s="249" t="s">
        <v>168</v>
      </c>
      <c r="P16" s="248" t="s">
        <v>168</v>
      </c>
      <c r="Q16" s="248" t="s">
        <v>168</v>
      </c>
      <c r="R16" s="196" t="e">
        <f>_xll.qlMidSafe($N16,$O16)</f>
        <v>#NUM!</v>
      </c>
      <c r="S16" s="182"/>
      <c r="T16" s="247" t="e">
        <v>#NUM!</v>
      </c>
      <c r="U16" s="182"/>
      <c r="V16" s="194" t="str">
        <f t="shared" si="2"/>
        <v>HKDT6F1_Quote</v>
      </c>
      <c r="W16" s="193" t="e">
        <v>#NUM!</v>
      </c>
      <c r="X16" s="192" t="e">
        <f>_xll.qlSimpleQuoteSetValue($V16,$W16/100,_xll.ohTrigger(Trigger,E16))</f>
        <v>#NUM!</v>
      </c>
      <c r="Y16" s="178"/>
      <c r="Z16" s="224"/>
      <c r="AA16" s="240"/>
      <c r="AB16" s="224"/>
      <c r="AC16" s="224"/>
      <c r="AD16" s="224"/>
      <c r="AE16" s="225" t="e">
        <f t="shared" si="4"/>
        <v>#VALUE!</v>
      </c>
      <c r="AF16" s="224"/>
    </row>
    <row r="17" spans="1:32" x14ac:dyDescent="0.2">
      <c r="A17" s="71"/>
      <c r="B17" s="68" t="s">
        <v>86</v>
      </c>
      <c r="C17" s="72" t="s">
        <v>83</v>
      </c>
      <c r="D17" s="68" t="str">
        <f t="shared" si="0"/>
        <v>HKDTOM6F1_Quote</v>
      </c>
      <c r="E17" s="67" t="str">
        <f>_xll.qlSimpleQuote(D17,,RateTickValue,Permanent,Trigger,ObjectOverwrite)</f>
        <v>HKDTOM6F1_Quote#0010</v>
      </c>
      <c r="F17" s="66" t="str">
        <f>_xll.ohRangeRetrieveError(E17)</f>
        <v/>
      </c>
      <c r="G17" s="65"/>
      <c r="I17" s="187"/>
      <c r="J17" s="246" t="s">
        <v>86</v>
      </c>
      <c r="K17" s="245" t="s">
        <v>83</v>
      </c>
      <c r="L17" s="243" t="str">
        <f t="shared" si="1"/>
        <v>HKDTOM6F1</v>
      </c>
      <c r="M17" s="243" t="str">
        <v>HKDTOM6F1=PREA</v>
      </c>
      <c r="N17" s="244" t="s">
        <v>168</v>
      </c>
      <c r="O17" s="244" t="s">
        <v>168</v>
      </c>
      <c r="P17" s="243" t="s">
        <v>168</v>
      </c>
      <c r="Q17" s="243" t="s">
        <v>168</v>
      </c>
      <c r="R17" s="242" t="e">
        <f>_xll.qlMidSafe($N17,$O17)</f>
        <v>#NUM!</v>
      </c>
      <c r="S17" s="182"/>
      <c r="T17" s="241" t="e">
        <v>#NUM!</v>
      </c>
      <c r="U17" s="182"/>
      <c r="V17" s="181" t="str">
        <f t="shared" si="2"/>
        <v>HKDTOM6F1_Quote</v>
      </c>
      <c r="W17" s="180" t="e">
        <v>#NUM!</v>
      </c>
      <c r="X17" s="179" t="e">
        <f>_xll.qlSimpleQuoteSetValue($V17,$W17/100,_xll.ohTrigger(Trigger,E17))</f>
        <v>#NUM!</v>
      </c>
      <c r="Y17" s="178"/>
      <c r="Z17" s="224"/>
      <c r="AA17" s="240"/>
      <c r="AB17" s="224"/>
      <c r="AC17" s="224"/>
      <c r="AD17" s="224"/>
      <c r="AE17" s="225" t="e">
        <f t="shared" si="4"/>
        <v>#VALUE!</v>
      </c>
      <c r="AF17" s="224"/>
    </row>
    <row r="18" spans="1:32" x14ac:dyDescent="0.2">
      <c r="A18" s="71"/>
      <c r="B18" s="75">
        <v>1</v>
      </c>
      <c r="C18" s="76" t="str">
        <f t="shared" ref="C18:C35" si="5">"x"&amp;B18+6&amp;"F"</f>
        <v>x7F</v>
      </c>
      <c r="D18" s="75" t="str">
        <f t="shared" si="0"/>
        <v>HKD1x7F_Quote</v>
      </c>
      <c r="E18" s="74" t="str">
        <f>_xll.qlSimpleQuote(D18,,RateTickValue,Permanent,Trigger,ObjectOverwrite)</f>
        <v>HKD1x7F_Quote#0010</v>
      </c>
      <c r="F18" s="73" t="str">
        <f>_xll.ohRangeRetrieveError(E18)</f>
        <v/>
      </c>
      <c r="G18" s="65"/>
      <c r="I18" s="187"/>
      <c r="J18" s="239">
        <v>1</v>
      </c>
      <c r="K18" s="238" t="str">
        <f t="shared" ref="K18:K35" si="6">"x"&amp;J18+6&amp;"F"</f>
        <v>x7F</v>
      </c>
      <c r="L18" s="236" t="str">
        <f t="shared" si="1"/>
        <v>HKD1x7F</v>
      </c>
      <c r="M18" s="236" t="str">
        <v>HKD1X7F=PREA</v>
      </c>
      <c r="N18" s="237">
        <v>0.44</v>
      </c>
      <c r="O18" s="237">
        <v>0.54</v>
      </c>
      <c r="P18" s="236">
        <v>0</v>
      </c>
      <c r="Q18" s="236">
        <v>0</v>
      </c>
      <c r="R18" s="184">
        <f>_xll.qlMidSafe($N18,$O18)</f>
        <v>0.49</v>
      </c>
      <c r="S18" s="182"/>
      <c r="T18" s="235">
        <v>0.49</v>
      </c>
      <c r="U18" s="182"/>
      <c r="V18" s="190" t="str">
        <f t="shared" si="2"/>
        <v>HKD1x7F_Quote</v>
      </c>
      <c r="W18" s="189">
        <v>0.49</v>
      </c>
      <c r="X18" s="188" t="e">
        <f>_xll.qlSimpleQuoteSetValue($V18,$W18/100,_xll.ohTrigger(Trigger,E18))</f>
        <v>#N/A</v>
      </c>
      <c r="Y18" s="178"/>
      <c r="Z18" s="224"/>
      <c r="AA18" s="240"/>
      <c r="AB18" s="224"/>
      <c r="AC18" s="224"/>
      <c r="AD18" s="224"/>
      <c r="AE18" s="225">
        <f t="shared" si="4"/>
        <v>1.0000000000000009E-3</v>
      </c>
      <c r="AF18" s="224"/>
    </row>
    <row r="19" spans="1:32" x14ac:dyDescent="0.2">
      <c r="A19" s="71"/>
      <c r="B19" s="79">
        <v>2</v>
      </c>
      <c r="C19" s="80" t="str">
        <f t="shared" si="5"/>
        <v>x8F</v>
      </c>
      <c r="D19" s="79" t="str">
        <f t="shared" si="0"/>
        <v>HKD2x8F_Quote</v>
      </c>
      <c r="E19" s="78" t="str">
        <f>_xll.qlSimpleQuote(D19,,RateTickValue,Permanent,Trigger,ObjectOverwrite)</f>
        <v>HKD2x8F_Quote#0010</v>
      </c>
      <c r="F19" s="77" t="str">
        <f>_xll.ohRangeRetrieveError(E19)</f>
        <v/>
      </c>
      <c r="G19" s="65"/>
      <c r="I19" s="187"/>
      <c r="J19" s="239">
        <v>2</v>
      </c>
      <c r="K19" s="238" t="str">
        <f t="shared" si="6"/>
        <v>x8F</v>
      </c>
      <c r="L19" s="236" t="str">
        <f t="shared" si="1"/>
        <v>HKD2x8F</v>
      </c>
      <c r="M19" s="236" t="str">
        <v>HKD2X8F=PREA</v>
      </c>
      <c r="N19" s="237">
        <v>0.44</v>
      </c>
      <c r="O19" s="237">
        <v>0.54</v>
      </c>
      <c r="P19" s="236">
        <v>0</v>
      </c>
      <c r="Q19" s="236">
        <v>0</v>
      </c>
      <c r="R19" s="184">
        <f>_xll.qlMidSafe($N19,$O19)</f>
        <v>0.49</v>
      </c>
      <c r="S19" s="182"/>
      <c r="T19" s="235">
        <v>0.49</v>
      </c>
      <c r="U19" s="182"/>
      <c r="V19" s="190" t="str">
        <f t="shared" si="2"/>
        <v>HKD2x8F_Quote</v>
      </c>
      <c r="W19" s="189">
        <v>0.49</v>
      </c>
      <c r="X19" s="188" t="e">
        <f>_xll.qlSimpleQuoteSetValue($V19,$W19/100,_xll.ohTrigger(Trigger,E19))</f>
        <v>#N/A</v>
      </c>
      <c r="Y19" s="178"/>
      <c r="Z19" s="224"/>
      <c r="AA19" s="240"/>
      <c r="AB19" s="224"/>
      <c r="AC19" s="224"/>
      <c r="AD19" s="224"/>
      <c r="AE19" s="225">
        <f t="shared" si="4"/>
        <v>1.0000000000000009E-3</v>
      </c>
      <c r="AF19" s="224"/>
    </row>
    <row r="20" spans="1:32" x14ac:dyDescent="0.2">
      <c r="A20" s="71"/>
      <c r="B20" s="79">
        <v>3</v>
      </c>
      <c r="C20" s="80" t="str">
        <f t="shared" si="5"/>
        <v>x9F</v>
      </c>
      <c r="D20" s="79" t="str">
        <f t="shared" si="0"/>
        <v>HKD3x9F_Quote</v>
      </c>
      <c r="E20" s="78" t="str">
        <f>_xll.qlSimpleQuote(D20,,RateTickValue,Permanent,Trigger,ObjectOverwrite)</f>
        <v>HKD3x9F_Quote#0010</v>
      </c>
      <c r="F20" s="77" t="str">
        <f>_xll.ohRangeRetrieveError(E20)</f>
        <v/>
      </c>
      <c r="G20" s="65"/>
      <c r="I20" s="187"/>
      <c r="J20" s="239">
        <v>3</v>
      </c>
      <c r="K20" s="238" t="str">
        <f t="shared" si="6"/>
        <v>x9F</v>
      </c>
      <c r="L20" s="236" t="str">
        <f t="shared" si="1"/>
        <v>HKD3x9F</v>
      </c>
      <c r="M20" s="236" t="str">
        <v>HKD3X9F=PREA</v>
      </c>
      <c r="N20" s="237">
        <v>0.45</v>
      </c>
      <c r="O20" s="237">
        <v>0.55000000000000004</v>
      </c>
      <c r="P20" s="236">
        <v>0</v>
      </c>
      <c r="Q20" s="236">
        <v>0</v>
      </c>
      <c r="R20" s="184">
        <f>_xll.qlMidSafe($N20,$O20)</f>
        <v>0.5</v>
      </c>
      <c r="S20" s="182"/>
      <c r="T20" s="235">
        <v>0.5</v>
      </c>
      <c r="U20" s="182"/>
      <c r="V20" s="190" t="str">
        <f t="shared" si="2"/>
        <v>HKD3x9F_Quote</v>
      </c>
      <c r="W20" s="189">
        <v>0.5</v>
      </c>
      <c r="X20" s="188" t="e">
        <f>_xll.qlSimpleQuoteSetValue($V20,$W20/100,_xll.ohTrigger(Trigger,E20))</f>
        <v>#N/A</v>
      </c>
      <c r="Y20" s="178"/>
      <c r="Z20" s="224"/>
      <c r="AA20" s="240"/>
      <c r="AB20" s="224"/>
      <c r="AC20" s="224"/>
      <c r="AD20" s="224"/>
      <c r="AE20" s="225">
        <f t="shared" si="4"/>
        <v>1.0000000000000009E-3</v>
      </c>
      <c r="AF20" s="224"/>
    </row>
    <row r="21" spans="1:32" x14ac:dyDescent="0.2">
      <c r="A21" s="71"/>
      <c r="B21" s="79">
        <v>4</v>
      </c>
      <c r="C21" s="80" t="str">
        <f t="shared" si="5"/>
        <v>x10F</v>
      </c>
      <c r="D21" s="79" t="str">
        <f t="shared" si="0"/>
        <v>HKD4x10F_Quote</v>
      </c>
      <c r="E21" s="78" t="str">
        <f>_xll.qlSimpleQuote(D21,,RateTickValue,Permanent,Trigger,ObjectOverwrite)</f>
        <v>HKD4x10F_Quote#0010</v>
      </c>
      <c r="F21" s="77" t="str">
        <f>_xll.ohRangeRetrieveError(E21)</f>
        <v/>
      </c>
      <c r="G21" s="65"/>
      <c r="I21" s="187"/>
      <c r="J21" s="239">
        <v>4</v>
      </c>
      <c r="K21" s="238" t="str">
        <f t="shared" si="6"/>
        <v>x10F</v>
      </c>
      <c r="L21" s="236" t="str">
        <f t="shared" si="1"/>
        <v>HKD4x10F</v>
      </c>
      <c r="M21" s="236" t="str">
        <v>HKD4X10F=PREA</v>
      </c>
      <c r="N21" s="237">
        <v>0.46</v>
      </c>
      <c r="O21" s="237">
        <v>0.56000000000000005</v>
      </c>
      <c r="P21" s="236">
        <v>0</v>
      </c>
      <c r="Q21" s="236">
        <v>0</v>
      </c>
      <c r="R21" s="184">
        <f>_xll.qlMidSafe($N21,$O21)</f>
        <v>0.51</v>
      </c>
      <c r="S21" s="182"/>
      <c r="T21" s="235">
        <v>0.52</v>
      </c>
      <c r="U21" s="182"/>
      <c r="V21" s="190" t="str">
        <f t="shared" si="2"/>
        <v>HKD4x10F_Quote</v>
      </c>
      <c r="W21" s="189">
        <v>0.51</v>
      </c>
      <c r="X21" s="188" t="e">
        <f>_xll.qlSimpleQuoteSetValue($V21,$W21/100,_xll.ohTrigger(Trigger,E21))</f>
        <v>#N/A</v>
      </c>
      <c r="Y21" s="178"/>
      <c r="Z21" s="224"/>
      <c r="AA21" s="240"/>
      <c r="AB21" s="224"/>
      <c r="AC21" s="224"/>
      <c r="AD21" s="224"/>
      <c r="AE21" s="225">
        <f t="shared" si="4"/>
        <v>1.0000000000000009E-3</v>
      </c>
      <c r="AF21" s="224"/>
    </row>
    <row r="22" spans="1:32" x14ac:dyDescent="0.2">
      <c r="A22" s="71"/>
      <c r="B22" s="79">
        <v>5</v>
      </c>
      <c r="C22" s="80" t="str">
        <f t="shared" si="5"/>
        <v>x11F</v>
      </c>
      <c r="D22" s="79" t="str">
        <f t="shared" si="0"/>
        <v>HKD5x11F_Quote</v>
      </c>
      <c r="E22" s="78" t="str">
        <f>_xll.qlSimpleQuote(D22,,RateTickValue,Permanent,Trigger,ObjectOverwrite)</f>
        <v>HKD5x11F_Quote#0010</v>
      </c>
      <c r="F22" s="77" t="str">
        <f>_xll.ohRangeRetrieveError(E22)</f>
        <v/>
      </c>
      <c r="G22" s="65"/>
      <c r="I22" s="187"/>
      <c r="J22" s="239">
        <v>5</v>
      </c>
      <c r="K22" s="238" t="str">
        <f t="shared" si="6"/>
        <v>x11F</v>
      </c>
      <c r="L22" s="236" t="str">
        <f t="shared" si="1"/>
        <v>HKD5x11F</v>
      </c>
      <c r="M22" s="236" t="str">
        <v>HKD5X11F=PREA</v>
      </c>
      <c r="N22" s="237">
        <v>0.47</v>
      </c>
      <c r="O22" s="237">
        <v>0.56999999999999995</v>
      </c>
      <c r="P22" s="236">
        <v>0</v>
      </c>
      <c r="Q22" s="236">
        <v>0</v>
      </c>
      <c r="R22" s="184">
        <f>_xll.qlMidSafe($N22,$O22)</f>
        <v>0.52</v>
      </c>
      <c r="S22" s="182"/>
      <c r="T22" s="235">
        <v>0.53</v>
      </c>
      <c r="U22" s="182"/>
      <c r="V22" s="190" t="str">
        <f t="shared" si="2"/>
        <v>HKD5x11F_Quote</v>
      </c>
      <c r="W22" s="189">
        <v>0.52</v>
      </c>
      <c r="X22" s="188" t="e">
        <f>_xll.qlSimpleQuoteSetValue($V22,$W22/100,_xll.ohTrigger(Trigger,E22))</f>
        <v>#N/A</v>
      </c>
      <c r="Y22" s="178"/>
      <c r="Z22" s="224"/>
      <c r="AA22" s="240"/>
      <c r="AB22" s="224"/>
      <c r="AC22" s="224"/>
      <c r="AD22" s="224"/>
      <c r="AE22" s="225">
        <f t="shared" si="4"/>
        <v>9.9999999999999872E-4</v>
      </c>
      <c r="AF22" s="224"/>
    </row>
    <row r="23" spans="1:32" x14ac:dyDescent="0.2">
      <c r="A23" s="71"/>
      <c r="B23" s="79">
        <v>6</v>
      </c>
      <c r="C23" s="80" t="str">
        <f t="shared" si="5"/>
        <v>x12F</v>
      </c>
      <c r="D23" s="79" t="str">
        <f t="shared" si="0"/>
        <v>HKD6x12F_Quote</v>
      </c>
      <c r="E23" s="78" t="str">
        <f>_xll.qlSimpleQuote(D23,,RateTickValue,Permanent,Trigger,ObjectOverwrite)</f>
        <v>HKD6x12F_Quote#0010</v>
      </c>
      <c r="F23" s="77" t="str">
        <f>_xll.ohRangeRetrieveError(E23)</f>
        <v/>
      </c>
      <c r="G23" s="65"/>
      <c r="I23" s="187"/>
      <c r="J23" s="239">
        <v>6</v>
      </c>
      <c r="K23" s="238" t="str">
        <f t="shared" si="6"/>
        <v>x12F</v>
      </c>
      <c r="L23" s="236" t="str">
        <f t="shared" si="1"/>
        <v>HKD6x12F</v>
      </c>
      <c r="M23" s="236" t="str">
        <v>HKD6X12F=PREA</v>
      </c>
      <c r="N23" s="237">
        <v>0.49</v>
      </c>
      <c r="O23" s="237">
        <v>0.59</v>
      </c>
      <c r="P23" s="236">
        <v>0</v>
      </c>
      <c r="Q23" s="236">
        <v>0</v>
      </c>
      <c r="R23" s="184">
        <f>_xll.qlMidSafe($N23,$O23)</f>
        <v>0.54</v>
      </c>
      <c r="S23" s="182"/>
      <c r="T23" s="235">
        <v>0.54</v>
      </c>
      <c r="U23" s="182"/>
      <c r="V23" s="190" t="str">
        <f t="shared" si="2"/>
        <v>HKD6x12F_Quote</v>
      </c>
      <c r="W23" s="189">
        <v>0.54</v>
      </c>
      <c r="X23" s="188" t="e">
        <f>_xll.qlSimpleQuoteSetValue($V23,$W23/100,_xll.ohTrigger(Trigger,E23))</f>
        <v>#N/A</v>
      </c>
      <c r="Y23" s="178"/>
      <c r="Z23" s="224"/>
      <c r="AA23" s="240"/>
      <c r="AB23" s="224"/>
      <c r="AC23" s="224"/>
      <c r="AD23" s="224"/>
      <c r="AE23" s="225">
        <f t="shared" si="4"/>
        <v>9.9999999999999872E-4</v>
      </c>
      <c r="AF23" s="224"/>
    </row>
    <row r="24" spans="1:32" x14ac:dyDescent="0.2">
      <c r="A24" s="71"/>
      <c r="B24" s="79">
        <v>7</v>
      </c>
      <c r="C24" s="80" t="str">
        <f t="shared" si="5"/>
        <v>x13F</v>
      </c>
      <c r="D24" s="79" t="str">
        <f t="shared" si="0"/>
        <v>HKD7x13F_Quote</v>
      </c>
      <c r="E24" s="78" t="str">
        <f>_xll.qlSimpleQuote(D24,,RateTickValue,Permanent,Trigger,ObjectOverwrite)</f>
        <v>HKD7x13F_Quote#0010</v>
      </c>
      <c r="F24" s="77" t="str">
        <f>_xll.ohRangeRetrieveError(E24)</f>
        <v/>
      </c>
      <c r="G24" s="65"/>
      <c r="I24" s="187"/>
      <c r="J24" s="239">
        <v>7</v>
      </c>
      <c r="K24" s="238" t="str">
        <f t="shared" si="6"/>
        <v>x13F</v>
      </c>
      <c r="L24" s="236" t="str">
        <f t="shared" si="1"/>
        <v>HKD7x13F</v>
      </c>
      <c r="M24" s="236" t="str">
        <v>HKD7X13F=PREA</v>
      </c>
      <c r="N24" s="237" t="s">
        <v>168</v>
      </c>
      <c r="O24" s="237" t="s">
        <v>168</v>
      </c>
      <c r="P24" s="236" t="s">
        <v>168</v>
      </c>
      <c r="Q24" s="236" t="s">
        <v>168</v>
      </c>
      <c r="R24" s="184" t="e">
        <f>_xll.qlMidSafe($N24,$O24)</f>
        <v>#NUM!</v>
      </c>
      <c r="S24" s="182"/>
      <c r="T24" s="235" t="e">
        <v>#NUM!</v>
      </c>
      <c r="U24" s="182"/>
      <c r="V24" s="190" t="str">
        <f t="shared" si="2"/>
        <v>HKD7x13F_Quote</v>
      </c>
      <c r="W24" s="189" t="e">
        <v>#NUM!</v>
      </c>
      <c r="X24" s="188" t="e">
        <f>_xll.qlSimpleQuoteSetValue($V24,$W24/100,_xll.ohTrigger(Trigger,E24))</f>
        <v>#NUM!</v>
      </c>
      <c r="Y24" s="178"/>
      <c r="Z24" s="224"/>
      <c r="AA24" s="240"/>
      <c r="AB24" s="224"/>
      <c r="AC24" s="224"/>
      <c r="AD24" s="224"/>
      <c r="AE24" s="225" t="e">
        <f t="shared" si="4"/>
        <v>#VALUE!</v>
      </c>
      <c r="AF24" s="224"/>
    </row>
    <row r="25" spans="1:32" x14ac:dyDescent="0.2">
      <c r="A25" s="71"/>
      <c r="B25" s="79">
        <v>8</v>
      </c>
      <c r="C25" s="80" t="str">
        <f t="shared" si="5"/>
        <v>x14F</v>
      </c>
      <c r="D25" s="79" t="str">
        <f t="shared" si="0"/>
        <v>HKD8x14F_Quote</v>
      </c>
      <c r="E25" s="78" t="str">
        <f>_xll.qlSimpleQuote(D25,,RateTickValue,Permanent,Trigger,ObjectOverwrite)</f>
        <v>HKD8x14F_Quote#0010</v>
      </c>
      <c r="F25" s="77" t="str">
        <f>_xll.ohRangeRetrieveError(E25)</f>
        <v/>
      </c>
      <c r="G25" s="65"/>
      <c r="I25" s="187"/>
      <c r="J25" s="239">
        <v>8</v>
      </c>
      <c r="K25" s="238" t="str">
        <f t="shared" si="6"/>
        <v>x14F</v>
      </c>
      <c r="L25" s="236" t="str">
        <f t="shared" si="1"/>
        <v>HKD8x14F</v>
      </c>
      <c r="M25" s="236" t="str">
        <v>HKD8X14F=PREA</v>
      </c>
      <c r="N25" s="237" t="s">
        <v>168</v>
      </c>
      <c r="O25" s="237" t="s">
        <v>168</v>
      </c>
      <c r="P25" s="236" t="s">
        <v>168</v>
      </c>
      <c r="Q25" s="236" t="s">
        <v>168</v>
      </c>
      <c r="R25" s="184" t="e">
        <f>_xll.qlMidSafe($N25,$O25)</f>
        <v>#NUM!</v>
      </c>
      <c r="S25" s="182"/>
      <c r="T25" s="235" t="e">
        <v>#NUM!</v>
      </c>
      <c r="U25" s="182"/>
      <c r="V25" s="190" t="str">
        <f t="shared" si="2"/>
        <v>HKD8x14F_Quote</v>
      </c>
      <c r="W25" s="189" t="e">
        <v>#NUM!</v>
      </c>
      <c r="X25" s="188" t="e">
        <f>_xll.qlSimpleQuoteSetValue($V25,$W25/100,_xll.ohTrigger(Trigger,E25))</f>
        <v>#NUM!</v>
      </c>
      <c r="Y25" s="178"/>
      <c r="Z25" s="224"/>
      <c r="AA25" s="240"/>
      <c r="AB25" s="224"/>
      <c r="AC25" s="224"/>
      <c r="AD25" s="224"/>
      <c r="AE25" s="225" t="e">
        <f t="shared" si="4"/>
        <v>#VALUE!</v>
      </c>
      <c r="AF25" s="224"/>
    </row>
    <row r="26" spans="1:32" x14ac:dyDescent="0.2">
      <c r="A26" s="71"/>
      <c r="B26" s="79">
        <v>9</v>
      </c>
      <c r="C26" s="80" t="str">
        <f t="shared" si="5"/>
        <v>x15F</v>
      </c>
      <c r="D26" s="79" t="str">
        <f t="shared" si="0"/>
        <v>HKD9x15F_Quote</v>
      </c>
      <c r="E26" s="78" t="str">
        <f>_xll.qlSimpleQuote(D26,,RateTickValue,Permanent,Trigger,ObjectOverwrite)</f>
        <v>HKD9x15F_Quote#0010</v>
      </c>
      <c r="F26" s="77" t="str">
        <f>_xll.ohRangeRetrieveError(E26)</f>
        <v/>
      </c>
      <c r="G26" s="65"/>
      <c r="I26" s="187"/>
      <c r="J26" s="239">
        <v>9</v>
      </c>
      <c r="K26" s="238" t="str">
        <f t="shared" si="6"/>
        <v>x15F</v>
      </c>
      <c r="L26" s="236" t="str">
        <f t="shared" si="1"/>
        <v>HKD9x15F</v>
      </c>
      <c r="M26" s="236" t="str">
        <v>HKD9X15F=PREA</v>
      </c>
      <c r="N26" s="237" t="s">
        <v>168</v>
      </c>
      <c r="O26" s="237" t="s">
        <v>168</v>
      </c>
      <c r="P26" s="236" t="s">
        <v>168</v>
      </c>
      <c r="Q26" s="236" t="s">
        <v>168</v>
      </c>
      <c r="R26" s="184" t="e">
        <f>_xll.qlMidSafe($N26,$O26)</f>
        <v>#NUM!</v>
      </c>
      <c r="S26" s="182"/>
      <c r="T26" s="235" t="e">
        <v>#NUM!</v>
      </c>
      <c r="U26" s="182"/>
      <c r="V26" s="190" t="str">
        <f t="shared" si="2"/>
        <v>HKD9x15F_Quote</v>
      </c>
      <c r="W26" s="189" t="e">
        <v>#NUM!</v>
      </c>
      <c r="X26" s="188" t="e">
        <f>_xll.qlSimpleQuoteSetValue($V26,$W26/100,_xll.ohTrigger(Trigger,E26))</f>
        <v>#NUM!</v>
      </c>
      <c r="Y26" s="178"/>
      <c r="Z26" s="224"/>
      <c r="AA26" s="240"/>
      <c r="AB26" s="224"/>
      <c r="AC26" s="224"/>
      <c r="AD26" s="224"/>
      <c r="AE26" s="225" t="e">
        <f t="shared" si="4"/>
        <v>#VALUE!</v>
      </c>
      <c r="AF26" s="224"/>
    </row>
    <row r="27" spans="1:32" x14ac:dyDescent="0.2">
      <c r="A27" s="71"/>
      <c r="B27" s="79">
        <v>10</v>
      </c>
      <c r="C27" s="80" t="str">
        <f t="shared" si="5"/>
        <v>x16F</v>
      </c>
      <c r="D27" s="79" t="str">
        <f t="shared" si="0"/>
        <v>HKD10x16F_Quote</v>
      </c>
      <c r="E27" s="78" t="str">
        <f>_xll.qlSimpleQuote(D27,,RateTickValue,Permanent,Trigger,ObjectOverwrite)</f>
        <v>HKD10x16F_Quote#0010</v>
      </c>
      <c r="F27" s="77" t="str">
        <f>_xll.ohRangeRetrieveError(E27)</f>
        <v/>
      </c>
      <c r="G27" s="65"/>
      <c r="I27" s="187"/>
      <c r="J27" s="239">
        <v>10</v>
      </c>
      <c r="K27" s="238" t="str">
        <f t="shared" si="6"/>
        <v>x16F</v>
      </c>
      <c r="L27" s="236" t="str">
        <f t="shared" si="1"/>
        <v>HKD10x16F</v>
      </c>
      <c r="M27" s="236" t="str">
        <v>HKD10X16F=PREA</v>
      </c>
      <c r="N27" s="237" t="s">
        <v>168</v>
      </c>
      <c r="O27" s="237" t="s">
        <v>168</v>
      </c>
      <c r="P27" s="236" t="s">
        <v>168</v>
      </c>
      <c r="Q27" s="236" t="s">
        <v>168</v>
      </c>
      <c r="R27" s="184" t="e">
        <f>_xll.qlMidSafe($N27,$O27)</f>
        <v>#NUM!</v>
      </c>
      <c r="S27" s="182"/>
      <c r="T27" s="235" t="e">
        <v>#NUM!</v>
      </c>
      <c r="U27" s="182"/>
      <c r="V27" s="190" t="str">
        <f t="shared" si="2"/>
        <v>HKD10x16F_Quote</v>
      </c>
      <c r="W27" s="189" t="e">
        <v>#NUM!</v>
      </c>
      <c r="X27" s="188" t="e">
        <f>_xll.qlSimpleQuoteSetValue($V27,$W27/100,_xll.ohTrigger(Trigger,E27))</f>
        <v>#NUM!</v>
      </c>
      <c r="Y27" s="178"/>
      <c r="Z27" s="224"/>
      <c r="AA27" s="240"/>
      <c r="AB27" s="224"/>
      <c r="AC27" s="224"/>
      <c r="AD27" s="224"/>
      <c r="AE27" s="225" t="e">
        <f t="shared" si="4"/>
        <v>#VALUE!</v>
      </c>
      <c r="AF27" s="224"/>
    </row>
    <row r="28" spans="1:32" x14ac:dyDescent="0.2">
      <c r="A28" s="71"/>
      <c r="B28" s="79">
        <v>11</v>
      </c>
      <c r="C28" s="80" t="str">
        <f t="shared" si="5"/>
        <v>x17F</v>
      </c>
      <c r="D28" s="79" t="str">
        <f t="shared" si="0"/>
        <v>HKD11x17F_Quote</v>
      </c>
      <c r="E28" s="78" t="str">
        <f>_xll.qlSimpleQuote(D28,,RateTickValue,Permanent,Trigger,ObjectOverwrite)</f>
        <v>HKD11x17F_Quote#0010</v>
      </c>
      <c r="F28" s="77" t="str">
        <f>_xll.ohRangeRetrieveError(E28)</f>
        <v/>
      </c>
      <c r="G28" s="65"/>
      <c r="I28" s="187"/>
      <c r="J28" s="239">
        <v>11</v>
      </c>
      <c r="K28" s="238" t="str">
        <f t="shared" si="6"/>
        <v>x17F</v>
      </c>
      <c r="L28" s="236" t="str">
        <f t="shared" si="1"/>
        <v>HKD11x17F</v>
      </c>
      <c r="M28" s="236" t="str">
        <v>HKD11X17F=PREA</v>
      </c>
      <c r="N28" s="237" t="s">
        <v>168</v>
      </c>
      <c r="O28" s="237" t="s">
        <v>168</v>
      </c>
      <c r="P28" s="236" t="s">
        <v>168</v>
      </c>
      <c r="Q28" s="236" t="s">
        <v>168</v>
      </c>
      <c r="R28" s="184" t="e">
        <f>_xll.qlMidSafe($N28,$O28)</f>
        <v>#NUM!</v>
      </c>
      <c r="S28" s="182"/>
      <c r="T28" s="235" t="e">
        <v>#NUM!</v>
      </c>
      <c r="U28" s="182"/>
      <c r="V28" s="190" t="str">
        <f t="shared" si="2"/>
        <v>HKD11x17F_Quote</v>
      </c>
      <c r="W28" s="189" t="e">
        <v>#NUM!</v>
      </c>
      <c r="X28" s="188" t="e">
        <f>_xll.qlSimpleQuoteSetValue($V28,$W28/100,_xll.ohTrigger(Trigger,E28))</f>
        <v>#NUM!</v>
      </c>
      <c r="Y28" s="178"/>
      <c r="Z28" s="224"/>
      <c r="AA28" s="224"/>
      <c r="AB28" s="224"/>
      <c r="AC28" s="224"/>
      <c r="AD28" s="224"/>
      <c r="AE28" s="225" t="e">
        <f t="shared" si="4"/>
        <v>#VALUE!</v>
      </c>
      <c r="AF28" s="224"/>
    </row>
    <row r="29" spans="1:32" x14ac:dyDescent="0.2">
      <c r="A29" s="71"/>
      <c r="B29" s="79">
        <v>12</v>
      </c>
      <c r="C29" s="80" t="str">
        <f t="shared" si="5"/>
        <v>x18F</v>
      </c>
      <c r="D29" s="79" t="str">
        <f t="shared" si="0"/>
        <v>HKD12x18F_Quote</v>
      </c>
      <c r="E29" s="78" t="str">
        <f>_xll.qlSimpleQuote(D29,,RateTickValue,Permanent,Trigger,ObjectOverwrite)</f>
        <v>HKD12x18F_Quote#0010</v>
      </c>
      <c r="F29" s="77" t="str">
        <f>_xll.ohRangeRetrieveError(E29)</f>
        <v/>
      </c>
      <c r="G29" s="65"/>
      <c r="I29" s="187"/>
      <c r="J29" s="239">
        <v>12</v>
      </c>
      <c r="K29" s="238" t="str">
        <f t="shared" si="6"/>
        <v>x18F</v>
      </c>
      <c r="L29" s="236" t="str">
        <f t="shared" si="1"/>
        <v>HKD12x18F</v>
      </c>
      <c r="M29" s="236" t="str">
        <v>HKD12X18F=PREA</v>
      </c>
      <c r="N29" s="237">
        <v>0.57999999999999996</v>
      </c>
      <c r="O29" s="237">
        <v>0.68</v>
      </c>
      <c r="P29" s="236">
        <v>0</v>
      </c>
      <c r="Q29" s="236">
        <v>0</v>
      </c>
      <c r="R29" s="184">
        <f>_xll.qlMidSafe($N29,$O29)</f>
        <v>0.63</v>
      </c>
      <c r="S29" s="182"/>
      <c r="T29" s="235">
        <v>0.6399999999999999</v>
      </c>
      <c r="U29" s="182"/>
      <c r="V29" s="190" t="str">
        <f t="shared" si="2"/>
        <v>HKD12x18F_Quote</v>
      </c>
      <c r="W29" s="189">
        <v>0.63</v>
      </c>
      <c r="X29" s="188" t="e">
        <f>_xll.qlSimpleQuoteSetValue($V29,$W29/100,_xll.ohTrigger(Trigger,E29))</f>
        <v>#N/A</v>
      </c>
      <c r="Y29" s="178"/>
      <c r="Z29" s="224"/>
      <c r="AA29" s="224"/>
      <c r="AB29" s="224"/>
      <c r="AC29" s="224"/>
      <c r="AD29" s="224"/>
      <c r="AE29" s="225">
        <f t="shared" si="4"/>
        <v>1.0000000000000009E-3</v>
      </c>
      <c r="AF29" s="224"/>
    </row>
    <row r="30" spans="1:32" x14ac:dyDescent="0.2">
      <c r="A30" s="71"/>
      <c r="B30" s="79">
        <v>13</v>
      </c>
      <c r="C30" s="80" t="str">
        <f t="shared" si="5"/>
        <v>x19F</v>
      </c>
      <c r="D30" s="79" t="str">
        <f t="shared" si="0"/>
        <v>HKD13x19F_Quote</v>
      </c>
      <c r="E30" s="78" t="str">
        <f>_xll.qlSimpleQuote(D30,,RateTickValue,Permanent,Trigger,ObjectOverwrite)</f>
        <v>HKD13x19F_Quote#0010</v>
      </c>
      <c r="F30" s="77" t="str">
        <f>_xll.ohRangeRetrieveError(E30)</f>
        <v/>
      </c>
      <c r="G30" s="65"/>
      <c r="I30" s="187"/>
      <c r="J30" s="239">
        <v>13</v>
      </c>
      <c r="K30" s="238" t="str">
        <f t="shared" si="6"/>
        <v>x19F</v>
      </c>
      <c r="L30" s="236" t="str">
        <f t="shared" si="1"/>
        <v>HKD13x19F</v>
      </c>
      <c r="M30" s="236" t="str">
        <v>HKD13X19F=PREA</v>
      </c>
      <c r="N30" s="237" t="s">
        <v>168</v>
      </c>
      <c r="O30" s="237" t="s">
        <v>168</v>
      </c>
      <c r="P30" s="236" t="s">
        <v>168</v>
      </c>
      <c r="Q30" s="236" t="s">
        <v>168</v>
      </c>
      <c r="R30" s="184" t="e">
        <f>_xll.qlMidSafe($N30,$O30)</f>
        <v>#NUM!</v>
      </c>
      <c r="S30" s="182"/>
      <c r="T30" s="235" t="e">
        <v>#NUM!</v>
      </c>
      <c r="U30" s="182"/>
      <c r="V30" s="190" t="str">
        <f t="shared" si="2"/>
        <v>HKD13x19F_Quote</v>
      </c>
      <c r="W30" s="189" t="e">
        <v>#NUM!</v>
      </c>
      <c r="X30" s="188" t="e">
        <f>_xll.qlSimpleQuoteSetValue($V30,$W30/100,_xll.ohTrigger(Trigger,E30))</f>
        <v>#NUM!</v>
      </c>
      <c r="Y30" s="178"/>
      <c r="Z30" s="224"/>
      <c r="AA30" s="224"/>
      <c r="AB30" s="224"/>
      <c r="AC30" s="224"/>
      <c r="AD30" s="224"/>
      <c r="AE30" s="225" t="e">
        <f t="shared" si="4"/>
        <v>#VALUE!</v>
      </c>
      <c r="AF30" s="224"/>
    </row>
    <row r="31" spans="1:32" x14ac:dyDescent="0.2">
      <c r="A31" s="71"/>
      <c r="B31" s="79">
        <v>14</v>
      </c>
      <c r="C31" s="80" t="str">
        <f t="shared" si="5"/>
        <v>x20F</v>
      </c>
      <c r="D31" s="79" t="str">
        <f t="shared" si="0"/>
        <v>HKD14x20F_Quote</v>
      </c>
      <c r="E31" s="78" t="str">
        <f>_xll.qlSimpleQuote(D31,,RateTickValue,Permanent,Trigger,ObjectOverwrite)</f>
        <v>HKD14x20F_Quote#0010</v>
      </c>
      <c r="F31" s="77" t="str">
        <f>_xll.ohRangeRetrieveError(E31)</f>
        <v/>
      </c>
      <c r="G31" s="65"/>
      <c r="I31" s="187"/>
      <c r="J31" s="239">
        <v>14</v>
      </c>
      <c r="K31" s="238" t="str">
        <f t="shared" si="6"/>
        <v>x20F</v>
      </c>
      <c r="L31" s="236" t="str">
        <f t="shared" si="1"/>
        <v>HKD14x20F</v>
      </c>
      <c r="M31" s="236" t="str">
        <v>HKD14X20F=PREA</v>
      </c>
      <c r="N31" s="237" t="s">
        <v>168</v>
      </c>
      <c r="O31" s="237" t="s">
        <v>168</v>
      </c>
      <c r="P31" s="236" t="s">
        <v>168</v>
      </c>
      <c r="Q31" s="236" t="s">
        <v>168</v>
      </c>
      <c r="R31" s="184" t="e">
        <f>_xll.qlMidSafe($N31,$O31)</f>
        <v>#NUM!</v>
      </c>
      <c r="S31" s="182"/>
      <c r="T31" s="235" t="e">
        <v>#NUM!</v>
      </c>
      <c r="U31" s="182"/>
      <c r="V31" s="190" t="str">
        <f t="shared" si="2"/>
        <v>HKD14x20F_Quote</v>
      </c>
      <c r="W31" s="189" t="e">
        <v>#NUM!</v>
      </c>
      <c r="X31" s="188" t="e">
        <f>_xll.qlSimpleQuoteSetValue($V31,$W31/100,_xll.ohTrigger(Trigger,E31))</f>
        <v>#NUM!</v>
      </c>
      <c r="Y31" s="178"/>
      <c r="Z31" s="224"/>
      <c r="AA31" s="224"/>
      <c r="AB31" s="224"/>
      <c r="AC31" s="224"/>
      <c r="AD31" s="224"/>
      <c r="AE31" s="225" t="e">
        <f t="shared" si="4"/>
        <v>#VALUE!</v>
      </c>
      <c r="AF31" s="224"/>
    </row>
    <row r="32" spans="1:32" x14ac:dyDescent="0.2">
      <c r="A32" s="71"/>
      <c r="B32" s="79">
        <v>15</v>
      </c>
      <c r="C32" s="80" t="str">
        <f t="shared" si="5"/>
        <v>x21F</v>
      </c>
      <c r="D32" s="79" t="str">
        <f t="shared" si="0"/>
        <v>HKD15x21F_Quote</v>
      </c>
      <c r="E32" s="78" t="str">
        <f>_xll.qlSimpleQuote(D32,,RateTickValue,Permanent,Trigger,ObjectOverwrite)</f>
        <v>HKD15x21F_Quote#0010</v>
      </c>
      <c r="F32" s="77" t="str">
        <f>_xll.ohRangeRetrieveError(E32)</f>
        <v/>
      </c>
      <c r="G32" s="65"/>
      <c r="I32" s="187"/>
      <c r="J32" s="239">
        <v>15</v>
      </c>
      <c r="K32" s="238" t="str">
        <f t="shared" si="6"/>
        <v>x21F</v>
      </c>
      <c r="L32" s="236" t="str">
        <f t="shared" si="1"/>
        <v>HKD15x21F</v>
      </c>
      <c r="M32" s="236" t="str">
        <v>HKD15X21F=PREA</v>
      </c>
      <c r="N32" s="237" t="s">
        <v>168</v>
      </c>
      <c r="O32" s="237" t="s">
        <v>168</v>
      </c>
      <c r="P32" s="236" t="s">
        <v>168</v>
      </c>
      <c r="Q32" s="236" t="s">
        <v>168</v>
      </c>
      <c r="R32" s="184" t="e">
        <f>_xll.qlMidSafe($N32,$O32)</f>
        <v>#NUM!</v>
      </c>
      <c r="S32" s="182"/>
      <c r="T32" s="235" t="e">
        <v>#NUM!</v>
      </c>
      <c r="U32" s="182"/>
      <c r="V32" s="190" t="str">
        <f t="shared" si="2"/>
        <v>HKD15x21F_Quote</v>
      </c>
      <c r="W32" s="189" t="e">
        <v>#NUM!</v>
      </c>
      <c r="X32" s="188" t="e">
        <f>_xll.qlSimpleQuoteSetValue($V32,$W32/100,_xll.ohTrigger(Trigger,E32))</f>
        <v>#NUM!</v>
      </c>
      <c r="Y32" s="178"/>
      <c r="Z32" s="224"/>
      <c r="AA32" s="224"/>
      <c r="AB32" s="224"/>
      <c r="AC32" s="224"/>
      <c r="AD32" s="224"/>
      <c r="AE32" s="225" t="e">
        <f t="shared" si="4"/>
        <v>#VALUE!</v>
      </c>
      <c r="AF32" s="224"/>
    </row>
    <row r="33" spans="1:32" x14ac:dyDescent="0.2">
      <c r="A33" s="71"/>
      <c r="B33" s="79">
        <v>16</v>
      </c>
      <c r="C33" s="80" t="str">
        <f t="shared" si="5"/>
        <v>x22F</v>
      </c>
      <c r="D33" s="79" t="str">
        <f t="shared" si="0"/>
        <v>HKD16x22F_Quote</v>
      </c>
      <c r="E33" s="78" t="str">
        <f>_xll.qlSimpleQuote(D33,,RateTickValue,Permanent,Trigger,ObjectOverwrite)</f>
        <v>HKD16x22F_Quote#0010</v>
      </c>
      <c r="F33" s="77" t="str">
        <f>_xll.ohRangeRetrieveError(E33)</f>
        <v/>
      </c>
      <c r="G33" s="65"/>
      <c r="I33" s="187"/>
      <c r="J33" s="239">
        <v>16</v>
      </c>
      <c r="K33" s="238" t="str">
        <f t="shared" si="6"/>
        <v>x22F</v>
      </c>
      <c r="L33" s="236" t="str">
        <f t="shared" si="1"/>
        <v>HKD16x22F</v>
      </c>
      <c r="M33" s="236" t="str">
        <v>HKD16X22F=PREA</v>
      </c>
      <c r="N33" s="237" t="s">
        <v>168</v>
      </c>
      <c r="O33" s="237" t="s">
        <v>168</v>
      </c>
      <c r="P33" s="236" t="s">
        <v>168</v>
      </c>
      <c r="Q33" s="236" t="s">
        <v>168</v>
      </c>
      <c r="R33" s="184" t="e">
        <f>_xll.qlMidSafe($N33,$O33)</f>
        <v>#NUM!</v>
      </c>
      <c r="S33" s="182"/>
      <c r="T33" s="235" t="e">
        <v>#NUM!</v>
      </c>
      <c r="U33" s="182"/>
      <c r="V33" s="190" t="str">
        <f t="shared" si="2"/>
        <v>HKD16x22F_Quote</v>
      </c>
      <c r="W33" s="189" t="e">
        <v>#NUM!</v>
      </c>
      <c r="X33" s="188" t="e">
        <f>_xll.qlSimpleQuoteSetValue($V33,$W33/100,_xll.ohTrigger(Trigger,E33))</f>
        <v>#NUM!</v>
      </c>
      <c r="Y33" s="178"/>
      <c r="Z33" s="224"/>
      <c r="AA33" s="224"/>
      <c r="AB33" s="224"/>
      <c r="AC33" s="224"/>
      <c r="AD33" s="224"/>
      <c r="AE33" s="225" t="e">
        <f t="shared" si="4"/>
        <v>#VALUE!</v>
      </c>
      <c r="AF33" s="224"/>
    </row>
    <row r="34" spans="1:32" x14ac:dyDescent="0.2">
      <c r="A34" s="71"/>
      <c r="B34" s="79">
        <v>17</v>
      </c>
      <c r="C34" s="80" t="str">
        <f t="shared" si="5"/>
        <v>x23F</v>
      </c>
      <c r="D34" s="79" t="str">
        <f t="shared" si="0"/>
        <v>HKD17x23F_Quote</v>
      </c>
      <c r="E34" s="78" t="str">
        <f>_xll.qlSimpleQuote(D34,,RateTickValue,Permanent,Trigger,ObjectOverwrite)</f>
        <v>HKD17x23F_Quote#0010</v>
      </c>
      <c r="F34" s="77" t="str">
        <f>_xll.ohRangeRetrieveError(E34)</f>
        <v/>
      </c>
      <c r="G34" s="65"/>
      <c r="I34" s="187"/>
      <c r="J34" s="239">
        <v>17</v>
      </c>
      <c r="K34" s="238" t="str">
        <f t="shared" si="6"/>
        <v>x23F</v>
      </c>
      <c r="L34" s="236" t="str">
        <f t="shared" si="1"/>
        <v>HKD17x23F</v>
      </c>
      <c r="M34" s="236" t="str">
        <v>HKD17X23F=PREA</v>
      </c>
      <c r="N34" s="237" t="s">
        <v>168</v>
      </c>
      <c r="O34" s="237" t="s">
        <v>168</v>
      </c>
      <c r="P34" s="236" t="s">
        <v>168</v>
      </c>
      <c r="Q34" s="236" t="s">
        <v>168</v>
      </c>
      <c r="R34" s="184" t="e">
        <f>_xll.qlMidSafe($N34,$O34)</f>
        <v>#NUM!</v>
      </c>
      <c r="S34" s="182"/>
      <c r="T34" s="235" t="e">
        <v>#NUM!</v>
      </c>
      <c r="U34" s="182"/>
      <c r="V34" s="190" t="str">
        <f t="shared" si="2"/>
        <v>HKD17x23F_Quote</v>
      </c>
      <c r="W34" s="189" t="e">
        <v>#NUM!</v>
      </c>
      <c r="X34" s="188" t="e">
        <f>_xll.qlSimpleQuoteSetValue($V34,$W34/100,_xll.ohTrigger(Trigger,E34))</f>
        <v>#NUM!</v>
      </c>
      <c r="Y34" s="178"/>
      <c r="Z34" s="224"/>
      <c r="AA34" s="224"/>
      <c r="AB34" s="224"/>
      <c r="AC34" s="224"/>
      <c r="AD34" s="224"/>
      <c r="AE34" s="225" t="e">
        <f t="shared" si="4"/>
        <v>#VALUE!</v>
      </c>
      <c r="AF34" s="224"/>
    </row>
    <row r="35" spans="1:32" x14ac:dyDescent="0.2">
      <c r="A35" s="71"/>
      <c r="B35" s="68">
        <v>18</v>
      </c>
      <c r="C35" s="72" t="str">
        <f t="shared" si="5"/>
        <v>x24F</v>
      </c>
      <c r="D35" s="68" t="str">
        <f t="shared" si="0"/>
        <v>HKD18x24F_Quote</v>
      </c>
      <c r="E35" s="67" t="str">
        <f>_xll.qlSimpleQuote(D35,,RateTickValue,Permanent,Trigger,ObjectOverwrite)</f>
        <v>HKD18x24F_Quote#0010</v>
      </c>
      <c r="F35" s="66" t="str">
        <f>_xll.ohRangeRetrieveError(E35)</f>
        <v/>
      </c>
      <c r="G35" s="65"/>
      <c r="I35" s="187"/>
      <c r="J35" s="239">
        <v>18</v>
      </c>
      <c r="K35" s="238" t="str">
        <f t="shared" si="6"/>
        <v>x24F</v>
      </c>
      <c r="L35" s="236" t="str">
        <f t="shared" si="1"/>
        <v>HKD18x24F</v>
      </c>
      <c r="M35" s="236" t="str">
        <v>HKD18X24F=PREA</v>
      </c>
      <c r="N35" s="237">
        <v>0.71</v>
      </c>
      <c r="O35" s="237">
        <v>0.81</v>
      </c>
      <c r="P35" s="236">
        <v>0</v>
      </c>
      <c r="Q35" s="236">
        <v>0</v>
      </c>
      <c r="R35" s="184">
        <f>_xll.qlMidSafe($N35,$O35)</f>
        <v>0.76</v>
      </c>
      <c r="S35" s="182"/>
      <c r="T35" s="235">
        <v>0.81</v>
      </c>
      <c r="U35" s="182"/>
      <c r="V35" s="190" t="str">
        <f t="shared" si="2"/>
        <v>HKD18x24F_Quote</v>
      </c>
      <c r="W35" s="189">
        <v>0.76</v>
      </c>
      <c r="X35" s="188" t="e">
        <f>_xll.qlSimpleQuoteSetValue($V35,$W35/100,_xll.ohTrigger(Trigger,E35))</f>
        <v>#N/A</v>
      </c>
      <c r="Y35" s="178"/>
      <c r="Z35" s="224"/>
      <c r="AA35" s="224"/>
      <c r="AB35" s="224"/>
      <c r="AC35" s="224"/>
      <c r="AD35" s="224"/>
      <c r="AE35" s="225">
        <f t="shared" si="4"/>
        <v>1.0000000000000009E-3</v>
      </c>
      <c r="AF35" s="224"/>
    </row>
    <row r="36" spans="1:32" x14ac:dyDescent="0.2">
      <c r="A36" s="71"/>
      <c r="B36" s="75" t="s">
        <v>85</v>
      </c>
      <c r="C36" s="76" t="s">
        <v>83</v>
      </c>
      <c r="D36" s="75" t="str">
        <f t="shared" si="0"/>
        <v>HKDT12F1_Quote</v>
      </c>
      <c r="E36" s="74" t="str">
        <f>_xll.qlSimpleQuote(D36,,RateTickValue,Permanent,Trigger,ObjectOverwrite)</f>
        <v>HKDT12F1_Quote#0010</v>
      </c>
      <c r="F36" s="73" t="str">
        <f>_xll.ohRangeRetrieveError(E36)</f>
        <v/>
      </c>
      <c r="G36" s="65"/>
      <c r="I36" s="187"/>
      <c r="J36" s="234">
        <v>12</v>
      </c>
      <c r="K36" s="233" t="str">
        <f>"x"&amp;J36+12&amp;"F"</f>
        <v>x24F</v>
      </c>
      <c r="L36" s="231" t="str">
        <f t="shared" si="1"/>
        <v>HKD12x24F</v>
      </c>
      <c r="M36" s="231" t="str">
        <v>HKD12X24F=PREA</v>
      </c>
      <c r="N36" s="232" t="s">
        <v>168</v>
      </c>
      <c r="O36" s="232" t="s">
        <v>168</v>
      </c>
      <c r="P36" s="231" t="s">
        <v>168</v>
      </c>
      <c r="Q36" s="231" t="s">
        <v>168</v>
      </c>
      <c r="R36" s="230" t="e">
        <f>_xll.qlMidSafe($N36,$O36)</f>
        <v>#NUM!</v>
      </c>
      <c r="S36" s="182"/>
      <c r="T36" s="229" t="e">
        <v>#NUM!</v>
      </c>
      <c r="U36" s="182"/>
      <c r="V36" s="228" t="str">
        <f t="shared" si="2"/>
        <v>HKD12x24F_Quote</v>
      </c>
      <c r="W36" s="227" t="e">
        <v>#NUM!</v>
      </c>
      <c r="X36" s="226" t="e">
        <f>_xll.qlSimpleQuoteSetValue($V36,$W36/100,_xll.ohTrigger(Trigger,E36))</f>
        <v>#NUM!</v>
      </c>
      <c r="Y36" s="178"/>
      <c r="Z36" s="224"/>
      <c r="AA36" s="224"/>
      <c r="AB36" s="224"/>
      <c r="AC36" s="224"/>
      <c r="AD36" s="224"/>
      <c r="AE36" s="225" t="e">
        <f t="shared" si="4"/>
        <v>#VALUE!</v>
      </c>
      <c r="AF36" s="224"/>
    </row>
    <row r="37" spans="1:32" ht="13.5" thickBot="1" x14ac:dyDescent="0.25">
      <c r="A37" s="71"/>
      <c r="B37" s="68" t="s">
        <v>84</v>
      </c>
      <c r="C37" s="72" t="s">
        <v>83</v>
      </c>
      <c r="D37" s="68" t="str">
        <f t="shared" si="0"/>
        <v>HKDTOM12F1_Quote</v>
      </c>
      <c r="E37" s="67" t="str">
        <f>_xll.qlSimpleQuote(D37,,RateTickValue,Permanent,Trigger,ObjectOverwrite)</f>
        <v>HKDTOM12F1_Quote#0010</v>
      </c>
      <c r="F37" s="66" t="str">
        <f>_xll.ohRangeRetrieveError(E37)</f>
        <v/>
      </c>
      <c r="G37" s="65"/>
      <c r="I37" s="177"/>
      <c r="J37" s="176"/>
      <c r="K37" s="176"/>
      <c r="L37" s="176"/>
      <c r="M37" s="176"/>
      <c r="N37" s="176"/>
      <c r="O37" s="176"/>
      <c r="P37" s="176"/>
      <c r="Q37" s="176"/>
      <c r="R37" s="176"/>
      <c r="S37" s="175"/>
      <c r="T37" s="176"/>
      <c r="U37" s="175"/>
      <c r="V37" s="176"/>
      <c r="W37" s="176"/>
      <c r="X37" s="176"/>
      <c r="Y37" s="174"/>
      <c r="Z37" s="224"/>
      <c r="AA37" s="224"/>
      <c r="AB37" s="224"/>
      <c r="AC37" s="224"/>
      <c r="AD37" s="224"/>
      <c r="AE37" s="224"/>
      <c r="AF37" s="224"/>
    </row>
    <row r="38" spans="1:32" x14ac:dyDescent="0.2">
      <c r="A38" s="71"/>
      <c r="B38" s="70">
        <v>12</v>
      </c>
      <c r="C38" s="69" t="s">
        <v>82</v>
      </c>
      <c r="D38" s="68" t="str">
        <f t="shared" si="0"/>
        <v>HKD12x24F_Quote</v>
      </c>
      <c r="E38" s="67" t="str">
        <f>_xll.qlSimpleQuote(D38,,RateTickValue,Permanent,Trigger,ObjectOverwrite)</f>
        <v>HKD12x24F_Quote#0010</v>
      </c>
      <c r="F38" s="66" t="str">
        <f>_xll.ohRangeRetrieveError(E38)</f>
        <v/>
      </c>
      <c r="G38" s="65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  <c r="AA38" s="224"/>
      <c r="AB38" s="224"/>
      <c r="AC38" s="224"/>
      <c r="AD38" s="224"/>
      <c r="AE38" s="224"/>
      <c r="AF38" s="224"/>
    </row>
    <row r="39" spans="1:32" ht="13.5" thickBot="1" x14ac:dyDescent="0.25">
      <c r="A39" s="64"/>
      <c r="B39" s="63"/>
      <c r="C39" s="63"/>
      <c r="D39" s="63"/>
      <c r="E39" s="62"/>
      <c r="F39" s="62"/>
      <c r="G39" s="61"/>
      <c r="I39" s="224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  <c r="AA39" s="224"/>
      <c r="AB39" s="224"/>
      <c r="AC39" s="224"/>
      <c r="AD39" s="224"/>
      <c r="AE39" s="224"/>
      <c r="AF39" s="224"/>
    </row>
    <row r="40" spans="1:32" ht="15" x14ac:dyDescent="0.25">
      <c r="I40" s="224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  <c r="W40" s="224"/>
      <c r="X40" t="str">
        <f>_xll.RtGet("IDN","HKD1X7F=","SEC_ACT_1")</f>
        <v>#N/A On Pause</v>
      </c>
      <c r="Y40" s="224"/>
      <c r="Z40" s="224"/>
      <c r="AA40" s="224"/>
      <c r="AB40" s="224"/>
      <c r="AC40" s="224"/>
      <c r="AD40" s="224"/>
      <c r="AE40" s="224"/>
      <c r="AF40" s="224"/>
    </row>
    <row r="41" spans="1:32" ht="15" x14ac:dyDescent="0.25"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t="str">
        <f>_xll.RtGet("IDN","HKD1X4F=","PRIMACT_1")</f>
        <v>#N/A On Pause</v>
      </c>
      <c r="Y41" s="224"/>
      <c r="Z41" s="224"/>
      <c r="AA41" s="224"/>
      <c r="AB41" s="224"/>
      <c r="AC41" s="224"/>
      <c r="AD41" s="224"/>
      <c r="AE41" s="224"/>
      <c r="AF41" s="224"/>
    </row>
    <row r="42" spans="1:32" x14ac:dyDescent="0.2"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</row>
    <row r="43" spans="1:32" x14ac:dyDescent="0.2">
      <c r="I43" s="224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  <c r="AA43" s="224"/>
      <c r="AB43" s="224"/>
      <c r="AC43" s="224"/>
      <c r="AD43" s="224"/>
      <c r="AE43" s="224"/>
      <c r="AF43" s="224"/>
    </row>
    <row r="44" spans="1:32" x14ac:dyDescent="0.2">
      <c r="I44" s="224"/>
      <c r="J44" s="224"/>
      <c r="K44" s="224"/>
      <c r="L44" s="224"/>
      <c r="M44" s="224" t="s">
        <v>209</v>
      </c>
      <c r="N44" s="224"/>
      <c r="O44" s="224" t="s">
        <v>209</v>
      </c>
      <c r="P44" s="224" t="s">
        <v>208</v>
      </c>
      <c r="Q44" s="224" t="s">
        <v>207</v>
      </c>
      <c r="R44" s="224" t="s">
        <v>206</v>
      </c>
      <c r="S44" s="224" t="s">
        <v>205</v>
      </c>
      <c r="T44" s="224" t="s">
        <v>204</v>
      </c>
      <c r="U44" s="224" t="s">
        <v>203</v>
      </c>
      <c r="V44" s="224" t="s">
        <v>202</v>
      </c>
      <c r="W44" s="224" t="s">
        <v>201</v>
      </c>
      <c r="X44" s="224"/>
      <c r="Y44" s="224"/>
      <c r="Z44" s="224"/>
      <c r="AA44" s="224"/>
      <c r="AB44" s="224"/>
      <c r="AC44" s="224"/>
      <c r="AD44" s="224"/>
      <c r="AE44" s="224"/>
      <c r="AF44" s="224"/>
    </row>
    <row r="45" spans="1:32" x14ac:dyDescent="0.2">
      <c r="I45" s="224"/>
      <c r="J45" s="224"/>
      <c r="K45" s="224"/>
      <c r="L45" s="224"/>
      <c r="M45" s="224" t="s">
        <v>208</v>
      </c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  <c r="AA45" s="224"/>
      <c r="AB45" s="224"/>
      <c r="AC45" s="224"/>
      <c r="AD45" s="224"/>
      <c r="AE45" s="224"/>
      <c r="AF45" s="224"/>
    </row>
    <row r="46" spans="1:32" x14ac:dyDescent="0.2">
      <c r="I46" s="224"/>
      <c r="J46" s="224"/>
      <c r="K46" s="224"/>
      <c r="L46" s="224"/>
      <c r="M46" s="224" t="s">
        <v>207</v>
      </c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</row>
    <row r="47" spans="1:32" x14ac:dyDescent="0.2">
      <c r="I47" s="224"/>
      <c r="J47" s="224"/>
      <c r="K47" s="224"/>
      <c r="L47" s="224"/>
      <c r="M47" s="224" t="s">
        <v>206</v>
      </c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  <c r="AA47" s="224"/>
      <c r="AB47" s="224"/>
      <c r="AC47" s="224"/>
      <c r="AD47" s="224"/>
      <c r="AE47" s="224"/>
      <c r="AF47" s="224"/>
    </row>
    <row r="48" spans="1:32" x14ac:dyDescent="0.2">
      <c r="I48" s="224"/>
      <c r="J48" s="224"/>
      <c r="K48" s="224"/>
      <c r="L48" s="224"/>
      <c r="M48" s="224" t="s">
        <v>205</v>
      </c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  <c r="AA48" s="224"/>
      <c r="AB48" s="224"/>
      <c r="AC48" s="224"/>
      <c r="AD48" s="224"/>
      <c r="AE48" s="224"/>
      <c r="AF48" s="224"/>
    </row>
    <row r="49" spans="9:32" x14ac:dyDescent="0.2">
      <c r="I49" s="224"/>
      <c r="J49" s="224"/>
      <c r="K49" s="224"/>
      <c r="L49" s="224"/>
      <c r="M49" s="224" t="s">
        <v>204</v>
      </c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  <c r="AA49" s="224"/>
      <c r="AB49" s="224"/>
      <c r="AC49" s="224"/>
      <c r="AD49" s="224"/>
      <c r="AE49" s="224"/>
      <c r="AF49" s="224"/>
    </row>
    <row r="50" spans="9:32" x14ac:dyDescent="0.2">
      <c r="I50" s="224"/>
      <c r="J50" s="224"/>
      <c r="K50" s="224"/>
      <c r="L50" s="224"/>
      <c r="M50" s="224" t="s">
        <v>203</v>
      </c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  <c r="AA50" s="224"/>
      <c r="AB50" s="224"/>
      <c r="AC50" s="224"/>
      <c r="AD50" s="224"/>
      <c r="AE50" s="224"/>
      <c r="AF50" s="224"/>
    </row>
    <row r="51" spans="9:32" x14ac:dyDescent="0.2">
      <c r="I51" s="224"/>
      <c r="J51" s="224"/>
      <c r="K51" s="224"/>
      <c r="L51" s="224"/>
      <c r="M51" s="224" t="s">
        <v>202</v>
      </c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  <c r="AA51" s="224"/>
      <c r="AB51" s="224"/>
      <c r="AC51" s="224"/>
      <c r="AD51" s="224"/>
      <c r="AE51" s="224"/>
      <c r="AF51" s="224"/>
    </row>
    <row r="52" spans="9:32" x14ac:dyDescent="0.2">
      <c r="I52" s="224"/>
      <c r="J52" s="224"/>
      <c r="K52" s="224"/>
      <c r="L52" s="224"/>
      <c r="M52" s="224" t="s">
        <v>201</v>
      </c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  <c r="AA52" s="224"/>
      <c r="AB52" s="224"/>
      <c r="AC52" s="224"/>
      <c r="AD52" s="224"/>
      <c r="AE52" s="224"/>
      <c r="AF52" s="224"/>
    </row>
    <row r="53" spans="9:32" x14ac:dyDescent="0.2">
      <c r="I53" s="224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  <c r="AA53" s="224"/>
      <c r="AB53" s="224"/>
      <c r="AC53" s="224"/>
      <c r="AD53" s="224"/>
      <c r="AE53" s="224"/>
      <c r="AF53" s="224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3.2851562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9.140625" style="16" bestFit="1" customWidth="1"/>
    <col min="6" max="6" width="20.140625" style="16" bestFit="1" customWidth="1"/>
    <col min="7" max="7" width="33.85546875" style="16" customWidth="1"/>
    <col min="8" max="8" width="4.5703125" style="16" customWidth="1"/>
    <col min="9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4" width="9.140625" style="16"/>
    <col min="25" max="25" width="15.85546875" style="16" bestFit="1" customWidth="1"/>
    <col min="26" max="16384" width="9.140625" style="16"/>
  </cols>
  <sheetData>
    <row r="1" spans="1:34" s="149" customFormat="1" x14ac:dyDescent="0.2">
      <c r="A1" s="149" t="s">
        <v>258</v>
      </c>
      <c r="J1" s="214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96"/>
      <c r="W1" s="296"/>
      <c r="X1" s="213"/>
      <c r="Y1" s="213"/>
      <c r="Z1" s="213"/>
      <c r="AA1" s="213"/>
      <c r="AB1" s="295"/>
      <c r="AC1" s="224"/>
      <c r="AD1" s="224"/>
      <c r="AE1" s="224"/>
      <c r="AF1" s="224"/>
      <c r="AG1" s="224"/>
      <c r="AH1" s="224"/>
    </row>
    <row r="2" spans="1:34" s="149" customFormat="1" ht="22.5" x14ac:dyDescent="0.2">
      <c r="J2" s="211"/>
      <c r="K2" s="260"/>
      <c r="L2" s="210"/>
      <c r="M2" s="210"/>
      <c r="N2" s="260"/>
      <c r="O2" s="260"/>
      <c r="P2" s="260"/>
      <c r="Q2" s="260"/>
      <c r="R2" s="260"/>
      <c r="S2" s="260"/>
      <c r="T2" s="260"/>
      <c r="U2" s="260"/>
      <c r="V2" s="182"/>
      <c r="W2" s="182"/>
      <c r="X2" s="260"/>
      <c r="Y2" s="294" t="s">
        <v>175</v>
      </c>
      <c r="Z2" s="293" t="s">
        <v>2</v>
      </c>
      <c r="AA2" s="260"/>
      <c r="AB2" s="292"/>
      <c r="AC2" s="224"/>
      <c r="AD2" s="224"/>
      <c r="AE2" s="224"/>
      <c r="AF2" s="224"/>
      <c r="AG2" s="224"/>
      <c r="AH2" s="224"/>
    </row>
    <row r="3" spans="1:34" s="149" customFormat="1" ht="12" thickBot="1" x14ac:dyDescent="0.25">
      <c r="J3" s="211"/>
      <c r="K3" s="260"/>
      <c r="L3" s="260"/>
      <c r="M3" s="260"/>
      <c r="N3" s="260"/>
      <c r="O3" s="260"/>
      <c r="P3" s="260"/>
      <c r="Q3" s="260"/>
      <c r="R3" s="260"/>
      <c r="S3" s="260"/>
      <c r="T3" s="260"/>
      <c r="U3" s="260"/>
      <c r="V3" s="182"/>
      <c r="W3" s="182"/>
      <c r="X3" s="260"/>
      <c r="Y3" s="224"/>
      <c r="Z3" s="260"/>
      <c r="AA3" s="260"/>
      <c r="AB3" s="292"/>
      <c r="AC3" s="224"/>
      <c r="AD3" s="224"/>
      <c r="AE3" s="224"/>
      <c r="AF3" s="224"/>
      <c r="AG3" s="224"/>
      <c r="AH3" s="224"/>
    </row>
    <row r="4" spans="1:34" ht="12" thickBot="1" x14ac:dyDescent="0.25">
      <c r="A4" s="103"/>
      <c r="B4" s="102"/>
      <c r="C4" s="102"/>
      <c r="D4" s="36" t="s">
        <v>105</v>
      </c>
      <c r="E4" s="36" t="s">
        <v>106</v>
      </c>
      <c r="F4" s="101"/>
      <c r="G4" s="101"/>
      <c r="H4" s="100"/>
      <c r="J4" s="211"/>
      <c r="K4" s="260"/>
      <c r="L4" s="260"/>
      <c r="M4" s="260"/>
      <c r="N4" s="260"/>
      <c r="O4" s="260"/>
      <c r="P4" s="260"/>
      <c r="Q4" s="260"/>
      <c r="R4" s="260"/>
      <c r="S4" s="260"/>
      <c r="T4" s="260"/>
      <c r="U4" s="260"/>
      <c r="V4" s="182"/>
      <c r="W4" s="182"/>
      <c r="X4" s="260"/>
      <c r="Y4" s="182" t="s">
        <v>223</v>
      </c>
      <c r="Z4" s="260"/>
      <c r="AA4" s="204">
        <f>_xll.ohTrigger(AA6:AA41)</f>
        <v>8</v>
      </c>
      <c r="AB4" s="292"/>
      <c r="AC4" s="224"/>
      <c r="AD4" s="224"/>
      <c r="AE4" s="224"/>
      <c r="AF4" s="224"/>
      <c r="AG4" s="224"/>
      <c r="AH4" s="224"/>
    </row>
    <row r="5" spans="1:34" ht="22.5" x14ac:dyDescent="0.2">
      <c r="A5" s="99"/>
      <c r="B5" s="42" t="s">
        <v>103</v>
      </c>
      <c r="C5" s="43" t="s">
        <v>102</v>
      </c>
      <c r="D5" s="43" t="s">
        <v>101</v>
      </c>
      <c r="E5" s="41" t="str">
        <f>Currency&amp;"_010_"&amp;$D$4&amp;$E$4&amp;".xml"</f>
        <v>HKD_010_FUT3M.xml</v>
      </c>
      <c r="F5" s="40">
        <f ca="1">IF(Serialize,_xll.ohObjectSave(F6:F41,SerializationPath&amp;E5,FileOverwrite,,Serialize),"---")</f>
        <v>36</v>
      </c>
      <c r="G5" s="55" t="str">
        <f ca="1">_xll.ohRangeRetrieveError(F5)</f>
        <v/>
      </c>
      <c r="H5" s="65"/>
      <c r="J5" s="211"/>
      <c r="K5" s="302" t="s">
        <v>103</v>
      </c>
      <c r="L5" s="298" t="s">
        <v>102</v>
      </c>
      <c r="M5" s="298" t="s">
        <v>101</v>
      </c>
      <c r="N5" s="298" t="s">
        <v>217</v>
      </c>
      <c r="O5" s="301" t="str">
        <f>_xll.RData(O6:O41,P5:T5,,ReutersRtMode,,P6)</f>
        <v>On Pause</v>
      </c>
      <c r="P5" s="298" t="s">
        <v>216</v>
      </c>
      <c r="Q5" s="298" t="s">
        <v>213</v>
      </c>
      <c r="R5" s="298" t="s">
        <v>188</v>
      </c>
      <c r="S5" s="298" t="s">
        <v>184</v>
      </c>
      <c r="T5" s="298" t="s">
        <v>212</v>
      </c>
      <c r="U5" s="300" t="s">
        <v>211</v>
      </c>
      <c r="V5" s="182"/>
      <c r="W5" s="299" t="s">
        <v>172</v>
      </c>
      <c r="X5" s="182"/>
      <c r="Y5" s="255" t="s">
        <v>171</v>
      </c>
      <c r="Z5" s="298" t="s">
        <v>170</v>
      </c>
      <c r="AA5" s="297" t="s">
        <v>169</v>
      </c>
      <c r="AB5" s="206"/>
      <c r="AC5" s="224"/>
      <c r="AD5" s="290" t="s">
        <v>215</v>
      </c>
      <c r="AE5" s="289" t="s">
        <v>214</v>
      </c>
      <c r="AF5" s="224"/>
      <c r="AG5" s="252" t="s">
        <v>210</v>
      </c>
      <c r="AH5" s="224"/>
    </row>
    <row r="6" spans="1:34" x14ac:dyDescent="0.2">
      <c r="A6" s="93"/>
      <c r="B6" s="98">
        <v>1</v>
      </c>
      <c r="C6" s="97" t="b">
        <v>0</v>
      </c>
      <c r="D6" s="96" t="str">
        <f t="array" ref="D6:D41">_xll.qlIMMNextCodes(_xll.qlSettingsEvaluationDate(Trigger)-1,$C6:$C41)</f>
        <v>X3</v>
      </c>
      <c r="E6" s="89" t="str">
        <f t="shared" ref="E6:E37" si="0">Currency&amp;$D$4&amp;$E$4&amp;$D6&amp;QuoteSuffix</f>
        <v>HKDFUT3MX3_Quote</v>
      </c>
      <c r="F6" s="95" t="str">
        <f>_xll.qlSimpleQuote(E6,,PriceTickValue,Permanent,Trigger,ObjectOverwrite)</f>
        <v>HKDFUT3MX3_Quote#0010</v>
      </c>
      <c r="G6" s="94" t="str">
        <f>_xll.ohRangeRetrieveError(F6)</f>
        <v/>
      </c>
      <c r="H6" s="65"/>
      <c r="J6" s="271"/>
      <c r="K6" s="288">
        <v>1</v>
      </c>
      <c r="L6" s="287" t="b">
        <v>0</v>
      </c>
      <c r="M6" s="193" t="str">
        <f t="array" ref="M6:M41">_xll.qlIMMcode(FuturesDates)</f>
        <v>X3</v>
      </c>
      <c r="N6" s="286">
        <f t="array" ref="N6:N41">_xll.qlIMMNextDates(_xll.qlSettingsEvaluationDate(Trigger)-1,$L6:$L41)</f>
        <v>41598</v>
      </c>
      <c r="O6" s="193" t="str">
        <f t="array" ref="O6:O41">VLOOKUP(Currency,LiffeCodes,2)&amp;FuturesCodes</f>
        <v>HIRX3</v>
      </c>
      <c r="P6" s="285">
        <v>41596</v>
      </c>
      <c r="Q6" s="193">
        <v>99.53</v>
      </c>
      <c r="R6" s="193">
        <v>99.63</v>
      </c>
      <c r="S6" s="193">
        <v>0</v>
      </c>
      <c r="T6" s="193">
        <v>99.58</v>
      </c>
      <c r="U6" s="196">
        <f>_xll.qlMidSafe($Q6,$R6)</f>
        <v>99.58</v>
      </c>
      <c r="V6" s="182"/>
      <c r="W6" s="284">
        <v>99.59</v>
      </c>
      <c r="X6" s="182"/>
      <c r="Y6" s="283" t="str">
        <f t="array" ref="Y6:Y41">Currency&amp;$Y$4&amp;FuturesCodes&amp;$Z$2</f>
        <v>HKDFUT3MX3_Quote</v>
      </c>
      <c r="Z6" s="193">
        <f t="array" ref="Z6:Z41">QuoteLive</f>
        <v>99.58</v>
      </c>
      <c r="AA6" s="196" t="e">
        <f>_xll.qlSimpleQuoteSetValue($Y6,$Z6,Trigger)</f>
        <v>#N/A</v>
      </c>
      <c r="AB6" s="206"/>
      <c r="AC6" s="224"/>
      <c r="AD6" s="281" t="s">
        <v>55</v>
      </c>
      <c r="AE6" s="280" t="s">
        <v>222</v>
      </c>
      <c r="AF6" s="224"/>
      <c r="AG6" s="225">
        <f t="shared" ref="AG6:AG41" si="1">(R6-U6)/50</f>
        <v>9.9999999999994321E-4</v>
      </c>
      <c r="AH6" s="224"/>
    </row>
    <row r="7" spans="1:34" x14ac:dyDescent="0.2">
      <c r="A7" s="93"/>
      <c r="B7" s="92">
        <v>2</v>
      </c>
      <c r="C7" s="91" t="b">
        <v>0</v>
      </c>
      <c r="D7" s="90" t="str">
        <v>Z3</v>
      </c>
      <c r="E7" s="89" t="str">
        <f t="shared" si="0"/>
        <v>HKDFUT3MZ3_Quote</v>
      </c>
      <c r="F7" s="95" t="str">
        <f>_xll.qlSimpleQuote(E7,,PriceTickValue,Permanent,Trigger,ObjectOverwrite)</f>
        <v>HKDFUT3MZ3_Quote#0010</v>
      </c>
      <c r="G7" s="52" t="str">
        <f>_xll.ohRangeRetrieveError(F7)</f>
        <v/>
      </c>
      <c r="H7" s="65"/>
      <c r="J7" s="271"/>
      <c r="K7" s="277">
        <v>2</v>
      </c>
      <c r="L7" s="276" t="b">
        <v>0</v>
      </c>
      <c r="M7" s="189" t="str">
        <v>Z3</v>
      </c>
      <c r="N7" s="275">
        <v>41626</v>
      </c>
      <c r="O7" s="189" t="str">
        <v>HIRZ3</v>
      </c>
      <c r="P7" s="274">
        <v>41624</v>
      </c>
      <c r="Q7" s="189">
        <v>99.53</v>
      </c>
      <c r="R7" s="189">
        <v>99.63</v>
      </c>
      <c r="S7" s="189">
        <v>0</v>
      </c>
      <c r="T7" s="189">
        <v>99.58</v>
      </c>
      <c r="U7" s="184">
        <f>_xll.qlMidSafe($Q7,$R7)</f>
        <v>99.58</v>
      </c>
      <c r="V7" s="182"/>
      <c r="W7" s="282">
        <v>99.59</v>
      </c>
      <c r="X7" s="182"/>
      <c r="Y7" s="272" t="str">
        <v>HKDFUT3MZ3_Quote</v>
      </c>
      <c r="Z7" s="189">
        <v>99.58</v>
      </c>
      <c r="AA7" s="184" t="e">
        <f>_xll.qlSimpleQuoteSetValue($Y7,$Z7,Trigger)</f>
        <v>#N/A</v>
      </c>
      <c r="AB7" s="206"/>
      <c r="AC7" s="224"/>
      <c r="AD7" s="281" t="s">
        <v>53</v>
      </c>
      <c r="AE7" s="280" t="s">
        <v>221</v>
      </c>
      <c r="AF7" s="224"/>
      <c r="AG7" s="225">
        <f t="shared" si="1"/>
        <v>9.9999999999994321E-4</v>
      </c>
      <c r="AH7" s="224"/>
    </row>
    <row r="8" spans="1:34" x14ac:dyDescent="0.2">
      <c r="A8" s="93"/>
      <c r="B8" s="92">
        <v>3</v>
      </c>
      <c r="C8" s="91" t="b">
        <v>0</v>
      </c>
      <c r="D8" s="90" t="str">
        <v>F4</v>
      </c>
      <c r="E8" s="89" t="str">
        <f t="shared" si="0"/>
        <v>HKDFUT3MF4_Quote</v>
      </c>
      <c r="F8" s="95" t="str">
        <f>_xll.qlSimpleQuote(E8,,PriceTickValue,Permanent,Trigger,ObjectOverwrite)</f>
        <v>HKDFUT3MF4_Quote#0010</v>
      </c>
      <c r="G8" s="52" t="str">
        <f>_xll.ohRangeRetrieveError(F8)</f>
        <v/>
      </c>
      <c r="H8" s="65"/>
      <c r="J8" s="271"/>
      <c r="K8" s="277">
        <v>3</v>
      </c>
      <c r="L8" s="276" t="b">
        <v>0</v>
      </c>
      <c r="M8" s="189" t="str">
        <v>F4</v>
      </c>
      <c r="N8" s="275">
        <v>41654</v>
      </c>
      <c r="O8" s="189" t="str">
        <v>HIRF4</v>
      </c>
      <c r="P8" s="274">
        <v>41652</v>
      </c>
      <c r="Q8" s="189">
        <v>99.53</v>
      </c>
      <c r="R8" s="189">
        <v>99.63</v>
      </c>
      <c r="S8" s="189">
        <v>0</v>
      </c>
      <c r="T8" s="189">
        <v>99.58</v>
      </c>
      <c r="U8" s="184">
        <f>_xll.qlMidSafe($Q8,$R8)</f>
        <v>99.58</v>
      </c>
      <c r="V8" s="182"/>
      <c r="W8" s="282">
        <v>99.59</v>
      </c>
      <c r="X8" s="182"/>
      <c r="Y8" s="272" t="str">
        <v>HKDFUT3MF4_Quote</v>
      </c>
      <c r="Z8" s="189">
        <v>99.58</v>
      </c>
      <c r="AA8" s="184" t="e">
        <f>_xll.qlSimpleQuoteSetValue($Y8,$Z8,Trigger)</f>
        <v>#N/A</v>
      </c>
      <c r="AB8" s="206"/>
      <c r="AC8" s="224"/>
      <c r="AD8" s="281" t="s">
        <v>49</v>
      </c>
      <c r="AE8" s="280" t="s">
        <v>220</v>
      </c>
      <c r="AF8" s="224"/>
      <c r="AG8" s="225">
        <f t="shared" si="1"/>
        <v>9.9999999999994321E-4</v>
      </c>
      <c r="AH8" s="224"/>
    </row>
    <row r="9" spans="1:34" x14ac:dyDescent="0.2">
      <c r="A9" s="93"/>
      <c r="B9" s="92">
        <v>4</v>
      </c>
      <c r="C9" s="91" t="b">
        <v>0</v>
      </c>
      <c r="D9" s="90" t="str">
        <v>G4</v>
      </c>
      <c r="E9" s="89" t="str">
        <f t="shared" si="0"/>
        <v>HKDFUT3MG4_Quote</v>
      </c>
      <c r="F9" s="95" t="str">
        <f>_xll.qlSimpleQuote(E9,,PriceTickValue,Permanent,Trigger,ObjectOverwrite)</f>
        <v>HKDFUT3MG4_Quote#0010</v>
      </c>
      <c r="G9" s="52" t="str">
        <f>_xll.ohRangeRetrieveError(F9)</f>
        <v/>
      </c>
      <c r="H9" s="65"/>
      <c r="J9" s="271"/>
      <c r="K9" s="277">
        <v>4</v>
      </c>
      <c r="L9" s="276" t="b">
        <v>0</v>
      </c>
      <c r="M9" s="189" t="str">
        <v>G4</v>
      </c>
      <c r="N9" s="275">
        <v>41689</v>
      </c>
      <c r="O9" s="189" t="str">
        <v>HIRG4</v>
      </c>
      <c r="P9" s="274">
        <v>41687</v>
      </c>
      <c r="Q9" s="189">
        <v>99.53</v>
      </c>
      <c r="R9" s="189">
        <v>99.63</v>
      </c>
      <c r="S9" s="189">
        <v>0</v>
      </c>
      <c r="T9" s="189">
        <v>0</v>
      </c>
      <c r="U9" s="184">
        <f>_xll.qlMidSafe($Q9,$R9)</f>
        <v>99.58</v>
      </c>
      <c r="V9" s="182"/>
      <c r="W9" s="282" t="e">
        <v>#NUM!</v>
      </c>
      <c r="X9" s="182"/>
      <c r="Y9" s="272" t="str">
        <v>HKDFUT3MG4_Quote</v>
      </c>
      <c r="Z9" s="189">
        <v>99.58</v>
      </c>
      <c r="AA9" s="184" t="e">
        <f>_xll.qlSimpleQuoteSetValue($Y9,$Z9,Trigger)</f>
        <v>#N/A</v>
      </c>
      <c r="AB9" s="206"/>
      <c r="AC9" s="224"/>
      <c r="AD9" s="281" t="s">
        <v>4</v>
      </c>
      <c r="AE9" s="280" t="s">
        <v>219</v>
      </c>
      <c r="AF9" s="224"/>
      <c r="AG9" s="225">
        <f t="shared" si="1"/>
        <v>9.9999999999994321E-4</v>
      </c>
      <c r="AH9" s="224"/>
    </row>
    <row r="10" spans="1:34" x14ac:dyDescent="0.2">
      <c r="A10" s="93"/>
      <c r="B10" s="92">
        <v>5</v>
      </c>
      <c r="C10" s="91" t="b">
        <v>0</v>
      </c>
      <c r="D10" s="90" t="str">
        <v>H4</v>
      </c>
      <c r="E10" s="89" t="str">
        <f t="shared" si="0"/>
        <v>HKDFUT3MH4_Quote</v>
      </c>
      <c r="F10" s="95" t="str">
        <f>_xll.qlSimpleQuote(E10,,PriceTickValue,Permanent,Trigger,ObjectOverwrite)</f>
        <v>HKDFUT3MH4_Quote#0010</v>
      </c>
      <c r="G10" s="52" t="str">
        <f>_xll.ohRangeRetrieveError(F10)</f>
        <v/>
      </c>
      <c r="H10" s="65"/>
      <c r="J10" s="271"/>
      <c r="K10" s="277">
        <v>5</v>
      </c>
      <c r="L10" s="276" t="b">
        <v>0</v>
      </c>
      <c r="M10" s="189" t="str">
        <v>H4</v>
      </c>
      <c r="N10" s="275">
        <v>41717</v>
      </c>
      <c r="O10" s="189" t="str">
        <v>HIRH4</v>
      </c>
      <c r="P10" s="274">
        <v>41715</v>
      </c>
      <c r="Q10" s="189">
        <v>99.52</v>
      </c>
      <c r="R10" s="189">
        <v>99.62</v>
      </c>
      <c r="S10" s="189">
        <v>0</v>
      </c>
      <c r="T10" s="189">
        <v>99.57</v>
      </c>
      <c r="U10" s="184">
        <f>_xll.qlMidSafe($Q10,$R10)</f>
        <v>99.57</v>
      </c>
      <c r="V10" s="182"/>
      <c r="W10" s="273">
        <v>99.56</v>
      </c>
      <c r="X10" s="182"/>
      <c r="Y10" s="272" t="str">
        <v>HKDFUT3MH4_Quote</v>
      </c>
      <c r="Z10" s="189">
        <v>99.57</v>
      </c>
      <c r="AA10" s="184" t="e">
        <f>_xll.qlSimpleQuoteSetValue($Y10,$Z10,Trigger)</f>
        <v>#N/A</v>
      </c>
      <c r="AB10" s="206"/>
      <c r="AC10" s="224"/>
      <c r="AD10" s="281" t="s">
        <v>47</v>
      </c>
      <c r="AE10" s="280"/>
      <c r="AF10" s="224"/>
      <c r="AG10" s="225">
        <f t="shared" si="1"/>
        <v>1.0000000000002273E-3</v>
      </c>
      <c r="AH10" s="224"/>
    </row>
    <row r="11" spans="1:34" ht="12" thickBot="1" x14ac:dyDescent="0.25">
      <c r="A11" s="93"/>
      <c r="B11" s="92">
        <v>6</v>
      </c>
      <c r="C11" s="91" t="b">
        <v>0</v>
      </c>
      <c r="D11" s="90" t="str">
        <v>J4</v>
      </c>
      <c r="E11" s="89" t="str">
        <f t="shared" si="0"/>
        <v>HKDFUT3MJ4_Quote</v>
      </c>
      <c r="F11" s="95" t="str">
        <f>_xll.qlSimpleQuote(E11,,PriceTickValue,Permanent,Trigger,ObjectOverwrite)</f>
        <v>HKDFUT3MJ4_Quote#0010</v>
      </c>
      <c r="G11" s="52" t="str">
        <f>_xll.ohRangeRetrieveError(F11)</f>
        <v/>
      </c>
      <c r="H11" s="65"/>
      <c r="J11" s="271"/>
      <c r="K11" s="277">
        <v>6</v>
      </c>
      <c r="L11" s="276" t="b">
        <v>0</v>
      </c>
      <c r="M11" s="189" t="str">
        <v>J4</v>
      </c>
      <c r="N11" s="275">
        <v>41745</v>
      </c>
      <c r="O11" s="189" t="str">
        <v>HIRJ4</v>
      </c>
      <c r="P11" s="274" t="s">
        <v>168</v>
      </c>
      <c r="Q11" s="189" t="s">
        <v>168</v>
      </c>
      <c r="R11" s="189" t="s">
        <v>168</v>
      </c>
      <c r="S11" s="189" t="s">
        <v>168</v>
      </c>
      <c r="T11" s="189" t="s">
        <v>168</v>
      </c>
      <c r="U11" s="184" t="e">
        <f>_xll.qlMidSafe($Q11,$R11)</f>
        <v>#NUM!</v>
      </c>
      <c r="V11" s="182"/>
      <c r="W11" s="273" t="e">
        <v>#NUM!</v>
      </c>
      <c r="X11" s="182"/>
      <c r="Y11" s="272" t="str">
        <v>HKDFUT3MJ4_Quote</v>
      </c>
      <c r="Z11" s="189" t="e">
        <v>#NUM!</v>
      </c>
      <c r="AA11" s="184" t="e">
        <f>_xll.qlSimpleQuoteSetValue($Y11,$Z11,Trigger)</f>
        <v>#NUM!</v>
      </c>
      <c r="AB11" s="206"/>
      <c r="AC11" s="224"/>
      <c r="AD11" s="279" t="s">
        <v>44</v>
      </c>
      <c r="AE11" s="278" t="s">
        <v>218</v>
      </c>
      <c r="AF11" s="224"/>
      <c r="AG11" s="225" t="e">
        <f t="shared" si="1"/>
        <v>#VALUE!</v>
      </c>
      <c r="AH11" s="224"/>
    </row>
    <row r="12" spans="1:34" x14ac:dyDescent="0.2">
      <c r="A12" s="93"/>
      <c r="B12" s="92">
        <v>7</v>
      </c>
      <c r="C12" s="91" t="b">
        <v>0</v>
      </c>
      <c r="D12" s="90" t="str">
        <v>K4</v>
      </c>
      <c r="E12" s="89" t="str">
        <f t="shared" si="0"/>
        <v>HKDFUT3MK4_Quote</v>
      </c>
      <c r="F12" s="95" t="str">
        <f>_xll.qlSimpleQuote(E12,,PriceTickValue,Permanent,Trigger,ObjectOverwrite)</f>
        <v>HKDFUT3MK4_Quote#0010</v>
      </c>
      <c r="G12" s="52" t="str">
        <f>_xll.ohRangeRetrieveError(F12)</f>
        <v/>
      </c>
      <c r="H12" s="65"/>
      <c r="J12" s="271"/>
      <c r="K12" s="277">
        <v>7</v>
      </c>
      <c r="L12" s="276" t="b">
        <v>0</v>
      </c>
      <c r="M12" s="189" t="str">
        <v>K4</v>
      </c>
      <c r="N12" s="275">
        <v>41780</v>
      </c>
      <c r="O12" s="189" t="str">
        <v>HIRK4</v>
      </c>
      <c r="P12" s="274" t="s">
        <v>168</v>
      </c>
      <c r="Q12" s="189" t="s">
        <v>168</v>
      </c>
      <c r="R12" s="189" t="s">
        <v>168</v>
      </c>
      <c r="S12" s="189" t="s">
        <v>168</v>
      </c>
      <c r="T12" s="189" t="s">
        <v>168</v>
      </c>
      <c r="U12" s="184" t="e">
        <f>_xll.qlMidSafe($Q12,$R12)</f>
        <v>#NUM!</v>
      </c>
      <c r="V12" s="182"/>
      <c r="W12" s="273" t="e">
        <v>#NUM!</v>
      </c>
      <c r="X12" s="182"/>
      <c r="Y12" s="272" t="str">
        <v>HKDFUT3MK4_Quote</v>
      </c>
      <c r="Z12" s="189" t="e">
        <v>#NUM!</v>
      </c>
      <c r="AA12" s="184" t="e">
        <f>_xll.qlSimpleQuoteSetValue($Y12,$Z12,Trigger)</f>
        <v>#NUM!</v>
      </c>
      <c r="AB12" s="206"/>
      <c r="AC12" s="224"/>
      <c r="AD12" s="224"/>
      <c r="AE12" s="224"/>
      <c r="AF12" s="224"/>
      <c r="AG12" s="225" t="e">
        <f t="shared" si="1"/>
        <v>#VALUE!</v>
      </c>
      <c r="AH12" s="224"/>
    </row>
    <row r="13" spans="1:34" x14ac:dyDescent="0.2">
      <c r="A13" s="93"/>
      <c r="B13" s="92">
        <v>8</v>
      </c>
      <c r="C13" s="91" t="b">
        <v>0</v>
      </c>
      <c r="D13" s="90" t="str">
        <v>M4</v>
      </c>
      <c r="E13" s="89" t="str">
        <f t="shared" si="0"/>
        <v>HKDFUT3MM4_Quote</v>
      </c>
      <c r="F13" s="95" t="str">
        <f>_xll.qlSimpleQuote(E13,,PriceTickValue,Permanent,Trigger,ObjectOverwrite)</f>
        <v>HKDFUT3MM4_Quote#0010</v>
      </c>
      <c r="G13" s="52" t="str">
        <f>_xll.ohRangeRetrieveError(F13)</f>
        <v/>
      </c>
      <c r="H13" s="65"/>
      <c r="J13" s="271"/>
      <c r="K13" s="277">
        <v>8</v>
      </c>
      <c r="L13" s="276" t="b">
        <v>0</v>
      </c>
      <c r="M13" s="189" t="str">
        <v>M4</v>
      </c>
      <c r="N13" s="275">
        <v>41808</v>
      </c>
      <c r="O13" s="189" t="str">
        <v>HIRM4</v>
      </c>
      <c r="P13" s="274">
        <v>41806</v>
      </c>
      <c r="Q13" s="189">
        <v>99.51</v>
      </c>
      <c r="R13" s="189">
        <v>99.57</v>
      </c>
      <c r="S13" s="189">
        <v>0</v>
      </c>
      <c r="T13" s="189">
        <v>99.54</v>
      </c>
      <c r="U13" s="184">
        <f>_xll.qlMidSafe($Q13,$R13)</f>
        <v>99.539999999999992</v>
      </c>
      <c r="V13" s="182"/>
      <c r="W13" s="273">
        <v>99.52</v>
      </c>
      <c r="X13" s="182"/>
      <c r="Y13" s="272" t="str">
        <v>HKDFUT3MM4_Quote</v>
      </c>
      <c r="Z13" s="189">
        <v>99.539999999999992</v>
      </c>
      <c r="AA13" s="184" t="e">
        <f>_xll.qlSimpleQuoteSetValue($Y13,$Z13,Trigger)</f>
        <v>#N/A</v>
      </c>
      <c r="AB13" s="206"/>
      <c r="AC13" s="224"/>
      <c r="AD13" s="224"/>
      <c r="AE13" s="224"/>
      <c r="AF13" s="224"/>
      <c r="AG13" s="225">
        <f t="shared" si="1"/>
        <v>6.0000000000002272E-4</v>
      </c>
      <c r="AH13" s="224"/>
    </row>
    <row r="14" spans="1:34" x14ac:dyDescent="0.2">
      <c r="A14" s="93"/>
      <c r="B14" s="92">
        <v>9</v>
      </c>
      <c r="C14" s="91" t="b">
        <v>0</v>
      </c>
      <c r="D14" s="90" t="str">
        <v>N4</v>
      </c>
      <c r="E14" s="89" t="str">
        <f t="shared" si="0"/>
        <v>HKDFUT3MN4_Quote</v>
      </c>
      <c r="F14" s="95" t="str">
        <f>_xll.qlSimpleQuote(E14,,PriceTickValue,Permanent,Trigger,ObjectOverwrite)</f>
        <v>HKDFUT3MN4_Quote#0010</v>
      </c>
      <c r="G14" s="52" t="str">
        <f>_xll.ohRangeRetrieveError(F14)</f>
        <v/>
      </c>
      <c r="H14" s="65"/>
      <c r="J14" s="271"/>
      <c r="K14" s="277">
        <v>9</v>
      </c>
      <c r="L14" s="276" t="b">
        <v>0</v>
      </c>
      <c r="M14" s="189" t="str">
        <v>N4</v>
      </c>
      <c r="N14" s="275">
        <v>41836</v>
      </c>
      <c r="O14" s="189" t="str">
        <v>HIRN4</v>
      </c>
      <c r="P14" s="274" t="s">
        <v>168</v>
      </c>
      <c r="Q14" s="189" t="s">
        <v>168</v>
      </c>
      <c r="R14" s="189" t="s">
        <v>168</v>
      </c>
      <c r="S14" s="189" t="s">
        <v>168</v>
      </c>
      <c r="T14" s="189" t="s">
        <v>168</v>
      </c>
      <c r="U14" s="184" t="e">
        <f>_xll.qlMidSafe($Q14,$R14)</f>
        <v>#NUM!</v>
      </c>
      <c r="V14" s="182"/>
      <c r="W14" s="273" t="e">
        <v>#NUM!</v>
      </c>
      <c r="X14" s="182"/>
      <c r="Y14" s="272" t="str">
        <v>HKDFUT3MN4_Quote</v>
      </c>
      <c r="Z14" s="189" t="e">
        <v>#NUM!</v>
      </c>
      <c r="AA14" s="184" t="e">
        <f>_xll.qlSimpleQuoteSetValue($Y14,$Z14,Trigger)</f>
        <v>#NUM!</v>
      </c>
      <c r="AB14" s="206"/>
      <c r="AC14" s="224"/>
      <c r="AD14" s="224"/>
      <c r="AE14" s="224"/>
      <c r="AF14" s="224"/>
      <c r="AG14" s="225" t="e">
        <f t="shared" si="1"/>
        <v>#VALUE!</v>
      </c>
      <c r="AH14" s="224"/>
    </row>
    <row r="15" spans="1:34" x14ac:dyDescent="0.2">
      <c r="A15" s="93"/>
      <c r="B15" s="92">
        <v>10</v>
      </c>
      <c r="C15" s="91" t="b">
        <v>0</v>
      </c>
      <c r="D15" s="90" t="str">
        <v>Q4</v>
      </c>
      <c r="E15" s="89" t="str">
        <f t="shared" si="0"/>
        <v>HKDFUT3MQ4_Quote</v>
      </c>
      <c r="F15" s="95" t="str">
        <f>_xll.qlSimpleQuote(E15,,PriceTickValue,Permanent,Trigger,ObjectOverwrite)</f>
        <v>HKDFUT3MQ4_Quote#0010</v>
      </c>
      <c r="G15" s="52" t="str">
        <f>_xll.ohRangeRetrieveError(F15)</f>
        <v/>
      </c>
      <c r="H15" s="65"/>
      <c r="J15" s="271"/>
      <c r="K15" s="277">
        <v>10</v>
      </c>
      <c r="L15" s="276" t="b">
        <v>0</v>
      </c>
      <c r="M15" s="189" t="str">
        <v>Q4</v>
      </c>
      <c r="N15" s="275">
        <v>41871</v>
      </c>
      <c r="O15" s="189" t="str">
        <v>HIRQ4</v>
      </c>
      <c r="P15" s="274" t="s">
        <v>168</v>
      </c>
      <c r="Q15" s="189" t="s">
        <v>168</v>
      </c>
      <c r="R15" s="189" t="s">
        <v>168</v>
      </c>
      <c r="S15" s="189" t="s">
        <v>168</v>
      </c>
      <c r="T15" s="189" t="s">
        <v>168</v>
      </c>
      <c r="U15" s="184" t="e">
        <f>_xll.qlMidSafe($Q15,$R15)</f>
        <v>#NUM!</v>
      </c>
      <c r="V15" s="182"/>
      <c r="W15" s="273" t="e">
        <v>#NUM!</v>
      </c>
      <c r="X15" s="182"/>
      <c r="Y15" s="272" t="str">
        <v>HKDFUT3MQ4_Quote</v>
      </c>
      <c r="Z15" s="189" t="e">
        <v>#NUM!</v>
      </c>
      <c r="AA15" s="184" t="e">
        <f>_xll.qlSimpleQuoteSetValue($Y15,$Z15,Trigger)</f>
        <v>#NUM!</v>
      </c>
      <c r="AB15" s="206"/>
      <c r="AC15" s="224"/>
      <c r="AD15" s="224"/>
      <c r="AE15" s="224"/>
      <c r="AF15" s="224"/>
      <c r="AG15" s="225" t="e">
        <f t="shared" si="1"/>
        <v>#VALUE!</v>
      </c>
      <c r="AH15" s="224"/>
    </row>
    <row r="16" spans="1:34" x14ac:dyDescent="0.2">
      <c r="A16" s="93"/>
      <c r="B16" s="92">
        <v>11</v>
      </c>
      <c r="C16" s="91" t="b">
        <v>0</v>
      </c>
      <c r="D16" s="90" t="str">
        <v>U4</v>
      </c>
      <c r="E16" s="89" t="str">
        <f t="shared" si="0"/>
        <v>HKDFUT3MU4_Quote</v>
      </c>
      <c r="F16" s="95" t="str">
        <f>_xll.qlSimpleQuote(E16,,PriceTickValue,Permanent,Trigger,ObjectOverwrite)</f>
        <v>HKDFUT3MU4_Quote#0010</v>
      </c>
      <c r="G16" s="52" t="str">
        <f>_xll.ohRangeRetrieveError(F16)</f>
        <v/>
      </c>
      <c r="H16" s="65"/>
      <c r="J16" s="271"/>
      <c r="K16" s="277">
        <v>11</v>
      </c>
      <c r="L16" s="276" t="b">
        <v>0</v>
      </c>
      <c r="M16" s="189" t="str">
        <v>U4</v>
      </c>
      <c r="N16" s="275">
        <v>41899</v>
      </c>
      <c r="O16" s="189" t="str">
        <v>HIRU4</v>
      </c>
      <c r="P16" s="274">
        <v>41897</v>
      </c>
      <c r="Q16" s="189">
        <v>99.48</v>
      </c>
      <c r="R16" s="189">
        <v>99.52</v>
      </c>
      <c r="S16" s="189">
        <v>0</v>
      </c>
      <c r="T16" s="189">
        <v>99.5</v>
      </c>
      <c r="U16" s="184">
        <f>_xll.qlMidSafe($Q16,$R16)</f>
        <v>99.5</v>
      </c>
      <c r="V16" s="182"/>
      <c r="W16" s="273">
        <v>99.48</v>
      </c>
      <c r="X16" s="182"/>
      <c r="Y16" s="272" t="str">
        <v>HKDFUT3MU4_Quote</v>
      </c>
      <c r="Z16" s="189">
        <v>99.5</v>
      </c>
      <c r="AA16" s="184" t="e">
        <f>_xll.qlSimpleQuoteSetValue($Y16,$Z16,Trigger)</f>
        <v>#N/A</v>
      </c>
      <c r="AB16" s="206"/>
      <c r="AC16" s="224"/>
      <c r="AD16" s="224"/>
      <c r="AE16" s="224"/>
      <c r="AF16" s="224"/>
      <c r="AG16" s="225">
        <f t="shared" si="1"/>
        <v>3.9999999999992044E-4</v>
      </c>
      <c r="AH16" s="224"/>
    </row>
    <row r="17" spans="1:34" x14ac:dyDescent="0.2">
      <c r="A17" s="93"/>
      <c r="B17" s="92">
        <v>12</v>
      </c>
      <c r="C17" s="91" t="b">
        <v>0</v>
      </c>
      <c r="D17" s="90" t="str">
        <v>V4</v>
      </c>
      <c r="E17" s="89" t="str">
        <f t="shared" si="0"/>
        <v>HKDFUT3MV4_Quote</v>
      </c>
      <c r="F17" s="88" t="str">
        <f>_xll.qlSimpleQuote(E17,,PriceTickValue,Permanent,Trigger,ObjectOverwrite)</f>
        <v>HKDFUT3MV4_Quote#0010</v>
      </c>
      <c r="G17" s="52" t="str">
        <f>_xll.ohRangeRetrieveError(F17)</f>
        <v/>
      </c>
      <c r="H17" s="65"/>
      <c r="J17" s="271"/>
      <c r="K17" s="277">
        <v>12</v>
      </c>
      <c r="L17" s="276" t="b">
        <v>0</v>
      </c>
      <c r="M17" s="189" t="str">
        <v>V4</v>
      </c>
      <c r="N17" s="275">
        <v>41927</v>
      </c>
      <c r="O17" s="189" t="str">
        <v>HIRV4</v>
      </c>
      <c r="P17" s="274" t="s">
        <v>168</v>
      </c>
      <c r="Q17" s="189" t="s">
        <v>168</v>
      </c>
      <c r="R17" s="189" t="s">
        <v>168</v>
      </c>
      <c r="S17" s="189" t="s">
        <v>168</v>
      </c>
      <c r="T17" s="189" t="s">
        <v>168</v>
      </c>
      <c r="U17" s="184" t="e">
        <f>_xll.qlMidSafe($Q17,$R17)</f>
        <v>#NUM!</v>
      </c>
      <c r="V17" s="182"/>
      <c r="W17" s="273" t="e">
        <v>#NUM!</v>
      </c>
      <c r="X17" s="182"/>
      <c r="Y17" s="272" t="str">
        <v>HKDFUT3MV4_Quote</v>
      </c>
      <c r="Z17" s="189" t="e">
        <v>#NUM!</v>
      </c>
      <c r="AA17" s="184" t="e">
        <f>_xll.qlSimpleQuoteSetValue($Y17,$Z17,Trigger)</f>
        <v>#NUM!</v>
      </c>
      <c r="AB17" s="206"/>
      <c r="AC17" s="224"/>
      <c r="AD17" s="224"/>
      <c r="AE17" s="224"/>
      <c r="AF17" s="224"/>
      <c r="AG17" s="225" t="e">
        <f t="shared" si="1"/>
        <v>#VALUE!</v>
      </c>
      <c r="AH17" s="224"/>
    </row>
    <row r="18" spans="1:34" x14ac:dyDescent="0.2">
      <c r="A18" s="93"/>
      <c r="B18" s="92">
        <v>13</v>
      </c>
      <c r="C18" s="91" t="b">
        <v>0</v>
      </c>
      <c r="D18" s="90" t="str">
        <v>X4</v>
      </c>
      <c r="E18" s="89" t="str">
        <f t="shared" si="0"/>
        <v>HKDFUT3MX4_Quote</v>
      </c>
      <c r="F18" s="88" t="str">
        <f>_xll.qlSimpleQuote(E18,,PriceTickValue,Permanent,Trigger,ObjectOverwrite)</f>
        <v>HKDFUT3MX4_Quote#0010</v>
      </c>
      <c r="G18" s="52" t="str">
        <f>_xll.ohRangeRetrieveError(F18)</f>
        <v/>
      </c>
      <c r="H18" s="65"/>
      <c r="J18" s="271"/>
      <c r="K18" s="277">
        <v>13</v>
      </c>
      <c r="L18" s="276" t="b">
        <v>0</v>
      </c>
      <c r="M18" s="189" t="str">
        <v>X4</v>
      </c>
      <c r="N18" s="275">
        <v>41962</v>
      </c>
      <c r="O18" s="189" t="str">
        <v>HIRX4</v>
      </c>
      <c r="P18" s="274" t="s">
        <v>168</v>
      </c>
      <c r="Q18" s="189" t="s">
        <v>168</v>
      </c>
      <c r="R18" s="189" t="s">
        <v>168</v>
      </c>
      <c r="S18" s="189" t="s">
        <v>168</v>
      </c>
      <c r="T18" s="189" t="s">
        <v>168</v>
      </c>
      <c r="U18" s="184" t="e">
        <f>_xll.qlMidSafe($Q18,$R18)</f>
        <v>#NUM!</v>
      </c>
      <c r="V18" s="182"/>
      <c r="W18" s="273" t="e">
        <v>#NUM!</v>
      </c>
      <c r="X18" s="182"/>
      <c r="Y18" s="272" t="str">
        <v>HKDFUT3MX4_Quote</v>
      </c>
      <c r="Z18" s="189" t="e">
        <v>#NUM!</v>
      </c>
      <c r="AA18" s="184" t="e">
        <f>_xll.qlSimpleQuoteSetValue($Y18,$Z18,Trigger)</f>
        <v>#NUM!</v>
      </c>
      <c r="AB18" s="206"/>
      <c r="AC18" s="224"/>
      <c r="AD18" s="224"/>
      <c r="AE18" s="224"/>
      <c r="AF18" s="224"/>
      <c r="AG18" s="225" t="e">
        <f t="shared" si="1"/>
        <v>#VALUE!</v>
      </c>
      <c r="AH18" s="224"/>
    </row>
    <row r="19" spans="1:34" x14ac:dyDescent="0.2">
      <c r="A19" s="93"/>
      <c r="B19" s="92">
        <v>14</v>
      </c>
      <c r="C19" s="91" t="b">
        <v>0</v>
      </c>
      <c r="D19" s="90" t="str">
        <v>Z4</v>
      </c>
      <c r="E19" s="89" t="str">
        <f t="shared" si="0"/>
        <v>HKDFUT3MZ4_Quote</v>
      </c>
      <c r="F19" s="88" t="str">
        <f>_xll.qlSimpleQuote(E19,,PriceTickValue,Permanent,Trigger,ObjectOverwrite)</f>
        <v>HKDFUT3MZ4_Quote#0010</v>
      </c>
      <c r="G19" s="52" t="str">
        <f>_xll.ohRangeRetrieveError(F19)</f>
        <v/>
      </c>
      <c r="H19" s="65"/>
      <c r="J19" s="271"/>
      <c r="K19" s="277">
        <v>14</v>
      </c>
      <c r="L19" s="276" t="b">
        <v>0</v>
      </c>
      <c r="M19" s="189" t="str">
        <v>Z4</v>
      </c>
      <c r="N19" s="275">
        <v>41990</v>
      </c>
      <c r="O19" s="189" t="str">
        <v>HIRZ4</v>
      </c>
      <c r="P19" s="274">
        <v>41988</v>
      </c>
      <c r="Q19" s="189">
        <v>0</v>
      </c>
      <c r="R19" s="189">
        <v>0</v>
      </c>
      <c r="S19" s="189">
        <v>0</v>
      </c>
      <c r="T19" s="189">
        <v>99.5</v>
      </c>
      <c r="U19" s="184" t="e">
        <f>_xll.qlMidSafe($Q19,$R19)</f>
        <v>#NUM!</v>
      </c>
      <c r="V19" s="182"/>
      <c r="W19" s="273" t="e">
        <v>#NUM!</v>
      </c>
      <c r="X19" s="182"/>
      <c r="Y19" s="272" t="str">
        <v>HKDFUT3MZ4_Quote</v>
      </c>
      <c r="Z19" s="189" t="e">
        <v>#NUM!</v>
      </c>
      <c r="AA19" s="184" t="e">
        <f>_xll.qlSimpleQuoteSetValue($Y19,$Z19,Trigger)</f>
        <v>#NUM!</v>
      </c>
      <c r="AB19" s="206"/>
      <c r="AC19" s="224"/>
      <c r="AD19" s="224"/>
      <c r="AE19" s="224"/>
      <c r="AF19" s="224"/>
      <c r="AG19" s="225" t="e">
        <f t="shared" si="1"/>
        <v>#NUM!</v>
      </c>
      <c r="AH19" s="224"/>
    </row>
    <row r="20" spans="1:34" x14ac:dyDescent="0.2">
      <c r="A20" s="93"/>
      <c r="B20" s="92">
        <v>15</v>
      </c>
      <c r="C20" s="91" t="b">
        <v>0</v>
      </c>
      <c r="D20" s="90" t="str">
        <v>F5</v>
      </c>
      <c r="E20" s="89" t="str">
        <f t="shared" si="0"/>
        <v>HKDFUT3MF5_Quote</v>
      </c>
      <c r="F20" s="88" t="str">
        <f>_xll.qlSimpleQuote(E20,,PriceTickValue,Permanent,Trigger,ObjectOverwrite)</f>
        <v>HKDFUT3MF5_Quote#0010</v>
      </c>
      <c r="G20" s="52" t="str">
        <f>_xll.ohRangeRetrieveError(F20)</f>
        <v/>
      </c>
      <c r="H20" s="65"/>
      <c r="J20" s="271"/>
      <c r="K20" s="277">
        <v>15</v>
      </c>
      <c r="L20" s="276" t="b">
        <v>0</v>
      </c>
      <c r="M20" s="189" t="str">
        <v>F5</v>
      </c>
      <c r="N20" s="275">
        <v>42025</v>
      </c>
      <c r="O20" s="189" t="str">
        <v>HIRF5</v>
      </c>
      <c r="P20" s="274" t="s">
        <v>168</v>
      </c>
      <c r="Q20" s="189" t="s">
        <v>168</v>
      </c>
      <c r="R20" s="189" t="s">
        <v>168</v>
      </c>
      <c r="S20" s="189" t="s">
        <v>168</v>
      </c>
      <c r="T20" s="189" t="s">
        <v>168</v>
      </c>
      <c r="U20" s="184" t="e">
        <f>_xll.qlMidSafe($Q20,$R20)</f>
        <v>#NUM!</v>
      </c>
      <c r="V20" s="182"/>
      <c r="W20" s="273" t="e">
        <v>#NUM!</v>
      </c>
      <c r="X20" s="182"/>
      <c r="Y20" s="272" t="str">
        <v>HKDFUT3MF5_Quote</v>
      </c>
      <c r="Z20" s="189" t="e">
        <v>#NUM!</v>
      </c>
      <c r="AA20" s="184" t="e">
        <f>_xll.qlSimpleQuoteSetValue($Y20,$Z20,Trigger)</f>
        <v>#NUM!</v>
      </c>
      <c r="AB20" s="206"/>
      <c r="AC20" s="224"/>
      <c r="AD20" s="224"/>
      <c r="AE20" s="224"/>
      <c r="AF20" s="224"/>
      <c r="AG20" s="225" t="e">
        <f t="shared" si="1"/>
        <v>#VALUE!</v>
      </c>
      <c r="AH20" s="224"/>
    </row>
    <row r="21" spans="1:34" x14ac:dyDescent="0.2">
      <c r="A21" s="93"/>
      <c r="B21" s="92">
        <v>16</v>
      </c>
      <c r="C21" s="91" t="b">
        <v>0</v>
      </c>
      <c r="D21" s="90" t="str">
        <v>G5</v>
      </c>
      <c r="E21" s="89" t="str">
        <f t="shared" si="0"/>
        <v>HKDFUT3MG5_Quote</v>
      </c>
      <c r="F21" s="88" t="str">
        <f>_xll.qlSimpleQuote(E21,,PriceTickValue,Permanent,Trigger,ObjectOverwrite)</f>
        <v>HKDFUT3MG5_Quote#0010</v>
      </c>
      <c r="G21" s="52" t="str">
        <f>_xll.ohRangeRetrieveError(F21)</f>
        <v/>
      </c>
      <c r="H21" s="65"/>
      <c r="J21" s="271"/>
      <c r="K21" s="277">
        <v>16</v>
      </c>
      <c r="L21" s="276" t="b">
        <v>0</v>
      </c>
      <c r="M21" s="189" t="str">
        <v>G5</v>
      </c>
      <c r="N21" s="275">
        <v>42053</v>
      </c>
      <c r="O21" s="189" t="str">
        <v>HIRG5</v>
      </c>
      <c r="P21" s="274" t="s">
        <v>168</v>
      </c>
      <c r="Q21" s="189" t="s">
        <v>168</v>
      </c>
      <c r="R21" s="189" t="s">
        <v>168</v>
      </c>
      <c r="S21" s="189" t="s">
        <v>168</v>
      </c>
      <c r="T21" s="189" t="s">
        <v>168</v>
      </c>
      <c r="U21" s="184" t="e">
        <f>_xll.qlMidSafe($Q21,$R21)</f>
        <v>#NUM!</v>
      </c>
      <c r="V21" s="182"/>
      <c r="W21" s="273" t="e">
        <v>#NUM!</v>
      </c>
      <c r="X21" s="182"/>
      <c r="Y21" s="272" t="str">
        <v>HKDFUT3MG5_Quote</v>
      </c>
      <c r="Z21" s="189" t="e">
        <v>#NUM!</v>
      </c>
      <c r="AA21" s="184" t="e">
        <f>_xll.qlSimpleQuoteSetValue($Y21,$Z21,Trigger)</f>
        <v>#NUM!</v>
      </c>
      <c r="AB21" s="206"/>
      <c r="AC21" s="224"/>
      <c r="AD21" s="224"/>
      <c r="AE21" s="224"/>
      <c r="AF21" s="224"/>
      <c r="AG21" s="225" t="e">
        <f t="shared" si="1"/>
        <v>#VALUE!</v>
      </c>
      <c r="AH21" s="224"/>
    </row>
    <row r="22" spans="1:34" x14ac:dyDescent="0.2">
      <c r="A22" s="93"/>
      <c r="B22" s="92">
        <v>17</v>
      </c>
      <c r="C22" s="91" t="b">
        <v>0</v>
      </c>
      <c r="D22" s="90" t="str">
        <v>H5</v>
      </c>
      <c r="E22" s="89" t="str">
        <f t="shared" si="0"/>
        <v>HKDFUT3MH5_Quote</v>
      </c>
      <c r="F22" s="88" t="str">
        <f>_xll.qlSimpleQuote(E22,,PriceTickValue,Permanent,Trigger,ObjectOverwrite)</f>
        <v>HKDFUT3MH5_Quote#0010</v>
      </c>
      <c r="G22" s="52" t="str">
        <f>_xll.ohRangeRetrieveError(F22)</f>
        <v/>
      </c>
      <c r="H22" s="65"/>
      <c r="J22" s="271"/>
      <c r="K22" s="277">
        <v>17</v>
      </c>
      <c r="L22" s="276" t="b">
        <v>0</v>
      </c>
      <c r="M22" s="189" t="str">
        <v>H5</v>
      </c>
      <c r="N22" s="275">
        <v>42081</v>
      </c>
      <c r="O22" s="189" t="str">
        <v>HIRH5</v>
      </c>
      <c r="P22" s="274">
        <v>42079</v>
      </c>
      <c r="Q22" s="189">
        <v>0</v>
      </c>
      <c r="R22" s="189">
        <v>0</v>
      </c>
      <c r="S22" s="189">
        <v>0</v>
      </c>
      <c r="T22" s="189">
        <v>99.5</v>
      </c>
      <c r="U22" s="184" t="e">
        <f>_xll.qlMidSafe($Q22,$R22)</f>
        <v>#NUM!</v>
      </c>
      <c r="V22" s="182"/>
      <c r="W22" s="273" t="e">
        <v>#NUM!</v>
      </c>
      <c r="X22" s="182"/>
      <c r="Y22" s="272" t="str">
        <v>HKDFUT3MH5_Quote</v>
      </c>
      <c r="Z22" s="189" t="e">
        <v>#NUM!</v>
      </c>
      <c r="AA22" s="184" t="e">
        <f>_xll.qlSimpleQuoteSetValue($Y22,$Z22,Trigger)</f>
        <v>#NUM!</v>
      </c>
      <c r="AB22" s="206"/>
      <c r="AC22" s="224"/>
      <c r="AD22" s="224"/>
      <c r="AE22" s="224"/>
      <c r="AF22" s="224"/>
      <c r="AG22" s="225" t="e">
        <f t="shared" si="1"/>
        <v>#NUM!</v>
      </c>
      <c r="AH22" s="224"/>
    </row>
    <row r="23" spans="1:34" x14ac:dyDescent="0.2">
      <c r="A23" s="93"/>
      <c r="B23" s="92">
        <v>18</v>
      </c>
      <c r="C23" s="91" t="b">
        <v>0</v>
      </c>
      <c r="D23" s="90" t="str">
        <v>J5</v>
      </c>
      <c r="E23" s="89" t="str">
        <f t="shared" si="0"/>
        <v>HKDFUT3MJ5_Quote</v>
      </c>
      <c r="F23" s="88" t="str">
        <f>_xll.qlSimpleQuote(E23,,PriceTickValue,Permanent,Trigger,ObjectOverwrite)</f>
        <v>HKDFUT3MJ5_Quote#0010</v>
      </c>
      <c r="G23" s="52" t="str">
        <f>_xll.ohRangeRetrieveError(F23)</f>
        <v/>
      </c>
      <c r="H23" s="65"/>
      <c r="J23" s="271"/>
      <c r="K23" s="277">
        <v>18</v>
      </c>
      <c r="L23" s="276" t="b">
        <v>0</v>
      </c>
      <c r="M23" s="189" t="str">
        <v>J5</v>
      </c>
      <c r="N23" s="275">
        <v>42109</v>
      </c>
      <c r="O23" s="189" t="str">
        <v>HIRJ5</v>
      </c>
      <c r="P23" s="274" t="s">
        <v>168</v>
      </c>
      <c r="Q23" s="189" t="s">
        <v>168</v>
      </c>
      <c r="R23" s="189" t="s">
        <v>168</v>
      </c>
      <c r="S23" s="189" t="s">
        <v>168</v>
      </c>
      <c r="T23" s="189" t="s">
        <v>168</v>
      </c>
      <c r="U23" s="184" t="e">
        <f>_xll.qlMidSafe($Q23,$R23)</f>
        <v>#NUM!</v>
      </c>
      <c r="V23" s="182"/>
      <c r="W23" s="273" t="e">
        <v>#NUM!</v>
      </c>
      <c r="X23" s="182"/>
      <c r="Y23" s="272" t="str">
        <v>HKDFUT3MJ5_Quote</v>
      </c>
      <c r="Z23" s="189" t="e">
        <v>#NUM!</v>
      </c>
      <c r="AA23" s="184" t="e">
        <f>_xll.qlSimpleQuoteSetValue($Y23,$Z23,Trigger)</f>
        <v>#NUM!</v>
      </c>
      <c r="AB23" s="206"/>
      <c r="AC23" s="224"/>
      <c r="AD23" s="224"/>
      <c r="AE23" s="224"/>
      <c r="AF23" s="224"/>
      <c r="AG23" s="225" t="e">
        <f t="shared" si="1"/>
        <v>#VALUE!</v>
      </c>
      <c r="AH23" s="224"/>
    </row>
    <row r="24" spans="1:34" x14ac:dyDescent="0.2">
      <c r="A24" s="93"/>
      <c r="B24" s="92">
        <v>19</v>
      </c>
      <c r="C24" s="91" t="b">
        <v>0</v>
      </c>
      <c r="D24" s="90" t="str">
        <v>K5</v>
      </c>
      <c r="E24" s="89" t="str">
        <f t="shared" si="0"/>
        <v>HKDFUT3MK5_Quote</v>
      </c>
      <c r="F24" s="88" t="str">
        <f>_xll.qlSimpleQuote(E24,,PriceTickValue,Permanent,Trigger,ObjectOverwrite)</f>
        <v>HKDFUT3MK5_Quote#0010</v>
      </c>
      <c r="G24" s="52" t="str">
        <f>_xll.ohRangeRetrieveError(F24)</f>
        <v/>
      </c>
      <c r="H24" s="65"/>
      <c r="J24" s="271"/>
      <c r="K24" s="277">
        <v>19</v>
      </c>
      <c r="L24" s="276" t="b">
        <v>0</v>
      </c>
      <c r="M24" s="189" t="str">
        <v>K5</v>
      </c>
      <c r="N24" s="275">
        <v>42144</v>
      </c>
      <c r="O24" s="189" t="str">
        <v>HIRK5</v>
      </c>
      <c r="P24" s="274" t="s">
        <v>168</v>
      </c>
      <c r="Q24" s="189" t="s">
        <v>168</v>
      </c>
      <c r="R24" s="189" t="s">
        <v>168</v>
      </c>
      <c r="S24" s="189" t="s">
        <v>168</v>
      </c>
      <c r="T24" s="189" t="s">
        <v>168</v>
      </c>
      <c r="U24" s="184" t="e">
        <f>_xll.qlMidSafe($Q24,$R24)</f>
        <v>#NUM!</v>
      </c>
      <c r="V24" s="182"/>
      <c r="W24" s="273" t="e">
        <v>#NUM!</v>
      </c>
      <c r="X24" s="182"/>
      <c r="Y24" s="272" t="str">
        <v>HKDFUT3MK5_Quote</v>
      </c>
      <c r="Z24" s="189" t="e">
        <v>#NUM!</v>
      </c>
      <c r="AA24" s="184" t="e">
        <f>_xll.qlSimpleQuoteSetValue($Y24,$Z24,Trigger)</f>
        <v>#NUM!</v>
      </c>
      <c r="AB24" s="206"/>
      <c r="AC24" s="224"/>
      <c r="AD24" s="224"/>
      <c r="AE24" s="224"/>
      <c r="AF24" s="224"/>
      <c r="AG24" s="225" t="e">
        <f t="shared" si="1"/>
        <v>#VALUE!</v>
      </c>
      <c r="AH24" s="224"/>
    </row>
    <row r="25" spans="1:34" x14ac:dyDescent="0.2">
      <c r="A25" s="93"/>
      <c r="B25" s="92">
        <v>20</v>
      </c>
      <c r="C25" s="91" t="b">
        <v>0</v>
      </c>
      <c r="D25" s="90" t="str">
        <v>M5</v>
      </c>
      <c r="E25" s="89" t="str">
        <f t="shared" si="0"/>
        <v>HKDFUT3MM5_Quote</v>
      </c>
      <c r="F25" s="88" t="str">
        <f>_xll.qlSimpleQuote(E25,,PriceTickValue,Permanent,Trigger,ObjectOverwrite)</f>
        <v>HKDFUT3MM5_Quote#0010</v>
      </c>
      <c r="G25" s="52" t="str">
        <f>_xll.ohRangeRetrieveError(F25)</f>
        <v/>
      </c>
      <c r="H25" s="65"/>
      <c r="J25" s="271"/>
      <c r="K25" s="277">
        <v>20</v>
      </c>
      <c r="L25" s="276" t="b">
        <v>0</v>
      </c>
      <c r="M25" s="189" t="str">
        <v>M5</v>
      </c>
      <c r="N25" s="275">
        <v>42172</v>
      </c>
      <c r="O25" s="189" t="str">
        <v>HIRM5</v>
      </c>
      <c r="P25" s="274">
        <v>42170</v>
      </c>
      <c r="Q25" s="189">
        <v>0</v>
      </c>
      <c r="R25" s="189">
        <v>0</v>
      </c>
      <c r="S25" s="189">
        <v>0</v>
      </c>
      <c r="T25" s="189">
        <v>99.5</v>
      </c>
      <c r="U25" s="184" t="e">
        <f>_xll.qlMidSafe($Q25,$R25)</f>
        <v>#NUM!</v>
      </c>
      <c r="V25" s="182"/>
      <c r="W25" s="273" t="e">
        <v>#NUM!</v>
      </c>
      <c r="X25" s="182"/>
      <c r="Y25" s="272" t="str">
        <v>HKDFUT3MM5_Quote</v>
      </c>
      <c r="Z25" s="189" t="e">
        <v>#NUM!</v>
      </c>
      <c r="AA25" s="184" t="e">
        <f>_xll.qlSimpleQuoteSetValue($Y25,$Z25,Trigger)</f>
        <v>#NUM!</v>
      </c>
      <c r="AB25" s="206"/>
      <c r="AC25" s="224"/>
      <c r="AD25" s="224"/>
      <c r="AE25" s="224"/>
      <c r="AF25" s="224"/>
      <c r="AG25" s="225" t="e">
        <f t="shared" si="1"/>
        <v>#NUM!</v>
      </c>
      <c r="AH25" s="224"/>
    </row>
    <row r="26" spans="1:34" x14ac:dyDescent="0.2">
      <c r="A26" s="93"/>
      <c r="B26" s="92">
        <v>21</v>
      </c>
      <c r="C26" s="91" t="b">
        <v>0</v>
      </c>
      <c r="D26" s="90" t="str">
        <v>N5</v>
      </c>
      <c r="E26" s="89" t="str">
        <f t="shared" si="0"/>
        <v>HKDFUT3MN5_Quote</v>
      </c>
      <c r="F26" s="88" t="str">
        <f>_xll.qlSimpleQuote(E26,,PriceTickValue,Permanent,Trigger,ObjectOverwrite)</f>
        <v>HKDFUT3MN5_Quote#0010</v>
      </c>
      <c r="G26" s="52" t="str">
        <f>_xll.ohRangeRetrieveError(F26)</f>
        <v/>
      </c>
      <c r="H26" s="65"/>
      <c r="J26" s="271"/>
      <c r="K26" s="277">
        <v>21</v>
      </c>
      <c r="L26" s="276" t="b">
        <v>0</v>
      </c>
      <c r="M26" s="189" t="str">
        <v>N5</v>
      </c>
      <c r="N26" s="275">
        <v>42200</v>
      </c>
      <c r="O26" s="189" t="str">
        <v>HIRN5</v>
      </c>
      <c r="P26" s="274" t="s">
        <v>168</v>
      </c>
      <c r="Q26" s="189" t="s">
        <v>168</v>
      </c>
      <c r="R26" s="189" t="s">
        <v>168</v>
      </c>
      <c r="S26" s="189" t="s">
        <v>168</v>
      </c>
      <c r="T26" s="189" t="s">
        <v>168</v>
      </c>
      <c r="U26" s="184" t="e">
        <f>_xll.qlMidSafe($Q26,$R26)</f>
        <v>#NUM!</v>
      </c>
      <c r="V26" s="182"/>
      <c r="W26" s="273" t="e">
        <v>#NUM!</v>
      </c>
      <c r="X26" s="182"/>
      <c r="Y26" s="272" t="str">
        <v>HKDFUT3MN5_Quote</v>
      </c>
      <c r="Z26" s="189" t="e">
        <v>#NUM!</v>
      </c>
      <c r="AA26" s="184" t="e">
        <f>_xll.qlSimpleQuoteSetValue($Y26,$Z26,Trigger)</f>
        <v>#NUM!</v>
      </c>
      <c r="AB26" s="206"/>
      <c r="AC26" s="224"/>
      <c r="AD26" s="224"/>
      <c r="AE26" s="224"/>
      <c r="AF26" s="224"/>
      <c r="AG26" s="225" t="e">
        <f t="shared" si="1"/>
        <v>#VALUE!</v>
      </c>
      <c r="AH26" s="224"/>
    </row>
    <row r="27" spans="1:34" x14ac:dyDescent="0.2">
      <c r="A27" s="93"/>
      <c r="B27" s="92">
        <v>22</v>
      </c>
      <c r="C27" s="91" t="b">
        <v>0</v>
      </c>
      <c r="D27" s="90" t="str">
        <v>Q5</v>
      </c>
      <c r="E27" s="89" t="str">
        <f t="shared" si="0"/>
        <v>HKDFUT3MQ5_Quote</v>
      </c>
      <c r="F27" s="88" t="str">
        <f>_xll.qlSimpleQuote(E27,,PriceTickValue,Permanent,Trigger,ObjectOverwrite)</f>
        <v>HKDFUT3MQ5_Quote#0010</v>
      </c>
      <c r="G27" s="52" t="str">
        <f>_xll.ohRangeRetrieveError(F27)</f>
        <v/>
      </c>
      <c r="H27" s="65"/>
      <c r="J27" s="271"/>
      <c r="K27" s="277">
        <v>22</v>
      </c>
      <c r="L27" s="276" t="b">
        <v>0</v>
      </c>
      <c r="M27" s="189" t="str">
        <v>Q5</v>
      </c>
      <c r="N27" s="275">
        <v>42235</v>
      </c>
      <c r="O27" s="189" t="str">
        <v>HIRQ5</v>
      </c>
      <c r="P27" s="274" t="s">
        <v>168</v>
      </c>
      <c r="Q27" s="189" t="s">
        <v>168</v>
      </c>
      <c r="R27" s="189" t="s">
        <v>168</v>
      </c>
      <c r="S27" s="189" t="s">
        <v>168</v>
      </c>
      <c r="T27" s="189" t="s">
        <v>168</v>
      </c>
      <c r="U27" s="184" t="e">
        <f>_xll.qlMidSafe($Q27,$R27)</f>
        <v>#NUM!</v>
      </c>
      <c r="V27" s="182"/>
      <c r="W27" s="273" t="e">
        <v>#NUM!</v>
      </c>
      <c r="X27" s="182"/>
      <c r="Y27" s="272" t="str">
        <v>HKDFUT3MQ5_Quote</v>
      </c>
      <c r="Z27" s="189" t="e">
        <v>#NUM!</v>
      </c>
      <c r="AA27" s="184" t="e">
        <f>_xll.qlSimpleQuoteSetValue($Y27,$Z27,Trigger)</f>
        <v>#NUM!</v>
      </c>
      <c r="AB27" s="206"/>
      <c r="AC27" s="224"/>
      <c r="AD27" s="224"/>
      <c r="AE27" s="224"/>
      <c r="AF27" s="224"/>
      <c r="AG27" s="225" t="e">
        <f t="shared" si="1"/>
        <v>#VALUE!</v>
      </c>
      <c r="AH27" s="224"/>
    </row>
    <row r="28" spans="1:34" x14ac:dyDescent="0.2">
      <c r="A28" s="93"/>
      <c r="B28" s="92">
        <v>23</v>
      </c>
      <c r="C28" s="91" t="b">
        <v>0</v>
      </c>
      <c r="D28" s="90" t="str">
        <v>U5</v>
      </c>
      <c r="E28" s="89" t="str">
        <f t="shared" si="0"/>
        <v>HKDFUT3MU5_Quote</v>
      </c>
      <c r="F28" s="88" t="str">
        <f>_xll.qlSimpleQuote(E28,,PriceTickValue,Permanent,Trigger,ObjectOverwrite)</f>
        <v>HKDFUT3MU5_Quote#0010</v>
      </c>
      <c r="G28" s="52" t="str">
        <f>_xll.ohRangeRetrieveError(F28)</f>
        <v/>
      </c>
      <c r="H28" s="65"/>
      <c r="J28" s="271"/>
      <c r="K28" s="277">
        <v>23</v>
      </c>
      <c r="L28" s="276" t="b">
        <v>0</v>
      </c>
      <c r="M28" s="189" t="str">
        <v>U5</v>
      </c>
      <c r="N28" s="275">
        <v>42263</v>
      </c>
      <c r="O28" s="189" t="str">
        <v>HIRU5</v>
      </c>
      <c r="P28" s="274">
        <v>42261</v>
      </c>
      <c r="Q28" s="189">
        <v>0</v>
      </c>
      <c r="R28" s="189">
        <v>0</v>
      </c>
      <c r="S28" s="189">
        <v>0</v>
      </c>
      <c r="T28" s="189">
        <v>99.5</v>
      </c>
      <c r="U28" s="184" t="e">
        <f>_xll.qlMidSafe($Q28,$R28)</f>
        <v>#NUM!</v>
      </c>
      <c r="V28" s="182"/>
      <c r="W28" s="273" t="e">
        <v>#NUM!</v>
      </c>
      <c r="X28" s="182"/>
      <c r="Y28" s="272" t="str">
        <v>HKDFUT3MU5_Quote</v>
      </c>
      <c r="Z28" s="189" t="e">
        <v>#NUM!</v>
      </c>
      <c r="AA28" s="184" t="e">
        <f>_xll.qlSimpleQuoteSetValue($Y28,$Z28,Trigger)</f>
        <v>#NUM!</v>
      </c>
      <c r="AB28" s="206"/>
      <c r="AC28" s="224"/>
      <c r="AD28" s="224"/>
      <c r="AE28" s="224"/>
      <c r="AF28" s="224"/>
      <c r="AG28" s="225" t="e">
        <f t="shared" si="1"/>
        <v>#NUM!</v>
      </c>
      <c r="AH28" s="224"/>
    </row>
    <row r="29" spans="1:34" x14ac:dyDescent="0.2">
      <c r="A29" s="93"/>
      <c r="B29" s="92">
        <v>24</v>
      </c>
      <c r="C29" s="91" t="b">
        <v>0</v>
      </c>
      <c r="D29" s="90" t="str">
        <v>V5</v>
      </c>
      <c r="E29" s="89" t="str">
        <f t="shared" si="0"/>
        <v>HKDFUT3MV5_Quote</v>
      </c>
      <c r="F29" s="88" t="str">
        <f>_xll.qlSimpleQuote(E29,,PriceTickValue,Permanent,Trigger,ObjectOverwrite)</f>
        <v>HKDFUT3MV5_Quote#0010</v>
      </c>
      <c r="G29" s="52" t="str">
        <f>_xll.ohRangeRetrieveError(F29)</f>
        <v/>
      </c>
      <c r="H29" s="65"/>
      <c r="J29" s="271"/>
      <c r="K29" s="277">
        <v>24</v>
      </c>
      <c r="L29" s="276" t="b">
        <v>0</v>
      </c>
      <c r="M29" s="189" t="str">
        <v>V5</v>
      </c>
      <c r="N29" s="275">
        <v>42298</v>
      </c>
      <c r="O29" s="189" t="str">
        <v>HIRV5</v>
      </c>
      <c r="P29" s="274" t="s">
        <v>168</v>
      </c>
      <c r="Q29" s="189" t="s">
        <v>168</v>
      </c>
      <c r="R29" s="189" t="s">
        <v>168</v>
      </c>
      <c r="S29" s="189" t="s">
        <v>168</v>
      </c>
      <c r="T29" s="189" t="s">
        <v>168</v>
      </c>
      <c r="U29" s="184" t="e">
        <f>_xll.qlMidSafe($Q29,$R29)</f>
        <v>#NUM!</v>
      </c>
      <c r="V29" s="182"/>
      <c r="W29" s="273" t="e">
        <v>#NUM!</v>
      </c>
      <c r="X29" s="182"/>
      <c r="Y29" s="272" t="str">
        <v>HKDFUT3MV5_Quote</v>
      </c>
      <c r="Z29" s="189" t="e">
        <v>#NUM!</v>
      </c>
      <c r="AA29" s="184" t="e">
        <f>_xll.qlSimpleQuoteSetValue($Y29,$Z29,Trigger)</f>
        <v>#NUM!</v>
      </c>
      <c r="AB29" s="206"/>
      <c r="AC29" s="224"/>
      <c r="AD29" s="224"/>
      <c r="AE29" s="224"/>
      <c r="AF29" s="224"/>
      <c r="AG29" s="225" t="e">
        <f t="shared" si="1"/>
        <v>#VALUE!</v>
      </c>
      <c r="AH29" s="224"/>
    </row>
    <row r="30" spans="1:34" x14ac:dyDescent="0.2">
      <c r="A30" s="93"/>
      <c r="B30" s="92">
        <v>25</v>
      </c>
      <c r="C30" s="91" t="b">
        <v>0</v>
      </c>
      <c r="D30" s="90" t="str">
        <v>X5</v>
      </c>
      <c r="E30" s="89" t="str">
        <f t="shared" si="0"/>
        <v>HKDFUT3MX5_Quote</v>
      </c>
      <c r="F30" s="88" t="str">
        <f>_xll.qlSimpleQuote(E30,,PriceTickValue,Permanent,Trigger,ObjectOverwrite)</f>
        <v>HKDFUT3MX5_Quote#0010</v>
      </c>
      <c r="G30" s="52" t="str">
        <f>_xll.ohRangeRetrieveError(F30)</f>
        <v/>
      </c>
      <c r="H30" s="65"/>
      <c r="J30" s="271"/>
      <c r="K30" s="277">
        <v>25</v>
      </c>
      <c r="L30" s="276" t="b">
        <v>0</v>
      </c>
      <c r="M30" s="189" t="str">
        <v>X5</v>
      </c>
      <c r="N30" s="275">
        <v>42326</v>
      </c>
      <c r="O30" s="189" t="str">
        <v>HIRX5</v>
      </c>
      <c r="P30" s="274" t="s">
        <v>168</v>
      </c>
      <c r="Q30" s="189" t="s">
        <v>168</v>
      </c>
      <c r="R30" s="189" t="s">
        <v>168</v>
      </c>
      <c r="S30" s="189" t="s">
        <v>168</v>
      </c>
      <c r="T30" s="189" t="s">
        <v>168</v>
      </c>
      <c r="U30" s="184" t="e">
        <f>_xll.qlMidSafe($Q30,$R30)</f>
        <v>#NUM!</v>
      </c>
      <c r="V30" s="182"/>
      <c r="W30" s="273" t="e">
        <v>#NUM!</v>
      </c>
      <c r="X30" s="182"/>
      <c r="Y30" s="272" t="str">
        <v>HKDFUT3MX5_Quote</v>
      </c>
      <c r="Z30" s="189" t="e">
        <v>#NUM!</v>
      </c>
      <c r="AA30" s="184" t="e">
        <f>_xll.qlSimpleQuoteSetValue($Y30,$Z30,Trigger)</f>
        <v>#NUM!</v>
      </c>
      <c r="AB30" s="206"/>
      <c r="AC30" s="224"/>
      <c r="AD30" s="224"/>
      <c r="AE30" s="224"/>
      <c r="AF30" s="224"/>
      <c r="AG30" s="225" t="e">
        <f t="shared" si="1"/>
        <v>#VALUE!</v>
      </c>
      <c r="AH30" s="224"/>
    </row>
    <row r="31" spans="1:34" x14ac:dyDescent="0.2">
      <c r="A31" s="93"/>
      <c r="B31" s="92">
        <v>26</v>
      </c>
      <c r="C31" s="91" t="b">
        <v>0</v>
      </c>
      <c r="D31" s="90" t="str">
        <v>Z5</v>
      </c>
      <c r="E31" s="89" t="str">
        <f t="shared" si="0"/>
        <v>HKDFUT3MZ5_Quote</v>
      </c>
      <c r="F31" s="88" t="str">
        <f>_xll.qlSimpleQuote(E31,,PriceTickValue,Permanent,Trigger,ObjectOverwrite)</f>
        <v>HKDFUT3MZ5_Quote#0010</v>
      </c>
      <c r="G31" s="52" t="str">
        <f>_xll.ohRangeRetrieveError(F31)</f>
        <v/>
      </c>
      <c r="H31" s="65"/>
      <c r="J31" s="271"/>
      <c r="K31" s="277">
        <v>26</v>
      </c>
      <c r="L31" s="276" t="b">
        <v>0</v>
      </c>
      <c r="M31" s="189" t="str">
        <v>Z5</v>
      </c>
      <c r="N31" s="275">
        <v>42354</v>
      </c>
      <c r="O31" s="189" t="str">
        <v>HIRZ5</v>
      </c>
      <c r="P31" s="274" t="s">
        <v>168</v>
      </c>
      <c r="Q31" s="189" t="s">
        <v>168</v>
      </c>
      <c r="R31" s="189" t="s">
        <v>168</v>
      </c>
      <c r="S31" s="189" t="s">
        <v>168</v>
      </c>
      <c r="T31" s="189" t="s">
        <v>168</v>
      </c>
      <c r="U31" s="184" t="e">
        <f>_xll.qlMidSafe($Q31,$R31)</f>
        <v>#NUM!</v>
      </c>
      <c r="V31" s="182"/>
      <c r="W31" s="273" t="e">
        <v>#NUM!</v>
      </c>
      <c r="X31" s="182"/>
      <c r="Y31" s="272" t="str">
        <v>HKDFUT3MZ5_Quote</v>
      </c>
      <c r="Z31" s="189" t="e">
        <v>#NUM!</v>
      </c>
      <c r="AA31" s="184" t="e">
        <f>_xll.qlSimpleQuoteSetValue($Y31,$Z31,Trigger)</f>
        <v>#NUM!</v>
      </c>
      <c r="AB31" s="206"/>
      <c r="AC31" s="224"/>
      <c r="AD31" s="224"/>
      <c r="AE31" s="224"/>
      <c r="AF31" s="224"/>
      <c r="AG31" s="225" t="e">
        <f t="shared" si="1"/>
        <v>#VALUE!</v>
      </c>
      <c r="AH31" s="224"/>
    </row>
    <row r="32" spans="1:34" x14ac:dyDescent="0.2">
      <c r="A32" s="93"/>
      <c r="B32" s="92">
        <v>27</v>
      </c>
      <c r="C32" s="91" t="b">
        <v>0</v>
      </c>
      <c r="D32" s="90" t="str">
        <v>F6</v>
      </c>
      <c r="E32" s="89" t="str">
        <f t="shared" si="0"/>
        <v>HKDFUT3MF6_Quote</v>
      </c>
      <c r="F32" s="88" t="str">
        <f>_xll.qlSimpleQuote(E32,,PriceTickValue,Permanent,Trigger,ObjectOverwrite)</f>
        <v>HKDFUT3MF6_Quote#0010</v>
      </c>
      <c r="G32" s="52" t="str">
        <f>_xll.ohRangeRetrieveError(F32)</f>
        <v/>
      </c>
      <c r="H32" s="65"/>
      <c r="J32" s="271"/>
      <c r="K32" s="277">
        <v>27</v>
      </c>
      <c r="L32" s="276" t="b">
        <v>0</v>
      </c>
      <c r="M32" s="189" t="str">
        <v>F6</v>
      </c>
      <c r="N32" s="275">
        <v>42389</v>
      </c>
      <c r="O32" s="189" t="str">
        <v>HIRF6</v>
      </c>
      <c r="P32" s="274" t="s">
        <v>168</v>
      </c>
      <c r="Q32" s="189" t="s">
        <v>168</v>
      </c>
      <c r="R32" s="189" t="s">
        <v>168</v>
      </c>
      <c r="S32" s="189" t="s">
        <v>168</v>
      </c>
      <c r="T32" s="189" t="s">
        <v>168</v>
      </c>
      <c r="U32" s="184" t="e">
        <f>_xll.qlMidSafe($Q32,$R32)</f>
        <v>#NUM!</v>
      </c>
      <c r="V32" s="182"/>
      <c r="W32" s="273" t="e">
        <v>#NUM!</v>
      </c>
      <c r="X32" s="182"/>
      <c r="Y32" s="272" t="str">
        <v>HKDFUT3MF6_Quote</v>
      </c>
      <c r="Z32" s="189" t="e">
        <v>#NUM!</v>
      </c>
      <c r="AA32" s="184" t="e">
        <f>_xll.qlSimpleQuoteSetValue($Y32,$Z32,Trigger)</f>
        <v>#NUM!</v>
      </c>
      <c r="AB32" s="206"/>
      <c r="AC32" s="224"/>
      <c r="AD32" s="224"/>
      <c r="AE32" s="224"/>
      <c r="AF32" s="224"/>
      <c r="AG32" s="225" t="e">
        <f t="shared" si="1"/>
        <v>#VALUE!</v>
      </c>
      <c r="AH32" s="224"/>
    </row>
    <row r="33" spans="1:34" x14ac:dyDescent="0.2">
      <c r="A33" s="93"/>
      <c r="B33" s="92">
        <v>28</v>
      </c>
      <c r="C33" s="91" t="b">
        <v>0</v>
      </c>
      <c r="D33" s="90" t="str">
        <v>G6</v>
      </c>
      <c r="E33" s="89" t="str">
        <f t="shared" si="0"/>
        <v>HKDFUT3MG6_Quote</v>
      </c>
      <c r="F33" s="88" t="str">
        <f>_xll.qlSimpleQuote(E33,,PriceTickValue,Permanent,Trigger,ObjectOverwrite)</f>
        <v>HKDFUT3MG6_Quote#0010</v>
      </c>
      <c r="G33" s="52" t="str">
        <f>_xll.ohRangeRetrieveError(F33)</f>
        <v/>
      </c>
      <c r="H33" s="65"/>
      <c r="J33" s="271"/>
      <c r="K33" s="277">
        <v>28</v>
      </c>
      <c r="L33" s="276" t="b">
        <v>0</v>
      </c>
      <c r="M33" s="189" t="str">
        <v>G6</v>
      </c>
      <c r="N33" s="275">
        <v>42417</v>
      </c>
      <c r="O33" s="189" t="str">
        <v>HIRG6</v>
      </c>
      <c r="P33" s="274" t="s">
        <v>168</v>
      </c>
      <c r="Q33" s="189" t="s">
        <v>168</v>
      </c>
      <c r="R33" s="189" t="s">
        <v>168</v>
      </c>
      <c r="S33" s="189" t="s">
        <v>168</v>
      </c>
      <c r="T33" s="189" t="s">
        <v>168</v>
      </c>
      <c r="U33" s="184" t="e">
        <f>_xll.qlMidSafe($Q33,$R33)</f>
        <v>#NUM!</v>
      </c>
      <c r="V33" s="182"/>
      <c r="W33" s="273" t="e">
        <v>#NUM!</v>
      </c>
      <c r="X33" s="182"/>
      <c r="Y33" s="272" t="str">
        <v>HKDFUT3MG6_Quote</v>
      </c>
      <c r="Z33" s="189" t="e">
        <v>#NUM!</v>
      </c>
      <c r="AA33" s="184" t="e">
        <f>_xll.qlSimpleQuoteSetValue($Y33,$Z33,Trigger)</f>
        <v>#NUM!</v>
      </c>
      <c r="AB33" s="206"/>
      <c r="AC33" s="224"/>
      <c r="AD33" s="224"/>
      <c r="AE33" s="224"/>
      <c r="AF33" s="224"/>
      <c r="AG33" s="225" t="e">
        <f t="shared" si="1"/>
        <v>#VALUE!</v>
      </c>
      <c r="AH33" s="224"/>
    </row>
    <row r="34" spans="1:34" x14ac:dyDescent="0.2">
      <c r="A34" s="93"/>
      <c r="B34" s="92">
        <v>29</v>
      </c>
      <c r="C34" s="91" t="b">
        <v>0</v>
      </c>
      <c r="D34" s="90" t="str">
        <v>H6</v>
      </c>
      <c r="E34" s="89" t="str">
        <f t="shared" si="0"/>
        <v>HKDFUT3MH6_Quote</v>
      </c>
      <c r="F34" s="88" t="str">
        <f>_xll.qlSimpleQuote(E34,,PriceTickValue,Permanent,Trigger,ObjectOverwrite)</f>
        <v>HKDFUT3MH6_Quote#0010</v>
      </c>
      <c r="G34" s="52" t="str">
        <f>_xll.ohRangeRetrieveError(F34)</f>
        <v/>
      </c>
      <c r="H34" s="65"/>
      <c r="J34" s="271"/>
      <c r="K34" s="277">
        <v>29</v>
      </c>
      <c r="L34" s="276" t="b">
        <v>0</v>
      </c>
      <c r="M34" s="189" t="str">
        <v>H6</v>
      </c>
      <c r="N34" s="275">
        <v>42445</v>
      </c>
      <c r="O34" s="189" t="str">
        <v>HIRH6</v>
      </c>
      <c r="P34" s="274" t="s">
        <v>168</v>
      </c>
      <c r="Q34" s="189" t="s">
        <v>168</v>
      </c>
      <c r="R34" s="189" t="s">
        <v>168</v>
      </c>
      <c r="S34" s="189" t="s">
        <v>168</v>
      </c>
      <c r="T34" s="189" t="s">
        <v>168</v>
      </c>
      <c r="U34" s="184" t="e">
        <f>_xll.qlMidSafe($Q34,$R34)</f>
        <v>#NUM!</v>
      </c>
      <c r="V34" s="182"/>
      <c r="W34" s="273" t="e">
        <v>#NUM!</v>
      </c>
      <c r="X34" s="182"/>
      <c r="Y34" s="272" t="str">
        <v>HKDFUT3MH6_Quote</v>
      </c>
      <c r="Z34" s="189" t="e">
        <v>#NUM!</v>
      </c>
      <c r="AA34" s="184" t="e">
        <f>_xll.qlSimpleQuoteSetValue($Y34,$Z34,Trigger)</f>
        <v>#NUM!</v>
      </c>
      <c r="AB34" s="206"/>
      <c r="AC34" s="224"/>
      <c r="AD34" s="224"/>
      <c r="AE34" s="224"/>
      <c r="AF34" s="224"/>
      <c r="AG34" s="225" t="e">
        <f t="shared" si="1"/>
        <v>#VALUE!</v>
      </c>
      <c r="AH34" s="224"/>
    </row>
    <row r="35" spans="1:34" x14ac:dyDescent="0.2">
      <c r="A35" s="93"/>
      <c r="B35" s="92">
        <v>30</v>
      </c>
      <c r="C35" s="91" t="b">
        <v>0</v>
      </c>
      <c r="D35" s="90" t="str">
        <v>J6</v>
      </c>
      <c r="E35" s="89" t="str">
        <f t="shared" si="0"/>
        <v>HKDFUT3MJ6_Quote</v>
      </c>
      <c r="F35" s="88" t="str">
        <f>_xll.qlSimpleQuote(E35,,PriceTickValue,Permanent,Trigger,ObjectOverwrite)</f>
        <v>HKDFUT3MJ6_Quote#0010</v>
      </c>
      <c r="G35" s="52" t="str">
        <f>_xll.ohRangeRetrieveError(F35)</f>
        <v/>
      </c>
      <c r="H35" s="65"/>
      <c r="J35" s="271"/>
      <c r="K35" s="277">
        <v>30</v>
      </c>
      <c r="L35" s="276" t="b">
        <v>0</v>
      </c>
      <c r="M35" s="189" t="str">
        <v>J6</v>
      </c>
      <c r="N35" s="275">
        <v>42480</v>
      </c>
      <c r="O35" s="189" t="str">
        <v>HIRJ6</v>
      </c>
      <c r="P35" s="274" t="s">
        <v>168</v>
      </c>
      <c r="Q35" s="189" t="s">
        <v>168</v>
      </c>
      <c r="R35" s="189" t="s">
        <v>168</v>
      </c>
      <c r="S35" s="189" t="s">
        <v>168</v>
      </c>
      <c r="T35" s="189" t="s">
        <v>168</v>
      </c>
      <c r="U35" s="184" t="e">
        <f>_xll.qlMidSafe($Q35,$R35)</f>
        <v>#NUM!</v>
      </c>
      <c r="V35" s="182"/>
      <c r="W35" s="273" t="e">
        <v>#NUM!</v>
      </c>
      <c r="X35" s="182"/>
      <c r="Y35" s="272" t="str">
        <v>HKDFUT3MJ6_Quote</v>
      </c>
      <c r="Z35" s="189" t="e">
        <v>#NUM!</v>
      </c>
      <c r="AA35" s="184" t="e">
        <f>_xll.qlSimpleQuoteSetValue($Y35,$Z35,Trigger)</f>
        <v>#NUM!</v>
      </c>
      <c r="AB35" s="206"/>
      <c r="AC35" s="224"/>
      <c r="AD35" s="224"/>
      <c r="AE35" s="224"/>
      <c r="AF35" s="224"/>
      <c r="AG35" s="225" t="e">
        <f t="shared" si="1"/>
        <v>#VALUE!</v>
      </c>
      <c r="AH35" s="224"/>
    </row>
    <row r="36" spans="1:34" x14ac:dyDescent="0.2">
      <c r="A36" s="93"/>
      <c r="B36" s="92">
        <v>31</v>
      </c>
      <c r="C36" s="91" t="b">
        <v>0</v>
      </c>
      <c r="D36" s="90" t="str">
        <v>K6</v>
      </c>
      <c r="E36" s="89" t="str">
        <f t="shared" si="0"/>
        <v>HKDFUT3MK6_Quote</v>
      </c>
      <c r="F36" s="88" t="str">
        <f>_xll.qlSimpleQuote(E36,,PriceTickValue,Permanent,Trigger,ObjectOverwrite)</f>
        <v>HKDFUT3MK6_Quote#0010</v>
      </c>
      <c r="G36" s="52" t="str">
        <f>_xll.ohRangeRetrieveError(F36)</f>
        <v/>
      </c>
      <c r="H36" s="65"/>
      <c r="J36" s="271"/>
      <c r="K36" s="277">
        <v>31</v>
      </c>
      <c r="L36" s="276" t="b">
        <v>0</v>
      </c>
      <c r="M36" s="189" t="str">
        <v>K6</v>
      </c>
      <c r="N36" s="275">
        <v>42508</v>
      </c>
      <c r="O36" s="189" t="str">
        <v>HIRK6</v>
      </c>
      <c r="P36" s="274" t="s">
        <v>168</v>
      </c>
      <c r="Q36" s="189" t="s">
        <v>168</v>
      </c>
      <c r="R36" s="189" t="s">
        <v>168</v>
      </c>
      <c r="S36" s="189" t="s">
        <v>168</v>
      </c>
      <c r="T36" s="189" t="s">
        <v>168</v>
      </c>
      <c r="U36" s="184" t="e">
        <f>_xll.qlMidSafe($Q36,$R36)</f>
        <v>#NUM!</v>
      </c>
      <c r="V36" s="182"/>
      <c r="W36" s="273" t="e">
        <v>#NUM!</v>
      </c>
      <c r="X36" s="182"/>
      <c r="Y36" s="272" t="str">
        <v>HKDFUT3MK6_Quote</v>
      </c>
      <c r="Z36" s="189" t="e">
        <v>#NUM!</v>
      </c>
      <c r="AA36" s="184" t="e">
        <f>_xll.qlSimpleQuoteSetValue($Y36,$Z36,Trigger)</f>
        <v>#NUM!</v>
      </c>
      <c r="AB36" s="206"/>
      <c r="AC36" s="224"/>
      <c r="AD36" s="224"/>
      <c r="AE36" s="224"/>
      <c r="AF36" s="224"/>
      <c r="AG36" s="225" t="e">
        <f t="shared" si="1"/>
        <v>#VALUE!</v>
      </c>
      <c r="AH36" s="224"/>
    </row>
    <row r="37" spans="1:34" x14ac:dyDescent="0.2">
      <c r="A37" s="93"/>
      <c r="B37" s="92">
        <v>32</v>
      </c>
      <c r="C37" s="91" t="b">
        <v>0</v>
      </c>
      <c r="D37" s="90" t="str">
        <v>M6</v>
      </c>
      <c r="E37" s="89" t="str">
        <f t="shared" si="0"/>
        <v>HKDFUT3MM6_Quote</v>
      </c>
      <c r="F37" s="88" t="str">
        <f>_xll.qlSimpleQuote(E37,,PriceTickValue,Permanent,Trigger,ObjectOverwrite)</f>
        <v>HKDFUT3MM6_Quote#0010</v>
      </c>
      <c r="G37" s="52" t="str">
        <f>_xll.ohRangeRetrieveError(F37)</f>
        <v/>
      </c>
      <c r="H37" s="65"/>
      <c r="J37" s="271"/>
      <c r="K37" s="277">
        <v>32</v>
      </c>
      <c r="L37" s="276" t="b">
        <v>0</v>
      </c>
      <c r="M37" s="189" t="str">
        <v>M6</v>
      </c>
      <c r="N37" s="275">
        <v>42536</v>
      </c>
      <c r="O37" s="189" t="str">
        <v>HIRM6</v>
      </c>
      <c r="P37" s="274" t="s">
        <v>168</v>
      </c>
      <c r="Q37" s="189" t="s">
        <v>168</v>
      </c>
      <c r="R37" s="189" t="s">
        <v>168</v>
      </c>
      <c r="S37" s="189" t="s">
        <v>168</v>
      </c>
      <c r="T37" s="189" t="s">
        <v>168</v>
      </c>
      <c r="U37" s="184" t="e">
        <f>_xll.qlMidSafe($Q37,$R37)</f>
        <v>#NUM!</v>
      </c>
      <c r="V37" s="182"/>
      <c r="W37" s="273" t="e">
        <v>#NUM!</v>
      </c>
      <c r="X37" s="182"/>
      <c r="Y37" s="272" t="str">
        <v>HKDFUT3MM6_Quote</v>
      </c>
      <c r="Z37" s="189" t="e">
        <v>#NUM!</v>
      </c>
      <c r="AA37" s="184" t="e">
        <f>_xll.qlSimpleQuoteSetValue($Y37,$Z37,Trigger)</f>
        <v>#NUM!</v>
      </c>
      <c r="AB37" s="206"/>
      <c r="AC37" s="224"/>
      <c r="AD37" s="224"/>
      <c r="AE37" s="224"/>
      <c r="AF37" s="224"/>
      <c r="AG37" s="225" t="e">
        <f t="shared" si="1"/>
        <v>#VALUE!</v>
      </c>
      <c r="AH37" s="224"/>
    </row>
    <row r="38" spans="1:34" x14ac:dyDescent="0.2">
      <c r="A38" s="93"/>
      <c r="B38" s="92">
        <v>33</v>
      </c>
      <c r="C38" s="91" t="b">
        <v>0</v>
      </c>
      <c r="D38" s="90" t="str">
        <v>N6</v>
      </c>
      <c r="E38" s="89" t="str">
        <f t="shared" ref="E38:E41" si="2">Currency&amp;$D$4&amp;$E$4&amp;$D38&amp;QuoteSuffix</f>
        <v>HKDFUT3MN6_Quote</v>
      </c>
      <c r="F38" s="88" t="str">
        <f>_xll.qlSimpleQuote(E38,,PriceTickValue,Permanent,Trigger,ObjectOverwrite)</f>
        <v>HKDFUT3MN6_Quote#0010</v>
      </c>
      <c r="G38" s="52" t="str">
        <f>_xll.ohRangeRetrieveError(F38)</f>
        <v/>
      </c>
      <c r="H38" s="65"/>
      <c r="J38" s="271"/>
      <c r="K38" s="277">
        <v>33</v>
      </c>
      <c r="L38" s="276" t="b">
        <v>0</v>
      </c>
      <c r="M38" s="189" t="str">
        <v>N6</v>
      </c>
      <c r="N38" s="275">
        <v>42571</v>
      </c>
      <c r="O38" s="189" t="str">
        <v>HIRN6</v>
      </c>
      <c r="P38" s="274" t="s">
        <v>168</v>
      </c>
      <c r="Q38" s="189" t="s">
        <v>168</v>
      </c>
      <c r="R38" s="189" t="s">
        <v>168</v>
      </c>
      <c r="S38" s="189" t="s">
        <v>168</v>
      </c>
      <c r="T38" s="189" t="s">
        <v>168</v>
      </c>
      <c r="U38" s="184" t="e">
        <f>_xll.qlMidSafe($Q38,$R38)</f>
        <v>#NUM!</v>
      </c>
      <c r="V38" s="182"/>
      <c r="W38" s="273" t="e">
        <v>#NUM!</v>
      </c>
      <c r="X38" s="182"/>
      <c r="Y38" s="272" t="str">
        <v>HKDFUT3MN6_Quote</v>
      </c>
      <c r="Z38" s="189" t="e">
        <v>#NUM!</v>
      </c>
      <c r="AA38" s="184" t="e">
        <f>_xll.qlSimpleQuoteSetValue($Y38,$Z38,Trigger)</f>
        <v>#NUM!</v>
      </c>
      <c r="AB38" s="206"/>
      <c r="AC38" s="224"/>
      <c r="AD38" s="224"/>
      <c r="AE38" s="224"/>
      <c r="AF38" s="224"/>
      <c r="AG38" s="225" t="e">
        <f t="shared" si="1"/>
        <v>#VALUE!</v>
      </c>
      <c r="AH38" s="224"/>
    </row>
    <row r="39" spans="1:34" ht="15" x14ac:dyDescent="0.25">
      <c r="A39" s="93"/>
      <c r="B39" s="92">
        <v>34</v>
      </c>
      <c r="C39" s="91" t="b">
        <v>0</v>
      </c>
      <c r="D39" s="90" t="str">
        <v>Q6</v>
      </c>
      <c r="E39" s="89" t="str">
        <f t="shared" si="2"/>
        <v>HKDFUT3MQ6_Quote</v>
      </c>
      <c r="F39" s="88" t="str">
        <f>_xll.qlSimpleQuote(E39,,PriceTickValue,Permanent,Trigger,ObjectOverwrite)</f>
        <v>HKDFUT3MQ6_Quote#0010</v>
      </c>
      <c r="G39" s="52" t="str">
        <f>_xll.ohRangeRetrieveError(F39)</f>
        <v/>
      </c>
      <c r="H39" s="65"/>
      <c r="J39" s="271"/>
      <c r="K39" s="277">
        <v>34</v>
      </c>
      <c r="L39" s="276" t="b">
        <v>0</v>
      </c>
      <c r="M39" s="189" t="str">
        <v>Q6</v>
      </c>
      <c r="N39" s="275">
        <v>42599</v>
      </c>
      <c r="O39" s="189" t="str">
        <v>HIRQ6</v>
      </c>
      <c r="P39" s="274" t="s">
        <v>168</v>
      </c>
      <c r="Q39" s="189" t="s">
        <v>168</v>
      </c>
      <c r="R39" s="189" t="s">
        <v>168</v>
      </c>
      <c r="S39" s="189" t="s">
        <v>168</v>
      </c>
      <c r="T39" s="189" t="s">
        <v>168</v>
      </c>
      <c r="U39" s="184" t="e">
        <f>_xll.qlMidSafe($Q39,$R39)</f>
        <v>#NUM!</v>
      </c>
      <c r="V39" s="182"/>
      <c r="W39" s="273" t="e">
        <v>#NUM!</v>
      </c>
      <c r="X39" s="182"/>
      <c r="Y39" s="272" t="str">
        <v>HKDFUT3MQ6_Quote</v>
      </c>
      <c r="Z39" s="189" t="e">
        <v>#NUM!</v>
      </c>
      <c r="AA39" s="184" t="e">
        <f>_xll.qlSimpleQuoteSetValue($Y39,$Z39,Trigger)</f>
        <v>#NUM!</v>
      </c>
      <c r="AB39" s="206"/>
      <c r="AC39" s="224"/>
      <c r="AD39" s="224"/>
      <c r="AE39" s="224"/>
      <c r="AF39" t="str">
        <f>_xll.RtGet("IDN","/HIRX3","BID")</f>
        <v>#N/A On Pause</v>
      </c>
      <c r="AG39" s="225" t="e">
        <f t="shared" si="1"/>
        <v>#VALUE!</v>
      </c>
      <c r="AH39" s="224"/>
    </row>
    <row r="40" spans="1:34" x14ac:dyDescent="0.2">
      <c r="A40" s="93"/>
      <c r="B40" s="92">
        <v>35</v>
      </c>
      <c r="C40" s="91" t="b">
        <v>0</v>
      </c>
      <c r="D40" s="90" t="str">
        <v>U6</v>
      </c>
      <c r="E40" s="89" t="str">
        <f t="shared" si="2"/>
        <v>HKDFUT3MU6_Quote</v>
      </c>
      <c r="F40" s="88" t="str">
        <f>_xll.qlSimpleQuote(E40,,PriceTickValue,Permanent,Trigger,ObjectOverwrite)</f>
        <v>HKDFUT3MU6_Quote#0010</v>
      </c>
      <c r="G40" s="52" t="str">
        <f>_xll.ohRangeRetrieveError(F40)</f>
        <v/>
      </c>
      <c r="H40" s="65"/>
      <c r="J40" s="271"/>
      <c r="K40" s="277">
        <v>35</v>
      </c>
      <c r="L40" s="276" t="b">
        <v>0</v>
      </c>
      <c r="M40" s="189" t="str">
        <v>U6</v>
      </c>
      <c r="N40" s="275">
        <v>42634</v>
      </c>
      <c r="O40" s="189" t="str">
        <v>HIRU6</v>
      </c>
      <c r="P40" s="274" t="s">
        <v>168</v>
      </c>
      <c r="Q40" s="189" t="s">
        <v>168</v>
      </c>
      <c r="R40" s="189" t="s">
        <v>168</v>
      </c>
      <c r="S40" s="189" t="s">
        <v>168</v>
      </c>
      <c r="T40" s="189" t="s">
        <v>168</v>
      </c>
      <c r="U40" s="184" t="e">
        <f>_xll.qlMidSafe($Q40,$R40)</f>
        <v>#NUM!</v>
      </c>
      <c r="V40" s="182"/>
      <c r="W40" s="273" t="e">
        <v>#NUM!</v>
      </c>
      <c r="X40" s="182"/>
      <c r="Y40" s="272" t="str">
        <v>HKDFUT3MU6_Quote</v>
      </c>
      <c r="Z40" s="189" t="e">
        <v>#NUM!</v>
      </c>
      <c r="AA40" s="184" t="e">
        <f>_xll.qlSimpleQuoteSetValue($Y40,$Z40,Trigger)</f>
        <v>#NUM!</v>
      </c>
      <c r="AB40" s="206"/>
      <c r="AC40" s="224"/>
      <c r="AD40" s="224"/>
      <c r="AE40" s="224"/>
      <c r="AF40" s="224"/>
      <c r="AG40" s="225" t="e">
        <f t="shared" si="1"/>
        <v>#VALUE!</v>
      </c>
      <c r="AH40" s="224"/>
    </row>
    <row r="41" spans="1:34" x14ac:dyDescent="0.2">
      <c r="A41" s="93"/>
      <c r="B41" s="92">
        <v>36</v>
      </c>
      <c r="C41" s="91" t="b">
        <v>0</v>
      </c>
      <c r="D41" s="90" t="str">
        <v>V6</v>
      </c>
      <c r="E41" s="89" t="str">
        <f t="shared" si="2"/>
        <v>HKDFUT3MV6_Quote</v>
      </c>
      <c r="F41" s="88" t="str">
        <f>_xll.qlSimpleQuote(E41,,PriceTickValue,Permanent,Trigger,ObjectOverwrite)</f>
        <v>HKDFUT3MV6_Quote#0010</v>
      </c>
      <c r="G41" s="52" t="str">
        <f>_xll.ohRangeRetrieveError(F41)</f>
        <v/>
      </c>
      <c r="H41" s="65"/>
      <c r="J41" s="271"/>
      <c r="K41" s="270">
        <v>36</v>
      </c>
      <c r="L41" s="269" t="b">
        <v>0</v>
      </c>
      <c r="M41" s="180" t="str">
        <v>V6</v>
      </c>
      <c r="N41" s="268">
        <v>42662</v>
      </c>
      <c r="O41" s="180" t="str">
        <v>HIRV6</v>
      </c>
      <c r="P41" s="267" t="s">
        <v>168</v>
      </c>
      <c r="Q41" s="180" t="s">
        <v>168</v>
      </c>
      <c r="R41" s="180" t="s">
        <v>168</v>
      </c>
      <c r="S41" s="180" t="s">
        <v>168</v>
      </c>
      <c r="T41" s="180" t="s">
        <v>168</v>
      </c>
      <c r="U41" s="242" t="e">
        <f>_xll.qlMidSafe($Q41,$R41)</f>
        <v>#NUM!</v>
      </c>
      <c r="V41" s="182"/>
      <c r="W41" s="266" t="e">
        <v>#NUM!</v>
      </c>
      <c r="X41" s="182"/>
      <c r="Y41" s="265" t="str">
        <v>HKDFUT3MV6_Quote</v>
      </c>
      <c r="Z41" s="180" t="e">
        <v>#NUM!</v>
      </c>
      <c r="AA41" s="242" t="e">
        <f>_xll.qlSimpleQuoteSetValue($Y41,$Z41,Trigger)</f>
        <v>#NUM!</v>
      </c>
      <c r="AB41" s="206"/>
      <c r="AC41" s="224"/>
      <c r="AD41" s="224"/>
      <c r="AE41" s="224"/>
      <c r="AF41" s="224"/>
      <c r="AG41" s="225" t="e">
        <f t="shared" si="1"/>
        <v>#VALUE!</v>
      </c>
      <c r="AH41" s="224"/>
    </row>
    <row r="42" spans="1:34" ht="12" thickBot="1" x14ac:dyDescent="0.25">
      <c r="A42" s="87"/>
      <c r="B42" s="63"/>
      <c r="C42" s="63"/>
      <c r="D42" s="63"/>
      <c r="E42" s="63"/>
      <c r="F42" s="63"/>
      <c r="G42" s="63"/>
      <c r="H42" s="61"/>
      <c r="J42" s="264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4"/>
      <c r="AC42" s="224"/>
      <c r="AD42" s="224"/>
      <c r="AE42" s="224"/>
      <c r="AF42" s="224"/>
      <c r="AG42" s="224"/>
      <c r="AH42" s="224"/>
    </row>
    <row r="43" spans="1:34" x14ac:dyDescent="0.2"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  <c r="AA43" s="224"/>
      <c r="AB43" s="224"/>
      <c r="AC43" s="224"/>
      <c r="AD43" s="224"/>
      <c r="AE43" s="224"/>
      <c r="AF43" s="224"/>
      <c r="AG43" s="224"/>
      <c r="AH43" s="224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/>
  </sheetViews>
  <sheetFormatPr defaultRowHeight="11.25" x14ac:dyDescent="0.2"/>
  <cols>
    <col min="1" max="1" width="3.85546875" style="16" customWidth="1"/>
    <col min="2" max="2" width="25.5703125" style="16" bestFit="1" customWidth="1"/>
    <col min="3" max="3" width="27.7109375" style="16" bestFit="1" customWidth="1"/>
    <col min="4" max="4" width="23.28515625" style="16" customWidth="1"/>
    <col min="5" max="5" width="4.85546875" style="16" customWidth="1"/>
    <col min="6" max="16384" width="9.140625" style="16"/>
  </cols>
  <sheetData>
    <row r="1" spans="1:24" s="149" customFormat="1" x14ac:dyDescent="0.2">
      <c r="A1" s="149" t="s">
        <v>258</v>
      </c>
      <c r="G1" s="214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2"/>
      <c r="T1" s="224"/>
      <c r="U1" s="224"/>
      <c r="V1" s="224"/>
      <c r="W1" s="224"/>
      <c r="X1" s="224"/>
    </row>
    <row r="2" spans="1:24" s="149" customFormat="1" x14ac:dyDescent="0.2">
      <c r="G2" s="211"/>
      <c r="H2" s="209" t="s">
        <v>192</v>
      </c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06"/>
      <c r="T2" s="224"/>
      <c r="U2" s="224"/>
      <c r="V2" s="224"/>
      <c r="W2" s="224"/>
      <c r="X2" s="224"/>
    </row>
    <row r="3" spans="1:24" x14ac:dyDescent="0.2">
      <c r="A3" s="58"/>
      <c r="B3" s="47"/>
      <c r="C3" s="47"/>
      <c r="D3" s="47"/>
      <c r="E3" s="44"/>
      <c r="G3" s="211"/>
      <c r="H3" s="260"/>
      <c r="I3" s="260"/>
      <c r="J3" s="260"/>
      <c r="K3" s="260"/>
      <c r="L3" s="260"/>
      <c r="M3" s="260"/>
      <c r="N3" s="260"/>
      <c r="O3" s="260"/>
      <c r="P3" s="260"/>
      <c r="Q3" s="260"/>
      <c r="R3" s="204">
        <f>_xll.ohTrigger(R5:R10)</f>
        <v>13</v>
      </c>
      <c r="S3" s="206"/>
      <c r="T3" s="224"/>
      <c r="U3" s="224"/>
      <c r="V3" s="224" t="s">
        <v>50</v>
      </c>
      <c r="W3" s="224"/>
      <c r="X3" s="224"/>
    </row>
    <row r="4" spans="1:24" ht="15.75" thickBot="1" x14ac:dyDescent="0.25">
      <c r="A4" s="105"/>
      <c r="B4" s="107" t="str">
        <f>Currency&amp;"_010_"&amp;"FuturesHWConvAdj.xml"</f>
        <v>HKD_010_FuturesHWConvAdj.xml</v>
      </c>
      <c r="C4" s="106">
        <f ca="1">IF(Serialize,_xll.ohObjectSave(C5:C6,SerializationPath&amp;B4,FileOverwrite,,Serialize),"---")</f>
        <v>2</v>
      </c>
      <c r="D4" s="52" t="str">
        <f ca="1">_xll.ohRangeRetrieveError(C4)</f>
        <v/>
      </c>
      <c r="E4" s="22"/>
      <c r="G4" s="211"/>
      <c r="H4" s="291" t="str">
        <f>_xll.RData(H5,I4,,ReutersRtMode,,I5)</f>
        <v>On Pause</v>
      </c>
      <c r="I4" s="323" t="s">
        <v>213</v>
      </c>
      <c r="J4" s="311"/>
      <c r="K4" s="449" t="s">
        <v>231</v>
      </c>
      <c r="L4" s="450"/>
      <c r="M4" s="311"/>
      <c r="N4" s="201" t="s">
        <v>172</v>
      </c>
      <c r="O4" s="309"/>
      <c r="P4" s="291" t="s">
        <v>171</v>
      </c>
      <c r="Q4" s="256" t="s">
        <v>170</v>
      </c>
      <c r="R4" s="202" t="s">
        <v>169</v>
      </c>
      <c r="S4" s="206"/>
      <c r="T4" s="224"/>
      <c r="U4" s="224"/>
      <c r="V4" s="224"/>
      <c r="W4" s="224"/>
      <c r="X4" s="224"/>
    </row>
    <row r="5" spans="1:24" x14ac:dyDescent="0.2">
      <c r="A5" s="105"/>
      <c r="B5" s="104" t="str">
        <f>Currency&amp;"HW_Volatility"&amp;QuoteSuffix</f>
        <v>HKDHW_Volatility_Quote</v>
      </c>
      <c r="C5" s="104" t="str">
        <f>_xll.qlSimpleQuote(B5,,,Permanent,Trigger,ObjectOverwrite)</f>
        <v>HKDHW_Volatility_Quote#0010</v>
      </c>
      <c r="D5" s="52" t="str">
        <f>_xll.ohRangeRetrieveError(C5)</f>
        <v/>
      </c>
      <c r="E5" s="22"/>
      <c r="G5" s="211"/>
      <c r="H5" s="322" t="str">
        <f>VLOOKUP(Currency,$U$5:$W$9,2)&amp;V3&amp;VLOOKUP(Currency,$U$5:$W$9,3)&amp;"ATM="&amp;VLOOKUP(Contributor,ContributorTable,2,FALSE)</f>
        <v>GB4Y3LATM=ICAP</v>
      </c>
      <c r="I5" s="321">
        <v>60.67</v>
      </c>
      <c r="J5" s="311"/>
      <c r="K5" s="197" t="s">
        <v>230</v>
      </c>
      <c r="L5" s="317">
        <f>I5/100*IF(ISNUMBER(Swap3M4Y),Swap3M4Y/100,Swap6M4Y/100)*0</f>
        <v>0</v>
      </c>
      <c r="M5" s="311"/>
      <c r="N5" s="320">
        <v>0</v>
      </c>
      <c r="O5" s="309"/>
      <c r="P5" s="319" t="str">
        <f>Currency&amp;"HW_Volatility_Quote"</f>
        <v>HKDHW_Volatility_Quote</v>
      </c>
      <c r="Q5" s="318">
        <f t="array" ref="Q5:Q6">QuoteLive</f>
        <v>0</v>
      </c>
      <c r="R5" s="317">
        <f>_xll.qlSimpleQuoteSetValue(P5,ROUND(Q5,6),Trigger)</f>
        <v>0</v>
      </c>
      <c r="S5" s="206"/>
      <c r="T5" s="224"/>
      <c r="U5" s="316" t="s">
        <v>55</v>
      </c>
      <c r="V5" s="315" t="s">
        <v>229</v>
      </c>
      <c r="W5" s="314" t="s">
        <v>46</v>
      </c>
      <c r="X5" s="224"/>
    </row>
    <row r="6" spans="1:24" x14ac:dyDescent="0.2">
      <c r="A6" s="105"/>
      <c r="B6" s="104" t="str">
        <f>Currency&amp;"HW_MeanReversion"&amp;QuoteSuffix</f>
        <v>HKDHW_MeanReversion_Quote</v>
      </c>
      <c r="C6" s="104" t="str">
        <f>_xll.qlSimpleQuote(B6,,,Permanent,Trigger,ObjectOverwrite)</f>
        <v>HKDHW_MeanReversion_Quote#0010</v>
      </c>
      <c r="D6" s="52" t="str">
        <f>_xll.ohRangeRetrieveError(C6)</f>
        <v/>
      </c>
      <c r="E6" s="22"/>
      <c r="G6" s="211"/>
      <c r="H6" s="308"/>
      <c r="I6" s="313"/>
      <c r="J6" s="311"/>
      <c r="K6" s="312" t="s">
        <v>228</v>
      </c>
      <c r="L6" s="306">
        <v>0.03</v>
      </c>
      <c r="M6" s="311"/>
      <c r="N6" s="310">
        <v>0.03</v>
      </c>
      <c r="O6" s="309"/>
      <c r="P6" s="308" t="str">
        <f>Currency&amp;"HW_MeanReversion_Quote"</f>
        <v>HKDHW_MeanReversion_Quote</v>
      </c>
      <c r="Q6" s="307">
        <v>0.03</v>
      </c>
      <c r="R6" s="306">
        <f>_xll.qlSimpleQuoteSetValue(P6,ROUND(Q6,6),Trigger)</f>
        <v>0</v>
      </c>
      <c r="S6" s="206"/>
      <c r="T6" s="224"/>
      <c r="U6" s="281" t="s">
        <v>53</v>
      </c>
      <c r="V6" s="262" t="s">
        <v>227</v>
      </c>
      <c r="W6" s="305" t="s">
        <v>46</v>
      </c>
      <c r="X6" s="224"/>
    </row>
    <row r="7" spans="1:24" ht="12" thickBot="1" x14ac:dyDescent="0.25">
      <c r="A7" s="21"/>
      <c r="B7" s="20"/>
      <c r="C7" s="20"/>
      <c r="D7" s="20"/>
      <c r="E7" s="18"/>
      <c r="G7" s="177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4"/>
      <c r="T7" s="224"/>
      <c r="U7" s="281" t="s">
        <v>49</v>
      </c>
      <c r="V7" s="262" t="s">
        <v>226</v>
      </c>
      <c r="W7" s="305" t="s">
        <v>43</v>
      </c>
      <c r="X7" s="224"/>
    </row>
    <row r="8" spans="1:24" x14ac:dyDescent="0.2"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81" t="s">
        <v>47</v>
      </c>
      <c r="V8" s="262" t="s">
        <v>225</v>
      </c>
      <c r="W8" s="305" t="s">
        <v>46</v>
      </c>
      <c r="X8" s="224"/>
    </row>
    <row r="9" spans="1:24" ht="12" thickBot="1" x14ac:dyDescent="0.25"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79" t="s">
        <v>44</v>
      </c>
      <c r="V9" s="304" t="s">
        <v>224</v>
      </c>
      <c r="W9" s="303" t="s">
        <v>43</v>
      </c>
      <c r="X9" s="224"/>
    </row>
    <row r="10" spans="1:24" x14ac:dyDescent="0.2"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42"/>
  <sheetViews>
    <sheetView workbookViewId="0"/>
  </sheetViews>
  <sheetFormatPr defaultRowHeight="13.5" x14ac:dyDescent="0.25"/>
  <cols>
    <col min="1" max="1" width="3.7109375" style="108" customWidth="1"/>
    <col min="2" max="3" width="4" style="108" bestFit="1" customWidth="1"/>
    <col min="4" max="4" width="6" style="108" bestFit="1" customWidth="1"/>
    <col min="5" max="5" width="21.42578125" style="108" bestFit="1" customWidth="1"/>
    <col min="6" max="6" width="26.5703125" style="109" bestFit="1" customWidth="1"/>
    <col min="7" max="7" width="38.28515625" style="108" customWidth="1"/>
    <col min="8" max="8" width="4.42578125" style="108" customWidth="1"/>
    <col min="9" max="9" width="9.140625" style="108"/>
    <col min="10" max="10" width="9.5703125" style="108" customWidth="1"/>
    <col min="11" max="18" width="9.140625" style="108"/>
    <col min="19" max="19" width="11.28515625" style="108" customWidth="1"/>
    <col min="20" max="23" width="9.140625" style="108"/>
    <col min="24" max="24" width="14.42578125" style="108" bestFit="1" customWidth="1"/>
    <col min="25" max="16384" width="9.140625" style="108"/>
  </cols>
  <sheetData>
    <row r="1" spans="1:28" ht="15" x14ac:dyDescent="0.25">
      <c r="A1" s="108" t="s">
        <v>259</v>
      </c>
      <c r="J1" s="26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2"/>
      <c r="AB1"/>
    </row>
    <row r="2" spans="1:28" ht="15.75" thickBot="1" x14ac:dyDescent="0.3">
      <c r="J2" s="211"/>
      <c r="K2" s="260"/>
      <c r="L2" s="260"/>
      <c r="M2" s="260"/>
      <c r="N2" s="260"/>
      <c r="O2" s="209" t="s">
        <v>235</v>
      </c>
      <c r="P2" s="260"/>
      <c r="Q2" s="260"/>
      <c r="R2" s="260"/>
      <c r="S2" s="260"/>
      <c r="T2" s="260"/>
      <c r="U2" s="182"/>
      <c r="V2" s="182"/>
      <c r="W2" s="182"/>
      <c r="X2" s="261" t="s">
        <v>175</v>
      </c>
      <c r="Y2" s="209" t="s">
        <v>2</v>
      </c>
      <c r="Z2" s="260"/>
      <c r="AA2" s="206"/>
      <c r="AB2"/>
    </row>
    <row r="3" spans="1:28" ht="15" x14ac:dyDescent="0.25">
      <c r="A3" s="129"/>
      <c r="B3" s="128"/>
      <c r="C3" s="128"/>
      <c r="D3" s="128"/>
      <c r="E3" s="126"/>
      <c r="F3" s="127"/>
      <c r="G3" s="126"/>
      <c r="H3" s="125"/>
      <c r="J3" s="187"/>
      <c r="K3" s="182"/>
      <c r="L3" s="260"/>
      <c r="M3" s="260"/>
      <c r="N3" s="260"/>
      <c r="O3" s="260"/>
      <c r="P3" s="260"/>
      <c r="Q3" s="260"/>
      <c r="R3" s="260"/>
      <c r="S3" s="260"/>
      <c r="T3" s="260"/>
      <c r="U3" s="182"/>
      <c r="V3" s="182"/>
      <c r="W3" s="182"/>
      <c r="X3" s="260"/>
      <c r="Y3" s="260"/>
      <c r="Z3" s="204">
        <f>_xll.ohTrigger(Z5:Z23)</f>
        <v>8</v>
      </c>
      <c r="AA3" s="178"/>
      <c r="AB3"/>
    </row>
    <row r="4" spans="1:28" ht="22.5" x14ac:dyDescent="0.25">
      <c r="A4" s="118"/>
      <c r="B4" s="124"/>
      <c r="C4" s="124"/>
      <c r="D4" s="123"/>
      <c r="E4" s="122" t="str">
        <f>Currency&amp;"_010_"&amp;"OIS.xml"</f>
        <v>HKD_010_OIS.xml</v>
      </c>
      <c r="F4" s="121">
        <f ca="1">IF(Serialize,_xll.ohObjectSave(_xll.ohPack(F5:F23),SerializationPath&amp;E4,FileOverwrite,,Serialize),"---")</f>
        <v>19</v>
      </c>
      <c r="G4" s="120" t="str">
        <f ca="1">_xll.ohRangeRetrieveError(F4)</f>
        <v/>
      </c>
      <c r="H4" s="114"/>
      <c r="J4" s="187"/>
      <c r="K4" s="331"/>
      <c r="L4" s="257"/>
      <c r="M4" s="257"/>
      <c r="N4" s="257"/>
      <c r="O4" s="203" t="str">
        <f>_xll.RData(O5:O23,P4:S4,,ReutersRtMode,,P5)</f>
        <v>On Pause</v>
      </c>
      <c r="P4" s="256" t="s">
        <v>213</v>
      </c>
      <c r="Q4" s="256" t="s">
        <v>188</v>
      </c>
      <c r="R4" s="256" t="s">
        <v>184</v>
      </c>
      <c r="S4" s="256" t="s">
        <v>212</v>
      </c>
      <c r="T4" s="198" t="s">
        <v>211</v>
      </c>
      <c r="U4" s="182"/>
      <c r="V4" s="201" t="s">
        <v>172</v>
      </c>
      <c r="W4" s="182"/>
      <c r="X4" s="200" t="s">
        <v>171</v>
      </c>
      <c r="Y4" s="330" t="s">
        <v>170</v>
      </c>
      <c r="Z4" s="329" t="s">
        <v>169</v>
      </c>
      <c r="AA4" s="178"/>
      <c r="AB4"/>
    </row>
    <row r="5" spans="1:28" ht="15" x14ac:dyDescent="0.25">
      <c r="A5" s="118"/>
      <c r="B5" s="117"/>
      <c r="C5" s="117" t="s">
        <v>107</v>
      </c>
      <c r="D5" s="119" t="s">
        <v>118</v>
      </c>
      <c r="E5" s="116" t="str">
        <f t="shared" ref="E5:E23" si="0">Currency&amp;$B5&amp;$C5&amp;$D5&amp;QuoteSuffix</f>
        <v>HKDOISSW_Quote</v>
      </c>
      <c r="F5" s="116" t="str">
        <f>_xll.qlSimpleQuote(Currency&amp;$B5&amp;$C5&amp;$D5&amp;QuoteSuffix,,RateTickValue,Permanent,Trigger,ObjectOverwrite)</f>
        <v>HKDOISSW_Quote#0010</v>
      </c>
      <c r="G5" s="115" t="str">
        <f>_xll.ohRangeRetrieveError(F5)</f>
        <v/>
      </c>
      <c r="H5" s="114"/>
      <c r="J5" s="187"/>
      <c r="K5" s="356"/>
      <c r="L5" s="238" t="s">
        <v>118</v>
      </c>
      <c r="M5" s="238" t="s">
        <v>107</v>
      </c>
      <c r="N5" s="236" t="str">
        <f>Currency&amp;$L5&amp;$K5&amp;$M5</f>
        <v>HKDSWOIS</v>
      </c>
      <c r="O5" s="236" t="str">
        <f t="shared" ref="O5:O23" si="1">N5&amp;"="&amp;VLOOKUP(Contributor,ContributorTable,2,FALSE)</f>
        <v>HKDSWOIS=ICHK</v>
      </c>
      <c r="P5" s="189" t="s">
        <v>168</v>
      </c>
      <c r="Q5" s="189" t="s">
        <v>168</v>
      </c>
      <c r="R5" s="189" t="s">
        <v>168</v>
      </c>
      <c r="S5" s="189" t="s">
        <v>168</v>
      </c>
      <c r="T5" s="184" t="e">
        <f t="shared" ref="T5:T23" si="2">AVERAGE($P5,$Q5)</f>
        <v>#DIV/0!</v>
      </c>
      <c r="U5" s="182"/>
      <c r="V5" s="195" t="e">
        <v>#DIV/0!</v>
      </c>
      <c r="W5" s="182"/>
      <c r="X5" s="194" t="str">
        <f t="shared" ref="X5:X23" si="3">Currency&amp;$M5&amp;$L5&amp;$K5&amp;$Y$2</f>
        <v>HKDOISSW_Quote</v>
      </c>
      <c r="Y5" s="193" t="e">
        <f t="array" ref="Y5:Y23">QuoteLive</f>
        <v>#DIV/0!</v>
      </c>
      <c r="Z5" s="192" t="e">
        <f>_xll.qlSimpleQuoteSetValue($X5,$Y5/100,Trigger)</f>
        <v>#NUM!</v>
      </c>
      <c r="AA5" s="178"/>
      <c r="AB5"/>
    </row>
    <row r="6" spans="1:28" ht="15" x14ac:dyDescent="0.25">
      <c r="A6" s="118"/>
      <c r="B6" s="117"/>
      <c r="C6" s="117" t="s">
        <v>107</v>
      </c>
      <c r="D6" s="119" t="s">
        <v>117</v>
      </c>
      <c r="E6" s="116" t="str">
        <f t="shared" si="0"/>
        <v>HKDOIS2W_Quote</v>
      </c>
      <c r="F6" s="116" t="str">
        <f>_xll.qlSimpleQuote(Currency&amp;$B6&amp;$C6&amp;$D6&amp;QuoteSuffix,,RateTickValue,Permanent,Trigger,ObjectOverwrite)</f>
        <v>HKDOIS2W_Quote#0010</v>
      </c>
      <c r="G6" s="115" t="str">
        <f>_xll.ohRangeRetrieveError(F6)</f>
        <v/>
      </c>
      <c r="H6" s="114"/>
      <c r="J6" s="187"/>
      <c r="K6" s="356"/>
      <c r="L6" s="238" t="s">
        <v>117</v>
      </c>
      <c r="M6" s="238" t="s">
        <v>107</v>
      </c>
      <c r="N6" s="236" t="str">
        <f t="shared" ref="N6:N23" si="4">Currency&amp;$L6&amp;$M6&amp;$K6</f>
        <v>HKD2WOIS</v>
      </c>
      <c r="O6" s="236" t="str">
        <f t="shared" si="1"/>
        <v>HKD2WOIS=ICHK</v>
      </c>
      <c r="P6" s="189" t="s">
        <v>168</v>
      </c>
      <c r="Q6" s="189" t="s">
        <v>168</v>
      </c>
      <c r="R6" s="189" t="s">
        <v>168</v>
      </c>
      <c r="S6" s="189" t="s">
        <v>168</v>
      </c>
      <c r="T6" s="184" t="e">
        <f t="shared" si="2"/>
        <v>#DIV/0!</v>
      </c>
      <c r="U6" s="182"/>
      <c r="V6" s="191" t="e">
        <v>#DIV/0!</v>
      </c>
      <c r="W6" s="182"/>
      <c r="X6" s="190" t="str">
        <f t="shared" si="3"/>
        <v>HKDOIS2W_Quote</v>
      </c>
      <c r="Y6" s="189" t="e">
        <v>#DIV/0!</v>
      </c>
      <c r="Z6" s="188" t="e">
        <f>_xll.qlSimpleQuoteSetValue($X6,$Y6/100,Trigger)</f>
        <v>#NUM!</v>
      </c>
      <c r="AA6" s="178"/>
      <c r="AB6"/>
    </row>
    <row r="7" spans="1:28" ht="15" x14ac:dyDescent="0.25">
      <c r="A7" s="118"/>
      <c r="B7" s="117"/>
      <c r="C7" s="117" t="s">
        <v>107</v>
      </c>
      <c r="D7" s="119" t="s">
        <v>116</v>
      </c>
      <c r="E7" s="116" t="str">
        <f t="shared" si="0"/>
        <v>HKDOIS3W_Quote</v>
      </c>
      <c r="F7" s="116" t="str">
        <f>_xll.qlSimpleQuote(Currency&amp;$B7&amp;$C7&amp;$D7&amp;QuoteSuffix,,RateTickValue,Permanent,Trigger,ObjectOverwrite)</f>
        <v>HKDOIS3W_Quote#0010</v>
      </c>
      <c r="G7" s="115" t="str">
        <f>_xll.ohRangeRetrieveError(F7)</f>
        <v/>
      </c>
      <c r="H7" s="114"/>
      <c r="J7" s="187"/>
      <c r="K7" s="356"/>
      <c r="L7" s="238" t="s">
        <v>116</v>
      </c>
      <c r="M7" s="238" t="s">
        <v>107</v>
      </c>
      <c r="N7" s="236" t="str">
        <f t="shared" si="4"/>
        <v>HKD3WOIS</v>
      </c>
      <c r="O7" s="236" t="str">
        <f t="shared" si="1"/>
        <v>HKD3WOIS=ICHK</v>
      </c>
      <c r="P7" s="189" t="s">
        <v>168</v>
      </c>
      <c r="Q7" s="189" t="s">
        <v>168</v>
      </c>
      <c r="R7" s="189" t="s">
        <v>168</v>
      </c>
      <c r="S7" s="189" t="s">
        <v>168</v>
      </c>
      <c r="T7" s="184" t="e">
        <f t="shared" si="2"/>
        <v>#DIV/0!</v>
      </c>
      <c r="U7" s="182"/>
      <c r="V7" s="191" t="e">
        <v>#DIV/0!</v>
      </c>
      <c r="W7" s="182"/>
      <c r="X7" s="190" t="str">
        <f t="shared" si="3"/>
        <v>HKDOIS3W_Quote</v>
      </c>
      <c r="Y7" s="189" t="e">
        <v>#DIV/0!</v>
      </c>
      <c r="Z7" s="188" t="e">
        <f>_xll.qlSimpleQuoteSetValue($X7,$Y7/100,Trigger)</f>
        <v>#NUM!</v>
      </c>
      <c r="AA7" s="178"/>
      <c r="AB7"/>
    </row>
    <row r="8" spans="1:28" ht="15" x14ac:dyDescent="0.25">
      <c r="A8" s="118"/>
      <c r="B8" s="117"/>
      <c r="C8" s="117" t="s">
        <v>107</v>
      </c>
      <c r="D8" s="119" t="s">
        <v>104</v>
      </c>
      <c r="E8" s="116" t="str">
        <f t="shared" si="0"/>
        <v>HKDOIS1M_Quote</v>
      </c>
      <c r="F8" s="116" t="str">
        <f>_xll.qlSimpleQuote(Currency&amp;$B8&amp;$C8&amp;$D8&amp;QuoteSuffix,,RateTickValue,Permanent,Trigger,ObjectOverwrite)</f>
        <v>HKDOIS1M_Quote#0010</v>
      </c>
      <c r="G8" s="115" t="str">
        <f>_xll.ohRangeRetrieveError(F8)</f>
        <v/>
      </c>
      <c r="H8" s="114"/>
      <c r="J8" s="187"/>
      <c r="K8" s="356"/>
      <c r="L8" s="238" t="s">
        <v>104</v>
      </c>
      <c r="M8" s="238" t="s">
        <v>107</v>
      </c>
      <c r="N8" s="236" t="str">
        <f t="shared" si="4"/>
        <v>HKD1MOIS</v>
      </c>
      <c r="O8" s="236" t="str">
        <f t="shared" si="1"/>
        <v>HKD1MOIS=ICHK</v>
      </c>
      <c r="P8" s="189">
        <v>0</v>
      </c>
      <c r="Q8" s="189">
        <v>0.1</v>
      </c>
      <c r="R8" s="189">
        <v>0</v>
      </c>
      <c r="S8" s="189">
        <v>0</v>
      </c>
      <c r="T8" s="184">
        <f t="shared" si="2"/>
        <v>0.05</v>
      </c>
      <c r="U8" s="182"/>
      <c r="V8" s="191">
        <v>0.05</v>
      </c>
      <c r="W8" s="182"/>
      <c r="X8" s="190" t="str">
        <f t="shared" si="3"/>
        <v>HKDOIS1M_Quote</v>
      </c>
      <c r="Y8" s="189">
        <v>0.05</v>
      </c>
      <c r="Z8" s="188" t="e">
        <f>_xll.qlSimpleQuoteSetValue($X8,$Y8/100,Trigger)</f>
        <v>#N/A</v>
      </c>
      <c r="AA8" s="178"/>
      <c r="AB8"/>
    </row>
    <row r="9" spans="1:28" ht="15" x14ac:dyDescent="0.25">
      <c r="A9" s="118"/>
      <c r="B9" s="117"/>
      <c r="C9" s="117" t="s">
        <v>107</v>
      </c>
      <c r="D9" s="119" t="s">
        <v>115</v>
      </c>
      <c r="E9" s="116" t="str">
        <f t="shared" si="0"/>
        <v>HKDOIS2M_Quote</v>
      </c>
      <c r="F9" s="116" t="str">
        <f>_xll.qlSimpleQuote(Currency&amp;$B9&amp;$C9&amp;$D9&amp;QuoteSuffix,,RateTickValue,Permanent,Trigger,ObjectOverwrite)</f>
        <v>HKDOIS2M_Quote#0010</v>
      </c>
      <c r="G9" s="115" t="str">
        <f>_xll.ohRangeRetrieveError(F9)</f>
        <v/>
      </c>
      <c r="H9" s="114"/>
      <c r="J9" s="187"/>
      <c r="K9" s="356"/>
      <c r="L9" s="238" t="s">
        <v>115</v>
      </c>
      <c r="M9" s="238" t="s">
        <v>107</v>
      </c>
      <c r="N9" s="236" t="str">
        <f t="shared" si="4"/>
        <v>HKD2MOIS</v>
      </c>
      <c r="O9" s="236" t="str">
        <f t="shared" si="1"/>
        <v>HKD2MOIS=ICHK</v>
      </c>
      <c r="P9" s="189">
        <v>0.02</v>
      </c>
      <c r="Q9" s="189">
        <v>0.12</v>
      </c>
      <c r="R9" s="189">
        <v>0</v>
      </c>
      <c r="S9" s="189">
        <v>0</v>
      </c>
      <c r="T9" s="184">
        <f t="shared" si="2"/>
        <v>6.9999999999999993E-2</v>
      </c>
      <c r="U9" s="182"/>
      <c r="V9" s="191">
        <v>6.9999999999999993E-2</v>
      </c>
      <c r="W9" s="182"/>
      <c r="X9" s="190" t="str">
        <f t="shared" si="3"/>
        <v>HKDOIS2M_Quote</v>
      </c>
      <c r="Y9" s="189">
        <v>6.9999999999999993E-2</v>
      </c>
      <c r="Z9" s="188" t="e">
        <f>_xll.qlSimpleQuoteSetValue($X9,$Y9/100,Trigger)</f>
        <v>#N/A</v>
      </c>
      <c r="AA9" s="178"/>
      <c r="AB9"/>
    </row>
    <row r="10" spans="1:28" ht="15" x14ac:dyDescent="0.25">
      <c r="A10" s="118"/>
      <c r="B10" s="117"/>
      <c r="C10" s="117" t="s">
        <v>107</v>
      </c>
      <c r="D10" s="119" t="s">
        <v>106</v>
      </c>
      <c r="E10" s="116" t="str">
        <f t="shared" si="0"/>
        <v>HKDOIS3M_Quote</v>
      </c>
      <c r="F10" s="116" t="str">
        <f>_xll.qlSimpleQuote(Currency&amp;$B10&amp;$C10&amp;$D10&amp;QuoteSuffix,,RateTickValue,Permanent,Trigger,ObjectOverwrite)</f>
        <v>HKDOIS3M_Quote#0010</v>
      </c>
      <c r="G10" s="115" t="str">
        <f>_xll.ohRangeRetrieveError(F10)</f>
        <v/>
      </c>
      <c r="H10" s="114"/>
      <c r="J10" s="187"/>
      <c r="K10" s="356"/>
      <c r="L10" s="238" t="s">
        <v>106</v>
      </c>
      <c r="M10" s="238" t="s">
        <v>107</v>
      </c>
      <c r="N10" s="236" t="str">
        <f t="shared" si="4"/>
        <v>HKD3MOIS</v>
      </c>
      <c r="O10" s="236" t="str">
        <f t="shared" si="1"/>
        <v>HKD3MOIS=ICHK</v>
      </c>
      <c r="P10" s="189">
        <v>0.04</v>
      </c>
      <c r="Q10" s="189">
        <v>0.14000000000000001</v>
      </c>
      <c r="R10" s="189">
        <v>0</v>
      </c>
      <c r="S10" s="189">
        <v>0</v>
      </c>
      <c r="T10" s="184">
        <f t="shared" si="2"/>
        <v>9.0000000000000011E-2</v>
      </c>
      <c r="U10" s="182"/>
      <c r="V10" s="191">
        <v>9.0000000000000011E-2</v>
      </c>
      <c r="W10" s="182"/>
      <c r="X10" s="190" t="str">
        <f t="shared" si="3"/>
        <v>HKDOIS3M_Quote</v>
      </c>
      <c r="Y10" s="189">
        <v>9.0000000000000011E-2</v>
      </c>
      <c r="Z10" s="188" t="e">
        <f>_xll.qlSimpleQuoteSetValue($X10,$Y10/100,Trigger)</f>
        <v>#N/A</v>
      </c>
      <c r="AA10" s="178"/>
      <c r="AB10"/>
    </row>
    <row r="11" spans="1:28" ht="15" x14ac:dyDescent="0.25">
      <c r="A11" s="118"/>
      <c r="B11" s="117"/>
      <c r="C11" s="117" t="s">
        <v>107</v>
      </c>
      <c r="D11" s="119" t="s">
        <v>114</v>
      </c>
      <c r="E11" s="116" t="str">
        <f t="shared" si="0"/>
        <v>HKDOIS4M_Quote</v>
      </c>
      <c r="F11" s="116" t="str">
        <f>_xll.qlSimpleQuote(Currency&amp;$B11&amp;$C11&amp;$D11&amp;QuoteSuffix,,RateTickValue,Permanent,Trigger,ObjectOverwrite)</f>
        <v>HKDOIS4M_Quote#0010</v>
      </c>
      <c r="G11" s="115" t="str">
        <f>_xll.ohRangeRetrieveError(F11)</f>
        <v/>
      </c>
      <c r="H11" s="114"/>
      <c r="J11" s="187"/>
      <c r="K11" s="356"/>
      <c r="L11" s="238" t="s">
        <v>114</v>
      </c>
      <c r="M11" s="238" t="s">
        <v>107</v>
      </c>
      <c r="N11" s="236" t="str">
        <f t="shared" si="4"/>
        <v>HKD4MOIS</v>
      </c>
      <c r="O11" s="236" t="str">
        <f t="shared" si="1"/>
        <v>HKD4MOIS=ICHK</v>
      </c>
      <c r="P11" s="189">
        <v>7.0000000000000007E-2</v>
      </c>
      <c r="Q11" s="189">
        <v>0.17</v>
      </c>
      <c r="R11" s="189">
        <v>0</v>
      </c>
      <c r="S11" s="189">
        <v>0</v>
      </c>
      <c r="T11" s="184">
        <f t="shared" si="2"/>
        <v>0.12000000000000001</v>
      </c>
      <c r="U11" s="182"/>
      <c r="V11" s="191">
        <v>0.12000000000000001</v>
      </c>
      <c r="W11" s="182"/>
      <c r="X11" s="190" t="str">
        <f t="shared" si="3"/>
        <v>HKDOIS4M_Quote</v>
      </c>
      <c r="Y11" s="189">
        <v>0.12000000000000001</v>
      </c>
      <c r="Z11" s="188" t="e">
        <f>_xll.qlSimpleQuoteSetValue($X11,$Y11/100,Trigger)</f>
        <v>#N/A</v>
      </c>
      <c r="AA11" s="178"/>
      <c r="AB11"/>
    </row>
    <row r="12" spans="1:28" ht="15" x14ac:dyDescent="0.25">
      <c r="A12" s="118"/>
      <c r="B12" s="117"/>
      <c r="C12" s="117" t="s">
        <v>107</v>
      </c>
      <c r="D12" s="119" t="s">
        <v>113</v>
      </c>
      <c r="E12" s="116" t="str">
        <f t="shared" si="0"/>
        <v>HKDOIS5M_Quote</v>
      </c>
      <c r="F12" s="116" t="str">
        <f>_xll.qlSimpleQuote(Currency&amp;$B12&amp;$C12&amp;$D12&amp;QuoteSuffix,,RateTickValue,Permanent,Trigger,ObjectOverwrite)</f>
        <v>HKDOIS5M_Quote#0010</v>
      </c>
      <c r="G12" s="115" t="str">
        <f>_xll.ohRangeRetrieveError(F12)</f>
        <v/>
      </c>
      <c r="H12" s="114"/>
      <c r="J12" s="187"/>
      <c r="K12" s="356"/>
      <c r="L12" s="238" t="s">
        <v>113</v>
      </c>
      <c r="M12" s="238" t="s">
        <v>107</v>
      </c>
      <c r="N12" s="236" t="str">
        <f t="shared" si="4"/>
        <v>HKD5MOIS</v>
      </c>
      <c r="O12" s="236" t="str">
        <f t="shared" si="1"/>
        <v>HKD5MOIS=ICHK</v>
      </c>
      <c r="P12" s="189">
        <v>0.05</v>
      </c>
      <c r="Q12" s="189">
        <v>0.15</v>
      </c>
      <c r="R12" s="189">
        <v>0</v>
      </c>
      <c r="S12" s="189">
        <v>0</v>
      </c>
      <c r="T12" s="184">
        <f t="shared" si="2"/>
        <v>0.1</v>
      </c>
      <c r="U12" s="182"/>
      <c r="V12" s="191">
        <v>0.1</v>
      </c>
      <c r="W12" s="182"/>
      <c r="X12" s="190" t="str">
        <f t="shared" si="3"/>
        <v>HKDOIS5M_Quote</v>
      </c>
      <c r="Y12" s="189">
        <v>0.1</v>
      </c>
      <c r="Z12" s="188" t="e">
        <f>_xll.qlSimpleQuoteSetValue($X12,$Y12/100,Trigger)</f>
        <v>#N/A</v>
      </c>
      <c r="AA12" s="178"/>
      <c r="AB12"/>
    </row>
    <row r="13" spans="1:28" ht="15" x14ac:dyDescent="0.25">
      <c r="A13" s="118"/>
      <c r="B13" s="117"/>
      <c r="C13" s="117" t="s">
        <v>107</v>
      </c>
      <c r="D13" s="119" t="s">
        <v>61</v>
      </c>
      <c r="E13" s="116" t="str">
        <f t="shared" si="0"/>
        <v>HKDOIS6M_Quote</v>
      </c>
      <c r="F13" s="116" t="str">
        <f>_xll.qlSimpleQuote(Currency&amp;$B13&amp;$C13&amp;$D13&amp;QuoteSuffix,,RateTickValue,Permanent,Trigger,ObjectOverwrite)</f>
        <v>HKDOIS6M_Quote#0010</v>
      </c>
      <c r="G13" s="115" t="str">
        <f>_xll.ohRangeRetrieveError(F13)</f>
        <v/>
      </c>
      <c r="H13" s="114"/>
      <c r="J13" s="187"/>
      <c r="K13" s="356"/>
      <c r="L13" s="238" t="s">
        <v>61</v>
      </c>
      <c r="M13" s="238" t="s">
        <v>107</v>
      </c>
      <c r="N13" s="236" t="str">
        <f t="shared" si="4"/>
        <v>HKD6MOIS</v>
      </c>
      <c r="O13" s="236" t="str">
        <f t="shared" si="1"/>
        <v>HKD6MOIS=ICHK</v>
      </c>
      <c r="P13" s="189">
        <v>0.06</v>
      </c>
      <c r="Q13" s="189">
        <v>0.16</v>
      </c>
      <c r="R13" s="189">
        <v>0</v>
      </c>
      <c r="S13" s="189">
        <v>0</v>
      </c>
      <c r="T13" s="184">
        <f t="shared" si="2"/>
        <v>0.11</v>
      </c>
      <c r="U13" s="182"/>
      <c r="V13" s="191">
        <v>0.11</v>
      </c>
      <c r="W13" s="182"/>
      <c r="X13" s="190" t="str">
        <f t="shared" si="3"/>
        <v>HKDOIS6M_Quote</v>
      </c>
      <c r="Y13" s="189">
        <v>0.11</v>
      </c>
      <c r="Z13" s="188" t="e">
        <f>_xll.qlSimpleQuoteSetValue($X13,$Y13/100,Trigger)</f>
        <v>#N/A</v>
      </c>
      <c r="AA13" s="178"/>
      <c r="AB13"/>
    </row>
    <row r="14" spans="1:28" ht="15" x14ac:dyDescent="0.25">
      <c r="A14" s="118"/>
      <c r="B14" s="117"/>
      <c r="C14" s="117" t="s">
        <v>107</v>
      </c>
      <c r="D14" s="119" t="s">
        <v>112</v>
      </c>
      <c r="E14" s="116" t="str">
        <f t="shared" si="0"/>
        <v>HKDOIS7M_Quote</v>
      </c>
      <c r="F14" s="116" t="str">
        <f>_xll.qlSimpleQuote(Currency&amp;$B14&amp;$C14&amp;$D14&amp;QuoteSuffix,,RateTickValue,Permanent,Trigger,ObjectOverwrite)</f>
        <v>HKDOIS7M_Quote#0010</v>
      </c>
      <c r="G14" s="115" t="str">
        <f>_xll.ohRangeRetrieveError(F14)</f>
        <v/>
      </c>
      <c r="H14" s="114"/>
      <c r="J14" s="187"/>
      <c r="K14" s="356"/>
      <c r="L14" s="238" t="s">
        <v>112</v>
      </c>
      <c r="M14" s="238" t="s">
        <v>107</v>
      </c>
      <c r="N14" s="236" t="str">
        <f t="shared" si="4"/>
        <v>HKD7MOIS</v>
      </c>
      <c r="O14" s="236" t="str">
        <f t="shared" si="1"/>
        <v>HKD7MOIS=ICHK</v>
      </c>
      <c r="P14" s="189" t="s">
        <v>168</v>
      </c>
      <c r="Q14" s="189" t="s">
        <v>168</v>
      </c>
      <c r="R14" s="189" t="s">
        <v>168</v>
      </c>
      <c r="S14" s="189" t="s">
        <v>168</v>
      </c>
      <c r="T14" s="184" t="e">
        <f t="shared" si="2"/>
        <v>#DIV/0!</v>
      </c>
      <c r="U14" s="182"/>
      <c r="V14" s="191" t="e">
        <v>#DIV/0!</v>
      </c>
      <c r="W14" s="182"/>
      <c r="X14" s="190" t="str">
        <f t="shared" si="3"/>
        <v>HKDOIS7M_Quote</v>
      </c>
      <c r="Y14" s="189" t="e">
        <v>#DIV/0!</v>
      </c>
      <c r="Z14" s="188" t="e">
        <f>_xll.qlSimpleQuoteSetValue($X14,$Y14/100,Trigger)</f>
        <v>#NUM!</v>
      </c>
      <c r="AA14" s="178"/>
      <c r="AB14"/>
    </row>
    <row r="15" spans="1:28" ht="15" x14ac:dyDescent="0.25">
      <c r="A15" s="118"/>
      <c r="B15" s="117"/>
      <c r="C15" s="117" t="s">
        <v>107</v>
      </c>
      <c r="D15" s="119" t="s">
        <v>111</v>
      </c>
      <c r="E15" s="116" t="str">
        <f t="shared" si="0"/>
        <v>HKDOIS8M_Quote</v>
      </c>
      <c r="F15" s="116" t="str">
        <f>_xll.qlSimpleQuote(Currency&amp;$B15&amp;$C15&amp;$D15&amp;QuoteSuffix,,RateTickValue,Permanent,Trigger,ObjectOverwrite)</f>
        <v>HKDOIS8M_Quote#0010</v>
      </c>
      <c r="G15" s="115" t="str">
        <f>_xll.ohRangeRetrieveError(F15)</f>
        <v/>
      </c>
      <c r="H15" s="114"/>
      <c r="J15" s="187"/>
      <c r="K15" s="356"/>
      <c r="L15" s="238" t="s">
        <v>111</v>
      </c>
      <c r="M15" s="238" t="s">
        <v>107</v>
      </c>
      <c r="N15" s="236" t="str">
        <f t="shared" si="4"/>
        <v>HKD8MOIS</v>
      </c>
      <c r="O15" s="236" t="str">
        <f t="shared" si="1"/>
        <v>HKD8MOIS=ICHK</v>
      </c>
      <c r="P15" s="189" t="s">
        <v>168</v>
      </c>
      <c r="Q15" s="189" t="s">
        <v>168</v>
      </c>
      <c r="R15" s="189" t="s">
        <v>168</v>
      </c>
      <c r="S15" s="189" t="s">
        <v>168</v>
      </c>
      <c r="T15" s="184" t="e">
        <f t="shared" si="2"/>
        <v>#DIV/0!</v>
      </c>
      <c r="U15" s="182"/>
      <c r="V15" s="191" t="e">
        <v>#DIV/0!</v>
      </c>
      <c r="W15" s="182"/>
      <c r="X15" s="190" t="str">
        <f t="shared" si="3"/>
        <v>HKDOIS8M_Quote</v>
      </c>
      <c r="Y15" s="189" t="e">
        <v>#DIV/0!</v>
      </c>
      <c r="Z15" s="188" t="e">
        <f>_xll.qlSimpleQuoteSetValue($X15,$Y15/100,Trigger)</f>
        <v>#NUM!</v>
      </c>
      <c r="AA15" s="178"/>
      <c r="AB15"/>
    </row>
    <row r="16" spans="1:28" ht="15" x14ac:dyDescent="0.25">
      <c r="A16" s="118"/>
      <c r="B16" s="117"/>
      <c r="C16" s="117" t="s">
        <v>107</v>
      </c>
      <c r="D16" s="119" t="s">
        <v>110</v>
      </c>
      <c r="E16" s="116" t="str">
        <f t="shared" si="0"/>
        <v>HKDOIS9M_Quote</v>
      </c>
      <c r="F16" s="116" t="str">
        <f>_xll.qlSimpleQuote(Currency&amp;$B16&amp;$C16&amp;$D16&amp;QuoteSuffix,,RateTickValue,Permanent,Trigger,ObjectOverwrite)</f>
        <v>HKDOIS9M_Quote#0010</v>
      </c>
      <c r="G16" s="115" t="str">
        <f>_xll.ohRangeRetrieveError(F16)</f>
        <v/>
      </c>
      <c r="H16" s="114"/>
      <c r="J16" s="187"/>
      <c r="K16" s="356"/>
      <c r="L16" s="238" t="s">
        <v>110</v>
      </c>
      <c r="M16" s="238" t="s">
        <v>107</v>
      </c>
      <c r="N16" s="236" t="str">
        <f t="shared" si="4"/>
        <v>HKD9MOIS</v>
      </c>
      <c r="O16" s="236" t="str">
        <f t="shared" si="1"/>
        <v>HKD9MOIS=ICHK</v>
      </c>
      <c r="P16" s="189">
        <v>0.12</v>
      </c>
      <c r="Q16" s="189">
        <v>0.22</v>
      </c>
      <c r="R16" s="189">
        <v>0</v>
      </c>
      <c r="S16" s="189">
        <v>0</v>
      </c>
      <c r="T16" s="184">
        <f t="shared" si="2"/>
        <v>0.16999999999999998</v>
      </c>
      <c r="U16" s="182"/>
      <c r="V16" s="191">
        <v>0.16999999999999998</v>
      </c>
      <c r="W16" s="182"/>
      <c r="X16" s="190" t="str">
        <f t="shared" si="3"/>
        <v>HKDOIS9M_Quote</v>
      </c>
      <c r="Y16" s="189">
        <v>0.16999999999999998</v>
      </c>
      <c r="Z16" s="188" t="e">
        <f>_xll.qlSimpleQuoteSetValue($X16,$Y16/100,Trigger)</f>
        <v>#N/A</v>
      </c>
      <c r="AA16" s="178"/>
      <c r="AB16"/>
    </row>
    <row r="17" spans="1:28" ht="15" x14ac:dyDescent="0.25">
      <c r="A17" s="118"/>
      <c r="B17" s="117"/>
      <c r="C17" s="117" t="s">
        <v>107</v>
      </c>
      <c r="D17" s="119" t="s">
        <v>109</v>
      </c>
      <c r="E17" s="116" t="str">
        <f t="shared" si="0"/>
        <v>HKDOIS10M_Quote</v>
      </c>
      <c r="F17" s="116" t="str">
        <f>_xll.qlSimpleQuote(Currency&amp;$B17&amp;$C17&amp;$D17&amp;QuoteSuffix,,RateTickValue,Permanent,Trigger,ObjectOverwrite)</f>
        <v>HKDOIS10M_Quote#0010</v>
      </c>
      <c r="G17" s="115" t="str">
        <f>_xll.ohRangeRetrieveError(F17)</f>
        <v/>
      </c>
      <c r="H17" s="114"/>
      <c r="J17" s="187"/>
      <c r="K17" s="356"/>
      <c r="L17" s="238" t="s">
        <v>109</v>
      </c>
      <c r="M17" s="238" t="s">
        <v>107</v>
      </c>
      <c r="N17" s="236" t="str">
        <f t="shared" si="4"/>
        <v>HKD10MOIS</v>
      </c>
      <c r="O17" s="236" t="str">
        <f t="shared" si="1"/>
        <v>HKD10MOIS=ICHK</v>
      </c>
      <c r="P17" s="189" t="s">
        <v>168</v>
      </c>
      <c r="Q17" s="189" t="s">
        <v>168</v>
      </c>
      <c r="R17" s="189" t="s">
        <v>168</v>
      </c>
      <c r="S17" s="189" t="s">
        <v>168</v>
      </c>
      <c r="T17" s="184" t="e">
        <f t="shared" si="2"/>
        <v>#DIV/0!</v>
      </c>
      <c r="U17" s="182"/>
      <c r="V17" s="191" t="e">
        <v>#DIV/0!</v>
      </c>
      <c r="W17" s="182"/>
      <c r="X17" s="190" t="str">
        <f t="shared" si="3"/>
        <v>HKDOIS10M_Quote</v>
      </c>
      <c r="Y17" s="189" t="e">
        <v>#DIV/0!</v>
      </c>
      <c r="Z17" s="188" t="e">
        <f>_xll.qlSimpleQuoteSetValue($X17,$Y17/100,Trigger)</f>
        <v>#NUM!</v>
      </c>
      <c r="AA17" s="178"/>
      <c r="AB17"/>
    </row>
    <row r="18" spans="1:28" ht="15" x14ac:dyDescent="0.25">
      <c r="A18" s="118"/>
      <c r="B18" s="117"/>
      <c r="C18" s="117" t="s">
        <v>107</v>
      </c>
      <c r="D18" s="119" t="s">
        <v>108</v>
      </c>
      <c r="E18" s="116" t="str">
        <f t="shared" si="0"/>
        <v>HKDOIS11M_Quote</v>
      </c>
      <c r="F18" s="116" t="str">
        <f>_xll.qlSimpleQuote(Currency&amp;$B18&amp;$C18&amp;$D18&amp;QuoteSuffix,,RateTickValue,Permanent,Trigger,ObjectOverwrite)</f>
        <v>HKDOIS11M_Quote#0010</v>
      </c>
      <c r="G18" s="115" t="str">
        <f>_xll.ohRangeRetrieveError(F18)</f>
        <v/>
      </c>
      <c r="H18" s="114"/>
      <c r="J18" s="187"/>
      <c r="K18" s="356"/>
      <c r="L18" s="238" t="s">
        <v>108</v>
      </c>
      <c r="M18" s="238" t="s">
        <v>107</v>
      </c>
      <c r="N18" s="236" t="str">
        <f t="shared" si="4"/>
        <v>HKD11MOIS</v>
      </c>
      <c r="O18" s="236" t="str">
        <f t="shared" si="1"/>
        <v>HKD11MOIS=ICHK</v>
      </c>
      <c r="P18" s="189" t="s">
        <v>168</v>
      </c>
      <c r="Q18" s="189" t="s">
        <v>168</v>
      </c>
      <c r="R18" s="189" t="s">
        <v>168</v>
      </c>
      <c r="S18" s="189" t="s">
        <v>168</v>
      </c>
      <c r="T18" s="184" t="e">
        <f t="shared" si="2"/>
        <v>#DIV/0!</v>
      </c>
      <c r="U18" s="182"/>
      <c r="V18" s="191" t="e">
        <v>#DIV/0!</v>
      </c>
      <c r="W18" s="182"/>
      <c r="X18" s="190" t="str">
        <f t="shared" si="3"/>
        <v>HKDOIS11M_Quote</v>
      </c>
      <c r="Y18" s="189" t="e">
        <v>#DIV/0!</v>
      </c>
      <c r="Z18" s="188" t="e">
        <f>_xll.qlSimpleQuoteSetValue($X18,$Y18/100,Trigger)</f>
        <v>#NUM!</v>
      </c>
      <c r="AA18" s="178"/>
      <c r="AB18"/>
    </row>
    <row r="19" spans="1:28" ht="15" x14ac:dyDescent="0.25">
      <c r="A19" s="118"/>
      <c r="B19" s="117"/>
      <c r="C19" s="117" t="s">
        <v>107</v>
      </c>
      <c r="D19" s="119" t="s">
        <v>60</v>
      </c>
      <c r="E19" s="116" t="str">
        <f t="shared" si="0"/>
        <v>HKDOIS1Y_Quote</v>
      </c>
      <c r="F19" s="116" t="str">
        <f>_xll.qlSimpleQuote(Currency&amp;$B19&amp;$C19&amp;$D19&amp;QuoteSuffix,,RateTickValue,Permanent,Trigger,ObjectOverwrite)</f>
        <v>HKDOIS1Y_Quote#0010</v>
      </c>
      <c r="G19" s="115" t="str">
        <f>_xll.ohRangeRetrieveError(F19)</f>
        <v/>
      </c>
      <c r="H19" s="114"/>
      <c r="J19" s="187"/>
      <c r="K19" s="356"/>
      <c r="L19" s="238" t="s">
        <v>60</v>
      </c>
      <c r="M19" s="238" t="s">
        <v>107</v>
      </c>
      <c r="N19" s="236" t="str">
        <f t="shared" si="4"/>
        <v>HKD1YOIS</v>
      </c>
      <c r="O19" s="236" t="str">
        <f t="shared" si="1"/>
        <v>HKD1YOIS=ICHK</v>
      </c>
      <c r="P19" s="189">
        <v>0.15</v>
      </c>
      <c r="Q19" s="189">
        <v>0.25</v>
      </c>
      <c r="R19" s="189">
        <v>0</v>
      </c>
      <c r="S19" s="189">
        <v>0</v>
      </c>
      <c r="T19" s="184">
        <f t="shared" si="2"/>
        <v>0.2</v>
      </c>
      <c r="U19" s="182"/>
      <c r="V19" s="191">
        <v>0.2</v>
      </c>
      <c r="W19" s="182"/>
      <c r="X19" s="190" t="str">
        <f t="shared" si="3"/>
        <v>HKDOIS1Y_Quote</v>
      </c>
      <c r="Y19" s="189">
        <v>0.2</v>
      </c>
      <c r="Z19" s="188" t="e">
        <f>_xll.qlSimpleQuoteSetValue($X19,$Y19/100,Trigger)</f>
        <v>#N/A</v>
      </c>
      <c r="AA19" s="178"/>
      <c r="AB19"/>
    </row>
    <row r="20" spans="1:28" ht="15" x14ac:dyDescent="0.25">
      <c r="A20" s="118"/>
      <c r="B20" s="117"/>
      <c r="C20" s="117" t="s">
        <v>107</v>
      </c>
      <c r="D20" s="119" t="s">
        <v>59</v>
      </c>
      <c r="E20" s="116" t="str">
        <f t="shared" si="0"/>
        <v>HKDOIS15M_Quote</v>
      </c>
      <c r="F20" s="116" t="str">
        <f>_xll.qlSimpleQuote(Currency&amp;$B20&amp;$C20&amp;$D20&amp;QuoteSuffix,,RateTickValue,Permanent,Trigger,ObjectOverwrite)</f>
        <v>HKDOIS15M_Quote#0010</v>
      </c>
      <c r="G20" s="115" t="str">
        <f>_xll.ohRangeRetrieveError(F20)</f>
        <v/>
      </c>
      <c r="H20" s="114"/>
      <c r="J20" s="187"/>
      <c r="K20" s="356"/>
      <c r="L20" s="238" t="s">
        <v>59</v>
      </c>
      <c r="M20" s="238" t="s">
        <v>107</v>
      </c>
      <c r="N20" s="236" t="str">
        <f t="shared" si="4"/>
        <v>HKD15MOIS</v>
      </c>
      <c r="O20" s="236" t="str">
        <f t="shared" si="1"/>
        <v>HKD15MOIS=ICHK</v>
      </c>
      <c r="P20" s="189" t="s">
        <v>168</v>
      </c>
      <c r="Q20" s="189" t="s">
        <v>168</v>
      </c>
      <c r="R20" s="189" t="s">
        <v>168</v>
      </c>
      <c r="S20" s="189" t="s">
        <v>168</v>
      </c>
      <c r="T20" s="184" t="e">
        <f t="shared" si="2"/>
        <v>#DIV/0!</v>
      </c>
      <c r="U20" s="182"/>
      <c r="V20" s="191" t="e">
        <v>#DIV/0!</v>
      </c>
      <c r="W20" s="182"/>
      <c r="X20" s="190" t="str">
        <f t="shared" si="3"/>
        <v>HKDOIS15M_Quote</v>
      </c>
      <c r="Y20" s="189" t="e">
        <v>#DIV/0!</v>
      </c>
      <c r="Z20" s="188" t="e">
        <f>_xll.qlSimpleQuoteSetValue($X20,$Y20/100,Trigger)</f>
        <v>#NUM!</v>
      </c>
      <c r="AA20" s="178"/>
      <c r="AB20"/>
    </row>
    <row r="21" spans="1:28" ht="15" x14ac:dyDescent="0.25">
      <c r="A21" s="118"/>
      <c r="B21" s="117"/>
      <c r="C21" s="117" t="s">
        <v>107</v>
      </c>
      <c r="D21" s="119" t="s">
        <v>58</v>
      </c>
      <c r="E21" s="116" t="str">
        <f t="shared" si="0"/>
        <v>HKDOIS18M_Quote</v>
      </c>
      <c r="F21" s="116" t="str">
        <f>_xll.qlSimpleQuote(Currency&amp;$B21&amp;$C21&amp;$D21&amp;QuoteSuffix,,RateTickValue,Permanent,Trigger,ObjectOverwrite)</f>
        <v>HKDOIS18M_Quote#0010</v>
      </c>
      <c r="G21" s="115" t="str">
        <f>_xll.ohRangeRetrieveError(F21)</f>
        <v/>
      </c>
      <c r="H21" s="114"/>
      <c r="J21" s="187"/>
      <c r="K21" s="356"/>
      <c r="L21" s="238" t="s">
        <v>58</v>
      </c>
      <c r="M21" s="238" t="s">
        <v>107</v>
      </c>
      <c r="N21" s="236" t="str">
        <f t="shared" si="4"/>
        <v>HKD18MOIS</v>
      </c>
      <c r="O21" s="236" t="str">
        <f t="shared" si="1"/>
        <v>HKD18MOIS=ICHK</v>
      </c>
      <c r="P21" s="189" t="s">
        <v>168</v>
      </c>
      <c r="Q21" s="189" t="s">
        <v>168</v>
      </c>
      <c r="R21" s="189" t="s">
        <v>168</v>
      </c>
      <c r="S21" s="189" t="s">
        <v>168</v>
      </c>
      <c r="T21" s="184" t="e">
        <f t="shared" si="2"/>
        <v>#DIV/0!</v>
      </c>
      <c r="U21" s="182"/>
      <c r="V21" s="191" t="e">
        <v>#DIV/0!</v>
      </c>
      <c r="W21" s="182"/>
      <c r="X21" s="190" t="str">
        <f t="shared" si="3"/>
        <v>HKDOIS18M_Quote</v>
      </c>
      <c r="Y21" s="189" t="e">
        <v>#DIV/0!</v>
      </c>
      <c r="Z21" s="188" t="e">
        <f>_xll.qlSimpleQuoteSetValue($X21,$Y21/100,Trigger)</f>
        <v>#NUM!</v>
      </c>
      <c r="AA21" s="178"/>
      <c r="AB21"/>
    </row>
    <row r="22" spans="1:28" ht="15" x14ac:dyDescent="0.25">
      <c r="A22" s="118"/>
      <c r="B22" s="117"/>
      <c r="C22" s="117" t="s">
        <v>107</v>
      </c>
      <c r="D22" s="119" t="s">
        <v>57</v>
      </c>
      <c r="E22" s="116" t="str">
        <f t="shared" si="0"/>
        <v>HKDOIS21M_Quote</v>
      </c>
      <c r="F22" s="116" t="str">
        <f>_xll.qlSimpleQuote(Currency&amp;$B22&amp;$C22&amp;$D22&amp;QuoteSuffix,,RateTickValue,Permanent,Trigger,ObjectOverwrite)</f>
        <v>HKDOIS21M_Quote#0010</v>
      </c>
      <c r="G22" s="115" t="str">
        <f>_xll.ohRangeRetrieveError(F22)</f>
        <v/>
      </c>
      <c r="H22" s="114"/>
      <c r="J22" s="187"/>
      <c r="K22" s="356"/>
      <c r="L22" s="238" t="s">
        <v>57</v>
      </c>
      <c r="M22" s="238" t="s">
        <v>107</v>
      </c>
      <c r="N22" s="236" t="str">
        <f t="shared" si="4"/>
        <v>HKD21MOIS</v>
      </c>
      <c r="O22" s="236" t="str">
        <f t="shared" si="1"/>
        <v>HKD21MOIS=ICHK</v>
      </c>
      <c r="P22" s="189" t="s">
        <v>168</v>
      </c>
      <c r="Q22" s="189" t="s">
        <v>168</v>
      </c>
      <c r="R22" s="189" t="s">
        <v>168</v>
      </c>
      <c r="S22" s="189" t="s">
        <v>168</v>
      </c>
      <c r="T22" s="184" t="e">
        <f t="shared" si="2"/>
        <v>#DIV/0!</v>
      </c>
      <c r="U22" s="182"/>
      <c r="V22" s="191" t="e">
        <v>#DIV/0!</v>
      </c>
      <c r="W22" s="182"/>
      <c r="X22" s="190" t="str">
        <f t="shared" si="3"/>
        <v>HKDOIS21M_Quote</v>
      </c>
      <c r="Y22" s="189" t="e">
        <v>#DIV/0!</v>
      </c>
      <c r="Z22" s="188" t="e">
        <f>_xll.qlSimpleQuoteSetValue($X22,$Y22/100,Trigger)</f>
        <v>#NUM!</v>
      </c>
      <c r="AA22" s="178"/>
      <c r="AB22"/>
    </row>
    <row r="23" spans="1:28" ht="15" x14ac:dyDescent="0.25">
      <c r="A23" s="118"/>
      <c r="B23" s="117"/>
      <c r="C23" s="117" t="s">
        <v>107</v>
      </c>
      <c r="D23" s="119" t="s">
        <v>56</v>
      </c>
      <c r="E23" s="116" t="str">
        <f t="shared" si="0"/>
        <v>HKDOIS2Y_Quote</v>
      </c>
      <c r="F23" s="116" t="str">
        <f>_xll.qlSimpleQuote(Currency&amp;$B23&amp;$C23&amp;$D23&amp;QuoteSuffix,,RateTickValue,Permanent,Trigger,ObjectOverwrite)</f>
        <v>HKDOIS2Y_Quote#0010</v>
      </c>
      <c r="G23" s="115" t="str">
        <f>_xll.ohRangeRetrieveError(F23)</f>
        <v/>
      </c>
      <c r="H23" s="114"/>
      <c r="J23" s="187"/>
      <c r="K23" s="356"/>
      <c r="L23" s="238" t="s">
        <v>56</v>
      </c>
      <c r="M23" s="238" t="s">
        <v>107</v>
      </c>
      <c r="N23" s="236" t="str">
        <f t="shared" si="4"/>
        <v>HKD2YOIS</v>
      </c>
      <c r="O23" s="236" t="str">
        <f t="shared" si="1"/>
        <v>HKD2YOIS=ICHK</v>
      </c>
      <c r="P23" s="189" t="s">
        <v>168</v>
      </c>
      <c r="Q23" s="189" t="s">
        <v>168</v>
      </c>
      <c r="R23" s="189" t="s">
        <v>168</v>
      </c>
      <c r="S23" s="189" t="s">
        <v>168</v>
      </c>
      <c r="T23" s="184" t="e">
        <f t="shared" si="2"/>
        <v>#DIV/0!</v>
      </c>
      <c r="U23" s="182"/>
      <c r="V23" s="191" t="e">
        <v>#DIV/0!</v>
      </c>
      <c r="W23" s="182"/>
      <c r="X23" s="190" t="str">
        <f t="shared" si="3"/>
        <v>HKDOIS2Y_Quote</v>
      </c>
      <c r="Y23" s="189" t="e">
        <v>#DIV/0!</v>
      </c>
      <c r="Z23" s="188" t="e">
        <f>_xll.qlSimpleQuoteSetValue($X23,$Y23/100,Trigger)</f>
        <v>#NUM!</v>
      </c>
      <c r="AA23" s="178"/>
      <c r="AB23"/>
    </row>
    <row r="24" spans="1:28" ht="15.75" thickBot="1" x14ac:dyDescent="0.3">
      <c r="A24" s="113"/>
      <c r="B24" s="112"/>
      <c r="C24" s="112"/>
      <c r="D24" s="112"/>
      <c r="E24" s="112"/>
      <c r="F24" s="111"/>
      <c r="G24" s="111"/>
      <c r="H24" s="110"/>
      <c r="J24" s="177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5"/>
      <c r="V24" s="176"/>
      <c r="W24" s="175"/>
      <c r="X24" s="176"/>
      <c r="Y24" s="176"/>
      <c r="Z24" s="176"/>
      <c r="AA24" s="324"/>
      <c r="AB24"/>
    </row>
    <row r="25" spans="1:28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x14ac:dyDescent="0.25">
      <c r="AB26"/>
    </row>
    <row r="27" spans="1:28" ht="15" x14ac:dyDescent="0.25">
      <c r="AB27"/>
    </row>
    <row r="28" spans="1:28" ht="15" x14ac:dyDescent="0.25">
      <c r="AB28"/>
    </row>
    <row r="29" spans="1:28" ht="15" x14ac:dyDescent="0.25">
      <c r="AB29"/>
    </row>
    <row r="30" spans="1:28" ht="15" x14ac:dyDescent="0.25">
      <c r="AB30"/>
    </row>
    <row r="31" spans="1:28" ht="15" x14ac:dyDescent="0.25">
      <c r="AB31"/>
    </row>
    <row r="32" spans="1:28" ht="15" x14ac:dyDescent="0.25">
      <c r="AB32"/>
    </row>
    <row r="33" spans="28:28" ht="15" x14ac:dyDescent="0.25">
      <c r="AB33"/>
    </row>
    <row r="34" spans="28:28" ht="15" x14ac:dyDescent="0.25">
      <c r="AB34"/>
    </row>
    <row r="35" spans="28:28" ht="15" x14ac:dyDescent="0.25">
      <c r="AB35"/>
    </row>
    <row r="36" spans="28:28" ht="15" x14ac:dyDescent="0.25">
      <c r="AB36"/>
    </row>
    <row r="37" spans="28:28" ht="15" x14ac:dyDescent="0.25">
      <c r="AB37"/>
    </row>
    <row r="38" spans="28:28" ht="15" x14ac:dyDescent="0.25">
      <c r="AB38"/>
    </row>
    <row r="39" spans="28:28" ht="15" x14ac:dyDescent="0.25">
      <c r="AB39"/>
    </row>
    <row r="40" spans="28:28" ht="15" x14ac:dyDescent="0.25">
      <c r="AB40"/>
    </row>
    <row r="41" spans="28:28" ht="15" x14ac:dyDescent="0.25">
      <c r="AB41"/>
    </row>
    <row r="42" spans="28:28" ht="15" x14ac:dyDescent="0.25">
      <c r="AB4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0.5703125" style="59" bestFit="1" customWidth="1"/>
    <col min="7" max="7" width="38.28515625" style="38" customWidth="1"/>
    <col min="8" max="8" width="4.42578125" style="38" customWidth="1"/>
    <col min="9" max="13" width="9.140625" style="38"/>
    <col min="14" max="14" width="11" style="38" bestFit="1" customWidth="1"/>
    <col min="15" max="15" width="15.85546875" style="38" bestFit="1" customWidth="1"/>
    <col min="16" max="16384" width="9.140625" style="38"/>
  </cols>
  <sheetData>
    <row r="1" spans="1:34" ht="15.75" thickBot="1" x14ac:dyDescent="0.3">
      <c r="A1" s="38" t="s">
        <v>259</v>
      </c>
      <c r="J1" s="26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2"/>
      <c r="AB1"/>
      <c r="AC1"/>
      <c r="AD1"/>
      <c r="AE1"/>
      <c r="AF1"/>
      <c r="AG1"/>
      <c r="AH1"/>
    </row>
    <row r="2" spans="1:34" ht="15.75" thickBot="1" x14ac:dyDescent="0.3">
      <c r="J2" s="211"/>
      <c r="K2" s="182"/>
      <c r="L2" s="182"/>
      <c r="M2" s="182"/>
      <c r="N2" s="182"/>
      <c r="O2" s="209" t="s">
        <v>197</v>
      </c>
      <c r="P2" s="182"/>
      <c r="Q2" s="182"/>
      <c r="R2" s="182"/>
      <c r="S2" s="182"/>
      <c r="T2" s="260"/>
      <c r="U2" s="182"/>
      <c r="V2" s="182"/>
      <c r="W2" s="182"/>
      <c r="X2" s="333" t="s">
        <v>175</v>
      </c>
      <c r="Y2" s="332" t="s">
        <v>2</v>
      </c>
      <c r="Z2" s="260"/>
      <c r="AA2" s="206"/>
      <c r="AB2"/>
      <c r="AC2"/>
      <c r="AD2"/>
      <c r="AE2"/>
      <c r="AF2"/>
      <c r="AG2"/>
      <c r="AH2"/>
    </row>
    <row r="3" spans="1:34" ht="15" x14ac:dyDescent="0.25">
      <c r="A3" s="142"/>
      <c r="B3" s="141"/>
      <c r="C3" s="141"/>
      <c r="D3" s="141"/>
      <c r="E3" s="139"/>
      <c r="F3" s="140"/>
      <c r="G3" s="139"/>
      <c r="H3" s="138"/>
      <c r="J3" s="187"/>
      <c r="K3" s="182"/>
      <c r="L3" s="260"/>
      <c r="M3" s="260"/>
      <c r="N3" s="260"/>
      <c r="O3" s="260"/>
      <c r="P3" s="260"/>
      <c r="Q3" s="260"/>
      <c r="R3" s="260"/>
      <c r="S3" s="260"/>
      <c r="T3" s="260"/>
      <c r="U3" s="182"/>
      <c r="V3" s="182"/>
      <c r="W3" s="182"/>
      <c r="X3" s="260"/>
      <c r="Y3" s="260"/>
      <c r="Z3" s="204">
        <f>_xll.ohTrigger(Z5:Z15)</f>
        <v>8</v>
      </c>
      <c r="AA3" s="178"/>
      <c r="AB3"/>
      <c r="AC3"/>
      <c r="AD3"/>
      <c r="AE3"/>
      <c r="AF3"/>
      <c r="AG3"/>
      <c r="AH3"/>
    </row>
    <row r="4" spans="1:34" ht="22.5" x14ac:dyDescent="0.25">
      <c r="A4" s="71"/>
      <c r="B4" s="137"/>
      <c r="C4" s="136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65"/>
      <c r="J4" s="187"/>
      <c r="K4" s="331"/>
      <c r="L4" s="257"/>
      <c r="M4" s="257"/>
      <c r="N4" s="257"/>
      <c r="O4" s="203" t="str">
        <f>_xll.RData(O5:O15,P4:S4,,ReutersRtMode,,P5)</f>
        <v>On Pause</v>
      </c>
      <c r="P4" s="256" t="s">
        <v>213</v>
      </c>
      <c r="Q4" s="256" t="s">
        <v>188</v>
      </c>
      <c r="R4" s="256" t="s">
        <v>184</v>
      </c>
      <c r="S4" s="256" t="s">
        <v>212</v>
      </c>
      <c r="T4" s="198" t="s">
        <v>211</v>
      </c>
      <c r="U4" s="182"/>
      <c r="V4" s="201" t="s">
        <v>172</v>
      </c>
      <c r="W4" s="182"/>
      <c r="X4" s="200" t="s">
        <v>171</v>
      </c>
      <c r="Y4" s="330" t="s">
        <v>170</v>
      </c>
      <c r="Z4" s="329" t="s">
        <v>169</v>
      </c>
      <c r="AA4" s="178"/>
      <c r="AB4"/>
      <c r="AC4"/>
      <c r="AD4"/>
      <c r="AE4"/>
      <c r="AF4"/>
      <c r="AG4" s="252" t="s">
        <v>210</v>
      </c>
      <c r="AH4"/>
    </row>
    <row r="5" spans="1:34" ht="15" x14ac:dyDescent="0.25">
      <c r="A5" s="71"/>
      <c r="B5" s="135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HKDAM1H2M_Quote#0010</v>
      </c>
      <c r="G5" s="134" t="str">
        <f>_xll.ohRangeRetrieveError(F5)</f>
        <v/>
      </c>
      <c r="H5" s="65"/>
      <c r="J5" s="187"/>
      <c r="K5" s="190" t="s">
        <v>115</v>
      </c>
      <c r="L5" s="236" t="s">
        <v>119</v>
      </c>
      <c r="M5" s="236"/>
      <c r="N5" s="185" t="str">
        <f t="shared" ref="N5:N15" si="1">Currency&amp;$L5&amp;$M5&amp;$K5</f>
        <v>HKDAM1H2M</v>
      </c>
      <c r="O5" s="185" t="str">
        <f t="array" ref="O5:O15">Instruments&amp;"="&amp;VLOOKUP(Contributor,ContributorTable,2,FALSE)</f>
        <v>HKDAM1H2M=PREA</v>
      </c>
      <c r="P5" s="237" t="s">
        <v>168</v>
      </c>
      <c r="Q5" s="237" t="s">
        <v>168</v>
      </c>
      <c r="R5" s="237" t="s">
        <v>168</v>
      </c>
      <c r="S5" s="237" t="s">
        <v>168</v>
      </c>
      <c r="T5" s="328" t="e">
        <f>_xll.qlMidSafe($P5,$Q5)</f>
        <v>#NUM!</v>
      </c>
      <c r="U5" s="182"/>
      <c r="V5" s="191" t="e">
        <v>#NUM!</v>
      </c>
      <c r="W5" s="182"/>
      <c r="X5" s="190" t="str">
        <f t="shared" ref="X5:X15" si="2">$N5&amp;$Y$2</f>
        <v>HKDAM1H2M_Quote</v>
      </c>
      <c r="Y5" s="189" t="e">
        <f t="array" ref="Y5:Y15">QuoteLive</f>
        <v>#NUM!</v>
      </c>
      <c r="Z5" s="188" t="e">
        <f>_xll.qlSimpleQuoteSetValue($X5,$Y5/100,Trigger)</f>
        <v>#NUM!</v>
      </c>
      <c r="AA5" s="178"/>
      <c r="AB5"/>
      <c r="AC5" s="325"/>
      <c r="AD5"/>
      <c r="AE5"/>
      <c r="AF5"/>
      <c r="AG5" s="225" t="e">
        <f t="shared" ref="AG5:AG15" si="3">(Q5-T5)/50</f>
        <v>#VALUE!</v>
      </c>
      <c r="AH5"/>
    </row>
    <row r="6" spans="1:34" ht="15" x14ac:dyDescent="0.25">
      <c r="A6" s="71"/>
      <c r="B6" s="133" t="s">
        <v>121</v>
      </c>
      <c r="C6" s="132" t="s">
        <v>119</v>
      </c>
      <c r="D6" s="131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HKDAM1H3M_Quote#0010</v>
      </c>
      <c r="G6" s="130" t="str">
        <f>_xll.ohRangeRetrieveError(F6)</f>
        <v/>
      </c>
      <c r="H6" s="65"/>
      <c r="J6" s="187"/>
      <c r="K6" s="190" t="s">
        <v>106</v>
      </c>
      <c r="L6" s="236" t="s">
        <v>119</v>
      </c>
      <c r="M6" s="236"/>
      <c r="N6" s="185" t="str">
        <f t="shared" si="1"/>
        <v>HKDAM1H3M</v>
      </c>
      <c r="O6" s="185" t="str">
        <v>HKDAM1H3M=PREA</v>
      </c>
      <c r="P6" s="237">
        <v>0.16</v>
      </c>
      <c r="Q6" s="237">
        <v>0.26</v>
      </c>
      <c r="R6" s="237">
        <v>0</v>
      </c>
      <c r="S6" s="237">
        <v>0</v>
      </c>
      <c r="T6" s="328">
        <f>_xll.qlMidSafe($P6,$Q6)</f>
        <v>0.21000000000000002</v>
      </c>
      <c r="U6" s="182"/>
      <c r="V6" s="191">
        <v>0.21000000000000002</v>
      </c>
      <c r="W6" s="182"/>
      <c r="X6" s="190" t="str">
        <f t="shared" si="2"/>
        <v>HKDAM1H3M_Quote</v>
      </c>
      <c r="Y6" s="189">
        <v>0.21000000000000002</v>
      </c>
      <c r="Z6" s="188" t="e">
        <f>_xll.qlSimpleQuoteSetValue($X6,$Y6/100,Trigger)</f>
        <v>#N/A</v>
      </c>
      <c r="AA6" s="178"/>
      <c r="AB6"/>
      <c r="AC6" s="325"/>
      <c r="AD6"/>
      <c r="AE6"/>
      <c r="AF6"/>
      <c r="AG6" s="225">
        <f t="shared" si="3"/>
        <v>9.999999999999998E-4</v>
      </c>
      <c r="AH6"/>
    </row>
    <row r="7" spans="1:34" ht="15" x14ac:dyDescent="0.25">
      <c r="A7" s="71"/>
      <c r="B7" s="133" t="s">
        <v>121</v>
      </c>
      <c r="C7" s="132" t="s">
        <v>119</v>
      </c>
      <c r="D7" s="131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HKDAM1H4M_Quote#0010</v>
      </c>
      <c r="G7" s="130" t="str">
        <f>_xll.ohRangeRetrieveError(F7)</f>
        <v/>
      </c>
      <c r="H7" s="65"/>
      <c r="J7" s="187"/>
      <c r="K7" s="190" t="s">
        <v>114</v>
      </c>
      <c r="L7" s="236" t="s">
        <v>119</v>
      </c>
      <c r="M7" s="236"/>
      <c r="N7" s="185" t="str">
        <f t="shared" si="1"/>
        <v>HKDAM1H4M</v>
      </c>
      <c r="O7" s="185" t="str">
        <v>HKDAM1H4M=PREA</v>
      </c>
      <c r="P7" s="237" t="s">
        <v>168</v>
      </c>
      <c r="Q7" s="237" t="s">
        <v>168</v>
      </c>
      <c r="R7" s="237" t="s">
        <v>168</v>
      </c>
      <c r="S7" s="237" t="s">
        <v>168</v>
      </c>
      <c r="T7" s="328" t="e">
        <f>_xll.qlMidSafe($P7,$Q7)</f>
        <v>#NUM!</v>
      </c>
      <c r="U7" s="182"/>
      <c r="V7" s="191" t="e">
        <v>#NUM!</v>
      </c>
      <c r="W7" s="182"/>
      <c r="X7" s="190" t="str">
        <f t="shared" si="2"/>
        <v>HKDAM1H4M_Quote</v>
      </c>
      <c r="Y7" s="189" t="e">
        <v>#NUM!</v>
      </c>
      <c r="Z7" s="188" t="e">
        <f>_xll.qlSimpleQuoteSetValue($X7,$Y7/100,Trigger)</f>
        <v>#NUM!</v>
      </c>
      <c r="AA7" s="178"/>
      <c r="AB7"/>
      <c r="AC7" s="325"/>
      <c r="AD7"/>
      <c r="AE7"/>
      <c r="AF7"/>
      <c r="AG7" s="225" t="e">
        <f t="shared" si="3"/>
        <v>#VALUE!</v>
      </c>
      <c r="AH7"/>
    </row>
    <row r="8" spans="1:34" ht="15" x14ac:dyDescent="0.25">
      <c r="A8" s="71"/>
      <c r="B8" s="133" t="s">
        <v>121</v>
      </c>
      <c r="C8" s="132" t="s">
        <v>119</v>
      </c>
      <c r="D8" s="131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HKDAM1H5M_Quote#0010</v>
      </c>
      <c r="G8" s="130" t="str">
        <f>_xll.ohRangeRetrieveError(F8)</f>
        <v/>
      </c>
      <c r="H8" s="65"/>
      <c r="J8" s="187"/>
      <c r="K8" s="190" t="s">
        <v>113</v>
      </c>
      <c r="L8" s="236" t="s">
        <v>119</v>
      </c>
      <c r="M8" s="236"/>
      <c r="N8" s="185" t="str">
        <f t="shared" si="1"/>
        <v>HKDAM1H5M</v>
      </c>
      <c r="O8" s="185" t="str">
        <v>HKDAM1H5M=PREA</v>
      </c>
      <c r="P8" s="237" t="s">
        <v>168</v>
      </c>
      <c r="Q8" s="237" t="s">
        <v>168</v>
      </c>
      <c r="R8" s="237" t="s">
        <v>168</v>
      </c>
      <c r="S8" s="237" t="s">
        <v>168</v>
      </c>
      <c r="T8" s="328" t="e">
        <f>_xll.qlMidSafe($P8,$Q8)</f>
        <v>#NUM!</v>
      </c>
      <c r="U8" s="182"/>
      <c r="V8" s="191" t="e">
        <v>#NUM!</v>
      </c>
      <c r="W8" s="182"/>
      <c r="X8" s="190" t="str">
        <f t="shared" si="2"/>
        <v>HKDAM1H5M_Quote</v>
      </c>
      <c r="Y8" s="189" t="e">
        <v>#NUM!</v>
      </c>
      <c r="Z8" s="188" t="e">
        <f>_xll.qlSimpleQuoteSetValue($X8,$Y8/100,Trigger)</f>
        <v>#NUM!</v>
      </c>
      <c r="AA8" s="178"/>
      <c r="AB8"/>
      <c r="AC8" s="325"/>
      <c r="AD8"/>
      <c r="AE8"/>
      <c r="AF8"/>
      <c r="AG8" s="225" t="e">
        <f t="shared" si="3"/>
        <v>#VALUE!</v>
      </c>
      <c r="AH8"/>
    </row>
    <row r="9" spans="1:34" ht="15" x14ac:dyDescent="0.25">
      <c r="A9" s="71"/>
      <c r="B9" s="133" t="s">
        <v>121</v>
      </c>
      <c r="C9" s="132" t="s">
        <v>119</v>
      </c>
      <c r="D9" s="131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HKDAM1H6M_Quote#0010</v>
      </c>
      <c r="G9" s="130" t="str">
        <f>_xll.ohRangeRetrieveError(F9)</f>
        <v/>
      </c>
      <c r="H9" s="65"/>
      <c r="J9" s="187"/>
      <c r="K9" s="190" t="s">
        <v>61</v>
      </c>
      <c r="L9" s="236" t="s">
        <v>119</v>
      </c>
      <c r="M9" s="236"/>
      <c r="N9" s="185" t="str">
        <f t="shared" si="1"/>
        <v>HKDAM1H6M</v>
      </c>
      <c r="O9" s="185" t="str">
        <v>HKDAM1H6M=PREA</v>
      </c>
      <c r="P9" s="237">
        <v>0.18</v>
      </c>
      <c r="Q9" s="237">
        <v>0.28000000000000003</v>
      </c>
      <c r="R9" s="237">
        <v>0</v>
      </c>
      <c r="S9" s="237">
        <v>0</v>
      </c>
      <c r="T9" s="328">
        <f>_xll.qlMidSafe($P9,$Q9)</f>
        <v>0.23</v>
      </c>
      <c r="U9" s="182"/>
      <c r="V9" s="191">
        <v>0.24</v>
      </c>
      <c r="W9" s="182"/>
      <c r="X9" s="190" t="str">
        <f t="shared" si="2"/>
        <v>HKDAM1H6M_Quote</v>
      </c>
      <c r="Y9" s="189">
        <v>0.23</v>
      </c>
      <c r="Z9" s="188" t="e">
        <f>_xll.qlSimpleQuoteSetValue($X9,$Y9/100,Trigger)</f>
        <v>#N/A</v>
      </c>
      <c r="AA9" s="178"/>
      <c r="AB9"/>
      <c r="AC9" s="325"/>
      <c r="AD9"/>
      <c r="AE9"/>
      <c r="AF9"/>
      <c r="AG9" s="225">
        <f t="shared" si="3"/>
        <v>1.0000000000000002E-3</v>
      </c>
      <c r="AH9"/>
    </row>
    <row r="10" spans="1:34" ht="15" x14ac:dyDescent="0.25">
      <c r="A10" s="71"/>
      <c r="B10" s="133" t="s">
        <v>121</v>
      </c>
      <c r="C10" s="132" t="s">
        <v>119</v>
      </c>
      <c r="D10" s="131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HKDAM1H7M_Quote#0010</v>
      </c>
      <c r="G10" s="130" t="str">
        <f>_xll.ohRangeRetrieveError(F10)</f>
        <v/>
      </c>
      <c r="H10" s="65"/>
      <c r="J10" s="187"/>
      <c r="K10" s="190" t="s">
        <v>112</v>
      </c>
      <c r="L10" s="236" t="s">
        <v>119</v>
      </c>
      <c r="M10" s="236"/>
      <c r="N10" s="185" t="str">
        <f t="shared" si="1"/>
        <v>HKDAM1H7M</v>
      </c>
      <c r="O10" s="185" t="str">
        <v>HKDAM1H7M=PREA</v>
      </c>
      <c r="P10" s="237" t="s">
        <v>168</v>
      </c>
      <c r="Q10" s="237" t="s">
        <v>168</v>
      </c>
      <c r="R10" s="237" t="s">
        <v>168</v>
      </c>
      <c r="S10" s="237" t="s">
        <v>168</v>
      </c>
      <c r="T10" s="328" t="e">
        <f>_xll.qlMidSafe($P10,$Q10)</f>
        <v>#NUM!</v>
      </c>
      <c r="U10" s="182"/>
      <c r="V10" s="191" t="e">
        <v>#NUM!</v>
      </c>
      <c r="W10" s="182"/>
      <c r="X10" s="190" t="str">
        <f t="shared" si="2"/>
        <v>HKDAM1H7M_Quote</v>
      </c>
      <c r="Y10" s="189" t="e">
        <v>#NUM!</v>
      </c>
      <c r="Z10" s="188" t="e">
        <f>_xll.qlSimpleQuoteSetValue($X10,$Y10/100,Trigger)</f>
        <v>#NUM!</v>
      </c>
      <c r="AA10" s="178"/>
      <c r="AB10"/>
      <c r="AC10" s="325"/>
      <c r="AD10"/>
      <c r="AE10"/>
      <c r="AF10"/>
      <c r="AG10" s="225" t="e">
        <f t="shared" si="3"/>
        <v>#VALUE!</v>
      </c>
      <c r="AH10"/>
    </row>
    <row r="11" spans="1:34" ht="15" x14ac:dyDescent="0.25">
      <c r="A11" s="71"/>
      <c r="B11" s="133" t="s">
        <v>121</v>
      </c>
      <c r="C11" s="132" t="s">
        <v>119</v>
      </c>
      <c r="D11" s="131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HKDAM1H8M_Quote#0010</v>
      </c>
      <c r="G11" s="130" t="str">
        <f>_xll.ohRangeRetrieveError(F11)</f>
        <v/>
      </c>
      <c r="H11" s="65"/>
      <c r="J11" s="187"/>
      <c r="K11" s="190" t="s">
        <v>111</v>
      </c>
      <c r="L11" s="236" t="s">
        <v>119</v>
      </c>
      <c r="M11" s="236"/>
      <c r="N11" s="185" t="str">
        <f t="shared" si="1"/>
        <v>HKDAM1H8M</v>
      </c>
      <c r="O11" s="185" t="str">
        <v>HKDAM1H8M=PREA</v>
      </c>
      <c r="P11" s="237" t="s">
        <v>168</v>
      </c>
      <c r="Q11" s="237" t="s">
        <v>168</v>
      </c>
      <c r="R11" s="237" t="s">
        <v>168</v>
      </c>
      <c r="S11" s="237" t="s">
        <v>168</v>
      </c>
      <c r="T11" s="328" t="e">
        <f>_xll.qlMidSafe($P11,$Q11)</f>
        <v>#NUM!</v>
      </c>
      <c r="U11" s="182"/>
      <c r="V11" s="191" t="e">
        <v>#NUM!</v>
      </c>
      <c r="W11" s="182"/>
      <c r="X11" s="190" t="str">
        <f t="shared" si="2"/>
        <v>HKDAM1H8M_Quote</v>
      </c>
      <c r="Y11" s="189" t="e">
        <v>#NUM!</v>
      </c>
      <c r="Z11" s="188" t="e">
        <f>_xll.qlSimpleQuoteSetValue($X11,$Y11/100,Trigger)</f>
        <v>#NUM!</v>
      </c>
      <c r="AA11" s="178"/>
      <c r="AB11"/>
      <c r="AC11" s="325"/>
      <c r="AD11"/>
      <c r="AE11"/>
      <c r="AF11"/>
      <c r="AG11" s="225" t="e">
        <f t="shared" si="3"/>
        <v>#VALUE!</v>
      </c>
      <c r="AH11"/>
    </row>
    <row r="12" spans="1:34" ht="15" x14ac:dyDescent="0.25">
      <c r="A12" s="71"/>
      <c r="B12" s="133" t="s">
        <v>121</v>
      </c>
      <c r="C12" s="132" t="s">
        <v>119</v>
      </c>
      <c r="D12" s="131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HKDAM1H9M_Quote#0010</v>
      </c>
      <c r="G12" s="130" t="str">
        <f>_xll.ohRangeRetrieveError(F12)</f>
        <v/>
      </c>
      <c r="H12" s="65"/>
      <c r="J12" s="187"/>
      <c r="K12" s="190" t="s">
        <v>110</v>
      </c>
      <c r="L12" s="236" t="s">
        <v>119</v>
      </c>
      <c r="M12" s="236"/>
      <c r="N12" s="185" t="str">
        <f t="shared" si="1"/>
        <v>HKDAM1H9M</v>
      </c>
      <c r="O12" s="185" t="str">
        <v>HKDAM1H9M=PREA</v>
      </c>
      <c r="P12" s="237">
        <v>0.23</v>
      </c>
      <c r="Q12" s="237">
        <v>0.33</v>
      </c>
      <c r="R12" s="237">
        <v>0</v>
      </c>
      <c r="S12" s="237">
        <v>0</v>
      </c>
      <c r="T12" s="328">
        <f>_xll.qlMidSafe($P12,$Q12)</f>
        <v>0.28000000000000003</v>
      </c>
      <c r="U12" s="182"/>
      <c r="V12" s="191">
        <v>0.26</v>
      </c>
      <c r="W12" s="182"/>
      <c r="X12" s="190" t="str">
        <f t="shared" si="2"/>
        <v>HKDAM1H9M_Quote</v>
      </c>
      <c r="Y12" s="189">
        <v>0.28000000000000003</v>
      </c>
      <c r="Z12" s="188" t="e">
        <f>_xll.qlSimpleQuoteSetValue($X12,$Y12/100,Trigger)</f>
        <v>#N/A</v>
      </c>
      <c r="AA12" s="178"/>
      <c r="AB12"/>
      <c r="AC12" s="325"/>
      <c r="AD12"/>
      <c r="AE12"/>
      <c r="AF12"/>
      <c r="AG12" s="225">
        <f t="shared" si="3"/>
        <v>9.999999999999998E-4</v>
      </c>
      <c r="AH12"/>
    </row>
    <row r="13" spans="1:34" ht="15" x14ac:dyDescent="0.25">
      <c r="A13" s="71"/>
      <c r="B13" s="133" t="s">
        <v>121</v>
      </c>
      <c r="C13" s="132" t="s">
        <v>119</v>
      </c>
      <c r="D13" s="131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HKDAM1H10M_Quote#0010</v>
      </c>
      <c r="G13" s="130" t="str">
        <f>_xll.ohRangeRetrieveError(F13)</f>
        <v/>
      </c>
      <c r="H13" s="65"/>
      <c r="J13" s="187"/>
      <c r="K13" s="190" t="s">
        <v>109</v>
      </c>
      <c r="L13" s="236" t="s">
        <v>119</v>
      </c>
      <c r="M13" s="236"/>
      <c r="N13" s="185" t="str">
        <f t="shared" si="1"/>
        <v>HKDAM1H10M</v>
      </c>
      <c r="O13" s="185" t="str">
        <v>HKDAM1H10M=PREA</v>
      </c>
      <c r="P13" s="237" t="s">
        <v>168</v>
      </c>
      <c r="Q13" s="237" t="s">
        <v>168</v>
      </c>
      <c r="R13" s="237" t="s">
        <v>168</v>
      </c>
      <c r="S13" s="237" t="s">
        <v>168</v>
      </c>
      <c r="T13" s="328" t="e">
        <f>_xll.qlMidSafe($P13,$Q13)</f>
        <v>#NUM!</v>
      </c>
      <c r="U13" s="182"/>
      <c r="V13" s="191" t="e">
        <v>#NUM!</v>
      </c>
      <c r="W13" s="182"/>
      <c r="X13" s="190" t="str">
        <f t="shared" si="2"/>
        <v>HKDAM1H10M_Quote</v>
      </c>
      <c r="Y13" s="189" t="e">
        <v>#NUM!</v>
      </c>
      <c r="Z13" s="188" t="e">
        <f>_xll.qlSimpleQuoteSetValue($X13,$Y13/100,Trigger)</f>
        <v>#NUM!</v>
      </c>
      <c r="AA13" s="178"/>
      <c r="AB13"/>
      <c r="AC13" s="325"/>
      <c r="AD13"/>
      <c r="AE13"/>
      <c r="AF13"/>
      <c r="AG13" s="225" t="e">
        <f t="shared" si="3"/>
        <v>#VALUE!</v>
      </c>
      <c r="AH13"/>
    </row>
    <row r="14" spans="1:34" ht="15" x14ac:dyDescent="0.25">
      <c r="A14" s="71"/>
      <c r="B14" s="133" t="s">
        <v>121</v>
      </c>
      <c r="C14" s="132" t="s">
        <v>119</v>
      </c>
      <c r="D14" s="131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HKDAM1H11M_Quote#0010</v>
      </c>
      <c r="G14" s="130" t="str">
        <f>_xll.ohRangeRetrieveError(F14)</f>
        <v/>
      </c>
      <c r="H14" s="65"/>
      <c r="J14" s="187"/>
      <c r="K14" s="190" t="s">
        <v>108</v>
      </c>
      <c r="L14" s="236" t="s">
        <v>119</v>
      </c>
      <c r="M14" s="236"/>
      <c r="N14" s="185" t="str">
        <f t="shared" si="1"/>
        <v>HKDAM1H11M</v>
      </c>
      <c r="O14" s="185" t="str">
        <v>HKDAM1H11M=PREA</v>
      </c>
      <c r="P14" s="237" t="s">
        <v>168</v>
      </c>
      <c r="Q14" s="237" t="s">
        <v>168</v>
      </c>
      <c r="R14" s="237" t="s">
        <v>168</v>
      </c>
      <c r="S14" s="237" t="s">
        <v>168</v>
      </c>
      <c r="T14" s="328" t="e">
        <f>_xll.qlMidSafe($P14,$Q14)</f>
        <v>#NUM!</v>
      </c>
      <c r="U14" s="182"/>
      <c r="V14" s="191" t="e">
        <v>#NUM!</v>
      </c>
      <c r="W14" s="182"/>
      <c r="X14" s="190" t="str">
        <f t="shared" si="2"/>
        <v>HKDAM1H11M_Quote</v>
      </c>
      <c r="Y14" s="189" t="e">
        <v>#NUM!</v>
      </c>
      <c r="Z14" s="188" t="e">
        <f>_xll.qlSimpleQuoteSetValue($X14,$Y14/100,Trigger)</f>
        <v>#NUM!</v>
      </c>
      <c r="AA14" s="178"/>
      <c r="AB14"/>
      <c r="AC14" s="325"/>
      <c r="AD14"/>
      <c r="AE14"/>
      <c r="AF14"/>
      <c r="AG14" s="225" t="e">
        <f t="shared" si="3"/>
        <v>#VALUE!</v>
      </c>
      <c r="AH14"/>
    </row>
    <row r="15" spans="1:34" ht="15" x14ac:dyDescent="0.25">
      <c r="A15" s="71"/>
      <c r="B15" s="133" t="s">
        <v>120</v>
      </c>
      <c r="C15" s="132" t="s">
        <v>119</v>
      </c>
      <c r="D15" s="131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HKDAM1H1Y_Quote#0010</v>
      </c>
      <c r="G15" s="130" t="str">
        <f>_xll.ohRangeRetrieveError(F15)</f>
        <v/>
      </c>
      <c r="H15" s="65"/>
      <c r="J15" s="187"/>
      <c r="K15" s="181" t="s">
        <v>60</v>
      </c>
      <c r="L15" s="243" t="s">
        <v>119</v>
      </c>
      <c r="M15" s="243"/>
      <c r="N15" s="327" t="str">
        <f t="shared" si="1"/>
        <v>HKDAM1H1Y</v>
      </c>
      <c r="O15" s="327" t="str">
        <v>HKDAM1H1Y=PREA</v>
      </c>
      <c r="P15" s="244">
        <v>0.24</v>
      </c>
      <c r="Q15" s="244">
        <v>0.34</v>
      </c>
      <c r="R15" s="244">
        <v>0</v>
      </c>
      <c r="S15" s="244">
        <v>0</v>
      </c>
      <c r="T15" s="326">
        <f>_xll.qlMidSafe($P15,$Q15)</f>
        <v>0.29000000000000004</v>
      </c>
      <c r="U15" s="182"/>
      <c r="V15" s="183">
        <v>0.28000000000000003</v>
      </c>
      <c r="W15" s="182"/>
      <c r="X15" s="181" t="str">
        <f t="shared" si="2"/>
        <v>HKDAM1H1Y_Quote</v>
      </c>
      <c r="Y15" s="180">
        <v>0.29000000000000004</v>
      </c>
      <c r="Z15" s="179" t="e">
        <f>_xll.qlSimpleQuoteSetValue($X15,$Y15/100,Trigger)</f>
        <v>#N/A</v>
      </c>
      <c r="AA15" s="178"/>
      <c r="AB15"/>
      <c r="AC15" s="325"/>
      <c r="AD15"/>
      <c r="AE15"/>
      <c r="AF15"/>
      <c r="AG15" s="225">
        <f t="shared" si="3"/>
        <v>9.999999999999998E-4</v>
      </c>
      <c r="AH15"/>
    </row>
    <row r="16" spans="1:34" ht="15.75" thickBot="1" x14ac:dyDescent="0.3">
      <c r="A16" s="64"/>
      <c r="B16" s="63"/>
      <c r="C16" s="63"/>
      <c r="D16" s="63"/>
      <c r="E16" s="63"/>
      <c r="F16" s="62"/>
      <c r="G16" s="62"/>
      <c r="H16" s="61"/>
      <c r="J16" s="177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324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34"/>
  <sheetViews>
    <sheetView workbookViewId="0"/>
  </sheetViews>
  <sheetFormatPr defaultRowHeight="12.75" x14ac:dyDescent="0.2"/>
  <cols>
    <col min="1" max="1" width="3.7109375" style="38" customWidth="1"/>
    <col min="2" max="2" width="6.5703125" style="60" bestFit="1" customWidth="1"/>
    <col min="3" max="3" width="3.140625" style="38" bestFit="1" customWidth="1"/>
    <col min="4" max="4" width="2.7109375" style="38" bestFit="1" customWidth="1"/>
    <col min="5" max="5" width="18" style="38" bestFit="1" customWidth="1"/>
    <col min="6" max="6" width="20.140625" style="59" bestFit="1" customWidth="1"/>
    <col min="7" max="7" width="38.28515625" style="38" customWidth="1"/>
    <col min="8" max="9" width="4.42578125" style="38" customWidth="1"/>
    <col min="10" max="10" width="4.140625" style="38" bestFit="1" customWidth="1"/>
    <col min="11" max="11" width="3.28515625" style="38" bestFit="1" customWidth="1"/>
    <col min="12" max="12" width="9.5703125" style="38" bestFit="1" customWidth="1"/>
    <col min="13" max="13" width="4" style="38" customWidth="1"/>
    <col min="14" max="17" width="9.140625" style="38"/>
    <col min="18" max="18" width="11" style="38" bestFit="1" customWidth="1"/>
    <col min="19" max="19" width="15.85546875" style="38" bestFit="1" customWidth="1"/>
    <col min="20" max="22" width="9.140625" style="38"/>
    <col min="23" max="23" width="11.7109375" style="38" customWidth="1"/>
    <col min="24" max="27" width="9.140625" style="38"/>
    <col min="28" max="28" width="16.140625" style="38" bestFit="1" customWidth="1"/>
    <col min="29" max="16384" width="9.140625" style="38"/>
  </cols>
  <sheetData>
    <row r="1" spans="1:38" ht="13.5" thickBot="1" x14ac:dyDescent="0.25">
      <c r="A1" s="38" t="s">
        <v>259</v>
      </c>
      <c r="N1" s="26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2"/>
      <c r="AF1" s="224"/>
      <c r="AG1" s="224"/>
      <c r="AH1" s="224"/>
      <c r="AI1" s="224"/>
      <c r="AJ1" s="224"/>
      <c r="AK1" s="224"/>
      <c r="AL1" s="224"/>
    </row>
    <row r="2" spans="1:38" ht="13.5" thickBot="1" x14ac:dyDescent="0.25">
      <c r="N2" s="211"/>
      <c r="O2" s="260"/>
      <c r="P2" s="182"/>
      <c r="Q2" s="182"/>
      <c r="R2" s="182"/>
      <c r="S2" s="209" t="s">
        <v>197</v>
      </c>
      <c r="T2" s="182"/>
      <c r="U2" s="182"/>
      <c r="V2" s="182"/>
      <c r="W2" s="182"/>
      <c r="X2" s="260"/>
      <c r="Y2" s="182"/>
      <c r="Z2" s="182"/>
      <c r="AA2" s="182"/>
      <c r="AB2" s="333" t="s">
        <v>175</v>
      </c>
      <c r="AC2" s="332" t="s">
        <v>2</v>
      </c>
      <c r="AD2" s="260"/>
      <c r="AE2" s="206"/>
      <c r="AF2" s="224"/>
      <c r="AG2" s="224"/>
      <c r="AH2" s="224"/>
      <c r="AI2" s="224"/>
      <c r="AJ2" s="224"/>
      <c r="AK2" s="224"/>
      <c r="AL2" s="224"/>
    </row>
    <row r="3" spans="1:38" ht="13.5" thickBot="1" x14ac:dyDescent="0.25">
      <c r="A3" s="142"/>
      <c r="B3" s="141"/>
      <c r="C3" s="141"/>
      <c r="D3" s="141"/>
      <c r="E3" s="139"/>
      <c r="F3" s="140"/>
      <c r="G3" s="139"/>
      <c r="H3" s="138"/>
      <c r="N3" s="187"/>
      <c r="O3" s="182"/>
      <c r="P3" s="260"/>
      <c r="Q3" s="260"/>
      <c r="R3" s="260"/>
      <c r="S3" s="260"/>
      <c r="T3" s="260"/>
      <c r="U3" s="260"/>
      <c r="V3" s="260"/>
      <c r="W3" s="260"/>
      <c r="X3" s="260"/>
      <c r="Y3" s="182"/>
      <c r="Z3" s="182"/>
      <c r="AA3" s="182"/>
      <c r="AB3" s="260"/>
      <c r="AC3" s="260"/>
      <c r="AD3" s="204">
        <f>_xll.ohTrigger(AD5:AD32)</f>
        <v>10</v>
      </c>
      <c r="AE3" s="178"/>
      <c r="AF3" s="224"/>
      <c r="AG3" s="224"/>
      <c r="AH3" s="224"/>
      <c r="AI3" s="224"/>
      <c r="AJ3" s="224"/>
      <c r="AK3" s="224"/>
      <c r="AL3" s="224"/>
    </row>
    <row r="4" spans="1:38" ht="23.2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65"/>
      <c r="J4" s="147" t="s">
        <v>129</v>
      </c>
      <c r="K4" s="146" t="s">
        <v>128</v>
      </c>
      <c r="L4" s="145" t="s">
        <v>127</v>
      </c>
      <c r="N4" s="187"/>
      <c r="O4" s="331"/>
      <c r="P4" s="257"/>
      <c r="Q4" s="257"/>
      <c r="R4" s="257"/>
      <c r="S4" s="203" t="str">
        <f>_xll.RData(S5:S32,T4:W4,,ReutersRtMode,,T5)</f>
        <v>On Pause</v>
      </c>
      <c r="T4" s="256" t="s">
        <v>213</v>
      </c>
      <c r="U4" s="256" t="s">
        <v>188</v>
      </c>
      <c r="V4" s="256" t="s">
        <v>184</v>
      </c>
      <c r="W4" s="256" t="s">
        <v>212</v>
      </c>
      <c r="X4" s="198" t="s">
        <v>211</v>
      </c>
      <c r="Y4" s="182"/>
      <c r="Z4" s="201" t="s">
        <v>172</v>
      </c>
      <c r="AA4" s="182"/>
      <c r="AB4" s="200" t="s">
        <v>171</v>
      </c>
      <c r="AC4" s="330" t="s">
        <v>170</v>
      </c>
      <c r="AD4" s="329" t="s">
        <v>169</v>
      </c>
      <c r="AE4" s="178"/>
      <c r="AF4" s="224"/>
      <c r="AG4" s="224"/>
      <c r="AH4" s="224"/>
      <c r="AI4" s="224"/>
      <c r="AJ4" s="224"/>
      <c r="AK4" s="252" t="s">
        <v>210</v>
      </c>
      <c r="AL4" s="224"/>
    </row>
    <row r="5" spans="1:38" x14ac:dyDescent="0.2">
      <c r="A5" s="71"/>
      <c r="B5" s="135" t="s">
        <v>61</v>
      </c>
      <c r="C5" s="26" t="str">
        <f t="array" ref="C5:C32">VLOOKUP(Currency,SwapMainSetConventions,2,FALSE)</f>
        <v>QM</v>
      </c>
      <c r="D5" s="26" t="str">
        <f t="array" ref="D5:D32">VLOOKUP(Currency,SwapMainSetConventions,3,FALSE)</f>
        <v>3H</v>
      </c>
      <c r="E5" s="24" t="str">
        <f t="shared" ref="E5:E32" si="0">Currency&amp;$C5&amp;$D5&amp;$B5&amp;QuoteSuffix</f>
        <v>HKDQM3H6M_Quote</v>
      </c>
      <c r="F5" s="24" t="str">
        <f>_xll.qlSimpleQuote(Currency&amp;$C5&amp;$D5&amp;$B5&amp;QuoteSuffix,,RateTickValue,Permanent,Trigger,ObjectOverwrite)</f>
        <v>HKDQM3H6M_Quote#0010</v>
      </c>
      <c r="G5" s="134" t="str">
        <f>_xll.ohRangeRetrieveError(F5)</f>
        <v/>
      </c>
      <c r="H5" s="65"/>
      <c r="J5" s="144" t="s">
        <v>55</v>
      </c>
      <c r="K5" s="33" t="s">
        <v>126</v>
      </c>
      <c r="L5" s="32" t="s">
        <v>43</v>
      </c>
      <c r="N5" s="187"/>
      <c r="O5" s="186" t="s">
        <v>61</v>
      </c>
      <c r="P5" s="236" t="str">
        <f t="array" ref="P5:P32">VLOOKUP(Currency,Conventions,2)</f>
        <v>QM</v>
      </c>
      <c r="Q5" s="236" t="str">
        <f t="array" ref="Q5:Q32">VLOOKUP(Currency,Conventions,3)</f>
        <v>3H</v>
      </c>
      <c r="R5" s="236" t="str">
        <f t="shared" ref="R5:R32" si="1">Currency&amp;$P5&amp;$Q5&amp;$O5</f>
        <v>HKDQM3H6M</v>
      </c>
      <c r="S5" s="236" t="str">
        <f t="array" ref="S5:S32">Instruments&amp;"="&amp;VLOOKUP(Contributor,ContributorTable,2,FALSE)</f>
        <v>HKDQM3H6M=PREA</v>
      </c>
      <c r="T5" s="237">
        <v>0.34</v>
      </c>
      <c r="U5" s="237">
        <v>0.44</v>
      </c>
      <c r="V5" s="237">
        <v>0</v>
      </c>
      <c r="W5" s="237">
        <v>0</v>
      </c>
      <c r="X5" s="184">
        <f>_xll.qlMidSafe($T5,$U5)</f>
        <v>0.39</v>
      </c>
      <c r="Y5" s="182"/>
      <c r="Z5" s="191">
        <v>0.4</v>
      </c>
      <c r="AA5" s="182"/>
      <c r="AB5" s="190" t="str">
        <f t="shared" ref="AB5:AB32" si="2">$R5&amp;$AC$2</f>
        <v>HKDQM3H6M_Quote</v>
      </c>
      <c r="AC5" s="189">
        <f t="array" ref="AC5:AC32">QuoteLive</f>
        <v>0.39</v>
      </c>
      <c r="AD5" s="188" t="e">
        <f>_xll.qlSimpleQuoteSetValue($AB5,$AC5/100,_xll.ohTrigger(Trigger,F5))</f>
        <v>#N/A</v>
      </c>
      <c r="AE5" s="178"/>
      <c r="AF5" s="224"/>
      <c r="AG5" s="345" t="s">
        <v>55</v>
      </c>
      <c r="AH5" s="344" t="s">
        <v>126</v>
      </c>
      <c r="AI5" s="343" t="s">
        <v>43</v>
      </c>
      <c r="AJ5" s="224"/>
      <c r="AK5" s="225">
        <f t="shared" ref="AK5:AK32" si="3">(U5-X5)/50</f>
        <v>9.999999999999998E-4</v>
      </c>
      <c r="AL5" s="224"/>
    </row>
    <row r="6" spans="1:38" x14ac:dyDescent="0.2">
      <c r="A6" s="71"/>
      <c r="B6" s="135" t="s">
        <v>60</v>
      </c>
      <c r="C6" s="26" t="str">
        <v>QM</v>
      </c>
      <c r="D6" s="26" t="str">
        <v>3H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HKDQM3H1Y_Quote#0010</v>
      </c>
      <c r="G6" s="134" t="str">
        <f>_xll.ohRangeRetrieveError(F6)</f>
        <v/>
      </c>
      <c r="H6" s="65"/>
      <c r="J6" s="144" t="s">
        <v>53</v>
      </c>
      <c r="K6" s="33" t="s">
        <v>126</v>
      </c>
      <c r="L6" s="32" t="s">
        <v>63</v>
      </c>
      <c r="N6" s="187"/>
      <c r="O6" s="186" t="s">
        <v>60</v>
      </c>
      <c r="P6" s="236" t="str">
        <v>QM</v>
      </c>
      <c r="Q6" s="236" t="str">
        <v>3H</v>
      </c>
      <c r="R6" s="236" t="str">
        <f t="shared" si="1"/>
        <v>HKDQM3H1Y</v>
      </c>
      <c r="S6" s="236" t="str">
        <v>HKDQM3H1Y=PREA</v>
      </c>
      <c r="T6" s="237">
        <v>0.38</v>
      </c>
      <c r="U6" s="237">
        <v>0.48</v>
      </c>
      <c r="V6" s="237">
        <v>0</v>
      </c>
      <c r="W6" s="237">
        <v>0</v>
      </c>
      <c r="X6" s="184">
        <f>_xll.qlMidSafe($T6,$U6)</f>
        <v>0.43</v>
      </c>
      <c r="Y6" s="182"/>
      <c r="Z6" s="191">
        <v>0.44</v>
      </c>
      <c r="AA6" s="182"/>
      <c r="AB6" s="190" t="str">
        <f t="shared" si="2"/>
        <v>HKDQM3H1Y_Quote</v>
      </c>
      <c r="AC6" s="189">
        <v>0.43</v>
      </c>
      <c r="AD6" s="188" t="e">
        <f>_xll.qlSimpleQuoteSetValue($AB6,$AC6/100,_xll.ohTrigger(Trigger,F6))</f>
        <v>#N/A</v>
      </c>
      <c r="AE6" s="178"/>
      <c r="AF6" s="224"/>
      <c r="AG6" s="342" t="s">
        <v>53</v>
      </c>
      <c r="AH6" s="219" t="s">
        <v>126</v>
      </c>
      <c r="AI6" s="280" t="s">
        <v>63</v>
      </c>
      <c r="AJ6" s="224"/>
      <c r="AK6" s="225">
        <f t="shared" si="3"/>
        <v>9.999999999999998E-4</v>
      </c>
      <c r="AL6" s="224"/>
    </row>
    <row r="7" spans="1:38" x14ac:dyDescent="0.2">
      <c r="A7" s="71"/>
      <c r="B7" s="133" t="s">
        <v>59</v>
      </c>
      <c r="C7" s="26" t="str">
        <v>QM</v>
      </c>
      <c r="D7" s="26" t="str">
        <v>3H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HKDQM3H15M_Quote#0010</v>
      </c>
      <c r="G7" s="134" t="str">
        <f>_xll.ohRangeRetrieveError(F7)</f>
        <v/>
      </c>
      <c r="H7" s="65"/>
      <c r="J7" s="144" t="s">
        <v>4</v>
      </c>
      <c r="K7" s="33" t="s">
        <v>125</v>
      </c>
      <c r="L7" s="32" t="s">
        <v>124</v>
      </c>
      <c r="N7" s="187"/>
      <c r="O7" s="186" t="s">
        <v>59</v>
      </c>
      <c r="P7" s="236" t="str">
        <v>QM</v>
      </c>
      <c r="Q7" s="236" t="str">
        <v>3H</v>
      </c>
      <c r="R7" s="236" t="str">
        <f t="shared" si="1"/>
        <v>HKDQM3H15M</v>
      </c>
      <c r="S7" s="236" t="str">
        <v>HKDQM3H15M=PREA</v>
      </c>
      <c r="T7" s="237" t="s">
        <v>168</v>
      </c>
      <c r="U7" s="237" t="s">
        <v>168</v>
      </c>
      <c r="V7" s="237" t="s">
        <v>168</v>
      </c>
      <c r="W7" s="237" t="s">
        <v>168</v>
      </c>
      <c r="X7" s="184" t="e">
        <f>_xll.qlMidSafe($T7,$U7)</f>
        <v>#NUM!</v>
      </c>
      <c r="Y7" s="182"/>
      <c r="Z7" s="191" t="e">
        <v>#NUM!</v>
      </c>
      <c r="AA7" s="182"/>
      <c r="AB7" s="190" t="str">
        <f t="shared" si="2"/>
        <v>HKDQM3H15M_Quote</v>
      </c>
      <c r="AC7" s="189" t="e">
        <v>#NUM!</v>
      </c>
      <c r="AD7" s="188" t="e">
        <f>_xll.qlSimpleQuoteSetValue($AB7,$AC7/100,_xll.ohTrigger(Trigger,F7))</f>
        <v>#NUM!</v>
      </c>
      <c r="AE7" s="178"/>
      <c r="AF7" s="224"/>
      <c r="AG7" s="342" t="s">
        <v>49</v>
      </c>
      <c r="AH7" s="219" t="s">
        <v>122</v>
      </c>
      <c r="AI7" s="280" t="s">
        <v>43</v>
      </c>
      <c r="AJ7" s="224"/>
      <c r="AK7" s="225" t="e">
        <f t="shared" si="3"/>
        <v>#VALUE!</v>
      </c>
      <c r="AL7" s="224"/>
    </row>
    <row r="8" spans="1:38" x14ac:dyDescent="0.2">
      <c r="A8" s="71"/>
      <c r="B8" s="133" t="s">
        <v>58</v>
      </c>
      <c r="C8" s="26" t="str">
        <v>QM</v>
      </c>
      <c r="D8" s="26" t="str">
        <v>3H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HKDQM3H18M_Quote#0010</v>
      </c>
      <c r="G8" s="130" t="str">
        <f>_xll.ohRangeRetrieveError(F8)</f>
        <v/>
      </c>
      <c r="H8" s="65"/>
      <c r="J8" s="144"/>
      <c r="K8" s="33"/>
      <c r="L8" s="32"/>
      <c r="N8" s="187"/>
      <c r="O8" s="186" t="s">
        <v>58</v>
      </c>
      <c r="P8" s="236" t="str">
        <v>QM</v>
      </c>
      <c r="Q8" s="236" t="str">
        <v>3H</v>
      </c>
      <c r="R8" s="236" t="str">
        <f t="shared" si="1"/>
        <v>HKDQM3H18M</v>
      </c>
      <c r="S8" s="236" t="str">
        <v>HKDQM3H18M=PREA</v>
      </c>
      <c r="T8" s="237">
        <v>0.42</v>
      </c>
      <c r="U8" s="237">
        <v>0.52</v>
      </c>
      <c r="V8" s="237">
        <v>0</v>
      </c>
      <c r="W8" s="237">
        <v>0</v>
      </c>
      <c r="X8" s="184">
        <f>_xll.qlMidSafe($T8,$U8)</f>
        <v>0.47</v>
      </c>
      <c r="Y8" s="182"/>
      <c r="Z8" s="191">
        <v>0.48</v>
      </c>
      <c r="AA8" s="182"/>
      <c r="AB8" s="190" t="str">
        <f t="shared" si="2"/>
        <v>HKDQM3H18M_Quote</v>
      </c>
      <c r="AC8" s="189">
        <v>0.47</v>
      </c>
      <c r="AD8" s="188" t="e">
        <f>_xll.qlSimpleQuoteSetValue($AB8,$AC8/100,_xll.ohTrigger(Trigger,F8))</f>
        <v>#N/A</v>
      </c>
      <c r="AE8" s="178"/>
      <c r="AF8" s="224"/>
      <c r="AG8" s="342" t="s">
        <v>4</v>
      </c>
      <c r="AH8" s="219" t="s">
        <v>125</v>
      </c>
      <c r="AI8" s="280" t="s">
        <v>124</v>
      </c>
      <c r="AJ8" s="224"/>
      <c r="AK8" s="225">
        <f t="shared" si="3"/>
        <v>1.0000000000000009E-3</v>
      </c>
      <c r="AL8" s="224"/>
    </row>
    <row r="9" spans="1:38" x14ac:dyDescent="0.2">
      <c r="A9" s="71"/>
      <c r="B9" s="133" t="s">
        <v>57</v>
      </c>
      <c r="C9" s="26" t="str">
        <v>QM</v>
      </c>
      <c r="D9" s="26" t="str">
        <v>3H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HKDQM3H21M_Quote#0010</v>
      </c>
      <c r="G9" s="130" t="str">
        <f>_xll.ohRangeRetrieveError(F9)</f>
        <v/>
      </c>
      <c r="H9" s="65"/>
      <c r="J9" s="144"/>
      <c r="K9" s="33"/>
      <c r="L9" s="32"/>
      <c r="N9" s="187"/>
      <c r="O9" s="186" t="s">
        <v>57</v>
      </c>
      <c r="P9" s="236" t="str">
        <v>QM</v>
      </c>
      <c r="Q9" s="236" t="str">
        <v>3H</v>
      </c>
      <c r="R9" s="236" t="str">
        <f t="shared" si="1"/>
        <v>HKDQM3H21M</v>
      </c>
      <c r="S9" s="236" t="str">
        <v>HKDQM3H21M=PREA</v>
      </c>
      <c r="T9" s="237" t="s">
        <v>168</v>
      </c>
      <c r="U9" s="237" t="s">
        <v>168</v>
      </c>
      <c r="V9" s="237" t="s">
        <v>168</v>
      </c>
      <c r="W9" s="237" t="s">
        <v>168</v>
      </c>
      <c r="X9" s="184" t="e">
        <f>_xll.qlMidSafe($T9,$U9)</f>
        <v>#NUM!</v>
      </c>
      <c r="Y9" s="182"/>
      <c r="Z9" s="191" t="e">
        <v>#NUM!</v>
      </c>
      <c r="AA9" s="182"/>
      <c r="AB9" s="190" t="str">
        <f t="shared" si="2"/>
        <v>HKDQM3H21M_Quote</v>
      </c>
      <c r="AC9" s="189" t="e">
        <v>#NUM!</v>
      </c>
      <c r="AD9" s="188" t="e">
        <f>_xll.qlSimpleQuoteSetValue($AB9,$AC9/100,_xll.ohTrigger(Trigger,F9))</f>
        <v>#NUM!</v>
      </c>
      <c r="AE9" s="178"/>
      <c r="AF9" s="224"/>
      <c r="AG9" s="342" t="s">
        <v>47</v>
      </c>
      <c r="AH9" s="219" t="s">
        <v>123</v>
      </c>
      <c r="AI9" s="280" t="s">
        <v>43</v>
      </c>
      <c r="AJ9" s="224"/>
      <c r="AK9" s="225" t="e">
        <f t="shared" si="3"/>
        <v>#VALUE!</v>
      </c>
      <c r="AL9" s="224"/>
    </row>
    <row r="10" spans="1:38" ht="13.5" thickBot="1" x14ac:dyDescent="0.25">
      <c r="A10" s="71"/>
      <c r="B10" s="133" t="s">
        <v>56</v>
      </c>
      <c r="C10" s="26" t="str">
        <v>QM</v>
      </c>
      <c r="D10" s="26" t="str">
        <v>3H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HKDQM3H2Y_Quote#0010</v>
      </c>
      <c r="G10" s="130" t="str">
        <f>_xll.ohRangeRetrieveError(F10)</f>
        <v/>
      </c>
      <c r="H10" s="65"/>
      <c r="J10" s="144" t="s">
        <v>49</v>
      </c>
      <c r="K10" s="33" t="s">
        <v>122</v>
      </c>
      <c r="L10" s="32" t="s">
        <v>43</v>
      </c>
      <c r="N10" s="187"/>
      <c r="O10" s="186" t="s">
        <v>56</v>
      </c>
      <c r="P10" s="236" t="str">
        <v>QM</v>
      </c>
      <c r="Q10" s="236" t="str">
        <v>3H</v>
      </c>
      <c r="R10" s="236" t="str">
        <f t="shared" si="1"/>
        <v>HKDQM3H2Y</v>
      </c>
      <c r="S10" s="236" t="str">
        <v>HKDQM3H2Y=PREA</v>
      </c>
      <c r="T10" s="237">
        <v>0.48</v>
      </c>
      <c r="U10" s="237">
        <v>0.57999999999999996</v>
      </c>
      <c r="V10" s="237">
        <v>0</v>
      </c>
      <c r="W10" s="237">
        <v>0</v>
      </c>
      <c r="X10" s="184">
        <f>_xll.qlMidSafe($T10,$U10)</f>
        <v>0.53</v>
      </c>
      <c r="Y10" s="182"/>
      <c r="Z10" s="191">
        <v>0.54</v>
      </c>
      <c r="AA10" s="182"/>
      <c r="AB10" s="190" t="str">
        <f t="shared" si="2"/>
        <v>HKDQM3H2Y_Quote</v>
      </c>
      <c r="AC10" s="189">
        <v>0.53</v>
      </c>
      <c r="AD10" s="188" t="e">
        <f>_xll.qlSimpleQuoteSetValue($AB10,$AC10/100,_xll.ohTrigger(Trigger,F10))</f>
        <v>#N/A</v>
      </c>
      <c r="AE10" s="178"/>
      <c r="AF10" s="224"/>
      <c r="AG10" s="341" t="s">
        <v>44</v>
      </c>
      <c r="AH10" s="340" t="s">
        <v>122</v>
      </c>
      <c r="AI10" s="278" t="s">
        <v>43</v>
      </c>
      <c r="AJ10" s="224"/>
      <c r="AK10" s="225">
        <f t="shared" si="3"/>
        <v>9.9999999999999872E-4</v>
      </c>
      <c r="AL10" s="224"/>
    </row>
    <row r="11" spans="1:38" x14ac:dyDescent="0.2">
      <c r="A11" s="71"/>
      <c r="B11" s="133" t="s">
        <v>54</v>
      </c>
      <c r="C11" s="26" t="str">
        <v>QM</v>
      </c>
      <c r="D11" s="26" t="str">
        <v>3H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HKDQM3H3Y_Quote#0010</v>
      </c>
      <c r="G11" s="130" t="str">
        <f>_xll.ohRangeRetrieveError(F11)</f>
        <v/>
      </c>
      <c r="H11" s="65"/>
      <c r="J11" s="144" t="s">
        <v>47</v>
      </c>
      <c r="K11" s="33" t="s">
        <v>123</v>
      </c>
      <c r="L11" s="32" t="s">
        <v>43</v>
      </c>
      <c r="N11" s="187"/>
      <c r="O11" s="186" t="s">
        <v>54</v>
      </c>
      <c r="P11" s="338" t="str">
        <v>QM</v>
      </c>
      <c r="Q11" s="338" t="str">
        <v>3H</v>
      </c>
      <c r="R11" s="236" t="str">
        <f t="shared" si="1"/>
        <v>HKDQM3H3Y</v>
      </c>
      <c r="S11" s="236" t="str">
        <v>HKDQM3H3Y=PREA</v>
      </c>
      <c r="T11" s="237">
        <v>0.71</v>
      </c>
      <c r="U11" s="237">
        <v>0.81</v>
      </c>
      <c r="V11" s="237">
        <v>0</v>
      </c>
      <c r="W11" s="237">
        <v>0</v>
      </c>
      <c r="X11" s="184">
        <f>_xll.qlMidSafe($T11,$U11)</f>
        <v>0.76</v>
      </c>
      <c r="Y11" s="182"/>
      <c r="Z11" s="191">
        <v>0.77</v>
      </c>
      <c r="AA11" s="182"/>
      <c r="AB11" s="190" t="str">
        <f t="shared" si="2"/>
        <v>HKDQM3H3Y_Quote</v>
      </c>
      <c r="AC11" s="189">
        <v>0.76</v>
      </c>
      <c r="AD11" s="188" t="e">
        <f>_xll.qlSimpleQuoteSetValue($AB11,$AC11/100,_xll.ohTrigger(Trigger,F11))</f>
        <v>#N/A</v>
      </c>
      <c r="AE11" s="178"/>
      <c r="AF11" s="224"/>
      <c r="AG11" s="224"/>
      <c r="AH11" s="224"/>
      <c r="AI11" s="224"/>
      <c r="AJ11" s="224"/>
      <c r="AK11" s="225">
        <f t="shared" si="3"/>
        <v>1.0000000000000009E-3</v>
      </c>
      <c r="AL11" s="224"/>
    </row>
    <row r="12" spans="1:38" ht="13.5" thickBot="1" x14ac:dyDescent="0.25">
      <c r="A12" s="71"/>
      <c r="B12" s="133" t="s">
        <v>50</v>
      </c>
      <c r="C12" s="26" t="str">
        <v>QM</v>
      </c>
      <c r="D12" s="26" t="str">
        <v>3H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HKDQM3H4Y_Quote#0010</v>
      </c>
      <c r="G12" s="130" t="str">
        <f>_xll.ohRangeRetrieveError(F12)</f>
        <v/>
      </c>
      <c r="H12" s="65"/>
      <c r="J12" s="143" t="s">
        <v>44</v>
      </c>
      <c r="K12" s="30" t="s">
        <v>122</v>
      </c>
      <c r="L12" s="29" t="s">
        <v>43</v>
      </c>
      <c r="N12" s="187"/>
      <c r="O12" s="186" t="s">
        <v>50</v>
      </c>
      <c r="P12" s="338" t="str">
        <v>QM</v>
      </c>
      <c r="Q12" s="338" t="str">
        <v>3H</v>
      </c>
      <c r="R12" s="236" t="str">
        <f t="shared" si="1"/>
        <v>HKDQM3H4Y</v>
      </c>
      <c r="S12" s="236" t="str">
        <v>HKDQM3H4Y=PREA</v>
      </c>
      <c r="T12" s="237">
        <v>1.06</v>
      </c>
      <c r="U12" s="237">
        <v>1.1599999999999999</v>
      </c>
      <c r="V12" s="237">
        <v>0</v>
      </c>
      <c r="W12" s="237">
        <v>0</v>
      </c>
      <c r="X12" s="184">
        <f>_xll.qlMidSafe($T12,$U12)</f>
        <v>1.1099999999999999</v>
      </c>
      <c r="Y12" s="182"/>
      <c r="Z12" s="191">
        <v>1.0899999999999999</v>
      </c>
      <c r="AA12" s="182"/>
      <c r="AB12" s="190" t="str">
        <f t="shared" si="2"/>
        <v>HKDQM3H4Y_Quote</v>
      </c>
      <c r="AC12" s="189">
        <v>1.1099999999999999</v>
      </c>
      <c r="AD12" s="188" t="e">
        <f>_xll.qlSimpleQuoteSetValue($AB12,$AC12/100,_xll.ohTrigger(Trigger,F12))</f>
        <v>#N/A</v>
      </c>
      <c r="AE12" s="178"/>
      <c r="AF12" s="224"/>
      <c r="AG12" s="224"/>
      <c r="AH12" s="224"/>
      <c r="AI12" s="224"/>
      <c r="AJ12" s="224"/>
      <c r="AK12" s="225">
        <f t="shared" si="3"/>
        <v>1.0000000000000009E-3</v>
      </c>
      <c r="AL12" s="224"/>
    </row>
    <row r="13" spans="1:38" x14ac:dyDescent="0.2">
      <c r="A13" s="71"/>
      <c r="B13" s="133" t="s">
        <v>48</v>
      </c>
      <c r="C13" s="26" t="str">
        <v>QM</v>
      </c>
      <c r="D13" s="26" t="str">
        <v>3H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HKDQM3H5Y_Quote#0010</v>
      </c>
      <c r="G13" s="130" t="str">
        <f>_xll.ohRangeRetrieveError(F13)</f>
        <v/>
      </c>
      <c r="H13" s="65"/>
      <c r="N13" s="187"/>
      <c r="O13" s="186" t="s">
        <v>48</v>
      </c>
      <c r="P13" s="338" t="str">
        <v>QM</v>
      </c>
      <c r="Q13" s="338" t="str">
        <v>3H</v>
      </c>
      <c r="R13" s="236" t="str">
        <f t="shared" si="1"/>
        <v>HKDQM3H5Y</v>
      </c>
      <c r="S13" s="236" t="str">
        <v>HKDQM3H5Y=PREA</v>
      </c>
      <c r="T13" s="237">
        <v>1.42</v>
      </c>
      <c r="U13" s="237">
        <v>1.52</v>
      </c>
      <c r="V13" s="237">
        <v>0</v>
      </c>
      <c r="W13" s="237">
        <v>0</v>
      </c>
      <c r="X13" s="184">
        <f>_xll.qlMidSafe($T13,$U13)</f>
        <v>1.47</v>
      </c>
      <c r="Y13" s="182"/>
      <c r="Z13" s="191">
        <v>1.4100000000000001</v>
      </c>
      <c r="AA13" s="182"/>
      <c r="AB13" s="190" t="str">
        <f t="shared" si="2"/>
        <v>HKDQM3H5Y_Quote</v>
      </c>
      <c r="AC13" s="189">
        <v>1.47</v>
      </c>
      <c r="AD13" s="188" t="e">
        <f>_xll.qlSimpleQuoteSetValue($AB13,$AC13/100,_xll.ohTrigger(Trigger,F13))</f>
        <v>#N/A</v>
      </c>
      <c r="AE13" s="178"/>
      <c r="AF13" s="224"/>
      <c r="AG13" s="224"/>
      <c r="AH13" s="224"/>
      <c r="AI13" s="224"/>
      <c r="AJ13" s="224"/>
      <c r="AK13" s="225">
        <f t="shared" si="3"/>
        <v>1.0000000000000009E-3</v>
      </c>
      <c r="AL13" s="224"/>
    </row>
    <row r="14" spans="1:38" x14ac:dyDescent="0.2">
      <c r="A14" s="71"/>
      <c r="B14" s="133" t="s">
        <v>45</v>
      </c>
      <c r="C14" s="26" t="str">
        <v>QM</v>
      </c>
      <c r="D14" s="26" t="str">
        <v>3H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HKDQM3H6Y_Quote#0010</v>
      </c>
      <c r="G14" s="130" t="str">
        <f>_xll.ohRangeRetrieveError(F14)</f>
        <v/>
      </c>
      <c r="H14" s="65"/>
      <c r="N14" s="187"/>
      <c r="O14" s="186" t="s">
        <v>45</v>
      </c>
      <c r="P14" s="338" t="str">
        <v>QM</v>
      </c>
      <c r="Q14" s="338" t="str">
        <v>3H</v>
      </c>
      <c r="R14" s="236" t="str">
        <f t="shared" si="1"/>
        <v>HKDQM3H6Y</v>
      </c>
      <c r="S14" s="236" t="str">
        <v>HKDQM3H6Y=PREA</v>
      </c>
      <c r="T14" s="237" t="s">
        <v>168</v>
      </c>
      <c r="U14" s="237" t="s">
        <v>168</v>
      </c>
      <c r="V14" s="237" t="s">
        <v>168</v>
      </c>
      <c r="W14" s="237" t="s">
        <v>168</v>
      </c>
      <c r="X14" s="184" t="e">
        <f>_xll.qlMidSafe($T14,$U14)</f>
        <v>#NUM!</v>
      </c>
      <c r="Y14" s="182"/>
      <c r="Z14" s="191" t="e">
        <v>#NUM!</v>
      </c>
      <c r="AA14" s="182"/>
      <c r="AB14" s="190" t="str">
        <f t="shared" si="2"/>
        <v>HKDQM3H6Y_Quote</v>
      </c>
      <c r="AC14" s="189" t="e">
        <v>#NUM!</v>
      </c>
      <c r="AD14" s="188" t="e">
        <f>_xll.qlSimpleQuoteSetValue($AB14,$AC14/100,_xll.ohTrigger(Trigger,F14))</f>
        <v>#NUM!</v>
      </c>
      <c r="AE14" s="178"/>
      <c r="AF14" s="224"/>
      <c r="AG14" s="224"/>
      <c r="AH14" s="224"/>
      <c r="AI14" s="224"/>
      <c r="AJ14" s="224"/>
      <c r="AK14" s="225" t="e">
        <f t="shared" si="3"/>
        <v>#VALUE!</v>
      </c>
      <c r="AL14" s="224"/>
    </row>
    <row r="15" spans="1:38" x14ac:dyDescent="0.2">
      <c r="A15" s="71"/>
      <c r="B15" s="133" t="s">
        <v>41</v>
      </c>
      <c r="C15" s="26" t="str">
        <v>QM</v>
      </c>
      <c r="D15" s="26" t="str">
        <v>3H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HKDQM3H7Y_Quote#0010</v>
      </c>
      <c r="G15" s="130" t="str">
        <f>_xll.ohRangeRetrieveError(F15)</f>
        <v/>
      </c>
      <c r="H15" s="65"/>
      <c r="N15" s="187"/>
      <c r="O15" s="186" t="s">
        <v>41</v>
      </c>
      <c r="P15" s="338" t="str">
        <v>QM</v>
      </c>
      <c r="Q15" s="338" t="str">
        <v>3H</v>
      </c>
      <c r="R15" s="236" t="str">
        <f t="shared" si="1"/>
        <v>HKDQM3H7Y</v>
      </c>
      <c r="S15" s="236" t="str">
        <v>HKDQM3H7Y=PREA</v>
      </c>
      <c r="T15" s="237">
        <v>1.98</v>
      </c>
      <c r="U15" s="237">
        <v>2.08</v>
      </c>
      <c r="V15" s="237">
        <v>0</v>
      </c>
      <c r="W15" s="237">
        <v>0</v>
      </c>
      <c r="X15" s="184">
        <f>_xll.qlMidSafe($T15,$U15)</f>
        <v>2.0300000000000002</v>
      </c>
      <c r="Y15" s="182"/>
      <c r="Z15" s="191">
        <v>1.95</v>
      </c>
      <c r="AA15" s="182"/>
      <c r="AB15" s="190" t="str">
        <f t="shared" si="2"/>
        <v>HKDQM3H7Y_Quote</v>
      </c>
      <c r="AC15" s="189">
        <v>2.0300000000000002</v>
      </c>
      <c r="AD15" s="188" t="e">
        <f>_xll.qlSimpleQuoteSetValue($AB15,$AC15/100,_xll.ohTrigger(Trigger,F15))</f>
        <v>#N/A</v>
      </c>
      <c r="AE15" s="178"/>
      <c r="AF15" s="224"/>
      <c r="AG15" s="224"/>
      <c r="AH15" s="224"/>
      <c r="AI15" s="224"/>
      <c r="AJ15" s="224"/>
      <c r="AK15" s="225">
        <f t="shared" si="3"/>
        <v>9.9999999999999655E-4</v>
      </c>
      <c r="AL15" s="224"/>
    </row>
    <row r="16" spans="1:38" x14ac:dyDescent="0.2">
      <c r="A16" s="71"/>
      <c r="B16" s="133" t="s">
        <v>40</v>
      </c>
      <c r="C16" s="26" t="str">
        <v>QM</v>
      </c>
      <c r="D16" s="26" t="str">
        <v>3H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HKDQM3H8Y_Quote#0010</v>
      </c>
      <c r="G16" s="130" t="str">
        <f>_xll.ohRangeRetrieveError(F16)</f>
        <v/>
      </c>
      <c r="H16" s="65"/>
      <c r="N16" s="187"/>
      <c r="O16" s="186" t="s">
        <v>40</v>
      </c>
      <c r="P16" s="338" t="str">
        <v>QM</v>
      </c>
      <c r="Q16" s="338" t="str">
        <v>3H</v>
      </c>
      <c r="R16" s="236" t="str">
        <f t="shared" si="1"/>
        <v>HKDQM3H8Y</v>
      </c>
      <c r="S16" s="236" t="str">
        <v>HKDQM3H8Y=PREA</v>
      </c>
      <c r="T16" s="237" t="s">
        <v>168</v>
      </c>
      <c r="U16" s="237" t="s">
        <v>168</v>
      </c>
      <c r="V16" s="237" t="s">
        <v>168</v>
      </c>
      <c r="W16" s="237" t="s">
        <v>168</v>
      </c>
      <c r="X16" s="184" t="e">
        <f>_xll.qlMidSafe($T16,$U16)</f>
        <v>#NUM!</v>
      </c>
      <c r="Y16" s="182"/>
      <c r="Z16" s="191" t="e">
        <v>#NUM!</v>
      </c>
      <c r="AA16" s="182"/>
      <c r="AB16" s="190" t="str">
        <f t="shared" si="2"/>
        <v>HKDQM3H8Y_Quote</v>
      </c>
      <c r="AC16" s="189" t="e">
        <v>#NUM!</v>
      </c>
      <c r="AD16" s="188" t="e">
        <f>_xll.qlSimpleQuoteSetValue($AB16,$AC16/100,_xll.ohTrigger(Trigger,F16))</f>
        <v>#NUM!</v>
      </c>
      <c r="AE16" s="178"/>
      <c r="AF16" s="224"/>
      <c r="AG16" s="224"/>
      <c r="AH16" s="224"/>
      <c r="AI16" s="224"/>
      <c r="AJ16" s="224"/>
      <c r="AK16" s="225" t="e">
        <f t="shared" si="3"/>
        <v>#VALUE!</v>
      </c>
      <c r="AL16" s="224"/>
    </row>
    <row r="17" spans="1:38" x14ac:dyDescent="0.2">
      <c r="A17" s="71"/>
      <c r="B17" s="133" t="s">
        <v>39</v>
      </c>
      <c r="C17" s="26" t="str">
        <v>QM</v>
      </c>
      <c r="D17" s="26" t="str">
        <v>3H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HKDQM3H9Y_Quote#0010</v>
      </c>
      <c r="G17" s="130" t="str">
        <f>_xll.ohRangeRetrieveError(F17)</f>
        <v/>
      </c>
      <c r="H17" s="65"/>
      <c r="N17" s="187"/>
      <c r="O17" s="186" t="s">
        <v>39</v>
      </c>
      <c r="P17" s="338" t="str">
        <v>QM</v>
      </c>
      <c r="Q17" s="338" t="str">
        <v>3H</v>
      </c>
      <c r="R17" s="236" t="str">
        <f t="shared" si="1"/>
        <v>HKDQM3H9Y</v>
      </c>
      <c r="S17" s="236" t="str">
        <v>HKDQM3H9Y=PREA</v>
      </c>
      <c r="T17" s="237" t="s">
        <v>168</v>
      </c>
      <c r="U17" s="237" t="s">
        <v>168</v>
      </c>
      <c r="V17" s="237" t="s">
        <v>168</v>
      </c>
      <c r="W17" s="237" t="s">
        <v>168</v>
      </c>
      <c r="X17" s="184" t="e">
        <f>_xll.qlMidSafe($T17,$U17)</f>
        <v>#NUM!</v>
      </c>
      <c r="Y17" s="182"/>
      <c r="Z17" s="191" t="e">
        <v>#NUM!</v>
      </c>
      <c r="AA17" s="182"/>
      <c r="AB17" s="190" t="str">
        <f t="shared" si="2"/>
        <v>HKDQM3H9Y_Quote</v>
      </c>
      <c r="AC17" s="189" t="e">
        <v>#NUM!</v>
      </c>
      <c r="AD17" s="188" t="e">
        <f>_xll.qlSimpleQuoteSetValue($AB17,$AC17/100,_xll.ohTrigger(Trigger,F17))</f>
        <v>#NUM!</v>
      </c>
      <c r="AE17" s="178"/>
      <c r="AF17" s="224"/>
      <c r="AG17" s="224"/>
      <c r="AH17" s="224"/>
      <c r="AI17" s="224"/>
      <c r="AJ17" s="224"/>
      <c r="AK17" s="225" t="e">
        <f t="shared" si="3"/>
        <v>#VALUE!</v>
      </c>
      <c r="AL17" s="224"/>
    </row>
    <row r="18" spans="1:38" x14ac:dyDescent="0.2">
      <c r="A18" s="71"/>
      <c r="B18" s="133" t="s">
        <v>38</v>
      </c>
      <c r="C18" s="26" t="str">
        <v>QM</v>
      </c>
      <c r="D18" s="26" t="str">
        <v>3H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HKDQM3H10Y_Quote#0010</v>
      </c>
      <c r="G18" s="130" t="str">
        <f>_xll.ohRangeRetrieveError(F18)</f>
        <v/>
      </c>
      <c r="H18" s="65"/>
      <c r="N18" s="187"/>
      <c r="O18" s="186" t="s">
        <v>38</v>
      </c>
      <c r="P18" s="338" t="str">
        <v>QM</v>
      </c>
      <c r="Q18" s="338" t="str">
        <v>3H</v>
      </c>
      <c r="R18" s="236" t="str">
        <f t="shared" si="1"/>
        <v>HKDQM3H10Y</v>
      </c>
      <c r="S18" s="236" t="str">
        <v>HKDQM3H10Y=PREA</v>
      </c>
      <c r="T18" s="237">
        <v>2.5099999999999998</v>
      </c>
      <c r="U18" s="237">
        <v>2.61</v>
      </c>
      <c r="V18" s="237">
        <v>0</v>
      </c>
      <c r="W18" s="237">
        <v>0</v>
      </c>
      <c r="X18" s="184">
        <f>_xll.qlMidSafe($T18,$U18)</f>
        <v>2.5599999999999996</v>
      </c>
      <c r="Y18" s="182"/>
      <c r="Z18" s="191">
        <v>2.4500000000000002</v>
      </c>
      <c r="AA18" s="182"/>
      <c r="AB18" s="190" t="str">
        <f t="shared" si="2"/>
        <v>HKDQM3H10Y_Quote</v>
      </c>
      <c r="AC18" s="189">
        <v>2.5599999999999996</v>
      </c>
      <c r="AD18" s="188" t="e">
        <f>_xll.qlSimpleQuoteSetValue($AB18,$AC18/100,_xll.ohTrigger(Trigger,F18))</f>
        <v>#N/A</v>
      </c>
      <c r="AE18" s="178"/>
      <c r="AF18" s="224"/>
      <c r="AG18" s="224"/>
      <c r="AH18" s="224"/>
      <c r="AI18" s="224"/>
      <c r="AJ18" s="224"/>
      <c r="AK18" s="225">
        <f t="shared" si="3"/>
        <v>1.0000000000000052E-3</v>
      </c>
      <c r="AL18" s="224"/>
    </row>
    <row r="19" spans="1:38" x14ac:dyDescent="0.2">
      <c r="A19" s="71"/>
      <c r="B19" s="133" t="s">
        <v>37</v>
      </c>
      <c r="C19" s="26" t="str">
        <v>QM</v>
      </c>
      <c r="D19" s="26" t="str">
        <v>3H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HKDQM3H11Y_Quote#0010</v>
      </c>
      <c r="G19" s="130" t="str">
        <f>_xll.ohRangeRetrieveError(F19)</f>
        <v/>
      </c>
      <c r="H19" s="65"/>
      <c r="N19" s="187"/>
      <c r="O19" s="186" t="s">
        <v>37</v>
      </c>
      <c r="P19" s="338" t="str">
        <v>QM</v>
      </c>
      <c r="Q19" s="338" t="str">
        <v>3H</v>
      </c>
      <c r="R19" s="236" t="str">
        <f t="shared" si="1"/>
        <v>HKDQM3H11Y</v>
      </c>
      <c r="S19" s="236" t="str">
        <v>HKDQM3H11Y=PREA</v>
      </c>
      <c r="T19" s="237" t="s">
        <v>168</v>
      </c>
      <c r="U19" s="237" t="s">
        <v>168</v>
      </c>
      <c r="V19" s="237" t="s">
        <v>168</v>
      </c>
      <c r="W19" s="237" t="s">
        <v>168</v>
      </c>
      <c r="X19" s="184" t="e">
        <f>_xll.qlMidSafe($T19,$U19)</f>
        <v>#NUM!</v>
      </c>
      <c r="Y19" s="182"/>
      <c r="Z19" s="191" t="e">
        <v>#NUM!</v>
      </c>
      <c r="AA19" s="182"/>
      <c r="AB19" s="190" t="str">
        <f t="shared" si="2"/>
        <v>HKDQM3H11Y_Quote</v>
      </c>
      <c r="AC19" s="189" t="e">
        <v>#NUM!</v>
      </c>
      <c r="AD19" s="188" t="e">
        <f>_xll.qlSimpleQuoteSetValue($AB19,$AC19/100,_xll.ohTrigger(Trigger,F19))</f>
        <v>#NUM!</v>
      </c>
      <c r="AE19" s="178"/>
      <c r="AF19" s="224"/>
      <c r="AG19" s="224"/>
      <c r="AH19" s="224"/>
      <c r="AI19" s="224"/>
      <c r="AJ19" s="224"/>
      <c r="AK19" s="225" t="e">
        <f t="shared" si="3"/>
        <v>#VALUE!</v>
      </c>
      <c r="AL19" s="224"/>
    </row>
    <row r="20" spans="1:38" x14ac:dyDescent="0.2">
      <c r="A20" s="71"/>
      <c r="B20" s="133" t="s">
        <v>36</v>
      </c>
      <c r="C20" s="26" t="str">
        <v>QM</v>
      </c>
      <c r="D20" s="26" t="str">
        <v>3H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HKDQM3H12Y_Quote#0010</v>
      </c>
      <c r="G20" s="130" t="str">
        <f>_xll.ohRangeRetrieveError(F20)</f>
        <v/>
      </c>
      <c r="H20" s="65"/>
      <c r="N20" s="187"/>
      <c r="O20" s="186" t="s">
        <v>36</v>
      </c>
      <c r="P20" s="338" t="str">
        <v>QM</v>
      </c>
      <c r="Q20" s="338" t="str">
        <v>3H</v>
      </c>
      <c r="R20" s="236" t="str">
        <f t="shared" si="1"/>
        <v>HKDQM3H12Y</v>
      </c>
      <c r="S20" s="236" t="str">
        <v>HKDQM3H12Y=PREA</v>
      </c>
      <c r="T20" s="237">
        <v>2.71</v>
      </c>
      <c r="U20" s="237">
        <v>2.81</v>
      </c>
      <c r="V20" s="237">
        <v>0</v>
      </c>
      <c r="W20" s="237">
        <v>0</v>
      </c>
      <c r="X20" s="184">
        <f>_xll.qlMidSafe($T20,$U20)</f>
        <v>2.76</v>
      </c>
      <c r="Y20" s="182"/>
      <c r="Z20" s="191">
        <v>2.6100000000000003</v>
      </c>
      <c r="AA20" s="182"/>
      <c r="AB20" s="190" t="str">
        <f t="shared" si="2"/>
        <v>HKDQM3H12Y_Quote</v>
      </c>
      <c r="AC20" s="189">
        <v>2.76</v>
      </c>
      <c r="AD20" s="188" t="e">
        <f>_xll.qlSimpleQuoteSetValue($AB20,$AC20/100,_xll.ohTrigger(Trigger,F20))</f>
        <v>#N/A</v>
      </c>
      <c r="AE20" s="178"/>
      <c r="AF20" s="224"/>
      <c r="AG20" s="224"/>
      <c r="AH20" s="224"/>
      <c r="AI20" s="224"/>
      <c r="AJ20" s="224"/>
      <c r="AK20" s="225">
        <f t="shared" si="3"/>
        <v>1.0000000000000052E-3</v>
      </c>
      <c r="AL20" s="224"/>
    </row>
    <row r="21" spans="1:38" x14ac:dyDescent="0.2">
      <c r="A21" s="71"/>
      <c r="B21" s="133" t="s">
        <v>35</v>
      </c>
      <c r="C21" s="26" t="str">
        <v>QM</v>
      </c>
      <c r="D21" s="26" t="str">
        <v>3H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HKDQM3H13Y_Quote#0010</v>
      </c>
      <c r="G21" s="130" t="str">
        <f>_xll.ohRangeRetrieveError(F21)</f>
        <v/>
      </c>
      <c r="H21" s="65"/>
      <c r="N21" s="187"/>
      <c r="O21" s="186" t="s">
        <v>35</v>
      </c>
      <c r="P21" s="338" t="str">
        <v>QM</v>
      </c>
      <c r="Q21" s="338" t="str">
        <v>3H</v>
      </c>
      <c r="R21" s="236" t="str">
        <f t="shared" si="1"/>
        <v>HKDQM3H13Y</v>
      </c>
      <c r="S21" s="236" t="str">
        <v>HKDQM3H13Y=PREA</v>
      </c>
      <c r="T21" s="237" t="s">
        <v>168</v>
      </c>
      <c r="U21" s="237" t="s">
        <v>168</v>
      </c>
      <c r="V21" s="237" t="s">
        <v>168</v>
      </c>
      <c r="W21" s="237" t="s">
        <v>168</v>
      </c>
      <c r="X21" s="184" t="e">
        <f>_xll.qlMidSafe($T21,$U21)</f>
        <v>#NUM!</v>
      </c>
      <c r="Y21" s="182"/>
      <c r="Z21" s="191" t="e">
        <v>#NUM!</v>
      </c>
      <c r="AA21" s="182"/>
      <c r="AB21" s="190" t="str">
        <f t="shared" si="2"/>
        <v>HKDQM3H13Y_Quote</v>
      </c>
      <c r="AC21" s="189" t="e">
        <v>#NUM!</v>
      </c>
      <c r="AD21" s="188" t="e">
        <f>_xll.qlSimpleQuoteSetValue($AB21,$AC21/100,_xll.ohTrigger(Trigger,F21))</f>
        <v>#NUM!</v>
      </c>
      <c r="AE21" s="178"/>
      <c r="AF21" s="224"/>
      <c r="AG21" s="224"/>
      <c r="AH21" s="224"/>
      <c r="AI21" s="224"/>
      <c r="AJ21" s="224"/>
      <c r="AK21" s="225" t="e">
        <f t="shared" si="3"/>
        <v>#VALUE!</v>
      </c>
      <c r="AL21" s="224"/>
    </row>
    <row r="22" spans="1:38" x14ac:dyDescent="0.2">
      <c r="A22" s="71"/>
      <c r="B22" s="133" t="s">
        <v>34</v>
      </c>
      <c r="C22" s="26" t="str">
        <v>QM</v>
      </c>
      <c r="D22" s="26" t="str">
        <v>3H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HKDQM3H14Y_Quote#0010</v>
      </c>
      <c r="G22" s="130" t="str">
        <f>_xll.ohRangeRetrieveError(F22)</f>
        <v/>
      </c>
      <c r="H22" s="65"/>
      <c r="N22" s="187"/>
      <c r="O22" s="186" t="s">
        <v>34</v>
      </c>
      <c r="P22" s="338" t="str">
        <v>QM</v>
      </c>
      <c r="Q22" s="338" t="str">
        <v>3H</v>
      </c>
      <c r="R22" s="236" t="str">
        <f t="shared" si="1"/>
        <v>HKDQM3H14Y</v>
      </c>
      <c r="S22" s="236" t="str">
        <v>HKDQM3H14Y=PREA</v>
      </c>
      <c r="T22" s="237" t="s">
        <v>168</v>
      </c>
      <c r="U22" s="237" t="s">
        <v>168</v>
      </c>
      <c r="V22" s="237" t="s">
        <v>168</v>
      </c>
      <c r="W22" s="237" t="s">
        <v>168</v>
      </c>
      <c r="X22" s="184" t="e">
        <f>_xll.qlMidSafe($T22,$U22)</f>
        <v>#NUM!</v>
      </c>
      <c r="Y22" s="182"/>
      <c r="Z22" s="191" t="e">
        <v>#NUM!</v>
      </c>
      <c r="AA22" s="182"/>
      <c r="AB22" s="190" t="str">
        <f t="shared" si="2"/>
        <v>HKDQM3H14Y_Quote</v>
      </c>
      <c r="AC22" s="189" t="e">
        <v>#NUM!</v>
      </c>
      <c r="AD22" s="188" t="e">
        <f>_xll.qlSimpleQuoteSetValue($AB22,$AC22/100,_xll.ohTrigger(Trigger,F22))</f>
        <v>#NUM!</v>
      </c>
      <c r="AE22" s="178"/>
      <c r="AF22" s="224"/>
      <c r="AG22" s="224"/>
      <c r="AH22" s="224"/>
      <c r="AI22" s="224"/>
      <c r="AJ22" s="224"/>
      <c r="AK22" s="225" t="e">
        <f t="shared" si="3"/>
        <v>#VALUE!</v>
      </c>
      <c r="AL22" s="224"/>
    </row>
    <row r="23" spans="1:38" x14ac:dyDescent="0.2">
      <c r="A23" s="71"/>
      <c r="B23" s="133" t="s">
        <v>33</v>
      </c>
      <c r="C23" s="26" t="str">
        <v>QM</v>
      </c>
      <c r="D23" s="26" t="str">
        <v>3H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HKDQM3H15Y_Quote#0010</v>
      </c>
      <c r="G23" s="130" t="str">
        <f>_xll.ohRangeRetrieveError(F23)</f>
        <v/>
      </c>
      <c r="H23" s="65"/>
      <c r="N23" s="187"/>
      <c r="O23" s="186" t="s">
        <v>33</v>
      </c>
      <c r="P23" s="338" t="str">
        <v>QM</v>
      </c>
      <c r="Q23" s="338" t="str">
        <v>3H</v>
      </c>
      <c r="R23" s="236" t="str">
        <f t="shared" si="1"/>
        <v>HKDQM3H15Y</v>
      </c>
      <c r="S23" s="236" t="str">
        <v>HKDQM3H15Y=PREA</v>
      </c>
      <c r="T23" s="237">
        <v>2.83</v>
      </c>
      <c r="U23" s="237">
        <v>2.93</v>
      </c>
      <c r="V23" s="237">
        <v>0</v>
      </c>
      <c r="W23" s="237">
        <v>0</v>
      </c>
      <c r="X23" s="184">
        <f>_xll.qlMidSafe($T23,$U23)</f>
        <v>2.88</v>
      </c>
      <c r="Y23" s="182"/>
      <c r="Z23" s="191">
        <v>2.7199999999999998</v>
      </c>
      <c r="AA23" s="182"/>
      <c r="AB23" s="190" t="str">
        <f t="shared" si="2"/>
        <v>HKDQM3H15Y_Quote</v>
      </c>
      <c r="AC23" s="189">
        <v>2.88</v>
      </c>
      <c r="AD23" s="188" t="e">
        <f>_xll.qlSimpleQuoteSetValue($AB23,$AC23/100,_xll.ohTrigger(Trigger,F23))</f>
        <v>#N/A</v>
      </c>
      <c r="AE23" s="178"/>
      <c r="AF23" s="224"/>
      <c r="AG23" s="224"/>
      <c r="AH23" s="224"/>
      <c r="AI23" s="224"/>
      <c r="AJ23" s="224"/>
      <c r="AK23" s="225">
        <f t="shared" si="3"/>
        <v>1.0000000000000052E-3</v>
      </c>
      <c r="AL23" s="224"/>
    </row>
    <row r="24" spans="1:38" x14ac:dyDescent="0.2">
      <c r="A24" s="71"/>
      <c r="B24" s="133" t="s">
        <v>32</v>
      </c>
      <c r="C24" s="26" t="str">
        <v>QM</v>
      </c>
      <c r="D24" s="26" t="str">
        <v>3H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HKDQM3H16Y_Quote#0010</v>
      </c>
      <c r="G24" s="130" t="str">
        <f>_xll.ohRangeRetrieveError(F24)</f>
        <v/>
      </c>
      <c r="H24" s="65"/>
      <c r="N24" s="187"/>
      <c r="O24" s="186" t="s">
        <v>32</v>
      </c>
      <c r="P24" s="338" t="str">
        <v>QM</v>
      </c>
      <c r="Q24" s="338" t="str">
        <v>3H</v>
      </c>
      <c r="R24" s="236" t="str">
        <f t="shared" si="1"/>
        <v>HKDQM3H16Y</v>
      </c>
      <c r="S24" s="236" t="str">
        <v>HKDQM3H16Y=PREA</v>
      </c>
      <c r="T24" s="237" t="s">
        <v>168</v>
      </c>
      <c r="U24" s="237" t="s">
        <v>168</v>
      </c>
      <c r="V24" s="237" t="s">
        <v>168</v>
      </c>
      <c r="W24" s="237" t="s">
        <v>168</v>
      </c>
      <c r="X24" s="184" t="e">
        <f>_xll.qlMidSafe($T24,$U24)</f>
        <v>#NUM!</v>
      </c>
      <c r="Y24" s="182"/>
      <c r="Z24" s="191" t="e">
        <v>#NUM!</v>
      </c>
      <c r="AA24" s="182"/>
      <c r="AB24" s="190" t="str">
        <f t="shared" si="2"/>
        <v>HKDQM3H16Y_Quote</v>
      </c>
      <c r="AC24" s="189" t="e">
        <v>#NUM!</v>
      </c>
      <c r="AD24" s="188" t="e">
        <f>_xll.qlSimpleQuoteSetValue($AB24,$AC24/100,_xll.ohTrigger(Trigger,F24))</f>
        <v>#NUM!</v>
      </c>
      <c r="AE24" s="178"/>
      <c r="AF24" s="224"/>
      <c r="AG24" s="224"/>
      <c r="AH24" s="224"/>
      <c r="AI24" s="224"/>
      <c r="AJ24" s="224"/>
      <c r="AK24" s="225" t="e">
        <f t="shared" si="3"/>
        <v>#VALUE!</v>
      </c>
      <c r="AL24" s="224"/>
    </row>
    <row r="25" spans="1:38" x14ac:dyDescent="0.2">
      <c r="A25" s="71"/>
      <c r="B25" s="133" t="s">
        <v>31</v>
      </c>
      <c r="C25" s="26" t="str">
        <v>QM</v>
      </c>
      <c r="D25" s="26" t="str">
        <v>3H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HKDQM3H17Y_Quote#0010</v>
      </c>
      <c r="G25" s="130" t="str">
        <f>_xll.ohRangeRetrieveError(F25)</f>
        <v/>
      </c>
      <c r="H25" s="65"/>
      <c r="N25" s="187"/>
      <c r="O25" s="186" t="s">
        <v>31</v>
      </c>
      <c r="P25" s="338" t="str">
        <v>QM</v>
      </c>
      <c r="Q25" s="338" t="str">
        <v>3H</v>
      </c>
      <c r="R25" s="236" t="str">
        <f t="shared" si="1"/>
        <v>HKDQM3H17Y</v>
      </c>
      <c r="S25" s="236" t="str">
        <v>HKDQM3H17Y=PREA</v>
      </c>
      <c r="T25" s="237" t="s">
        <v>168</v>
      </c>
      <c r="U25" s="237" t="s">
        <v>168</v>
      </c>
      <c r="V25" s="237" t="s">
        <v>168</v>
      </c>
      <c r="W25" s="237" t="s">
        <v>168</v>
      </c>
      <c r="X25" s="184" t="e">
        <f>_xll.qlMidSafe($T25,$U25)</f>
        <v>#NUM!</v>
      </c>
      <c r="Y25" s="182"/>
      <c r="Z25" s="191" t="e">
        <v>#NUM!</v>
      </c>
      <c r="AA25" s="182"/>
      <c r="AB25" s="190" t="str">
        <f t="shared" si="2"/>
        <v>HKDQM3H17Y_Quote</v>
      </c>
      <c r="AC25" s="189" t="e">
        <v>#NUM!</v>
      </c>
      <c r="AD25" s="188" t="e">
        <f>_xll.qlSimpleQuoteSetValue($AB25,$AC25/100,_xll.ohTrigger(Trigger,F25))</f>
        <v>#NUM!</v>
      </c>
      <c r="AE25" s="178"/>
      <c r="AF25" s="224"/>
      <c r="AG25" s="224"/>
      <c r="AH25" s="224"/>
      <c r="AI25" s="224"/>
      <c r="AJ25" s="224"/>
      <c r="AK25" s="225" t="e">
        <f t="shared" si="3"/>
        <v>#VALUE!</v>
      </c>
      <c r="AL25" s="224"/>
    </row>
    <row r="26" spans="1:38" x14ac:dyDescent="0.2">
      <c r="A26" s="71"/>
      <c r="B26" s="133" t="s">
        <v>30</v>
      </c>
      <c r="C26" s="26" t="str">
        <v>QM</v>
      </c>
      <c r="D26" s="26" t="str">
        <v>3H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HKDQM3H18Y_Quote#0010</v>
      </c>
      <c r="G26" s="130" t="str">
        <f>_xll.ohRangeRetrieveError(F26)</f>
        <v/>
      </c>
      <c r="H26" s="65"/>
      <c r="N26" s="187"/>
      <c r="O26" s="186" t="s">
        <v>30</v>
      </c>
      <c r="P26" s="338" t="str">
        <v>QM</v>
      </c>
      <c r="Q26" s="338" t="str">
        <v>3H</v>
      </c>
      <c r="R26" s="236" t="str">
        <f t="shared" si="1"/>
        <v>HKDQM3H18Y</v>
      </c>
      <c r="S26" s="236" t="str">
        <v>HKDQM3H18Y=PREA</v>
      </c>
      <c r="T26" s="237" t="s">
        <v>168</v>
      </c>
      <c r="U26" s="237" t="s">
        <v>168</v>
      </c>
      <c r="V26" s="237" t="s">
        <v>168</v>
      </c>
      <c r="W26" s="237" t="s">
        <v>168</v>
      </c>
      <c r="X26" s="184" t="e">
        <f>_xll.qlMidSafe($T26,$U26)</f>
        <v>#NUM!</v>
      </c>
      <c r="Y26" s="182"/>
      <c r="Z26" s="191" t="e">
        <v>#NUM!</v>
      </c>
      <c r="AA26" s="182"/>
      <c r="AB26" s="190" t="str">
        <f t="shared" si="2"/>
        <v>HKDQM3H18Y_Quote</v>
      </c>
      <c r="AC26" s="189" t="e">
        <v>#NUM!</v>
      </c>
      <c r="AD26" s="188" t="e">
        <f>_xll.qlSimpleQuoteSetValue($AB26,$AC26/100,_xll.ohTrigger(Trigger,F26))</f>
        <v>#NUM!</v>
      </c>
      <c r="AE26" s="178"/>
      <c r="AF26" s="224"/>
      <c r="AG26" s="224"/>
      <c r="AH26" s="224"/>
      <c r="AI26" s="224"/>
      <c r="AJ26" s="224"/>
      <c r="AK26" s="225" t="e">
        <f t="shared" si="3"/>
        <v>#VALUE!</v>
      </c>
      <c r="AL26" s="224"/>
    </row>
    <row r="27" spans="1:38" x14ac:dyDescent="0.2">
      <c r="A27" s="71"/>
      <c r="B27" s="133" t="s">
        <v>29</v>
      </c>
      <c r="C27" s="26" t="str">
        <v>QM</v>
      </c>
      <c r="D27" s="26" t="str">
        <v>3H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HKDQM3H19Y_Quote#0010</v>
      </c>
      <c r="G27" s="130" t="str">
        <f>_xll.ohRangeRetrieveError(F27)</f>
        <v/>
      </c>
      <c r="H27" s="65"/>
      <c r="N27" s="187"/>
      <c r="O27" s="186" t="s">
        <v>29</v>
      </c>
      <c r="P27" s="338" t="str">
        <v>QM</v>
      </c>
      <c r="Q27" s="338" t="str">
        <v>3H</v>
      </c>
      <c r="R27" s="236" t="str">
        <f t="shared" si="1"/>
        <v>HKDQM3H19Y</v>
      </c>
      <c r="S27" s="236" t="str">
        <v>HKDQM3H19Y=PREA</v>
      </c>
      <c r="T27" s="237" t="s">
        <v>168</v>
      </c>
      <c r="U27" s="237" t="s">
        <v>168</v>
      </c>
      <c r="V27" s="237" t="s">
        <v>168</v>
      </c>
      <c r="W27" s="237" t="s">
        <v>168</v>
      </c>
      <c r="X27" s="184" t="e">
        <f>_xll.qlMidSafe($T27,$U27)</f>
        <v>#NUM!</v>
      </c>
      <c r="Y27" s="182"/>
      <c r="Z27" s="191" t="e">
        <v>#NUM!</v>
      </c>
      <c r="AA27" s="182"/>
      <c r="AB27" s="190" t="str">
        <f t="shared" si="2"/>
        <v>HKDQM3H19Y_Quote</v>
      </c>
      <c r="AC27" s="189" t="e">
        <v>#NUM!</v>
      </c>
      <c r="AD27" s="188" t="e">
        <f>_xll.qlSimpleQuoteSetValue($AB27,$AC27/100,_xll.ohTrigger(Trigger,F27))</f>
        <v>#NUM!</v>
      </c>
      <c r="AE27" s="178"/>
      <c r="AF27" s="224"/>
      <c r="AG27" s="224"/>
      <c r="AH27" s="224"/>
      <c r="AI27" s="224"/>
      <c r="AJ27" s="224"/>
      <c r="AK27" s="225" t="e">
        <f t="shared" si="3"/>
        <v>#VALUE!</v>
      </c>
      <c r="AL27" s="224"/>
    </row>
    <row r="28" spans="1:38" x14ac:dyDescent="0.2">
      <c r="A28" s="71"/>
      <c r="B28" s="133" t="s">
        <v>28</v>
      </c>
      <c r="C28" s="26" t="str">
        <v>QM</v>
      </c>
      <c r="D28" s="26" t="str">
        <v>3H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HKDQM3H20Y_Quote#0010</v>
      </c>
      <c r="G28" s="130" t="str">
        <f>_xll.ohRangeRetrieveError(F28)</f>
        <v/>
      </c>
      <c r="H28" s="65"/>
      <c r="N28" s="187"/>
      <c r="O28" s="186" t="s">
        <v>28</v>
      </c>
      <c r="P28" s="338" t="str">
        <v>QM</v>
      </c>
      <c r="Q28" s="338" t="str">
        <v>3H</v>
      </c>
      <c r="R28" s="236" t="str">
        <f t="shared" si="1"/>
        <v>HKDQM3H20Y</v>
      </c>
      <c r="S28" s="236" t="str">
        <v>HKDQM3H20Y=PREA</v>
      </c>
      <c r="T28" s="237" t="s">
        <v>168</v>
      </c>
      <c r="U28" s="237" t="s">
        <v>168</v>
      </c>
      <c r="V28" s="237" t="s">
        <v>168</v>
      </c>
      <c r="W28" s="237" t="s">
        <v>168</v>
      </c>
      <c r="X28" s="184" t="e">
        <f>_xll.qlMidSafe($T28,$U28)</f>
        <v>#NUM!</v>
      </c>
      <c r="Y28" s="182"/>
      <c r="Z28" s="191" t="e">
        <v>#NUM!</v>
      </c>
      <c r="AA28" s="182"/>
      <c r="AB28" s="190" t="str">
        <f t="shared" si="2"/>
        <v>HKDQM3H20Y_Quote</v>
      </c>
      <c r="AC28" s="189" t="e">
        <v>#NUM!</v>
      </c>
      <c r="AD28" s="188" t="e">
        <f>_xll.qlSimpleQuoteSetValue($AB28,$AC28/100,_xll.ohTrigger(Trigger,F28))</f>
        <v>#NUM!</v>
      </c>
      <c r="AE28" s="178"/>
      <c r="AF28" s="224"/>
      <c r="AG28" s="224"/>
      <c r="AH28" s="224"/>
      <c r="AI28" s="224"/>
      <c r="AJ28" s="224"/>
      <c r="AK28" s="225" t="e">
        <f t="shared" si="3"/>
        <v>#VALUE!</v>
      </c>
      <c r="AL28" s="224"/>
    </row>
    <row r="29" spans="1:38" x14ac:dyDescent="0.2">
      <c r="A29" s="71"/>
      <c r="B29" s="133" t="s">
        <v>27</v>
      </c>
      <c r="C29" s="26" t="str">
        <v>QM</v>
      </c>
      <c r="D29" s="26" t="str">
        <v>3H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HKDQM3H21Y_Quote#0010</v>
      </c>
      <c r="G29" s="130" t="str">
        <f>_xll.ohRangeRetrieveError(F29)</f>
        <v/>
      </c>
      <c r="H29" s="65"/>
      <c r="N29" s="187"/>
      <c r="O29" s="186" t="s">
        <v>27</v>
      </c>
      <c r="P29" s="339" t="str">
        <v>QM</v>
      </c>
      <c r="Q29" s="339" t="str">
        <v>3H</v>
      </c>
      <c r="R29" s="236" t="str">
        <f t="shared" si="1"/>
        <v>HKDQM3H21Y</v>
      </c>
      <c r="S29" s="236" t="str">
        <v>HKDQM3H21Y=PREA</v>
      </c>
      <c r="T29" s="237" t="s">
        <v>168</v>
      </c>
      <c r="U29" s="237" t="s">
        <v>168</v>
      </c>
      <c r="V29" s="237" t="s">
        <v>168</v>
      </c>
      <c r="W29" s="237" t="s">
        <v>168</v>
      </c>
      <c r="X29" s="184" t="e">
        <f>_xll.qlMidSafe($T29,$U29)</f>
        <v>#NUM!</v>
      </c>
      <c r="Y29" s="182"/>
      <c r="Z29" s="191" t="e">
        <v>#NUM!</v>
      </c>
      <c r="AA29" s="182"/>
      <c r="AB29" s="190" t="str">
        <f t="shared" si="2"/>
        <v>HKDQM3H21Y_Quote</v>
      </c>
      <c r="AC29" s="189" t="e">
        <v>#NUM!</v>
      </c>
      <c r="AD29" s="188" t="e">
        <f>_xll.qlSimpleQuoteSetValue($AB29,$AC29/100,_xll.ohTrigger(Trigger,F29))</f>
        <v>#NUM!</v>
      </c>
      <c r="AE29" s="178"/>
      <c r="AF29" s="224"/>
      <c r="AG29" s="224"/>
      <c r="AH29" s="224"/>
      <c r="AI29" s="224"/>
      <c r="AJ29" s="224"/>
      <c r="AK29" s="225" t="e">
        <f t="shared" si="3"/>
        <v>#VALUE!</v>
      </c>
      <c r="AL29" s="224"/>
    </row>
    <row r="30" spans="1:38" x14ac:dyDescent="0.2">
      <c r="A30" s="71"/>
      <c r="B30" s="133" t="s">
        <v>26</v>
      </c>
      <c r="C30" s="26" t="str">
        <v>QM</v>
      </c>
      <c r="D30" s="26" t="str">
        <v>3H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HKDQM3H22Y_Quote#0010</v>
      </c>
      <c r="G30" s="130" t="str">
        <f>_xll.ohRangeRetrieveError(F30)</f>
        <v/>
      </c>
      <c r="H30" s="65"/>
      <c r="N30" s="187"/>
      <c r="O30" s="186" t="s">
        <v>26</v>
      </c>
      <c r="P30" s="338" t="str">
        <v>QM</v>
      </c>
      <c r="Q30" s="338" t="str">
        <v>3H</v>
      </c>
      <c r="R30" s="236" t="str">
        <f t="shared" si="1"/>
        <v>HKDQM3H22Y</v>
      </c>
      <c r="S30" s="236" t="str">
        <v>HKDQM3H22Y=PREA</v>
      </c>
      <c r="T30" s="237" t="s">
        <v>168</v>
      </c>
      <c r="U30" s="237" t="s">
        <v>168</v>
      </c>
      <c r="V30" s="237" t="s">
        <v>168</v>
      </c>
      <c r="W30" s="237" t="s">
        <v>168</v>
      </c>
      <c r="X30" s="184" t="e">
        <f>_xll.qlMidSafe($T30,$U30)</f>
        <v>#NUM!</v>
      </c>
      <c r="Y30" s="182"/>
      <c r="Z30" s="191" t="e">
        <v>#NUM!</v>
      </c>
      <c r="AA30" s="182"/>
      <c r="AB30" s="190" t="str">
        <f t="shared" si="2"/>
        <v>HKDQM3H22Y_Quote</v>
      </c>
      <c r="AC30" s="189" t="e">
        <v>#NUM!</v>
      </c>
      <c r="AD30" s="188" t="e">
        <f>_xll.qlSimpleQuoteSetValue($AB30,$AC30/100,_xll.ohTrigger(Trigger,F30))</f>
        <v>#NUM!</v>
      </c>
      <c r="AE30" s="178"/>
      <c r="AF30" s="224"/>
      <c r="AG30" s="224"/>
      <c r="AH30" s="224"/>
      <c r="AI30" s="224"/>
      <c r="AJ30" s="224"/>
      <c r="AK30" s="225" t="e">
        <f t="shared" si="3"/>
        <v>#VALUE!</v>
      </c>
      <c r="AL30" s="224"/>
    </row>
    <row r="31" spans="1:38" x14ac:dyDescent="0.2">
      <c r="A31" s="71"/>
      <c r="B31" s="133" t="s">
        <v>25</v>
      </c>
      <c r="C31" s="26" t="str">
        <v>QM</v>
      </c>
      <c r="D31" s="26" t="str">
        <v>3H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HKDQM3H23Y_Quote#0010</v>
      </c>
      <c r="G31" s="130" t="str">
        <f>_xll.ohRangeRetrieveError(F31)</f>
        <v/>
      </c>
      <c r="H31" s="65"/>
      <c r="N31" s="187"/>
      <c r="O31" s="186" t="s">
        <v>25</v>
      </c>
      <c r="P31" s="338" t="str">
        <v>QM</v>
      </c>
      <c r="Q31" s="338" t="str">
        <v>3H</v>
      </c>
      <c r="R31" s="236" t="str">
        <f t="shared" si="1"/>
        <v>HKDQM3H23Y</v>
      </c>
      <c r="S31" s="236" t="str">
        <v>HKDQM3H23Y=PREA</v>
      </c>
      <c r="T31" s="237" t="s">
        <v>168</v>
      </c>
      <c r="U31" s="237" t="s">
        <v>168</v>
      </c>
      <c r="V31" s="237" t="s">
        <v>168</v>
      </c>
      <c r="W31" s="237" t="s">
        <v>168</v>
      </c>
      <c r="X31" s="184" t="e">
        <f>_xll.qlMidSafe($T31,$U31)</f>
        <v>#NUM!</v>
      </c>
      <c r="Y31" s="182"/>
      <c r="Z31" s="191" t="e">
        <v>#NUM!</v>
      </c>
      <c r="AA31" s="182"/>
      <c r="AB31" s="190" t="str">
        <f t="shared" si="2"/>
        <v>HKDQM3H23Y_Quote</v>
      </c>
      <c r="AC31" s="189" t="e">
        <v>#NUM!</v>
      </c>
      <c r="AD31" s="188" t="e">
        <f>_xll.qlSimpleQuoteSetValue($AB31,$AC31/100,_xll.ohTrigger(Trigger,F31))</f>
        <v>#NUM!</v>
      </c>
      <c r="AE31" s="178"/>
      <c r="AF31" s="224"/>
      <c r="AG31" s="224"/>
      <c r="AH31" s="224"/>
      <c r="AI31" s="224"/>
      <c r="AJ31" s="224"/>
      <c r="AK31" s="225" t="e">
        <f t="shared" si="3"/>
        <v>#VALUE!</v>
      </c>
      <c r="AL31" s="224"/>
    </row>
    <row r="32" spans="1:38" x14ac:dyDescent="0.2">
      <c r="A32" s="71"/>
      <c r="B32" s="133" t="s">
        <v>24</v>
      </c>
      <c r="C32" s="26" t="str">
        <v>QM</v>
      </c>
      <c r="D32" s="26" t="str">
        <v>3H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HKDQM3H24Y_Quote#0010</v>
      </c>
      <c r="G32" s="130" t="str">
        <f>_xll.ohRangeRetrieveError(F32)</f>
        <v/>
      </c>
      <c r="H32" s="65"/>
      <c r="N32" s="187"/>
      <c r="O32" s="337" t="s">
        <v>24</v>
      </c>
      <c r="P32" s="336" t="str">
        <v>QM</v>
      </c>
      <c r="Q32" s="336" t="str">
        <v>3H</v>
      </c>
      <c r="R32" s="243" t="str">
        <f t="shared" si="1"/>
        <v>HKDQM3H24Y</v>
      </c>
      <c r="S32" s="243" t="str">
        <v>HKDQM3H24Y=PREA</v>
      </c>
      <c r="T32" s="244" t="s">
        <v>168</v>
      </c>
      <c r="U32" s="244" t="s">
        <v>168</v>
      </c>
      <c r="V32" s="244" t="s">
        <v>168</v>
      </c>
      <c r="W32" s="244" t="s">
        <v>168</v>
      </c>
      <c r="X32" s="242" t="e">
        <f>_xll.qlMidSafe($T32,$U32)</f>
        <v>#NUM!</v>
      </c>
      <c r="Y32" s="182"/>
      <c r="Z32" s="183" t="e">
        <v>#NUM!</v>
      </c>
      <c r="AA32" s="182"/>
      <c r="AB32" s="181" t="str">
        <f t="shared" si="2"/>
        <v>HKDQM3H24Y_Quote</v>
      </c>
      <c r="AC32" s="180" t="e">
        <v>#NUM!</v>
      </c>
      <c r="AD32" s="179" t="e">
        <f>_xll.qlSimpleQuoteSetValue($AB32,$AC32/100,_xll.ohTrigger(Trigger,F32))</f>
        <v>#NUM!</v>
      </c>
      <c r="AE32" s="178"/>
      <c r="AF32" s="224"/>
      <c r="AG32" s="224"/>
      <c r="AH32" s="224"/>
      <c r="AI32" s="224"/>
      <c r="AJ32" s="224"/>
      <c r="AK32" s="225" t="e">
        <f t="shared" si="3"/>
        <v>#VALUE!</v>
      </c>
      <c r="AL32" s="224"/>
    </row>
    <row r="33" spans="1:38" ht="13.5" thickBot="1" x14ac:dyDescent="0.25">
      <c r="A33" s="64"/>
      <c r="B33" s="63"/>
      <c r="C33" s="63"/>
      <c r="D33" s="63"/>
      <c r="E33" s="63"/>
      <c r="F33" s="62"/>
      <c r="G33" s="62"/>
      <c r="H33" s="61"/>
      <c r="N33" s="335"/>
      <c r="O33" s="334"/>
      <c r="P33" s="175"/>
      <c r="Q33" s="175"/>
      <c r="R33" s="175"/>
      <c r="S33" s="175"/>
      <c r="T33" s="175"/>
      <c r="U33" s="175"/>
      <c r="V33" s="175"/>
      <c r="W33" s="175"/>
      <c r="X33" s="175"/>
      <c r="Y33" s="334"/>
      <c r="Z33" s="334"/>
      <c r="AA33" s="334"/>
      <c r="AB33" s="334"/>
      <c r="AC33" s="334"/>
      <c r="AD33" s="334"/>
      <c r="AE33" s="324"/>
      <c r="AF33" s="224"/>
      <c r="AG33" s="224"/>
      <c r="AH33" s="224"/>
      <c r="AI33" s="224"/>
      <c r="AJ33" s="224"/>
      <c r="AK33" s="224"/>
      <c r="AL33" s="224"/>
    </row>
    <row r="34" spans="1:38" ht="15" x14ac:dyDescent="0.25"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  <c r="AA34" s="224"/>
      <c r="AB34" s="224"/>
      <c r="AC34" s="224"/>
      <c r="AD34"/>
      <c r="AE34" s="224"/>
      <c r="AF34" s="224"/>
      <c r="AG34" s="224"/>
      <c r="AH34" s="224"/>
      <c r="AI34" s="224"/>
      <c r="AJ34" s="224"/>
      <c r="AK34" s="224"/>
      <c r="AL34" s="224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173"/>
      <c r="C2" s="172"/>
      <c r="D2" s="172"/>
      <c r="E2" s="172"/>
      <c r="F2" s="172"/>
      <c r="G2" s="171"/>
    </row>
    <row r="3" spans="2:7" x14ac:dyDescent="0.2">
      <c r="B3" s="8"/>
      <c r="C3" s="13"/>
      <c r="D3" s="7" t="s">
        <v>5</v>
      </c>
      <c r="E3" s="11" t="s">
        <v>167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169" t="str">
        <f>UPPER(Currency)&amp;"_RH_YieldTermStructure.xml"</f>
        <v>HKD_RH_YieldTermStructure.xml</v>
      </c>
      <c r="E5" s="106">
        <f ca="1">IF(Serialize,_xll.ohObjectSave(E6:E13,SerializationPath&amp;D5,FileOverwrite,,Serialize),"---")</f>
        <v>8</v>
      </c>
      <c r="F5" s="167" t="str">
        <f ca="1">_xll.ohRangeRetrieveError(E5)</f>
        <v/>
      </c>
      <c r="G5" s="5"/>
    </row>
    <row r="6" spans="2:7" x14ac:dyDescent="0.2">
      <c r="B6" s="8"/>
      <c r="C6" s="168" t="s">
        <v>166</v>
      </c>
      <c r="D6" s="168" t="str">
        <f t="shared" ref="D6:D13" si="0">Currency&amp;C6</f>
        <v>HKDYC</v>
      </c>
      <c r="E6" s="148" t="str">
        <f>_xll.qlRelinkableHandleYieldTermStructure(D6,,Permanent,Trigger,ObjectOverwrite)</f>
        <v>HkdYC#0009</v>
      </c>
      <c r="F6" s="167" t="str">
        <f>_xll.ohRangeRetrieveError(E6)</f>
        <v/>
      </c>
      <c r="G6" s="12"/>
    </row>
    <row r="7" spans="2:7" x14ac:dyDescent="0.2">
      <c r="B7" s="8"/>
      <c r="C7" s="168" t="s">
        <v>165</v>
      </c>
      <c r="D7" s="168" t="str">
        <f t="shared" si="0"/>
        <v>HKDYCSTD</v>
      </c>
      <c r="E7" s="148" t="str">
        <f>_xll.qlRelinkableHandleYieldTermStructure(D7,,Permanent,Trigger,ObjectOverwrite)</f>
        <v>HkdYCSTD#0009</v>
      </c>
      <c r="F7" s="167" t="str">
        <f>_xll.ohRangeRetrieveError(E7)</f>
        <v/>
      </c>
      <c r="G7" s="12"/>
    </row>
    <row r="8" spans="2:7" x14ac:dyDescent="0.2">
      <c r="B8" s="8"/>
      <c r="C8" s="168" t="s">
        <v>164</v>
      </c>
      <c r="D8" s="168" t="str">
        <f t="shared" si="0"/>
        <v>HKDYCCCSBasis</v>
      </c>
      <c r="E8" s="148" t="str">
        <f>_xll.qlRelinkableHandleYieldTermStructure(D8,,Permanent,Trigger,ObjectOverwrite)</f>
        <v>HkdYCCCSBasis#0009</v>
      </c>
      <c r="F8" s="167" t="str">
        <f>_xll.ohRangeRetrieveError(E8)</f>
        <v/>
      </c>
      <c r="G8" s="12"/>
    </row>
    <row r="9" spans="2:7" x14ac:dyDescent="0.2">
      <c r="B9" s="8"/>
      <c r="C9" s="168" t="s">
        <v>163</v>
      </c>
      <c r="D9" s="168" t="str">
        <f t="shared" si="0"/>
        <v>HKDHiborYCON</v>
      </c>
      <c r="E9" s="148" t="str">
        <f>_xll.qlRelinkableHandleYieldTermStructure(D9,,Permanent,Trigger,ObjectOverwrite)</f>
        <v>HkdHiborYCON#0009</v>
      </c>
      <c r="F9" s="167" t="str">
        <f>_xll.ohRangeRetrieveError(E9)</f>
        <v/>
      </c>
      <c r="G9" s="12"/>
    </row>
    <row r="10" spans="2:7" x14ac:dyDescent="0.2">
      <c r="B10" s="8"/>
      <c r="C10" s="168" t="s">
        <v>162</v>
      </c>
      <c r="D10" s="168" t="str">
        <f t="shared" si="0"/>
        <v>HKDHiborYC1M</v>
      </c>
      <c r="E10" s="148" t="str">
        <f>_xll.qlRelinkableHandleYieldTermStructure(D10,,Permanent,Trigger,ObjectOverwrite)</f>
        <v>HkdHiborYC1M#0009</v>
      </c>
      <c r="F10" s="167" t="str">
        <f>_xll.ohRangeRetrieveError(E10)</f>
        <v/>
      </c>
      <c r="G10" s="12"/>
    </row>
    <row r="11" spans="2:7" x14ac:dyDescent="0.2">
      <c r="B11" s="8"/>
      <c r="C11" s="168" t="s">
        <v>161</v>
      </c>
      <c r="D11" s="168" t="str">
        <f t="shared" si="0"/>
        <v>HKDHiborYC3M</v>
      </c>
      <c r="E11" s="148" t="str">
        <f>_xll.qlRelinkableHandleYieldTermStructure(D11,,Permanent,Trigger,ObjectOverwrite)</f>
        <v>HkdHiborYC3M#0009</v>
      </c>
      <c r="F11" s="167" t="str">
        <f>_xll.ohRangeRetrieveError(E11)</f>
        <v/>
      </c>
      <c r="G11" s="12"/>
    </row>
    <row r="12" spans="2:7" x14ac:dyDescent="0.2">
      <c r="B12" s="8"/>
      <c r="C12" s="168" t="s">
        <v>160</v>
      </c>
      <c r="D12" s="168" t="str">
        <f t="shared" si="0"/>
        <v>HKDHiborYC6M</v>
      </c>
      <c r="E12" s="148" t="str">
        <f>_xll.qlRelinkableHandleYieldTermStructure(D12,,Permanent,Trigger,ObjectOverwrite)</f>
        <v>HkdHiborYC6M#0009</v>
      </c>
      <c r="F12" s="167" t="str">
        <f>_xll.ohRangeRetrieveError(E12)</f>
        <v/>
      </c>
      <c r="G12" s="12"/>
    </row>
    <row r="13" spans="2:7" x14ac:dyDescent="0.2">
      <c r="B13" s="8"/>
      <c r="C13" s="168" t="s">
        <v>159</v>
      </c>
      <c r="D13" s="168" t="str">
        <f t="shared" si="0"/>
        <v>HKDHiborYC1Y</v>
      </c>
      <c r="E13" s="148" t="str">
        <f>_xll.qlRelinkableHandleYieldTermStructure(D13,,Permanent,Trigger,ObjectOverwrite)</f>
        <v>HkdHiborYC1Y#0009</v>
      </c>
      <c r="F13" s="167" t="str">
        <f>_xll.ohRangeRetrieveError(E13)</f>
        <v/>
      </c>
      <c r="G13" s="12"/>
    </row>
    <row r="14" spans="2:7" x14ac:dyDescent="0.2">
      <c r="B14" s="8"/>
      <c r="C14" s="170"/>
      <c r="D14" s="13"/>
      <c r="E14" s="13"/>
      <c r="F14" s="13"/>
      <c r="G14" s="12"/>
    </row>
    <row r="15" spans="2:7" x14ac:dyDescent="0.2">
      <c r="B15" s="8"/>
      <c r="C15" s="170"/>
      <c r="D15" s="169" t="str">
        <f>UPPER(Currency)&amp;"_RH_SwaptionVolatilityStructure.xml"</f>
        <v>HKD_RH_SwaptionVolatilityStructure.xml</v>
      </c>
      <c r="E15" s="106">
        <f ca="1">IF(Serialize,_xll.ohObjectSave(E16:E17,SerializationPath&amp;D15,FileOverwrite,,Serialize),"---")</f>
        <v>2</v>
      </c>
      <c r="F15" s="167" t="str">
        <f ca="1">_xll.ohRangeRetrieveError(E15)</f>
        <v/>
      </c>
      <c r="G15" s="12"/>
    </row>
    <row r="16" spans="2:7" x14ac:dyDescent="0.2">
      <c r="B16" s="8"/>
      <c r="C16" s="168" t="s">
        <v>158</v>
      </c>
      <c r="D16" s="168" t="str">
        <f>Currency&amp;C16</f>
        <v>HKDSwaptionATMVol</v>
      </c>
      <c r="E16" s="148" t="str">
        <f>_xll.qlRelinkableHandleSwaptionVolatilityStructure(D16,,Permanent,Trigger,ObjectOverwrite)</f>
        <v>HkdSwaptionATMVol#0009</v>
      </c>
      <c r="F16" s="167" t="str">
        <f>_xll.ohRangeRetrieveError(E16)</f>
        <v/>
      </c>
      <c r="G16" s="12"/>
    </row>
    <row r="17" spans="2:7" x14ac:dyDescent="0.2">
      <c r="B17" s="8"/>
      <c r="C17" s="168" t="s">
        <v>157</v>
      </c>
      <c r="D17" s="168" t="str">
        <f>Currency&amp;C17</f>
        <v>HKDSwaptionVol</v>
      </c>
      <c r="E17" s="148" t="str">
        <f>_xll.qlRelinkableHandleSwaptionVolatilityStructure(D17,,Permanent,Trigger,ObjectOverwrite)</f>
        <v>HkdSwaptionVol#0009</v>
      </c>
      <c r="F17" s="167" t="str">
        <f>_xll.ohRangeRetrieveError(E17)</f>
        <v/>
      </c>
      <c r="G17" s="12"/>
    </row>
    <row r="18" spans="2:7" x14ac:dyDescent="0.2">
      <c r="B18" s="8"/>
      <c r="C18" s="170"/>
      <c r="D18" s="13"/>
      <c r="E18" s="13"/>
      <c r="F18" s="13"/>
      <c r="G18" s="12"/>
    </row>
    <row r="19" spans="2:7" x14ac:dyDescent="0.2">
      <c r="B19" s="8"/>
      <c r="C19" s="170"/>
      <c r="D19" s="169" t="str">
        <f>UPPER(Currency)&amp;"_RH_OptionletVolatilityStructure.xml"</f>
        <v>HKD_RH_OptionletVolatilityStructure.xml</v>
      </c>
      <c r="E19" s="106">
        <f ca="1">IF(Serialize,_xll.ohObjectSave(E20:E29,SerializationPath&amp;D19,FileOverwrite,,Serialize),"---")</f>
        <v>10</v>
      </c>
      <c r="F19" s="167" t="str">
        <f ca="1">_xll.ohRangeRetrieveError(E19)</f>
        <v/>
      </c>
      <c r="G19" s="12"/>
    </row>
    <row r="20" spans="2:7" x14ac:dyDescent="0.2">
      <c r="B20" s="8"/>
      <c r="C20" s="168" t="s">
        <v>156</v>
      </c>
      <c r="D20" s="168" t="str">
        <f t="shared" ref="D20:D29" si="1">Currency&amp;C20</f>
        <v>HKD3MFutOptionVol</v>
      </c>
      <c r="E20" s="148" t="str">
        <f>_xll.qlRelinkableHandleOptionletVolatilityStructure(D20,,Permanent,Trigger,ObjectOverwrite)</f>
        <v>Hkd3MFutOptionVol#0009</v>
      </c>
      <c r="F20" s="167" t="str">
        <f>_xll.ohRangeRetrieveError(E20)</f>
        <v/>
      </c>
      <c r="G20" s="12"/>
    </row>
    <row r="21" spans="2:7" x14ac:dyDescent="0.2">
      <c r="B21" s="8"/>
      <c r="C21" s="168" t="s">
        <v>155</v>
      </c>
      <c r="D21" s="168" t="str">
        <f t="shared" si="1"/>
        <v>HKD1MCapletVol</v>
      </c>
      <c r="E21" s="148" t="str">
        <f>_xll.qlRelinkableHandleOptionletVolatilityStructure(D21,,Permanent,Trigger,ObjectOverwrite)</f>
        <v>Hkd1MCapletVol#0009</v>
      </c>
      <c r="F21" s="167" t="str">
        <f>_xll.ohRangeRetrieveError(E21)</f>
        <v/>
      </c>
      <c r="G21" s="12"/>
    </row>
    <row r="22" spans="2:7" x14ac:dyDescent="0.2">
      <c r="B22" s="8"/>
      <c r="C22" s="168" t="s">
        <v>154</v>
      </c>
      <c r="D22" s="168" t="str">
        <f t="shared" si="1"/>
        <v>HKD3MCapletVol</v>
      </c>
      <c r="E22" s="148" t="str">
        <f>_xll.qlRelinkableHandleOptionletVolatilityStructure(D22,,Permanent,Trigger,ObjectOverwrite)</f>
        <v>Hkd3MCapletVol#0009</v>
      </c>
      <c r="F22" s="167" t="str">
        <f>_xll.ohRangeRetrieveError(E22)</f>
        <v/>
      </c>
      <c r="G22" s="12"/>
    </row>
    <row r="23" spans="2:7" x14ac:dyDescent="0.2">
      <c r="B23" s="8"/>
      <c r="C23" s="168" t="s">
        <v>153</v>
      </c>
      <c r="D23" s="168" t="str">
        <f t="shared" si="1"/>
        <v>HKD6MCapletVol</v>
      </c>
      <c r="E23" s="148" t="str">
        <f>_xll.qlRelinkableHandleOptionletVolatilityStructure(D23,,Permanent,Trigger,ObjectOverwrite)</f>
        <v>Hkd6MCapletVol#0009</v>
      </c>
      <c r="F23" s="167" t="str">
        <f>_xll.ohRangeRetrieveError(E23)</f>
        <v/>
      </c>
      <c r="G23" s="12"/>
    </row>
    <row r="24" spans="2:7" x14ac:dyDescent="0.2">
      <c r="B24" s="8"/>
      <c r="C24" s="168" t="s">
        <v>152</v>
      </c>
      <c r="D24" s="168" t="str">
        <f t="shared" si="1"/>
        <v>HKD1YCapletVol</v>
      </c>
      <c r="E24" s="148" t="str">
        <f>_xll.qlRelinkableHandleOptionletVolatilityStructure(D24,,Permanent,Trigger,ObjectOverwrite)</f>
        <v>Hkd1YCapletVol#0009</v>
      </c>
      <c r="F24" s="167" t="str">
        <f>_xll.ohRangeRetrieveError(E24)</f>
        <v/>
      </c>
      <c r="G24" s="12"/>
    </row>
    <row r="25" spans="2:7" x14ac:dyDescent="0.2">
      <c r="B25" s="8"/>
      <c r="C25" s="168" t="s">
        <v>151</v>
      </c>
      <c r="D25" s="168" t="str">
        <f t="shared" si="1"/>
        <v>HKD3MFutOptionVolEx</v>
      </c>
      <c r="E25" s="148" t="str">
        <f>_xll.qlRelinkableHandleOptionletVolatilityStructure(D25,,Permanent,Trigger,ObjectOverwrite)</f>
        <v>Hkd3MFutOptionVolEx#0009</v>
      </c>
      <c r="F25" s="167" t="str">
        <f>_xll.ohRangeRetrieveError(E25)</f>
        <v/>
      </c>
      <c r="G25" s="12"/>
    </row>
    <row r="26" spans="2:7" x14ac:dyDescent="0.2">
      <c r="B26" s="8"/>
      <c r="C26" s="168" t="s">
        <v>150</v>
      </c>
      <c r="D26" s="168" t="str">
        <f t="shared" si="1"/>
        <v>HKD1MCapletVolEx</v>
      </c>
      <c r="E26" s="148" t="str">
        <f>_xll.qlRelinkableHandleOptionletVolatilityStructure(D26,,Permanent,Trigger,ObjectOverwrite)</f>
        <v>Hkd1MCapletVolEx#0009</v>
      </c>
      <c r="F26" s="167" t="str">
        <f>_xll.ohRangeRetrieveError(E26)</f>
        <v/>
      </c>
      <c r="G26" s="12"/>
    </row>
    <row r="27" spans="2:7" x14ac:dyDescent="0.2">
      <c r="B27" s="8"/>
      <c r="C27" s="168" t="s">
        <v>149</v>
      </c>
      <c r="D27" s="168" t="str">
        <f t="shared" si="1"/>
        <v>HKD3MCapletVolEx</v>
      </c>
      <c r="E27" s="148" t="str">
        <f>_xll.qlRelinkableHandleOptionletVolatilityStructure(D27,,Permanent,Trigger,ObjectOverwrite)</f>
        <v>Hkd3MCapletVolEx#0009</v>
      </c>
      <c r="F27" s="167" t="str">
        <f>_xll.ohRangeRetrieveError(E27)</f>
        <v/>
      </c>
      <c r="G27" s="12"/>
    </row>
    <row r="28" spans="2:7" x14ac:dyDescent="0.2">
      <c r="B28" s="8"/>
      <c r="C28" s="168" t="s">
        <v>148</v>
      </c>
      <c r="D28" s="168" t="str">
        <f t="shared" si="1"/>
        <v>HKD6MCapletVolEx</v>
      </c>
      <c r="E28" s="148" t="str">
        <f>_xll.qlRelinkableHandleOptionletVolatilityStructure(D28,,Permanent,Trigger,ObjectOverwrite)</f>
        <v>Hkd6MCapletVolEx#0009</v>
      </c>
      <c r="F28" s="167" t="str">
        <f>_xll.ohRangeRetrieveError(E28)</f>
        <v/>
      </c>
      <c r="G28" s="12"/>
    </row>
    <row r="29" spans="2:7" x14ac:dyDescent="0.2">
      <c r="B29" s="8"/>
      <c r="C29" s="168" t="s">
        <v>147</v>
      </c>
      <c r="D29" s="168" t="str">
        <f t="shared" si="1"/>
        <v>HKD1YCapletVolEx</v>
      </c>
      <c r="E29" s="148" t="str">
        <f>_xll.qlRelinkableHandleOptionletVolatilityStructure(D29,,Permanent,Trigger,ObjectOverwrite)</f>
        <v>Hkd1YCapletVolEx#0009</v>
      </c>
      <c r="F29" s="167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166"/>
      <c r="C2" s="165"/>
      <c r="D2" s="165"/>
      <c r="E2" s="165"/>
      <c r="F2" s="165"/>
      <c r="G2" s="165"/>
      <c r="H2" s="165"/>
      <c r="I2" s="165"/>
      <c r="J2" s="165"/>
      <c r="K2" s="164"/>
      <c r="L2" s="163"/>
      <c r="M2" s="163"/>
      <c r="N2" s="163"/>
      <c r="O2" s="162"/>
    </row>
    <row r="3" spans="2:33" s="1" customFormat="1" ht="15.75" thickBot="1" x14ac:dyDescent="0.3">
      <c r="B3" s="155"/>
      <c r="C3" s="160"/>
      <c r="D3" s="160"/>
      <c r="E3" s="160"/>
      <c r="F3" s="160"/>
      <c r="G3" s="160"/>
      <c r="H3" s="160"/>
      <c r="I3" s="160"/>
      <c r="J3" s="160"/>
      <c r="K3" s="7" t="s">
        <v>133</v>
      </c>
      <c r="L3" s="150" t="s">
        <v>132</v>
      </c>
      <c r="M3" s="161"/>
      <c r="N3" s="159"/>
      <c r="O3" s="156"/>
      <c r="Q3" s="386"/>
      <c r="R3" s="386"/>
      <c r="S3" s="386"/>
      <c r="T3" s="391"/>
      <c r="U3" s="399"/>
      <c r="V3" s="445"/>
      <c r="W3" s="445"/>
      <c r="X3" s="386"/>
      <c r="Y3" s="391"/>
      <c r="Z3" s="386"/>
      <c r="AA3" s="386"/>
      <c r="AB3" s="386"/>
      <c r="AC3" s="386"/>
      <c r="AD3" s="386"/>
      <c r="AE3" s="386"/>
      <c r="AF3" s="386"/>
      <c r="AG3" s="386"/>
    </row>
    <row r="4" spans="2:33" s="1" customFormat="1" ht="19.5" x14ac:dyDescent="0.4">
      <c r="B4" s="155"/>
      <c r="C4" s="160"/>
      <c r="D4" s="160"/>
      <c r="E4" s="160"/>
      <c r="F4" s="160"/>
      <c r="G4" s="160"/>
      <c r="H4" s="160"/>
      <c r="I4" s="160"/>
      <c r="J4" s="160"/>
      <c r="K4" s="159"/>
      <c r="L4" s="159"/>
      <c r="M4" s="159"/>
      <c r="N4" s="159"/>
      <c r="O4" s="156"/>
      <c r="Q4" s="386"/>
      <c r="R4" s="444"/>
      <c r="S4" s="438"/>
      <c r="T4" s="443" t="str">
        <f>VLOOKUP(Currency,Traits,2,FALSE)</f>
        <v>D</v>
      </c>
      <c r="U4" s="442"/>
      <c r="V4" s="441"/>
      <c r="W4" s="441"/>
      <c r="X4" s="438"/>
      <c r="Y4" s="438"/>
      <c r="Z4" s="440" t="str">
        <f>VLOOKUP(Currency,Traits,3,FALSE)</f>
        <v>Hibor</v>
      </c>
      <c r="AA4" s="438"/>
      <c r="AB4" s="438"/>
      <c r="AC4" s="439">
        <f>MAX(AE6:AE23)</f>
        <v>0</v>
      </c>
      <c r="AD4" s="438"/>
      <c r="AE4" s="438"/>
      <c r="AF4" s="437"/>
      <c r="AG4" s="386"/>
    </row>
    <row r="5" spans="2:33" s="1" customFormat="1" ht="33.75" x14ac:dyDescent="0.25">
      <c r="B5" s="155"/>
      <c r="C5" s="158" t="s">
        <v>146</v>
      </c>
      <c r="D5" s="158"/>
      <c r="E5" s="158" t="s">
        <v>145</v>
      </c>
      <c r="F5" s="158" t="s">
        <v>144</v>
      </c>
      <c r="G5" s="158" t="s">
        <v>143</v>
      </c>
      <c r="H5" s="158" t="s">
        <v>142</v>
      </c>
      <c r="I5" s="158" t="s">
        <v>141</v>
      </c>
      <c r="J5" s="107" t="s">
        <v>140</v>
      </c>
      <c r="K5" s="157" t="str">
        <f>PROPER(Currency)&amp;FamilyName&amp;".xml"</f>
        <v>HkdHibor.xml</v>
      </c>
      <c r="L5" s="106">
        <f ca="1">IF(Serialize,_xll.ohObjectSave(L6:M23,SerializationPath&amp;FileName,FileOverwrite,,Serialize),"---")</f>
        <v>32</v>
      </c>
      <c r="M5" s="150"/>
      <c r="N5" s="148" t="str">
        <f ca="1">_xll.ohRangeRetrieveError(L5)</f>
        <v/>
      </c>
      <c r="O5" s="156"/>
      <c r="Q5" s="386"/>
      <c r="R5" s="415"/>
      <c r="S5" s="435" t="s">
        <v>146</v>
      </c>
      <c r="T5" s="434" t="str">
        <f>_xll.RData(T6:T23,U5:V5,"RTFEED:IDN",,,U6)</f>
        <v>On Pause</v>
      </c>
      <c r="U5" s="434" t="s">
        <v>256</v>
      </c>
      <c r="V5" s="434" t="s">
        <v>184</v>
      </c>
      <c r="W5" s="434" t="s">
        <v>255</v>
      </c>
      <c r="X5" s="433" t="s">
        <v>254</v>
      </c>
      <c r="Y5" s="436"/>
      <c r="Z5" s="435" t="s">
        <v>171</v>
      </c>
      <c r="AA5" s="434" t="s">
        <v>253</v>
      </c>
      <c r="AB5" s="434" t="s">
        <v>252</v>
      </c>
      <c r="AC5" s="434" t="s">
        <v>251</v>
      </c>
      <c r="AD5" s="433" t="s">
        <v>250</v>
      </c>
      <c r="AE5" s="432"/>
      <c r="AF5" s="405"/>
      <c r="AG5" s="386"/>
    </row>
    <row r="6" spans="2:33" s="1" customFormat="1" ht="15" x14ac:dyDescent="0.25">
      <c r="B6" s="155"/>
      <c r="C6" s="154" t="s">
        <v>131</v>
      </c>
      <c r="D6" s="154" t="str">
        <f>C6</f>
        <v>ON</v>
      </c>
      <c r="E6" s="154">
        <v>0</v>
      </c>
      <c r="F6" s="154" t="s">
        <v>136</v>
      </c>
      <c r="G6" s="154" t="s">
        <v>135</v>
      </c>
      <c r="H6" s="154" t="b">
        <v>1</v>
      </c>
      <c r="I6" s="154" t="s">
        <v>134</v>
      </c>
      <c r="J6" s="153" t="str">
        <f>FamilyName&amp;"YCON"</f>
        <v>HiborYCON</v>
      </c>
      <c r="K6" s="152" t="str">
        <f t="shared" ref="K6:K23" si="0">PROPER(Currency)&amp;FamilyName&amp;$C6</f>
        <v>HkdHiborON</v>
      </c>
      <c r="L6" s="134" t="str">
        <f>_xll.qlOvernightIndex(K6,FamilyName,E6,Currency,F6,I6,Currency&amp;J6,Permanent,Trigger,FileOverwrite)</f>
        <v>HkdHiborON#0010</v>
      </c>
      <c r="M6" s="151" t="str">
        <f>_xll.qlLastFixingQuote(K6&amp;"LastFixing_Quote",L6,Permanent,Trigger,ObjectOverwrite)</f>
        <v>HkdHiborONLastFixing_Quote#0010</v>
      </c>
      <c r="N6" s="148" t="str">
        <f>_xll.ohRangeRetrieveError(L6)</f>
        <v/>
      </c>
      <c r="O6" s="12"/>
      <c r="Q6" s="386"/>
      <c r="R6" s="415"/>
      <c r="S6" s="431" t="s">
        <v>131</v>
      </c>
      <c r="T6" s="426" t="str">
        <f t="shared" ref="T6:T23" si="1">"HI"&amp;Currency&amp;$S6&amp;$T$4&amp;"="</f>
        <v>HIHKDOND=</v>
      </c>
      <c r="U6" s="430">
        <v>41582</v>
      </c>
      <c r="V6" s="429">
        <v>8.548E-2</v>
      </c>
      <c r="W6" s="429" t="b">
        <f t="shared" ref="W6:W23" si="2">IF(AND(ISNUMBER($V6),$V6&lt;&gt;0%),TRUE,FALSE)</f>
        <v>1</v>
      </c>
      <c r="X6" s="428" t="b">
        <f>IF($W6,_xll.qlIndexAddFixings($Z6,$U6,$V6/100,TRUE,ISERROR($AA6)),NA())</f>
        <v>1</v>
      </c>
      <c r="Y6" s="410"/>
      <c r="Z6" s="427" t="str">
        <f>PROPER(Currency)&amp;$Z$4&amp;$S6</f>
        <v>HkdHiborON</v>
      </c>
      <c r="AA6" s="426">
        <f>_xll.qlIndexFixing($Z6,$U6,TRUE,$W6)</f>
        <v>8.5479999999999996E-4</v>
      </c>
      <c r="AB6" s="426">
        <f>IF($X6,_xll.qlIndexFixing($Z6,$U6,FALSE,$W6),"-")</f>
        <v>8.5479999999999996E-4</v>
      </c>
      <c r="AC6" s="426">
        <f t="shared" ref="AC6:AC23" si="3">AA6-AB6</f>
        <v>0</v>
      </c>
      <c r="AD6" s="425">
        <f>_xll.qlIndexFixing($Z6,$U6,TRUE,$AB6)</f>
        <v>8.5479999999999996E-4</v>
      </c>
      <c r="AE6" s="424">
        <f>IF(ISERROR(AC6),0,ABS(AC6))</f>
        <v>0</v>
      </c>
      <c r="AF6" s="405"/>
      <c r="AG6" s="386"/>
    </row>
    <row r="7" spans="2:33" s="1" customFormat="1" ht="15" x14ac:dyDescent="0.25">
      <c r="B7" s="155"/>
      <c r="C7" s="154" t="s">
        <v>139</v>
      </c>
      <c r="D7" s="154" t="str">
        <f>C7</f>
        <v>TN</v>
      </c>
      <c r="E7" s="154">
        <v>0</v>
      </c>
      <c r="F7" s="154" t="s">
        <v>136</v>
      </c>
      <c r="G7" s="154" t="s">
        <v>135</v>
      </c>
      <c r="H7" s="154" t="b">
        <v>1</v>
      </c>
      <c r="I7" s="154" t="s">
        <v>134</v>
      </c>
      <c r="J7" s="153" t="str">
        <f t="shared" ref="J7:J12" si="4">FamilyName&amp;"YC1M"</f>
        <v>HiborYC1M</v>
      </c>
      <c r="K7" s="152" t="str">
        <f t="shared" si="0"/>
        <v>HkdHiborTN</v>
      </c>
      <c r="L7" s="134"/>
      <c r="M7" s="151"/>
      <c r="N7" s="148"/>
      <c r="O7" s="12"/>
      <c r="Q7" s="386"/>
      <c r="R7" s="415"/>
      <c r="S7" s="423" t="s">
        <v>139</v>
      </c>
      <c r="T7" s="418" t="str">
        <f t="shared" si="1"/>
        <v>HIHKDTND=</v>
      </c>
      <c r="U7" s="422" t="s">
        <v>168</v>
      </c>
      <c r="V7" s="421" t="s">
        <v>168</v>
      </c>
      <c r="W7" s="421" t="b">
        <f t="shared" si="2"/>
        <v>0</v>
      </c>
      <c r="X7" s="420" t="e">
        <f>IF($W7,_xll.qlIndexAddFixings($Z7,$U7,$V7/100,TRUE,ISERROR($AA7)),NA())</f>
        <v>#N/A</v>
      </c>
      <c r="Y7" s="410"/>
      <c r="Z7" s="419" t="str">
        <f>PROPER(Currency)&amp;$Z$4&amp;$S7</f>
        <v>HkdHiborTN</v>
      </c>
      <c r="AA7" s="418" t="e">
        <f>_xll.qlIndexFixing($Z7,$U7,TRUE,$W7)</f>
        <v>#NUM!</v>
      </c>
      <c r="AB7" s="418" t="e">
        <f>IF($X7,_xll.qlIndexFixing($Z7,$U7,FALSE,$W7),"-")</f>
        <v>#N/A</v>
      </c>
      <c r="AC7" s="418" t="e">
        <f t="shared" si="3"/>
        <v>#NUM!</v>
      </c>
      <c r="AD7" s="417" t="e">
        <f>_xll.qlIndexFixing($Z7,$U7,TRUE,$AB7)</f>
        <v>#NUM!</v>
      </c>
      <c r="AE7" s="416"/>
      <c r="AF7" s="405"/>
      <c r="AG7" s="386"/>
    </row>
    <row r="8" spans="2:33" s="1" customFormat="1" ht="15" x14ac:dyDescent="0.25">
      <c r="B8" s="155"/>
      <c r="C8" s="154" t="s">
        <v>138</v>
      </c>
      <c r="D8" s="154" t="str">
        <f>C8</f>
        <v>SN</v>
      </c>
      <c r="E8" s="154">
        <v>0</v>
      </c>
      <c r="F8" s="154" t="s">
        <v>136</v>
      </c>
      <c r="G8" s="154" t="s">
        <v>135</v>
      </c>
      <c r="H8" s="154" t="b">
        <v>1</v>
      </c>
      <c r="I8" s="154" t="s">
        <v>134</v>
      </c>
      <c r="J8" s="153" t="str">
        <f t="shared" si="4"/>
        <v>HiborYC1M</v>
      </c>
      <c r="K8" s="152" t="str">
        <f t="shared" si="0"/>
        <v>HkdHiborSN</v>
      </c>
      <c r="L8" s="134"/>
      <c r="M8" s="151"/>
      <c r="N8" s="148"/>
      <c r="O8" s="12"/>
      <c r="Q8" s="386"/>
      <c r="R8" s="415"/>
      <c r="S8" s="423" t="s">
        <v>138</v>
      </c>
      <c r="T8" s="418" t="str">
        <f t="shared" si="1"/>
        <v>HIHKDSND=</v>
      </c>
      <c r="U8" s="422" t="s">
        <v>168</v>
      </c>
      <c r="V8" s="421" t="s">
        <v>168</v>
      </c>
      <c r="W8" s="421" t="b">
        <f t="shared" si="2"/>
        <v>0</v>
      </c>
      <c r="X8" s="420" t="e">
        <f>IF($W8,_xll.qlIndexAddFixings($Z8,$U8,$V8/100,TRUE,ISERROR($AA8)),NA())</f>
        <v>#N/A</v>
      </c>
      <c r="Y8" s="410"/>
      <c r="Z8" s="419" t="str">
        <f>PROPER(Currency)&amp;$Z$4&amp;$S8</f>
        <v>HkdHiborSN</v>
      </c>
      <c r="AA8" s="418" t="e">
        <f>_xll.qlIndexFixing($Z8,$U8,TRUE,$W8)</f>
        <v>#NUM!</v>
      </c>
      <c r="AB8" s="418" t="e">
        <f>IF($X8,_xll.qlIndexFixing($Z8,$U8,FALSE,$W8),"-")</f>
        <v>#N/A</v>
      </c>
      <c r="AC8" s="418" t="e">
        <f t="shared" si="3"/>
        <v>#NUM!</v>
      </c>
      <c r="AD8" s="417" t="e">
        <f>_xll.qlIndexFixing($Z8,$U8,TRUE,$AB8)</f>
        <v>#NUM!</v>
      </c>
      <c r="AE8" s="416"/>
      <c r="AF8" s="405"/>
      <c r="AG8" s="386"/>
    </row>
    <row r="9" spans="2:33" s="1" customFormat="1" ht="15" x14ac:dyDescent="0.25">
      <c r="B9" s="155"/>
      <c r="C9" s="154" t="s">
        <v>118</v>
      </c>
      <c r="D9" s="154" t="s">
        <v>137</v>
      </c>
      <c r="E9" s="154">
        <v>0</v>
      </c>
      <c r="F9" s="154" t="s">
        <v>136</v>
      </c>
      <c r="G9" s="154" t="s">
        <v>135</v>
      </c>
      <c r="H9" s="154" t="b">
        <v>1</v>
      </c>
      <c r="I9" s="154" t="s">
        <v>134</v>
      </c>
      <c r="J9" s="153" t="str">
        <f t="shared" si="4"/>
        <v>HiborYC1M</v>
      </c>
      <c r="K9" s="152" t="str">
        <f t="shared" si="0"/>
        <v>HkdHiborSW</v>
      </c>
      <c r="L9" s="134" t="str">
        <f>_xll.qlIborIndex($K9,FamilyName,$D9,E9,Currency,F9,G9,H9,I9,Currency&amp;$J9,Permanent,Trigger,ObjectOverwrite)</f>
        <v>HkdHiborSW#0009</v>
      </c>
      <c r="M9" s="151" t="str">
        <f>_xll.qlLastFixingQuote(K9&amp;"LastFixing_Quote",L9,Permanent,Trigger,ObjectOverwrite)</f>
        <v>HkdHiborSWLastFixing_Quote#0009</v>
      </c>
      <c r="N9" s="148" t="str">
        <f>_xll.ohRangeRetrieveError(L9)</f>
        <v/>
      </c>
      <c r="O9" s="12"/>
      <c r="Q9" s="386"/>
      <c r="R9" s="415"/>
      <c r="S9" s="423" t="s">
        <v>137</v>
      </c>
      <c r="T9" s="418" t="str">
        <f t="shared" si="1"/>
        <v>HIHKD1WD=</v>
      </c>
      <c r="U9" s="422">
        <v>41582</v>
      </c>
      <c r="V9" s="421">
        <v>0.13786000000000001</v>
      </c>
      <c r="W9" s="421" t="b">
        <f t="shared" si="2"/>
        <v>1</v>
      </c>
      <c r="X9" s="420" t="b">
        <f>IF($W9,_xll.qlIndexAddFixings($Z9,$U9,$V9/100,TRUE,ISERROR($AA9)),NA())</f>
        <v>1</v>
      </c>
      <c r="Y9" s="410"/>
      <c r="Z9" s="419" t="str">
        <f>PROPER(Currency)&amp;$Z$4&amp;"SW"</f>
        <v>HkdHiborSW</v>
      </c>
      <c r="AA9" s="418">
        <f>_xll.qlIndexFixing($Z9,$U9,TRUE,$W9)</f>
        <v>1.3786E-3</v>
      </c>
      <c r="AB9" s="418">
        <f>IF($X9,_xll.qlIndexFixing($Z9,$U9,FALSE,$W9),"-")</f>
        <v>1.3786E-3</v>
      </c>
      <c r="AC9" s="418">
        <f t="shared" si="3"/>
        <v>0</v>
      </c>
      <c r="AD9" s="417">
        <f>_xll.qlIndexFixing($Z9,$U9,TRUE,$AB9)</f>
        <v>1.3786E-3</v>
      </c>
      <c r="AE9" s="416">
        <f t="shared" ref="AE9:AE23" si="5">IF(ISERROR(AC9),0,ABS(AC9))</f>
        <v>0</v>
      </c>
      <c r="AF9" s="405"/>
      <c r="AG9" s="386"/>
    </row>
    <row r="10" spans="2:33" s="1" customFormat="1" ht="15" x14ac:dyDescent="0.25">
      <c r="B10" s="155"/>
      <c r="C10" s="154" t="s">
        <v>117</v>
      </c>
      <c r="D10" s="154" t="str">
        <f t="shared" ref="D10:D23" si="6">C10</f>
        <v>2W</v>
      </c>
      <c r="E10" s="154">
        <v>0</v>
      </c>
      <c r="F10" s="154" t="s">
        <v>136</v>
      </c>
      <c r="G10" s="154" t="s">
        <v>135</v>
      </c>
      <c r="H10" s="154" t="b">
        <v>1</v>
      </c>
      <c r="I10" s="154" t="s">
        <v>134</v>
      </c>
      <c r="J10" s="153" t="str">
        <f t="shared" si="4"/>
        <v>HiborYC1M</v>
      </c>
      <c r="K10" s="152" t="str">
        <f t="shared" si="0"/>
        <v>HkdHibor2W</v>
      </c>
      <c r="L10" s="134" t="str">
        <f>_xll.qlIborIndex($K10,FamilyName,$D10,E10,Currency,F10,G10,H10,I10,Currency&amp;$J10,Permanent,Trigger,ObjectOverwrite)</f>
        <v>HkdHibor2W#0009</v>
      </c>
      <c r="M10" s="151" t="str">
        <f>_xll.qlLastFixingQuote(K10&amp;"LastFixing_Quote",L10,Permanent,Trigger,ObjectOverwrite)</f>
        <v>HkdHibor2WLastFixing_Quote#0009</v>
      </c>
      <c r="N10" s="148" t="str">
        <f>_xll.ohRangeRetrieveError(L10)</f>
        <v/>
      </c>
      <c r="O10" s="12"/>
      <c r="Q10" s="386"/>
      <c r="R10" s="415"/>
      <c r="S10" s="423" t="s">
        <v>117</v>
      </c>
      <c r="T10" s="418" t="str">
        <f t="shared" si="1"/>
        <v>HIHKD2WD=</v>
      </c>
      <c r="U10" s="422">
        <v>41582</v>
      </c>
      <c r="V10" s="421">
        <v>0.16483999999999999</v>
      </c>
      <c r="W10" s="421" t="b">
        <f t="shared" si="2"/>
        <v>1</v>
      </c>
      <c r="X10" s="420" t="b">
        <f>IF($W10,_xll.qlIndexAddFixings($Z10,$U10,$V10/100,TRUE,ISERROR($AA10)),NA())</f>
        <v>1</v>
      </c>
      <c r="Y10" s="410"/>
      <c r="Z10" s="419" t="str">
        <f t="shared" ref="Z10:Z23" si="7">PROPER(Currency)&amp;$Z$4&amp;$S10</f>
        <v>HkdHibor2W</v>
      </c>
      <c r="AA10" s="418">
        <f>_xll.qlIndexFixing($Z10,$U10,TRUE,$W10)</f>
        <v>1.6484E-3</v>
      </c>
      <c r="AB10" s="418">
        <f>IF($X10,_xll.qlIndexFixing($Z10,$U10,FALSE,$W10),"-")</f>
        <v>1.6484E-3</v>
      </c>
      <c r="AC10" s="418">
        <f t="shared" si="3"/>
        <v>0</v>
      </c>
      <c r="AD10" s="417">
        <f>_xll.qlIndexFixing($Z10,$U10,TRUE,$AB10)</f>
        <v>1.6484E-3</v>
      </c>
      <c r="AE10" s="416">
        <f t="shared" si="5"/>
        <v>0</v>
      </c>
      <c r="AF10" s="405"/>
      <c r="AG10" s="386"/>
    </row>
    <row r="11" spans="2:33" s="1" customFormat="1" ht="15" x14ac:dyDescent="0.25">
      <c r="B11" s="155"/>
      <c r="C11" s="154" t="s">
        <v>116</v>
      </c>
      <c r="D11" s="154" t="str">
        <f t="shared" si="6"/>
        <v>3W</v>
      </c>
      <c r="E11" s="154">
        <v>0</v>
      </c>
      <c r="F11" s="154" t="s">
        <v>136</v>
      </c>
      <c r="G11" s="154" t="s">
        <v>135</v>
      </c>
      <c r="H11" s="154" t="b">
        <v>1</v>
      </c>
      <c r="I11" s="154" t="s">
        <v>134</v>
      </c>
      <c r="J11" s="153" t="str">
        <f t="shared" si="4"/>
        <v>HiborYC1M</v>
      </c>
      <c r="K11" s="152" t="str">
        <f t="shared" si="0"/>
        <v>HkdHibor3W</v>
      </c>
      <c r="L11" s="134" t="str">
        <f>_xll.qlIborIndex($K11,FamilyName,$D11,E11,Currency,F11,G11,H11,I11,Currency&amp;$J11,Permanent,Trigger,ObjectOverwrite)</f>
        <v>HkdHibor3W#0009</v>
      </c>
      <c r="M11" s="151" t="str">
        <f>_xll.qlLastFixingQuote(K11&amp;"LastFixing_Quote",L11,Permanent,Trigger,ObjectOverwrite)</f>
        <v>HkdHibor3WLastFixing_Quote#0009</v>
      </c>
      <c r="N11" s="148" t="str">
        <f>_xll.ohRangeRetrieveError(L11)</f>
        <v/>
      </c>
      <c r="O11" s="12"/>
      <c r="Q11" s="386"/>
      <c r="R11" s="415"/>
      <c r="S11" s="423" t="s">
        <v>116</v>
      </c>
      <c r="T11" s="418" t="str">
        <f t="shared" si="1"/>
        <v>HIHKD3WD=</v>
      </c>
      <c r="U11" s="422" t="s">
        <v>168</v>
      </c>
      <c r="V11" s="421" t="s">
        <v>168</v>
      </c>
      <c r="W11" s="421" t="b">
        <f t="shared" si="2"/>
        <v>0</v>
      </c>
      <c r="X11" s="420" t="e">
        <f>IF($W11,_xll.qlIndexAddFixings($Z11,$U11,$V11/100,TRUE,ISERROR($AA11)),NA())</f>
        <v>#N/A</v>
      </c>
      <c r="Y11" s="410"/>
      <c r="Z11" s="419" t="str">
        <f t="shared" si="7"/>
        <v>HkdHibor3W</v>
      </c>
      <c r="AA11" s="418" t="e">
        <f>_xll.qlIndexFixing($Z11,$U11,TRUE,$W11)</f>
        <v>#NUM!</v>
      </c>
      <c r="AB11" s="418" t="e">
        <f>IF($X11,_xll.qlIndexFixing($Z11,$U11,FALSE,$W11),"-")</f>
        <v>#N/A</v>
      </c>
      <c r="AC11" s="418" t="e">
        <f t="shared" si="3"/>
        <v>#NUM!</v>
      </c>
      <c r="AD11" s="417" t="e">
        <f>_xll.qlIndexFixing($Z11,$U11,TRUE,$AB11)</f>
        <v>#NUM!</v>
      </c>
      <c r="AE11" s="416">
        <f t="shared" si="5"/>
        <v>0</v>
      </c>
      <c r="AF11" s="405"/>
      <c r="AG11" s="386"/>
    </row>
    <row r="12" spans="2:33" s="1" customFormat="1" ht="15" x14ac:dyDescent="0.25">
      <c r="B12" s="155"/>
      <c r="C12" s="154" t="s">
        <v>104</v>
      </c>
      <c r="D12" s="154" t="str">
        <f t="shared" si="6"/>
        <v>1M</v>
      </c>
      <c r="E12" s="154">
        <v>0</v>
      </c>
      <c r="F12" s="154" t="s">
        <v>136</v>
      </c>
      <c r="G12" s="154" t="s">
        <v>135</v>
      </c>
      <c r="H12" s="154" t="b">
        <v>1</v>
      </c>
      <c r="I12" s="154" t="s">
        <v>134</v>
      </c>
      <c r="J12" s="153" t="str">
        <f t="shared" si="4"/>
        <v>HiborYC1M</v>
      </c>
      <c r="K12" s="152" t="str">
        <f t="shared" si="0"/>
        <v>HkdHibor1M</v>
      </c>
      <c r="L12" s="134" t="str">
        <f>_xll.qlIborIndex($K12,FamilyName,$D12,E12,Currency,F12,G12,H12,I12,Currency&amp;$J12,Permanent,Trigger,ObjectOverwrite)</f>
        <v>HkdHibor1M#0009</v>
      </c>
      <c r="M12" s="151" t="str">
        <f>_xll.qlLastFixingQuote(K12&amp;"LastFixing_Quote",L12,Permanent,Trigger,ObjectOverwrite)</f>
        <v>HkdHibor1MLastFixing_Quote#0009</v>
      </c>
      <c r="N12" s="148" t="str">
        <f>_xll.ohRangeRetrieveError(L12)</f>
        <v/>
      </c>
      <c r="O12" s="12"/>
      <c r="Q12" s="386"/>
      <c r="R12" s="415"/>
      <c r="S12" s="423" t="s">
        <v>104</v>
      </c>
      <c r="T12" s="418" t="str">
        <f t="shared" si="1"/>
        <v>HIHKD1MD=</v>
      </c>
      <c r="U12" s="422">
        <v>41582</v>
      </c>
      <c r="V12" s="421">
        <v>0.21856999999999999</v>
      </c>
      <c r="W12" s="421" t="b">
        <f t="shared" si="2"/>
        <v>1</v>
      </c>
      <c r="X12" s="420" t="b">
        <f>IF($W12,_xll.qlIndexAddFixings($Z12,$U12,$V12/100,TRUE,ISERROR($AA12)),NA())</f>
        <v>1</v>
      </c>
      <c r="Y12" s="410"/>
      <c r="Z12" s="419" t="str">
        <f t="shared" si="7"/>
        <v>HkdHibor1M</v>
      </c>
      <c r="AA12" s="418">
        <f>_xll.qlIndexFixing($Z12,$U12,TRUE,$W12)</f>
        <v>2.1857000000000001E-3</v>
      </c>
      <c r="AB12" s="418">
        <f>IF($X12,_xll.qlIndexFixing($Z12,$U12,FALSE,$W12),"-")</f>
        <v>2.1857000000000001E-3</v>
      </c>
      <c r="AC12" s="418">
        <f t="shared" si="3"/>
        <v>0</v>
      </c>
      <c r="AD12" s="417">
        <f>_xll.qlIndexFixing($Z12,$U12,TRUE,$AB12)</f>
        <v>2.1857000000000001E-3</v>
      </c>
      <c r="AE12" s="416">
        <f t="shared" si="5"/>
        <v>0</v>
      </c>
      <c r="AF12" s="405"/>
      <c r="AG12" s="386"/>
    </row>
    <row r="13" spans="2:33" s="1" customFormat="1" ht="15" x14ac:dyDescent="0.25">
      <c r="B13" s="155"/>
      <c r="C13" s="154" t="s">
        <v>115</v>
      </c>
      <c r="D13" s="154" t="str">
        <f t="shared" si="6"/>
        <v>2M</v>
      </c>
      <c r="E13" s="154">
        <v>0</v>
      </c>
      <c r="F13" s="154" t="s">
        <v>136</v>
      </c>
      <c r="G13" s="154" t="s">
        <v>135</v>
      </c>
      <c r="H13" s="154" t="b">
        <v>1</v>
      </c>
      <c r="I13" s="154" t="s">
        <v>134</v>
      </c>
      <c r="J13" s="153" t="str">
        <f>FamilyName&amp;"YC3M"</f>
        <v>HiborYC3M</v>
      </c>
      <c r="K13" s="152" t="str">
        <f t="shared" si="0"/>
        <v>HkdHibor2M</v>
      </c>
      <c r="L13" s="134" t="str">
        <f>_xll.qlIborIndex($K13,FamilyName,$D13,E13,Currency,F13,G13,H13,I13,Currency&amp;$J13,Permanent,Trigger,ObjectOverwrite)</f>
        <v>HkdHibor2M#0009</v>
      </c>
      <c r="M13" s="151" t="str">
        <f>_xll.qlLastFixingQuote(K13&amp;"LastFixing_Quote",L13,Permanent,Trigger,ObjectOverwrite)</f>
        <v>HkdHibor2MLastFixing_Quote#0009</v>
      </c>
      <c r="N13" s="148" t="str">
        <f>_xll.ohRangeRetrieveError(L13)</f>
        <v/>
      </c>
      <c r="O13" s="12"/>
      <c r="Q13" s="386"/>
      <c r="R13" s="415"/>
      <c r="S13" s="423" t="s">
        <v>115</v>
      </c>
      <c r="T13" s="418" t="str">
        <f t="shared" si="1"/>
        <v>HIHKD2MD=</v>
      </c>
      <c r="U13" s="422">
        <v>41582</v>
      </c>
      <c r="V13" s="421">
        <v>0.32142999999999999</v>
      </c>
      <c r="W13" s="421" t="b">
        <f t="shared" si="2"/>
        <v>1</v>
      </c>
      <c r="X13" s="420" t="b">
        <f>IF($W13,_xll.qlIndexAddFixings($Z13,$U13,$V13/100,TRUE,ISERROR($AA13)),NA())</f>
        <v>1</v>
      </c>
      <c r="Y13" s="410"/>
      <c r="Z13" s="419" t="str">
        <f t="shared" si="7"/>
        <v>HkdHibor2M</v>
      </c>
      <c r="AA13" s="418">
        <f>_xll.qlIndexFixing($Z13,$U13,TRUE,$W13)</f>
        <v>3.2142999999999998E-3</v>
      </c>
      <c r="AB13" s="418">
        <f>IF($X13,_xll.qlIndexFixing($Z13,$U13,FALSE,$W13),"-")</f>
        <v>3.2142999999999998E-3</v>
      </c>
      <c r="AC13" s="418">
        <f t="shared" si="3"/>
        <v>0</v>
      </c>
      <c r="AD13" s="417">
        <f>_xll.qlIndexFixing($Z13,$U13,TRUE,$AB13)</f>
        <v>3.2142999999999998E-3</v>
      </c>
      <c r="AE13" s="416">
        <f t="shared" si="5"/>
        <v>0</v>
      </c>
      <c r="AF13" s="405"/>
      <c r="AG13" s="386"/>
    </row>
    <row r="14" spans="2:33" s="1" customFormat="1" ht="15" x14ac:dyDescent="0.25">
      <c r="B14" s="155"/>
      <c r="C14" s="154" t="s">
        <v>106</v>
      </c>
      <c r="D14" s="154" t="str">
        <f t="shared" si="6"/>
        <v>3M</v>
      </c>
      <c r="E14" s="154">
        <v>0</v>
      </c>
      <c r="F14" s="154" t="s">
        <v>136</v>
      </c>
      <c r="G14" s="154" t="s">
        <v>135</v>
      </c>
      <c r="H14" s="154" t="b">
        <v>1</v>
      </c>
      <c r="I14" s="154" t="s">
        <v>134</v>
      </c>
      <c r="J14" s="153" t="str">
        <f>FamilyName&amp;"YC3M"</f>
        <v>HiborYC3M</v>
      </c>
      <c r="K14" s="152" t="str">
        <f t="shared" si="0"/>
        <v>HkdHibor3M</v>
      </c>
      <c r="L14" s="134" t="str">
        <f>_xll.qlIborIndex($K14,FamilyName,$D14,E14,Currency,F14,G14,H14,I14,Currency&amp;$J14,Permanent,Trigger,ObjectOverwrite)</f>
        <v>HkdHibor3M#0009</v>
      </c>
      <c r="M14" s="151" t="str">
        <f>_xll.qlLastFixingQuote(K14&amp;"LastFixing_Quote",L14,Permanent,Trigger,ObjectOverwrite)</f>
        <v>HkdHibor3MLastFixing_Quote#0009</v>
      </c>
      <c r="N14" s="148" t="str">
        <f>_xll.ohRangeRetrieveError(L14)</f>
        <v/>
      </c>
      <c r="O14" s="12"/>
      <c r="Q14" s="386"/>
      <c r="R14" s="415"/>
      <c r="S14" s="423" t="s">
        <v>106</v>
      </c>
      <c r="T14" s="418" t="str">
        <f t="shared" si="1"/>
        <v>HIHKD3MD=</v>
      </c>
      <c r="U14" s="422">
        <v>41582</v>
      </c>
      <c r="V14" s="421">
        <v>0.38070999999999999</v>
      </c>
      <c r="W14" s="421" t="b">
        <f t="shared" si="2"/>
        <v>1</v>
      </c>
      <c r="X14" s="420" t="b">
        <f>IF($W14,_xll.qlIndexAddFixings($Z14,$U14,$V14/100,TRUE,ISERROR($AA14)),NA())</f>
        <v>1</v>
      </c>
      <c r="Y14" s="410"/>
      <c r="Z14" s="419" t="str">
        <f t="shared" si="7"/>
        <v>HkdHibor3M</v>
      </c>
      <c r="AA14" s="418">
        <f>_xll.qlIndexFixing($Z14,$U14,TRUE,$W14)</f>
        <v>3.8070999999999999E-3</v>
      </c>
      <c r="AB14" s="418">
        <f>IF($X14,_xll.qlIndexFixing($Z14,$U14,FALSE,$W14),"-")</f>
        <v>3.8070999999999999E-3</v>
      </c>
      <c r="AC14" s="418">
        <f t="shared" si="3"/>
        <v>0</v>
      </c>
      <c r="AD14" s="417">
        <f>_xll.qlIndexFixing($Z14,$U14,TRUE,$AB14)</f>
        <v>3.8070999999999999E-3</v>
      </c>
      <c r="AE14" s="416">
        <f t="shared" si="5"/>
        <v>0</v>
      </c>
      <c r="AF14" s="405"/>
      <c r="AG14" s="386"/>
    </row>
    <row r="15" spans="2:33" s="1" customFormat="1" ht="15" x14ac:dyDescent="0.25">
      <c r="B15" s="155"/>
      <c r="C15" s="154" t="s">
        <v>114</v>
      </c>
      <c r="D15" s="154" t="str">
        <f t="shared" si="6"/>
        <v>4M</v>
      </c>
      <c r="E15" s="154">
        <v>0</v>
      </c>
      <c r="F15" s="154" t="s">
        <v>136</v>
      </c>
      <c r="G15" s="154" t="s">
        <v>135</v>
      </c>
      <c r="H15" s="154" t="b">
        <v>1</v>
      </c>
      <c r="I15" s="154" t="s">
        <v>134</v>
      </c>
      <c r="J15" s="153" t="str">
        <f>FamilyName&amp;"YC3M"</f>
        <v>HiborYC3M</v>
      </c>
      <c r="K15" s="152" t="str">
        <f t="shared" si="0"/>
        <v>HkdHibor4M</v>
      </c>
      <c r="L15" s="134" t="str">
        <f>_xll.qlIborIndex($K15,FamilyName,$D15,E15,Currency,F15,G15,H15,I15,Currency&amp;$J15,Permanent,Trigger,ObjectOverwrite)</f>
        <v>HkdHibor4M#0009</v>
      </c>
      <c r="M15" s="151" t="str">
        <f>_xll.qlLastFixingQuote(K15&amp;"LastFixing_Quote",L15,Permanent,Trigger,ObjectOverwrite)</f>
        <v>HkdHibor4MLastFixing_Quote#0009</v>
      </c>
      <c r="N15" s="148" t="str">
        <f>_xll.ohRangeRetrieveError(L15)</f>
        <v/>
      </c>
      <c r="O15" s="12"/>
      <c r="Q15" s="386"/>
      <c r="R15" s="415"/>
      <c r="S15" s="423" t="s">
        <v>114</v>
      </c>
      <c r="T15" s="418" t="str">
        <f t="shared" si="1"/>
        <v>HIHKD4MD=</v>
      </c>
      <c r="U15" s="422">
        <v>41582</v>
      </c>
      <c r="V15" s="421">
        <v>0.41247</v>
      </c>
      <c r="W15" s="421" t="b">
        <f t="shared" si="2"/>
        <v>1</v>
      </c>
      <c r="X15" s="420" t="b">
        <f>IF($W15,_xll.qlIndexAddFixings($Z15,$U15,$V15/100,TRUE,ISERROR($AA15)),NA())</f>
        <v>1</v>
      </c>
      <c r="Y15" s="410"/>
      <c r="Z15" s="419" t="str">
        <f t="shared" si="7"/>
        <v>HkdHibor4M</v>
      </c>
      <c r="AA15" s="418">
        <f>_xll.qlIndexFixing($Z15,$U15,TRUE,$W15)</f>
        <v>4.1247000000000002E-3</v>
      </c>
      <c r="AB15" s="418">
        <f>IF($X15,_xll.qlIndexFixing($Z15,$U15,FALSE,$W15),"-")</f>
        <v>4.1247000000000002E-3</v>
      </c>
      <c r="AC15" s="418">
        <f t="shared" si="3"/>
        <v>0</v>
      </c>
      <c r="AD15" s="417">
        <f>_xll.qlIndexFixing($Z15,$U15,TRUE,$AB15)</f>
        <v>4.1247000000000002E-3</v>
      </c>
      <c r="AE15" s="416">
        <f t="shared" si="5"/>
        <v>0</v>
      </c>
      <c r="AF15" s="405"/>
      <c r="AG15" s="386"/>
    </row>
    <row r="16" spans="2:33" s="1" customFormat="1" ht="15" x14ac:dyDescent="0.25">
      <c r="B16" s="155"/>
      <c r="C16" s="154" t="s">
        <v>113</v>
      </c>
      <c r="D16" s="154" t="str">
        <f t="shared" si="6"/>
        <v>5M</v>
      </c>
      <c r="E16" s="154">
        <v>0</v>
      </c>
      <c r="F16" s="154" t="s">
        <v>136</v>
      </c>
      <c r="G16" s="154" t="s">
        <v>135</v>
      </c>
      <c r="H16" s="154" t="b">
        <v>1</v>
      </c>
      <c r="I16" s="154" t="s">
        <v>134</v>
      </c>
      <c r="J16" s="153" t="str">
        <f>FamilyName&amp;"YC6M"</f>
        <v>HiborYC6M</v>
      </c>
      <c r="K16" s="152" t="str">
        <f t="shared" si="0"/>
        <v>HkdHibor5M</v>
      </c>
      <c r="L16" s="134" t="str">
        <f>_xll.qlIborIndex($K16,FamilyName,$D16,E16,Currency,F16,G16,H16,I16,Currency&amp;$J16,Permanent,Trigger,ObjectOverwrite)</f>
        <v>HkdHibor5M#0009</v>
      </c>
      <c r="M16" s="151" t="str">
        <f>_xll.qlLastFixingQuote(K16&amp;"LastFixing_Quote",L16,Permanent,Trigger,ObjectOverwrite)</f>
        <v>HkdHibor5MLastFixing_Quote#0009</v>
      </c>
      <c r="N16" s="148" t="str">
        <f>_xll.ohRangeRetrieveError(L16)</f>
        <v/>
      </c>
      <c r="O16" s="12"/>
      <c r="Q16" s="386"/>
      <c r="R16" s="415"/>
      <c r="S16" s="423" t="s">
        <v>113</v>
      </c>
      <c r="T16" s="418" t="str">
        <f t="shared" si="1"/>
        <v>HIHKD5MD=</v>
      </c>
      <c r="U16" s="422">
        <v>41582</v>
      </c>
      <c r="V16" s="421">
        <v>0.45571</v>
      </c>
      <c r="W16" s="421" t="b">
        <f t="shared" si="2"/>
        <v>1</v>
      </c>
      <c r="X16" s="420" t="b">
        <f>IF($W16,_xll.qlIndexAddFixings($Z16,$U16,$V16/100,TRUE,ISERROR($AA16)),NA())</f>
        <v>1</v>
      </c>
      <c r="Y16" s="410"/>
      <c r="Z16" s="419" t="str">
        <f t="shared" si="7"/>
        <v>HkdHibor5M</v>
      </c>
      <c r="AA16" s="418">
        <f>_xll.qlIndexFixing($Z16,$U16,TRUE,$W16)</f>
        <v>4.5570999999999997E-3</v>
      </c>
      <c r="AB16" s="418">
        <f>IF($X16,_xll.qlIndexFixing($Z16,$U16,FALSE,$W16),"-")</f>
        <v>4.5570999999999997E-3</v>
      </c>
      <c r="AC16" s="418">
        <f t="shared" si="3"/>
        <v>0</v>
      </c>
      <c r="AD16" s="417">
        <f>_xll.qlIndexFixing($Z16,$U16,TRUE,$AB16)</f>
        <v>4.5570999999999997E-3</v>
      </c>
      <c r="AE16" s="416">
        <f t="shared" si="5"/>
        <v>0</v>
      </c>
      <c r="AF16" s="405"/>
      <c r="AG16" s="386"/>
    </row>
    <row r="17" spans="2:33" s="1" customFormat="1" ht="15" x14ac:dyDescent="0.25">
      <c r="B17" s="155"/>
      <c r="C17" s="154" t="s">
        <v>61</v>
      </c>
      <c r="D17" s="154" t="str">
        <f t="shared" si="6"/>
        <v>6M</v>
      </c>
      <c r="E17" s="154">
        <v>0</v>
      </c>
      <c r="F17" s="154" t="s">
        <v>136</v>
      </c>
      <c r="G17" s="154" t="s">
        <v>135</v>
      </c>
      <c r="H17" s="154" t="b">
        <v>1</v>
      </c>
      <c r="I17" s="154" t="s">
        <v>134</v>
      </c>
      <c r="J17" s="153" t="str">
        <f>FamilyName&amp;"YC6M"</f>
        <v>HiborYC6M</v>
      </c>
      <c r="K17" s="152" t="str">
        <f t="shared" si="0"/>
        <v>HkdHibor6M</v>
      </c>
      <c r="L17" s="134" t="str">
        <f>_xll.qlIborIndex($K17,FamilyName,$D17,E17,Currency,F17,G17,H17,I17,Currency&amp;$J17,Permanent,Trigger,ObjectOverwrite)</f>
        <v>HkdHibor6M#0009</v>
      </c>
      <c r="M17" s="151" t="str">
        <f>_xll.qlLastFixingQuote(K17&amp;"LastFixing_Quote",L17,Permanent,Trigger,ObjectOverwrite)</f>
        <v>HkdHibor6MLastFixing_Quote#0009</v>
      </c>
      <c r="N17" s="148" t="str">
        <f>_xll.ohRangeRetrieveError(L17)</f>
        <v/>
      </c>
      <c r="O17" s="12"/>
      <c r="Q17" s="386"/>
      <c r="R17" s="415"/>
      <c r="S17" s="423" t="s">
        <v>61</v>
      </c>
      <c r="T17" s="418" t="str">
        <f t="shared" si="1"/>
        <v>HIHKD6MD=</v>
      </c>
      <c r="U17" s="422">
        <v>41582</v>
      </c>
      <c r="V17" s="421">
        <v>0.55000000000000004</v>
      </c>
      <c r="W17" s="421" t="b">
        <f t="shared" si="2"/>
        <v>1</v>
      </c>
      <c r="X17" s="420" t="b">
        <f>IF($W17,_xll.qlIndexAddFixings($Z17,$U17,$V17/100,TRUE,ISERROR($AA17)),NA())</f>
        <v>1</v>
      </c>
      <c r="Y17" s="410"/>
      <c r="Z17" s="419" t="str">
        <f t="shared" si="7"/>
        <v>HkdHibor6M</v>
      </c>
      <c r="AA17" s="418">
        <f>_xll.qlIndexFixing($Z17,$U17,TRUE,$W17)</f>
        <v>5.5000000000000005E-3</v>
      </c>
      <c r="AB17" s="418">
        <f>IF($X17,_xll.qlIndexFixing($Z17,$U17,FALSE,$W17),"-")</f>
        <v>5.5000000000000005E-3</v>
      </c>
      <c r="AC17" s="418">
        <f t="shared" si="3"/>
        <v>0</v>
      </c>
      <c r="AD17" s="417">
        <f>_xll.qlIndexFixing($Z17,$U17,TRUE,$AB17)</f>
        <v>5.5000000000000005E-3</v>
      </c>
      <c r="AE17" s="416">
        <f t="shared" si="5"/>
        <v>0</v>
      </c>
      <c r="AF17" s="405"/>
      <c r="AG17" s="386"/>
    </row>
    <row r="18" spans="2:33" s="1" customFormat="1" ht="15" x14ac:dyDescent="0.25">
      <c r="B18" s="155"/>
      <c r="C18" s="154" t="s">
        <v>112</v>
      </c>
      <c r="D18" s="154" t="str">
        <f t="shared" si="6"/>
        <v>7M</v>
      </c>
      <c r="E18" s="154">
        <v>0</v>
      </c>
      <c r="F18" s="154" t="s">
        <v>136</v>
      </c>
      <c r="G18" s="154" t="s">
        <v>135</v>
      </c>
      <c r="H18" s="154" t="b">
        <v>1</v>
      </c>
      <c r="I18" s="154" t="s">
        <v>134</v>
      </c>
      <c r="J18" s="153" t="str">
        <f>FamilyName&amp;"YC6M"</f>
        <v>HiborYC6M</v>
      </c>
      <c r="K18" s="152" t="str">
        <f t="shared" si="0"/>
        <v>HkdHibor7M</v>
      </c>
      <c r="L18" s="134" t="str">
        <f>_xll.qlIborIndex($K18,FamilyName,$D18,E18,Currency,F18,G18,H18,I18,Currency&amp;$J18,Permanent,Trigger,ObjectOverwrite)</f>
        <v>HkdHibor7M#0009</v>
      </c>
      <c r="M18" s="151" t="str">
        <f>_xll.qlLastFixingQuote(K18&amp;"LastFixing_Quote",L18,Permanent,Trigger,ObjectOverwrite)</f>
        <v>HkdHibor7MLastFixing_Quote#0009</v>
      </c>
      <c r="N18" s="148" t="str">
        <f>_xll.ohRangeRetrieveError(L18)</f>
        <v/>
      </c>
      <c r="O18" s="12"/>
      <c r="Q18" s="386"/>
      <c r="R18" s="415"/>
      <c r="S18" s="423" t="s">
        <v>112</v>
      </c>
      <c r="T18" s="418" t="str">
        <f t="shared" si="1"/>
        <v>HIHKD7MD=</v>
      </c>
      <c r="U18" s="422">
        <v>41582</v>
      </c>
      <c r="V18" s="421">
        <v>0.57428999999999997</v>
      </c>
      <c r="W18" s="421" t="b">
        <f t="shared" si="2"/>
        <v>1</v>
      </c>
      <c r="X18" s="420" t="b">
        <f>IF($W18,_xll.qlIndexAddFixings($Z18,$U18,$V18/100,TRUE,ISERROR($AA18)),NA())</f>
        <v>1</v>
      </c>
      <c r="Y18" s="410"/>
      <c r="Z18" s="419" t="str">
        <f t="shared" si="7"/>
        <v>HkdHibor7M</v>
      </c>
      <c r="AA18" s="418">
        <f>_xll.qlIndexFixing($Z18,$U18,TRUE,$W18)</f>
        <v>5.7428999999999996E-3</v>
      </c>
      <c r="AB18" s="418">
        <f>IF($X18,_xll.qlIndexFixing($Z18,$U18,FALSE,$W18),"-")</f>
        <v>5.7428999999999996E-3</v>
      </c>
      <c r="AC18" s="418">
        <f t="shared" si="3"/>
        <v>0</v>
      </c>
      <c r="AD18" s="417">
        <f>_xll.qlIndexFixing($Z18,$U18,TRUE,$AB18)</f>
        <v>5.7428999999999996E-3</v>
      </c>
      <c r="AE18" s="416">
        <f t="shared" si="5"/>
        <v>0</v>
      </c>
      <c r="AF18" s="405"/>
      <c r="AG18" s="386"/>
    </row>
    <row r="19" spans="2:33" s="1" customFormat="1" ht="15" x14ac:dyDescent="0.25">
      <c r="B19" s="155"/>
      <c r="C19" s="154" t="s">
        <v>111</v>
      </c>
      <c r="D19" s="154" t="str">
        <f t="shared" si="6"/>
        <v>8M</v>
      </c>
      <c r="E19" s="154">
        <v>0</v>
      </c>
      <c r="F19" s="154" t="s">
        <v>136</v>
      </c>
      <c r="G19" s="154" t="s">
        <v>135</v>
      </c>
      <c r="H19" s="154" t="b">
        <v>1</v>
      </c>
      <c r="I19" s="154" t="s">
        <v>134</v>
      </c>
      <c r="J19" s="153" t="str">
        <f>FamilyName&amp;"YC6M"</f>
        <v>HiborYC6M</v>
      </c>
      <c r="K19" s="152" t="str">
        <f t="shared" si="0"/>
        <v>HkdHibor8M</v>
      </c>
      <c r="L19" s="134" t="str">
        <f>_xll.qlIborIndex($K19,FamilyName,$D19,E19,Currency,F19,G19,H19,I19,Currency&amp;$J19,Permanent,Trigger,ObjectOverwrite)</f>
        <v>HkdHibor8M#0009</v>
      </c>
      <c r="M19" s="151" t="str">
        <f>_xll.qlLastFixingQuote(K19&amp;"LastFixing_Quote",L19,Permanent,Trigger,ObjectOverwrite)</f>
        <v>HkdHibor8MLastFixing_Quote#0009</v>
      </c>
      <c r="N19" s="148" t="str">
        <f>_xll.ohRangeRetrieveError(L19)</f>
        <v/>
      </c>
      <c r="O19" s="12"/>
      <c r="Q19" s="386"/>
      <c r="R19" s="415"/>
      <c r="S19" s="423" t="s">
        <v>111</v>
      </c>
      <c r="T19" s="418" t="str">
        <f t="shared" si="1"/>
        <v>HIHKD8MD=</v>
      </c>
      <c r="U19" s="422">
        <v>41582</v>
      </c>
      <c r="V19" s="421">
        <v>0.60070999999999997</v>
      </c>
      <c r="W19" s="421" t="b">
        <f t="shared" si="2"/>
        <v>1</v>
      </c>
      <c r="X19" s="420" t="b">
        <f>IF($W19,_xll.qlIndexAddFixings($Z19,$U19,$V19/100,TRUE,ISERROR($AA19)),NA())</f>
        <v>1</v>
      </c>
      <c r="Y19" s="410"/>
      <c r="Z19" s="419" t="str">
        <f t="shared" si="7"/>
        <v>HkdHibor8M</v>
      </c>
      <c r="AA19" s="418">
        <f>_xll.qlIndexFixing($Z19,$U19,TRUE,$W19)</f>
        <v>6.0070999999999996E-3</v>
      </c>
      <c r="AB19" s="418">
        <f>IF($X19,_xll.qlIndexFixing($Z19,$U19,FALSE,$W19),"-")</f>
        <v>6.0070999999999996E-3</v>
      </c>
      <c r="AC19" s="418">
        <f t="shared" si="3"/>
        <v>0</v>
      </c>
      <c r="AD19" s="417">
        <f>_xll.qlIndexFixing($Z19,$U19,TRUE,$AB19)</f>
        <v>6.0070999999999996E-3</v>
      </c>
      <c r="AE19" s="416">
        <f t="shared" si="5"/>
        <v>0</v>
      </c>
      <c r="AF19" s="405"/>
      <c r="AG19" s="386"/>
    </row>
    <row r="20" spans="2:33" s="1" customFormat="1" ht="15" x14ac:dyDescent="0.25">
      <c r="B20" s="155"/>
      <c r="C20" s="154" t="s">
        <v>110</v>
      </c>
      <c r="D20" s="154" t="str">
        <f t="shared" si="6"/>
        <v>9M</v>
      </c>
      <c r="E20" s="154">
        <v>0</v>
      </c>
      <c r="F20" s="154" t="s">
        <v>136</v>
      </c>
      <c r="G20" s="154" t="s">
        <v>135</v>
      </c>
      <c r="H20" s="154" t="b">
        <v>1</v>
      </c>
      <c r="I20" s="154" t="s">
        <v>134</v>
      </c>
      <c r="J20" s="153" t="str">
        <f>FamilyName&amp;"YC1Y"</f>
        <v>HiborYC1Y</v>
      </c>
      <c r="K20" s="152" t="str">
        <f t="shared" si="0"/>
        <v>HkdHibor9M</v>
      </c>
      <c r="L20" s="134" t="str">
        <f>_xll.qlIborIndex($K20,FamilyName,$D20,E20,Currency,F20,G20,H20,I20,Currency&amp;$J20,Permanent,Trigger,ObjectOverwrite)</f>
        <v>HkdHibor9M#0009</v>
      </c>
      <c r="M20" s="151" t="str">
        <f>_xll.qlLastFixingQuote(K20&amp;"LastFixing_Quote",L20,Permanent,Trigger,ObjectOverwrite)</f>
        <v>HkdHibor9MLastFixing_Quote#0009</v>
      </c>
      <c r="N20" s="148" t="str">
        <f>_xll.ohRangeRetrieveError(L20)</f>
        <v/>
      </c>
      <c r="O20" s="12"/>
      <c r="Q20" s="386"/>
      <c r="R20" s="415"/>
      <c r="S20" s="423" t="s">
        <v>110</v>
      </c>
      <c r="T20" s="418" t="str">
        <f t="shared" si="1"/>
        <v>HIHKD9MD=</v>
      </c>
      <c r="U20" s="422">
        <v>41582</v>
      </c>
      <c r="V20" s="421">
        <v>0.63214000000000004</v>
      </c>
      <c r="W20" s="421" t="b">
        <f t="shared" si="2"/>
        <v>1</v>
      </c>
      <c r="X20" s="420" t="b">
        <f>IF($W20,_xll.qlIndexAddFixings($Z20,$U20,$V20/100,TRUE,ISERROR($AA20)),NA())</f>
        <v>1</v>
      </c>
      <c r="Y20" s="410"/>
      <c r="Z20" s="419" t="str">
        <f t="shared" si="7"/>
        <v>HkdHibor9M</v>
      </c>
      <c r="AA20" s="418">
        <f>_xll.qlIndexFixing($Z20,$U20,TRUE,$W20)</f>
        <v>6.3214000000000005E-3</v>
      </c>
      <c r="AB20" s="418">
        <f>IF($X20,_xll.qlIndexFixing($Z20,$U20,FALSE,$W20),"-")</f>
        <v>6.3214000000000005E-3</v>
      </c>
      <c r="AC20" s="418">
        <f t="shared" si="3"/>
        <v>0</v>
      </c>
      <c r="AD20" s="417">
        <f>_xll.qlIndexFixing($Z20,$U20,TRUE,$AB20)</f>
        <v>6.3214000000000005E-3</v>
      </c>
      <c r="AE20" s="416">
        <f t="shared" si="5"/>
        <v>0</v>
      </c>
      <c r="AF20" s="405"/>
      <c r="AG20" s="386"/>
    </row>
    <row r="21" spans="2:33" s="1" customFormat="1" ht="15" x14ac:dyDescent="0.25">
      <c r="B21" s="155"/>
      <c r="C21" s="154" t="s">
        <v>109</v>
      </c>
      <c r="D21" s="154" t="str">
        <f t="shared" si="6"/>
        <v>10M</v>
      </c>
      <c r="E21" s="154">
        <v>0</v>
      </c>
      <c r="F21" s="154" t="s">
        <v>136</v>
      </c>
      <c r="G21" s="154" t="s">
        <v>135</v>
      </c>
      <c r="H21" s="154" t="b">
        <v>1</v>
      </c>
      <c r="I21" s="154" t="s">
        <v>134</v>
      </c>
      <c r="J21" s="153" t="str">
        <f>FamilyName&amp;"YC1Y"</f>
        <v>HiborYC1Y</v>
      </c>
      <c r="K21" s="152" t="str">
        <f t="shared" si="0"/>
        <v>HkdHibor10M</v>
      </c>
      <c r="L21" s="134" t="str">
        <f>_xll.qlIborIndex($K21,FamilyName,$D21,E21,Currency,F21,G21,H21,I21,Currency&amp;$J21,Permanent,Trigger,ObjectOverwrite)</f>
        <v>HkdHibor10M#0009</v>
      </c>
      <c r="M21" s="151" t="str">
        <f>_xll.qlLastFixingQuote(K21&amp;"LastFixing_Quote",L21,Permanent,Trigger,ObjectOverwrite)</f>
        <v>HkdHibor10MLastFixing_Quote#0009</v>
      </c>
      <c r="N21" s="148" t="str">
        <f>_xll.ohRangeRetrieveError(L21)</f>
        <v/>
      </c>
      <c r="O21" s="12"/>
      <c r="Q21" s="386"/>
      <c r="R21" s="415"/>
      <c r="S21" s="423" t="s">
        <v>109</v>
      </c>
      <c r="T21" s="418" t="str">
        <f t="shared" si="1"/>
        <v>HIHKD10MD=</v>
      </c>
      <c r="U21" s="422">
        <v>41582</v>
      </c>
      <c r="V21" s="421">
        <v>0.70992999999999995</v>
      </c>
      <c r="W21" s="421" t="b">
        <f t="shared" si="2"/>
        <v>1</v>
      </c>
      <c r="X21" s="420" t="b">
        <f>IF($W21,_xll.qlIndexAddFixings($Z21,$U21,$V21/100,TRUE,ISERROR($AA21)),NA())</f>
        <v>1</v>
      </c>
      <c r="Y21" s="410"/>
      <c r="Z21" s="419" t="str">
        <f t="shared" si="7"/>
        <v>HkdHibor10M</v>
      </c>
      <c r="AA21" s="418">
        <f>_xll.qlIndexFixing($Z21,$U21,TRUE,$W21)</f>
        <v>7.0992999999999994E-3</v>
      </c>
      <c r="AB21" s="418">
        <f>IF($X21,_xll.qlIndexFixing($Z21,$U21,FALSE,$W21),"-")</f>
        <v>7.0992999999999994E-3</v>
      </c>
      <c r="AC21" s="418">
        <f t="shared" si="3"/>
        <v>0</v>
      </c>
      <c r="AD21" s="417">
        <f>_xll.qlIndexFixing($Z21,$U21,TRUE,$AB21)</f>
        <v>7.0992999999999994E-3</v>
      </c>
      <c r="AE21" s="416">
        <f t="shared" si="5"/>
        <v>0</v>
      </c>
      <c r="AF21" s="405"/>
      <c r="AG21" s="386"/>
    </row>
    <row r="22" spans="2:33" s="1" customFormat="1" ht="15" x14ac:dyDescent="0.25">
      <c r="B22" s="155"/>
      <c r="C22" s="154" t="s">
        <v>108</v>
      </c>
      <c r="D22" s="154" t="str">
        <f t="shared" si="6"/>
        <v>11M</v>
      </c>
      <c r="E22" s="154">
        <v>0</v>
      </c>
      <c r="F22" s="154" t="s">
        <v>136</v>
      </c>
      <c r="G22" s="154" t="s">
        <v>135</v>
      </c>
      <c r="H22" s="154" t="b">
        <v>1</v>
      </c>
      <c r="I22" s="154" t="s">
        <v>134</v>
      </c>
      <c r="J22" s="153" t="str">
        <f>FamilyName&amp;"YC1Y"</f>
        <v>HiborYC1Y</v>
      </c>
      <c r="K22" s="152" t="str">
        <f t="shared" si="0"/>
        <v>HkdHibor11M</v>
      </c>
      <c r="L22" s="134" t="str">
        <f>_xll.qlIborIndex($K22,FamilyName,$D22,E22,Currency,F22,G22,H22,I22,Currency&amp;$J22,Permanent,Trigger,ObjectOverwrite)</f>
        <v>HkdHibor11M#0009</v>
      </c>
      <c r="M22" s="151" t="str">
        <f>_xll.qlLastFixingQuote(K22&amp;"LastFixing_Quote",L22,Permanent,Trigger,ObjectOverwrite)</f>
        <v>HkdHibor11MLastFixing_Quote#0009</v>
      </c>
      <c r="N22" s="148" t="str">
        <f>_xll.ohRangeRetrieveError(L22)</f>
        <v/>
      </c>
      <c r="O22" s="12"/>
      <c r="Q22" s="386"/>
      <c r="R22" s="415"/>
      <c r="S22" s="423" t="s">
        <v>108</v>
      </c>
      <c r="T22" s="418" t="str">
        <f t="shared" si="1"/>
        <v>HIHKD11MD=</v>
      </c>
      <c r="U22" s="422">
        <v>41582</v>
      </c>
      <c r="V22" s="421">
        <v>0.78786</v>
      </c>
      <c r="W22" s="421" t="b">
        <f t="shared" si="2"/>
        <v>1</v>
      </c>
      <c r="X22" s="420" t="b">
        <f>IF($W22,_xll.qlIndexAddFixings($Z22,$U22,$V22/100,TRUE,ISERROR($AA22)),NA())</f>
        <v>1</v>
      </c>
      <c r="Y22" s="410"/>
      <c r="Z22" s="419" t="str">
        <f t="shared" si="7"/>
        <v>HkdHibor11M</v>
      </c>
      <c r="AA22" s="418">
        <f>_xll.qlIndexFixing($Z22,$U22,TRUE,$W22)</f>
        <v>7.8785999999999995E-3</v>
      </c>
      <c r="AB22" s="418">
        <f>IF($X22,_xll.qlIndexFixing($Z22,$U22,FALSE,$W22),"-")</f>
        <v>7.8785999999999995E-3</v>
      </c>
      <c r="AC22" s="418">
        <f t="shared" si="3"/>
        <v>0</v>
      </c>
      <c r="AD22" s="417">
        <f>_xll.qlIndexFixing($Z22,$U22,TRUE,$AB22)</f>
        <v>7.8785999999999995E-3</v>
      </c>
      <c r="AE22" s="416">
        <f t="shared" si="5"/>
        <v>0</v>
      </c>
      <c r="AF22" s="405"/>
      <c r="AG22" s="386"/>
    </row>
    <row r="23" spans="2:33" s="1" customFormat="1" ht="15" x14ac:dyDescent="0.25">
      <c r="B23" s="155"/>
      <c r="C23" s="154" t="s">
        <v>60</v>
      </c>
      <c r="D23" s="154" t="str">
        <f t="shared" si="6"/>
        <v>1Y</v>
      </c>
      <c r="E23" s="154">
        <v>0</v>
      </c>
      <c r="F23" s="154" t="s">
        <v>136</v>
      </c>
      <c r="G23" s="154" t="s">
        <v>135</v>
      </c>
      <c r="H23" s="154" t="b">
        <v>1</v>
      </c>
      <c r="I23" s="154" t="s">
        <v>134</v>
      </c>
      <c r="J23" s="153" t="str">
        <f>FamilyName&amp;"YC1Y"</f>
        <v>HiborYC1Y</v>
      </c>
      <c r="K23" s="152" t="str">
        <f t="shared" si="0"/>
        <v>HkdHibor1Y</v>
      </c>
      <c r="L23" s="134" t="str">
        <f>_xll.qlIborIndex($K23,FamilyName,$D23,E23,Currency,F23,G23,H23,I23,Currency&amp;$J23,Permanent,Trigger,ObjectOverwrite)</f>
        <v>HkdHibor1Y#0009</v>
      </c>
      <c r="M23" s="151" t="str">
        <f>_xll.qlLastFixingQuote(K23&amp;"LastFixing_Quote",L23,Permanent,Trigger,ObjectOverwrite)</f>
        <v>HkdHibor1YLastFixing_Quote#0009</v>
      </c>
      <c r="N23" s="148" t="str">
        <f>_xll.ohRangeRetrieveError(L23)</f>
        <v/>
      </c>
      <c r="O23" s="12"/>
      <c r="Q23" s="386"/>
      <c r="R23" s="415"/>
      <c r="S23" s="414" t="s">
        <v>60</v>
      </c>
      <c r="T23" s="408" t="str">
        <f t="shared" si="1"/>
        <v>HIHKD1YD=</v>
      </c>
      <c r="U23" s="413">
        <v>41582</v>
      </c>
      <c r="V23" s="412">
        <v>0.87143000000000004</v>
      </c>
      <c r="W23" s="412" t="b">
        <f t="shared" si="2"/>
        <v>1</v>
      </c>
      <c r="X23" s="411" t="b">
        <f>IF($W23,_xll.qlIndexAddFixings($Z23,$U23,$V23/100,TRUE,ISERROR($AA23)),NA())</f>
        <v>1</v>
      </c>
      <c r="Y23" s="410"/>
      <c r="Z23" s="409" t="str">
        <f t="shared" si="7"/>
        <v>HkdHibor1Y</v>
      </c>
      <c r="AA23" s="408">
        <f>_xll.qlIndexFixing($Z23,$U23,TRUE,$W23)</f>
        <v>8.7143000000000012E-3</v>
      </c>
      <c r="AB23" s="408">
        <f>IF($X23,_xll.qlIndexFixing($Z23,$U23,FALSE,$W23),"-")</f>
        <v>8.7143000000000012E-3</v>
      </c>
      <c r="AC23" s="408">
        <f t="shared" si="3"/>
        <v>0</v>
      </c>
      <c r="AD23" s="407">
        <f>_xll.qlIndexFixing($Z23,$U23,TRUE,$AB23)</f>
        <v>8.7143000000000012E-3</v>
      </c>
      <c r="AE23" s="406">
        <f t="shared" si="5"/>
        <v>0</v>
      </c>
      <c r="AF23" s="405"/>
      <c r="AG23" s="386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386"/>
      <c r="R24" s="404"/>
      <c r="S24" s="401"/>
      <c r="T24" s="401"/>
      <c r="U24" s="403"/>
      <c r="V24" s="402"/>
      <c r="W24" s="402"/>
      <c r="X24" s="401"/>
      <c r="Y24" s="401"/>
      <c r="Z24" s="401"/>
      <c r="AA24" s="401"/>
      <c r="AB24" s="401"/>
      <c r="AC24" s="401"/>
      <c r="AD24" s="401"/>
      <c r="AE24" s="401"/>
      <c r="AF24" s="400"/>
      <c r="AG24" s="386"/>
    </row>
    <row r="25" spans="2:33" s="1" customFormat="1" ht="15.75" thickBot="1" x14ac:dyDescent="0.3">
      <c r="Q25" s="386"/>
      <c r="R25" s="386"/>
      <c r="S25" s="386"/>
      <c r="T25" s="386"/>
      <c r="U25" s="399"/>
      <c r="V25" s="398"/>
      <c r="W25" s="398"/>
      <c r="X25" s="386"/>
      <c r="Y25" s="386"/>
      <c r="Z25" s="386"/>
      <c r="AA25" s="386"/>
      <c r="AB25" s="386"/>
      <c r="AC25" s="386"/>
      <c r="AD25" s="386"/>
      <c r="AE25" s="386"/>
      <c r="AF25" s="386"/>
      <c r="AG25" s="386"/>
    </row>
    <row r="26" spans="2:33" ht="15" x14ac:dyDescent="0.25">
      <c r="Q26" s="386"/>
      <c r="R26" s="386"/>
      <c r="S26" s="397" t="s">
        <v>55</v>
      </c>
      <c r="T26" s="396" t="s">
        <v>186</v>
      </c>
      <c r="U26" s="395" t="s">
        <v>185</v>
      </c>
      <c r="V26" s="394"/>
      <c r="W26" s="386"/>
      <c r="X26" s="386"/>
      <c r="Y26" s="386"/>
      <c r="Z26" s="386"/>
      <c r="AA26" s="386"/>
      <c r="AB26" s="386"/>
      <c r="AC26" s="386"/>
      <c r="AD26" s="386"/>
      <c r="AE26" s="386"/>
      <c r="AF26" s="386"/>
      <c r="AG26" s="386"/>
    </row>
    <row r="27" spans="2:33" ht="15" x14ac:dyDescent="0.25">
      <c r="Q27" s="386"/>
      <c r="R27" s="386"/>
      <c r="S27" s="392" t="s">
        <v>53</v>
      </c>
      <c r="T27" s="391" t="s">
        <v>186</v>
      </c>
      <c r="U27" s="390" t="s">
        <v>185</v>
      </c>
      <c r="V27" s="386"/>
      <c r="W27" s="386"/>
      <c r="X27" s="386"/>
      <c r="Y27" s="386"/>
      <c r="Z27" s="393"/>
      <c r="AA27" s="386"/>
      <c r="AB27" s="386"/>
      <c r="AC27" s="386"/>
      <c r="AD27" s="386"/>
      <c r="AE27" s="386"/>
      <c r="AF27" s="386"/>
      <c r="AG27" s="386"/>
    </row>
    <row r="28" spans="2:33" ht="15" x14ac:dyDescent="0.25">
      <c r="Q28" s="386"/>
      <c r="R28" s="386"/>
      <c r="S28" s="392" t="s">
        <v>4</v>
      </c>
      <c r="T28" s="260" t="s">
        <v>183</v>
      </c>
      <c r="U28" s="206" t="s">
        <v>132</v>
      </c>
      <c r="V28" s="386"/>
      <c r="W28" s="386"/>
      <c r="X28" s="386"/>
      <c r="Y28" s="386"/>
      <c r="Z28" s="393"/>
      <c r="AA28" s="386"/>
      <c r="AB28" s="386"/>
      <c r="AC28" s="386"/>
      <c r="AD28" s="386"/>
      <c r="AE28" s="386"/>
      <c r="AF28" s="386"/>
      <c r="AG28" s="386"/>
    </row>
    <row r="29" spans="2:33" ht="15" x14ac:dyDescent="0.25">
      <c r="Q29" s="386"/>
      <c r="R29" s="386"/>
      <c r="S29" s="392" t="s">
        <v>249</v>
      </c>
      <c r="T29" s="391" t="s">
        <v>186</v>
      </c>
      <c r="U29" s="390" t="s">
        <v>185</v>
      </c>
      <c r="V29" s="386"/>
      <c r="W29" s="386"/>
      <c r="X29" s="386"/>
      <c r="Y29" s="386"/>
      <c r="Z29" s="393"/>
      <c r="AA29" s="386"/>
      <c r="AB29" s="386"/>
      <c r="AC29" s="386"/>
      <c r="AD29" s="386"/>
      <c r="AE29" s="386"/>
      <c r="AF29" s="386"/>
      <c r="AG29" s="386"/>
    </row>
    <row r="30" spans="2:33" ht="15" x14ac:dyDescent="0.25">
      <c r="Q30" s="386"/>
      <c r="R30" s="386"/>
      <c r="S30" s="392" t="s">
        <v>49</v>
      </c>
      <c r="T30" s="391" t="s">
        <v>186</v>
      </c>
      <c r="U30" s="390" t="s">
        <v>185</v>
      </c>
      <c r="V30" s="386"/>
      <c r="W30" s="386"/>
      <c r="X30" s="386"/>
      <c r="Y30" s="386"/>
      <c r="Z30" s="386"/>
      <c r="AA30" s="386"/>
      <c r="AB30" s="386"/>
      <c r="AC30" s="386"/>
      <c r="AD30" s="386"/>
      <c r="AE30" s="386"/>
      <c r="AF30" s="386"/>
      <c r="AG30" s="386"/>
    </row>
    <row r="31" spans="2:33" ht="15" x14ac:dyDescent="0.25">
      <c r="Q31" s="386"/>
      <c r="R31" s="386"/>
      <c r="S31" s="392" t="s">
        <v>47</v>
      </c>
      <c r="T31" s="391" t="s">
        <v>186</v>
      </c>
      <c r="U31" s="390" t="s">
        <v>185</v>
      </c>
      <c r="V31" s="386"/>
      <c r="W31" s="386"/>
      <c r="X31" s="386"/>
      <c r="Y31" s="386"/>
      <c r="Z31" s="386"/>
      <c r="AA31" s="386"/>
      <c r="AB31" s="386"/>
      <c r="AC31" s="386"/>
      <c r="AD31" s="386"/>
      <c r="AE31" s="386"/>
      <c r="AF31" s="386"/>
      <c r="AG31" s="386"/>
    </row>
    <row r="32" spans="2:33" ht="15.75" thickBot="1" x14ac:dyDescent="0.3">
      <c r="Q32" s="386"/>
      <c r="R32" s="386"/>
      <c r="S32" s="389" t="s">
        <v>44</v>
      </c>
      <c r="T32" s="388" t="s">
        <v>186</v>
      </c>
      <c r="U32" s="387" t="s">
        <v>185</v>
      </c>
      <c r="V32" s="386"/>
      <c r="W32" s="386"/>
      <c r="X32" s="386"/>
      <c r="Y32" s="386"/>
      <c r="Z32" s="386"/>
      <c r="AA32" s="386"/>
      <c r="AB32" s="386"/>
      <c r="AC32" s="386"/>
      <c r="AD32" s="386"/>
      <c r="AE32" s="386"/>
      <c r="AF32" s="386"/>
      <c r="AG32" s="386"/>
    </row>
    <row r="33" spans="17:33" ht="15" x14ac:dyDescent="0.25">
      <c r="Q33" s="386"/>
      <c r="R33" s="386"/>
      <c r="S33" s="386"/>
      <c r="T33" s="386"/>
      <c r="U33" s="386"/>
      <c r="V33" s="386"/>
      <c r="W33" s="386"/>
      <c r="X33" s="386"/>
      <c r="Y33" s="386"/>
      <c r="Z33" s="386"/>
      <c r="AA33" s="386"/>
      <c r="AB33" s="386"/>
      <c r="AC33" s="386"/>
      <c r="AD33" s="386"/>
      <c r="AE33" s="386"/>
      <c r="AF33" s="386"/>
      <c r="AG33" s="386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38"/>
  </cols>
  <sheetData>
    <row r="2" spans="2:3" x14ac:dyDescent="0.2">
      <c r="B2" s="38" t="s">
        <v>130</v>
      </c>
    </row>
    <row r="3" spans="2:3" x14ac:dyDescent="0.2">
      <c r="B3" s="38" t="s">
        <v>104</v>
      </c>
      <c r="C3" s="385" t="s">
        <v>246</v>
      </c>
    </row>
    <row r="4" spans="2:3" x14ac:dyDescent="0.2">
      <c r="B4" s="38" t="s">
        <v>106</v>
      </c>
      <c r="C4" s="385" t="s">
        <v>247</v>
      </c>
    </row>
    <row r="5" spans="2:3" x14ac:dyDescent="0.2">
      <c r="B5" s="38" t="s">
        <v>61</v>
      </c>
      <c r="C5" s="385" t="s">
        <v>248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workbookViewId="0">
      <selection activeCell="I21" sqref="I21"/>
    </sheetView>
  </sheetViews>
  <sheetFormatPr defaultRowHeight="12.75" x14ac:dyDescent="0.2"/>
  <cols>
    <col min="1" max="1" width="3" style="384" customWidth="1"/>
    <col min="2" max="2" width="5.140625" style="384" customWidth="1"/>
    <col min="3" max="3" width="14.85546875" style="384" bestFit="1" customWidth="1"/>
    <col min="4" max="4" width="21.42578125" style="384" bestFit="1" customWidth="1"/>
    <col min="5" max="5" width="20.7109375" style="384" bestFit="1" customWidth="1"/>
    <col min="6" max="6" width="5.42578125" style="384" customWidth="1"/>
    <col min="7" max="7" width="9.140625" style="384"/>
    <col min="8" max="8" width="4.140625" style="384" customWidth="1"/>
    <col min="9" max="9" width="12.140625" style="384" bestFit="1" customWidth="1"/>
    <col min="10" max="10" width="29.42578125" style="384" bestFit="1" customWidth="1"/>
    <col min="11" max="11" width="4" style="384" customWidth="1"/>
    <col min="12" max="16384" width="9.140625" style="384"/>
  </cols>
  <sheetData>
    <row r="1" spans="1:36" s="357" customFormat="1" ht="13.5" thickBot="1" x14ac:dyDescent="0.25">
      <c r="B1" s="357" t="str">
        <f>_xll.qlxlVersion(TRUE,Trigger)</f>
        <v>QuantLibXL 1.3.0 - MS VC++ 9.0 - Multithreaded Static Runtime library - Release Configuration - Nov 12 2013 12:02:30</v>
      </c>
    </row>
    <row r="2" spans="1:36" s="357" customFormat="1" ht="15.75" x14ac:dyDescent="0.25">
      <c r="B2" s="446" t="s">
        <v>236</v>
      </c>
      <c r="C2" s="447"/>
      <c r="D2" s="447"/>
      <c r="E2" s="447"/>
      <c r="F2" s="448"/>
      <c r="H2" s="446" t="s">
        <v>13</v>
      </c>
      <c r="I2" s="447"/>
      <c r="J2" s="447"/>
      <c r="K2" s="448"/>
    </row>
    <row r="3" spans="1:36" s="38" customFormat="1" x14ac:dyDescent="0.2">
      <c r="A3" s="357"/>
      <c r="B3" s="358"/>
      <c r="C3" s="359"/>
      <c r="D3" s="359"/>
      <c r="E3" s="359"/>
      <c r="F3" s="360"/>
      <c r="G3" s="357"/>
      <c r="H3" s="8"/>
      <c r="I3" s="13"/>
      <c r="J3" s="13"/>
      <c r="K3" s="12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357"/>
      <c r="X3" s="357"/>
      <c r="Y3" s="357"/>
      <c r="Z3" s="357"/>
      <c r="AA3" s="357"/>
      <c r="AB3" s="357"/>
      <c r="AC3" s="357"/>
      <c r="AD3" s="357"/>
      <c r="AE3" s="357"/>
      <c r="AF3" s="357"/>
      <c r="AG3" s="357"/>
      <c r="AH3" s="357"/>
      <c r="AI3" s="357"/>
      <c r="AJ3" s="357"/>
    </row>
    <row r="4" spans="1:36" s="38" customFormat="1" x14ac:dyDescent="0.2">
      <c r="A4" s="357"/>
      <c r="B4" s="358"/>
      <c r="C4" s="363" t="s">
        <v>237</v>
      </c>
      <c r="D4" s="364" t="s">
        <v>238</v>
      </c>
      <c r="E4" s="361"/>
      <c r="F4" s="362"/>
      <c r="G4" s="357"/>
      <c r="H4" s="8"/>
      <c r="I4" s="7" t="s">
        <v>12</v>
      </c>
      <c r="J4" s="11"/>
      <c r="K4" s="5"/>
      <c r="L4" s="357"/>
      <c r="M4" s="357"/>
      <c r="N4" s="357"/>
      <c r="O4" s="357"/>
      <c r="P4" s="357"/>
      <c r="Q4" s="357"/>
      <c r="R4" s="357"/>
      <c r="S4" s="357"/>
      <c r="T4" s="357"/>
      <c r="U4" s="357"/>
      <c r="V4" s="357"/>
      <c r="W4" s="357"/>
      <c r="X4" s="357"/>
      <c r="Y4" s="357"/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</row>
    <row r="5" spans="1:36" s="38" customFormat="1" x14ac:dyDescent="0.2">
      <c r="A5" s="357"/>
      <c r="B5" s="358"/>
      <c r="C5" s="363" t="s">
        <v>239</v>
      </c>
      <c r="D5" s="365" t="e">
        <f>_xll.ohTrigger(Deposits!Q3,FRA!X3,Futures3M!AA4,FuturesHWConvAdj!R3,Swaps1M!Z3,Swap3M!AD3,#REF!,#REF!,BasisSwap1M3M!AD3,BasisSwap3M6M!AD3,#REF!,OIS!Z3)</f>
        <v>#NUM!</v>
      </c>
      <c r="E5" s="361"/>
      <c r="F5" s="362"/>
      <c r="G5" s="357"/>
      <c r="H5" s="8"/>
      <c r="I5" s="7" t="s">
        <v>11</v>
      </c>
      <c r="J5" s="11" t="b">
        <v>1</v>
      </c>
      <c r="K5" s="5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</row>
    <row r="6" spans="1:36" s="38" customFormat="1" x14ac:dyDescent="0.2">
      <c r="A6" s="357"/>
      <c r="B6" s="358"/>
      <c r="C6" s="366" t="s">
        <v>240</v>
      </c>
      <c r="D6" s="367" t="s">
        <v>241</v>
      </c>
      <c r="E6" s="361"/>
      <c r="F6" s="362"/>
      <c r="G6" s="357"/>
      <c r="H6" s="8"/>
      <c r="I6" s="7" t="s">
        <v>10</v>
      </c>
      <c r="J6" s="11" t="b">
        <v>0</v>
      </c>
      <c r="K6" s="5"/>
      <c r="L6" s="357"/>
      <c r="M6" s="357"/>
      <c r="N6" s="357"/>
      <c r="O6" s="357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357"/>
      <c r="AH6" s="357"/>
      <c r="AI6" s="357"/>
      <c r="AJ6" s="357"/>
    </row>
    <row r="7" spans="1:36" s="38" customFormat="1" x14ac:dyDescent="0.2">
      <c r="A7" s="357"/>
      <c r="B7" s="358"/>
      <c r="C7" s="361"/>
      <c r="D7" s="368"/>
      <c r="E7" s="361"/>
      <c r="F7" s="362"/>
      <c r="G7" s="357"/>
      <c r="H7" s="8"/>
      <c r="I7" s="7" t="s">
        <v>9</v>
      </c>
      <c r="J7" s="11" t="b">
        <v>1</v>
      </c>
      <c r="K7" s="5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</row>
    <row r="8" spans="1:36" s="38" customFormat="1" x14ac:dyDescent="0.2">
      <c r="A8" s="357"/>
      <c r="B8" s="358"/>
      <c r="C8" s="369" t="s">
        <v>176</v>
      </c>
      <c r="D8" s="370" t="s">
        <v>242</v>
      </c>
      <c r="E8" s="361"/>
      <c r="F8" s="362"/>
      <c r="G8" s="357"/>
      <c r="H8" s="8"/>
      <c r="I8" s="7" t="s">
        <v>8</v>
      </c>
      <c r="J8" s="15" t="str">
        <f ca="1">SUBSTITUTE(LEFT(CELL("filename",A1),FIND("[",CELL("filename",A1),1)-1),"\XLS\","\XML\")</f>
        <v>C:\Projects\quantlib\QuantLibXL\Data2\</v>
      </c>
      <c r="K8" s="5"/>
      <c r="L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F8" s="357"/>
      <c r="AG8" s="357"/>
      <c r="AH8" s="357"/>
      <c r="AI8" s="357"/>
      <c r="AJ8" s="357"/>
    </row>
    <row r="9" spans="1:36" s="38" customFormat="1" x14ac:dyDescent="0.2">
      <c r="A9" s="357"/>
      <c r="B9" s="358"/>
      <c r="C9" s="371" t="s">
        <v>189</v>
      </c>
      <c r="D9" s="372" t="str">
        <f>""</f>
        <v/>
      </c>
      <c r="E9" s="361"/>
      <c r="F9" s="362"/>
      <c r="G9" s="357"/>
      <c r="H9" s="8"/>
      <c r="I9" s="7" t="s">
        <v>7</v>
      </c>
      <c r="J9" s="10" t="b">
        <v>1</v>
      </c>
      <c r="K9" s="5"/>
      <c r="L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F9" s="357"/>
      <c r="AG9" s="357"/>
      <c r="AH9" s="357"/>
      <c r="AI9" s="357"/>
      <c r="AJ9" s="357"/>
    </row>
    <row r="10" spans="1:36" s="38" customFormat="1" ht="13.5" thickBot="1" x14ac:dyDescent="0.25">
      <c r="A10" s="357"/>
      <c r="B10" s="358"/>
      <c r="C10" s="371" t="s">
        <v>190</v>
      </c>
      <c r="D10" s="372" t="s">
        <v>191</v>
      </c>
      <c r="E10" s="373"/>
      <c r="F10" s="362"/>
      <c r="G10" s="357"/>
      <c r="H10" s="4"/>
      <c r="I10" s="3"/>
      <c r="J10" s="3"/>
      <c r="K10" s="2"/>
      <c r="L10" s="357"/>
      <c r="M10" s="357"/>
      <c r="N10" s="357"/>
      <c r="O10" s="357"/>
      <c r="P10" s="357"/>
      <c r="Q10" s="357"/>
      <c r="R10" s="357"/>
      <c r="S10" s="357"/>
      <c r="T10" s="357"/>
      <c r="U10" s="357"/>
      <c r="V10" s="357"/>
      <c r="W10" s="357"/>
      <c r="X10" s="357"/>
      <c r="Y10" s="357"/>
      <c r="Z10" s="357"/>
      <c r="AA10" s="357"/>
      <c r="AB10" s="357"/>
      <c r="AC10" s="357"/>
      <c r="AD10" s="357"/>
      <c r="AE10" s="357"/>
      <c r="AF10" s="357"/>
      <c r="AG10" s="357"/>
      <c r="AH10" s="357"/>
      <c r="AI10" s="357"/>
      <c r="AJ10" s="357"/>
    </row>
    <row r="11" spans="1:36" s="38" customFormat="1" ht="13.5" thickBot="1" x14ac:dyDescent="0.25">
      <c r="A11" s="357"/>
      <c r="B11" s="358"/>
      <c r="C11" s="371" t="s">
        <v>192</v>
      </c>
      <c r="D11" s="372" t="s">
        <v>192</v>
      </c>
      <c r="E11" s="373"/>
      <c r="F11" s="362"/>
      <c r="G11" s="357"/>
      <c r="H11" s="357"/>
      <c r="I11" s="357"/>
      <c r="J11" s="357"/>
      <c r="K11" s="357"/>
      <c r="L11" s="357"/>
      <c r="M11" s="357"/>
      <c r="N11" s="357"/>
      <c r="O11" s="357"/>
      <c r="P11" s="357"/>
      <c r="Q11" s="357"/>
      <c r="R11" s="357"/>
      <c r="S11" s="357"/>
      <c r="T11" s="357"/>
      <c r="U11" s="357"/>
      <c r="V11" s="357"/>
      <c r="W11" s="357"/>
      <c r="X11" s="357"/>
      <c r="Y11" s="357"/>
      <c r="Z11" s="357"/>
      <c r="AA11" s="357"/>
      <c r="AB11" s="357"/>
      <c r="AC11" s="357"/>
      <c r="AD11" s="357"/>
      <c r="AE11" s="357"/>
      <c r="AF11" s="357"/>
      <c r="AG11" s="357"/>
      <c r="AH11" s="357"/>
      <c r="AI11" s="357"/>
      <c r="AJ11" s="357"/>
    </row>
    <row r="12" spans="1:36" s="38" customFormat="1" ht="15.75" x14ac:dyDescent="0.25">
      <c r="A12" s="357"/>
      <c r="B12" s="358"/>
      <c r="C12" s="371" t="s">
        <v>235</v>
      </c>
      <c r="D12" s="372" t="s">
        <v>235</v>
      </c>
      <c r="E12" s="373"/>
      <c r="F12" s="362"/>
      <c r="G12" s="357"/>
      <c r="H12" s="446" t="s">
        <v>6</v>
      </c>
      <c r="I12" s="447"/>
      <c r="J12" s="447"/>
      <c r="K12" s="448"/>
      <c r="L12" s="357"/>
      <c r="M12" s="357"/>
      <c r="N12" s="357"/>
      <c r="O12" s="357"/>
      <c r="P12" s="357"/>
      <c r="Q12" s="357"/>
      <c r="R12" s="357"/>
      <c r="S12" s="357"/>
      <c r="T12" s="357"/>
      <c r="U12" s="357"/>
      <c r="V12" s="357"/>
      <c r="W12" s="357"/>
      <c r="X12" s="357"/>
      <c r="Y12" s="357"/>
      <c r="Z12" s="357"/>
      <c r="AA12" s="357"/>
      <c r="AB12" s="357"/>
      <c r="AC12" s="357"/>
      <c r="AD12" s="357"/>
      <c r="AE12" s="357"/>
      <c r="AF12" s="357"/>
      <c r="AG12" s="357"/>
      <c r="AH12" s="357"/>
      <c r="AI12" s="357"/>
      <c r="AJ12" s="357"/>
    </row>
    <row r="13" spans="1:36" s="38" customFormat="1" x14ac:dyDescent="0.2">
      <c r="A13" s="357"/>
      <c r="B13" s="358"/>
      <c r="C13" s="371" t="s">
        <v>193</v>
      </c>
      <c r="D13" s="372" t="s">
        <v>194</v>
      </c>
      <c r="E13" s="373"/>
      <c r="F13" s="362"/>
      <c r="G13" s="357"/>
      <c r="H13" s="8"/>
      <c r="I13" s="13"/>
      <c r="J13" s="13"/>
      <c r="K13" s="12"/>
      <c r="L13" s="357"/>
      <c r="M13" s="357"/>
      <c r="N13" s="357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B13" s="357"/>
      <c r="AC13" s="357"/>
      <c r="AD13" s="357"/>
      <c r="AE13" s="357"/>
      <c r="AF13" s="357"/>
      <c r="AG13" s="357"/>
      <c r="AH13" s="357"/>
      <c r="AI13" s="357"/>
      <c r="AJ13" s="357"/>
    </row>
    <row r="14" spans="1:36" s="38" customFormat="1" x14ac:dyDescent="0.2">
      <c r="A14" s="357"/>
      <c r="B14" s="358"/>
      <c r="C14" s="371" t="s">
        <v>195</v>
      </c>
      <c r="D14" s="372" t="s">
        <v>196</v>
      </c>
      <c r="E14" s="373"/>
      <c r="F14" s="362"/>
      <c r="G14" s="357"/>
      <c r="H14" s="8"/>
      <c r="I14" s="7" t="s">
        <v>5</v>
      </c>
      <c r="J14" s="11" t="s">
        <v>4</v>
      </c>
      <c r="K14" s="5"/>
      <c r="L14" s="357"/>
      <c r="M14" s="357"/>
      <c r="N14" s="357"/>
      <c r="O14" s="357"/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</row>
    <row r="15" spans="1:36" s="38" customFormat="1" x14ac:dyDescent="0.2">
      <c r="A15" s="357"/>
      <c r="B15" s="358"/>
      <c r="C15" s="371" t="s">
        <v>197</v>
      </c>
      <c r="D15" s="372" t="s">
        <v>243</v>
      </c>
      <c r="E15" s="373"/>
      <c r="F15" s="362"/>
      <c r="G15" s="357"/>
      <c r="H15" s="8"/>
      <c r="I15" s="7" t="s">
        <v>3</v>
      </c>
      <c r="J15" s="10" t="s">
        <v>2</v>
      </c>
      <c r="K15" s="5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357"/>
      <c r="AF15" s="357"/>
      <c r="AG15" s="357"/>
      <c r="AH15" s="357"/>
      <c r="AI15" s="357"/>
      <c r="AJ15" s="357"/>
    </row>
    <row r="16" spans="1:36" s="38" customFormat="1" x14ac:dyDescent="0.2">
      <c r="A16" s="357"/>
      <c r="B16" s="358"/>
      <c r="C16" s="374" t="s">
        <v>199</v>
      </c>
      <c r="D16" s="375" t="s">
        <v>200</v>
      </c>
      <c r="E16" s="373"/>
      <c r="F16" s="362"/>
      <c r="G16" s="357"/>
      <c r="H16" s="8"/>
      <c r="I16" s="7" t="s">
        <v>1</v>
      </c>
      <c r="J16" s="9">
        <v>1E-4</v>
      </c>
      <c r="K16" s="5"/>
      <c r="L16" s="357"/>
      <c r="M16" s="357"/>
      <c r="N16" s="357"/>
      <c r="O16" s="357"/>
      <c r="P16" s="357"/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A16" s="357"/>
      <c r="AB16" s="357"/>
      <c r="AC16" s="357"/>
      <c r="AD16" s="357"/>
      <c r="AE16" s="357"/>
      <c r="AF16" s="357"/>
      <c r="AG16" s="357"/>
      <c r="AH16" s="357"/>
      <c r="AI16" s="357"/>
      <c r="AJ16" s="357"/>
    </row>
    <row r="17" spans="1:36" s="38" customFormat="1" x14ac:dyDescent="0.2">
      <c r="A17" s="357"/>
      <c r="B17" s="358"/>
      <c r="C17" s="376"/>
      <c r="D17" s="376"/>
      <c r="E17" s="376"/>
      <c r="F17" s="362"/>
      <c r="G17" s="357"/>
      <c r="H17" s="8"/>
      <c r="I17" s="7" t="s">
        <v>0</v>
      </c>
      <c r="J17" s="6">
        <v>-0.01</v>
      </c>
      <c r="K17" s="5"/>
      <c r="L17" s="357"/>
      <c r="M17" s="357"/>
      <c r="N17" s="357"/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B17" s="357"/>
      <c r="AC17" s="357"/>
      <c r="AD17" s="357"/>
      <c r="AE17" s="357"/>
      <c r="AF17" s="357"/>
      <c r="AG17" s="357"/>
      <c r="AH17" s="357"/>
      <c r="AI17" s="357"/>
      <c r="AJ17" s="357"/>
    </row>
    <row r="18" spans="1:36" s="38" customFormat="1" ht="13.5" thickBot="1" x14ac:dyDescent="0.25">
      <c r="A18" s="357"/>
      <c r="B18" s="358"/>
      <c r="C18" s="376"/>
      <c r="D18" s="376"/>
      <c r="E18" s="376"/>
      <c r="F18" s="362"/>
      <c r="G18" s="357"/>
      <c r="H18" s="4"/>
      <c r="I18" s="3"/>
      <c r="J18" s="3"/>
      <c r="K18" s="2"/>
      <c r="L18" s="357"/>
      <c r="M18" s="357"/>
      <c r="N18" s="357"/>
      <c r="O18" s="357"/>
      <c r="P18" s="357"/>
      <c r="Q18" s="357"/>
      <c r="R18" s="357"/>
      <c r="S18" s="357"/>
      <c r="T18" s="357"/>
      <c r="U18" s="357"/>
      <c r="V18" s="357"/>
      <c r="W18" s="357"/>
      <c r="X18" s="357"/>
      <c r="Y18" s="357"/>
      <c r="Z18" s="357"/>
      <c r="AA18" s="357"/>
      <c r="AB18" s="357"/>
      <c r="AC18" s="357"/>
      <c r="AD18" s="357"/>
      <c r="AE18" s="357"/>
      <c r="AF18" s="357"/>
      <c r="AG18" s="357"/>
      <c r="AH18" s="357"/>
      <c r="AI18" s="357"/>
      <c r="AJ18" s="357"/>
    </row>
    <row r="19" spans="1:36" s="38" customFormat="1" x14ac:dyDescent="0.2">
      <c r="A19" s="357"/>
      <c r="B19" s="358"/>
      <c r="C19" s="376"/>
      <c r="D19" s="377" t="s">
        <v>244</v>
      </c>
      <c r="E19" s="378">
        <v>41597.660462962966</v>
      </c>
      <c r="F19" s="65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/>
      <c r="AB19" s="357"/>
      <c r="AC19" s="357"/>
      <c r="AD19" s="357"/>
      <c r="AE19" s="357"/>
      <c r="AF19" s="357"/>
      <c r="AG19" s="357"/>
      <c r="AH19" s="357"/>
      <c r="AI19" s="357"/>
      <c r="AJ19" s="357"/>
    </row>
    <row r="20" spans="1:36" s="38" customFormat="1" x14ac:dyDescent="0.2">
      <c r="A20" s="357"/>
      <c r="B20" s="358"/>
      <c r="C20" s="376"/>
      <c r="D20" s="379"/>
      <c r="E20" s="380"/>
      <c r="F20" s="362"/>
      <c r="G20" s="357"/>
      <c r="H20" s="357"/>
      <c r="I20" s="357"/>
      <c r="J20" s="357"/>
      <c r="K20" s="357"/>
      <c r="L20" s="357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357"/>
      <c r="AE20" s="357"/>
      <c r="AF20" s="357"/>
      <c r="AG20" s="357"/>
      <c r="AH20" s="357"/>
      <c r="AI20" s="357"/>
      <c r="AJ20" s="357"/>
    </row>
    <row r="21" spans="1:36" s="38" customFormat="1" x14ac:dyDescent="0.2">
      <c r="A21" s="357"/>
      <c r="B21" s="358"/>
      <c r="C21" s="376"/>
      <c r="D21" s="377"/>
      <c r="E21" s="380"/>
      <c r="F21" s="65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</row>
    <row r="22" spans="1:36" s="38" customFormat="1" x14ac:dyDescent="0.2">
      <c r="A22" s="357"/>
      <c r="B22" s="358"/>
      <c r="C22" s="376"/>
      <c r="D22" s="377" t="s">
        <v>245</v>
      </c>
      <c r="E22" s="381" t="b">
        <v>1</v>
      </c>
      <c r="F22" s="65"/>
      <c r="G22" s="357"/>
      <c r="H22" s="357"/>
      <c r="I22" s="357"/>
      <c r="J22" s="357"/>
      <c r="K22" s="357"/>
      <c r="L22" s="357"/>
      <c r="M22" s="357"/>
      <c r="N22" s="357"/>
      <c r="O22" s="357"/>
      <c r="P22" s="357"/>
      <c r="Q22" s="357"/>
      <c r="R22" s="357"/>
      <c r="S22" s="357"/>
      <c r="T22" s="357"/>
      <c r="U22" s="357"/>
      <c r="V22" s="357"/>
      <c r="W22" s="357"/>
      <c r="X22" s="357"/>
      <c r="Y22" s="357"/>
      <c r="Z22" s="357"/>
      <c r="AA22" s="357"/>
      <c r="AB22" s="357"/>
      <c r="AC22" s="357"/>
      <c r="AD22" s="357"/>
      <c r="AE22" s="357"/>
      <c r="AF22" s="357"/>
      <c r="AG22" s="357"/>
      <c r="AH22" s="357"/>
      <c r="AI22" s="357"/>
      <c r="AJ22" s="357"/>
    </row>
    <row r="23" spans="1:36" s="38" customFormat="1" ht="13.5" thickBot="1" x14ac:dyDescent="0.25">
      <c r="A23" s="357"/>
      <c r="B23" s="382"/>
      <c r="C23" s="63"/>
      <c r="D23" s="63"/>
      <c r="E23" s="63"/>
      <c r="F23" s="61"/>
      <c r="G23" s="357"/>
      <c r="H23" s="357"/>
      <c r="I23" s="357"/>
      <c r="J23" s="357"/>
      <c r="K23" s="357"/>
      <c r="L23" s="357"/>
      <c r="M23" s="357"/>
      <c r="N23" s="357"/>
      <c r="O23" s="357"/>
      <c r="P23" s="357"/>
      <c r="Q23" s="357"/>
      <c r="R23" s="357"/>
      <c r="S23" s="357"/>
      <c r="T23" s="357"/>
      <c r="U23" s="357"/>
      <c r="V23" s="357"/>
      <c r="W23" s="357"/>
      <c r="X23" s="357"/>
      <c r="Y23" s="357"/>
      <c r="Z23" s="357"/>
      <c r="AA23" s="357"/>
      <c r="AB23" s="357"/>
      <c r="AC23" s="357"/>
      <c r="AD23" s="357"/>
      <c r="AE23" s="357"/>
      <c r="AF23" s="357"/>
      <c r="AG23" s="357"/>
      <c r="AH23" s="357"/>
      <c r="AI23" s="357"/>
      <c r="AJ23" s="357"/>
    </row>
    <row r="24" spans="1:36" s="38" customFormat="1" x14ac:dyDescent="0.2">
      <c r="A24" s="357"/>
      <c r="B24" s="357"/>
      <c r="C24" s="383"/>
      <c r="D24" s="383"/>
      <c r="E24" s="383"/>
      <c r="F24" s="383"/>
      <c r="G24" s="357"/>
      <c r="H24" s="357"/>
      <c r="I24" s="357"/>
      <c r="J24" s="357"/>
      <c r="K24" s="357"/>
      <c r="L24" s="357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357"/>
      <c r="AE24" s="357"/>
      <c r="AF24" s="357"/>
      <c r="AG24" s="357"/>
      <c r="AH24" s="357"/>
      <c r="AI24" s="357"/>
      <c r="AJ24" s="357"/>
    </row>
    <row r="25" spans="1:36" s="38" customFormat="1" ht="11.25" customHeight="1" x14ac:dyDescent="0.2">
      <c r="A25" s="357"/>
      <c r="B25" s="357"/>
      <c r="C25" s="383"/>
      <c r="D25" s="383"/>
      <c r="E25" s="383"/>
      <c r="F25" s="383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B25" s="357"/>
      <c r="AC25" s="357"/>
      <c r="AD25" s="357"/>
      <c r="AE25" s="357"/>
      <c r="AF25" s="357"/>
      <c r="AG25" s="357"/>
      <c r="AH25" s="357"/>
      <c r="AI25" s="357"/>
      <c r="AJ25" s="357"/>
    </row>
    <row r="26" spans="1:36" s="357" customFormat="1" x14ac:dyDescent="0.2">
      <c r="C26" s="383"/>
      <c r="D26" s="383"/>
      <c r="E26" s="383"/>
      <c r="F26" s="383"/>
    </row>
    <row r="27" spans="1:36" s="357" customFormat="1" x14ac:dyDescent="0.2">
      <c r="C27" s="383"/>
      <c r="D27" s="383"/>
      <c r="E27" s="383"/>
      <c r="F27" s="383"/>
    </row>
    <row r="28" spans="1:36" s="357" customFormat="1" x14ac:dyDescent="0.2">
      <c r="C28" s="383"/>
      <c r="D28" s="383"/>
      <c r="E28" s="383"/>
      <c r="F28" s="383"/>
    </row>
    <row r="29" spans="1:36" s="357" customFormat="1" x14ac:dyDescent="0.2">
      <c r="C29" s="383"/>
      <c r="D29" s="383"/>
      <c r="E29" s="383"/>
      <c r="F29" s="383"/>
    </row>
    <row r="30" spans="1:36" s="357" customFormat="1" x14ac:dyDescent="0.2"/>
    <row r="31" spans="1:36" s="357" customFormat="1" x14ac:dyDescent="0.2"/>
    <row r="32" spans="1:36" s="357" customFormat="1" x14ac:dyDescent="0.2"/>
    <row r="33" s="357" customFormat="1" x14ac:dyDescent="0.2"/>
    <row r="34" s="357" customFormat="1" x14ac:dyDescent="0.2"/>
    <row r="35" s="357" customFormat="1" x14ac:dyDescent="0.2"/>
    <row r="36" s="357" customFormat="1" x14ac:dyDescent="0.2"/>
    <row r="37" s="357" customFormat="1" x14ac:dyDescent="0.2"/>
    <row r="38" s="357" customFormat="1" x14ac:dyDescent="0.2"/>
    <row r="39" s="357" customFormat="1" x14ac:dyDescent="0.2"/>
    <row r="40" s="357" customFormat="1" x14ac:dyDescent="0.2"/>
    <row r="41" s="357" customFormat="1" x14ac:dyDescent="0.2"/>
    <row r="42" s="357" customFormat="1" x14ac:dyDescent="0.2"/>
    <row r="43" s="357" customFormat="1" x14ac:dyDescent="0.2"/>
    <row r="44" s="357" customFormat="1" x14ac:dyDescent="0.2"/>
    <row r="45" s="357" customFormat="1" x14ac:dyDescent="0.2"/>
    <row r="46" s="357" customFormat="1" x14ac:dyDescent="0.2"/>
    <row r="47" s="357" customFormat="1" x14ac:dyDescent="0.2"/>
    <row r="48" s="357" customFormat="1" x14ac:dyDescent="0.2"/>
    <row r="49" spans="2:6" s="357" customFormat="1" x14ac:dyDescent="0.2"/>
    <row r="50" spans="2:6" s="357" customFormat="1" x14ac:dyDescent="0.2"/>
    <row r="51" spans="2:6" s="357" customFormat="1" x14ac:dyDescent="0.2"/>
    <row r="52" spans="2:6" s="357" customFormat="1" x14ac:dyDescent="0.2"/>
    <row r="53" spans="2:6" s="357" customFormat="1" x14ac:dyDescent="0.2"/>
    <row r="54" spans="2:6" s="357" customFormat="1" x14ac:dyDescent="0.2"/>
    <row r="55" spans="2:6" s="357" customFormat="1" x14ac:dyDescent="0.2"/>
    <row r="56" spans="2:6" s="357" customFormat="1" x14ac:dyDescent="0.2">
      <c r="B56" s="384"/>
      <c r="C56" s="384"/>
      <c r="D56" s="384"/>
      <c r="E56" s="384"/>
      <c r="F56" s="384"/>
    </row>
    <row r="57" spans="2:6" s="357" customFormat="1" x14ac:dyDescent="0.2">
      <c r="B57" s="384"/>
      <c r="C57" s="384"/>
      <c r="D57" s="384"/>
      <c r="E57" s="384"/>
      <c r="F57" s="384"/>
    </row>
  </sheetData>
  <mergeCells count="3">
    <mergeCell ref="B2:F2"/>
    <mergeCell ref="H2:K2"/>
    <mergeCell ref="H12:K1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333375</xdr:colOff>
                <xdr:row>17</xdr:row>
                <xdr:rowOff>57150</xdr:rowOff>
              </from>
              <to>
                <xdr:col>3</xdr:col>
                <xdr:colOff>381000</xdr:colOff>
                <xdr:row>19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76</vt:i4>
      </vt:variant>
    </vt:vector>
  </HeadingPairs>
  <TitlesOfParts>
    <vt:vector size="89" baseType="lpstr">
      <vt:lpstr>BasisSwap1M3M</vt:lpstr>
      <vt:lpstr>BasisSwap3M6M</vt:lpstr>
      <vt:lpstr>Deposits</vt:lpstr>
      <vt:lpstr>FRA</vt:lpstr>
      <vt:lpstr>Futures3M</vt:lpstr>
      <vt:lpstr>FuturesHWConvAdj</vt:lpstr>
      <vt:lpstr>OIS</vt:lpstr>
      <vt:lpstr>Swaps1M</vt:lpstr>
      <vt:lpstr>Swap3M</vt:lpstr>
      <vt:lpstr>HKD</vt:lpstr>
      <vt:lpstr>Hibor</vt:lpstr>
      <vt:lpstr>SpecialTriggers</vt:lpstr>
      <vt:lpstr>HKD_InterestRateQuotesFeed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SpecialTriggers!InterpolationType</vt:lpstr>
      <vt:lpstr>InterpolationType</vt:lpstr>
      <vt:lpstr>LastUpdate</vt:lpstr>
      <vt:lpstr>Futures3M!LiffeCodes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QuoteSuffix</vt:lpstr>
      <vt:lpstr>RateTickValue</vt:lpstr>
      <vt:lpstr>SpecialTriggers!ReutersRtMode</vt:lpstr>
      <vt:lpstr>ReutersRtMode</vt:lpstr>
      <vt:lpstr>SerializationPath</vt:lpstr>
      <vt:lpstr>Serialize</vt:lpstr>
      <vt:lpstr>Swap3M4Y</vt:lpstr>
      <vt:lpstr>SwapMainSetConventions</vt:lpstr>
      <vt:lpstr>Hibor!Traits</vt:lpstr>
      <vt:lpstr>Trigger</vt:lpstr>
      <vt:lpstr>TriggerCounter</vt:lpstr>
      <vt:lpstr>TriggerTOY1M</vt:lpstr>
      <vt:lpstr>TriggerTOY3M</vt:lpstr>
      <vt:lpstr>TriggerTOY6M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2013-11-19T16:44:10Z</dcterms:modified>
</cp:coreProperties>
</file>
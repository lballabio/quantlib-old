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25740" windowHeight="8340" tabRatio="777" firstSheet="3" activeTab="17"/>
  </bookViews>
  <sheets>
    <sheet name="BasisSwap1M3M" sheetId="5" r:id="rId1"/>
    <sheet name="BasisSwap3M6M" sheetId="6" r:id="rId2"/>
    <sheet name="HKD_010_BasisSwapQuotes" sheetId="4" r:id="rId3"/>
    <sheet name="Deposits" sheetId="9" r:id="rId4"/>
    <sheet name="FRA" sheetId="10" r:id="rId5"/>
    <sheet name="Futures3M" sheetId="12" r:id="rId6"/>
    <sheet name="FuturesHWConvAdj" sheetId="14" r:id="rId7"/>
    <sheet name="HKD_010_DepoFRAFuturesQuotes" sheetId="8" r:id="rId8"/>
    <sheet name="OIS" sheetId="16" r:id="rId9"/>
    <sheet name="Swaps1M" sheetId="17" r:id="rId10"/>
    <sheet name="Swap3M" sheetId="19" r:id="rId11"/>
    <sheet name="HKD_010_SwapQuotes" sheetId="15" r:id="rId12"/>
    <sheet name="HKD" sheetId="39" r:id="rId13"/>
    <sheet name="RelinkableHandles" sheetId="38" r:id="rId14"/>
    <sheet name="Hibor" sheetId="36" r:id="rId15"/>
    <sheet name="HkdLibor" sheetId="35" r:id="rId16"/>
    <sheet name="SpecialTriggers" sheetId="41" r:id="rId17"/>
    <sheet name="HKD_InterestRateQuotesFeed" sheetId="40" r:id="rId18"/>
  </sheets>
  <functionGroups builtInGroupCount="17"/>
  <definedNames>
    <definedName name="Contributor" localSheetId="0">BasisSwap1M3M!$S$2</definedName>
    <definedName name="Contributor" localSheetId="1">BasisSwap3M6M!$S$2</definedName>
    <definedName name="Contributor" localSheetId="4">FRA!$M$2</definedName>
    <definedName name="Contributor" localSheetId="6">FuturesHWConvAdj!$H$2</definedName>
    <definedName name="Contributor" localSheetId="8">OIS!$O$2</definedName>
    <definedName name="Contributor" localSheetId="10">Swap3M!$S$2</definedName>
    <definedName name="Contributor" localSheetId="9">Swaps1M!$O$2</definedName>
    <definedName name="Contributors" localSheetId="3">Deposits!$T$3:$T$12</definedName>
    <definedName name="Contributors" localSheetId="16">HKD_InterestRateQuotesFeed!$C$11:$C$18</definedName>
    <definedName name="Contributors">HKD_InterestRateQuotesFeed!$C$11:$C$18</definedName>
    <definedName name="ContributorTable" localSheetId="16">HKD_InterestRateQuotesFeed!$C$11:$D$18</definedName>
    <definedName name="ContributorTable">HKD_InterestRateQuotesFeed!$C$11:$D$18</definedName>
    <definedName name="Conventions" localSheetId="0">BasisSwap1M3M!$AG$5:$AI$9</definedName>
    <definedName name="Conventions" localSheetId="1">BasisSwap3M6M!$AG$5:$AI$9</definedName>
    <definedName name="Conventions" localSheetId="10">Swap3M!$AG$5:$AI$10</definedName>
    <definedName name="Currency" localSheetId="3">HKD_010_DepoFRAFuturesQuotes!$D$14</definedName>
    <definedName name="Currency" localSheetId="4">HKD_010_DepoFRAFuturesQuotes!$D$14</definedName>
    <definedName name="Currency" localSheetId="5">HKD_010_DepoFRAFuturesQuotes!$D$14</definedName>
    <definedName name="Currency" localSheetId="6">HKD_010_DepoFRAFuturesQuotes!$D$14</definedName>
    <definedName name="Currency" localSheetId="14">HkdLibor!$D$5</definedName>
    <definedName name="Currency" localSheetId="12">HKD!$E$3</definedName>
    <definedName name="Currency" localSheetId="7">HKD_010_DepoFRAFuturesQuotes!$D$14</definedName>
    <definedName name="Currency" localSheetId="11">HKD_010_SwapQuotes!$D$14</definedName>
    <definedName name="Currency" localSheetId="17">HKD_InterestRateQuotesFeed!$D$4</definedName>
    <definedName name="Currency" localSheetId="15">HkdLibor!$D$5</definedName>
    <definedName name="Currency" localSheetId="8">HKD_010_SwapQuotes!$D$14</definedName>
    <definedName name="Currency" localSheetId="16">HKD_InterestRateQuotesFeed!$D$4</definedName>
    <definedName name="Currency" localSheetId="10">HKD_010_SwapQuotes!$D$14</definedName>
    <definedName name="Currency" localSheetId="9">HKD_010_SwapQuotes!$D$14</definedName>
    <definedName name="Currency">HKD_010_BasisSwapQuotes!$D$14</definedName>
    <definedName name="FamilyName" localSheetId="14">Hibor!$L$3</definedName>
    <definedName name="FamilyName">#REF!</definedName>
    <definedName name="FileName" localSheetId="14">Hibor!$K$5</definedName>
    <definedName name="FileOverwrite" localSheetId="3">HKD_010_DepoFRAFuturesQuotes!$D$9</definedName>
    <definedName name="FileOverwrite" localSheetId="4">HKD_010_DepoFRAFuturesQuotes!$D$9</definedName>
    <definedName name="FileOverwrite" localSheetId="5">HKD_010_DepoFRAFuturesQuotes!$D$9</definedName>
    <definedName name="FileOverwrite" localSheetId="6">HKD_010_DepoFRAFuturesQuotes!$D$9</definedName>
    <definedName name="FileOverwrite" localSheetId="14">HkdLibor!$D$10</definedName>
    <definedName name="FileOverwrite" localSheetId="12">RelinkableHandles!$D$9</definedName>
    <definedName name="FileOverwrite" localSheetId="7">HKD_010_DepoFRAFuturesQuotes!$D$9</definedName>
    <definedName name="FileOverwrite" localSheetId="11">HKD_010_SwapQuotes!$D$9</definedName>
    <definedName name="FileOverwrite" localSheetId="15">HkdLibor!$D$10</definedName>
    <definedName name="FileOverwrite" localSheetId="8">HKD_010_SwapQuotes!$D$9</definedName>
    <definedName name="FileOverwrite" localSheetId="13">RelinkableHandles!$D$9</definedName>
    <definedName name="FileOverwrite" localSheetId="10">HKD_010_SwapQuotes!$D$9</definedName>
    <definedName name="FileOverwrite" localSheetId="9">HKD_010_SwapQuotes!$D$9</definedName>
    <definedName name="FileOverwrite">HKD_010_BasisSwapQuotes!$D$9</definedName>
    <definedName name="FixingType">#REF!</definedName>
    <definedName name="FuturesCodes" localSheetId="5">Futures3M!$M$6:$M$47</definedName>
    <definedName name="FuturesDates" localSheetId="5">Futures3M!$N$6:$N$47</definedName>
    <definedName name="GENERAL_SETTINGS">HKD_InterestRateQuotesFeed!$B$2</definedName>
    <definedName name="Instruments" localSheetId="0">BasisSwap1M3M!$R$5:$R$42</definedName>
    <definedName name="Instruments" localSheetId="1">BasisSwap3M6M!$R$5:$R$42</definedName>
    <definedName name="Instruments" localSheetId="4">FRA!$L$5:$L$36</definedName>
    <definedName name="Instruments" localSheetId="10">Swap3M!$R$5:$R$42</definedName>
    <definedName name="Instruments" localSheetId="9">Swaps1M!$N$5:$N$15</definedName>
    <definedName name="InterpolationType" localSheetId="16">HKD_InterestRateQuotesFeed!$D$8</definedName>
    <definedName name="InterpolationType">HKD_InterestRateQuotesFeed!$D$8</definedName>
    <definedName name="LastUpdate">HKD_InterestRateQuotesFeed!$E$21</definedName>
    <definedName name="LiffeCodes" localSheetId="5">Futures3M!$AD$6:$AE$11</definedName>
    <definedName name="LiveDataFeed">HKD_InterestRateQuotesFeed!$E$24</definedName>
    <definedName name="MainTenor">HKD_010_BasisSwapQuotes!#REF!</definedName>
    <definedName name="MarketTickCounter">HKD_InterestRateQuotesFeed!#REF!</definedName>
    <definedName name="ObjectOverwrite" localSheetId="3">HKD_010_DepoFRAFuturesQuotes!$D$6</definedName>
    <definedName name="ObjectOverwrite" localSheetId="4">HKD_010_DepoFRAFuturesQuotes!$D$6</definedName>
    <definedName name="ObjectOverwrite" localSheetId="5">HKD_010_DepoFRAFuturesQuotes!$D$6</definedName>
    <definedName name="ObjectOverwrite" localSheetId="6">HKD_010_DepoFRAFuturesQuotes!$D$6</definedName>
    <definedName name="ObjectOverwrite" localSheetId="14">HkdLibor!$D$7</definedName>
    <definedName name="ObjectOverwrite" localSheetId="12">RelinkableHandles!$D$6</definedName>
    <definedName name="ObjectOverwrite" localSheetId="7">HKD_010_DepoFRAFuturesQuotes!$D$6</definedName>
    <definedName name="ObjectOverwrite" localSheetId="11">HKD_010_SwapQuotes!$D$6</definedName>
    <definedName name="ObjectOverwrite" localSheetId="15">HkdLibor!$D$7</definedName>
    <definedName name="ObjectOverwrite" localSheetId="8">HKD_010_SwapQuotes!$D$6</definedName>
    <definedName name="ObjectOverwrite" localSheetId="13">RelinkableHandles!$D$6</definedName>
    <definedName name="ObjectOverwrite" localSheetId="10">HKD_010_SwapQuotes!$D$6</definedName>
    <definedName name="ObjectOverwrite" localSheetId="9">HKD_010_SwapQuotes!$D$6</definedName>
    <definedName name="ObjectOverwrite">HKD_010_BasisSwapQuotes!$D$6</definedName>
    <definedName name="Permanent" localSheetId="3">HKD_010_DepoFRAFuturesQuotes!$D$5</definedName>
    <definedName name="Permanent" localSheetId="4">HKD_010_DepoFRAFuturesQuotes!$D$5</definedName>
    <definedName name="Permanent" localSheetId="5">HKD_010_DepoFRAFuturesQuotes!$D$5</definedName>
    <definedName name="Permanent" localSheetId="6">HKD_010_DepoFRAFuturesQuotes!$D$5</definedName>
    <definedName name="Permanent" localSheetId="14">HkdLibor!$D$6</definedName>
    <definedName name="Permanent" localSheetId="12">RelinkableHandles!$D$5</definedName>
    <definedName name="Permanent" localSheetId="7">HKD_010_DepoFRAFuturesQuotes!$D$5</definedName>
    <definedName name="Permanent" localSheetId="11">HKD_010_SwapQuotes!$D$5</definedName>
    <definedName name="Permanent" localSheetId="15">HkdLibor!$D$6</definedName>
    <definedName name="Permanent" localSheetId="8">HKD_010_SwapQuotes!$D$5</definedName>
    <definedName name="Permanent" localSheetId="13">RelinkableHandles!$D$5</definedName>
    <definedName name="Permanent" localSheetId="10">HKD_010_SwapQuotes!$D$5</definedName>
    <definedName name="Permanent" localSheetId="9">HKD_010_SwapQuotes!$D$5</definedName>
    <definedName name="Permanent">HKD_010_BasisSwapQuotes!$D$5</definedName>
    <definedName name="PriceTickValue" localSheetId="3">HKD_010_DepoFRAFuturesQuotes!$D$17</definedName>
    <definedName name="PriceTickValue" localSheetId="4">HKD_010_DepoFRAFuturesQuotes!$D$17</definedName>
    <definedName name="PriceTickValue" localSheetId="5">HKD_010_DepoFRAFuturesQuotes!$D$17</definedName>
    <definedName name="PriceTickValue" localSheetId="6">HKD_010_DepoFRAFuturesQuotes!$D$17</definedName>
    <definedName name="PriceTickValue" localSheetId="7">HKD_010_DepoFRAFuturesQuotes!$D$17</definedName>
    <definedName name="PriceTickValue" localSheetId="11">HKD_010_SwapQuotes!$D$17</definedName>
    <definedName name="PriceTickValue" localSheetId="8">HKD_010_SwapQuotes!$D$17</definedName>
    <definedName name="PriceTickValue" localSheetId="10">HKD_010_SwapQuotes!$D$17</definedName>
    <definedName name="PriceTickValue" localSheetId="9">HKD_010_SwapQuotes!$D$17</definedName>
    <definedName name="PriceTickValue">HKD_010_BasisSwapQuotes!$D$17</definedName>
    <definedName name="Quote" localSheetId="0">BasisSwap1M3M!$AC$5:$AC$42</definedName>
    <definedName name="Quote" localSheetId="1">BasisSwap3M6M!$AC$5:$AC$42</definedName>
    <definedName name="Quote" localSheetId="3">Deposits!$P$5:$P$22</definedName>
    <definedName name="Quote" localSheetId="4">FRA!$W$5:$W$36</definedName>
    <definedName name="Quote" localSheetId="5">Futures3M!$Z$6:$Z$47</definedName>
    <definedName name="Quote" localSheetId="6">FuturesHWConvAdj!$Q$5:$Q$6</definedName>
    <definedName name="Quote" localSheetId="8">OIS!$Y$5:$Y$40</definedName>
    <definedName name="Quote" localSheetId="10">Swap3M!$AC$5:$AC$42</definedName>
    <definedName name="Quote" localSheetId="9">Swaps1M!$Y$5:$Y$15</definedName>
    <definedName name="QuoteLive" localSheetId="0">BasisSwap1M3M!$X$5:$X$42</definedName>
    <definedName name="QuoteLive" localSheetId="1">BasisSwap3M6M!$X$5:$X$42</definedName>
    <definedName name="QuoteLive" localSheetId="3">Deposits!$K$5:$K$22</definedName>
    <definedName name="QuoteLive" localSheetId="4">FRA!$R$5:$R$36</definedName>
    <definedName name="QuoteLive" localSheetId="5">Futures3M!$U$6:$U$47</definedName>
    <definedName name="QuoteLive" localSheetId="6">FuturesHWConvAdj!$L$5:$L$6</definedName>
    <definedName name="QuoteLive" localSheetId="8">OIS!$T$5:$T$40</definedName>
    <definedName name="QuoteLive" localSheetId="10">Swap3M!$X$5:$X$42</definedName>
    <definedName name="QuoteLive" localSheetId="9">Swaps1M!$T$5:$T$15</definedName>
    <definedName name="QuoteStatic" localSheetId="0">BasisSwap1M3M!$Z$5:$Z$42</definedName>
    <definedName name="QuoteStatic" localSheetId="1">BasisSwap3M6M!$Z$5:$Z$42</definedName>
    <definedName name="QuoteStatic" localSheetId="3">Deposits!$M$5:$M$22</definedName>
    <definedName name="QuoteStatic" localSheetId="4">FRA!$T$5:$T$36</definedName>
    <definedName name="QuoteStatic" localSheetId="5">Futures3M!$W$6:$W$47</definedName>
    <definedName name="QuoteStatic" localSheetId="6">FuturesHWConvAdj!$N$5:$N$6</definedName>
    <definedName name="QuoteStatic" localSheetId="8">OIS!$V$5:$V$40</definedName>
    <definedName name="QuoteStatic" localSheetId="10">Swap3M!$Z$5:$Z$42</definedName>
    <definedName name="QuoteStatic" localSheetId="9">Swaps1M!$V$5:$V$15</definedName>
    <definedName name="QuoteSuffix" localSheetId="3">HKD_010_DepoFRAFuturesQuotes!$D$15</definedName>
    <definedName name="QuoteSuffix" localSheetId="4">HKD_010_DepoFRAFuturesQuotes!$D$15</definedName>
    <definedName name="QuoteSuffix" localSheetId="5">HKD_010_DepoFRAFuturesQuotes!$D$15</definedName>
    <definedName name="QuoteSuffix" localSheetId="6">HKD_010_DepoFRAFuturesQuotes!$D$15</definedName>
    <definedName name="QuoteSuffix" localSheetId="7">HKD_010_DepoFRAFuturesQuotes!$D$15</definedName>
    <definedName name="QuoteSuffix" localSheetId="11">HKD_010_SwapQuotes!$D$15</definedName>
    <definedName name="QuoteSuffix" localSheetId="8">HKD_010_SwapQuotes!$D$15</definedName>
    <definedName name="QuoteSuffix" localSheetId="10">HKD_010_SwapQuotes!$D$15</definedName>
    <definedName name="QuoteSuffix" localSheetId="9">HKD_010_SwapQuotes!$D$15</definedName>
    <definedName name="QuoteSuffix">HKD_010_BasisSwapQuotes!$D$15</definedName>
    <definedName name="RateTickValue" localSheetId="3">HKD_010_DepoFRAFuturesQuotes!$D$16</definedName>
    <definedName name="RateTickValue" localSheetId="4">HKD_010_DepoFRAFuturesQuotes!$D$16</definedName>
    <definedName name="RateTickValue" localSheetId="5">HKD_010_DepoFRAFuturesQuotes!$D$16</definedName>
    <definedName name="RateTickValue" localSheetId="6">HKD_010_DepoFRAFuturesQuotes!$D$16</definedName>
    <definedName name="RateTickValue" localSheetId="7">HKD_010_DepoFRAFuturesQuotes!$D$16</definedName>
    <definedName name="RateTickValue" localSheetId="11">HKD_010_SwapQuotes!$D$16</definedName>
    <definedName name="RateTickValue" localSheetId="8">HKD_010_SwapQuotes!$D$16</definedName>
    <definedName name="RateTickValue" localSheetId="10">HKD_010_SwapQuotes!$D$16</definedName>
    <definedName name="RateTickValue" localSheetId="9">HKD_010_SwapQuotes!$D$16</definedName>
    <definedName name="RateTickValue">HKD_010_BasisSwapQuotes!$D$16</definedName>
    <definedName name="ReutersRtMode" localSheetId="16">HKD_InterestRateQuotesFeed!$D$6</definedName>
    <definedName name="ReutersRtMode">HKD_InterestRateQuotesFeed!$D$6</definedName>
    <definedName name="SerializationPath" localSheetId="3">HKD_010_DepoFRAFuturesQuotes!$D$8</definedName>
    <definedName name="SerializationPath" localSheetId="4">HKD_010_DepoFRAFuturesQuotes!$D$8</definedName>
    <definedName name="SerializationPath" localSheetId="5">HKD_010_DepoFRAFuturesQuotes!$D$8</definedName>
    <definedName name="SerializationPath" localSheetId="6">HKD_010_DepoFRAFuturesQuotes!$D$8</definedName>
    <definedName name="SerializationPath" localSheetId="14">HkdLibor!$D$9</definedName>
    <definedName name="SerializationPath" localSheetId="12">RelinkableHandles!$D$8</definedName>
    <definedName name="SerializationPath" localSheetId="7">HKD_010_DepoFRAFuturesQuotes!$D$8</definedName>
    <definedName name="SerializationPath" localSheetId="11">HKD_010_SwapQuotes!$D$8</definedName>
    <definedName name="SerializationPath" localSheetId="15">HkdLibor!$D$9</definedName>
    <definedName name="SerializationPath" localSheetId="8">HKD_010_SwapQuotes!$D$8</definedName>
    <definedName name="SerializationPath" localSheetId="13">RelinkableHandles!$D$8</definedName>
    <definedName name="SerializationPath" localSheetId="10">HKD_010_SwapQuotes!$D$8</definedName>
    <definedName name="SerializationPath" localSheetId="9">HKD_010_SwapQuotes!$D$8</definedName>
    <definedName name="SerializationPath">HKD_010_BasisSwapQuotes!$D$8</definedName>
    <definedName name="Serialize" localSheetId="3">HKD_010_DepoFRAFuturesQuotes!$D$7</definedName>
    <definedName name="Serialize" localSheetId="4">HKD_010_DepoFRAFuturesQuotes!$D$7</definedName>
    <definedName name="Serialize" localSheetId="5">HKD_010_DepoFRAFuturesQuotes!$D$7</definedName>
    <definedName name="Serialize" localSheetId="6">HKD_010_DepoFRAFuturesQuotes!$D$7</definedName>
    <definedName name="Serialize" localSheetId="14">HkdLibor!$D$8</definedName>
    <definedName name="Serialize" localSheetId="12">RelinkableHandles!$D$7</definedName>
    <definedName name="Serialize" localSheetId="7">HKD_010_DepoFRAFuturesQuotes!$D$7</definedName>
    <definedName name="Serialize" localSheetId="11">HKD_010_SwapQuotes!$D$7</definedName>
    <definedName name="Serialize" localSheetId="15">HkdLibor!$D$8</definedName>
    <definedName name="Serialize" localSheetId="8">HKD_010_SwapQuotes!$D$7</definedName>
    <definedName name="Serialize" localSheetId="13">RelinkableHandles!$D$7</definedName>
    <definedName name="Serialize" localSheetId="10">HKD_010_SwapQuotes!$D$7</definedName>
    <definedName name="Serialize" localSheetId="9">HKD_010_SwapQuotes!$D$7</definedName>
    <definedName name="Serialize">HKD_010_BasisSwapQuotes!$D$7</definedName>
    <definedName name="Swap3M4Y">Swap3M!$AC$12</definedName>
    <definedName name="Swap6M4Y">#REF!</definedName>
    <definedName name="SwapMainSetConventions">Swap3M!$J$5:$L$12</definedName>
    <definedName name="SwapSecondarySetConventions">#REF!</definedName>
    <definedName name="Traits" localSheetId="14">Hibor!$S$26:$U$32</definedName>
    <definedName name="Trigger" localSheetId="3">HKD_010_DepoFRAFuturesQuotes!$D$4</definedName>
    <definedName name="Trigger" localSheetId="4">HKD_010_DepoFRAFuturesQuotes!$D$4</definedName>
    <definedName name="Trigger" localSheetId="5">HKD_010_DepoFRAFuturesQuotes!$D$4</definedName>
    <definedName name="Trigger" localSheetId="6">HKD_010_DepoFRAFuturesQuotes!$D$4</definedName>
    <definedName name="Trigger" localSheetId="14">HkdLibor!$D$4</definedName>
    <definedName name="Trigger" localSheetId="12">RelinkableHandles!$D$4</definedName>
    <definedName name="Trigger" localSheetId="7">HKD_010_DepoFRAFuturesQuotes!$D$4</definedName>
    <definedName name="Trigger" localSheetId="11">HKD_010_SwapQuotes!$D$4</definedName>
    <definedName name="Trigger" localSheetId="17">HKD_InterestRateQuotesFeed!$D$5</definedName>
    <definedName name="Trigger" localSheetId="15">HkdLibor!$D$4</definedName>
    <definedName name="Trigger" localSheetId="8">HKD_010_SwapQuotes!$D$4</definedName>
    <definedName name="Trigger" localSheetId="13">RelinkableHandles!$D$4</definedName>
    <definedName name="Trigger" localSheetId="16">HKD_InterestRateQuotesFeed!$D$5</definedName>
    <definedName name="Trigger" localSheetId="10">HKD_010_SwapQuotes!$D$4</definedName>
    <definedName name="Trigger" localSheetId="9">HKD_010_SwapQuotes!$D$4</definedName>
    <definedName name="Trigger">HKD_010_BasisSwapQuotes!$D$4</definedName>
    <definedName name="TriggerCounter">HKD_InterestRateQuotesFeed!$D$7</definedName>
    <definedName name="TriggerTOY1M">SpecialTriggers!$C$3</definedName>
    <definedName name="TriggerTOY1MFUT">SpecialTriggers!#REF!</definedName>
    <definedName name="TriggerTOY3M">SpecialTriggers!$C$4</definedName>
    <definedName name="TriggerTOY6M">SpecialTriggers!$C$5</definedName>
  </definedNames>
  <calcPr calcId="145621"/>
</workbook>
</file>

<file path=xl/calcChain.xml><?xml version="1.0" encoding="utf-8"?>
<calcChain xmlns="http://schemas.openxmlformats.org/spreadsheetml/2006/main">
  <c r="R5" i="5" l="1"/>
  <c r="AC5" i="19" a="1"/>
  <c r="Y5" i="17" a="1"/>
  <c r="Y5" i="16" a="1"/>
  <c r="Q5" i="14" a="1"/>
  <c r="Z6" i="12" a="1"/>
  <c r="W5" i="10" a="1"/>
  <c r="P5" i="9" a="1"/>
  <c r="P5" i="9" s="1"/>
  <c r="P10" i="9"/>
  <c r="P11" i="9"/>
  <c r="P12" i="9"/>
  <c r="P13" i="9"/>
  <c r="P14" i="9"/>
  <c r="P15" i="9"/>
  <c r="P16" i="9"/>
  <c r="P17" i="9"/>
  <c r="P18" i="9"/>
  <c r="P19" i="9"/>
  <c r="P20" i="9"/>
  <c r="AC5" i="6" a="1"/>
  <c r="AC5" i="5" a="1"/>
  <c r="AD7" i="19"/>
  <c r="AD6" i="19"/>
  <c r="AD5" i="19"/>
  <c r="Q6" i="14" l="1"/>
  <c r="P9" i="9"/>
  <c r="P22" i="9"/>
  <c r="P6" i="9"/>
  <c r="P8" i="9"/>
  <c r="P7" i="9"/>
  <c r="P21" i="9"/>
  <c r="T4" i="36"/>
  <c r="T6" i="36" s="1"/>
  <c r="Z4" i="36"/>
  <c r="Z10" i="36" s="1"/>
  <c r="W6" i="36"/>
  <c r="W7" i="36"/>
  <c r="X7" i="36" s="1"/>
  <c r="AB7" i="36" s="1"/>
  <c r="W8" i="36"/>
  <c r="X8" i="36" s="1"/>
  <c r="AB8" i="36" s="1"/>
  <c r="W9" i="36"/>
  <c r="W10" i="36"/>
  <c r="W11" i="36"/>
  <c r="X11" i="36" s="1"/>
  <c r="AB11" i="36" s="1"/>
  <c r="W12" i="36"/>
  <c r="W13" i="36"/>
  <c r="W14" i="36"/>
  <c r="W15" i="36"/>
  <c r="W16" i="36"/>
  <c r="W17" i="36"/>
  <c r="Z17" i="36"/>
  <c r="W18" i="36"/>
  <c r="W19" i="36"/>
  <c r="Z19" i="36"/>
  <c r="W20" i="36"/>
  <c r="W21" i="36"/>
  <c r="W22" i="36"/>
  <c r="W23" i="36"/>
  <c r="Z23" i="36"/>
  <c r="F10" i="17"/>
  <c r="F8" i="16"/>
  <c r="F9" i="17"/>
  <c r="F7" i="16"/>
  <c r="F5" i="17"/>
  <c r="F6" i="16"/>
  <c r="F20" i="16"/>
  <c r="F16" i="16"/>
  <c r="F19" i="16"/>
  <c r="F14" i="16"/>
  <c r="F17" i="16"/>
  <c r="AA19" i="36"/>
  <c r="F5" i="16"/>
  <c r="F15" i="17"/>
  <c r="F15" i="16"/>
  <c r="F7" i="17"/>
  <c r="F6" i="17"/>
  <c r="F12" i="16"/>
  <c r="AA17" i="36"/>
  <c r="F14" i="17"/>
  <c r="F18" i="16"/>
  <c r="AA23" i="36"/>
  <c r="AA10" i="36"/>
  <c r="F13" i="17"/>
  <c r="F13" i="16"/>
  <c r="F9" i="16"/>
  <c r="F8" i="17"/>
  <c r="F11" i="16"/>
  <c r="F12" i="17"/>
  <c r="F10" i="16"/>
  <c r="F11" i="17"/>
  <c r="T23" i="36" l="1"/>
  <c r="Z22" i="36"/>
  <c r="Z13" i="36"/>
  <c r="T13" i="36"/>
  <c r="Z18" i="36"/>
  <c r="T10" i="36"/>
  <c r="T11" i="36"/>
  <c r="T19" i="36"/>
  <c r="T18" i="36"/>
  <c r="T17" i="36"/>
  <c r="Z21" i="36"/>
  <c r="Z8" i="36"/>
  <c r="Z16" i="36"/>
  <c r="Z15" i="36"/>
  <c r="Z9" i="36"/>
  <c r="T22" i="36"/>
  <c r="T21" i="36"/>
  <c r="T8" i="36"/>
  <c r="Z20" i="36"/>
  <c r="T15" i="36"/>
  <c r="Z7" i="36"/>
  <c r="T20" i="36"/>
  <c r="T14" i="36"/>
  <c r="Z14" i="36"/>
  <c r="T9" i="36"/>
  <c r="Z12" i="36"/>
  <c r="T12" i="36"/>
  <c r="T7" i="36"/>
  <c r="Z11" i="36"/>
  <c r="Z6" i="36"/>
  <c r="T16" i="36"/>
  <c r="AA6" i="36"/>
  <c r="AD7" i="36"/>
  <c r="X10" i="36"/>
  <c r="AA9" i="36"/>
  <c r="AA22" i="36"/>
  <c r="AA21" i="36"/>
  <c r="X23" i="36"/>
  <c r="AD8" i="36"/>
  <c r="AA13" i="36"/>
  <c r="AA15" i="36"/>
  <c r="AA7" i="36"/>
  <c r="AA18" i="36"/>
  <c r="AA8" i="36"/>
  <c r="AA14" i="36"/>
  <c r="X17" i="36"/>
  <c r="AD11" i="36"/>
  <c r="AA20" i="36"/>
  <c r="AA16" i="36"/>
  <c r="AA12" i="36"/>
  <c r="X19" i="36"/>
  <c r="AA11" i="36"/>
  <c r="AC7" i="36" l="1"/>
  <c r="AC8" i="36"/>
  <c r="AC11" i="36"/>
  <c r="AE11" i="36" s="1"/>
  <c r="AB19" i="36"/>
  <c r="AB17" i="36"/>
  <c r="AB10" i="36"/>
  <c r="AB23" i="36"/>
  <c r="X15" i="36"/>
  <c r="AD23" i="36"/>
  <c r="X16" i="36"/>
  <c r="X12" i="36"/>
  <c r="X20" i="36"/>
  <c r="X18" i="36"/>
  <c r="X14" i="36"/>
  <c r="X13" i="36"/>
  <c r="X9" i="36"/>
  <c r="X22" i="36"/>
  <c r="AD10" i="36"/>
  <c r="X6" i="36"/>
  <c r="AD19" i="36"/>
  <c r="AD17" i="36"/>
  <c r="X21" i="36"/>
  <c r="AC23" i="36" l="1"/>
  <c r="AE23" i="36" s="1"/>
  <c r="AC10" i="36"/>
  <c r="AE10" i="36" s="1"/>
  <c r="AC17" i="36"/>
  <c r="AE17" i="36" s="1"/>
  <c r="AC19" i="36"/>
  <c r="AE19" i="36" s="1"/>
  <c r="AB22" i="36"/>
  <c r="AB14" i="36"/>
  <c r="AB12" i="36"/>
  <c r="AB9" i="36"/>
  <c r="AB21" i="36"/>
  <c r="AB13" i="36"/>
  <c r="AB15" i="36"/>
  <c r="AB20" i="36"/>
  <c r="AB6" i="36"/>
  <c r="AB18" i="36"/>
  <c r="AB16" i="36"/>
  <c r="AD16" i="36"/>
  <c r="AD21" i="36"/>
  <c r="AD22" i="36"/>
  <c r="AD13" i="36"/>
  <c r="AD18" i="36"/>
  <c r="AD15" i="36"/>
  <c r="AD6" i="36"/>
  <c r="AD9" i="36"/>
  <c r="AD14" i="36"/>
  <c r="AD20" i="36"/>
  <c r="AD12" i="36"/>
  <c r="AC18" i="36" l="1"/>
  <c r="AE18" i="36" s="1"/>
  <c r="AC13" i="36"/>
  <c r="AE13" i="36" s="1"/>
  <c r="AC22" i="36"/>
  <c r="AE22" i="36" s="1"/>
  <c r="AC6" i="36"/>
  <c r="AE6" i="36" s="1"/>
  <c r="AC20" i="36"/>
  <c r="AE20" i="36" s="1"/>
  <c r="AC9" i="36"/>
  <c r="AE9" i="36" s="1"/>
  <c r="AC15" i="36"/>
  <c r="AE15" i="36" s="1"/>
  <c r="AC21" i="36"/>
  <c r="AE21" i="36" s="1"/>
  <c r="AC16" i="36"/>
  <c r="AE16" i="36" s="1"/>
  <c r="AC12" i="36"/>
  <c r="AE12" i="36" s="1"/>
  <c r="AC14" i="36"/>
  <c r="AE14" i="36" s="1"/>
  <c r="AC4" i="36" l="1"/>
  <c r="D11" i="40"/>
  <c r="B1" i="40"/>
  <c r="N5" i="16" l="1"/>
  <c r="O5" i="16" s="1"/>
  <c r="T5" i="16"/>
  <c r="Y5" i="16" s="1"/>
  <c r="X5" i="16"/>
  <c r="N6" i="16"/>
  <c r="O6" i="16" s="1"/>
  <c r="T6" i="16"/>
  <c r="Y6" i="16" s="1"/>
  <c r="X6" i="16"/>
  <c r="N7" i="16"/>
  <c r="O7" i="16" s="1"/>
  <c r="T7" i="16"/>
  <c r="Y7" i="16" s="1"/>
  <c r="X7" i="16"/>
  <c r="N8" i="16"/>
  <c r="O8" i="16" s="1"/>
  <c r="T8" i="16"/>
  <c r="Y8" i="16" s="1"/>
  <c r="X8" i="16"/>
  <c r="N9" i="16"/>
  <c r="O9" i="16" s="1"/>
  <c r="T9" i="16"/>
  <c r="Y9" i="16" s="1"/>
  <c r="X9" i="16"/>
  <c r="N10" i="16"/>
  <c r="O10" i="16" s="1"/>
  <c r="T10" i="16"/>
  <c r="Y10" i="16" s="1"/>
  <c r="X10" i="16"/>
  <c r="N11" i="16"/>
  <c r="O11" i="16" s="1"/>
  <c r="T11" i="16"/>
  <c r="Y11" i="16" s="1"/>
  <c r="X11" i="16"/>
  <c r="N12" i="16"/>
  <c r="O12" i="16" s="1"/>
  <c r="T12" i="16"/>
  <c r="Y12" i="16" s="1"/>
  <c r="X12" i="16"/>
  <c r="N13" i="16"/>
  <c r="O13" i="16" s="1"/>
  <c r="T13" i="16"/>
  <c r="Y13" i="16" s="1"/>
  <c r="X13" i="16"/>
  <c r="N14" i="16"/>
  <c r="O14" i="16" s="1"/>
  <c r="T14" i="16"/>
  <c r="Y14" i="16" s="1"/>
  <c r="X14" i="16"/>
  <c r="N15" i="16"/>
  <c r="O15" i="16" s="1"/>
  <c r="T15" i="16"/>
  <c r="Y15" i="16" s="1"/>
  <c r="X15" i="16"/>
  <c r="N16" i="16"/>
  <c r="O16" i="16"/>
  <c r="T16" i="16"/>
  <c r="Y16" i="16" s="1"/>
  <c r="X16" i="16"/>
  <c r="N17" i="16"/>
  <c r="O17" i="16" s="1"/>
  <c r="T17" i="16"/>
  <c r="Y17" i="16" s="1"/>
  <c r="X17" i="16"/>
  <c r="N18" i="16"/>
  <c r="O18" i="16" s="1"/>
  <c r="T18" i="16"/>
  <c r="Y18" i="16" s="1"/>
  <c r="X18" i="16"/>
  <c r="N19" i="16"/>
  <c r="O19" i="16"/>
  <c r="T19" i="16"/>
  <c r="Y19" i="16" s="1"/>
  <c r="X19" i="16"/>
  <c r="N20" i="16"/>
  <c r="O20" i="16" s="1"/>
  <c r="T20" i="16"/>
  <c r="Y20" i="16" s="1"/>
  <c r="X20" i="16"/>
  <c r="N21" i="16"/>
  <c r="O21" i="16" s="1"/>
  <c r="T21" i="16"/>
  <c r="Y21" i="16" s="1"/>
  <c r="X21" i="16"/>
  <c r="N22" i="16"/>
  <c r="O22" i="16" s="1"/>
  <c r="T22" i="16"/>
  <c r="Y22" i="16" s="1"/>
  <c r="X22" i="16"/>
  <c r="N23" i="16"/>
  <c r="O23" i="16" s="1"/>
  <c r="T23" i="16"/>
  <c r="Y23" i="16" s="1"/>
  <c r="X23" i="16"/>
  <c r="N24" i="16"/>
  <c r="O24" i="16" s="1"/>
  <c r="T24" i="16"/>
  <c r="Y24" i="16" s="1"/>
  <c r="X24" i="16"/>
  <c r="N25" i="16"/>
  <c r="O25" i="16" s="1"/>
  <c r="T25" i="16"/>
  <c r="Y25" i="16" s="1"/>
  <c r="X25" i="16"/>
  <c r="N26" i="16"/>
  <c r="O26" i="16" s="1"/>
  <c r="T26" i="16"/>
  <c r="Y26" i="16" s="1"/>
  <c r="X26" i="16"/>
  <c r="N27" i="16"/>
  <c r="O27" i="16" s="1"/>
  <c r="T27" i="16"/>
  <c r="Y27" i="16" s="1"/>
  <c r="X27" i="16"/>
  <c r="N28" i="16"/>
  <c r="O28" i="16" s="1"/>
  <c r="T28" i="16"/>
  <c r="Y28" i="16" s="1"/>
  <c r="X28" i="16"/>
  <c r="N29" i="16"/>
  <c r="O29" i="16" s="1"/>
  <c r="T29" i="16"/>
  <c r="Y29" i="16" s="1"/>
  <c r="X29" i="16"/>
  <c r="N30" i="16"/>
  <c r="O30" i="16" s="1"/>
  <c r="T30" i="16"/>
  <c r="Y30" i="16" s="1"/>
  <c r="X30" i="16"/>
  <c r="N31" i="16"/>
  <c r="O31" i="16" s="1"/>
  <c r="T31" i="16"/>
  <c r="Y31" i="16" s="1"/>
  <c r="X31" i="16"/>
  <c r="N32" i="16"/>
  <c r="O32" i="16" s="1"/>
  <c r="T32" i="16"/>
  <c r="Y32" i="16" s="1"/>
  <c r="X32" i="16"/>
  <c r="N33" i="16"/>
  <c r="O33" i="16" s="1"/>
  <c r="T33" i="16"/>
  <c r="Y33" i="16" s="1"/>
  <c r="X33" i="16"/>
  <c r="N34" i="16"/>
  <c r="O34" i="16" s="1"/>
  <c r="T34" i="16"/>
  <c r="Y34" i="16" s="1"/>
  <c r="X34" i="16"/>
  <c r="N35" i="16"/>
  <c r="O35" i="16" s="1"/>
  <c r="T35" i="16"/>
  <c r="Y35" i="16" s="1"/>
  <c r="X35" i="16"/>
  <c r="N36" i="16"/>
  <c r="O36" i="16" s="1"/>
  <c r="T36" i="16"/>
  <c r="Y36" i="16" s="1"/>
  <c r="X36" i="16"/>
  <c r="N37" i="16"/>
  <c r="O37" i="16" s="1"/>
  <c r="T37" i="16"/>
  <c r="Y37" i="16" s="1"/>
  <c r="X37" i="16"/>
  <c r="N38" i="16"/>
  <c r="O38" i="16" s="1"/>
  <c r="T38" i="16"/>
  <c r="Y38" i="16" s="1"/>
  <c r="X38" i="16"/>
  <c r="N39" i="16"/>
  <c r="O39" i="16" s="1"/>
  <c r="T39" i="16"/>
  <c r="Y39" i="16" s="1"/>
  <c r="X39" i="16"/>
  <c r="N40" i="16"/>
  <c r="O40" i="16" s="1"/>
  <c r="T40" i="16"/>
  <c r="Y40" i="16" s="1"/>
  <c r="X40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10" i="6"/>
  <c r="V31" i="6"/>
  <c r="V38" i="6"/>
  <c r="V24" i="6"/>
  <c r="V28" i="6"/>
  <c r="V26" i="6"/>
  <c r="V18" i="6"/>
  <c r="V32" i="6"/>
  <c r="V35" i="6"/>
  <c r="V7" i="6"/>
  <c r="V16" i="6"/>
  <c r="V5" i="6"/>
  <c r="V13" i="6"/>
  <c r="V33" i="6"/>
  <c r="V25" i="6"/>
  <c r="V29" i="6"/>
  <c r="V30" i="6"/>
  <c r="V17" i="6"/>
  <c r="V34" i="6"/>
  <c r="V9" i="6"/>
  <c r="V19" i="6"/>
  <c r="V23" i="6"/>
  <c r="V27" i="6"/>
  <c r="V22" i="6"/>
  <c r="V12" i="6"/>
  <c r="V6" i="6"/>
  <c r="V39" i="6"/>
  <c r="V21" i="6"/>
  <c r="V40" i="6"/>
  <c r="V8" i="6"/>
  <c r="V42" i="6"/>
  <c r="V37" i="6"/>
  <c r="V41" i="6"/>
  <c r="V36" i="6"/>
  <c r="V15" i="6"/>
  <c r="V14" i="6"/>
  <c r="V11" i="6"/>
  <c r="V20" i="6"/>
  <c r="AG45" i="6"/>
  <c r="P28" i="6" l="1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R14" i="6" s="1"/>
  <c r="AB14" i="6" s="1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P5" i="19" a="1"/>
  <c r="P16" i="19" s="1"/>
  <c r="Q5" i="19" a="1"/>
  <c r="Q8" i="19" s="1"/>
  <c r="N5" i="17"/>
  <c r="X5" i="17" s="1"/>
  <c r="N6" i="17"/>
  <c r="X6" i="17" s="1"/>
  <c r="N7" i="17"/>
  <c r="X7" i="17" s="1"/>
  <c r="N8" i="17"/>
  <c r="N9" i="17"/>
  <c r="X9" i="17" s="1"/>
  <c r="N10" i="17"/>
  <c r="X10" i="17" s="1"/>
  <c r="N11" i="17"/>
  <c r="X11" i="17" s="1"/>
  <c r="N12" i="17"/>
  <c r="X12" i="17" s="1"/>
  <c r="N13" i="17"/>
  <c r="X13" i="17" s="1"/>
  <c r="N14" i="17"/>
  <c r="X14" i="17" s="1"/>
  <c r="N15" i="17"/>
  <c r="X15" i="17" s="1"/>
  <c r="H5" i="14"/>
  <c r="P5" i="14"/>
  <c r="P6" i="14"/>
  <c r="V37" i="5"/>
  <c r="X6" i="19"/>
  <c r="T10" i="17"/>
  <c r="V6" i="5"/>
  <c r="T6" i="17"/>
  <c r="V34" i="5"/>
  <c r="X7" i="19"/>
  <c r="V25" i="5"/>
  <c r="X30" i="19"/>
  <c r="V31" i="5"/>
  <c r="T13" i="17"/>
  <c r="V8" i="5"/>
  <c r="X39" i="19"/>
  <c r="X25" i="19"/>
  <c r="V40" i="5"/>
  <c r="X24" i="19"/>
  <c r="V27" i="5"/>
  <c r="V16" i="5"/>
  <c r="V9" i="5"/>
  <c r="X15" i="19"/>
  <c r="X38" i="19"/>
  <c r="V39" i="5"/>
  <c r="V7" i="5"/>
  <c r="V20" i="5"/>
  <c r="X37" i="19"/>
  <c r="X14" i="19"/>
  <c r="X17" i="19"/>
  <c r="V36" i="5"/>
  <c r="X26" i="19"/>
  <c r="X32" i="19"/>
  <c r="X21" i="19"/>
  <c r="V22" i="5"/>
  <c r="T15" i="17"/>
  <c r="V19" i="5"/>
  <c r="T11" i="17"/>
  <c r="X33" i="19"/>
  <c r="X12" i="19"/>
  <c r="X13" i="19"/>
  <c r="X5" i="19"/>
  <c r="X29" i="19"/>
  <c r="V33" i="5"/>
  <c r="V15" i="5"/>
  <c r="V17" i="5"/>
  <c r="X19" i="19"/>
  <c r="V11" i="5"/>
  <c r="V13" i="5"/>
  <c r="V41" i="5"/>
  <c r="X8" i="19"/>
  <c r="X27" i="19"/>
  <c r="V28" i="5"/>
  <c r="V35" i="5"/>
  <c r="V38" i="5"/>
  <c r="V32" i="5"/>
  <c r="X41" i="19"/>
  <c r="V29" i="5"/>
  <c r="X22" i="19"/>
  <c r="X18" i="19"/>
  <c r="X9" i="19"/>
  <c r="T9" i="17"/>
  <c r="X16" i="19"/>
  <c r="V26" i="5"/>
  <c r="X11" i="19"/>
  <c r="V10" i="5"/>
  <c r="X28" i="19"/>
  <c r="X42" i="19"/>
  <c r="X20" i="19"/>
  <c r="T5" i="17"/>
  <c r="V24" i="5"/>
  <c r="V23" i="5"/>
  <c r="X31" i="19"/>
  <c r="V42" i="5"/>
  <c r="V18" i="5"/>
  <c r="V14" i="5"/>
  <c r="T8" i="17"/>
  <c r="V12" i="5"/>
  <c r="V21" i="5"/>
  <c r="V30" i="5"/>
  <c r="X36" i="19"/>
  <c r="X35" i="19"/>
  <c r="V5" i="5"/>
  <c r="T14" i="17"/>
  <c r="T12" i="17"/>
  <c r="T7" i="17"/>
  <c r="X23" i="19"/>
  <c r="X34" i="19"/>
  <c r="X40" i="19"/>
  <c r="X10" i="19"/>
  <c r="Z12" i="16"/>
  <c r="H4" i="14"/>
  <c r="AC10" i="19" l="1"/>
  <c r="AC40" i="19"/>
  <c r="AC34" i="19"/>
  <c r="AC23" i="19"/>
  <c r="Y7" i="17"/>
  <c r="Y12" i="17"/>
  <c r="Y14" i="17"/>
  <c r="AC35" i="19"/>
  <c r="AC36" i="19"/>
  <c r="Y8" i="17"/>
  <c r="AC31" i="19"/>
  <c r="Y5" i="17"/>
  <c r="AC20" i="19"/>
  <c r="AC42" i="19"/>
  <c r="AC28" i="19"/>
  <c r="AC11" i="19"/>
  <c r="AC16" i="19"/>
  <c r="Y9" i="17"/>
  <c r="AC9" i="19"/>
  <c r="AC18" i="19"/>
  <c r="AC22" i="19"/>
  <c r="AC41" i="19"/>
  <c r="AC27" i="19"/>
  <c r="AC8" i="19"/>
  <c r="AC19" i="19"/>
  <c r="AC29" i="19"/>
  <c r="AC5" i="19"/>
  <c r="AC13" i="19"/>
  <c r="AC12" i="19"/>
  <c r="AC33" i="19"/>
  <c r="Y11" i="17"/>
  <c r="Y15" i="17"/>
  <c r="AC21" i="19"/>
  <c r="AC32" i="19"/>
  <c r="AC26" i="19"/>
  <c r="AC17" i="19"/>
  <c r="AC14" i="19"/>
  <c r="AC37" i="19"/>
  <c r="AC38" i="19"/>
  <c r="AC15" i="19"/>
  <c r="AC24" i="19"/>
  <c r="AC25" i="19"/>
  <c r="AC39" i="19"/>
  <c r="Y13" i="17"/>
  <c r="AC30" i="19"/>
  <c r="AC7" i="19"/>
  <c r="Y6" i="17"/>
  <c r="Y10" i="17"/>
  <c r="AC6" i="19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P9" i="19"/>
  <c r="Q26" i="5"/>
  <c r="P8" i="19"/>
  <c r="R8" i="19" s="1"/>
  <c r="AB8" i="19" s="1"/>
  <c r="R11" i="6"/>
  <c r="AB11" i="6" s="1"/>
  <c r="R34" i="6"/>
  <c r="AB34" i="6" s="1"/>
  <c r="Q27" i="5"/>
  <c r="Q25" i="5"/>
  <c r="P7" i="19"/>
  <c r="Q22" i="5"/>
  <c r="R23" i="6"/>
  <c r="AB23" i="6" s="1"/>
  <c r="R13" i="6"/>
  <c r="AB13" i="6" s="1"/>
  <c r="P37" i="19"/>
  <c r="P41" i="5"/>
  <c r="P34" i="19"/>
  <c r="P29" i="5"/>
  <c r="P17" i="5"/>
  <c r="P29" i="19"/>
  <c r="Q40" i="5"/>
  <c r="Q28" i="5"/>
  <c r="Q16" i="5"/>
  <c r="Q5" i="5"/>
  <c r="AB5" i="5" s="1"/>
  <c r="P42" i="5"/>
  <c r="P32" i="5"/>
  <c r="P8" i="5"/>
  <c r="R19" i="6"/>
  <c r="AB19" i="6" s="1"/>
  <c r="P18" i="5"/>
  <c r="P35" i="19"/>
  <c r="P30" i="5"/>
  <c r="P6" i="5"/>
  <c r="P10" i="19"/>
  <c r="P40" i="5"/>
  <c r="P16" i="5"/>
  <c r="P37" i="5"/>
  <c r="P25" i="5"/>
  <c r="P5" i="19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R38" i="5" s="1"/>
  <c r="AB38" i="5" s="1"/>
  <c r="P22" i="5"/>
  <c r="Q42" i="5"/>
  <c r="Q32" i="5"/>
  <c r="Q19" i="5"/>
  <c r="Q8" i="5"/>
  <c r="P26" i="19"/>
  <c r="P21" i="19"/>
  <c r="R42" i="6"/>
  <c r="AB42" i="6" s="1"/>
  <c r="R25" i="6"/>
  <c r="AB25" i="6" s="1"/>
  <c r="P20" i="19"/>
  <c r="R39" i="6"/>
  <c r="AB39" i="6" s="1"/>
  <c r="Q28" i="19"/>
  <c r="P38" i="19"/>
  <c r="P19" i="19"/>
  <c r="P28" i="19"/>
  <c r="R20" i="6"/>
  <c r="AB20" i="6" s="1"/>
  <c r="R30" i="6"/>
  <c r="AB30" i="6" s="1"/>
  <c r="P15" i="19"/>
  <c r="R17" i="6"/>
  <c r="AB17" i="6" s="1"/>
  <c r="R16" i="6"/>
  <c r="AB16" i="6" s="1"/>
  <c r="P27" i="19"/>
  <c r="Q20" i="19"/>
  <c r="Q34" i="5"/>
  <c r="Q37" i="19"/>
  <c r="P11" i="19"/>
  <c r="P34" i="5"/>
  <c r="Q24" i="5"/>
  <c r="Q13" i="5"/>
  <c r="Q36" i="19"/>
  <c r="P18" i="19"/>
  <c r="Q6" i="19"/>
  <c r="P36" i="19"/>
  <c r="Q27" i="19"/>
  <c r="P17" i="19"/>
  <c r="P6" i="19"/>
  <c r="R9" i="6"/>
  <c r="AB9" i="6" s="1"/>
  <c r="P42" i="19"/>
  <c r="Q31" i="19"/>
  <c r="P24" i="19"/>
  <c r="P14" i="19"/>
  <c r="R18" i="6"/>
  <c r="AB18" i="6" s="1"/>
  <c r="O5" i="17" a="1"/>
  <c r="O10" i="17" s="1"/>
  <c r="P33" i="19"/>
  <c r="P25" i="19"/>
  <c r="Q14" i="19"/>
  <c r="P41" i="19"/>
  <c r="Q13" i="19"/>
  <c r="P40" i="19"/>
  <c r="Q22" i="19"/>
  <c r="P22" i="19"/>
  <c r="R10" i="6"/>
  <c r="AB10" i="6" s="1"/>
  <c r="P23" i="19"/>
  <c r="R35" i="6"/>
  <c r="AB35" i="6" s="1"/>
  <c r="Q15" i="19"/>
  <c r="P31" i="19"/>
  <c r="R31" i="19" s="1"/>
  <c r="AB31" i="19" s="1"/>
  <c r="Q30" i="19"/>
  <c r="P13" i="19"/>
  <c r="P39" i="19"/>
  <c r="P30" i="19"/>
  <c r="Q12" i="19"/>
  <c r="Q38" i="19"/>
  <c r="Q29" i="19"/>
  <c r="Q21" i="19"/>
  <c r="P12" i="19"/>
  <c r="Q29" i="5"/>
  <c r="R29" i="5" s="1"/>
  <c r="AB29" i="5" s="1"/>
  <c r="P21" i="5"/>
  <c r="R21" i="5" s="1"/>
  <c r="AB21" i="5" s="1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AK27" i="19"/>
  <c r="AK10" i="19"/>
  <c r="AK20" i="19"/>
  <c r="AK17" i="19"/>
  <c r="AK36" i="19"/>
  <c r="AK11" i="19"/>
  <c r="AK25" i="19"/>
  <c r="AK26" i="19"/>
  <c r="AK42" i="19"/>
  <c r="AK19" i="19"/>
  <c r="AK41" i="19"/>
  <c r="AK18" i="19"/>
  <c r="AK34" i="19"/>
  <c r="AK9" i="19"/>
  <c r="AK33" i="19"/>
  <c r="AK35" i="19"/>
  <c r="AK32" i="19"/>
  <c r="AK16" i="19"/>
  <c r="AK39" i="19"/>
  <c r="AK23" i="19"/>
  <c r="AK7" i="19"/>
  <c r="AK30" i="19"/>
  <c r="AK14" i="19"/>
  <c r="AK37" i="19"/>
  <c r="AK21" i="19"/>
  <c r="AK28" i="19"/>
  <c r="AK12" i="19"/>
  <c r="AK5" i="19"/>
  <c r="AK40" i="19"/>
  <c r="AK24" i="19"/>
  <c r="AK8" i="19"/>
  <c r="AK31" i="19"/>
  <c r="AK15" i="19"/>
  <c r="AK38" i="19"/>
  <c r="AK22" i="19"/>
  <c r="AK6" i="19"/>
  <c r="AK29" i="19"/>
  <c r="AK13" i="19"/>
  <c r="Q11" i="19"/>
  <c r="Q34" i="19"/>
  <c r="Q18" i="19"/>
  <c r="Q41" i="19"/>
  <c r="Q25" i="19"/>
  <c r="Q9" i="19"/>
  <c r="Q32" i="19"/>
  <c r="Q16" i="19"/>
  <c r="R16" i="19" s="1"/>
  <c r="AB16" i="19" s="1"/>
  <c r="Q39" i="19"/>
  <c r="P32" i="19"/>
  <c r="Q23" i="19"/>
  <c r="Q7" i="19"/>
  <c r="Q35" i="19"/>
  <c r="Q19" i="19"/>
  <c r="Q5" i="19"/>
  <c r="Q42" i="19"/>
  <c r="Q26" i="19"/>
  <c r="Q10" i="19"/>
  <c r="Q33" i="19"/>
  <c r="Q17" i="19"/>
  <c r="Q40" i="19"/>
  <c r="Q24" i="19"/>
  <c r="AG6" i="17"/>
  <c r="AG15" i="17"/>
  <c r="AG8" i="17"/>
  <c r="AG13" i="17"/>
  <c r="AG10" i="17"/>
  <c r="AG12" i="17"/>
  <c r="AG14" i="17"/>
  <c r="AG5" i="17"/>
  <c r="AG7" i="17"/>
  <c r="AG11" i="17"/>
  <c r="AG9" i="17"/>
  <c r="X8" i="17"/>
  <c r="N6" i="12" a="1"/>
  <c r="U7" i="12"/>
  <c r="U13" i="12"/>
  <c r="U32" i="12"/>
  <c r="U39" i="12"/>
  <c r="U18" i="12"/>
  <c r="U30" i="12"/>
  <c r="U37" i="12"/>
  <c r="U8" i="12"/>
  <c r="U25" i="12"/>
  <c r="U27" i="12"/>
  <c r="U35" i="12"/>
  <c r="U6" i="12"/>
  <c r="U26" i="12"/>
  <c r="U36" i="12"/>
  <c r="U20" i="12"/>
  <c r="U22" i="12"/>
  <c r="U21" i="12"/>
  <c r="U34" i="12"/>
  <c r="U38" i="12"/>
  <c r="U14" i="12"/>
  <c r="U33" i="12"/>
  <c r="U28" i="12"/>
  <c r="U29" i="12"/>
  <c r="U11" i="12"/>
  <c r="U10" i="12"/>
  <c r="U9" i="12"/>
  <c r="U15" i="12"/>
  <c r="U12" i="12"/>
  <c r="U16" i="12"/>
  <c r="U23" i="12"/>
  <c r="U17" i="12"/>
  <c r="U19" i="12"/>
  <c r="U31" i="12"/>
  <c r="U24" i="12"/>
  <c r="Z25" i="16"/>
  <c r="Z24" i="16"/>
  <c r="Z6" i="16"/>
  <c r="Z30" i="16"/>
  <c r="Z10" i="16"/>
  <c r="Z22" i="16"/>
  <c r="Z15" i="16"/>
  <c r="Z26" i="16"/>
  <c r="Z29" i="16"/>
  <c r="Z5" i="16"/>
  <c r="Z11" i="16"/>
  <c r="Z40" i="16"/>
  <c r="Z14" i="16"/>
  <c r="Z27" i="16"/>
  <c r="Z28" i="16"/>
  <c r="Z35" i="16"/>
  <c r="Z18" i="16"/>
  <c r="Z38" i="16"/>
  <c r="Z34" i="16"/>
  <c r="Z9" i="16"/>
  <c r="Z19" i="16"/>
  <c r="Z17" i="16"/>
  <c r="Z33" i="16"/>
  <c r="Z23" i="16"/>
  <c r="Z21" i="16"/>
  <c r="Z16" i="16"/>
  <c r="Z13" i="16"/>
  <c r="Z20" i="16"/>
  <c r="Z32" i="16"/>
  <c r="Z7" i="16"/>
  <c r="Z39" i="16"/>
  <c r="Z36" i="16"/>
  <c r="Z37" i="16"/>
  <c r="Z31" i="16"/>
  <c r="Z8" i="16"/>
  <c r="AF39" i="12"/>
  <c r="Z24" i="12" l="1"/>
  <c r="Z31" i="12"/>
  <c r="Z19" i="12"/>
  <c r="Z17" i="12"/>
  <c r="Z23" i="12"/>
  <c r="Z16" i="12"/>
  <c r="Z12" i="12"/>
  <c r="Z15" i="12"/>
  <c r="Z9" i="12"/>
  <c r="Z10" i="12"/>
  <c r="Z11" i="12"/>
  <c r="Z29" i="12"/>
  <c r="Z28" i="12"/>
  <c r="Z33" i="12"/>
  <c r="Z14" i="12"/>
  <c r="Z38" i="12"/>
  <c r="Z34" i="12"/>
  <c r="Z21" i="12"/>
  <c r="Z22" i="12"/>
  <c r="Z20" i="12"/>
  <c r="Z36" i="12"/>
  <c r="Z26" i="12"/>
  <c r="Z6" i="12"/>
  <c r="Z35" i="12"/>
  <c r="Z27" i="12"/>
  <c r="Z25" i="12"/>
  <c r="Z8" i="12"/>
  <c r="Z37" i="12"/>
  <c r="Z30" i="12"/>
  <c r="Z18" i="12"/>
  <c r="Z39" i="12"/>
  <c r="Z32" i="12"/>
  <c r="Z13" i="12"/>
  <c r="Z7" i="12"/>
  <c r="R41" i="5"/>
  <c r="AB41" i="5" s="1"/>
  <c r="R18" i="5"/>
  <c r="AB18" i="5" s="1"/>
  <c r="R22" i="5"/>
  <c r="AB22" i="5" s="1"/>
  <c r="R14" i="19"/>
  <c r="AB14" i="19" s="1"/>
  <c r="R6" i="5"/>
  <c r="R9" i="19"/>
  <c r="AB9" i="19" s="1"/>
  <c r="R30" i="5"/>
  <c r="AB30" i="5" s="1"/>
  <c r="R17" i="5"/>
  <c r="AB17" i="5" s="1"/>
  <c r="R11" i="5"/>
  <c r="AB11" i="5" s="1"/>
  <c r="R34" i="19"/>
  <c r="AB34" i="19" s="1"/>
  <c r="R33" i="19"/>
  <c r="AB33" i="19" s="1"/>
  <c r="R14" i="5"/>
  <c r="AB14" i="5" s="1"/>
  <c r="R26" i="5"/>
  <c r="AB26" i="5" s="1"/>
  <c r="R17" i="19"/>
  <c r="AB17" i="19" s="1"/>
  <c r="R22" i="19"/>
  <c r="AB22" i="19" s="1"/>
  <c r="R35" i="19"/>
  <c r="AB35" i="19" s="1"/>
  <c r="R29" i="19"/>
  <c r="AB29" i="19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10" i="19"/>
  <c r="AB10" i="19" s="1"/>
  <c r="R20" i="5"/>
  <c r="AB20" i="5" s="1"/>
  <c r="R36" i="5"/>
  <c r="AB36" i="5" s="1"/>
  <c r="R37" i="19"/>
  <c r="AB37" i="19" s="1"/>
  <c r="R33" i="5"/>
  <c r="AB33" i="5" s="1"/>
  <c r="R24" i="19"/>
  <c r="AB24" i="19" s="1"/>
  <c r="R8" i="5"/>
  <c r="AB8" i="5" s="1"/>
  <c r="R34" i="5"/>
  <c r="AB34" i="5" s="1"/>
  <c r="R27" i="5"/>
  <c r="AB27" i="5" s="1"/>
  <c r="R16" i="5"/>
  <c r="AB16" i="5" s="1"/>
  <c r="O12" i="17"/>
  <c r="R19" i="19"/>
  <c r="AB19" i="19" s="1"/>
  <c r="R35" i="5"/>
  <c r="AB35" i="5" s="1"/>
  <c r="R40" i="5"/>
  <c r="AB40" i="5" s="1"/>
  <c r="R42" i="19"/>
  <c r="AB42" i="19" s="1"/>
  <c r="R6" i="19"/>
  <c r="AB6" i="19" s="1"/>
  <c r="R11" i="19"/>
  <c r="AB11" i="19" s="1"/>
  <c r="O5" i="17"/>
  <c r="R26" i="19"/>
  <c r="AB26" i="19" s="1"/>
  <c r="R5" i="19"/>
  <c r="AB5" i="19" s="1"/>
  <c r="O14" i="17"/>
  <c r="R32" i="5"/>
  <c r="AB32" i="5" s="1"/>
  <c r="R39" i="5"/>
  <c r="AB39" i="5" s="1"/>
  <c r="R9" i="5"/>
  <c r="AB9" i="5" s="1"/>
  <c r="R7" i="19"/>
  <c r="AB7" i="19" s="1"/>
  <c r="O7" i="17"/>
  <c r="R21" i="19"/>
  <c r="AB21" i="19" s="1"/>
  <c r="R30" i="19"/>
  <c r="AB30" i="19" s="1"/>
  <c r="R25" i="19"/>
  <c r="AB25" i="19" s="1"/>
  <c r="R39" i="19"/>
  <c r="AB39" i="19" s="1"/>
  <c r="O9" i="17"/>
  <c r="R28" i="5"/>
  <c r="AB28" i="5" s="1"/>
  <c r="R38" i="19"/>
  <c r="AB38" i="19" s="1"/>
  <c r="O13" i="17"/>
  <c r="R23" i="19"/>
  <c r="AB23" i="19" s="1"/>
  <c r="O6" i="17"/>
  <c r="R19" i="5"/>
  <c r="AB19" i="5" s="1"/>
  <c r="R41" i="19"/>
  <c r="AB41" i="19" s="1"/>
  <c r="R28" i="19"/>
  <c r="AB28" i="19" s="1"/>
  <c r="R15" i="19"/>
  <c r="AB15" i="19" s="1"/>
  <c r="R40" i="19"/>
  <c r="AB40" i="19" s="1"/>
  <c r="R20" i="19"/>
  <c r="AB20" i="19" s="1"/>
  <c r="R27" i="19"/>
  <c r="AB27" i="19" s="1"/>
  <c r="R18" i="19"/>
  <c r="AB18" i="19" s="1"/>
  <c r="R12" i="5"/>
  <c r="AB12" i="5" s="1"/>
  <c r="R13" i="19"/>
  <c r="AB13" i="19" s="1"/>
  <c r="R36" i="19"/>
  <c r="AB36" i="19" s="1"/>
  <c r="R12" i="19"/>
  <c r="AB12" i="19" s="1"/>
  <c r="O15" i="17"/>
  <c r="O8" i="17"/>
  <c r="O11" i="17"/>
  <c r="S5" i="6" a="1"/>
  <c r="R15" i="5"/>
  <c r="AB15" i="5" s="1"/>
  <c r="AB6" i="5"/>
  <c r="R23" i="5"/>
  <c r="AB23" i="5" s="1"/>
  <c r="R31" i="5"/>
  <c r="AB31" i="5" s="1"/>
  <c r="R32" i="19"/>
  <c r="AB32" i="19" s="1"/>
  <c r="AG20" i="12"/>
  <c r="AG30" i="12"/>
  <c r="AG18" i="12"/>
  <c r="AG38" i="12"/>
  <c r="AG28" i="12"/>
  <c r="AG16" i="12"/>
  <c r="AG26" i="12"/>
  <c r="AG14" i="12"/>
  <c r="AG36" i="12"/>
  <c r="AG12" i="12"/>
  <c r="AG24" i="12"/>
  <c r="AG34" i="12"/>
  <c r="AG10" i="12"/>
  <c r="AG22" i="12"/>
  <c r="AG8" i="12"/>
  <c r="AG32" i="12"/>
  <c r="AG6" i="12"/>
  <c r="N6" i="12"/>
  <c r="N8" i="12"/>
  <c r="N10" i="12"/>
  <c r="N12" i="12"/>
  <c r="N14" i="12"/>
  <c r="N16" i="12"/>
  <c r="N18" i="12"/>
  <c r="N20" i="12"/>
  <c r="N22" i="12"/>
  <c r="N24" i="12"/>
  <c r="N26" i="12"/>
  <c r="N28" i="12"/>
  <c r="N30" i="12"/>
  <c r="N32" i="12"/>
  <c r="N34" i="12"/>
  <c r="N36" i="12"/>
  <c r="N38" i="12"/>
  <c r="N7" i="12"/>
  <c r="N9" i="12"/>
  <c r="N11" i="12"/>
  <c r="N13" i="12"/>
  <c r="N15" i="12"/>
  <c r="N17" i="12"/>
  <c r="N33" i="12"/>
  <c r="N23" i="12"/>
  <c r="N35" i="12"/>
  <c r="N25" i="12"/>
  <c r="N37" i="12"/>
  <c r="N27" i="12"/>
  <c r="N29" i="12"/>
  <c r="N39" i="12"/>
  <c r="N19" i="12"/>
  <c r="N31" i="12"/>
  <c r="N21" i="12"/>
  <c r="AG37" i="12"/>
  <c r="AG35" i="12"/>
  <c r="AG33" i="12"/>
  <c r="AG31" i="12"/>
  <c r="AG29" i="12"/>
  <c r="AG27" i="12"/>
  <c r="AG25" i="12"/>
  <c r="AG23" i="12"/>
  <c r="AG21" i="12"/>
  <c r="AG19" i="12"/>
  <c r="AG17" i="12"/>
  <c r="AG15" i="12"/>
  <c r="AG13" i="12"/>
  <c r="AG11" i="12"/>
  <c r="AG9" i="12"/>
  <c r="AG7" i="12"/>
  <c r="AG39" i="12"/>
  <c r="N40" i="12"/>
  <c r="N41" i="12"/>
  <c r="N42" i="12"/>
  <c r="N43" i="12"/>
  <c r="N44" i="12"/>
  <c r="N45" i="12"/>
  <c r="N46" i="12"/>
  <c r="N47" i="12"/>
  <c r="L5" i="10"/>
  <c r="V5" i="10" s="1"/>
  <c r="L6" i="10"/>
  <c r="V6" i="10" s="1"/>
  <c r="L7" i="10"/>
  <c r="V7" i="10" s="1"/>
  <c r="L8" i="10"/>
  <c r="V8" i="10" s="1"/>
  <c r="L9" i="10"/>
  <c r="V9" i="10" s="1"/>
  <c r="L10" i="10"/>
  <c r="V10" i="10" s="1"/>
  <c r="L11" i="10"/>
  <c r="V11" i="10" s="1"/>
  <c r="L12" i="10"/>
  <c r="V12" i="10" s="1"/>
  <c r="L13" i="10"/>
  <c r="V13" i="10" s="1"/>
  <c r="L14" i="10"/>
  <c r="V14" i="10" s="1"/>
  <c r="L15" i="10"/>
  <c r="V15" i="10" s="1"/>
  <c r="L16" i="10"/>
  <c r="V16" i="10" s="1"/>
  <c r="L17" i="10"/>
  <c r="V17" i="10" s="1"/>
  <c r="K18" i="10"/>
  <c r="L18" i="10" s="1"/>
  <c r="V18" i="10" s="1"/>
  <c r="K19" i="10"/>
  <c r="L19" i="10" s="1"/>
  <c r="V19" i="10" s="1"/>
  <c r="K20" i="10"/>
  <c r="L20" i="10" s="1"/>
  <c r="V20" i="10" s="1"/>
  <c r="K21" i="10"/>
  <c r="L21" i="10" s="1"/>
  <c r="V21" i="10" s="1"/>
  <c r="K22" i="10"/>
  <c r="L22" i="10"/>
  <c r="V22" i="10" s="1"/>
  <c r="K23" i="10"/>
  <c r="L23" i="10" s="1"/>
  <c r="V23" i="10" s="1"/>
  <c r="K24" i="10"/>
  <c r="L24" i="10" s="1"/>
  <c r="V24" i="10" s="1"/>
  <c r="K25" i="10"/>
  <c r="L25" i="10" s="1"/>
  <c r="V25" i="10" s="1"/>
  <c r="K26" i="10"/>
  <c r="L26" i="10" s="1"/>
  <c r="V26" i="10" s="1"/>
  <c r="K27" i="10"/>
  <c r="L27" i="10"/>
  <c r="V27" i="10" s="1"/>
  <c r="K28" i="10"/>
  <c r="L28" i="10" s="1"/>
  <c r="V28" i="10" s="1"/>
  <c r="K29" i="10"/>
  <c r="L29" i="10" s="1"/>
  <c r="V29" i="10" s="1"/>
  <c r="K30" i="10"/>
  <c r="L30" i="10" s="1"/>
  <c r="V30" i="10" s="1"/>
  <c r="K31" i="10"/>
  <c r="L31" i="10" s="1"/>
  <c r="V31" i="10" s="1"/>
  <c r="K32" i="10"/>
  <c r="L32" i="10" s="1"/>
  <c r="V32" i="10" s="1"/>
  <c r="K33" i="10"/>
  <c r="L33" i="10" s="1"/>
  <c r="V33" i="10" s="1"/>
  <c r="K34" i="10"/>
  <c r="L34" i="10" s="1"/>
  <c r="V34" i="10" s="1"/>
  <c r="K35" i="10"/>
  <c r="L35" i="10" s="1"/>
  <c r="V35" i="10" s="1"/>
  <c r="K36" i="10"/>
  <c r="L36" i="10" s="1"/>
  <c r="V36" i="10" s="1"/>
  <c r="R15" i="10"/>
  <c r="U45" i="12"/>
  <c r="R10" i="10"/>
  <c r="U43" i="12"/>
  <c r="R20" i="10"/>
  <c r="R16" i="10"/>
  <c r="U44" i="12"/>
  <c r="R19" i="10"/>
  <c r="R35" i="10"/>
  <c r="R9" i="10"/>
  <c r="U47" i="12"/>
  <c r="U42" i="12"/>
  <c r="R23" i="10"/>
  <c r="R27" i="10"/>
  <c r="R21" i="10"/>
  <c r="R26" i="10"/>
  <c r="R28" i="10"/>
  <c r="R8" i="10"/>
  <c r="R22" i="10"/>
  <c r="R29" i="10"/>
  <c r="R11" i="10"/>
  <c r="R34" i="10"/>
  <c r="R5" i="10"/>
  <c r="U46" i="12"/>
  <c r="R33" i="10"/>
  <c r="R25" i="10"/>
  <c r="R7" i="10"/>
  <c r="R32" i="10"/>
  <c r="R31" i="10"/>
  <c r="U41" i="12"/>
  <c r="R13" i="10"/>
  <c r="R17" i="10"/>
  <c r="R18" i="10"/>
  <c r="R24" i="10"/>
  <c r="R6" i="10"/>
  <c r="R12" i="10"/>
  <c r="R30" i="10"/>
  <c r="R36" i="10"/>
  <c r="U40" i="12"/>
  <c r="R14" i="10"/>
  <c r="AD30" i="19"/>
  <c r="AD13" i="19"/>
  <c r="AD10" i="19"/>
  <c r="AD9" i="19"/>
  <c r="AD19" i="19"/>
  <c r="AD31" i="19"/>
  <c r="AD28" i="19"/>
  <c r="AD36" i="19"/>
  <c r="AD37" i="19"/>
  <c r="AD32" i="19"/>
  <c r="AD8" i="19"/>
  <c r="AD25" i="19"/>
  <c r="AD15" i="19"/>
  <c r="AD18" i="19"/>
  <c r="AD24" i="19"/>
  <c r="AD22" i="19"/>
  <c r="AD11" i="19"/>
  <c r="AD39" i="19"/>
  <c r="AD16" i="19"/>
  <c r="AD21" i="19"/>
  <c r="AD34" i="19"/>
  <c r="AD20" i="19"/>
  <c r="AD29" i="19"/>
  <c r="AD17" i="19"/>
  <c r="AD41" i="19"/>
  <c r="AD38" i="19"/>
  <c r="AD14" i="19"/>
  <c r="AD23" i="19"/>
  <c r="AD27" i="19"/>
  <c r="AD40" i="19"/>
  <c r="AD35" i="19"/>
  <c r="AD26" i="19"/>
  <c r="AD33" i="19"/>
  <c r="AD42" i="19"/>
  <c r="Z15" i="17"/>
  <c r="Z6" i="17"/>
  <c r="Z14" i="17"/>
  <c r="Z9" i="17"/>
  <c r="Z8" i="17"/>
  <c r="Z10" i="17"/>
  <c r="Z7" i="17"/>
  <c r="Z11" i="17"/>
  <c r="Z5" i="17"/>
  <c r="Z13" i="17"/>
  <c r="Z12" i="17"/>
  <c r="X41" i="10"/>
  <c r="X40" i="10"/>
  <c r="W14" i="10" l="1"/>
  <c r="Z40" i="12"/>
  <c r="W36" i="10"/>
  <c r="W30" i="10"/>
  <c r="W12" i="10"/>
  <c r="W6" i="10"/>
  <c r="W24" i="10"/>
  <c r="W18" i="10"/>
  <c r="W17" i="10"/>
  <c r="W13" i="10"/>
  <c r="Z41" i="12"/>
  <c r="W31" i="10"/>
  <c r="W32" i="10"/>
  <c r="W7" i="10"/>
  <c r="W25" i="10"/>
  <c r="W33" i="10"/>
  <c r="Z46" i="12"/>
  <c r="W5" i="10"/>
  <c r="W34" i="10"/>
  <c r="W11" i="10"/>
  <c r="W29" i="10"/>
  <c r="W22" i="10"/>
  <c r="W8" i="10"/>
  <c r="W28" i="10"/>
  <c r="W26" i="10"/>
  <c r="W21" i="10"/>
  <c r="W27" i="10"/>
  <c r="W23" i="10"/>
  <c r="Z42" i="12"/>
  <c r="Z47" i="12"/>
  <c r="W9" i="10"/>
  <c r="W35" i="10"/>
  <c r="W19" i="10"/>
  <c r="Z44" i="12"/>
  <c r="W16" i="10"/>
  <c r="W20" i="10"/>
  <c r="Z43" i="12"/>
  <c r="W10" i="10"/>
  <c r="Z45" i="12"/>
  <c r="W15" i="10"/>
  <c r="S5" i="19" a="1"/>
  <c r="S33" i="19" s="1"/>
  <c r="M5" i="10" a="1"/>
  <c r="M9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L5" i="14"/>
  <c r="Q5" i="14" s="1"/>
  <c r="AG46" i="12"/>
  <c r="AG44" i="12"/>
  <c r="AG42" i="12"/>
  <c r="AG40" i="12"/>
  <c r="AG47" i="12"/>
  <c r="AG45" i="12"/>
  <c r="AG43" i="12"/>
  <c r="AG41" i="12"/>
  <c r="AE11" i="10"/>
  <c r="AE30" i="10"/>
  <c r="AE18" i="10"/>
  <c r="AE6" i="10"/>
  <c r="AE8" i="10"/>
  <c r="AE34" i="10"/>
  <c r="AE19" i="10"/>
  <c r="AE5" i="10"/>
  <c r="AE32" i="10"/>
  <c r="AE24" i="10"/>
  <c r="AE10" i="10"/>
  <c r="AE25" i="10"/>
  <c r="AE7" i="10"/>
  <c r="AE16" i="10"/>
  <c r="AE36" i="10"/>
  <c r="AE22" i="10"/>
  <c r="AE33" i="10"/>
  <c r="AE21" i="10"/>
  <c r="AE28" i="10"/>
  <c r="AE26" i="10"/>
  <c r="AE20" i="10"/>
  <c r="AE15" i="10"/>
  <c r="AE35" i="10"/>
  <c r="AE31" i="10"/>
  <c r="AE29" i="10"/>
  <c r="AE27" i="10"/>
  <c r="AE23" i="10"/>
  <c r="AE17" i="10"/>
  <c r="AE9" i="10"/>
  <c r="W3" i="9"/>
  <c r="J5" i="9"/>
  <c r="O5" i="9"/>
  <c r="AD12" i="19"/>
  <c r="Q5" i="9"/>
  <c r="M10" i="10" l="1"/>
  <c r="M16" i="10"/>
  <c r="S17" i="19"/>
  <c r="S18" i="19"/>
  <c r="S36" i="19"/>
  <c r="M33" i="10"/>
  <c r="S25" i="19"/>
  <c r="S19" i="19"/>
  <c r="M27" i="10"/>
  <c r="S27" i="19"/>
  <c r="S15" i="19"/>
  <c r="S32" i="19"/>
  <c r="S13" i="19"/>
  <c r="S16" i="19"/>
  <c r="S22" i="19"/>
  <c r="S8" i="19"/>
  <c r="M23" i="10"/>
  <c r="M11" i="10"/>
  <c r="M35" i="10"/>
  <c r="S20" i="19"/>
  <c r="S39" i="19"/>
  <c r="S6" i="19"/>
  <c r="M36" i="10"/>
  <c r="M29" i="10"/>
  <c r="S11" i="19"/>
  <c r="S23" i="19"/>
  <c r="M30" i="10"/>
  <c r="M12" i="10"/>
  <c r="S41" i="19"/>
  <c r="S7" i="19"/>
  <c r="M20" i="10"/>
  <c r="M31" i="10"/>
  <c r="S34" i="19"/>
  <c r="M18" i="10"/>
  <c r="S29" i="19"/>
  <c r="M13" i="10"/>
  <c r="M19" i="10"/>
  <c r="S12" i="19"/>
  <c r="S37" i="19"/>
  <c r="S42" i="19"/>
  <c r="S40" i="19"/>
  <c r="S24" i="19"/>
  <c r="S31" i="19"/>
  <c r="S9" i="19"/>
  <c r="S10" i="19"/>
  <c r="S38" i="19"/>
  <c r="M34" i="10"/>
  <c r="S30" i="19"/>
  <c r="M25" i="10"/>
  <c r="S14" i="19"/>
  <c r="M6" i="10"/>
  <c r="M7" i="10"/>
  <c r="S5" i="19"/>
  <c r="S21" i="19"/>
  <c r="M32" i="10"/>
  <c r="S35" i="19"/>
  <c r="M8" i="10"/>
  <c r="S28" i="19"/>
  <c r="M15" i="10"/>
  <c r="S26" i="19"/>
  <c r="M14" i="10"/>
  <c r="M28" i="10"/>
  <c r="M21" i="10"/>
  <c r="M26" i="10"/>
  <c r="M17" i="10"/>
  <c r="M24" i="10"/>
  <c r="M5" i="10"/>
  <c r="M22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J6" i="9"/>
  <c r="O6" i="9"/>
  <c r="J7" i="9"/>
  <c r="O7" i="9"/>
  <c r="J8" i="9"/>
  <c r="O8" i="9"/>
  <c r="J9" i="9"/>
  <c r="O9" i="9"/>
  <c r="J10" i="9"/>
  <c r="O10" i="9"/>
  <c r="J11" i="9"/>
  <c r="O11" i="9"/>
  <c r="J12" i="9"/>
  <c r="O12" i="9"/>
  <c r="J13" i="9"/>
  <c r="O13" i="9"/>
  <c r="J14" i="9"/>
  <c r="O14" i="9"/>
  <c r="J15" i="9"/>
  <c r="O15" i="9"/>
  <c r="J16" i="9"/>
  <c r="O16" i="9"/>
  <c r="J17" i="9"/>
  <c r="O17" i="9"/>
  <c r="J18" i="9"/>
  <c r="O18" i="9"/>
  <c r="J19" i="9"/>
  <c r="O19" i="9"/>
  <c r="J20" i="9"/>
  <c r="O20" i="9"/>
  <c r="J21" i="9"/>
  <c r="O21" i="9"/>
  <c r="J22" i="9"/>
  <c r="O22" i="9"/>
  <c r="R6" i="14"/>
  <c r="X34" i="10"/>
  <c r="X14" i="10"/>
  <c r="X19" i="10"/>
  <c r="X8" i="10"/>
  <c r="X35" i="10"/>
  <c r="X27" i="10"/>
  <c r="X32" i="10"/>
  <c r="X36" i="10"/>
  <c r="X17" i="10"/>
  <c r="X24" i="10"/>
  <c r="X23" i="10"/>
  <c r="X22" i="10"/>
  <c r="X31" i="10"/>
  <c r="X12" i="10"/>
  <c r="X11" i="10"/>
  <c r="X15" i="10"/>
  <c r="X20" i="10"/>
  <c r="X30" i="10"/>
  <c r="X29" i="10"/>
  <c r="X13" i="10"/>
  <c r="X25" i="10"/>
  <c r="X5" i="10"/>
  <c r="X26" i="10"/>
  <c r="X9" i="10"/>
  <c r="X6" i="10"/>
  <c r="X33" i="10"/>
  <c r="X7" i="10"/>
  <c r="X16" i="10"/>
  <c r="X28" i="10"/>
  <c r="X21" i="10"/>
  <c r="X18" i="10"/>
  <c r="X10" i="10"/>
  <c r="Q14" i="9"/>
  <c r="Q20" i="9"/>
  <c r="Q15" i="9"/>
  <c r="Q16" i="9"/>
  <c r="Q22" i="9"/>
  <c r="Q17" i="9"/>
  <c r="Q18" i="9"/>
  <c r="Q8" i="9"/>
  <c r="Q11" i="9"/>
  <c r="Q7" i="9"/>
  <c r="Q13" i="9"/>
  <c r="Q12" i="9"/>
  <c r="Q6" i="9"/>
  <c r="Q21" i="9"/>
  <c r="Q9" i="9"/>
  <c r="Q10" i="9"/>
  <c r="Q19" i="9"/>
  <c r="D5" i="39" l="1"/>
  <c r="D6" i="39"/>
  <c r="D7" i="39"/>
  <c r="D8" i="39"/>
  <c r="D9" i="39"/>
  <c r="D10" i="39"/>
  <c r="D11" i="39"/>
  <c r="D12" i="39"/>
  <c r="D13" i="39"/>
  <c r="D15" i="39"/>
  <c r="D16" i="39"/>
  <c r="D17" i="39"/>
  <c r="D19" i="39"/>
  <c r="D20" i="39"/>
  <c r="D21" i="39"/>
  <c r="D22" i="39"/>
  <c r="D23" i="39"/>
  <c r="D24" i="39"/>
  <c r="D25" i="39"/>
  <c r="D26" i="39"/>
  <c r="D27" i="39"/>
  <c r="D28" i="39"/>
  <c r="D29" i="39"/>
  <c r="D8" i="38"/>
  <c r="E10" i="39"/>
  <c r="E25" i="39"/>
  <c r="B1" i="38"/>
  <c r="E28" i="39"/>
  <c r="E29" i="39"/>
  <c r="E6" i="39"/>
  <c r="E26" i="39"/>
  <c r="E21" i="39"/>
  <c r="E9" i="39"/>
  <c r="E27" i="39"/>
  <c r="E8" i="39"/>
  <c r="E23" i="39"/>
  <c r="E20" i="39"/>
  <c r="E13" i="39"/>
  <c r="E22" i="39"/>
  <c r="E12" i="39"/>
  <c r="E24" i="39"/>
  <c r="E17" i="39"/>
  <c r="E7" i="39"/>
  <c r="E11" i="39"/>
  <c r="E16" i="39"/>
  <c r="R5" i="14"/>
  <c r="E5" i="39"/>
  <c r="K5" i="36" l="1"/>
  <c r="D6" i="36"/>
  <c r="J6" i="36"/>
  <c r="K6" i="36"/>
  <c r="D7" i="36"/>
  <c r="J7" i="36"/>
  <c r="K7" i="36"/>
  <c r="D8" i="36"/>
  <c r="J8" i="36"/>
  <c r="K8" i="36"/>
  <c r="J9" i="36"/>
  <c r="K9" i="36"/>
  <c r="D10" i="36"/>
  <c r="J10" i="36"/>
  <c r="K10" i="36"/>
  <c r="D11" i="36"/>
  <c r="J11" i="36"/>
  <c r="K11" i="36"/>
  <c r="D12" i="36"/>
  <c r="J12" i="36"/>
  <c r="K12" i="36"/>
  <c r="D13" i="36"/>
  <c r="J13" i="36"/>
  <c r="K13" i="36"/>
  <c r="D14" i="36"/>
  <c r="J14" i="36"/>
  <c r="K14" i="36"/>
  <c r="F13" i="39"/>
  <c r="F21" i="39"/>
  <c r="F26" i="39"/>
  <c r="F17" i="39"/>
  <c r="F23" i="39"/>
  <c r="F10" i="39"/>
  <c r="F27" i="39"/>
  <c r="F7" i="39"/>
  <c r="F9" i="39"/>
  <c r="F25" i="39"/>
  <c r="F24" i="39"/>
  <c r="F28" i="39"/>
  <c r="L12" i="36"/>
  <c r="F12" i="39"/>
  <c r="F16" i="39"/>
  <c r="L13" i="36"/>
  <c r="F11" i="39"/>
  <c r="F8" i="39"/>
  <c r="L6" i="36"/>
  <c r="F29" i="39"/>
  <c r="F20" i="39"/>
  <c r="F22" i="39"/>
  <c r="F6" i="39"/>
  <c r="L14" i="36"/>
  <c r="L11" i="36"/>
  <c r="L10" i="36"/>
  <c r="L9" i="36"/>
  <c r="M11" i="36"/>
  <c r="R3" i="14"/>
  <c r="F5" i="39"/>
  <c r="E19" i="39"/>
  <c r="E15" i="39"/>
  <c r="D15" i="36" l="1"/>
  <c r="J15" i="36"/>
  <c r="K15" i="36"/>
  <c r="D16" i="36"/>
  <c r="J16" i="36"/>
  <c r="K16" i="36"/>
  <c r="D17" i="36"/>
  <c r="J17" i="36"/>
  <c r="K17" i="36"/>
  <c r="D18" i="36"/>
  <c r="J18" i="36"/>
  <c r="K18" i="36"/>
  <c r="D19" i="36"/>
  <c r="J19" i="36"/>
  <c r="K19" i="36"/>
  <c r="D20" i="36"/>
  <c r="J20" i="36"/>
  <c r="K20" i="36"/>
  <c r="D21" i="36"/>
  <c r="J21" i="36"/>
  <c r="K21" i="36"/>
  <c r="D22" i="36"/>
  <c r="J22" i="36"/>
  <c r="K22" i="36"/>
  <c r="D23" i="36"/>
  <c r="J23" i="36"/>
  <c r="K23" i="36"/>
  <c r="D9" i="35"/>
  <c r="N10" i="36"/>
  <c r="M6" i="36"/>
  <c r="M13" i="36"/>
  <c r="N6" i="36"/>
  <c r="L19" i="36"/>
  <c r="M12" i="36"/>
  <c r="M9" i="36"/>
  <c r="M14" i="36"/>
  <c r="M10" i="36"/>
  <c r="N19" i="36"/>
  <c r="N13" i="36"/>
  <c r="L21" i="36"/>
  <c r="N11" i="36"/>
  <c r="N12" i="36"/>
  <c r="L23" i="36"/>
  <c r="L16" i="36"/>
  <c r="M21" i="36"/>
  <c r="L22" i="36"/>
  <c r="L17" i="36"/>
  <c r="B1" i="35"/>
  <c r="N14" i="36"/>
  <c r="N21" i="36"/>
  <c r="N9" i="36"/>
  <c r="L18" i="36"/>
  <c r="M22" i="36"/>
  <c r="M17" i="36"/>
  <c r="L20" i="36"/>
  <c r="M20" i="36"/>
  <c r="M19" i="36"/>
  <c r="L15" i="36"/>
  <c r="F15" i="39"/>
  <c r="F19" i="39"/>
  <c r="M16" i="36" l="1"/>
  <c r="N22" i="36"/>
  <c r="N17" i="36"/>
  <c r="M15" i="36"/>
  <c r="N16" i="36"/>
  <c r="M18" i="36"/>
  <c r="N15" i="36"/>
  <c r="N23" i="36"/>
  <c r="N20" i="36"/>
  <c r="N18" i="36"/>
  <c r="M23" i="36"/>
  <c r="L5" i="36"/>
  <c r="N5" i="36"/>
  <c r="C5" i="19" l="1" a="1"/>
  <c r="C5" i="19" s="1"/>
  <c r="D5" i="19" a="1"/>
  <c r="D5" i="19" s="1"/>
  <c r="E4" i="19" l="1"/>
  <c r="E5" i="19"/>
  <c r="C6" i="19"/>
  <c r="D6" i="19"/>
  <c r="F5" i="19"/>
  <c r="G5" i="19"/>
  <c r="E6" i="19" l="1"/>
  <c r="C7" i="19"/>
  <c r="D7" i="19"/>
  <c r="F6" i="19"/>
  <c r="G6" i="19"/>
  <c r="E7" i="19" l="1"/>
  <c r="C8" i="19"/>
  <c r="D8" i="19"/>
  <c r="F7" i="19"/>
  <c r="G7" i="19"/>
  <c r="E8" i="19" l="1"/>
  <c r="C9" i="19"/>
  <c r="D9" i="19"/>
  <c r="F8" i="19"/>
  <c r="F9" i="19"/>
  <c r="G8" i="19"/>
  <c r="E9" i="19" l="1"/>
  <c r="C10" i="19"/>
  <c r="D10" i="19"/>
  <c r="G9" i="19"/>
  <c r="E10" i="19" l="1"/>
  <c r="C11" i="19"/>
  <c r="D11" i="19"/>
  <c r="F10" i="19"/>
  <c r="G10" i="19"/>
  <c r="E11" i="19" l="1"/>
  <c r="C12" i="19"/>
  <c r="D12" i="19"/>
  <c r="F11" i="19"/>
  <c r="E12" i="19" l="1"/>
  <c r="C13" i="19"/>
  <c r="D13" i="19"/>
  <c r="F12" i="19"/>
  <c r="G11" i="19"/>
  <c r="G12" i="19"/>
  <c r="E13" i="19" l="1"/>
  <c r="C14" i="19"/>
  <c r="D14" i="19"/>
  <c r="F13" i="19"/>
  <c r="G13" i="19"/>
  <c r="E14" i="19" l="1"/>
  <c r="C15" i="19"/>
  <c r="D15" i="19"/>
  <c r="F14" i="19"/>
  <c r="G14" i="19"/>
  <c r="E15" i="19" l="1"/>
  <c r="C16" i="19"/>
  <c r="D16" i="19"/>
  <c r="F15" i="19"/>
  <c r="G15" i="19"/>
  <c r="E16" i="19" l="1"/>
  <c r="C17" i="19"/>
  <c r="D17" i="19"/>
  <c r="F16" i="19"/>
  <c r="G16" i="19" s="1"/>
  <c r="F17" i="19"/>
  <c r="G17" i="19"/>
  <c r="E17" i="19" l="1"/>
  <c r="C18" i="19"/>
  <c r="D18" i="19"/>
  <c r="C19" i="19"/>
  <c r="D19" i="19"/>
  <c r="E18" i="19" l="1"/>
  <c r="E19" i="19"/>
  <c r="C20" i="19"/>
  <c r="D20" i="19"/>
  <c r="C21" i="19"/>
  <c r="D21" i="19"/>
  <c r="F19" i="19"/>
  <c r="F21" i="19"/>
  <c r="F18" i="19"/>
  <c r="G19" i="19"/>
  <c r="G18" i="19"/>
  <c r="E20" i="19" l="1"/>
  <c r="E21" i="19"/>
  <c r="C22" i="19"/>
  <c r="D22" i="19"/>
  <c r="F20" i="19"/>
  <c r="G21" i="19"/>
  <c r="F22" i="19"/>
  <c r="E22" i="19" l="1"/>
  <c r="C23" i="19"/>
  <c r="D23" i="19"/>
  <c r="C24" i="19"/>
  <c r="D24" i="19"/>
  <c r="C25" i="19"/>
  <c r="D25" i="19"/>
  <c r="C26" i="19"/>
  <c r="D26" i="19"/>
  <c r="G22" i="19"/>
  <c r="F23" i="19"/>
  <c r="G20" i="19"/>
  <c r="E23" i="19" l="1"/>
  <c r="E25" i="19"/>
  <c r="E24" i="19"/>
  <c r="E26" i="19"/>
  <c r="C27" i="19"/>
  <c r="D27" i="19"/>
  <c r="C28" i="19"/>
  <c r="D28" i="19"/>
  <c r="F26" i="19"/>
  <c r="G26" i="19" s="1"/>
  <c r="F25" i="19"/>
  <c r="G25" i="19" s="1"/>
  <c r="F24" i="19"/>
  <c r="G24" i="19" s="1"/>
  <c r="F28" i="19"/>
  <c r="E27" i="19" l="1"/>
  <c r="E28" i="19"/>
  <c r="C29" i="19"/>
  <c r="D29" i="19"/>
  <c r="F27" i="19"/>
  <c r="G23" i="19"/>
  <c r="G28" i="19"/>
  <c r="G27" i="19"/>
  <c r="F29" i="19"/>
  <c r="E29" i="19" l="1"/>
  <c r="C30" i="19"/>
  <c r="D30" i="19"/>
  <c r="G29" i="19"/>
  <c r="F30" i="19"/>
  <c r="E30" i="19" l="1"/>
  <c r="C31" i="19"/>
  <c r="D31" i="19"/>
  <c r="G30" i="19"/>
  <c r="F31" i="19"/>
  <c r="E31" i="19" l="1"/>
  <c r="C32" i="19"/>
  <c r="D32" i="19"/>
  <c r="G31" i="19"/>
  <c r="F32" i="19"/>
  <c r="E32" i="19" l="1"/>
  <c r="C33" i="19"/>
  <c r="D33" i="19"/>
  <c r="G32" i="19"/>
  <c r="F33" i="19"/>
  <c r="E33" i="19" l="1"/>
  <c r="C34" i="19"/>
  <c r="D34" i="19"/>
  <c r="F34" i="19"/>
  <c r="G33" i="19"/>
  <c r="E34" i="19" l="1"/>
  <c r="C35" i="19"/>
  <c r="D35" i="19"/>
  <c r="G34" i="19"/>
  <c r="F35" i="19"/>
  <c r="E35" i="19" l="1"/>
  <c r="C36" i="19"/>
  <c r="D36" i="19"/>
  <c r="F36" i="19"/>
  <c r="G35" i="19"/>
  <c r="E36" i="19" l="1"/>
  <c r="C37" i="19"/>
  <c r="D37" i="19"/>
  <c r="C38" i="19"/>
  <c r="D38" i="19"/>
  <c r="C39" i="19"/>
  <c r="D39" i="19"/>
  <c r="C40" i="19"/>
  <c r="D40" i="19"/>
  <c r="G36" i="19"/>
  <c r="F40" i="19"/>
  <c r="F38" i="19"/>
  <c r="E37" i="19" l="1"/>
  <c r="E39" i="19"/>
  <c r="E38" i="19"/>
  <c r="E40" i="19"/>
  <c r="C41" i="19"/>
  <c r="D41" i="19"/>
  <c r="C42" i="19"/>
  <c r="D42" i="19"/>
  <c r="G40" i="19"/>
  <c r="F41" i="19"/>
  <c r="F42" i="19"/>
  <c r="F39" i="19"/>
  <c r="G38" i="19"/>
  <c r="F37" i="19"/>
  <c r="E41" i="19" l="1"/>
  <c r="E42" i="19"/>
  <c r="E4" i="17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D8" i="15"/>
  <c r="G9" i="17"/>
  <c r="F46" i="16"/>
  <c r="F33" i="16"/>
  <c r="G12" i="16"/>
  <c r="G14" i="17"/>
  <c r="G6" i="16"/>
  <c r="D60" i="16"/>
  <c r="F34" i="16"/>
  <c r="G42" i="19"/>
  <c r="G7" i="16"/>
  <c r="F27" i="16"/>
  <c r="G7" i="17"/>
  <c r="F47" i="16"/>
  <c r="F42" i="16"/>
  <c r="F37" i="16"/>
  <c r="F50" i="16"/>
  <c r="G19" i="16"/>
  <c r="F49" i="16"/>
  <c r="F40" i="16"/>
  <c r="G13" i="16"/>
  <c r="F48" i="16"/>
  <c r="G39" i="19"/>
  <c r="G9" i="16"/>
  <c r="F39" i="16"/>
  <c r="F51" i="16"/>
  <c r="G8" i="17"/>
  <c r="G10" i="16"/>
  <c r="F22" i="16"/>
  <c r="F30" i="16"/>
  <c r="F53" i="16"/>
  <c r="G15" i="16"/>
  <c r="F44" i="16"/>
  <c r="G37" i="19"/>
  <c r="F32" i="16"/>
  <c r="G5" i="16"/>
  <c r="G15" i="17"/>
  <c r="G10" i="17"/>
  <c r="F52" i="16"/>
  <c r="F56" i="16"/>
  <c r="F21" i="16"/>
  <c r="F58" i="16"/>
  <c r="G20" i="16"/>
  <c r="F57" i="16"/>
  <c r="G6" i="17"/>
  <c r="F41" i="16"/>
  <c r="F25" i="16"/>
  <c r="F35" i="16"/>
  <c r="F29" i="16"/>
  <c r="F36" i="16"/>
  <c r="G17" i="16"/>
  <c r="F23" i="16"/>
  <c r="F55" i="16"/>
  <c r="G16" i="16"/>
  <c r="G8" i="16"/>
  <c r="F24" i="16"/>
  <c r="G14" i="16"/>
  <c r="G5" i="17"/>
  <c r="B1" i="15"/>
  <c r="F31" i="16"/>
  <c r="F54" i="16"/>
  <c r="G11" i="16"/>
  <c r="G11" i="17"/>
  <c r="F38" i="16"/>
  <c r="G13" i="17"/>
  <c r="F43" i="16"/>
  <c r="F28" i="16"/>
  <c r="F26" i="16"/>
  <c r="F45" i="16"/>
  <c r="G12" i="17"/>
  <c r="G18" i="16"/>
  <c r="G41" i="19"/>
  <c r="F4" i="17"/>
  <c r="E60" i="16" l="1"/>
  <c r="B4" i="14"/>
  <c r="B5" i="14"/>
  <c r="D61" i="16"/>
  <c r="G25" i="16"/>
  <c r="G40" i="16"/>
  <c r="G38" i="16"/>
  <c r="G44" i="16"/>
  <c r="G55" i="16"/>
  <c r="G48" i="16"/>
  <c r="G43" i="16"/>
  <c r="G22" i="16"/>
  <c r="G50" i="16"/>
  <c r="G24" i="16"/>
  <c r="G51" i="16"/>
  <c r="G39" i="16"/>
  <c r="G46" i="16"/>
  <c r="F60" i="16"/>
  <c r="C5" i="14"/>
  <c r="G34" i="16"/>
  <c r="G49" i="16"/>
  <c r="G58" i="16"/>
  <c r="G33" i="16"/>
  <c r="G32" i="16"/>
  <c r="G27" i="16"/>
  <c r="G47" i="16"/>
  <c r="G53" i="16"/>
  <c r="G29" i="16"/>
  <c r="G30" i="16"/>
  <c r="G26" i="16"/>
  <c r="G54" i="16"/>
  <c r="G41" i="16"/>
  <c r="G28" i="16"/>
  <c r="G57" i="16"/>
  <c r="G37" i="16"/>
  <c r="G23" i="16"/>
  <c r="G56" i="16"/>
  <c r="G35" i="16"/>
  <c r="G21" i="16"/>
  <c r="G42" i="16"/>
  <c r="G31" i="16"/>
  <c r="G52" i="16"/>
  <c r="G45" i="16"/>
  <c r="G36" i="16"/>
  <c r="G4" i="17"/>
  <c r="F4" i="19"/>
  <c r="E61" i="16" l="1"/>
  <c r="B6" i="14"/>
  <c r="E5" i="12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C18" i="10"/>
  <c r="D18" i="10" s="1"/>
  <c r="C19" i="10"/>
  <c r="D19" i="10" s="1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D36" i="10"/>
  <c r="D37" i="10"/>
  <c r="D38" i="10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D8" i="8"/>
  <c r="D62" i="16"/>
  <c r="E11" i="10"/>
  <c r="E27" i="10"/>
  <c r="D8" i="9"/>
  <c r="G60" i="16"/>
  <c r="E14" i="10"/>
  <c r="E15" i="10"/>
  <c r="D12" i="9"/>
  <c r="E33" i="10"/>
  <c r="D15" i="9"/>
  <c r="E3" i="10"/>
  <c r="D16" i="9"/>
  <c r="E20" i="10"/>
  <c r="E37" i="10"/>
  <c r="E8" i="9"/>
  <c r="E38" i="10"/>
  <c r="D20" i="9"/>
  <c r="D5" i="9"/>
  <c r="D6" i="9"/>
  <c r="E6" i="9" s="1"/>
  <c r="D7" i="9"/>
  <c r="F37" i="10"/>
  <c r="E12" i="10"/>
  <c r="E28" i="10"/>
  <c r="F28" i="10" s="1"/>
  <c r="D9" i="9"/>
  <c r="E30" i="10"/>
  <c r="E31" i="10"/>
  <c r="F27" i="10"/>
  <c r="D14" i="9"/>
  <c r="F61" i="16"/>
  <c r="E4" i="10"/>
  <c r="F4" i="10" s="1"/>
  <c r="F38" i="10"/>
  <c r="E21" i="10"/>
  <c r="D21" i="9"/>
  <c r="E10" i="10"/>
  <c r="E13" i="10"/>
  <c r="E29" i="10"/>
  <c r="D10" i="9"/>
  <c r="D63" i="16"/>
  <c r="F31" i="10"/>
  <c r="D11" i="9"/>
  <c r="E17" i="10"/>
  <c r="F17" i="10"/>
  <c r="E18" i="10"/>
  <c r="E35" i="10"/>
  <c r="E36" i="10"/>
  <c r="D18" i="9"/>
  <c r="F36" i="10"/>
  <c r="E23" i="10"/>
  <c r="E24" i="10"/>
  <c r="F24" i="10" s="1"/>
  <c r="E26" i="10"/>
  <c r="F26" i="10" s="1"/>
  <c r="C6" i="14"/>
  <c r="D6" i="12" a="1"/>
  <c r="F3" i="10"/>
  <c r="D17" i="9"/>
  <c r="E25" i="10"/>
  <c r="F25" i="10" s="1"/>
  <c r="E16" i="10"/>
  <c r="E32" i="10"/>
  <c r="D13" i="9"/>
  <c r="D5" i="14"/>
  <c r="E10" i="9"/>
  <c r="B1" i="8"/>
  <c r="E34" i="10"/>
  <c r="F34" i="10" s="1"/>
  <c r="E19" i="10"/>
  <c r="E7" i="9"/>
  <c r="E5" i="10"/>
  <c r="F5" i="10" s="1"/>
  <c r="F30" i="10"/>
  <c r="E7" i="10"/>
  <c r="F32" i="10"/>
  <c r="E8" i="10"/>
  <c r="F16" i="10"/>
  <c r="D22" i="9"/>
  <c r="E6" i="10"/>
  <c r="F6" i="10" s="1"/>
  <c r="E22" i="10"/>
  <c r="D19" i="9"/>
  <c r="F33" i="10"/>
  <c r="E9" i="10"/>
  <c r="G4" i="19"/>
  <c r="C4" i="14"/>
  <c r="E62" i="16" l="1"/>
  <c r="E63" i="16"/>
  <c r="D13" i="12"/>
  <c r="E13" i="12" s="1"/>
  <c r="D21" i="12"/>
  <c r="E21" i="12" s="1"/>
  <c r="D29" i="12"/>
  <c r="E29" i="12" s="1"/>
  <c r="D37" i="12"/>
  <c r="E37" i="12" s="1"/>
  <c r="D45" i="12"/>
  <c r="E45" i="12" s="1"/>
  <c r="D53" i="12"/>
  <c r="E53" i="12" s="1"/>
  <c r="D61" i="12"/>
  <c r="E61" i="12" s="1"/>
  <c r="D69" i="12"/>
  <c r="E69" i="12" s="1"/>
  <c r="D77" i="12"/>
  <c r="E77" i="12" s="1"/>
  <c r="D85" i="12"/>
  <c r="E85" i="12" s="1"/>
  <c r="D93" i="12"/>
  <c r="E93" i="12" s="1"/>
  <c r="D101" i="12"/>
  <c r="E101" i="12" s="1"/>
  <c r="D109" i="12"/>
  <c r="E109" i="12" s="1"/>
  <c r="D117" i="12"/>
  <c r="E117" i="12" s="1"/>
  <c r="D125" i="12"/>
  <c r="E125" i="12" s="1"/>
  <c r="D8" i="12"/>
  <c r="E8" i="12" s="1"/>
  <c r="D16" i="12"/>
  <c r="E16" i="12" s="1"/>
  <c r="D24" i="12"/>
  <c r="E24" i="12" s="1"/>
  <c r="D32" i="12"/>
  <c r="E32" i="12" s="1"/>
  <c r="D40" i="12"/>
  <c r="E40" i="12" s="1"/>
  <c r="D48" i="12"/>
  <c r="E48" i="12" s="1"/>
  <c r="D56" i="12"/>
  <c r="E56" i="12" s="1"/>
  <c r="D64" i="12"/>
  <c r="E64" i="12" s="1"/>
  <c r="D72" i="12"/>
  <c r="E72" i="12" s="1"/>
  <c r="D80" i="12"/>
  <c r="E80" i="12" s="1"/>
  <c r="D88" i="12"/>
  <c r="E88" i="12" s="1"/>
  <c r="D96" i="12"/>
  <c r="E96" i="12" s="1"/>
  <c r="D104" i="12"/>
  <c r="E104" i="12" s="1"/>
  <c r="D112" i="12"/>
  <c r="E112" i="12" s="1"/>
  <c r="D120" i="12"/>
  <c r="E120" i="12" s="1"/>
  <c r="D11" i="12"/>
  <c r="E11" i="12" s="1"/>
  <c r="D19" i="12"/>
  <c r="E19" i="12" s="1"/>
  <c r="D27" i="12"/>
  <c r="E27" i="12" s="1"/>
  <c r="D35" i="12"/>
  <c r="E35" i="12" s="1"/>
  <c r="D43" i="12"/>
  <c r="E43" i="12" s="1"/>
  <c r="D51" i="12"/>
  <c r="E51" i="12" s="1"/>
  <c r="D59" i="12"/>
  <c r="E59" i="12" s="1"/>
  <c r="D67" i="12"/>
  <c r="E67" i="12" s="1"/>
  <c r="D75" i="12"/>
  <c r="E75" i="12" s="1"/>
  <c r="D83" i="12"/>
  <c r="E83" i="12" s="1"/>
  <c r="D91" i="12"/>
  <c r="E91" i="12" s="1"/>
  <c r="D99" i="12"/>
  <c r="E99" i="12" s="1"/>
  <c r="D107" i="12"/>
  <c r="E107" i="12" s="1"/>
  <c r="D115" i="12"/>
  <c r="E115" i="12" s="1"/>
  <c r="D123" i="12"/>
  <c r="E123" i="12" s="1"/>
  <c r="D6" i="12"/>
  <c r="E6" i="12" s="1"/>
  <c r="D18" i="12"/>
  <c r="E18" i="12" s="1"/>
  <c r="D31" i="12"/>
  <c r="E31" i="12" s="1"/>
  <c r="D44" i="12"/>
  <c r="E44" i="12" s="1"/>
  <c r="D57" i="12"/>
  <c r="E57" i="12" s="1"/>
  <c r="D70" i="12"/>
  <c r="E70" i="12" s="1"/>
  <c r="D82" i="12"/>
  <c r="E82" i="12" s="1"/>
  <c r="D95" i="12"/>
  <c r="E95" i="12" s="1"/>
  <c r="D108" i="12"/>
  <c r="E108" i="12" s="1"/>
  <c r="D121" i="12"/>
  <c r="E121" i="12" s="1"/>
  <c r="D46" i="12"/>
  <c r="E46" i="12" s="1"/>
  <c r="D58" i="12"/>
  <c r="E58" i="12" s="1"/>
  <c r="D71" i="12"/>
  <c r="E71" i="12" s="1"/>
  <c r="D110" i="12"/>
  <c r="E110" i="12" s="1"/>
  <c r="D122" i="12"/>
  <c r="E122" i="12" s="1"/>
  <c r="D50" i="12"/>
  <c r="E50" i="12" s="1"/>
  <c r="D102" i="12"/>
  <c r="E102" i="12" s="1"/>
  <c r="D17" i="12"/>
  <c r="E17" i="12" s="1"/>
  <c r="D30" i="12"/>
  <c r="E30" i="12" s="1"/>
  <c r="D42" i="12"/>
  <c r="E42" i="12" s="1"/>
  <c r="D68" i="12"/>
  <c r="E68" i="12" s="1"/>
  <c r="D81" i="12"/>
  <c r="E81" i="12" s="1"/>
  <c r="D94" i="12"/>
  <c r="E94" i="12" s="1"/>
  <c r="D106" i="12"/>
  <c r="E106" i="12" s="1"/>
  <c r="D10" i="12"/>
  <c r="E10" i="12" s="1"/>
  <c r="D23" i="12"/>
  <c r="E23" i="12" s="1"/>
  <c r="D36" i="12"/>
  <c r="E36" i="12" s="1"/>
  <c r="D49" i="12"/>
  <c r="E49" i="12" s="1"/>
  <c r="D62" i="12"/>
  <c r="E62" i="12" s="1"/>
  <c r="D74" i="12"/>
  <c r="E74" i="12" s="1"/>
  <c r="D87" i="12"/>
  <c r="E87" i="12" s="1"/>
  <c r="D100" i="12"/>
  <c r="E100" i="12" s="1"/>
  <c r="D113" i="12"/>
  <c r="E113" i="12" s="1"/>
  <c r="D7" i="12"/>
  <c r="E7" i="12" s="1"/>
  <c r="D33" i="12"/>
  <c r="E33" i="12" s="1"/>
  <c r="D38" i="12"/>
  <c r="E38" i="12" s="1"/>
  <c r="D76" i="12"/>
  <c r="E76" i="12" s="1"/>
  <c r="D55" i="12"/>
  <c r="E55" i="12" s="1"/>
  <c r="D119" i="12"/>
  <c r="E119" i="12" s="1"/>
  <c r="D15" i="12"/>
  <c r="E15" i="12" s="1"/>
  <c r="D28" i="12"/>
  <c r="E28" i="12" s="1"/>
  <c r="D41" i="12"/>
  <c r="E41" i="12" s="1"/>
  <c r="D54" i="12"/>
  <c r="E54" i="12" s="1"/>
  <c r="D66" i="12"/>
  <c r="E66" i="12" s="1"/>
  <c r="D79" i="12"/>
  <c r="E79" i="12" s="1"/>
  <c r="D92" i="12"/>
  <c r="E92" i="12" s="1"/>
  <c r="D105" i="12"/>
  <c r="E105" i="12" s="1"/>
  <c r="D118" i="12"/>
  <c r="E118" i="12" s="1"/>
  <c r="D20" i="12"/>
  <c r="E20" i="12" s="1"/>
  <c r="D84" i="12"/>
  <c r="E84" i="12" s="1"/>
  <c r="D97" i="12"/>
  <c r="E97" i="12" s="1"/>
  <c r="D12" i="12"/>
  <c r="E12" i="12" s="1"/>
  <c r="D25" i="12"/>
  <c r="E25" i="12" s="1"/>
  <c r="D63" i="12"/>
  <c r="E63" i="12" s="1"/>
  <c r="D89" i="12"/>
  <c r="E89" i="12" s="1"/>
  <c r="D114" i="12"/>
  <c r="E114" i="12" s="1"/>
  <c r="D34" i="12"/>
  <c r="E34" i="12" s="1"/>
  <c r="D86" i="12"/>
  <c r="E86" i="12" s="1"/>
  <c r="D111" i="12"/>
  <c r="E111" i="12" s="1"/>
  <c r="D78" i="12"/>
  <c r="E78" i="12" s="1"/>
  <c r="D47" i="12"/>
  <c r="E47" i="12" s="1"/>
  <c r="D116" i="12"/>
  <c r="E116" i="12" s="1"/>
  <c r="D52" i="12"/>
  <c r="E52" i="12" s="1"/>
  <c r="D103" i="12"/>
  <c r="E103" i="12" s="1"/>
  <c r="D26" i="12"/>
  <c r="E26" i="12" s="1"/>
  <c r="D22" i="12"/>
  <c r="E22" i="12" s="1"/>
  <c r="D73" i="12"/>
  <c r="E73" i="12" s="1"/>
  <c r="D124" i="12"/>
  <c r="E124" i="12" s="1"/>
  <c r="D39" i="12"/>
  <c r="E39" i="12" s="1"/>
  <c r="D90" i="12"/>
  <c r="E90" i="12" s="1"/>
  <c r="D9" i="12"/>
  <c r="E9" i="12" s="1"/>
  <c r="D60" i="12"/>
  <c r="E60" i="12" s="1"/>
  <c r="D98" i="12"/>
  <c r="E98" i="12" s="1"/>
  <c r="D14" i="12"/>
  <c r="E14" i="12" s="1"/>
  <c r="D65" i="12"/>
  <c r="E65" i="12" s="1"/>
  <c r="F6" i="12"/>
  <c r="F46" i="12"/>
  <c r="E22" i="9"/>
  <c r="F94" i="12"/>
  <c r="F89" i="12"/>
  <c r="F53" i="12"/>
  <c r="F66" i="12"/>
  <c r="F80" i="12"/>
  <c r="F34" i="12"/>
  <c r="F42" i="12"/>
  <c r="F18" i="12"/>
  <c r="F68" i="12"/>
  <c r="F93" i="12"/>
  <c r="F19" i="12"/>
  <c r="F112" i="12"/>
  <c r="F27" i="12"/>
  <c r="F111" i="12"/>
  <c r="F116" i="12"/>
  <c r="E21" i="9"/>
  <c r="F24" i="12"/>
  <c r="F23" i="10"/>
  <c r="F9" i="12"/>
  <c r="F98" i="12"/>
  <c r="F104" i="12"/>
  <c r="E14" i="9"/>
  <c r="F13" i="10"/>
  <c r="F9" i="10"/>
  <c r="E11" i="9"/>
  <c r="F97" i="12"/>
  <c r="F81" i="12"/>
  <c r="F39" i="12"/>
  <c r="D6" i="14"/>
  <c r="F29" i="12"/>
  <c r="F86" i="12"/>
  <c r="F77" i="12"/>
  <c r="F96" i="12"/>
  <c r="F64" i="12"/>
  <c r="E5" i="9"/>
  <c r="F52" i="12"/>
  <c r="F21" i="10"/>
  <c r="E20" i="9"/>
  <c r="F62" i="16"/>
  <c r="F11" i="12"/>
  <c r="F7" i="12"/>
  <c r="F103" i="12"/>
  <c r="F122" i="12"/>
  <c r="F82" i="12"/>
  <c r="F7" i="10"/>
  <c r="F58" i="12"/>
  <c r="F38" i="12"/>
  <c r="F57" i="12"/>
  <c r="G61" i="16"/>
  <c r="G11" i="12"/>
  <c r="G9" i="12"/>
  <c r="F48" i="12"/>
  <c r="F106" i="12"/>
  <c r="F107" i="12"/>
  <c r="F120" i="12"/>
  <c r="F15" i="10"/>
  <c r="F8" i="10"/>
  <c r="F61" i="12"/>
  <c r="E18" i="9"/>
  <c r="F14" i="12"/>
  <c r="G14" i="12" s="1"/>
  <c r="F123" i="12"/>
  <c r="F110" i="12"/>
  <c r="E19" i="9"/>
  <c r="F125" i="12"/>
  <c r="F49" i="12"/>
  <c r="F92" i="12"/>
  <c r="F30" i="12"/>
  <c r="F74" i="12"/>
  <c r="F113" i="12"/>
  <c r="E12" i="9"/>
  <c r="F21" i="12"/>
  <c r="F108" i="12"/>
  <c r="F8" i="12"/>
  <c r="F62" i="12"/>
  <c r="D64" i="16"/>
  <c r="F69" i="12"/>
  <c r="F14" i="10"/>
  <c r="F73" i="12"/>
  <c r="F105" i="12"/>
  <c r="F10" i="10"/>
  <c r="F41" i="12"/>
  <c r="F56" i="12"/>
  <c r="F20" i="12"/>
  <c r="F29" i="10"/>
  <c r="F65" i="12"/>
  <c r="F85" i="12"/>
  <c r="F117" i="12"/>
  <c r="F59" i="12"/>
  <c r="F15" i="12"/>
  <c r="G15" i="12" s="1"/>
  <c r="F47" i="12"/>
  <c r="F10" i="12"/>
  <c r="F36" i="12"/>
  <c r="F70" i="12"/>
  <c r="F99" i="12"/>
  <c r="F28" i="12"/>
  <c r="F19" i="10"/>
  <c r="F114" i="12"/>
  <c r="F26" i="12"/>
  <c r="F72" i="12"/>
  <c r="F51" i="12"/>
  <c r="F33" i="12"/>
  <c r="E13" i="9"/>
  <c r="F78" i="12"/>
  <c r="F40" i="12"/>
  <c r="F31" i="12"/>
  <c r="F13" i="12"/>
  <c r="F16" i="12"/>
  <c r="F12" i="12"/>
  <c r="G12" i="12" s="1"/>
  <c r="F11" i="10"/>
  <c r="F84" i="12"/>
  <c r="F67" i="12"/>
  <c r="F54" i="12"/>
  <c r="E15" i="9"/>
  <c r="F22" i="10"/>
  <c r="F71" i="12"/>
  <c r="F17" i="12"/>
  <c r="F20" i="10"/>
  <c r="F35" i="12"/>
  <c r="F43" i="12"/>
  <c r="F119" i="12"/>
  <c r="F63" i="16"/>
  <c r="F23" i="12"/>
  <c r="F90" i="12"/>
  <c r="F87" i="12"/>
  <c r="F63" i="12"/>
  <c r="F37" i="12"/>
  <c r="F50" i="12"/>
  <c r="F76" i="12"/>
  <c r="F55" i="12"/>
  <c r="F79" i="12"/>
  <c r="F124" i="12"/>
  <c r="F101" i="12"/>
  <c r="F88" i="12"/>
  <c r="F83" i="12"/>
  <c r="F44" i="12"/>
  <c r="F75" i="12"/>
  <c r="F102" i="12"/>
  <c r="F45" i="12"/>
  <c r="F109" i="12"/>
  <c r="F35" i="10"/>
  <c r="F100" i="12"/>
  <c r="F91" i="12"/>
  <c r="F118" i="12"/>
  <c r="E16" i="9"/>
  <c r="F32" i="12"/>
  <c r="F22" i="12"/>
  <c r="E17" i="9"/>
  <c r="F12" i="10"/>
  <c r="F60" i="12"/>
  <c r="F115" i="12"/>
  <c r="F18" i="10"/>
  <c r="E9" i="9"/>
  <c r="F121" i="12"/>
  <c r="F95" i="12"/>
  <c r="G62" i="16"/>
  <c r="F25" i="12"/>
  <c r="D4" i="9"/>
  <c r="D4" i="14"/>
  <c r="E2" i="10"/>
  <c r="E64" i="16" l="1"/>
  <c r="G77" i="12"/>
  <c r="G113" i="12"/>
  <c r="G102" i="12"/>
  <c r="G69" i="12"/>
  <c r="G87" i="12"/>
  <c r="D65" i="16"/>
  <c r="G24" i="12"/>
  <c r="G115" i="12"/>
  <c r="G120" i="12"/>
  <c r="G73" i="12"/>
  <c r="G35" i="12"/>
  <c r="G49" i="12"/>
  <c r="G42" i="12"/>
  <c r="G31" i="12"/>
  <c r="G86" i="12"/>
  <c r="G46" i="12"/>
  <c r="G21" i="12"/>
  <c r="G34" i="12"/>
  <c r="G83" i="12"/>
  <c r="G65" i="12"/>
  <c r="G105" i="12"/>
  <c r="G44" i="12"/>
  <c r="G39" i="12"/>
  <c r="G55" i="12"/>
  <c r="G90" i="12"/>
  <c r="G112" i="12"/>
  <c r="G56" i="12"/>
  <c r="G85" i="12"/>
  <c r="G111" i="12"/>
  <c r="G71" i="12"/>
  <c r="G40" i="12"/>
  <c r="G108" i="12"/>
  <c r="G20" i="12"/>
  <c r="G76" i="12"/>
  <c r="G57" i="12"/>
  <c r="G41" i="12"/>
  <c r="G28" i="12"/>
  <c r="G30" i="12"/>
  <c r="G82" i="12"/>
  <c r="G125" i="12"/>
  <c r="G89" i="12"/>
  <c r="G25" i="12"/>
  <c r="G104" i="12"/>
  <c r="G119" i="12"/>
  <c r="G101" i="12"/>
  <c r="G29" i="12"/>
  <c r="G74" i="12"/>
  <c r="G17" i="12"/>
  <c r="G22" i="12"/>
  <c r="G117" i="12"/>
  <c r="G81" i="12"/>
  <c r="G61" i="12"/>
  <c r="G33" i="12"/>
  <c r="G78" i="12"/>
  <c r="G43" i="12"/>
  <c r="G10" i="12"/>
  <c r="G72" i="12"/>
  <c r="G93" i="12"/>
  <c r="G67" i="12"/>
  <c r="G100" i="12"/>
  <c r="G51" i="12"/>
  <c r="G16" i="12"/>
  <c r="G60" i="12"/>
  <c r="G123" i="12"/>
  <c r="G99" i="12"/>
  <c r="G124" i="12"/>
  <c r="G109" i="12"/>
  <c r="G64" i="12"/>
  <c r="G79" i="12"/>
  <c r="G63" i="16"/>
  <c r="G98" i="12"/>
  <c r="G47" i="12"/>
  <c r="G38" i="12"/>
  <c r="G116" i="12"/>
  <c r="G52" i="12"/>
  <c r="G58" i="12"/>
  <c r="G94" i="12"/>
  <c r="G84" i="12"/>
  <c r="G91" i="12"/>
  <c r="G7" i="12"/>
  <c r="G53" i="12"/>
  <c r="G75" i="12"/>
  <c r="G48" i="12"/>
  <c r="G8" i="12"/>
  <c r="G121" i="12"/>
  <c r="G23" i="12"/>
  <c r="G26" i="12"/>
  <c r="G19" i="12"/>
  <c r="G6" i="12"/>
  <c r="G66" i="12"/>
  <c r="G70" i="12"/>
  <c r="G92" i="12"/>
  <c r="G13" i="12"/>
  <c r="F64" i="16"/>
  <c r="G62" i="12"/>
  <c r="G59" i="12"/>
  <c r="G18" i="12"/>
  <c r="G107" i="12"/>
  <c r="G68" i="12"/>
  <c r="G36" i="12"/>
  <c r="G80" i="12"/>
  <c r="G45" i="12"/>
  <c r="G37" i="12"/>
  <c r="G54" i="12"/>
  <c r="G50" i="12"/>
  <c r="G106" i="12"/>
  <c r="G103" i="12"/>
  <c r="G110" i="12"/>
  <c r="G96" i="12"/>
  <c r="G63" i="12"/>
  <c r="G88" i="12"/>
  <c r="G122" i="12"/>
  <c r="G97" i="12"/>
  <c r="G32" i="12"/>
  <c r="G118" i="12"/>
  <c r="G27" i="12"/>
  <c r="G95" i="12"/>
  <c r="G114" i="12"/>
  <c r="E4" i="9"/>
  <c r="F2" i="10"/>
  <c r="E65" i="16" l="1"/>
  <c r="D66" i="16"/>
  <c r="G64" i="16"/>
  <c r="F65" i="16"/>
  <c r="E66" i="16" l="1"/>
  <c r="F66" i="16"/>
  <c r="D67" i="16"/>
  <c r="G65" i="16"/>
  <c r="E67" i="16" l="1"/>
  <c r="F67" i="16"/>
  <c r="D68" i="16"/>
  <c r="G66" i="16"/>
  <c r="E68" i="16" l="1"/>
  <c r="D69" i="16"/>
  <c r="G67" i="16"/>
  <c r="F68" i="16"/>
  <c r="D70" i="16"/>
  <c r="E69" i="16" l="1"/>
  <c r="E70" i="16"/>
  <c r="G68" i="16"/>
  <c r="F69" i="16"/>
  <c r="G69" i="16"/>
  <c r="D71" i="16"/>
  <c r="F70" i="16"/>
  <c r="E71" i="16" l="1"/>
  <c r="D72" i="16"/>
  <c r="G70" i="16"/>
  <c r="F71" i="16"/>
  <c r="E72" i="16" l="1"/>
  <c r="G71" i="16"/>
  <c r="F72" i="16"/>
  <c r="D73" i="16"/>
  <c r="E73" i="16" l="1"/>
  <c r="F73" i="16"/>
  <c r="G72" i="16"/>
  <c r="D74" i="16"/>
  <c r="D75" i="16"/>
  <c r="D76" i="16" s="1"/>
  <c r="G73" i="16"/>
  <c r="E74" i="16" l="1"/>
  <c r="E75" i="16"/>
  <c r="E76" i="16"/>
  <c r="F74" i="16"/>
  <c r="F75" i="16"/>
  <c r="F76" i="16"/>
  <c r="D77" i="16"/>
  <c r="G75" i="16"/>
  <c r="G74" i="16"/>
  <c r="G76" i="16"/>
  <c r="E77" i="16" l="1"/>
  <c r="D78" i="16"/>
  <c r="F77" i="16"/>
  <c r="G77" i="16"/>
  <c r="E78" i="16" l="1"/>
  <c r="F78" i="16"/>
  <c r="D79" i="16"/>
  <c r="G78" i="16"/>
  <c r="E79" i="16" l="1"/>
  <c r="D80" i="16"/>
  <c r="F79" i="16"/>
  <c r="G79" i="16"/>
  <c r="E80" i="16" l="1"/>
  <c r="F80" i="16"/>
  <c r="D81" i="16"/>
  <c r="G80" i="16"/>
  <c r="E81" i="16" l="1"/>
  <c r="F81" i="16"/>
  <c r="D82" i="16"/>
  <c r="G81" i="16"/>
  <c r="E82" i="16" l="1"/>
  <c r="D83" i="16"/>
  <c r="F82" i="16"/>
  <c r="G82" i="16"/>
  <c r="E83" i="16" l="1"/>
  <c r="D84" i="16"/>
  <c r="F83" i="16"/>
  <c r="G83" i="16"/>
  <c r="E84" i="16" l="1"/>
  <c r="F84" i="16"/>
  <c r="D85" i="16"/>
  <c r="G84" i="16"/>
  <c r="E85" i="16" l="1"/>
  <c r="D86" i="16"/>
  <c r="F85" i="16"/>
  <c r="G85" i="16"/>
  <c r="E86" i="16" l="1"/>
  <c r="D87" i="16"/>
  <c r="F86" i="16"/>
  <c r="G86" i="16"/>
  <c r="E87" i="16" l="1"/>
  <c r="D88" i="16"/>
  <c r="F87" i="16"/>
  <c r="G87" i="16"/>
  <c r="E88" i="16" l="1"/>
  <c r="D89" i="16"/>
  <c r="F88" i="16"/>
  <c r="G88" i="16"/>
  <c r="E89" i="16" l="1"/>
  <c r="D90" i="16"/>
  <c r="F89" i="16"/>
  <c r="G89" i="16"/>
  <c r="E90" i="16" l="1"/>
  <c r="F90" i="16"/>
  <c r="D91" i="16"/>
  <c r="G90" i="16"/>
  <c r="E91" i="16" l="1"/>
  <c r="D92" i="16"/>
  <c r="F91" i="16"/>
  <c r="G91" i="16"/>
  <c r="E92" i="16" l="1"/>
  <c r="D93" i="16"/>
  <c r="F92" i="16"/>
  <c r="G92" i="16"/>
  <c r="E93" i="16" l="1"/>
  <c r="F93" i="16"/>
  <c r="D94" i="16"/>
  <c r="G93" i="16"/>
  <c r="E94" i="16" l="1"/>
  <c r="F94" i="16"/>
  <c r="D95" i="16"/>
  <c r="G94" i="16"/>
  <c r="E95" i="16" l="1"/>
  <c r="F95" i="16"/>
  <c r="F4" i="16"/>
  <c r="G95" i="16"/>
  <c r="G4" i="16"/>
  <c r="C5" i="6" l="1"/>
  <c r="D5" i="6"/>
  <c r="E5" i="6" l="1"/>
  <c r="C6" i="6"/>
  <c r="D6" i="6"/>
  <c r="F5" i="6"/>
  <c r="E6" i="6" l="1"/>
  <c r="E4" i="6"/>
  <c r="C7" i="6"/>
  <c r="D7" i="6"/>
  <c r="F6" i="6"/>
  <c r="G5" i="6"/>
  <c r="E7" i="6" l="1"/>
  <c r="C8" i="6"/>
  <c r="D8" i="6"/>
  <c r="G6" i="6"/>
  <c r="F7" i="6"/>
  <c r="E8" i="6" l="1"/>
  <c r="C9" i="6"/>
  <c r="D9" i="6"/>
  <c r="F8" i="6"/>
  <c r="G7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G11" i="6"/>
  <c r="F12" i="6"/>
  <c r="E13" i="6" l="1"/>
  <c r="C14" i="6"/>
  <c r="D14" i="6"/>
  <c r="F13" i="6"/>
  <c r="G12" i="6"/>
  <c r="E14" i="6" l="1"/>
  <c r="C15" i="6"/>
  <c r="D15" i="6"/>
  <c r="G13" i="6"/>
  <c r="F14" i="6"/>
  <c r="E15" i="6" l="1"/>
  <c r="C16" i="6"/>
  <c r="D16" i="6"/>
  <c r="F15" i="6"/>
  <c r="G14" i="6"/>
  <c r="E16" i="6" l="1"/>
  <c r="C17" i="6"/>
  <c r="D17" i="6"/>
  <c r="G15" i="6"/>
  <c r="F16" i="6"/>
  <c r="E17" i="6" l="1"/>
  <c r="C18" i="6"/>
  <c r="D18" i="6"/>
  <c r="G16" i="6"/>
  <c r="F17" i="6"/>
  <c r="E18" i="6" l="1"/>
  <c r="C19" i="6"/>
  <c r="D19" i="6"/>
  <c r="F18" i="6"/>
  <c r="G17" i="6"/>
  <c r="E19" i="6" l="1"/>
  <c r="C20" i="6"/>
  <c r="D20" i="6"/>
  <c r="G18" i="6"/>
  <c r="F19" i="6"/>
  <c r="E20" i="6" l="1"/>
  <c r="C21" i="6"/>
  <c r="D21" i="6"/>
  <c r="F20" i="6"/>
  <c r="G19" i="6"/>
  <c r="E21" i="6" l="1"/>
  <c r="C22" i="6"/>
  <c r="D22" i="6"/>
  <c r="F21" i="6"/>
  <c r="G20" i="6"/>
  <c r="E22" i="6" l="1"/>
  <c r="C23" i="6"/>
  <c r="D23" i="6"/>
  <c r="G21" i="6"/>
  <c r="F22" i="6"/>
  <c r="E23" i="6" l="1"/>
  <c r="C24" i="6"/>
  <c r="D24" i="6"/>
  <c r="G22" i="6"/>
  <c r="F23" i="6"/>
  <c r="E24" i="6" l="1"/>
  <c r="C25" i="6"/>
  <c r="D25" i="6"/>
  <c r="F24" i="6"/>
  <c r="G23" i="6"/>
  <c r="E25" i="6" l="1"/>
  <c r="C26" i="6"/>
  <c r="D26" i="6"/>
  <c r="G24" i="6"/>
  <c r="F25" i="6"/>
  <c r="E26" i="6" l="1"/>
  <c r="C27" i="6"/>
  <c r="D27" i="6"/>
  <c r="F26" i="6"/>
  <c r="G25" i="6"/>
  <c r="E27" i="6" l="1"/>
  <c r="C28" i="6"/>
  <c r="D28" i="6"/>
  <c r="G26" i="6"/>
  <c r="F27" i="6"/>
  <c r="E28" i="6" l="1"/>
  <c r="C29" i="6"/>
  <c r="D29" i="6"/>
  <c r="F28" i="6"/>
  <c r="G27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G31" i="6"/>
  <c r="F32" i="6"/>
  <c r="E33" i="6" l="1"/>
  <c r="C34" i="6"/>
  <c r="D34" i="6"/>
  <c r="G32" i="6"/>
  <c r="F33" i="6"/>
  <c r="E34" i="6" l="1"/>
  <c r="C35" i="6"/>
  <c r="D35" i="6"/>
  <c r="F34" i="6"/>
  <c r="G33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F37" i="6"/>
  <c r="G36" i="6"/>
  <c r="E38" i="6" l="1"/>
  <c r="C39" i="6"/>
  <c r="D39" i="6"/>
  <c r="G37" i="6"/>
  <c r="F38" i="6"/>
  <c r="E39" i="6" l="1"/>
  <c r="C40" i="6"/>
  <c r="D40" i="6"/>
  <c r="G38" i="6"/>
  <c r="F39" i="6"/>
  <c r="E40" i="6" l="1"/>
  <c r="C41" i="6"/>
  <c r="D41" i="6"/>
  <c r="F40" i="6"/>
  <c r="G39" i="6"/>
  <c r="E41" i="6" l="1"/>
  <c r="C42" i="6"/>
  <c r="D42" i="6"/>
  <c r="G40" i="6"/>
  <c r="F41" i="6"/>
  <c r="E42" i="6" l="1"/>
  <c r="C5" i="5"/>
  <c r="D5" i="5"/>
  <c r="G41" i="6"/>
  <c r="F42" i="6"/>
  <c r="E5" i="5" l="1"/>
  <c r="C6" i="5"/>
  <c r="D6" i="5"/>
  <c r="F5" i="5"/>
  <c r="G42" i="6"/>
  <c r="E6" i="5" l="1"/>
  <c r="E4" i="5"/>
  <c r="C7" i="5"/>
  <c r="D7" i="5"/>
  <c r="F6" i="5"/>
  <c r="G5" i="5"/>
  <c r="E7" i="5" l="1"/>
  <c r="C8" i="5"/>
  <c r="D8" i="5"/>
  <c r="F7" i="5"/>
  <c r="G6" i="5"/>
  <c r="E8" i="5" l="1"/>
  <c r="C9" i="5"/>
  <c r="D9" i="5"/>
  <c r="G7" i="5"/>
  <c r="F8" i="5"/>
  <c r="E9" i="5" l="1"/>
  <c r="C10" i="5"/>
  <c r="D10" i="5"/>
  <c r="G8" i="5"/>
  <c r="F9" i="5"/>
  <c r="E10" i="5" l="1"/>
  <c r="C11" i="5"/>
  <c r="D11" i="5"/>
  <c r="G9" i="5"/>
  <c r="F10" i="5"/>
  <c r="E11" i="5" l="1"/>
  <c r="C12" i="5"/>
  <c r="D12" i="5"/>
  <c r="F11" i="5"/>
  <c r="G10" i="5"/>
  <c r="E12" i="5" l="1"/>
  <c r="C13" i="5"/>
  <c r="D13" i="5"/>
  <c r="F12" i="5"/>
  <c r="G11" i="5"/>
  <c r="E13" i="5" l="1"/>
  <c r="C14" i="5"/>
  <c r="D14" i="5"/>
  <c r="F13" i="5"/>
  <c r="G12" i="5"/>
  <c r="E14" i="5" l="1"/>
  <c r="C15" i="5"/>
  <c r="D15" i="5"/>
  <c r="G13" i="5"/>
  <c r="F14" i="5"/>
  <c r="E15" i="5" l="1"/>
  <c r="C16" i="5"/>
  <c r="D16" i="5"/>
  <c r="G14" i="5"/>
  <c r="F15" i="5"/>
  <c r="E16" i="5" l="1"/>
  <c r="C17" i="5"/>
  <c r="D17" i="5"/>
  <c r="G15" i="5"/>
  <c r="F16" i="5"/>
  <c r="E17" i="5" l="1"/>
  <c r="C18" i="5"/>
  <c r="D18" i="5"/>
  <c r="G16" i="5"/>
  <c r="F17" i="5"/>
  <c r="E18" i="5" l="1"/>
  <c r="C19" i="5"/>
  <c r="D19" i="5"/>
  <c r="G17" i="5"/>
  <c r="F18" i="5"/>
  <c r="E19" i="5" l="1"/>
  <c r="C20" i="5"/>
  <c r="D20" i="5"/>
  <c r="F19" i="5"/>
  <c r="G18" i="5"/>
  <c r="E20" i="5" l="1"/>
  <c r="C21" i="5"/>
  <c r="D21" i="5"/>
  <c r="F20" i="5"/>
  <c r="G19" i="5"/>
  <c r="E21" i="5" l="1"/>
  <c r="C22" i="5"/>
  <c r="D22" i="5"/>
  <c r="G20" i="5"/>
  <c r="F21" i="5"/>
  <c r="E22" i="5" l="1"/>
  <c r="C23" i="5"/>
  <c r="D23" i="5"/>
  <c r="F22" i="5"/>
  <c r="G21" i="5"/>
  <c r="E23" i="5" l="1"/>
  <c r="C24" i="5"/>
  <c r="D24" i="5"/>
  <c r="F23" i="5"/>
  <c r="G22" i="5"/>
  <c r="E24" i="5" l="1"/>
  <c r="C25" i="5"/>
  <c r="D25" i="5"/>
  <c r="F24" i="5"/>
  <c r="G23" i="5"/>
  <c r="E25" i="5" l="1"/>
  <c r="C26" i="5"/>
  <c r="D26" i="5"/>
  <c r="F25" i="5"/>
  <c r="G24" i="5"/>
  <c r="E26" i="5" l="1"/>
  <c r="C27" i="5"/>
  <c r="D27" i="5"/>
  <c r="G25" i="5"/>
  <c r="F26" i="5"/>
  <c r="E27" i="5" l="1"/>
  <c r="C28" i="5"/>
  <c r="D28" i="5"/>
  <c r="G26" i="5"/>
  <c r="F27" i="5"/>
  <c r="E28" i="5" l="1"/>
  <c r="C29" i="5"/>
  <c r="D29" i="5"/>
  <c r="G27" i="5"/>
  <c r="F28" i="5"/>
  <c r="E29" i="5" l="1"/>
  <c r="C30" i="5"/>
  <c r="D30" i="5"/>
  <c r="F29" i="5"/>
  <c r="G28" i="5"/>
  <c r="E30" i="5" l="1"/>
  <c r="C31" i="5"/>
  <c r="D31" i="5"/>
  <c r="G29" i="5"/>
  <c r="F30" i="5"/>
  <c r="E31" i="5" l="1"/>
  <c r="C32" i="5"/>
  <c r="D32" i="5"/>
  <c r="G30" i="5"/>
  <c r="F31" i="5"/>
  <c r="E32" i="5" l="1"/>
  <c r="C33" i="5"/>
  <c r="D33" i="5"/>
  <c r="F32" i="5"/>
  <c r="G31" i="5"/>
  <c r="E33" i="5" l="1"/>
  <c r="C34" i="5"/>
  <c r="D34" i="5"/>
  <c r="F33" i="5"/>
  <c r="G32" i="5"/>
  <c r="E34" i="5" l="1"/>
  <c r="C35" i="5"/>
  <c r="D35" i="5"/>
  <c r="G33" i="5"/>
  <c r="F34" i="5"/>
  <c r="E35" i="5" l="1"/>
  <c r="C36" i="5"/>
  <c r="D36" i="5"/>
  <c r="F35" i="5"/>
  <c r="G34" i="5"/>
  <c r="E36" i="5" l="1"/>
  <c r="C37" i="5"/>
  <c r="D37" i="5"/>
  <c r="G35" i="5"/>
  <c r="F36" i="5"/>
  <c r="E37" i="5" l="1"/>
  <c r="C38" i="5"/>
  <c r="D38" i="5"/>
  <c r="F37" i="5"/>
  <c r="G36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G39" i="5"/>
  <c r="F40" i="5"/>
  <c r="E41" i="5" l="1"/>
  <c r="C42" i="5"/>
  <c r="D42" i="5"/>
  <c r="B1" i="4"/>
  <c r="G40" i="5"/>
  <c r="F41" i="5"/>
  <c r="E42" i="5" l="1"/>
  <c r="D8" i="4"/>
  <c r="F42" i="5"/>
  <c r="G41" i="5"/>
  <c r="M6" i="12" a="1"/>
  <c r="X3" i="10"/>
  <c r="Q3" i="9"/>
  <c r="M4" i="10"/>
  <c r="F5" i="12"/>
  <c r="J4" i="9"/>
  <c r="M31" i="12" l="1"/>
  <c r="M28" i="12"/>
  <c r="M42" i="12"/>
  <c r="M27" i="12"/>
  <c r="M20" i="12"/>
  <c r="M46" i="12"/>
  <c r="M25" i="12"/>
  <c r="M14" i="12"/>
  <c r="M41" i="12"/>
  <c r="M17" i="12"/>
  <c r="M26" i="12"/>
  <c r="M13" i="12"/>
  <c r="M11" i="12"/>
  <c r="M39" i="12"/>
  <c r="M7" i="12"/>
  <c r="M10" i="12"/>
  <c r="M6" i="12"/>
  <c r="M35" i="12"/>
  <c r="M36" i="12"/>
  <c r="M44" i="12"/>
  <c r="M23" i="12"/>
  <c r="M8" i="12"/>
  <c r="M15" i="12"/>
  <c r="M22" i="12"/>
  <c r="M43" i="12"/>
  <c r="M16" i="12"/>
  <c r="M9" i="12"/>
  <c r="M47" i="12"/>
  <c r="M21" i="12"/>
  <c r="M34" i="12"/>
  <c r="M19" i="12"/>
  <c r="M30" i="12"/>
  <c r="M18" i="12"/>
  <c r="M45" i="12"/>
  <c r="M12" i="12"/>
  <c r="M37" i="12"/>
  <c r="M38" i="12"/>
  <c r="M33" i="12"/>
  <c r="M32" i="12"/>
  <c r="M40" i="12"/>
  <c r="M29" i="12"/>
  <c r="M24" i="12"/>
  <c r="G42" i="5"/>
  <c r="S3" i="6"/>
  <c r="S3" i="5"/>
  <c r="AD3" i="19"/>
  <c r="Z3" i="17"/>
  <c r="Z3" i="16"/>
  <c r="O4" i="16"/>
  <c r="S4" i="5"/>
  <c r="F4" i="5"/>
  <c r="S4" i="19"/>
  <c r="G5" i="12"/>
  <c r="F4" i="6"/>
  <c r="O4" i="17"/>
  <c r="S4" i="6"/>
  <c r="Y6" i="12" l="1" a="1"/>
  <c r="O6" i="12" a="1"/>
  <c r="X5" i="6" a="1"/>
  <c r="X5" i="5" a="1"/>
  <c r="G4" i="5"/>
  <c r="G4" i="6"/>
  <c r="X36" i="6" l="1"/>
  <c r="AC36" i="6" s="1"/>
  <c r="X32" i="6"/>
  <c r="AC32" i="6" s="1"/>
  <c r="X9" i="6"/>
  <c r="AC9" i="6" s="1"/>
  <c r="X5" i="6"/>
  <c r="AC5" i="6" s="1"/>
  <c r="X6" i="6"/>
  <c r="AC6" i="6" s="1"/>
  <c r="X7" i="6"/>
  <c r="AC7" i="6" s="1"/>
  <c r="X40" i="6"/>
  <c r="X37" i="6"/>
  <c r="AC37" i="6" s="1"/>
  <c r="X23" i="6"/>
  <c r="AC23" i="6" s="1"/>
  <c r="X29" i="6"/>
  <c r="AC29" i="6" s="1"/>
  <c r="X10" i="6"/>
  <c r="AC10" i="6" s="1"/>
  <c r="X31" i="6"/>
  <c r="AC31" i="6" s="1"/>
  <c r="X12" i="6"/>
  <c r="AC12" i="6" s="1"/>
  <c r="X8" i="6"/>
  <c r="AC8" i="6" s="1"/>
  <c r="X13" i="6"/>
  <c r="AC13" i="6" s="1"/>
  <c r="X24" i="6"/>
  <c r="AC24" i="6" s="1"/>
  <c r="X17" i="6"/>
  <c r="AC17" i="6" s="1"/>
  <c r="X28" i="6"/>
  <c r="AC28" i="6" s="1"/>
  <c r="X38" i="6"/>
  <c r="AC38" i="6" s="1"/>
  <c r="X39" i="6"/>
  <c r="AC39" i="6" s="1"/>
  <c r="X35" i="6"/>
  <c r="AC35" i="6" s="1"/>
  <c r="X18" i="6"/>
  <c r="AC18" i="6" s="1"/>
  <c r="X19" i="6"/>
  <c r="AC19" i="6" s="1"/>
  <c r="X22" i="6"/>
  <c r="AC22" i="6" s="1"/>
  <c r="X27" i="6"/>
  <c r="AC27" i="6" s="1"/>
  <c r="X34" i="6"/>
  <c r="AC34" i="6" s="1"/>
  <c r="X20" i="6"/>
  <c r="AC20" i="6" s="1"/>
  <c r="X14" i="6"/>
  <c r="AC14" i="6" s="1"/>
  <c r="X33" i="6"/>
  <c r="AC33" i="6" s="1"/>
  <c r="X21" i="6"/>
  <c r="AC21" i="6" s="1"/>
  <c r="X26" i="6"/>
  <c r="AC26" i="6" s="1"/>
  <c r="X16" i="6"/>
  <c r="AC16" i="6" s="1"/>
  <c r="X15" i="6"/>
  <c r="AC15" i="6" s="1"/>
  <c r="X11" i="6"/>
  <c r="AC11" i="6" s="1"/>
  <c r="X30" i="6"/>
  <c r="AC30" i="6" s="1"/>
  <c r="X41" i="6"/>
  <c r="AC41" i="6" s="1"/>
  <c r="X25" i="6"/>
  <c r="AC25" i="6" s="1"/>
  <c r="X18" i="5"/>
  <c r="AC18" i="5" s="1"/>
  <c r="X42" i="5"/>
  <c r="AC42" i="5" s="1"/>
  <c r="X7" i="5"/>
  <c r="AC7" i="5" s="1"/>
  <c r="X13" i="5"/>
  <c r="AC13" i="5" s="1"/>
  <c r="X31" i="5"/>
  <c r="AC31" i="5" s="1"/>
  <c r="X29" i="5"/>
  <c r="AC29" i="5" s="1"/>
  <c r="X40" i="5"/>
  <c r="AC40" i="5" s="1"/>
  <c r="X15" i="5"/>
  <c r="AC15" i="5" s="1"/>
  <c r="X41" i="5"/>
  <c r="AC41" i="5" s="1"/>
  <c r="X37" i="5"/>
  <c r="AC37" i="5" s="1"/>
  <c r="X32" i="5"/>
  <c r="AC32" i="5" s="1"/>
  <c r="X30" i="5"/>
  <c r="AC30" i="5" s="1"/>
  <c r="X38" i="5"/>
  <c r="AC38" i="5" s="1"/>
  <c r="X21" i="5"/>
  <c r="AC21" i="5" s="1"/>
  <c r="X23" i="5"/>
  <c r="AC23" i="5" s="1"/>
  <c r="X12" i="5"/>
  <c r="AC12" i="5" s="1"/>
  <c r="X17" i="5"/>
  <c r="AC17" i="5" s="1"/>
  <c r="X25" i="5"/>
  <c r="AC25" i="5" s="1"/>
  <c r="X34" i="5"/>
  <c r="AC34" i="5" s="1"/>
  <c r="X16" i="5"/>
  <c r="AC16" i="5" s="1"/>
  <c r="X19" i="5"/>
  <c r="AC19" i="5" s="1"/>
  <c r="X14" i="5"/>
  <c r="AC14" i="5" s="1"/>
  <c r="X5" i="5"/>
  <c r="AC5" i="5" s="1"/>
  <c r="X10" i="5"/>
  <c r="AC10" i="5" s="1"/>
  <c r="X36" i="5"/>
  <c r="AC36" i="5" s="1"/>
  <c r="X26" i="5"/>
  <c r="AC26" i="5" s="1"/>
  <c r="X8" i="5"/>
  <c r="AC8" i="5" s="1"/>
  <c r="X24" i="5"/>
  <c r="AC24" i="5" s="1"/>
  <c r="X39" i="5"/>
  <c r="AC39" i="5" s="1"/>
  <c r="X27" i="5"/>
  <c r="AC27" i="5" s="1"/>
  <c r="X28" i="5"/>
  <c r="AC28" i="5" s="1"/>
  <c r="X22" i="5"/>
  <c r="AC22" i="5" s="1"/>
  <c r="X33" i="5"/>
  <c r="AC33" i="5" s="1"/>
  <c r="X35" i="5"/>
  <c r="AC35" i="5" s="1"/>
  <c r="X9" i="5"/>
  <c r="AC9" i="5" s="1"/>
  <c r="X6" i="5"/>
  <c r="AC6" i="5" s="1"/>
  <c r="X11" i="5"/>
  <c r="AC11" i="5" s="1"/>
  <c r="X20" i="5"/>
  <c r="AC20" i="5" s="1"/>
  <c r="O33" i="12"/>
  <c r="O14" i="12"/>
  <c r="O31" i="12"/>
  <c r="O21" i="12"/>
  <c r="O10" i="12"/>
  <c r="O19" i="12"/>
  <c r="O7" i="12"/>
  <c r="O8" i="12"/>
  <c r="O41" i="12"/>
  <c r="O38" i="12"/>
  <c r="O18" i="12"/>
  <c r="O34" i="12"/>
  <c r="O15" i="12"/>
  <c r="O13" i="12"/>
  <c r="O22" i="12"/>
  <c r="O39" i="12"/>
  <c r="O36" i="12"/>
  <c r="O45" i="12"/>
  <c r="O42" i="12"/>
  <c r="O27" i="12"/>
  <c r="O6" i="12"/>
  <c r="O44" i="12"/>
  <c r="O25" i="12"/>
  <c r="O26" i="12"/>
  <c r="O24" i="12"/>
  <c r="O11" i="12"/>
  <c r="O20" i="12"/>
  <c r="O23" i="12"/>
  <c r="O9" i="12"/>
  <c r="O12" i="12"/>
  <c r="O29" i="12"/>
  <c r="O32" i="12"/>
  <c r="O47" i="12"/>
  <c r="O17" i="12"/>
  <c r="O28" i="12"/>
  <c r="O40" i="12"/>
  <c r="O37" i="12"/>
  <c r="O46" i="12"/>
  <c r="O30" i="12"/>
  <c r="O35" i="12"/>
  <c r="O43" i="12"/>
  <c r="O16" i="12"/>
  <c r="Y38" i="12"/>
  <c r="Y39" i="12"/>
  <c r="Y7" i="12"/>
  <c r="Y37" i="12"/>
  <c r="Y34" i="12"/>
  <c r="Y35" i="12"/>
  <c r="Y32" i="12"/>
  <c r="Y33" i="12"/>
  <c r="Y24" i="12"/>
  <c r="Y25" i="12"/>
  <c r="Y20" i="12"/>
  <c r="Y21" i="12"/>
  <c r="Y16" i="12"/>
  <c r="Y45" i="12"/>
  <c r="Y42" i="12"/>
  <c r="Y14" i="12"/>
  <c r="Y12" i="12"/>
  <c r="Y13" i="12"/>
  <c r="Y30" i="12"/>
  <c r="Y31" i="12"/>
  <c r="Y22" i="12"/>
  <c r="Y23" i="12"/>
  <c r="Y19" i="12"/>
  <c r="Y44" i="12"/>
  <c r="Y46" i="12"/>
  <c r="Y11" i="12"/>
  <c r="Y28" i="12"/>
  <c r="Y29" i="12"/>
  <c r="Y26" i="12"/>
  <c r="Y27" i="12"/>
  <c r="Y41" i="12"/>
  <c r="Y43" i="12"/>
  <c r="Y18" i="12"/>
  <c r="Y40" i="12"/>
  <c r="Y17" i="12"/>
  <c r="Y15" i="12"/>
  <c r="Y47" i="12"/>
  <c r="Y10" i="12"/>
  <c r="Y6" i="12"/>
  <c r="Y8" i="12"/>
  <c r="Y9" i="12"/>
  <c r="Y36" i="12"/>
  <c r="Y41" i="6"/>
  <c r="AA47" i="12"/>
  <c r="AA24" i="12"/>
  <c r="AA30" i="12"/>
  <c r="AA20" i="12"/>
  <c r="AA23" i="12"/>
  <c r="AA11" i="12"/>
  <c r="AA26" i="12"/>
  <c r="AA31" i="12"/>
  <c r="AA6" i="12"/>
  <c r="AA41" i="12"/>
  <c r="AA19" i="12"/>
  <c r="AA21" i="12"/>
  <c r="AA37" i="12"/>
  <c r="AA10" i="12"/>
  <c r="AA28" i="12"/>
  <c r="AA12" i="12"/>
  <c r="AA46" i="12"/>
  <c r="AA17" i="12"/>
  <c r="AA14" i="12"/>
  <c r="AA8" i="12"/>
  <c r="AA38" i="12"/>
  <c r="AA15" i="12"/>
  <c r="AA33" i="12"/>
  <c r="AA39" i="12"/>
  <c r="AA45" i="12"/>
  <c r="AA27" i="12"/>
  <c r="AA44" i="12"/>
  <c r="AA16" i="12"/>
  <c r="AA34" i="12"/>
  <c r="AA25" i="12"/>
  <c r="AA9" i="12"/>
  <c r="AA42" i="12"/>
  <c r="AA36" i="12"/>
  <c r="AA40" i="12"/>
  <c r="AA22" i="12"/>
  <c r="AA43" i="12"/>
  <c r="AA32" i="12"/>
  <c r="AA35" i="12"/>
  <c r="AA18" i="12"/>
  <c r="AA29" i="12"/>
  <c r="AA7" i="12"/>
  <c r="AA13" i="12"/>
  <c r="Y40" i="6" l="1"/>
  <c r="AC40" i="6"/>
  <c r="Y42" i="6"/>
  <c r="X42" i="6" s="1"/>
  <c r="AC42" i="6" s="1"/>
  <c r="AD9" i="5"/>
  <c r="AD29" i="6"/>
  <c r="AD32" i="6"/>
  <c r="AD10" i="6"/>
  <c r="AD30" i="6"/>
  <c r="AD34" i="6"/>
  <c r="AD22" i="6"/>
  <c r="AD12" i="6"/>
  <c r="AD20" i="6"/>
  <c r="AD15" i="6"/>
  <c r="AD23" i="6"/>
  <c r="AD19" i="6"/>
  <c r="AD26" i="6"/>
  <c r="AD25" i="6"/>
  <c r="AD5" i="6"/>
  <c r="AD27" i="6"/>
  <c r="AD11" i="6"/>
  <c r="AD31" i="6"/>
  <c r="AD37" i="6"/>
  <c r="AD40" i="6"/>
  <c r="AD36" i="6"/>
  <c r="AD28" i="6"/>
  <c r="AD24" i="6"/>
  <c r="AD6" i="6"/>
  <c r="AD7" i="6"/>
  <c r="AD33" i="6"/>
  <c r="AD13" i="6"/>
  <c r="AD18" i="6"/>
  <c r="AD21" i="6"/>
  <c r="AD16" i="6"/>
  <c r="AD42" i="6"/>
  <c r="AD8" i="6"/>
  <c r="AD9" i="6"/>
  <c r="AD17" i="6"/>
  <c r="AD35" i="6"/>
  <c r="AD14" i="6"/>
  <c r="AD39" i="6"/>
  <c r="AD38" i="6"/>
  <c r="AD41" i="6"/>
  <c r="AD19" i="5"/>
  <c r="AD28" i="5"/>
  <c r="AD23" i="5"/>
  <c r="AD34" i="5"/>
  <c r="AD35" i="5"/>
  <c r="AD38" i="5"/>
  <c r="AD37" i="5"/>
  <c r="AD31" i="5"/>
  <c r="AD11" i="5"/>
  <c r="AD41" i="5"/>
  <c r="AD16" i="5"/>
  <c r="AD5" i="5"/>
  <c r="AD7" i="5"/>
  <c r="AD33" i="5"/>
  <c r="AD12" i="5"/>
  <c r="AD20" i="5"/>
  <c r="AD40" i="5"/>
  <c r="AD17" i="5"/>
  <c r="AD39" i="5"/>
  <c r="AD10" i="5"/>
  <c r="AD26" i="5"/>
  <c r="AD29" i="5"/>
  <c r="AD32" i="5"/>
  <c r="AD27" i="5"/>
  <c r="AD25" i="5"/>
  <c r="AD30" i="5"/>
  <c r="AD22" i="5"/>
  <c r="AD18" i="5"/>
  <c r="AD8" i="5"/>
  <c r="AD24" i="5"/>
  <c r="AD21" i="5"/>
  <c r="AD13" i="5"/>
  <c r="AD36" i="5"/>
  <c r="AD42" i="5"/>
  <c r="AD15" i="5"/>
  <c r="AD6" i="5"/>
  <c r="AD14" i="5"/>
  <c r="AK28" i="6" l="1"/>
  <c r="AK25" i="6"/>
  <c r="AK27" i="6"/>
  <c r="AK17" i="6"/>
  <c r="AK23" i="6"/>
  <c r="AK36" i="6"/>
  <c r="AK8" i="6"/>
  <c r="AK6" i="6"/>
  <c r="AK24" i="6"/>
  <c r="AK7" i="6"/>
  <c r="AK39" i="6"/>
  <c r="AK14" i="6"/>
  <c r="AK16" i="6"/>
  <c r="AK26" i="6"/>
  <c r="AK15" i="6"/>
  <c r="AK37" i="6"/>
  <c r="AK38" i="6"/>
  <c r="AK9" i="6"/>
  <c r="AK5" i="6"/>
  <c r="AK40" i="6"/>
  <c r="AK42" i="6"/>
  <c r="AK11" i="6"/>
  <c r="AK31" i="6"/>
  <c r="AK30" i="6"/>
  <c r="AK12" i="6"/>
  <c r="AK13" i="6"/>
  <c r="AK10" i="6"/>
  <c r="AK34" i="6"/>
  <c r="AK21" i="6"/>
  <c r="AK35" i="6"/>
  <c r="AK41" i="6"/>
  <c r="AK29" i="6"/>
  <c r="AK33" i="6"/>
  <c r="AK20" i="6"/>
  <c r="AK18" i="6"/>
  <c r="AK22" i="6"/>
  <c r="AK19" i="6"/>
  <c r="AK32" i="6"/>
  <c r="AD3" i="6"/>
  <c r="AD3" i="5"/>
  <c r="AA4" i="12"/>
  <c r="D7" i="40"/>
  <c r="T5" i="36"/>
  <c r="O5" i="12"/>
</calcChain>
</file>

<file path=xl/sharedStrings.xml><?xml version="1.0" encoding="utf-8"?>
<sst xmlns="http://schemas.openxmlformats.org/spreadsheetml/2006/main" count="1782" uniqueCount="277">
  <si>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</si>
  <si>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</si>
  <si>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</si>
  <si>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</si>
  <si>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</si>
  <si>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</si>
  <si>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</si>
  <si>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</si>
  <si>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</si>
  <si>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</si>
  <si>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</si>
  <si>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</si>
  <si>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</si>
  <si>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</si>
  <si>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</si>
  <si>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</si>
  <si>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</si>
  <si>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</si>
  <si>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</si>
  <si>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</si>
  <si>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</si>
  <si>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</si>
  <si>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</si>
  <si>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</si>
  <si>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</si>
  <si>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</si>
  <si>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</si>
  <si>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</si>
  <si>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</si>
  <si>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</si>
  <si>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</si>
  <si>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</si>
  <si>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</si>
  <si>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</si>
  <si>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</si>
  <si>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</si>
  <si>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</si>
  <si>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</si>
  <si>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</si>
  <si>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</si>
  <si>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</si>
  <si>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</si>
  <si>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</si>
  <si>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</si>
  <si>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</si>
  <si>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</si>
  <si>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</si>
  <si>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</si>
  <si>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</si>
  <si>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</si>
  <si>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</si>
  <si>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</si>
  <si>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</si>
  <si>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</si>
  <si>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</si>
  <si>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</si>
  <si>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</si>
  <si>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</si>
  <si>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</si>
  <si>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</si>
  <si>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</si>
  <si>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</si>
  <si>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</si>
  <si>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</si>
  <si>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</si>
  <si>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</si>
  <si>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</si>
  <si>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</si>
  <si>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</si>
  <si>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</si>
  <si>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</si>
  <si>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</si>
  <si>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</si>
  <si>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</si>
  <si>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</si>
  <si>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</si>
  <si>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</si>
  <si>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</si>
  <si>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</si>
  <si>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</si>
  <si>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</si>
  <si>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</si>
  <si>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</si>
  <si>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</si>
  <si>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</si>
  <si>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</si>
  <si>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</si>
  <si>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</si>
  <si>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</si>
  <si>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</si>
  <si>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</si>
  <si>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</si>
  <si>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</si>
  <si>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</si>
  <si>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</si>
  <si>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</si>
  <si>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</si>
  <si>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</si>
  <si>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</si>
  <si>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</si>
  <si>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</si>
  <si>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</si>
  <si>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</si>
  <si>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</si>
  <si>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</si>
  <si>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</si>
  <si>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</si>
  <si>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</si>
  <si>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FED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</si>
  <si>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</si>
  <si>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</si>
  <si>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</si>
  <si>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</si>
  <si>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</si>
  <si>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</si>
  <si>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</si>
  <si>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</si>
  <si>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</si>
  <si>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</si>
  <si>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</si>
  <si>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</si>
  <si>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</si>
  <si>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</si>
  <si>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</si>
  <si>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</si>
  <si>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</si>
  <si>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</si>
  <si>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</si>
  <si>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</si>
  <si>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</si>
  <si>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</si>
  <si>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</si>
  <si>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</si>
  <si>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</si>
  <si>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</si>
  <si>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</si>
  <si>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</si>
  <si>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</si>
  <si>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</si>
  <si>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</si>
  <si>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</si>
  <si>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AM</t>
  </si>
  <si>
    <t>SB</t>
  </si>
  <si>
    <t>3H</t>
  </si>
  <si>
    <t>QM</t>
  </si>
  <si>
    <t>AB</t>
  </si>
  <si>
    <t>Conventions</t>
  </si>
  <si>
    <t>Set</t>
  </si>
  <si>
    <t>Main</t>
  </si>
  <si>
    <t>General Settings</t>
  </si>
  <si>
    <t>TOY</t>
  </si>
  <si>
    <t>ON</t>
  </si>
  <si>
    <t>Hibor</t>
  </si>
  <si>
    <t>FamilyName</t>
  </si>
  <si>
    <t>Actual/365 (Fixed)</t>
  </si>
  <si>
    <t>Following</t>
  </si>
  <si>
    <t>HongKong::HKEx</t>
  </si>
  <si>
    <t>1W</t>
  </si>
  <si>
    <t>SN</t>
  </si>
  <si>
    <t>TN</t>
  </si>
  <si>
    <t>Yield Curve</t>
  </si>
  <si>
    <t>dc</t>
  </si>
  <si>
    <t>eom</t>
  </si>
  <si>
    <t>bdc</t>
  </si>
  <si>
    <t>calendar</t>
  </si>
  <si>
    <t>fix days</t>
  </si>
  <si>
    <t>Tenor</t>
  </si>
  <si>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</si>
  <si>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</si>
  <si>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</si>
  <si>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</si>
  <si>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</si>
  <si>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</si>
  <si>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</si>
  <si>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</si>
  <si>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</si>
  <si>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</si>
  <si>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</si>
  <si>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</si>
  <si>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HiborYC1Y</t>
  </si>
  <si>
    <t>HiborYC6M</t>
  </si>
  <si>
    <t>HiborYC3M</t>
  </si>
  <si>
    <t>HiborYC1M</t>
  </si>
  <si>
    <t>HiborYCON</t>
  </si>
  <si>
    <t>YCCCSBasis</t>
  </si>
  <si>
    <t>YCSTD</t>
  </si>
  <si>
    <t>YC</t>
  </si>
  <si>
    <t>Hkd</t>
  </si>
  <si>
    <t>The record could not be found</t>
  </si>
  <si>
    <t>Change</t>
  </si>
  <si>
    <t>Effective</t>
  </si>
  <si>
    <t>Object ID</t>
  </si>
  <si>
    <t>Static</t>
  </si>
  <si>
    <t>PRIM ACT 1</t>
  </si>
  <si>
    <t>D_Quote</t>
  </si>
  <si>
    <t>Quote suffix</t>
  </si>
  <si>
    <t>Contributors</t>
  </si>
  <si>
    <t>RIC element1</t>
  </si>
  <si>
    <t>RIC element2</t>
  </si>
  <si>
    <t>Code</t>
  </si>
  <si>
    <t>Field</t>
  </si>
  <si>
    <t>ibor</t>
  </si>
  <si>
    <t>IBOR</t>
  </si>
  <si>
    <t>D</t>
  </si>
  <si>
    <t>LAST</t>
  </si>
  <si>
    <t>Libor</t>
  </si>
  <si>
    <t>FSR</t>
  </si>
  <si>
    <t>HI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</si>
  <si>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</si>
  <si>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</si>
  <si>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</si>
  <si>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</si>
  <si>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</si>
  <si>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</si>
  <si>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</si>
  <si>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</si>
  <si>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</si>
  <si>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</si>
  <si>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PREL</t>
  </si>
  <si>
    <t>COSMOREX</t>
  </si>
  <si>
    <t>COSZ</t>
  </si>
  <si>
    <t>HKD9X12F=</t>
  </si>
  <si>
    <t>HKD8X11F=</t>
  </si>
  <si>
    <t>HKD7X10F=</t>
  </si>
  <si>
    <t>HKD6X12F=</t>
  </si>
  <si>
    <t>HKD5X11F=</t>
  </si>
  <si>
    <t>HKD4X10F=</t>
  </si>
  <si>
    <t>HKD3X9F=</t>
  </si>
  <si>
    <t>HKD2X8F=</t>
  </si>
  <si>
    <t>HKD1X7F=</t>
  </si>
  <si>
    <t>ASK-BID</t>
  </si>
  <si>
    <t>Mid Safe</t>
  </si>
  <si>
    <t>HST_CLOSE</t>
  </si>
  <si>
    <t>BID</t>
  </si>
  <si>
    <t>CODES</t>
  </si>
  <si>
    <t>LIFFE</t>
  </si>
  <si>
    <t>EXPIRE DATE</t>
  </si>
  <si>
    <t>Effective Date</t>
  </si>
  <si>
    <t>ED</t>
  </si>
  <si>
    <t>HIR</t>
  </si>
  <si>
    <t>FSS</t>
  </si>
  <si>
    <t>FEI</t>
  </si>
  <si>
    <t>FES</t>
  </si>
  <si>
    <t>FUT3M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</si>
  <si>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</si>
  <si>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</si>
  <si>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</si>
  <si>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</si>
  <si>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</si>
  <si>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</si>
  <si>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</si>
  <si>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</si>
  <si>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</si>
  <si>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</si>
  <si>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</si>
  <si>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</si>
  <si>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</si>
  <si>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</si>
  <si>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</si>
  <si>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</si>
  <si>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</si>
  <si>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</si>
  <si>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</si>
  <si>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</si>
  <si>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</si>
  <si>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</si>
  <si>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=ohTrigger(ISERROR('C:\Projects\quantlib\QuantLibXL\Workbooks\MarketData\ReutersFeed\[HKD_InterestRateQuotesFeed.xlsm]Deposits'!$I$11),ISERROR('C:\Projects\quantlib\QuantLibXL\Workbooks\MarketData\ReutersFeed\[HKD_InterestRateQuotesFeed.xlsm]Swap1M'!Counter),ISERROR('C:\Projects\quantlib\QuantLibXL\Workbooks\MarketData\ReutersFeed\[HKD_InterestRateQuotesFeed.xlsm]Futures1M'!Counter))</t>
  </si>
  <si>
    <t>=ohTrigger(ISERROR('C:\Projects\quantlib\QuantLibXL\Workbooks\MarketData\ReutersFeed\[HKD_InterestRateQuotesFeed.xlsm]Deposits'!I13),ISERROR('C:\Projects\quantlib\QuantLibXL\Workbooks\MarketData\ReutersFeed\[HKD_InterestRateQuotesFeed.xlsm]FRA'!O5:O15),ISERROR('C:\Projects\quantlib\QuantLibXL\Workbooks\MarketData\ReutersFeed\[HKD_InterestRateQuotesFeed.xlsm]Futures3M'!Counter))</t>
  </si>
  <si>
    <t>=ohTrigger(ISERROR('C:\Projects\quantlib\QuantLibXL\Workbooks\MarketData\ReutersFeed\[HKD_InterestRateQuotesFeed.xlsm]Deposits'!I16),ISERROR('C:\Projects\quantlib\QuantLibXL\Workbooks\MarketData\ReutersFeed\[HKD_InterestRateQuotesFeed.xlsm]FRA'!O16:O25),,ISERROR('C:\Projects\quantlib\QuantLibXL\Workbooks\MarketData\ReutersFeed\[HKD_InterestRateQuotesFeed.xlsm]ImmFra6M'!Counter))</t>
  </si>
  <si>
    <t>CAD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</si>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</sst>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4" formatCode="0.000000"/>
    <numFmt numFmtId="175" formatCode="0.000"/>
    <numFmt numFmtId="176" formatCode="ddd\,\ dd\-mmm\-yyyy\ h:mm:ss"/>
    <numFmt numFmtId="177" formatCode="ddd\,\ dd\-mmm\-yyyy\,\ h:mm:ss"/>
    <numFmt numFmtId="178" formatCode="ddd\,\ dd\-mmm\-yyyy\,\ hh:mm:ss"/>
    <numFmt numFmtId="179" formatCode="ddd\,\ dd\-mmm\-yy"/>
  </numFmts>
  <fonts count="2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sz val="8"/>
      <color indexed="23"/>
      <name val="Arial"/>
      <family val="2"/>
    </font>
    <font>
      <b/>
      <sz val="12"/>
      <color indexed="12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3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465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0" fontId="3" fillId="2" borderId="0" xfId="2" applyFont="1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5" fillId="2" borderId="0" xfId="1" applyFont="1" applyFill="1"/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1" fillId="3" borderId="6" xfId="2" applyFont="1" applyFill="1" applyBorder="1"/>
    <xf numFmtId="0" fontId="1" fillId="3" borderId="16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righ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0" fontId="15" fillId="3" borderId="0" xfId="2" applyNumberFormat="1" applyFont="1" applyFill="1" applyBorder="1" applyAlignment="1" applyProtection="1"/>
    <xf numFmtId="0" fontId="15" fillId="3" borderId="0" xfId="2" applyNumberFormat="1" applyFont="1" applyFill="1" applyBorder="1" applyAlignment="1">
      <alignment horizontal="left"/>
    </xf>
    <xf numFmtId="165" fontId="15" fillId="3" borderId="0" xfId="9" applyNumberFormat="1" applyFont="1" applyFill="1" applyBorder="1" applyAlignment="1">
      <alignment horizontal="center"/>
    </xf>
    <xf numFmtId="0" fontId="15" fillId="3" borderId="0" xfId="2" applyNumberFormat="1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1" fillId="0" borderId="3" xfId="2" applyFont="1" applyBorder="1"/>
    <xf numFmtId="0" fontId="1" fillId="0" borderId="7" xfId="2" applyFont="1" applyBorder="1"/>
    <xf numFmtId="0" fontId="1" fillId="0" borderId="8" xfId="2" applyFont="1" applyBorder="1" applyAlignment="1">
      <alignment horizontal="center" vertical="center"/>
    </xf>
    <xf numFmtId="0" fontId="1" fillId="0" borderId="9" xfId="2" applyFont="1" applyBorder="1" applyAlignment="1">
      <alignment horizontal="center" vertical="center"/>
    </xf>
    <xf numFmtId="0" fontId="1" fillId="0" borderId="10" xfId="2" applyFont="1" applyBorder="1" applyAlignment="1">
      <alignment horizontal="center" vertic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6" xfId="2" applyFont="1" applyFill="1" applyBorder="1" applyAlignment="1">
      <alignment horizontal="center"/>
    </xf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3" fillId="4" borderId="0" xfId="2" applyNumberFormat="1" applyFont="1" applyFill="1" applyBorder="1" applyAlignment="1" applyProtection="1">
      <alignment horizontal="center"/>
    </xf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0" fontId="1" fillId="2" borderId="0" xfId="2" applyFont="1" applyFill="1"/>
    <xf numFmtId="170" fontId="3" fillId="4" borderId="6" xfId="2" applyNumberFormat="1" applyFont="1" applyFill="1" applyBorder="1" applyAlignment="1" applyProtection="1">
      <alignment horizontal="left"/>
    </xf>
    <xf numFmtId="0" fontId="3" fillId="2" borderId="6" xfId="2" applyNumberFormat="1" applyFont="1" applyFill="1" applyBorder="1" applyAlignment="1"/>
    <xf numFmtId="0" fontId="9" fillId="3" borderId="6" xfId="2" applyNumberFormat="1" applyFont="1" applyFill="1" applyBorder="1" applyAlignment="1"/>
    <xf numFmtId="0" fontId="3" fillId="3" borderId="0" xfId="2" applyFont="1" applyFill="1" applyBorder="1" applyAlignment="1"/>
    <xf numFmtId="0" fontId="3" fillId="3" borderId="17" xfId="2" applyFont="1" applyFill="1" applyBorder="1"/>
    <xf numFmtId="0" fontId="3" fillId="3" borderId="18" xfId="2" applyFont="1" applyFill="1" applyBorder="1"/>
    <xf numFmtId="0" fontId="3" fillId="3" borderId="19" xfId="2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5" fontId="1" fillId="0" borderId="22" xfId="9" applyNumberFormat="1" applyFont="1" applyFill="1" applyBorder="1" applyAlignment="1"/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/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3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/>
    </xf>
    <xf numFmtId="0" fontId="13" fillId="3" borderId="0" xfId="0" applyFont="1" applyFill="1" applyBorder="1"/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24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23" xfId="9" applyNumberFormat="1" applyFont="1" applyFill="1" applyBorder="1" applyAlignment="1">
      <alignment horizontal="center"/>
    </xf>
    <xf numFmtId="165" fontId="1" fillId="0" borderId="24" xfId="9" applyNumberFormat="1" applyFont="1" applyFill="1" applyBorder="1" applyAlignment="1"/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2" fontId="1" fillId="0" borderId="0" xfId="0" applyNumberFormat="1" applyFont="1"/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0" fillId="3" borderId="2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165" fontId="10" fillId="0" borderId="22" xfId="9" applyNumberFormat="1" applyFont="1" applyFill="1" applyBorder="1" applyAlignment="1">
      <alignment horizontal="center" vertical="center" wrapText="1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0" fillId="8" borderId="6" xfId="0" applyFont="1" applyFill="1" applyBorder="1" applyAlignment="1">
      <alignment horizontal="center"/>
    </xf>
    <xf numFmtId="0" fontId="1" fillId="0" borderId="0" xfId="0" applyFont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12" fillId="3" borderId="4" xfId="0" applyFont="1" applyFill="1" applyBorder="1"/>
    <xf numFmtId="0" fontId="1" fillId="3" borderId="5" xfId="0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174" fontId="1" fillId="0" borderId="11" xfId="9" applyNumberFormat="1" applyFont="1" applyFill="1" applyBorder="1" applyAlignment="1"/>
    <xf numFmtId="174" fontId="1" fillId="0" borderId="12" xfId="9" applyNumberFormat="1" applyFont="1" applyFill="1" applyBorder="1" applyAlignment="1"/>
    <xf numFmtId="164" fontId="1" fillId="0" borderId="13" xfId="9" applyNumberFormat="1" applyFont="1" applyFill="1" applyBorder="1" applyAlignment="1"/>
    <xf numFmtId="164" fontId="1" fillId="3" borderId="0" xfId="9" applyNumberFormat="1" applyFont="1" applyFill="1" applyBorder="1" applyAlignment="1">
      <alignment horizontal="center"/>
    </xf>
    <xf numFmtId="174" fontId="1" fillId="0" borderId="15" xfId="9" applyNumberFormat="1" applyFont="1" applyFill="1" applyBorder="1" applyAlignment="1"/>
    <xf numFmtId="170" fontId="1" fillId="3" borderId="0" xfId="9" applyNumberFormat="1" applyFont="1" applyFill="1" applyBorder="1" applyAlignment="1">
      <alignment horizontal="center"/>
    </xf>
    <xf numFmtId="172" fontId="1" fillId="0" borderId="13" xfId="9" applyNumberFormat="1" applyFont="1" applyFill="1" applyBorder="1" applyAlignment="1"/>
    <xf numFmtId="172" fontId="1" fillId="0" borderId="11" xfId="9" applyNumberFormat="1" applyFont="1" applyFill="1" applyBorder="1" applyAlignment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 applyAlignment="1">
      <alignment horizontal="center"/>
    </xf>
    <xf numFmtId="165" fontId="1" fillId="0" borderId="20" xfId="9" applyNumberFormat="1" applyFont="1" applyFill="1" applyBorder="1" applyAlignment="1"/>
    <xf numFmtId="165" fontId="1" fillId="0" borderId="21" xfId="9" applyNumberFormat="1" applyFont="1" applyFill="1" applyBorder="1" applyAlignment="1"/>
    <xf numFmtId="164" fontId="1" fillId="0" borderId="22" xfId="9" applyNumberFormat="1" applyFont="1" applyFill="1" applyBorder="1" applyAlignment="1"/>
    <xf numFmtId="165" fontId="1" fillId="0" borderId="25" xfId="9" applyNumberFormat="1" applyFont="1" applyFill="1" applyBorder="1" applyAlignment="1"/>
    <xf numFmtId="2" fontId="1" fillId="0" borderId="14" xfId="9" applyNumberFormat="1" applyFont="1" applyFill="1" applyBorder="1" applyAlignment="1"/>
    <xf numFmtId="164" fontId="1" fillId="0" borderId="16" xfId="9" applyNumberFormat="1" applyFont="1" applyFill="1" applyBorder="1" applyAlignment="1"/>
    <xf numFmtId="172" fontId="10" fillId="0" borderId="5" xfId="9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2" fontId="0" fillId="0" borderId="0" xfId="0" applyNumberFormat="1"/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8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2" xfId="0" applyFont="1" applyBorder="1" applyAlignment="1"/>
    <xf numFmtId="0" fontId="1" fillId="0" borderId="13" xfId="9" applyNumberFormat="1" applyFont="1" applyFill="1" applyBorder="1" applyAlignment="1"/>
    <xf numFmtId="0" fontId="1" fillId="0" borderId="0" xfId="0" applyFont="1" applyBorder="1" applyAlignment="1"/>
    <xf numFmtId="0" fontId="1" fillId="3" borderId="0" xfId="0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7" xfId="0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5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right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1" fillId="2" borderId="25" xfId="2" applyFont="1" applyFill="1" applyBorder="1"/>
    <xf numFmtId="0" fontId="21" fillId="3" borderId="20" xfId="2" applyFont="1" applyFill="1" applyBorder="1" applyAlignment="1">
      <alignment horizontal="center"/>
    </xf>
    <xf numFmtId="0" fontId="21" fillId="3" borderId="0" xfId="2" applyFont="1" applyFill="1" applyBorder="1"/>
    <xf numFmtId="0" fontId="21" fillId="3" borderId="4" xfId="2" applyFont="1" applyFill="1" applyBorder="1"/>
    <xf numFmtId="0" fontId="21" fillId="2" borderId="26" xfId="2" applyFont="1" applyFill="1" applyBorder="1"/>
    <xf numFmtId="176" fontId="21" fillId="3" borderId="14" xfId="2" applyNumberFormat="1" applyFont="1" applyFill="1" applyBorder="1" applyAlignment="1">
      <alignment horizontal="center"/>
    </xf>
    <xf numFmtId="0" fontId="21" fillId="3" borderId="14" xfId="2" quotePrefix="1" applyNumberFormat="1" applyFont="1" applyFill="1" applyBorder="1" applyAlignment="1">
      <alignment horizontal="center"/>
    </xf>
    <xf numFmtId="1" fontId="21" fillId="3" borderId="14" xfId="2" applyNumberFormat="1" applyFont="1" applyFill="1" applyBorder="1" applyAlignment="1">
      <alignment horizontal="center"/>
    </xf>
    <xf numFmtId="0" fontId="21" fillId="2" borderId="15" xfId="2" applyFont="1" applyFill="1" applyBorder="1"/>
    <xf numFmtId="1" fontId="21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1" fillId="3" borderId="6" xfId="2" applyFont="1" applyFill="1" applyBorder="1" applyAlignment="1">
      <alignment horizontal="center"/>
    </xf>
    <xf numFmtId="0" fontId="21" fillId="3" borderId="5" xfId="2" applyFont="1" applyFill="1" applyBorder="1" applyAlignment="1">
      <alignment horizontal="center"/>
    </xf>
    <xf numFmtId="0" fontId="21" fillId="3" borderId="26" xfId="2" applyFont="1" applyFill="1" applyBorder="1" applyAlignment="1">
      <alignment horizontal="center"/>
    </xf>
    <xf numFmtId="0" fontId="21" fillId="3" borderId="14" xfId="2" applyFont="1" applyFill="1" applyBorder="1" applyAlignment="1">
      <alignment horizontal="center"/>
    </xf>
    <xf numFmtId="0" fontId="2" fillId="3" borderId="0" xfId="2" applyFill="1" applyBorder="1"/>
    <xf numFmtId="0" fontId="21" fillId="3" borderId="15" xfId="2" applyFont="1" applyFill="1" applyBorder="1" applyAlignment="1">
      <alignment horizontal="center"/>
    </xf>
    <xf numFmtId="0" fontId="21" fillId="3" borderId="11" xfId="2" applyFont="1" applyFill="1" applyBorder="1" applyAlignment="1">
      <alignment horizontal="center"/>
    </xf>
    <xf numFmtId="0" fontId="21" fillId="3" borderId="0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right"/>
    </xf>
    <xf numFmtId="177" fontId="23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4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0" fontId="2" fillId="0" borderId="0" xfId="2" quotePrefix="1"/>
    <xf numFmtId="0" fontId="0" fillId="3" borderId="0" xfId="0" applyFill="1"/>
    <xf numFmtId="0" fontId="0" fillId="3" borderId="1" xfId="0" quotePrefix="1" applyFill="1" applyBorder="1"/>
    <xf numFmtId="0" fontId="0" fillId="3" borderId="2" xfId="0" quotePrefix="1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7" xfId="0" applyFill="1" applyBorder="1"/>
    <xf numFmtId="14" fontId="0" fillId="3" borderId="0" xfId="0" applyNumberFormat="1" applyFill="1"/>
    <xf numFmtId="178" fontId="0" fillId="3" borderId="0" xfId="0" applyNumberFormat="1" applyFill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164" fontId="26" fillId="3" borderId="0" xfId="10" applyNumberFormat="1" applyFont="1" applyFill="1"/>
    <xf numFmtId="0" fontId="26" fillId="3" borderId="0" xfId="0" applyFont="1" applyFill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164" fontId="26" fillId="2" borderId="2" xfId="10" applyNumberFormat="1" applyFont="1" applyFill="1" applyBorder="1"/>
    <xf numFmtId="0" fontId="26" fillId="2" borderId="2" xfId="0" applyFont="1" applyFill="1" applyBorder="1" applyAlignment="1">
      <alignment horizontal="left"/>
    </xf>
    <xf numFmtId="0" fontId="0" fillId="2" borderId="3" xfId="0" applyFill="1" applyBorder="1"/>
    <xf numFmtId="0" fontId="0" fillId="2" borderId="4" xfId="0" applyFill="1" applyBorder="1"/>
    <xf numFmtId="165" fontId="1" fillId="0" borderId="15" xfId="10" applyNumberFormat="1" applyFont="1" applyFill="1" applyBorder="1" applyAlignment="1">
      <alignment horizontal="center"/>
    </xf>
    <xf numFmtId="165" fontId="1" fillId="0" borderId="11" xfId="10" applyNumberFormat="1" applyFont="1" applyFill="1" applyBorder="1" applyAlignment="1"/>
    <xf numFmtId="165" fontId="1" fillId="0" borderId="12" xfId="10" applyNumberFormat="1" applyFont="1" applyFill="1" applyBorder="1" applyAlignment="1"/>
    <xf numFmtId="165" fontId="1" fillId="0" borderId="13" xfId="10" applyNumberFormat="1" applyFont="1" applyFill="1" applyBorder="1" applyAlignment="1"/>
    <xf numFmtId="0" fontId="0" fillId="2" borderId="0" xfId="0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9" fontId="1" fillId="0" borderId="12" xfId="10" applyNumberFormat="1" applyFont="1" applyFill="1" applyBorder="1" applyAlignment="1"/>
    <xf numFmtId="165" fontId="10" fillId="0" borderId="13" xfId="10" applyNumberFormat="1" applyFont="1" applyFill="1" applyBorder="1" applyAlignment="1"/>
    <xf numFmtId="0" fontId="0" fillId="2" borderId="7" xfId="0" applyFill="1" applyBorder="1"/>
    <xf numFmtId="165" fontId="1" fillId="0" borderId="26" xfId="10" applyNumberFormat="1" applyFont="1" applyFill="1" applyBorder="1" applyAlignment="1">
      <alignment horizontal="center"/>
    </xf>
    <xf numFmtId="165" fontId="1" fillId="0" borderId="14" xfId="10" applyNumberFormat="1" applyFont="1" applyFill="1" applyBorder="1" applyAlignment="1"/>
    <xf numFmtId="165" fontId="1" fillId="0" borderId="0" xfId="10" applyNumberFormat="1" applyFont="1" applyFill="1" applyBorder="1" applyAlignment="1"/>
    <xf numFmtId="165" fontId="1" fillId="0" borderId="16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9" fontId="1" fillId="0" borderId="0" xfId="10" applyNumberFormat="1" applyFont="1" applyFill="1" applyBorder="1" applyAlignment="1"/>
    <xf numFmtId="165" fontId="10" fillId="0" borderId="16" xfId="10" applyNumberFormat="1" applyFont="1" applyFill="1" applyBorder="1" applyAlignment="1"/>
    <xf numFmtId="165" fontId="1" fillId="0" borderId="25" xfId="10" applyNumberFormat="1" applyFont="1" applyFill="1" applyBorder="1" applyAlignment="1">
      <alignment horizontal="center"/>
    </xf>
    <xf numFmtId="165" fontId="1" fillId="0" borderId="20" xfId="10" applyNumberFormat="1" applyFont="1" applyFill="1" applyBorder="1" applyAlignment="1"/>
    <xf numFmtId="165" fontId="1" fillId="0" borderId="21" xfId="10" applyNumberFormat="1" applyFont="1" applyFill="1" applyBorder="1" applyAlignment="1"/>
    <xf numFmtId="165" fontId="1" fillId="0" borderId="22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9" fontId="1" fillId="0" borderId="21" xfId="10" applyNumberFormat="1" applyFont="1" applyFill="1" applyBorder="1" applyAlignment="1"/>
    <xf numFmtId="165" fontId="10" fillId="0" borderId="22" xfId="10" applyNumberFormat="1" applyFont="1" applyFill="1" applyBorder="1" applyAlignment="1"/>
    <xf numFmtId="165" fontId="10" fillId="0" borderId="6" xfId="10" applyNumberFormat="1" applyFont="1" applyFill="1" applyBorder="1" applyAlignment="1">
      <alignment horizontal="center" vertical="center" wrapText="1"/>
    </xf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0" fillId="2" borderId="0" xfId="0" applyFill="1" applyBorder="1"/>
    <xf numFmtId="0" fontId="0" fillId="2" borderId="17" xfId="0" applyFill="1" applyBorder="1"/>
    <xf numFmtId="0" fontId="0" fillId="2" borderId="18" xfId="0" applyFill="1" applyBorder="1"/>
    <xf numFmtId="165" fontId="0" fillId="2" borderId="18" xfId="0" applyNumberFormat="1" applyFill="1" applyBorder="1"/>
    <xf numFmtId="0" fontId="27" fillId="2" borderId="18" xfId="0" applyFont="1" applyFill="1" applyBorder="1"/>
    <xf numFmtId="0" fontId="26" fillId="2" borderId="18" xfId="0" applyFont="1" applyFill="1" applyBorder="1"/>
    <xf numFmtId="0" fontId="26" fillId="2" borderId="18" xfId="0" applyFont="1" applyFill="1" applyBorder="1" applyAlignment="1">
      <alignment horizontal="left"/>
    </xf>
    <xf numFmtId="0" fontId="27" fillId="2" borderId="18" xfId="0" applyFont="1" applyFill="1" applyBorder="1" applyAlignment="1">
      <alignment horizontal="center"/>
    </xf>
    <xf numFmtId="0" fontId="0" fillId="2" borderId="19" xfId="0" applyFill="1" applyBorder="1"/>
    <xf numFmtId="0" fontId="26" fillId="3" borderId="0" xfId="0" applyFont="1" applyFill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4" fillId="5" borderId="10" xfId="1" applyFont="1" applyFill="1" applyBorder="1" applyAlignment="1">
      <alignment horizontal="center"/>
    </xf>
    <xf numFmtId="0" fontId="4" fillId="5" borderId="9" xfId="1" applyFont="1" applyFill="1" applyBorder="1" applyAlignment="1">
      <alignment horizontal="center"/>
    </xf>
    <xf numFmtId="0" fontId="4" fillId="5" borderId="8" xfId="1" applyFont="1" applyFill="1" applyBorder="1" applyAlignment="1">
      <alignment horizontal="center"/>
    </xf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3"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Paused at 16:09:04</v>
        <stp/>
        <stp>_x0006_ICHKD9_x0007_ROW80_8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6"/>
      </tp>
      <tp t="s">
        <v>#N/A Paused at 16:09:04</v>
        <stp/>
        <stp>_x0006_/HIRX3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9" s="12"/>
      </tp>
    </main>
    <main first="pldatasource.rtgetrtdserver">
      <tp t="s">
        <v>#N/A Paused at 16:09:04</v>
        <stp/>
        <stp>_x0008_HKD1X7F=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40" s="10"/>
      </tp>
    </main>
    <main first="pldatasource.rdatartdserver">
      <tp t="s">
        <v>Retrieving...</v>
        <stp/>
        <stp>{6BF5A7C8-3F9D-4FD4-940E-27F4A97C64F0}</stp>
        <tr r="J4" s="9"/>
      </tp>
      <tp t="s">
        <v>Retrieving...</v>
        <stp/>
        <stp>{79F848D6-3BAD-47D4-A975-B8AAD0873B07}</stp>
        <tr r="T5" s="36"/>
      </tp>
    </main>
    <main first="pldatasource.rtgetrtdserver">
      <tp t="s">
        <v>#N/A Paused at 16:09:04</v>
        <stp/>
        <stp>_x0008_HKD1X4F=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41" s="10"/>
      </tp>
    </main>
    <main first="pldatasource.rdatartdserver">
      <tp t="s">
        <v>Updated at 16:19:58</v>
        <stp/>
        <stp>{12C8325A-9E00-4F2A-87AA-CD2EB971B52D}</stp>
        <tr r="S4" s="6"/>
      </tp>
      <tp t="s">
        <v>Updated at 16:19:59</v>
        <stp/>
        <stp>{A10E9E61-0B41-4274-B5C0-47BB326353CF}</stp>
        <tr r="O5" s="12"/>
      </tp>
      <tp t="s">
        <v>Updated at 16:19:59</v>
        <stp/>
        <stp>{76785503-DFA2-4EC5-8C85-9B4B937AF24D}</stp>
        <tr r="O4" s="17"/>
      </tp>
      <tp t="s">
        <v>Updated at 16:19:59</v>
        <stp/>
        <stp>{3AF71641-EDD1-4F8D-B923-B83BA77AB1B7}</stp>
        <tr r="M4" s="10"/>
      </tp>
      <tp t="s">
        <v>Updated at 16:19:59</v>
        <stp/>
        <stp>{899B964A-64FC-412B-B4C8-29544D4580AE}</stp>
        <tr r="H4" s="14"/>
      </tp>
      <tp t="s">
        <v>Updated at 16:19:59</v>
        <stp/>
        <stp>{3AEDE893-F3CC-4499-AE57-8A73BA03410E}</stp>
        <tr r="S4" s="19"/>
      </tp>
      <tp t="s">
        <v>Updated at 16:19:59</v>
        <stp/>
        <stp>{4C0ACF69-6774-4214-853F-501582446196}</stp>
        <tr r="O4" s="16"/>
      </tp>
      <tp t="s">
        <v>Updated at 16:28:27</v>
        <stp/>
        <stp>{A1E1105B-4E64-48C2-B4AD-090B119A5F00}</stp>
        <tr r="S4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19</xdr:row>
          <xdr:rowOff>57150</xdr:rowOff>
        </xdr:from>
        <xdr:to>
          <xdr:col>3</xdr:col>
          <xdr:colOff>381000</xdr:colOff>
          <xdr:row>21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123825</xdr:rowOff>
        </xdr:from>
        <xdr:to>
          <xdr:col>3</xdr:col>
          <xdr:colOff>390525</xdr:colOff>
          <xdr:row>23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workbookViewId="0"/>
  </sheetViews>
  <sheetFormatPr defaultRowHeight="11.25" x14ac:dyDescent="0.2"/>
  <cols>
    <col min="1" max="1" width="3.7109375" style="18" customWidth="1"/>
    <col min="2" max="2" width="6.5703125" style="18" bestFit="1" customWidth="1"/>
    <col min="3" max="4" width="2.7109375" style="18" bestFit="1" customWidth="1"/>
    <col min="5" max="5" width="17.85546875" style="18" bestFit="1" customWidth="1"/>
    <col min="6" max="6" width="19.7109375" style="19" bestFit="1" customWidth="1"/>
    <col min="7" max="7" width="38.28515625" style="18" customWidth="1"/>
    <col min="8" max="8" width="4.42578125" style="18" customWidth="1"/>
    <col min="9" max="12" width="3.5703125" style="18" customWidth="1"/>
    <col min="13" max="17" width="9.140625" style="18"/>
    <col min="18" max="18" width="12.85546875" style="18" bestFit="1" customWidth="1"/>
    <col min="19" max="16384" width="9.140625" style="18"/>
  </cols>
  <sheetData>
    <row r="1" spans="1:36" s="156" customFormat="1" x14ac:dyDescent="0.2">
      <c r="F1" s="19"/>
      <c r="N1" s="27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221"/>
      <c r="AD1" s="221"/>
      <c r="AE1" s="220"/>
      <c r="AF1" s="232"/>
      <c r="AG1" s="232"/>
      <c r="AH1" s="232"/>
      <c r="AI1" s="232"/>
      <c r="AJ1" s="232"/>
    </row>
    <row r="2" spans="1:36" s="156" customFormat="1" x14ac:dyDescent="0.2">
      <c r="F2" s="19"/>
      <c r="N2" s="219"/>
      <c r="O2" s="190"/>
      <c r="P2" s="190"/>
      <c r="Q2" s="190"/>
      <c r="R2" s="190"/>
      <c r="S2" s="217" t="s">
        <v>212</v>
      </c>
      <c r="T2" s="190"/>
      <c r="U2" s="190"/>
      <c r="V2" s="190"/>
      <c r="W2" s="190"/>
      <c r="X2" s="268"/>
      <c r="Y2" s="190"/>
      <c r="Z2" s="190"/>
      <c r="AA2" s="190"/>
      <c r="AB2" s="359" t="s">
        <v>195</v>
      </c>
      <c r="AC2" s="217" t="s">
        <v>2</v>
      </c>
      <c r="AD2" s="268"/>
      <c r="AE2" s="214"/>
      <c r="AF2" s="232"/>
      <c r="AG2" s="232"/>
      <c r="AH2" s="232"/>
      <c r="AI2" s="232"/>
      <c r="AJ2" s="232"/>
    </row>
    <row r="3" spans="1:36" x14ac:dyDescent="0.2">
      <c r="A3" s="50"/>
      <c r="B3" s="49"/>
      <c r="C3" s="49"/>
      <c r="D3" s="49"/>
      <c r="E3" s="47"/>
      <c r="F3" s="48"/>
      <c r="G3" s="47"/>
      <c r="H3" s="46"/>
      <c r="N3" s="195"/>
      <c r="O3" s="190"/>
      <c r="P3" s="268"/>
      <c r="Q3" s="268"/>
      <c r="R3" s="268"/>
      <c r="S3" s="268" t="e">
        <f>_xll.qlInterpolation(,InterpolationType,_xll.ohFilter(N5:N42,W5:W42),_xll.ohFilter(V5:V42,W5:W42))</f>
        <v>#NUM!</v>
      </c>
      <c r="T3" s="268"/>
      <c r="U3" s="268"/>
      <c r="V3" s="268"/>
      <c r="W3" s="268"/>
      <c r="X3" s="268"/>
      <c r="Y3" s="190"/>
      <c r="Z3" s="190"/>
      <c r="AA3" s="190"/>
      <c r="AB3" s="268"/>
      <c r="AC3" s="268"/>
      <c r="AD3" s="212">
        <f>_xll.ohTrigger(AD5:AD42)</f>
        <v>5</v>
      </c>
      <c r="AE3" s="186"/>
      <c r="AF3" s="232"/>
      <c r="AG3" s="232"/>
      <c r="AH3" s="232"/>
      <c r="AI3" s="232"/>
      <c r="AJ3" s="232"/>
    </row>
    <row r="4" spans="1:36" ht="23.25" thickBot="1" x14ac:dyDescent="0.25">
      <c r="A4" s="30"/>
      <c r="B4" s="44" t="s">
        <v>62</v>
      </c>
      <c r="C4" s="45"/>
      <c r="D4" s="44"/>
      <c r="E4" s="43" t="str">
        <f>Currency&amp;"_010_Sw"&amp;$C$6&amp;$D$6&amp;".xml"</f>
        <v>HKD_010_Sw1L6L.xml</v>
      </c>
      <c r="F4" s="42" t="e">
        <f ca="1">IF(Serialize,_xll.ohObjectSave(F5:F42,SerializationPath&amp;E4,FileOverwrite,,Serialize),"---")</f>
        <v>#NUM!</v>
      </c>
      <c r="G4" s="25" t="str">
        <f ca="1">_xll.ohRangeRetrieveError(F4)</f>
        <v>ohObjectSave - ObjectHandler error: attempt to retrieve object with unknown ID 'HKD1L6L6M_Quote'</v>
      </c>
      <c r="H4" s="24"/>
      <c r="N4" s="195"/>
      <c r="O4" s="339"/>
      <c r="P4" s="265"/>
      <c r="Q4" s="265"/>
      <c r="R4" s="265"/>
      <c r="S4" s="211" t="str">
        <f>_xll.RData(S5:S42,T4:U4,,ReutersRtMode,,T5)</f>
        <v>Updated at 16:28:27</v>
      </c>
      <c r="T4" s="264" t="s">
        <v>233</v>
      </c>
      <c r="U4" s="264" t="s">
        <v>208</v>
      </c>
      <c r="V4" s="264" t="s">
        <v>253</v>
      </c>
      <c r="W4" s="264"/>
      <c r="X4" s="206" t="s">
        <v>252</v>
      </c>
      <c r="Y4" s="190"/>
      <c r="Z4" s="209" t="s">
        <v>192</v>
      </c>
      <c r="AA4" s="190"/>
      <c r="AB4" s="208" t="s">
        <v>191</v>
      </c>
      <c r="AC4" s="338" t="s">
        <v>190</v>
      </c>
      <c r="AD4" s="337" t="s">
        <v>189</v>
      </c>
      <c r="AE4" s="186"/>
      <c r="AF4" s="232"/>
      <c r="AG4" s="232"/>
      <c r="AH4" s="232"/>
      <c r="AI4" s="232"/>
      <c r="AJ4" s="232"/>
    </row>
    <row r="5" spans="1:36" x14ac:dyDescent="0.2">
      <c r="A5" s="30"/>
      <c r="B5" s="41" t="s">
        <v>61</v>
      </c>
      <c r="C5" s="28" t="str">
        <f>VLOOKUP(Currency,$J$10:$L$14,2)</f>
        <v>1L</v>
      </c>
      <c r="D5" s="27" t="str">
        <f>VLOOKUP(Currency,$J$10:$L$14,3)</f>
        <v>6L</v>
      </c>
      <c r="E5" s="26" t="str">
        <f t="shared" ref="E5:E42" si="0">IF(ISBLANK(C5),"#",Currency&amp;$C5&amp;$D5&amp;$B5&amp;QuoteSuffix)</f>
        <v>HKD1L6L6M_Quote</v>
      </c>
      <c r="F5" s="26" t="str">
        <f>_xll.qlSimpleQuote(E5,,RateTickValue,Permanent,Trigger,ObjectOverwrite)</f>
        <v>HKD1L6L6M_Quote#0001</v>
      </c>
      <c r="G5" s="25" t="str">
        <f>_xll.ohRangeRetrieveError(F5)</f>
        <v/>
      </c>
      <c r="H5" s="24"/>
      <c r="N5" s="358">
        <v>0.5</v>
      </c>
      <c r="O5" s="247" t="s">
        <v>61</v>
      </c>
      <c r="P5" s="246" t="str">
        <f t="array" ref="P5:P42">VLOOKUP(Currency,Conventions,2)</f>
        <v>1L</v>
      </c>
      <c r="Q5" s="246" t="str">
        <f t="array" ref="Q5:Q42">VLOOKUP(Currency,Conventions,3)</f>
        <v>6L</v>
      </c>
      <c r="R5" s="244" t="str">
        <f t="shared" ref="R5:R42" si="1">Currency&amp;$P5&amp;$Q5&amp;$O5</f>
        <v>HKD1L6L6M</v>
      </c>
      <c r="S5" s="193" t="str">
        <f t="array" ref="S5:S42">Instruments&amp;"="&amp;VLOOKUP(Contributor,ContributorTable,2,FALSE)</f>
        <v>HKD1L6L6M=ICAP</v>
      </c>
      <c r="T5" s="357" t="s">
        <v>188</v>
      </c>
      <c r="U5" s="357" t="s">
        <v>188</v>
      </c>
      <c r="V5" s="357" t="e">
        <f>_xll.qlMidEquivalent(T5,U5)</f>
        <v>#NUM!</v>
      </c>
      <c r="W5" s="197" t="b">
        <f t="shared" ref="W5:W42" si="2">IF(ISNUMBER(V5),TRUE,FALSE)</f>
        <v>0</v>
      </c>
      <c r="X5" s="356" t="e">
        <f t="array" ref="X5:X42">_xll.qlInterpolationInterpolate(S3,N5:N42)</f>
        <v>#VALUE!</v>
      </c>
      <c r="Y5" s="190"/>
      <c r="Z5" s="355" t="e">
        <v>#VALUE!</v>
      </c>
      <c r="AA5" s="190"/>
      <c r="AB5" s="198" t="str">
        <f t="shared" ref="AB5:AB42" si="3">$R5&amp;$AC$2</f>
        <v>HKD1L6L6M_Quote</v>
      </c>
      <c r="AC5" s="354" t="e">
        <f t="array" ref="AC5:AC42">QuoteLive</f>
        <v>#VALUE!</v>
      </c>
      <c r="AD5" s="196" t="e">
        <f>_xll.qlSimpleQuoteSetValue($AB5,ROUND($AC5/10000,6),Trigger)</f>
        <v>#NUM!</v>
      </c>
      <c r="AE5" s="186"/>
      <c r="AF5" s="232"/>
      <c r="AG5" s="324" t="s">
        <v>55</v>
      </c>
      <c r="AH5" s="352" t="s">
        <v>42</v>
      </c>
      <c r="AI5" s="351" t="s">
        <v>46</v>
      </c>
      <c r="AJ5" s="232"/>
    </row>
    <row r="6" spans="1:36" x14ac:dyDescent="0.2">
      <c r="A6" s="30"/>
      <c r="B6" s="41" t="s">
        <v>60</v>
      </c>
      <c r="C6" s="28" t="str">
        <f t="shared" ref="C6:C42" si="4">C5</f>
        <v>1L</v>
      </c>
      <c r="D6" s="27" t="str">
        <f t="shared" ref="D6:D42" si="5">D5</f>
        <v>6L</v>
      </c>
      <c r="E6" s="26" t="str">
        <f t="shared" si="0"/>
        <v>HKD1L6L1Y_Quote</v>
      </c>
      <c r="F6" s="26" t="str">
        <f>_xll.qlSimpleQuote(E6,,RateTickValue,Permanent,Trigger,ObjectOverwrite)</f>
        <v>HKD1L6L1Y_Quote#0001</v>
      </c>
      <c r="G6" s="25" t="str">
        <f>_xll.ohRangeRetrieveError(F6)</f>
        <v/>
      </c>
      <c r="H6" s="24"/>
      <c r="N6" s="358">
        <v>1</v>
      </c>
      <c r="O6" s="247" t="s">
        <v>60</v>
      </c>
      <c r="P6" s="246" t="str">
        <v>1L</v>
      </c>
      <c r="Q6" s="246" t="str">
        <v>6L</v>
      </c>
      <c r="R6" s="244" t="str">
        <f t="shared" si="1"/>
        <v>HKD1L6L1Y</v>
      </c>
      <c r="S6" s="193" t="str">
        <v>HKD1L6L1Y=ICAP</v>
      </c>
      <c r="T6" s="357" t="s">
        <v>188</v>
      </c>
      <c r="U6" s="357" t="s">
        <v>188</v>
      </c>
      <c r="V6" s="357" t="e">
        <f>_xll.qlMidEquivalent(T6,U6)</f>
        <v>#NUM!</v>
      </c>
      <c r="W6" s="197" t="b">
        <f t="shared" si="2"/>
        <v>0</v>
      </c>
      <c r="X6" s="356" t="e">
        <v>#VALUE!</v>
      </c>
      <c r="Y6" s="190"/>
      <c r="Z6" s="355" t="e">
        <v>#VALUE!</v>
      </c>
      <c r="AA6" s="190"/>
      <c r="AB6" s="198" t="str">
        <f t="shared" si="3"/>
        <v>HKD1L6L1Y_Quote</v>
      </c>
      <c r="AC6" s="354" t="e">
        <v>#VALUE!</v>
      </c>
      <c r="AD6" s="196" t="e">
        <f>_xll.qlSimpleQuoteSetValue($AB6,ROUND($AC6/10000,6),Trigger)</f>
        <v>#NUM!</v>
      </c>
      <c r="AE6" s="186"/>
      <c r="AF6" s="232"/>
      <c r="AG6" s="289" t="s">
        <v>53</v>
      </c>
      <c r="AH6" s="227" t="s">
        <v>52</v>
      </c>
      <c r="AI6" s="288" t="s">
        <v>51</v>
      </c>
      <c r="AJ6" s="232"/>
    </row>
    <row r="7" spans="1:36" s="40" customFormat="1" ht="12.75" x14ac:dyDescent="0.2">
      <c r="A7" s="30"/>
      <c r="B7" s="41" t="s">
        <v>59</v>
      </c>
      <c r="C7" s="28" t="str">
        <f t="shared" si="4"/>
        <v>1L</v>
      </c>
      <c r="D7" s="27" t="str">
        <f t="shared" si="5"/>
        <v>6L</v>
      </c>
      <c r="E7" s="26" t="str">
        <f t="shared" si="0"/>
        <v>HKD1L6L15M_Quote</v>
      </c>
      <c r="F7" s="26" t="str">
        <f>_xll.qlSimpleQuote(E7,,RateTickValue,Permanent,Trigger,ObjectOverwrite)</f>
        <v>HKD1L6L15M_Quote#0001</v>
      </c>
      <c r="G7" s="25" t="str">
        <f>_xll.ohRangeRetrieveError(F7)</f>
        <v/>
      </c>
      <c r="H7" s="24"/>
      <c r="N7" s="358">
        <v>1.25</v>
      </c>
      <c r="O7" s="247" t="s">
        <v>59</v>
      </c>
      <c r="P7" s="246" t="str">
        <v>1L</v>
      </c>
      <c r="Q7" s="246" t="str">
        <v>6L</v>
      </c>
      <c r="R7" s="244" t="str">
        <f t="shared" si="1"/>
        <v>HKD1L6L15M</v>
      </c>
      <c r="S7" s="193" t="str">
        <v>HKD1L6L15M=ICAP</v>
      </c>
      <c r="T7" s="357" t="s">
        <v>188</v>
      </c>
      <c r="U7" s="357" t="s">
        <v>188</v>
      </c>
      <c r="V7" s="357" t="e">
        <f>_xll.qlMidEquivalent(T7,U7)</f>
        <v>#NUM!</v>
      </c>
      <c r="W7" s="197" t="b">
        <f t="shared" si="2"/>
        <v>0</v>
      </c>
      <c r="X7" s="356" t="e">
        <v>#VALUE!</v>
      </c>
      <c r="Y7" s="190"/>
      <c r="Z7" s="355" t="e">
        <v>#VALUE!</v>
      </c>
      <c r="AA7" s="190"/>
      <c r="AB7" s="198" t="str">
        <f t="shared" si="3"/>
        <v>HKD1L6L15M_Quote</v>
      </c>
      <c r="AC7" s="354" t="e">
        <v>#VALUE!</v>
      </c>
      <c r="AD7" s="196" t="e">
        <f>_xll.qlSimpleQuoteSetValue($AB7,ROUND($AC7/10000,6),Trigger)</f>
        <v>#NUM!</v>
      </c>
      <c r="AE7" s="186"/>
      <c r="AF7" s="232"/>
      <c r="AG7" s="289" t="s">
        <v>49</v>
      </c>
      <c r="AH7" s="227" t="s">
        <v>42</v>
      </c>
      <c r="AI7" s="288" t="s">
        <v>46</v>
      </c>
      <c r="AJ7" s="232"/>
    </row>
    <row r="8" spans="1:36" s="40" customFormat="1" ht="12.75" x14ac:dyDescent="0.2">
      <c r="A8" s="30"/>
      <c r="B8" s="41" t="s">
        <v>58</v>
      </c>
      <c r="C8" s="28" t="str">
        <f t="shared" si="4"/>
        <v>1L</v>
      </c>
      <c r="D8" s="27" t="str">
        <f t="shared" si="5"/>
        <v>6L</v>
      </c>
      <c r="E8" s="26" t="str">
        <f t="shared" si="0"/>
        <v>HKD1L6L18M_Quote</v>
      </c>
      <c r="F8" s="26" t="str">
        <f>_xll.qlSimpleQuote(E8,,RateTickValue,Permanent,Trigger,ObjectOverwrite)</f>
        <v>HKD1L6L18M_Quote#0001</v>
      </c>
      <c r="G8" s="25" t="str">
        <f>_xll.ohRangeRetrieveError(F8)</f>
        <v/>
      </c>
      <c r="H8" s="24"/>
      <c r="N8" s="358">
        <v>1.5</v>
      </c>
      <c r="O8" s="247" t="s">
        <v>58</v>
      </c>
      <c r="P8" s="246" t="str">
        <v>1L</v>
      </c>
      <c r="Q8" s="246" t="str">
        <v>6L</v>
      </c>
      <c r="R8" s="244" t="str">
        <f t="shared" si="1"/>
        <v>HKD1L6L18M</v>
      </c>
      <c r="S8" s="193" t="str">
        <v>HKD1L6L18M=ICAP</v>
      </c>
      <c r="T8" s="357" t="s">
        <v>188</v>
      </c>
      <c r="U8" s="357" t="s">
        <v>188</v>
      </c>
      <c r="V8" s="357" t="e">
        <f>_xll.qlMidEquivalent(T8,U8)</f>
        <v>#NUM!</v>
      </c>
      <c r="W8" s="197" t="b">
        <f t="shared" si="2"/>
        <v>0</v>
      </c>
      <c r="X8" s="356" t="e">
        <v>#VALUE!</v>
      </c>
      <c r="Y8" s="190"/>
      <c r="Z8" s="355" t="e">
        <v>#VALUE!</v>
      </c>
      <c r="AA8" s="190"/>
      <c r="AB8" s="198" t="str">
        <f t="shared" si="3"/>
        <v>HKD1L6L18M_Quote</v>
      </c>
      <c r="AC8" s="354" t="e">
        <v>#VALUE!</v>
      </c>
      <c r="AD8" s="196" t="e">
        <f>_xll.qlSimpleQuoteSetValue($AB8,ROUND($AC8/10000,6),Trigger)</f>
        <v>#NUM!</v>
      </c>
      <c r="AE8" s="186"/>
      <c r="AF8" s="232"/>
      <c r="AG8" s="289" t="s">
        <v>47</v>
      </c>
      <c r="AH8" s="227" t="s">
        <v>42</v>
      </c>
      <c r="AI8" s="288" t="s">
        <v>46</v>
      </c>
      <c r="AJ8" s="232"/>
    </row>
    <row r="9" spans="1:36" s="40" customFormat="1" ht="13.5" thickBot="1" x14ac:dyDescent="0.25">
      <c r="A9" s="30"/>
      <c r="B9" s="41" t="s">
        <v>57</v>
      </c>
      <c r="C9" s="28" t="str">
        <f t="shared" si="4"/>
        <v>1L</v>
      </c>
      <c r="D9" s="27" t="str">
        <f t="shared" si="5"/>
        <v>6L</v>
      </c>
      <c r="E9" s="26" t="str">
        <f t="shared" si="0"/>
        <v>HKD1L6L21M_Quote</v>
      </c>
      <c r="F9" s="26" t="str">
        <f>_xll.qlSimpleQuote(E9,,RateTickValue,Permanent,Trigger,ObjectOverwrite)</f>
        <v>HKD1L6L21M_Quote#0001</v>
      </c>
      <c r="G9" s="25" t="str">
        <f>_xll.ohRangeRetrieveError(F9)</f>
        <v/>
      </c>
      <c r="H9" s="24"/>
      <c r="N9" s="358">
        <v>1.75</v>
      </c>
      <c r="O9" s="247" t="s">
        <v>57</v>
      </c>
      <c r="P9" s="246" t="str">
        <v>1L</v>
      </c>
      <c r="Q9" s="246" t="str">
        <v>6L</v>
      </c>
      <c r="R9" s="244" t="str">
        <f t="shared" si="1"/>
        <v>HKD1L6L21M</v>
      </c>
      <c r="S9" s="193" t="str">
        <v>HKD1L6L21M=ICAP</v>
      </c>
      <c r="T9" s="357" t="s">
        <v>188</v>
      </c>
      <c r="U9" s="357" t="s">
        <v>188</v>
      </c>
      <c r="V9" s="357" t="e">
        <f>_xll.qlMidEquivalent(T9,U9)</f>
        <v>#NUM!</v>
      </c>
      <c r="W9" s="197" t="b">
        <f t="shared" si="2"/>
        <v>0</v>
      </c>
      <c r="X9" s="356" t="e">
        <v>#VALUE!</v>
      </c>
      <c r="Y9" s="190"/>
      <c r="Z9" s="355" t="e">
        <v>#VALUE!</v>
      </c>
      <c r="AA9" s="190"/>
      <c r="AB9" s="198" t="str">
        <f t="shared" si="3"/>
        <v>HKD1L6L21M_Quote</v>
      </c>
      <c r="AC9" s="354" t="e">
        <v>#VALUE!</v>
      </c>
      <c r="AD9" s="196" t="e">
        <f>_xll.qlSimpleQuoteSetValue($AB9,ROUND($AC9/10000,6),Trigger)</f>
        <v>#NUM!</v>
      </c>
      <c r="AE9" s="186"/>
      <c r="AF9" s="232"/>
      <c r="AG9" s="287" t="s">
        <v>44</v>
      </c>
      <c r="AH9" s="348" t="s">
        <v>43</v>
      </c>
      <c r="AI9" s="286" t="s">
        <v>42</v>
      </c>
      <c r="AJ9" s="232"/>
    </row>
    <row r="10" spans="1:36" x14ac:dyDescent="0.2">
      <c r="A10" s="30"/>
      <c r="B10" s="29" t="s">
        <v>56</v>
      </c>
      <c r="C10" s="28" t="str">
        <f t="shared" si="4"/>
        <v>1L</v>
      </c>
      <c r="D10" s="27" t="str">
        <f t="shared" si="5"/>
        <v>6L</v>
      </c>
      <c r="E10" s="26" t="str">
        <f t="shared" si="0"/>
        <v>HKD1L6L2Y_Quote</v>
      </c>
      <c r="F10" s="26" t="str">
        <f>_xll.qlSimpleQuote(E10,,RateTickValue,Permanent,Trigger,ObjectOverwrite)</f>
        <v>HKD1L6L2Y_Quote#0001</v>
      </c>
      <c r="G10" s="25" t="str">
        <f>_xll.ohRangeRetrieveError(F10)</f>
        <v/>
      </c>
      <c r="H10" s="24"/>
      <c r="J10" s="39" t="s">
        <v>55</v>
      </c>
      <c r="K10" s="38" t="s">
        <v>42</v>
      </c>
      <c r="L10" s="37" t="s">
        <v>46</v>
      </c>
      <c r="N10" s="195">
        <v>2</v>
      </c>
      <c r="O10" s="247" t="s">
        <v>56</v>
      </c>
      <c r="P10" s="246" t="str">
        <v>1L</v>
      </c>
      <c r="Q10" s="246" t="str">
        <v>6L</v>
      </c>
      <c r="R10" s="244" t="str">
        <f t="shared" si="1"/>
        <v>HKD1L6L2Y</v>
      </c>
      <c r="S10" s="193" t="str">
        <v>HKD1L6L2Y=ICAP</v>
      </c>
      <c r="T10" s="357" t="s">
        <v>188</v>
      </c>
      <c r="U10" s="357" t="s">
        <v>188</v>
      </c>
      <c r="V10" s="357" t="e">
        <f>_xll.qlMidEquivalent(T10,U10)</f>
        <v>#NUM!</v>
      </c>
      <c r="W10" s="197" t="b">
        <f t="shared" si="2"/>
        <v>0</v>
      </c>
      <c r="X10" s="356" t="e">
        <v>#VALUE!</v>
      </c>
      <c r="Y10" s="190"/>
      <c r="Z10" s="355" t="e">
        <v>#VALUE!</v>
      </c>
      <c r="AA10" s="190"/>
      <c r="AB10" s="198" t="str">
        <f t="shared" si="3"/>
        <v>HKD1L6L2Y_Quote</v>
      </c>
      <c r="AC10" s="354" t="e">
        <v>#VALUE!</v>
      </c>
      <c r="AD10" s="196" t="e">
        <f>_xll.qlSimpleQuoteSetValue($AB10,ROUND($AC10/10000,6),Trigger)</f>
        <v>#NUM!</v>
      </c>
      <c r="AE10" s="186"/>
      <c r="AF10" s="232"/>
      <c r="AG10" s="232"/>
      <c r="AH10" s="232"/>
      <c r="AI10" s="232"/>
      <c r="AJ10" s="232"/>
    </row>
    <row r="11" spans="1:36" x14ac:dyDescent="0.2">
      <c r="A11" s="30"/>
      <c r="B11" s="29" t="s">
        <v>54</v>
      </c>
      <c r="C11" s="28" t="str">
        <f t="shared" si="4"/>
        <v>1L</v>
      </c>
      <c r="D11" s="27" t="str">
        <f t="shared" si="5"/>
        <v>6L</v>
      </c>
      <c r="E11" s="26" t="str">
        <f t="shared" si="0"/>
        <v>HKD1L6L3Y_Quote</v>
      </c>
      <c r="F11" s="26" t="str">
        <f>_xll.qlSimpleQuote(E11,,RateTickValue,Permanent,Trigger,ObjectOverwrite)</f>
        <v>HKD1L6L3Y_Quote#0001</v>
      </c>
      <c r="G11" s="25" t="str">
        <f>_xll.ohRangeRetrieveError(F11)</f>
        <v/>
      </c>
      <c r="H11" s="24"/>
      <c r="J11" s="36" t="s">
        <v>53</v>
      </c>
      <c r="K11" s="35" t="s">
        <v>52</v>
      </c>
      <c r="L11" s="34" t="s">
        <v>51</v>
      </c>
      <c r="N11" s="195">
        <v>3</v>
      </c>
      <c r="O11" s="247" t="s">
        <v>54</v>
      </c>
      <c r="P11" s="246" t="str">
        <v>1L</v>
      </c>
      <c r="Q11" s="246" t="str">
        <v>6L</v>
      </c>
      <c r="R11" s="244" t="str">
        <f t="shared" si="1"/>
        <v>HKD1L6L3Y</v>
      </c>
      <c r="S11" s="193" t="str">
        <v>HKD1L6L3Y=ICAP</v>
      </c>
      <c r="T11" s="357" t="s">
        <v>188</v>
      </c>
      <c r="U11" s="357" t="s">
        <v>188</v>
      </c>
      <c r="V11" s="357" t="e">
        <f>_xll.qlMidEquivalent(T11,U11)</f>
        <v>#NUM!</v>
      </c>
      <c r="W11" s="197" t="b">
        <f t="shared" si="2"/>
        <v>0</v>
      </c>
      <c r="X11" s="356" t="e">
        <v>#VALUE!</v>
      </c>
      <c r="Y11" s="190"/>
      <c r="Z11" s="355" t="e">
        <v>#VALUE!</v>
      </c>
      <c r="AA11" s="190"/>
      <c r="AB11" s="198" t="str">
        <f t="shared" si="3"/>
        <v>HKD1L6L3Y_Quote</v>
      </c>
      <c r="AC11" s="354" t="e">
        <v>#VALUE!</v>
      </c>
      <c r="AD11" s="196" t="e">
        <f>_xll.qlSimpleQuoteSetValue($AB11,ROUND($AC11/10000,6),Trigger)</f>
        <v>#NUM!</v>
      </c>
      <c r="AE11" s="186"/>
      <c r="AF11" s="232"/>
      <c r="AG11" s="232"/>
      <c r="AH11" s="232"/>
      <c r="AI11" s="232"/>
      <c r="AJ11" s="232"/>
    </row>
    <row r="12" spans="1:36" x14ac:dyDescent="0.2">
      <c r="A12" s="30"/>
      <c r="B12" s="29" t="s">
        <v>50</v>
      </c>
      <c r="C12" s="28" t="str">
        <f t="shared" si="4"/>
        <v>1L</v>
      </c>
      <c r="D12" s="27" t="str">
        <f t="shared" si="5"/>
        <v>6L</v>
      </c>
      <c r="E12" s="26" t="str">
        <f t="shared" si="0"/>
        <v>HKD1L6L4Y_Quote</v>
      </c>
      <c r="F12" s="26" t="str">
        <f>_xll.qlSimpleQuote(E12,,RateTickValue,Permanent,Trigger,ObjectOverwrite)</f>
        <v>HKD1L6L4Y_Quote#0001</v>
      </c>
      <c r="G12" s="25" t="str">
        <f>_xll.ohRangeRetrieveError(F12)</f>
        <v/>
      </c>
      <c r="H12" s="24"/>
      <c r="J12" s="36" t="s">
        <v>49</v>
      </c>
      <c r="K12" s="35" t="s">
        <v>42</v>
      </c>
      <c r="L12" s="34" t="s">
        <v>46</v>
      </c>
      <c r="N12" s="195">
        <v>4</v>
      </c>
      <c r="O12" s="247" t="s">
        <v>50</v>
      </c>
      <c r="P12" s="246" t="str">
        <v>1L</v>
      </c>
      <c r="Q12" s="246" t="str">
        <v>6L</v>
      </c>
      <c r="R12" s="244" t="str">
        <f t="shared" si="1"/>
        <v>HKD1L6L4Y</v>
      </c>
      <c r="S12" s="193" t="str">
        <v>HKD1L6L4Y=ICAP</v>
      </c>
      <c r="T12" s="357" t="s">
        <v>188</v>
      </c>
      <c r="U12" s="357" t="s">
        <v>188</v>
      </c>
      <c r="V12" s="357" t="e">
        <f>_xll.qlMidEquivalent(T12,U12)</f>
        <v>#NUM!</v>
      </c>
      <c r="W12" s="197" t="b">
        <f t="shared" si="2"/>
        <v>0</v>
      </c>
      <c r="X12" s="356" t="e">
        <v>#VALUE!</v>
      </c>
      <c r="Y12" s="190"/>
      <c r="Z12" s="355" t="e">
        <v>#VALUE!</v>
      </c>
      <c r="AA12" s="190"/>
      <c r="AB12" s="198" t="str">
        <f t="shared" si="3"/>
        <v>HKD1L6L4Y_Quote</v>
      </c>
      <c r="AC12" s="354" t="e">
        <v>#VALUE!</v>
      </c>
      <c r="AD12" s="196" t="e">
        <f>_xll.qlSimpleQuoteSetValue($AB12,ROUND($AC12/10000,6),Trigger)</f>
        <v>#NUM!</v>
      </c>
      <c r="AE12" s="186"/>
      <c r="AF12" s="232"/>
      <c r="AG12" s="232"/>
      <c r="AH12" s="232"/>
      <c r="AI12" s="232"/>
      <c r="AJ12" s="232"/>
    </row>
    <row r="13" spans="1:36" x14ac:dyDescent="0.2">
      <c r="A13" s="30"/>
      <c r="B13" s="29" t="s">
        <v>48</v>
      </c>
      <c r="C13" s="28" t="str">
        <f t="shared" si="4"/>
        <v>1L</v>
      </c>
      <c r="D13" s="27" t="str">
        <f t="shared" si="5"/>
        <v>6L</v>
      </c>
      <c r="E13" s="26" t="str">
        <f t="shared" si="0"/>
        <v>HKD1L6L5Y_Quote</v>
      </c>
      <c r="F13" s="26" t="str">
        <f>_xll.qlSimpleQuote(E13,,RateTickValue,Permanent,Trigger,ObjectOverwrite)</f>
        <v>HKD1L6L5Y_Quote#0001</v>
      </c>
      <c r="G13" s="25" t="str">
        <f>_xll.ohRangeRetrieveError(F13)</f>
        <v/>
      </c>
      <c r="H13" s="24"/>
      <c r="J13" s="36" t="s">
        <v>47</v>
      </c>
      <c r="K13" s="35" t="s">
        <v>42</v>
      </c>
      <c r="L13" s="34" t="s">
        <v>46</v>
      </c>
      <c r="N13" s="195">
        <v>5</v>
      </c>
      <c r="O13" s="247" t="s">
        <v>48</v>
      </c>
      <c r="P13" s="246" t="str">
        <v>1L</v>
      </c>
      <c r="Q13" s="246" t="str">
        <v>6L</v>
      </c>
      <c r="R13" s="244" t="str">
        <f t="shared" si="1"/>
        <v>HKD1L6L5Y</v>
      </c>
      <c r="S13" s="193" t="str">
        <v>HKD1L6L5Y=ICAP</v>
      </c>
      <c r="T13" s="357" t="s">
        <v>188</v>
      </c>
      <c r="U13" s="357" t="s">
        <v>188</v>
      </c>
      <c r="V13" s="357" t="e">
        <f>_xll.qlMidEquivalent(T13,U13)</f>
        <v>#NUM!</v>
      </c>
      <c r="W13" s="197" t="b">
        <f t="shared" si="2"/>
        <v>0</v>
      </c>
      <c r="X13" s="356" t="e">
        <v>#VALUE!</v>
      </c>
      <c r="Y13" s="190"/>
      <c r="Z13" s="355" t="e">
        <v>#VALUE!</v>
      </c>
      <c r="AA13" s="190"/>
      <c r="AB13" s="198" t="str">
        <f t="shared" si="3"/>
        <v>HKD1L6L5Y_Quote</v>
      </c>
      <c r="AC13" s="354" t="e">
        <v>#VALUE!</v>
      </c>
      <c r="AD13" s="196" t="e">
        <f>_xll.qlSimpleQuoteSetValue($AB13,ROUND($AC13/10000,6),Trigger)</f>
        <v>#NUM!</v>
      </c>
      <c r="AE13" s="186"/>
      <c r="AF13" s="232"/>
      <c r="AG13" s="232"/>
      <c r="AH13" s="232"/>
      <c r="AI13" s="232"/>
      <c r="AJ13" s="232"/>
    </row>
    <row r="14" spans="1:36" ht="12" thickBot="1" x14ac:dyDescent="0.25">
      <c r="A14" s="30"/>
      <c r="B14" s="29" t="s">
        <v>45</v>
      </c>
      <c r="C14" s="28" t="str">
        <f t="shared" si="4"/>
        <v>1L</v>
      </c>
      <c r="D14" s="27" t="str">
        <f t="shared" si="5"/>
        <v>6L</v>
      </c>
      <c r="E14" s="26" t="str">
        <f t="shared" si="0"/>
        <v>HKD1L6L6Y_Quote</v>
      </c>
      <c r="F14" s="26" t="str">
        <f>_xll.qlSimpleQuote(E14,,RateTickValue,Permanent,Trigger,ObjectOverwrite)</f>
        <v>HKD1L6L6Y_Quote#0001</v>
      </c>
      <c r="G14" s="25" t="str">
        <f>_xll.ohRangeRetrieveError(F14)</f>
        <v/>
      </c>
      <c r="H14" s="24"/>
      <c r="J14" s="33" t="s">
        <v>44</v>
      </c>
      <c r="K14" s="32" t="s">
        <v>43</v>
      </c>
      <c r="L14" s="31" t="s">
        <v>42</v>
      </c>
      <c r="N14" s="195">
        <v>6</v>
      </c>
      <c r="O14" s="247" t="s">
        <v>45</v>
      </c>
      <c r="P14" s="246" t="str">
        <v>1L</v>
      </c>
      <c r="Q14" s="246" t="str">
        <v>6L</v>
      </c>
      <c r="R14" s="244" t="str">
        <f t="shared" si="1"/>
        <v>HKD1L6L6Y</v>
      </c>
      <c r="S14" s="193" t="str">
        <v>HKD1L6L6Y=ICAP</v>
      </c>
      <c r="T14" s="357" t="s">
        <v>188</v>
      </c>
      <c r="U14" s="357" t="s">
        <v>188</v>
      </c>
      <c r="V14" s="357" t="e">
        <f>_xll.qlMidEquivalent(T14,U14)</f>
        <v>#NUM!</v>
      </c>
      <c r="W14" s="197" t="b">
        <f t="shared" si="2"/>
        <v>0</v>
      </c>
      <c r="X14" s="356" t="e">
        <v>#VALUE!</v>
      </c>
      <c r="Y14" s="190"/>
      <c r="Z14" s="355" t="e">
        <v>#VALUE!</v>
      </c>
      <c r="AA14" s="190"/>
      <c r="AB14" s="198" t="str">
        <f t="shared" si="3"/>
        <v>HKD1L6L6Y_Quote</v>
      </c>
      <c r="AC14" s="354" t="e">
        <v>#VALUE!</v>
      </c>
      <c r="AD14" s="196" t="e">
        <f>_xll.qlSimpleQuoteSetValue($AB14,ROUND($AC14/10000,6),Trigger)</f>
        <v>#NUM!</v>
      </c>
      <c r="AE14" s="186"/>
      <c r="AF14" s="232"/>
      <c r="AG14" s="232"/>
      <c r="AH14" s="232"/>
      <c r="AI14" s="232"/>
      <c r="AJ14" s="232"/>
    </row>
    <row r="15" spans="1:36" x14ac:dyDescent="0.2">
      <c r="A15" s="30"/>
      <c r="B15" s="29" t="s">
        <v>41</v>
      </c>
      <c r="C15" s="28" t="str">
        <f t="shared" si="4"/>
        <v>1L</v>
      </c>
      <c r="D15" s="27" t="str">
        <f t="shared" si="5"/>
        <v>6L</v>
      </c>
      <c r="E15" s="26" t="str">
        <f t="shared" si="0"/>
        <v>HKD1L6L7Y_Quote</v>
      </c>
      <c r="F15" s="26" t="str">
        <f>_xll.qlSimpleQuote(E15,,RateTickValue,Permanent,Trigger,ObjectOverwrite)</f>
        <v>HKD1L6L7Y_Quote#0001</v>
      </c>
      <c r="G15" s="25" t="str">
        <f>_xll.ohRangeRetrieveError(F15)</f>
        <v/>
      </c>
      <c r="H15" s="24"/>
      <c r="N15" s="195">
        <v>7</v>
      </c>
      <c r="O15" s="247" t="s">
        <v>41</v>
      </c>
      <c r="P15" s="246" t="str">
        <v>1L</v>
      </c>
      <c r="Q15" s="246" t="str">
        <v>6L</v>
      </c>
      <c r="R15" s="244" t="str">
        <f t="shared" si="1"/>
        <v>HKD1L6L7Y</v>
      </c>
      <c r="S15" s="193" t="str">
        <v>HKD1L6L7Y=ICAP</v>
      </c>
      <c r="T15" s="357" t="s">
        <v>188</v>
      </c>
      <c r="U15" s="357" t="s">
        <v>188</v>
      </c>
      <c r="V15" s="357" t="e">
        <f>_xll.qlMidEquivalent(T15,U15)</f>
        <v>#NUM!</v>
      </c>
      <c r="W15" s="197" t="b">
        <f t="shared" si="2"/>
        <v>0</v>
      </c>
      <c r="X15" s="356" t="e">
        <v>#VALUE!</v>
      </c>
      <c r="Y15" s="190"/>
      <c r="Z15" s="355" t="e">
        <v>#VALUE!</v>
      </c>
      <c r="AA15" s="190"/>
      <c r="AB15" s="198" t="str">
        <f t="shared" si="3"/>
        <v>HKD1L6L7Y_Quote</v>
      </c>
      <c r="AC15" s="354" t="e">
        <v>#VALUE!</v>
      </c>
      <c r="AD15" s="196" t="e">
        <f>_xll.qlSimpleQuoteSetValue($AB15,ROUND($AC15/10000,6),Trigger)</f>
        <v>#NUM!</v>
      </c>
      <c r="AE15" s="186"/>
      <c r="AF15" s="232"/>
      <c r="AG15" s="232"/>
      <c r="AH15" s="232"/>
      <c r="AI15" s="232"/>
      <c r="AJ15" s="232"/>
    </row>
    <row r="16" spans="1:36" x14ac:dyDescent="0.2">
      <c r="A16" s="30"/>
      <c r="B16" s="29" t="s">
        <v>40</v>
      </c>
      <c r="C16" s="28" t="str">
        <f t="shared" si="4"/>
        <v>1L</v>
      </c>
      <c r="D16" s="27" t="str">
        <f t="shared" si="5"/>
        <v>6L</v>
      </c>
      <c r="E16" s="26" t="str">
        <f t="shared" si="0"/>
        <v>HKD1L6L8Y_Quote</v>
      </c>
      <c r="F16" s="26" t="str">
        <f>_xll.qlSimpleQuote(E16,,RateTickValue,Permanent,Trigger,ObjectOverwrite)</f>
        <v>HKD1L6L8Y_Quote#0001</v>
      </c>
      <c r="G16" s="25" t="str">
        <f>_xll.ohRangeRetrieveError(F16)</f>
        <v/>
      </c>
      <c r="H16" s="24"/>
      <c r="N16" s="195">
        <v>8</v>
      </c>
      <c r="O16" s="247" t="s">
        <v>40</v>
      </c>
      <c r="P16" s="246" t="str">
        <v>1L</v>
      </c>
      <c r="Q16" s="246" t="str">
        <v>6L</v>
      </c>
      <c r="R16" s="244" t="str">
        <f t="shared" si="1"/>
        <v>HKD1L6L8Y</v>
      </c>
      <c r="S16" s="193" t="str">
        <v>HKD1L6L8Y=ICAP</v>
      </c>
      <c r="T16" s="357" t="s">
        <v>188</v>
      </c>
      <c r="U16" s="357" t="s">
        <v>188</v>
      </c>
      <c r="V16" s="357" t="e">
        <f>_xll.qlMidEquivalent(T16,U16)</f>
        <v>#NUM!</v>
      </c>
      <c r="W16" s="197" t="b">
        <f t="shared" si="2"/>
        <v>0</v>
      </c>
      <c r="X16" s="356" t="e">
        <v>#VALUE!</v>
      </c>
      <c r="Y16" s="190"/>
      <c r="Z16" s="355" t="e">
        <v>#VALUE!</v>
      </c>
      <c r="AA16" s="190"/>
      <c r="AB16" s="198" t="str">
        <f t="shared" si="3"/>
        <v>HKD1L6L8Y_Quote</v>
      </c>
      <c r="AC16" s="354" t="e">
        <v>#VALUE!</v>
      </c>
      <c r="AD16" s="196" t="e">
        <f>_xll.qlSimpleQuoteSetValue($AB16,ROUND($AC16/10000,6),Trigger)</f>
        <v>#NUM!</v>
      </c>
      <c r="AE16" s="186"/>
      <c r="AF16" s="232"/>
      <c r="AG16" s="232"/>
      <c r="AH16" s="232"/>
      <c r="AI16" s="232"/>
      <c r="AJ16" s="232"/>
    </row>
    <row r="17" spans="1:36" x14ac:dyDescent="0.2">
      <c r="A17" s="30"/>
      <c r="B17" s="29" t="s">
        <v>39</v>
      </c>
      <c r="C17" s="28" t="str">
        <f t="shared" si="4"/>
        <v>1L</v>
      </c>
      <c r="D17" s="27" t="str">
        <f t="shared" si="5"/>
        <v>6L</v>
      </c>
      <c r="E17" s="26" t="str">
        <f t="shared" si="0"/>
        <v>HKD1L6L9Y_Quote</v>
      </c>
      <c r="F17" s="26" t="str">
        <f>_xll.qlSimpleQuote(E17,,RateTickValue,Permanent,Trigger,ObjectOverwrite)</f>
        <v>HKD1L6L9Y_Quote#0001</v>
      </c>
      <c r="G17" s="25" t="str">
        <f>_xll.ohRangeRetrieveError(F17)</f>
        <v/>
      </c>
      <c r="H17" s="24"/>
      <c r="N17" s="195">
        <v>9</v>
      </c>
      <c r="O17" s="247" t="s">
        <v>39</v>
      </c>
      <c r="P17" s="246" t="str">
        <v>1L</v>
      </c>
      <c r="Q17" s="246" t="str">
        <v>6L</v>
      </c>
      <c r="R17" s="244" t="str">
        <f t="shared" si="1"/>
        <v>HKD1L6L9Y</v>
      </c>
      <c r="S17" s="193" t="str">
        <v>HKD1L6L9Y=ICAP</v>
      </c>
      <c r="T17" s="357" t="s">
        <v>188</v>
      </c>
      <c r="U17" s="357" t="s">
        <v>188</v>
      </c>
      <c r="V17" s="357" t="e">
        <f>_xll.qlMidEquivalent(T17,U17)</f>
        <v>#NUM!</v>
      </c>
      <c r="W17" s="197" t="b">
        <f t="shared" si="2"/>
        <v>0</v>
      </c>
      <c r="X17" s="356" t="e">
        <v>#VALUE!</v>
      </c>
      <c r="Y17" s="190"/>
      <c r="Z17" s="355" t="e">
        <v>#VALUE!</v>
      </c>
      <c r="AA17" s="190"/>
      <c r="AB17" s="198" t="str">
        <f t="shared" si="3"/>
        <v>HKD1L6L9Y_Quote</v>
      </c>
      <c r="AC17" s="354" t="e">
        <v>#VALUE!</v>
      </c>
      <c r="AD17" s="196" t="e">
        <f>_xll.qlSimpleQuoteSetValue($AB17,ROUND($AC17/10000,6),Trigger)</f>
        <v>#NUM!</v>
      </c>
      <c r="AE17" s="186"/>
      <c r="AF17" s="232"/>
      <c r="AG17" s="232"/>
      <c r="AH17" s="232"/>
      <c r="AI17" s="232"/>
      <c r="AJ17" s="232"/>
    </row>
    <row r="18" spans="1:36" x14ac:dyDescent="0.2">
      <c r="A18" s="30"/>
      <c r="B18" s="29" t="s">
        <v>38</v>
      </c>
      <c r="C18" s="28" t="str">
        <f t="shared" si="4"/>
        <v>1L</v>
      </c>
      <c r="D18" s="27" t="str">
        <f t="shared" si="5"/>
        <v>6L</v>
      </c>
      <c r="E18" s="26" t="str">
        <f t="shared" si="0"/>
        <v>HKD1L6L10Y_Quote</v>
      </c>
      <c r="F18" s="26" t="str">
        <f>_xll.qlSimpleQuote(E18,,RateTickValue,Permanent,Trigger,ObjectOverwrite)</f>
        <v>HKD1L6L10Y_Quote#0001</v>
      </c>
      <c r="G18" s="25" t="str">
        <f>_xll.ohRangeRetrieveError(F18)</f>
        <v/>
      </c>
      <c r="H18" s="24"/>
      <c r="N18" s="195">
        <v>10</v>
      </c>
      <c r="O18" s="247" t="s">
        <v>38</v>
      </c>
      <c r="P18" s="246" t="str">
        <v>1L</v>
      </c>
      <c r="Q18" s="246" t="str">
        <v>6L</v>
      </c>
      <c r="R18" s="244" t="str">
        <f t="shared" si="1"/>
        <v>HKD1L6L10Y</v>
      </c>
      <c r="S18" s="193" t="str">
        <v>HKD1L6L10Y=ICAP</v>
      </c>
      <c r="T18" s="357" t="s">
        <v>188</v>
      </c>
      <c r="U18" s="357" t="s">
        <v>188</v>
      </c>
      <c r="V18" s="357" t="e">
        <f>_xll.qlMidEquivalent(T18,U18)</f>
        <v>#NUM!</v>
      </c>
      <c r="W18" s="197" t="b">
        <f t="shared" si="2"/>
        <v>0</v>
      </c>
      <c r="X18" s="356" t="e">
        <v>#VALUE!</v>
      </c>
      <c r="Y18" s="190"/>
      <c r="Z18" s="355" t="e">
        <v>#VALUE!</v>
      </c>
      <c r="AA18" s="190"/>
      <c r="AB18" s="198" t="str">
        <f t="shared" si="3"/>
        <v>HKD1L6L10Y_Quote</v>
      </c>
      <c r="AC18" s="354" t="e">
        <v>#VALUE!</v>
      </c>
      <c r="AD18" s="196" t="e">
        <f>_xll.qlSimpleQuoteSetValue($AB18,ROUND($AC18/10000,6),Trigger)</f>
        <v>#NUM!</v>
      </c>
      <c r="AE18" s="186"/>
      <c r="AF18" s="232"/>
      <c r="AG18" s="232"/>
      <c r="AH18" s="232"/>
      <c r="AI18" s="232"/>
      <c r="AJ18" s="232"/>
    </row>
    <row r="19" spans="1:36" x14ac:dyDescent="0.2">
      <c r="A19" s="30"/>
      <c r="B19" s="29" t="s">
        <v>37</v>
      </c>
      <c r="C19" s="28" t="str">
        <f t="shared" si="4"/>
        <v>1L</v>
      </c>
      <c r="D19" s="27" t="str">
        <f t="shared" si="5"/>
        <v>6L</v>
      </c>
      <c r="E19" s="26" t="str">
        <f t="shared" si="0"/>
        <v>HKD1L6L11Y_Quote</v>
      </c>
      <c r="F19" s="26" t="str">
        <f>_xll.qlSimpleQuote(E19,,RateTickValue,Permanent,Trigger,ObjectOverwrite)</f>
        <v>HKD1L6L11Y_Quote#0001</v>
      </c>
      <c r="G19" s="25" t="str">
        <f>_xll.ohRangeRetrieveError(F19)</f>
        <v/>
      </c>
      <c r="H19" s="24"/>
      <c r="N19" s="195">
        <v>11</v>
      </c>
      <c r="O19" s="247" t="s">
        <v>37</v>
      </c>
      <c r="P19" s="246" t="str">
        <v>1L</v>
      </c>
      <c r="Q19" s="246" t="str">
        <v>6L</v>
      </c>
      <c r="R19" s="244" t="str">
        <f t="shared" si="1"/>
        <v>HKD1L6L11Y</v>
      </c>
      <c r="S19" s="193" t="str">
        <v>HKD1L6L11Y=ICAP</v>
      </c>
      <c r="T19" s="357" t="s">
        <v>188</v>
      </c>
      <c r="U19" s="357" t="s">
        <v>188</v>
      </c>
      <c r="V19" s="357" t="e">
        <f>_xll.qlMidEquivalent(T19,U19)</f>
        <v>#NUM!</v>
      </c>
      <c r="W19" s="197" t="b">
        <f t="shared" si="2"/>
        <v>0</v>
      </c>
      <c r="X19" s="356" t="e">
        <v>#VALUE!</v>
      </c>
      <c r="Y19" s="190"/>
      <c r="Z19" s="355" t="e">
        <v>#VALUE!</v>
      </c>
      <c r="AA19" s="190"/>
      <c r="AB19" s="198" t="str">
        <f t="shared" si="3"/>
        <v>HKD1L6L11Y_Quote</v>
      </c>
      <c r="AC19" s="354" t="e">
        <v>#VALUE!</v>
      </c>
      <c r="AD19" s="196" t="e">
        <f>_xll.qlSimpleQuoteSetValue($AB19,ROUND($AC19/10000,6),Trigger)</f>
        <v>#NUM!</v>
      </c>
      <c r="AE19" s="186"/>
      <c r="AF19" s="232"/>
      <c r="AG19" s="232"/>
      <c r="AH19" s="232"/>
      <c r="AI19" s="232"/>
      <c r="AJ19" s="232"/>
    </row>
    <row r="20" spans="1:36" x14ac:dyDescent="0.2">
      <c r="A20" s="30"/>
      <c r="B20" s="29" t="s">
        <v>36</v>
      </c>
      <c r="C20" s="28" t="str">
        <f t="shared" si="4"/>
        <v>1L</v>
      </c>
      <c r="D20" s="27" t="str">
        <f t="shared" si="5"/>
        <v>6L</v>
      </c>
      <c r="E20" s="26" t="str">
        <f t="shared" si="0"/>
        <v>HKD1L6L12Y_Quote</v>
      </c>
      <c r="F20" s="26" t="str">
        <f>_xll.qlSimpleQuote(E20,,RateTickValue,Permanent,Trigger,ObjectOverwrite)</f>
        <v>HKD1L6L12Y_Quote#0001</v>
      </c>
      <c r="G20" s="25" t="str">
        <f>_xll.ohRangeRetrieveError(F20)</f>
        <v/>
      </c>
      <c r="H20" s="24"/>
      <c r="N20" s="195">
        <v>12</v>
      </c>
      <c r="O20" s="247" t="s">
        <v>36</v>
      </c>
      <c r="P20" s="246" t="str">
        <v>1L</v>
      </c>
      <c r="Q20" s="246" t="str">
        <v>6L</v>
      </c>
      <c r="R20" s="244" t="str">
        <f t="shared" si="1"/>
        <v>HKD1L6L12Y</v>
      </c>
      <c r="S20" s="193" t="str">
        <v>HKD1L6L12Y=ICAP</v>
      </c>
      <c r="T20" s="357" t="s">
        <v>188</v>
      </c>
      <c r="U20" s="357" t="s">
        <v>188</v>
      </c>
      <c r="V20" s="357" t="e">
        <f>_xll.qlMidEquivalent(T20,U20)</f>
        <v>#NUM!</v>
      </c>
      <c r="W20" s="197" t="b">
        <f t="shared" si="2"/>
        <v>0</v>
      </c>
      <c r="X20" s="356" t="e">
        <v>#VALUE!</v>
      </c>
      <c r="Y20" s="190"/>
      <c r="Z20" s="355" t="e">
        <v>#VALUE!</v>
      </c>
      <c r="AA20" s="190"/>
      <c r="AB20" s="198" t="str">
        <f t="shared" si="3"/>
        <v>HKD1L6L12Y_Quote</v>
      </c>
      <c r="AC20" s="354" t="e">
        <v>#VALUE!</v>
      </c>
      <c r="AD20" s="196" t="e">
        <f>_xll.qlSimpleQuoteSetValue($AB20,ROUND($AC20/10000,6),Trigger)</f>
        <v>#NUM!</v>
      </c>
      <c r="AE20" s="186"/>
      <c r="AF20" s="232"/>
      <c r="AG20" s="232"/>
      <c r="AH20" s="232"/>
      <c r="AI20" s="232"/>
      <c r="AJ20" s="232"/>
    </row>
    <row r="21" spans="1:36" x14ac:dyDescent="0.2">
      <c r="A21" s="30"/>
      <c r="B21" s="29" t="s">
        <v>35</v>
      </c>
      <c r="C21" s="28" t="str">
        <f t="shared" si="4"/>
        <v>1L</v>
      </c>
      <c r="D21" s="27" t="str">
        <f t="shared" si="5"/>
        <v>6L</v>
      </c>
      <c r="E21" s="26" t="str">
        <f t="shared" si="0"/>
        <v>HKD1L6L13Y_Quote</v>
      </c>
      <c r="F21" s="26" t="str">
        <f>_xll.qlSimpleQuote(E21,,RateTickValue,Permanent,Trigger,ObjectOverwrite)</f>
        <v>HKD1L6L13Y_Quote#0001</v>
      </c>
      <c r="G21" s="25" t="str">
        <f>_xll.ohRangeRetrieveError(F21)</f>
        <v/>
      </c>
      <c r="H21" s="24"/>
      <c r="N21" s="195">
        <v>13</v>
      </c>
      <c r="O21" s="247" t="s">
        <v>35</v>
      </c>
      <c r="P21" s="246" t="str">
        <v>1L</v>
      </c>
      <c r="Q21" s="246" t="str">
        <v>6L</v>
      </c>
      <c r="R21" s="244" t="str">
        <f t="shared" si="1"/>
        <v>HKD1L6L13Y</v>
      </c>
      <c r="S21" s="193" t="str">
        <v>HKD1L6L13Y=ICAP</v>
      </c>
      <c r="T21" s="357" t="s">
        <v>188</v>
      </c>
      <c r="U21" s="357" t="s">
        <v>188</v>
      </c>
      <c r="V21" s="357" t="e">
        <f>_xll.qlMidEquivalent(T21,U21)</f>
        <v>#NUM!</v>
      </c>
      <c r="W21" s="197" t="b">
        <f t="shared" si="2"/>
        <v>0</v>
      </c>
      <c r="X21" s="356" t="e">
        <v>#VALUE!</v>
      </c>
      <c r="Y21" s="190"/>
      <c r="Z21" s="355" t="e">
        <v>#VALUE!</v>
      </c>
      <c r="AA21" s="190"/>
      <c r="AB21" s="198" t="str">
        <f t="shared" si="3"/>
        <v>HKD1L6L13Y_Quote</v>
      </c>
      <c r="AC21" s="354" t="e">
        <v>#VALUE!</v>
      </c>
      <c r="AD21" s="196" t="e">
        <f>_xll.qlSimpleQuoteSetValue($AB21,ROUND($AC21/10000,6),Trigger)</f>
        <v>#NUM!</v>
      </c>
      <c r="AE21" s="186"/>
      <c r="AF21" s="232"/>
      <c r="AG21" s="232"/>
      <c r="AH21" s="232"/>
      <c r="AI21" s="232"/>
      <c r="AJ21" s="232"/>
    </row>
    <row r="22" spans="1:36" x14ac:dyDescent="0.2">
      <c r="A22" s="30"/>
      <c r="B22" s="29" t="s">
        <v>34</v>
      </c>
      <c r="C22" s="28" t="str">
        <f t="shared" si="4"/>
        <v>1L</v>
      </c>
      <c r="D22" s="27" t="str">
        <f t="shared" si="5"/>
        <v>6L</v>
      </c>
      <c r="E22" s="26" t="str">
        <f t="shared" si="0"/>
        <v>HKD1L6L14Y_Quote</v>
      </c>
      <c r="F22" s="26" t="str">
        <f>_xll.qlSimpleQuote(E22,,RateTickValue,Permanent,Trigger,ObjectOverwrite)</f>
        <v>HKD1L6L14Y_Quote#0001</v>
      </c>
      <c r="G22" s="25" t="str">
        <f>_xll.ohRangeRetrieveError(F22)</f>
        <v/>
      </c>
      <c r="H22" s="24"/>
      <c r="N22" s="195">
        <v>14</v>
      </c>
      <c r="O22" s="247" t="s">
        <v>34</v>
      </c>
      <c r="P22" s="246" t="str">
        <v>1L</v>
      </c>
      <c r="Q22" s="246" t="str">
        <v>6L</v>
      </c>
      <c r="R22" s="244" t="str">
        <f t="shared" si="1"/>
        <v>HKD1L6L14Y</v>
      </c>
      <c r="S22" s="193" t="str">
        <v>HKD1L6L14Y=ICAP</v>
      </c>
      <c r="T22" s="357" t="s">
        <v>188</v>
      </c>
      <c r="U22" s="357" t="s">
        <v>188</v>
      </c>
      <c r="V22" s="357" t="e">
        <f>_xll.qlMidEquivalent(T22,U22)</f>
        <v>#NUM!</v>
      </c>
      <c r="W22" s="197" t="b">
        <f t="shared" si="2"/>
        <v>0</v>
      </c>
      <c r="X22" s="356" t="e">
        <v>#VALUE!</v>
      </c>
      <c r="Y22" s="190"/>
      <c r="Z22" s="355" t="e">
        <v>#VALUE!</v>
      </c>
      <c r="AA22" s="190"/>
      <c r="AB22" s="198" t="str">
        <f t="shared" si="3"/>
        <v>HKD1L6L14Y_Quote</v>
      </c>
      <c r="AC22" s="354" t="e">
        <v>#VALUE!</v>
      </c>
      <c r="AD22" s="196" t="e">
        <f>_xll.qlSimpleQuoteSetValue($AB22,ROUND($AC22/10000,6),Trigger)</f>
        <v>#NUM!</v>
      </c>
      <c r="AE22" s="186"/>
      <c r="AF22" s="232"/>
      <c r="AG22" s="232"/>
      <c r="AH22" s="232"/>
      <c r="AI22" s="232"/>
      <c r="AJ22" s="232"/>
    </row>
    <row r="23" spans="1:36" x14ac:dyDescent="0.2">
      <c r="A23" s="30"/>
      <c r="B23" s="29" t="s">
        <v>33</v>
      </c>
      <c r="C23" s="28" t="str">
        <f t="shared" si="4"/>
        <v>1L</v>
      </c>
      <c r="D23" s="27" t="str">
        <f t="shared" si="5"/>
        <v>6L</v>
      </c>
      <c r="E23" s="26" t="str">
        <f t="shared" si="0"/>
        <v>HKD1L6L15Y_Quote</v>
      </c>
      <c r="F23" s="26" t="str">
        <f>_xll.qlSimpleQuote(E23,,RateTickValue,Permanent,Trigger,ObjectOverwrite)</f>
        <v>HKD1L6L15Y_Quote#0001</v>
      </c>
      <c r="G23" s="25" t="str">
        <f>_xll.ohRangeRetrieveError(F23)</f>
        <v/>
      </c>
      <c r="H23" s="24"/>
      <c r="N23" s="195">
        <v>15</v>
      </c>
      <c r="O23" s="247" t="s">
        <v>33</v>
      </c>
      <c r="P23" s="246" t="str">
        <v>1L</v>
      </c>
      <c r="Q23" s="246" t="str">
        <v>6L</v>
      </c>
      <c r="R23" s="244" t="str">
        <f t="shared" si="1"/>
        <v>HKD1L6L15Y</v>
      </c>
      <c r="S23" s="193" t="str">
        <v>HKD1L6L15Y=ICAP</v>
      </c>
      <c r="T23" s="357" t="s">
        <v>188</v>
      </c>
      <c r="U23" s="357" t="s">
        <v>188</v>
      </c>
      <c r="V23" s="357" t="e">
        <f>_xll.qlMidEquivalent(T23,U23)</f>
        <v>#NUM!</v>
      </c>
      <c r="W23" s="197" t="b">
        <f t="shared" si="2"/>
        <v>0</v>
      </c>
      <c r="X23" s="356" t="e">
        <v>#VALUE!</v>
      </c>
      <c r="Y23" s="190"/>
      <c r="Z23" s="355" t="e">
        <v>#VALUE!</v>
      </c>
      <c r="AA23" s="190"/>
      <c r="AB23" s="198" t="str">
        <f t="shared" si="3"/>
        <v>HKD1L6L15Y_Quote</v>
      </c>
      <c r="AC23" s="354" t="e">
        <v>#VALUE!</v>
      </c>
      <c r="AD23" s="196" t="e">
        <f>_xll.qlSimpleQuoteSetValue($AB23,ROUND($AC23/10000,6),Trigger)</f>
        <v>#NUM!</v>
      </c>
      <c r="AE23" s="186"/>
      <c r="AF23" s="232"/>
      <c r="AG23" s="232"/>
      <c r="AH23" s="232"/>
      <c r="AI23" s="232"/>
      <c r="AJ23" s="232"/>
    </row>
    <row r="24" spans="1:36" x14ac:dyDescent="0.2">
      <c r="A24" s="30"/>
      <c r="B24" s="29" t="s">
        <v>32</v>
      </c>
      <c r="C24" s="28" t="str">
        <f t="shared" si="4"/>
        <v>1L</v>
      </c>
      <c r="D24" s="27" t="str">
        <f t="shared" si="5"/>
        <v>6L</v>
      </c>
      <c r="E24" s="26" t="str">
        <f t="shared" si="0"/>
        <v>HKD1L6L16Y_Quote</v>
      </c>
      <c r="F24" s="26" t="str">
        <f>_xll.qlSimpleQuote(E24,,RateTickValue,Permanent,Trigger,ObjectOverwrite)</f>
        <v>HKD1L6L16Y_Quote#0001</v>
      </c>
      <c r="G24" s="25" t="str">
        <f>_xll.ohRangeRetrieveError(F24)</f>
        <v/>
      </c>
      <c r="H24" s="24"/>
      <c r="N24" s="195">
        <v>16</v>
      </c>
      <c r="O24" s="247" t="s">
        <v>32</v>
      </c>
      <c r="P24" s="246" t="str">
        <v>1L</v>
      </c>
      <c r="Q24" s="246" t="str">
        <v>6L</v>
      </c>
      <c r="R24" s="244" t="str">
        <f t="shared" si="1"/>
        <v>HKD1L6L16Y</v>
      </c>
      <c r="S24" s="193" t="str">
        <v>HKD1L6L16Y=ICAP</v>
      </c>
      <c r="T24" s="357" t="s">
        <v>188</v>
      </c>
      <c r="U24" s="357" t="s">
        <v>188</v>
      </c>
      <c r="V24" s="357" t="e">
        <f>_xll.qlMidEquivalent(T24,U24)</f>
        <v>#NUM!</v>
      </c>
      <c r="W24" s="197" t="b">
        <f t="shared" si="2"/>
        <v>0</v>
      </c>
      <c r="X24" s="356" t="e">
        <v>#VALUE!</v>
      </c>
      <c r="Y24" s="190"/>
      <c r="Z24" s="355" t="e">
        <v>#VALUE!</v>
      </c>
      <c r="AA24" s="190"/>
      <c r="AB24" s="198" t="str">
        <f t="shared" si="3"/>
        <v>HKD1L6L16Y_Quote</v>
      </c>
      <c r="AC24" s="354" t="e">
        <v>#VALUE!</v>
      </c>
      <c r="AD24" s="196" t="e">
        <f>_xll.qlSimpleQuoteSetValue($AB24,ROUND($AC24/10000,6),Trigger)</f>
        <v>#NUM!</v>
      </c>
      <c r="AE24" s="186"/>
      <c r="AF24" s="232"/>
      <c r="AG24" s="232"/>
      <c r="AH24" s="232"/>
      <c r="AI24" s="232"/>
      <c r="AJ24" s="232"/>
    </row>
    <row r="25" spans="1:36" x14ac:dyDescent="0.2">
      <c r="A25" s="30"/>
      <c r="B25" s="29" t="s">
        <v>31</v>
      </c>
      <c r="C25" s="28" t="str">
        <f t="shared" si="4"/>
        <v>1L</v>
      </c>
      <c r="D25" s="27" t="str">
        <f t="shared" si="5"/>
        <v>6L</v>
      </c>
      <c r="E25" s="26" t="str">
        <f t="shared" si="0"/>
        <v>HKD1L6L17Y_Quote</v>
      </c>
      <c r="F25" s="26" t="str">
        <f>_xll.qlSimpleQuote(E25,,RateTickValue,Permanent,Trigger,ObjectOverwrite)</f>
        <v>HKD1L6L17Y_Quote#0001</v>
      </c>
      <c r="G25" s="25" t="str">
        <f>_xll.ohRangeRetrieveError(F25)</f>
        <v/>
      </c>
      <c r="H25" s="24"/>
      <c r="N25" s="195">
        <v>17</v>
      </c>
      <c r="O25" s="247" t="s">
        <v>31</v>
      </c>
      <c r="P25" s="246" t="str">
        <v>1L</v>
      </c>
      <c r="Q25" s="246" t="str">
        <v>6L</v>
      </c>
      <c r="R25" s="244" t="str">
        <f t="shared" si="1"/>
        <v>HKD1L6L17Y</v>
      </c>
      <c r="S25" s="193" t="str">
        <v>HKD1L6L17Y=ICAP</v>
      </c>
      <c r="T25" s="357" t="s">
        <v>188</v>
      </c>
      <c r="U25" s="357" t="s">
        <v>188</v>
      </c>
      <c r="V25" s="357" t="e">
        <f>_xll.qlMidEquivalent(T25,U25)</f>
        <v>#NUM!</v>
      </c>
      <c r="W25" s="197" t="b">
        <f t="shared" si="2"/>
        <v>0</v>
      </c>
      <c r="X25" s="356" t="e">
        <v>#VALUE!</v>
      </c>
      <c r="Y25" s="190"/>
      <c r="Z25" s="355" t="e">
        <v>#VALUE!</v>
      </c>
      <c r="AA25" s="190"/>
      <c r="AB25" s="198" t="str">
        <f t="shared" si="3"/>
        <v>HKD1L6L17Y_Quote</v>
      </c>
      <c r="AC25" s="354" t="e">
        <v>#VALUE!</v>
      </c>
      <c r="AD25" s="196" t="e">
        <f>_xll.qlSimpleQuoteSetValue($AB25,ROUND($AC25/10000,6),Trigger)</f>
        <v>#NUM!</v>
      </c>
      <c r="AE25" s="186"/>
      <c r="AF25" s="232"/>
      <c r="AG25" s="232"/>
      <c r="AH25" s="232"/>
      <c r="AI25" s="232"/>
      <c r="AJ25" s="232"/>
    </row>
    <row r="26" spans="1:36" x14ac:dyDescent="0.2">
      <c r="A26" s="30"/>
      <c r="B26" s="29" t="s">
        <v>30</v>
      </c>
      <c r="C26" s="28" t="str">
        <f t="shared" si="4"/>
        <v>1L</v>
      </c>
      <c r="D26" s="27" t="str">
        <f t="shared" si="5"/>
        <v>6L</v>
      </c>
      <c r="E26" s="26" t="str">
        <f t="shared" si="0"/>
        <v>HKD1L6L18Y_Quote</v>
      </c>
      <c r="F26" s="26" t="str">
        <f>_xll.qlSimpleQuote(E26,,RateTickValue,Permanent,Trigger,ObjectOverwrite)</f>
        <v>HKD1L6L18Y_Quote#0001</v>
      </c>
      <c r="G26" s="25" t="str">
        <f>_xll.ohRangeRetrieveError(F26)</f>
        <v/>
      </c>
      <c r="H26" s="24"/>
      <c r="N26" s="195">
        <v>18</v>
      </c>
      <c r="O26" s="247" t="s">
        <v>30</v>
      </c>
      <c r="P26" s="246" t="str">
        <v>1L</v>
      </c>
      <c r="Q26" s="246" t="str">
        <v>6L</v>
      </c>
      <c r="R26" s="244" t="str">
        <f t="shared" si="1"/>
        <v>HKD1L6L18Y</v>
      </c>
      <c r="S26" s="193" t="str">
        <v>HKD1L6L18Y=ICAP</v>
      </c>
      <c r="T26" s="357" t="s">
        <v>188</v>
      </c>
      <c r="U26" s="357" t="s">
        <v>188</v>
      </c>
      <c r="V26" s="357" t="e">
        <f>_xll.qlMidEquivalent(T26,U26)</f>
        <v>#NUM!</v>
      </c>
      <c r="W26" s="197" t="b">
        <f t="shared" si="2"/>
        <v>0</v>
      </c>
      <c r="X26" s="356" t="e">
        <v>#VALUE!</v>
      </c>
      <c r="Y26" s="190"/>
      <c r="Z26" s="355" t="e">
        <v>#VALUE!</v>
      </c>
      <c r="AA26" s="190"/>
      <c r="AB26" s="198" t="str">
        <f t="shared" si="3"/>
        <v>HKD1L6L18Y_Quote</v>
      </c>
      <c r="AC26" s="354" t="e">
        <v>#VALUE!</v>
      </c>
      <c r="AD26" s="196" t="e">
        <f>_xll.qlSimpleQuoteSetValue($AB26,ROUND($AC26/10000,6),Trigger)</f>
        <v>#NUM!</v>
      </c>
      <c r="AE26" s="186"/>
      <c r="AF26" s="232"/>
      <c r="AG26" s="232"/>
      <c r="AH26" s="232"/>
      <c r="AI26" s="232"/>
      <c r="AJ26" s="232"/>
    </row>
    <row r="27" spans="1:36" x14ac:dyDescent="0.2">
      <c r="A27" s="30"/>
      <c r="B27" s="29" t="s">
        <v>29</v>
      </c>
      <c r="C27" s="28" t="str">
        <f t="shared" si="4"/>
        <v>1L</v>
      </c>
      <c r="D27" s="27" t="str">
        <f t="shared" si="5"/>
        <v>6L</v>
      </c>
      <c r="E27" s="26" t="str">
        <f t="shared" si="0"/>
        <v>HKD1L6L19Y_Quote</v>
      </c>
      <c r="F27" s="26" t="str">
        <f>_xll.qlSimpleQuote(E27,,RateTickValue,Permanent,Trigger,ObjectOverwrite)</f>
        <v>HKD1L6L19Y_Quote#0001</v>
      </c>
      <c r="G27" s="25" t="str">
        <f>_xll.ohRangeRetrieveError(F27)</f>
        <v/>
      </c>
      <c r="H27" s="24"/>
      <c r="N27" s="195">
        <v>19</v>
      </c>
      <c r="O27" s="247" t="s">
        <v>29</v>
      </c>
      <c r="P27" s="246" t="str">
        <v>1L</v>
      </c>
      <c r="Q27" s="246" t="str">
        <v>6L</v>
      </c>
      <c r="R27" s="244" t="str">
        <f t="shared" si="1"/>
        <v>HKD1L6L19Y</v>
      </c>
      <c r="S27" s="193" t="str">
        <v>HKD1L6L19Y=ICAP</v>
      </c>
      <c r="T27" s="357" t="s">
        <v>188</v>
      </c>
      <c r="U27" s="357" t="s">
        <v>188</v>
      </c>
      <c r="V27" s="357" t="e">
        <f>_xll.qlMidEquivalent(T27,U27)</f>
        <v>#NUM!</v>
      </c>
      <c r="W27" s="197" t="b">
        <f t="shared" si="2"/>
        <v>0</v>
      </c>
      <c r="X27" s="356" t="e">
        <v>#VALUE!</v>
      </c>
      <c r="Y27" s="190"/>
      <c r="Z27" s="355" t="e">
        <v>#VALUE!</v>
      </c>
      <c r="AA27" s="190"/>
      <c r="AB27" s="198" t="str">
        <f t="shared" si="3"/>
        <v>HKD1L6L19Y_Quote</v>
      </c>
      <c r="AC27" s="354" t="e">
        <v>#VALUE!</v>
      </c>
      <c r="AD27" s="196" t="e">
        <f>_xll.qlSimpleQuoteSetValue($AB27,ROUND($AC27/10000,6),Trigger)</f>
        <v>#NUM!</v>
      </c>
      <c r="AE27" s="186"/>
      <c r="AF27" s="232"/>
      <c r="AG27" s="232"/>
      <c r="AH27" s="232"/>
      <c r="AI27" s="232"/>
      <c r="AJ27" s="232"/>
    </row>
    <row r="28" spans="1:36" x14ac:dyDescent="0.2">
      <c r="A28" s="30"/>
      <c r="B28" s="29" t="s">
        <v>28</v>
      </c>
      <c r="C28" s="28" t="str">
        <f t="shared" si="4"/>
        <v>1L</v>
      </c>
      <c r="D28" s="27" t="str">
        <f t="shared" si="5"/>
        <v>6L</v>
      </c>
      <c r="E28" s="26" t="str">
        <f t="shared" si="0"/>
        <v>HKD1L6L20Y_Quote</v>
      </c>
      <c r="F28" s="26" t="str">
        <f>_xll.qlSimpleQuote(E28,,RateTickValue,Permanent,Trigger,ObjectOverwrite)</f>
        <v>HKD1L6L20Y_Quote#0001</v>
      </c>
      <c r="G28" s="25" t="str">
        <f>_xll.ohRangeRetrieveError(F28)</f>
        <v/>
      </c>
      <c r="H28" s="24"/>
      <c r="N28" s="195">
        <v>20</v>
      </c>
      <c r="O28" s="247" t="s">
        <v>28</v>
      </c>
      <c r="P28" s="246" t="str">
        <v>1L</v>
      </c>
      <c r="Q28" s="246" t="str">
        <v>6L</v>
      </c>
      <c r="R28" s="244" t="str">
        <f t="shared" si="1"/>
        <v>HKD1L6L20Y</v>
      </c>
      <c r="S28" s="193" t="str">
        <v>HKD1L6L20Y=ICAP</v>
      </c>
      <c r="T28" s="357" t="s">
        <v>188</v>
      </c>
      <c r="U28" s="357" t="s">
        <v>188</v>
      </c>
      <c r="V28" s="357" t="e">
        <f>_xll.qlMidEquivalent(T28,U28)</f>
        <v>#NUM!</v>
      </c>
      <c r="W28" s="197" t="b">
        <f t="shared" si="2"/>
        <v>0</v>
      </c>
      <c r="X28" s="356" t="e">
        <v>#VALUE!</v>
      </c>
      <c r="Y28" s="190"/>
      <c r="Z28" s="355" t="e">
        <v>#VALUE!</v>
      </c>
      <c r="AA28" s="190"/>
      <c r="AB28" s="198" t="str">
        <f t="shared" si="3"/>
        <v>HKD1L6L20Y_Quote</v>
      </c>
      <c r="AC28" s="354" t="e">
        <v>#VALUE!</v>
      </c>
      <c r="AD28" s="196" t="e">
        <f>_xll.qlSimpleQuoteSetValue($AB28,ROUND($AC28/10000,6),Trigger)</f>
        <v>#NUM!</v>
      </c>
      <c r="AE28" s="186"/>
      <c r="AF28" s="232"/>
      <c r="AG28" s="232"/>
      <c r="AH28" s="232"/>
      <c r="AI28" s="232"/>
      <c r="AJ28" s="232"/>
    </row>
    <row r="29" spans="1:36" x14ac:dyDescent="0.2">
      <c r="A29" s="30"/>
      <c r="B29" s="29" t="s">
        <v>27</v>
      </c>
      <c r="C29" s="28" t="str">
        <f t="shared" si="4"/>
        <v>1L</v>
      </c>
      <c r="D29" s="27" t="str">
        <f t="shared" si="5"/>
        <v>6L</v>
      </c>
      <c r="E29" s="26" t="str">
        <f t="shared" si="0"/>
        <v>HKD1L6L21Y_Quote</v>
      </c>
      <c r="F29" s="26" t="str">
        <f>_xll.qlSimpleQuote(E29,,RateTickValue,Permanent,Trigger,ObjectOverwrite)</f>
        <v>HKD1L6L21Y_Quote#0001</v>
      </c>
      <c r="G29" s="25" t="str">
        <f>_xll.ohRangeRetrieveError(F29)</f>
        <v/>
      </c>
      <c r="H29" s="24"/>
      <c r="N29" s="195">
        <v>21</v>
      </c>
      <c r="O29" s="247" t="s">
        <v>27</v>
      </c>
      <c r="P29" s="246" t="str">
        <v>1L</v>
      </c>
      <c r="Q29" s="246" t="str">
        <v>6L</v>
      </c>
      <c r="R29" s="244" t="str">
        <f t="shared" si="1"/>
        <v>HKD1L6L21Y</v>
      </c>
      <c r="S29" s="193" t="str">
        <v>HKD1L6L21Y=ICAP</v>
      </c>
      <c r="T29" s="357" t="s">
        <v>188</v>
      </c>
      <c r="U29" s="357" t="s">
        <v>188</v>
      </c>
      <c r="V29" s="357" t="e">
        <f>_xll.qlMidEquivalent(T29,U29)</f>
        <v>#NUM!</v>
      </c>
      <c r="W29" s="197" t="b">
        <f t="shared" si="2"/>
        <v>0</v>
      </c>
      <c r="X29" s="356" t="e">
        <v>#VALUE!</v>
      </c>
      <c r="Y29" s="190"/>
      <c r="Z29" s="355" t="e">
        <v>#VALUE!</v>
      </c>
      <c r="AA29" s="190"/>
      <c r="AB29" s="198" t="str">
        <f t="shared" si="3"/>
        <v>HKD1L6L21Y_Quote</v>
      </c>
      <c r="AC29" s="354" t="e">
        <v>#VALUE!</v>
      </c>
      <c r="AD29" s="196" t="e">
        <f>_xll.qlSimpleQuoteSetValue($AB29,ROUND($AC29/10000,6),Trigger)</f>
        <v>#NUM!</v>
      </c>
      <c r="AE29" s="186"/>
      <c r="AF29" s="232"/>
      <c r="AG29" s="232"/>
      <c r="AH29" s="232"/>
      <c r="AI29" s="232"/>
      <c r="AJ29" s="232"/>
    </row>
    <row r="30" spans="1:36" x14ac:dyDescent="0.2">
      <c r="A30" s="30"/>
      <c r="B30" s="29" t="s">
        <v>26</v>
      </c>
      <c r="C30" s="28" t="str">
        <f t="shared" si="4"/>
        <v>1L</v>
      </c>
      <c r="D30" s="27" t="str">
        <f t="shared" si="5"/>
        <v>6L</v>
      </c>
      <c r="E30" s="26" t="str">
        <f t="shared" si="0"/>
        <v>HKD1L6L22Y_Quote</v>
      </c>
      <c r="F30" s="26" t="str">
        <f>_xll.qlSimpleQuote(E30,,RateTickValue,Permanent,Trigger,ObjectOverwrite)</f>
        <v>HKD1L6L22Y_Quote#0001</v>
      </c>
      <c r="G30" s="25" t="str">
        <f>_xll.ohRangeRetrieveError(F30)</f>
        <v/>
      </c>
      <c r="H30" s="24"/>
      <c r="N30" s="195">
        <v>22</v>
      </c>
      <c r="O30" s="247" t="s">
        <v>26</v>
      </c>
      <c r="P30" s="246" t="str">
        <v>1L</v>
      </c>
      <c r="Q30" s="246" t="str">
        <v>6L</v>
      </c>
      <c r="R30" s="244" t="str">
        <f t="shared" si="1"/>
        <v>HKD1L6L22Y</v>
      </c>
      <c r="S30" s="193" t="str">
        <v>HKD1L6L22Y=ICAP</v>
      </c>
      <c r="T30" s="357" t="s">
        <v>188</v>
      </c>
      <c r="U30" s="357" t="s">
        <v>188</v>
      </c>
      <c r="V30" s="357" t="e">
        <f>_xll.qlMidEquivalent(T30,U30)</f>
        <v>#NUM!</v>
      </c>
      <c r="W30" s="197" t="b">
        <f t="shared" si="2"/>
        <v>0</v>
      </c>
      <c r="X30" s="356" t="e">
        <v>#VALUE!</v>
      </c>
      <c r="Y30" s="190"/>
      <c r="Z30" s="355" t="e">
        <v>#VALUE!</v>
      </c>
      <c r="AA30" s="190"/>
      <c r="AB30" s="198" t="str">
        <f t="shared" si="3"/>
        <v>HKD1L6L22Y_Quote</v>
      </c>
      <c r="AC30" s="354" t="e">
        <v>#VALUE!</v>
      </c>
      <c r="AD30" s="196" t="e">
        <f>_xll.qlSimpleQuoteSetValue($AB30,ROUND($AC30/10000,6),Trigger)</f>
        <v>#NUM!</v>
      </c>
      <c r="AE30" s="186"/>
      <c r="AF30" s="232"/>
      <c r="AG30" s="232"/>
      <c r="AH30" s="232"/>
      <c r="AI30" s="232"/>
      <c r="AJ30" s="232"/>
    </row>
    <row r="31" spans="1:36" x14ac:dyDescent="0.2">
      <c r="A31" s="30"/>
      <c r="B31" s="29" t="s">
        <v>25</v>
      </c>
      <c r="C31" s="28" t="str">
        <f t="shared" si="4"/>
        <v>1L</v>
      </c>
      <c r="D31" s="27" t="str">
        <f t="shared" si="5"/>
        <v>6L</v>
      </c>
      <c r="E31" s="26" t="str">
        <f t="shared" si="0"/>
        <v>HKD1L6L23Y_Quote</v>
      </c>
      <c r="F31" s="26" t="str">
        <f>_xll.qlSimpleQuote(E31,,RateTickValue,Permanent,Trigger,ObjectOverwrite)</f>
        <v>HKD1L6L23Y_Quote#0001</v>
      </c>
      <c r="G31" s="25" t="str">
        <f>_xll.ohRangeRetrieveError(F31)</f>
        <v/>
      </c>
      <c r="H31" s="24"/>
      <c r="N31" s="195">
        <v>23</v>
      </c>
      <c r="O31" s="247" t="s">
        <v>25</v>
      </c>
      <c r="P31" s="246" t="str">
        <v>1L</v>
      </c>
      <c r="Q31" s="246" t="str">
        <v>6L</v>
      </c>
      <c r="R31" s="244" t="str">
        <f t="shared" si="1"/>
        <v>HKD1L6L23Y</v>
      </c>
      <c r="S31" s="193" t="str">
        <v>HKD1L6L23Y=ICAP</v>
      </c>
      <c r="T31" s="357" t="s">
        <v>188</v>
      </c>
      <c r="U31" s="357" t="s">
        <v>188</v>
      </c>
      <c r="V31" s="357" t="e">
        <f>_xll.qlMidEquivalent(T31,U31)</f>
        <v>#NUM!</v>
      </c>
      <c r="W31" s="197" t="b">
        <f t="shared" si="2"/>
        <v>0</v>
      </c>
      <c r="X31" s="356" t="e">
        <v>#VALUE!</v>
      </c>
      <c r="Y31" s="190"/>
      <c r="Z31" s="355" t="e">
        <v>#VALUE!</v>
      </c>
      <c r="AA31" s="190"/>
      <c r="AB31" s="198" t="str">
        <f t="shared" si="3"/>
        <v>HKD1L6L23Y_Quote</v>
      </c>
      <c r="AC31" s="354" t="e">
        <v>#VALUE!</v>
      </c>
      <c r="AD31" s="196" t="e">
        <f>_xll.qlSimpleQuoteSetValue($AB31,ROUND($AC31/10000,6),Trigger)</f>
        <v>#NUM!</v>
      </c>
      <c r="AE31" s="186"/>
      <c r="AF31" s="232"/>
      <c r="AG31" s="232"/>
      <c r="AH31" s="232"/>
      <c r="AI31" s="232"/>
      <c r="AJ31" s="232"/>
    </row>
    <row r="32" spans="1:36" x14ac:dyDescent="0.2">
      <c r="A32" s="30"/>
      <c r="B32" s="29" t="s">
        <v>24</v>
      </c>
      <c r="C32" s="28" t="str">
        <f t="shared" si="4"/>
        <v>1L</v>
      </c>
      <c r="D32" s="27" t="str">
        <f t="shared" si="5"/>
        <v>6L</v>
      </c>
      <c r="E32" s="26" t="str">
        <f t="shared" si="0"/>
        <v>HKD1L6L24Y_Quote</v>
      </c>
      <c r="F32" s="26" t="str">
        <f>_xll.qlSimpleQuote(E32,,RateTickValue,Permanent,Trigger,ObjectOverwrite)</f>
        <v>HKD1L6L24Y_Quote#0001</v>
      </c>
      <c r="G32" s="25" t="str">
        <f>_xll.ohRangeRetrieveError(F32)</f>
        <v/>
      </c>
      <c r="H32" s="24"/>
      <c r="N32" s="195">
        <v>24</v>
      </c>
      <c r="O32" s="247" t="s">
        <v>24</v>
      </c>
      <c r="P32" s="246" t="str">
        <v>1L</v>
      </c>
      <c r="Q32" s="246" t="str">
        <v>6L</v>
      </c>
      <c r="R32" s="244" t="str">
        <f t="shared" si="1"/>
        <v>HKD1L6L24Y</v>
      </c>
      <c r="S32" s="193" t="str">
        <v>HKD1L6L24Y=ICAP</v>
      </c>
      <c r="T32" s="357" t="s">
        <v>188</v>
      </c>
      <c r="U32" s="357" t="s">
        <v>188</v>
      </c>
      <c r="V32" s="357" t="e">
        <f>_xll.qlMidEquivalent(T32,U32)</f>
        <v>#NUM!</v>
      </c>
      <c r="W32" s="197" t="b">
        <f t="shared" si="2"/>
        <v>0</v>
      </c>
      <c r="X32" s="356" t="e">
        <v>#VALUE!</v>
      </c>
      <c r="Y32" s="190"/>
      <c r="Z32" s="355" t="e">
        <v>#VALUE!</v>
      </c>
      <c r="AA32" s="190"/>
      <c r="AB32" s="198" t="str">
        <f t="shared" si="3"/>
        <v>HKD1L6L24Y_Quote</v>
      </c>
      <c r="AC32" s="354" t="e">
        <v>#VALUE!</v>
      </c>
      <c r="AD32" s="196" t="e">
        <f>_xll.qlSimpleQuoteSetValue($AB32,ROUND($AC32/10000,6),Trigger)</f>
        <v>#NUM!</v>
      </c>
      <c r="AE32" s="186"/>
      <c r="AF32" s="232"/>
      <c r="AG32" s="232"/>
      <c r="AH32" s="232"/>
      <c r="AI32" s="232"/>
      <c r="AJ32" s="232"/>
    </row>
    <row r="33" spans="1:36" x14ac:dyDescent="0.2">
      <c r="A33" s="30"/>
      <c r="B33" s="29" t="s">
        <v>23</v>
      </c>
      <c r="C33" s="28" t="str">
        <f t="shared" si="4"/>
        <v>1L</v>
      </c>
      <c r="D33" s="27" t="str">
        <f t="shared" si="5"/>
        <v>6L</v>
      </c>
      <c r="E33" s="26" t="str">
        <f t="shared" si="0"/>
        <v>HKD1L6L25Y_Quote</v>
      </c>
      <c r="F33" s="26" t="str">
        <f>_xll.qlSimpleQuote(E33,,RateTickValue,Permanent,Trigger,ObjectOverwrite)</f>
        <v>HKD1L6L25Y_Quote#0001</v>
      </c>
      <c r="G33" s="25" t="str">
        <f>_xll.ohRangeRetrieveError(F33)</f>
        <v/>
      </c>
      <c r="H33" s="24"/>
      <c r="N33" s="195">
        <v>25</v>
      </c>
      <c r="O33" s="247" t="s">
        <v>23</v>
      </c>
      <c r="P33" s="246" t="str">
        <v>1L</v>
      </c>
      <c r="Q33" s="246" t="str">
        <v>6L</v>
      </c>
      <c r="R33" s="244" t="str">
        <f t="shared" si="1"/>
        <v>HKD1L6L25Y</v>
      </c>
      <c r="S33" s="193" t="str">
        <v>HKD1L6L25Y=ICAP</v>
      </c>
      <c r="T33" s="357" t="s">
        <v>188</v>
      </c>
      <c r="U33" s="357" t="s">
        <v>188</v>
      </c>
      <c r="V33" s="357" t="e">
        <f>_xll.qlMidEquivalent(T33,U33)</f>
        <v>#NUM!</v>
      </c>
      <c r="W33" s="197" t="b">
        <f t="shared" si="2"/>
        <v>0</v>
      </c>
      <c r="X33" s="356" t="e">
        <v>#VALUE!</v>
      </c>
      <c r="Y33" s="190"/>
      <c r="Z33" s="355" t="e">
        <v>#VALUE!</v>
      </c>
      <c r="AA33" s="190"/>
      <c r="AB33" s="198" t="str">
        <f t="shared" si="3"/>
        <v>HKD1L6L25Y_Quote</v>
      </c>
      <c r="AC33" s="354" t="e">
        <v>#VALUE!</v>
      </c>
      <c r="AD33" s="196" t="e">
        <f>_xll.qlSimpleQuoteSetValue($AB33,ROUND($AC33/10000,6),Trigger)</f>
        <v>#NUM!</v>
      </c>
      <c r="AE33" s="186"/>
      <c r="AF33" s="232"/>
      <c r="AG33" s="232"/>
      <c r="AH33" s="232"/>
      <c r="AI33" s="232"/>
      <c r="AJ33" s="232"/>
    </row>
    <row r="34" spans="1:36" x14ac:dyDescent="0.2">
      <c r="A34" s="30"/>
      <c r="B34" s="29" t="s">
        <v>22</v>
      </c>
      <c r="C34" s="28" t="str">
        <f t="shared" si="4"/>
        <v>1L</v>
      </c>
      <c r="D34" s="27" t="str">
        <f t="shared" si="5"/>
        <v>6L</v>
      </c>
      <c r="E34" s="26" t="str">
        <f t="shared" si="0"/>
        <v>HKD1L6L26Y_Quote</v>
      </c>
      <c r="F34" s="26" t="str">
        <f>_xll.qlSimpleQuote(E34,,RateTickValue,Permanent,Trigger,ObjectOverwrite)</f>
        <v>HKD1L6L26Y_Quote#0001</v>
      </c>
      <c r="G34" s="25" t="str">
        <f>_xll.ohRangeRetrieveError(F34)</f>
        <v/>
      </c>
      <c r="H34" s="24"/>
      <c r="N34" s="195">
        <v>26</v>
      </c>
      <c r="O34" s="247" t="s">
        <v>22</v>
      </c>
      <c r="P34" s="246" t="str">
        <v>1L</v>
      </c>
      <c r="Q34" s="246" t="str">
        <v>6L</v>
      </c>
      <c r="R34" s="244" t="str">
        <f t="shared" si="1"/>
        <v>HKD1L6L26Y</v>
      </c>
      <c r="S34" s="193" t="str">
        <v>HKD1L6L26Y=ICAP</v>
      </c>
      <c r="T34" s="357" t="s">
        <v>188</v>
      </c>
      <c r="U34" s="357" t="s">
        <v>188</v>
      </c>
      <c r="V34" s="357" t="e">
        <f>_xll.qlMidEquivalent(T34,U34)</f>
        <v>#NUM!</v>
      </c>
      <c r="W34" s="197" t="b">
        <f t="shared" si="2"/>
        <v>0</v>
      </c>
      <c r="X34" s="356" t="e">
        <v>#VALUE!</v>
      </c>
      <c r="Y34" s="190"/>
      <c r="Z34" s="355" t="e">
        <v>#VALUE!</v>
      </c>
      <c r="AA34" s="190"/>
      <c r="AB34" s="198" t="str">
        <f t="shared" si="3"/>
        <v>HKD1L6L26Y_Quote</v>
      </c>
      <c r="AC34" s="354" t="e">
        <v>#VALUE!</v>
      </c>
      <c r="AD34" s="196" t="e">
        <f>_xll.qlSimpleQuoteSetValue($AB34,ROUND($AC34/10000,6),Trigger)</f>
        <v>#NUM!</v>
      </c>
      <c r="AE34" s="186"/>
      <c r="AF34" s="232"/>
      <c r="AG34" s="232"/>
      <c r="AH34" s="232"/>
      <c r="AI34" s="232"/>
      <c r="AJ34" s="232"/>
    </row>
    <row r="35" spans="1:36" x14ac:dyDescent="0.2">
      <c r="A35" s="30"/>
      <c r="B35" s="29" t="s">
        <v>21</v>
      </c>
      <c r="C35" s="28" t="str">
        <f t="shared" si="4"/>
        <v>1L</v>
      </c>
      <c r="D35" s="27" t="str">
        <f t="shared" si="5"/>
        <v>6L</v>
      </c>
      <c r="E35" s="26" t="str">
        <f t="shared" si="0"/>
        <v>HKD1L6L27Y_Quote</v>
      </c>
      <c r="F35" s="26" t="str">
        <f>_xll.qlSimpleQuote(E35,,RateTickValue,Permanent,Trigger,ObjectOverwrite)</f>
        <v>HKD1L6L27Y_Quote#0001</v>
      </c>
      <c r="G35" s="25" t="str">
        <f>_xll.ohRangeRetrieveError(F35)</f>
        <v/>
      </c>
      <c r="H35" s="24"/>
      <c r="N35" s="195">
        <v>27</v>
      </c>
      <c r="O35" s="247" t="s">
        <v>21</v>
      </c>
      <c r="P35" s="246" t="str">
        <v>1L</v>
      </c>
      <c r="Q35" s="246" t="str">
        <v>6L</v>
      </c>
      <c r="R35" s="244" t="str">
        <f t="shared" si="1"/>
        <v>HKD1L6L27Y</v>
      </c>
      <c r="S35" s="193" t="str">
        <v>HKD1L6L27Y=ICAP</v>
      </c>
      <c r="T35" s="357" t="s">
        <v>188</v>
      </c>
      <c r="U35" s="357" t="s">
        <v>188</v>
      </c>
      <c r="V35" s="357" t="e">
        <f>_xll.qlMidEquivalent(T35,U35)</f>
        <v>#NUM!</v>
      </c>
      <c r="W35" s="197" t="b">
        <f t="shared" si="2"/>
        <v>0</v>
      </c>
      <c r="X35" s="356" t="e">
        <v>#VALUE!</v>
      </c>
      <c r="Y35" s="190"/>
      <c r="Z35" s="355" t="e">
        <v>#VALUE!</v>
      </c>
      <c r="AA35" s="190"/>
      <c r="AB35" s="198" t="str">
        <f t="shared" si="3"/>
        <v>HKD1L6L27Y_Quote</v>
      </c>
      <c r="AC35" s="354" t="e">
        <v>#VALUE!</v>
      </c>
      <c r="AD35" s="196" t="e">
        <f>_xll.qlSimpleQuoteSetValue($AB35,ROUND($AC35/10000,6),Trigger)</f>
        <v>#NUM!</v>
      </c>
      <c r="AE35" s="186"/>
      <c r="AF35" s="232"/>
      <c r="AG35" s="232"/>
      <c r="AH35" s="232"/>
      <c r="AI35" s="232"/>
      <c r="AJ35" s="232"/>
    </row>
    <row r="36" spans="1:36" x14ac:dyDescent="0.2">
      <c r="A36" s="30"/>
      <c r="B36" s="29" t="s">
        <v>20</v>
      </c>
      <c r="C36" s="28" t="str">
        <f t="shared" si="4"/>
        <v>1L</v>
      </c>
      <c r="D36" s="27" t="str">
        <f t="shared" si="5"/>
        <v>6L</v>
      </c>
      <c r="E36" s="26" t="str">
        <f t="shared" si="0"/>
        <v>HKD1L6L28Y_Quote</v>
      </c>
      <c r="F36" s="26" t="str">
        <f>_xll.qlSimpleQuote(E36,,RateTickValue,Permanent,Trigger,ObjectOverwrite)</f>
        <v>HKD1L6L28Y_Quote#0001</v>
      </c>
      <c r="G36" s="25" t="str">
        <f>_xll.ohRangeRetrieveError(F36)</f>
        <v/>
      </c>
      <c r="H36" s="24"/>
      <c r="N36" s="195">
        <v>28</v>
      </c>
      <c r="O36" s="247" t="s">
        <v>20</v>
      </c>
      <c r="P36" s="246" t="str">
        <v>1L</v>
      </c>
      <c r="Q36" s="246" t="str">
        <v>6L</v>
      </c>
      <c r="R36" s="244" t="str">
        <f t="shared" si="1"/>
        <v>HKD1L6L28Y</v>
      </c>
      <c r="S36" s="193" t="str">
        <v>HKD1L6L28Y=ICAP</v>
      </c>
      <c r="T36" s="357" t="s">
        <v>188</v>
      </c>
      <c r="U36" s="357" t="s">
        <v>188</v>
      </c>
      <c r="V36" s="357" t="e">
        <f>_xll.qlMidEquivalent(T36,U36)</f>
        <v>#NUM!</v>
      </c>
      <c r="W36" s="197" t="b">
        <f t="shared" si="2"/>
        <v>0</v>
      </c>
      <c r="X36" s="356" t="e">
        <v>#VALUE!</v>
      </c>
      <c r="Y36" s="190"/>
      <c r="Z36" s="355" t="e">
        <v>#VALUE!</v>
      </c>
      <c r="AA36" s="190"/>
      <c r="AB36" s="198" t="str">
        <f t="shared" si="3"/>
        <v>HKD1L6L28Y_Quote</v>
      </c>
      <c r="AC36" s="354" t="e">
        <v>#VALUE!</v>
      </c>
      <c r="AD36" s="196" t="e">
        <f>_xll.qlSimpleQuoteSetValue($AB36,ROUND($AC36/10000,6),Trigger)</f>
        <v>#NUM!</v>
      </c>
      <c r="AE36" s="186"/>
      <c r="AF36" s="232"/>
      <c r="AG36" s="232"/>
      <c r="AH36" s="232"/>
      <c r="AI36" s="232"/>
      <c r="AJ36" s="232"/>
    </row>
    <row r="37" spans="1:36" x14ac:dyDescent="0.2">
      <c r="A37" s="30"/>
      <c r="B37" s="29" t="s">
        <v>19</v>
      </c>
      <c r="C37" s="28" t="str">
        <f t="shared" si="4"/>
        <v>1L</v>
      </c>
      <c r="D37" s="27" t="str">
        <f t="shared" si="5"/>
        <v>6L</v>
      </c>
      <c r="E37" s="26" t="str">
        <f t="shared" si="0"/>
        <v>HKD1L6L29Y_Quote</v>
      </c>
      <c r="F37" s="26" t="str">
        <f>_xll.qlSimpleQuote(E37,,RateTickValue,Permanent,Trigger,ObjectOverwrite)</f>
        <v>HKD1L6L29Y_Quote#0001</v>
      </c>
      <c r="G37" s="25" t="str">
        <f>_xll.ohRangeRetrieveError(F37)</f>
        <v/>
      </c>
      <c r="H37" s="24"/>
      <c r="N37" s="195">
        <v>29</v>
      </c>
      <c r="O37" s="247" t="s">
        <v>19</v>
      </c>
      <c r="P37" s="246" t="str">
        <v>1L</v>
      </c>
      <c r="Q37" s="246" t="str">
        <v>6L</v>
      </c>
      <c r="R37" s="244" t="str">
        <f t="shared" si="1"/>
        <v>HKD1L6L29Y</v>
      </c>
      <c r="S37" s="193" t="str">
        <v>HKD1L6L29Y=ICAP</v>
      </c>
      <c r="T37" s="357" t="s">
        <v>188</v>
      </c>
      <c r="U37" s="357" t="s">
        <v>188</v>
      </c>
      <c r="V37" s="357" t="e">
        <f>_xll.qlMidEquivalent(T37,U37)</f>
        <v>#NUM!</v>
      </c>
      <c r="W37" s="197" t="b">
        <f t="shared" si="2"/>
        <v>0</v>
      </c>
      <c r="X37" s="356" t="e">
        <v>#VALUE!</v>
      </c>
      <c r="Y37" s="190"/>
      <c r="Z37" s="355" t="e">
        <v>#VALUE!</v>
      </c>
      <c r="AA37" s="190"/>
      <c r="AB37" s="198" t="str">
        <f t="shared" si="3"/>
        <v>HKD1L6L29Y_Quote</v>
      </c>
      <c r="AC37" s="354" t="e">
        <v>#VALUE!</v>
      </c>
      <c r="AD37" s="196" t="e">
        <f>_xll.qlSimpleQuoteSetValue($AB37,ROUND($AC37/10000,6),Trigger)</f>
        <v>#NUM!</v>
      </c>
      <c r="AE37" s="186"/>
      <c r="AF37" s="232"/>
      <c r="AG37" s="232"/>
      <c r="AH37" s="232"/>
      <c r="AI37" s="232"/>
      <c r="AJ37" s="232"/>
    </row>
    <row r="38" spans="1:36" x14ac:dyDescent="0.2">
      <c r="A38" s="30"/>
      <c r="B38" s="29" t="s">
        <v>18</v>
      </c>
      <c r="C38" s="28" t="str">
        <f t="shared" si="4"/>
        <v>1L</v>
      </c>
      <c r="D38" s="27" t="str">
        <f t="shared" si="5"/>
        <v>6L</v>
      </c>
      <c r="E38" s="26" t="str">
        <f t="shared" si="0"/>
        <v>HKD1L6L30Y_Quote</v>
      </c>
      <c r="F38" s="26" t="str">
        <f>_xll.qlSimpleQuote(E38,,RateTickValue,Permanent,Trigger,ObjectOverwrite)</f>
        <v>HKD1L6L30Y_Quote#0001</v>
      </c>
      <c r="G38" s="25" t="str">
        <f>_xll.ohRangeRetrieveError(F38)</f>
        <v/>
      </c>
      <c r="H38" s="24"/>
      <c r="N38" s="195">
        <v>30</v>
      </c>
      <c r="O38" s="247" t="s">
        <v>18</v>
      </c>
      <c r="P38" s="246" t="str">
        <v>1L</v>
      </c>
      <c r="Q38" s="246" t="str">
        <v>6L</v>
      </c>
      <c r="R38" s="244" t="str">
        <f t="shared" si="1"/>
        <v>HKD1L6L30Y</v>
      </c>
      <c r="S38" s="193" t="str">
        <v>HKD1L6L30Y=ICAP</v>
      </c>
      <c r="T38" s="357" t="s">
        <v>188</v>
      </c>
      <c r="U38" s="357" t="s">
        <v>188</v>
      </c>
      <c r="V38" s="357" t="e">
        <f>_xll.qlMidEquivalent(T38,U38)</f>
        <v>#NUM!</v>
      </c>
      <c r="W38" s="197" t="b">
        <f t="shared" si="2"/>
        <v>0</v>
      </c>
      <c r="X38" s="356" t="e">
        <v>#VALUE!</v>
      </c>
      <c r="Y38" s="190"/>
      <c r="Z38" s="355" t="e">
        <v>#VALUE!</v>
      </c>
      <c r="AA38" s="190"/>
      <c r="AB38" s="198" t="str">
        <f t="shared" si="3"/>
        <v>HKD1L6L30Y_Quote</v>
      </c>
      <c r="AC38" s="354" t="e">
        <v>#VALUE!</v>
      </c>
      <c r="AD38" s="196" t="e">
        <f>_xll.qlSimpleQuoteSetValue($AB38,ROUND($AC38/10000,6),Trigger)</f>
        <v>#NUM!</v>
      </c>
      <c r="AE38" s="186"/>
      <c r="AF38" s="232"/>
      <c r="AG38" s="232"/>
      <c r="AH38" s="232"/>
      <c r="AI38" s="232"/>
      <c r="AJ38" s="232"/>
    </row>
    <row r="39" spans="1:36" x14ac:dyDescent="0.2">
      <c r="A39" s="30"/>
      <c r="B39" s="29" t="s">
        <v>17</v>
      </c>
      <c r="C39" s="28" t="str">
        <f t="shared" si="4"/>
        <v>1L</v>
      </c>
      <c r="D39" s="27" t="str">
        <f t="shared" si="5"/>
        <v>6L</v>
      </c>
      <c r="E39" s="26" t="str">
        <f t="shared" si="0"/>
        <v>HKD1L6L35Y_Quote</v>
      </c>
      <c r="F39" s="26" t="str">
        <f>_xll.qlSimpleQuote(E39,,RateTickValue,Permanent,Trigger,ObjectOverwrite)</f>
        <v>HKD1L6L35Y_Quote#0001</v>
      </c>
      <c r="G39" s="25" t="str">
        <f>_xll.ohRangeRetrieveError(F39)</f>
        <v/>
      </c>
      <c r="H39" s="24"/>
      <c r="N39" s="195">
        <v>35</v>
      </c>
      <c r="O39" s="247" t="s">
        <v>17</v>
      </c>
      <c r="P39" s="246" t="str">
        <v>1L</v>
      </c>
      <c r="Q39" s="246" t="str">
        <v>6L</v>
      </c>
      <c r="R39" s="244" t="str">
        <f t="shared" si="1"/>
        <v>HKD1L6L35Y</v>
      </c>
      <c r="S39" s="193" t="str">
        <v>HKD1L6L35Y=ICAP</v>
      </c>
      <c r="T39" s="357" t="s">
        <v>188</v>
      </c>
      <c r="U39" s="357" t="s">
        <v>188</v>
      </c>
      <c r="V39" s="357" t="e">
        <f>_xll.qlMidEquivalent(T39,U39)</f>
        <v>#NUM!</v>
      </c>
      <c r="W39" s="197" t="b">
        <f t="shared" si="2"/>
        <v>0</v>
      </c>
      <c r="X39" s="356" t="e">
        <v>#VALUE!</v>
      </c>
      <c r="Y39" s="190"/>
      <c r="Z39" s="355" t="e">
        <v>#VALUE!</v>
      </c>
      <c r="AA39" s="190"/>
      <c r="AB39" s="198" t="str">
        <f t="shared" si="3"/>
        <v>HKD1L6L35Y_Quote</v>
      </c>
      <c r="AC39" s="354" t="e">
        <v>#VALUE!</v>
      </c>
      <c r="AD39" s="196" t="e">
        <f>_xll.qlSimpleQuoteSetValue($AB39,ROUND($AC39/10000,6),Trigger)</f>
        <v>#NUM!</v>
      </c>
      <c r="AE39" s="186"/>
      <c r="AF39" s="232"/>
      <c r="AG39" s="232"/>
      <c r="AH39" s="232"/>
      <c r="AI39" s="232"/>
      <c r="AJ39" s="232"/>
    </row>
    <row r="40" spans="1:36" x14ac:dyDescent="0.2">
      <c r="A40" s="30"/>
      <c r="B40" s="29" t="s">
        <v>16</v>
      </c>
      <c r="C40" s="28" t="str">
        <f t="shared" si="4"/>
        <v>1L</v>
      </c>
      <c r="D40" s="27" t="str">
        <f t="shared" si="5"/>
        <v>6L</v>
      </c>
      <c r="E40" s="26" t="str">
        <f t="shared" si="0"/>
        <v>HKD1L6L40Y_Quote</v>
      </c>
      <c r="F40" s="26" t="str">
        <f>_xll.qlSimpleQuote(E40,,RateTickValue,Permanent,Trigger,ObjectOverwrite)</f>
        <v>HKD1L6L40Y_Quote#0001</v>
      </c>
      <c r="G40" s="25" t="str">
        <f>_xll.ohRangeRetrieveError(F40)</f>
        <v/>
      </c>
      <c r="H40" s="24"/>
      <c r="N40" s="195">
        <v>40</v>
      </c>
      <c r="O40" s="247" t="s">
        <v>16</v>
      </c>
      <c r="P40" s="246" t="str">
        <v>1L</v>
      </c>
      <c r="Q40" s="246" t="str">
        <v>6L</v>
      </c>
      <c r="R40" s="244" t="str">
        <f t="shared" si="1"/>
        <v>HKD1L6L40Y</v>
      </c>
      <c r="S40" s="193" t="str">
        <v>HKD1L6L40Y=ICAP</v>
      </c>
      <c r="T40" s="357" t="s">
        <v>188</v>
      </c>
      <c r="U40" s="357" t="s">
        <v>188</v>
      </c>
      <c r="V40" s="357" t="e">
        <f>_xll.qlMidEquivalent(T40,U40)</f>
        <v>#NUM!</v>
      </c>
      <c r="W40" s="197" t="b">
        <f t="shared" si="2"/>
        <v>0</v>
      </c>
      <c r="X40" s="356" t="e">
        <v>#VALUE!</v>
      </c>
      <c r="Y40" s="190"/>
      <c r="Z40" s="355" t="e">
        <v>#VALUE!</v>
      </c>
      <c r="AA40" s="190"/>
      <c r="AB40" s="198" t="str">
        <f t="shared" si="3"/>
        <v>HKD1L6L40Y_Quote</v>
      </c>
      <c r="AC40" s="354" t="e">
        <v>#VALUE!</v>
      </c>
      <c r="AD40" s="196" t="e">
        <f>_xll.qlSimpleQuoteSetValue($AB40,ROUND($AC40/10000,6),Trigger)</f>
        <v>#NUM!</v>
      </c>
      <c r="AE40" s="186"/>
      <c r="AF40" s="232"/>
      <c r="AG40" s="232"/>
      <c r="AH40" s="232"/>
      <c r="AI40" s="232"/>
      <c r="AJ40" s="232"/>
    </row>
    <row r="41" spans="1:36" x14ac:dyDescent="0.2">
      <c r="A41" s="30"/>
      <c r="B41" s="29" t="s">
        <v>15</v>
      </c>
      <c r="C41" s="28" t="str">
        <f t="shared" si="4"/>
        <v>1L</v>
      </c>
      <c r="D41" s="27" t="str">
        <f t="shared" si="5"/>
        <v>6L</v>
      </c>
      <c r="E41" s="26" t="str">
        <f t="shared" si="0"/>
        <v>HKD1L6L50Y_Quote</v>
      </c>
      <c r="F41" s="26" t="str">
        <f>_xll.qlSimpleQuote(E41,,RateTickValue,Permanent,Trigger,ObjectOverwrite)</f>
        <v>HKD1L6L50Y_Quote#0001</v>
      </c>
      <c r="G41" s="25" t="str">
        <f>_xll.ohRangeRetrieveError(F41)</f>
        <v/>
      </c>
      <c r="H41" s="24"/>
      <c r="N41" s="195">
        <v>50</v>
      </c>
      <c r="O41" s="247" t="s">
        <v>15</v>
      </c>
      <c r="P41" s="246" t="str">
        <v>1L</v>
      </c>
      <c r="Q41" s="246" t="str">
        <v>6L</v>
      </c>
      <c r="R41" s="244" t="str">
        <f t="shared" si="1"/>
        <v>HKD1L6L50Y</v>
      </c>
      <c r="S41" s="193" t="str">
        <v>HKD1L6L50Y=ICAP</v>
      </c>
      <c r="T41" s="357" t="s">
        <v>188</v>
      </c>
      <c r="U41" s="357" t="s">
        <v>188</v>
      </c>
      <c r="V41" s="357" t="e">
        <f>_xll.qlMidEquivalent(T41,U41)</f>
        <v>#NUM!</v>
      </c>
      <c r="W41" s="197" t="b">
        <f t="shared" si="2"/>
        <v>0</v>
      </c>
      <c r="X41" s="356" t="e">
        <v>#VALUE!</v>
      </c>
      <c r="Y41" s="190"/>
      <c r="Z41" s="355" t="e">
        <v>#VALUE!</v>
      </c>
      <c r="AA41" s="190"/>
      <c r="AB41" s="198" t="str">
        <f t="shared" si="3"/>
        <v>HKD1L6L50Y_Quote</v>
      </c>
      <c r="AC41" s="354" t="e">
        <v>#VALUE!</v>
      </c>
      <c r="AD41" s="196" t="e">
        <f>_xll.qlSimpleQuoteSetValue($AB41,ROUND($AC41/10000,6),Trigger)</f>
        <v>#NUM!</v>
      </c>
      <c r="AE41" s="186"/>
      <c r="AF41" s="232"/>
      <c r="AG41" s="232"/>
      <c r="AH41" s="232"/>
      <c r="AI41" s="232"/>
      <c r="AJ41" s="232"/>
    </row>
    <row r="42" spans="1:36" x14ac:dyDescent="0.2">
      <c r="A42" s="30"/>
      <c r="B42" s="29" t="s">
        <v>14</v>
      </c>
      <c r="C42" s="28" t="str">
        <f t="shared" si="4"/>
        <v>1L</v>
      </c>
      <c r="D42" s="27" t="str">
        <f t="shared" si="5"/>
        <v>6L</v>
      </c>
      <c r="E42" s="26" t="str">
        <f t="shared" si="0"/>
        <v>HKD1L6L60Y_Quote</v>
      </c>
      <c r="F42" s="26" t="str">
        <f>_xll.qlSimpleQuote(E42,,RateTickValue,Permanent,Trigger,ObjectOverwrite)</f>
        <v>HKD1L6L60Y_Quote#0001</v>
      </c>
      <c r="G42" s="25" t="str">
        <f>_xll.ohRangeRetrieveError(F42)</f>
        <v/>
      </c>
      <c r="H42" s="24"/>
      <c r="N42" s="195">
        <v>60</v>
      </c>
      <c r="O42" s="247" t="s">
        <v>14</v>
      </c>
      <c r="P42" s="246" t="str">
        <v>1L</v>
      </c>
      <c r="Q42" s="246" t="str">
        <v>6L</v>
      </c>
      <c r="R42" s="244" t="str">
        <f t="shared" si="1"/>
        <v>HKD1L6L60Y</v>
      </c>
      <c r="S42" s="193" t="str">
        <v>HKD1L6L60Y=ICAP</v>
      </c>
      <c r="T42" s="357" t="s">
        <v>188</v>
      </c>
      <c r="U42" s="357" t="s">
        <v>188</v>
      </c>
      <c r="V42" s="357" t="e">
        <f>_xll.qlMidEquivalent(T42,U42)</f>
        <v>#NUM!</v>
      </c>
      <c r="W42" s="197" t="b">
        <f t="shared" si="2"/>
        <v>0</v>
      </c>
      <c r="X42" s="356" t="e">
        <v>#VALUE!</v>
      </c>
      <c r="Y42" s="190"/>
      <c r="Z42" s="355" t="e">
        <v>#VALUE!</v>
      </c>
      <c r="AA42" s="190"/>
      <c r="AB42" s="198" t="str">
        <f t="shared" si="3"/>
        <v>HKD1L6L60Y_Quote</v>
      </c>
      <c r="AC42" s="354" t="e">
        <v>#VALUE!</v>
      </c>
      <c r="AD42" s="196" t="e">
        <f>_xll.qlSimpleQuoteSetValue($AB42,ROUND($AC42/10000,6),Trigger)</f>
        <v>#NUM!</v>
      </c>
      <c r="AE42" s="186"/>
      <c r="AF42" s="232"/>
      <c r="AG42" s="232"/>
      <c r="AH42" s="232"/>
      <c r="AI42" s="232"/>
      <c r="AJ42" s="232"/>
    </row>
    <row r="43" spans="1:36" ht="12" thickBot="1" x14ac:dyDescent="0.25">
      <c r="A43" s="23"/>
      <c r="B43" s="22"/>
      <c r="C43" s="22"/>
      <c r="D43" s="22"/>
      <c r="E43" s="22"/>
      <c r="F43" s="21"/>
      <c r="G43" s="21"/>
      <c r="H43" s="20"/>
      <c r="N43" s="185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3"/>
      <c r="Z43" s="184"/>
      <c r="AA43" s="183"/>
      <c r="AB43" s="184"/>
      <c r="AC43" s="184"/>
      <c r="AD43" s="184"/>
      <c r="AE43" s="332"/>
      <c r="AF43" s="232"/>
      <c r="AG43" s="232"/>
      <c r="AH43" s="232"/>
      <c r="AI43" s="232"/>
      <c r="AJ43" s="232"/>
    </row>
    <row r="44" spans="1:36" x14ac:dyDescent="0.2">
      <c r="N44" s="232"/>
      <c r="O44" s="232"/>
      <c r="P44" s="232"/>
      <c r="Q44" s="232"/>
      <c r="R44" s="232"/>
      <c r="S44" s="232"/>
      <c r="T44" s="232"/>
      <c r="U44" s="232"/>
      <c r="V44" s="232"/>
      <c r="W44" s="232"/>
      <c r="X44" s="232"/>
      <c r="Y44" s="232"/>
      <c r="Z44" s="232"/>
      <c r="AA44" s="232"/>
      <c r="AB44" s="232"/>
      <c r="AC44" s="232"/>
      <c r="AD44" s="232"/>
      <c r="AE44" s="232"/>
      <c r="AF44" s="232"/>
      <c r="AG44" s="232"/>
      <c r="AH44" s="232"/>
      <c r="AI44" s="232"/>
      <c r="AJ44" s="232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workbookViewId="0"/>
  </sheetViews>
  <sheetFormatPr defaultRowHeight="12.75" x14ac:dyDescent="0.2"/>
  <cols>
    <col min="1" max="1" width="4.28515625" style="40" customWidth="1"/>
    <col min="2" max="2" width="6.5703125" style="40" bestFit="1" customWidth="1"/>
    <col min="3" max="4" width="2.7109375" style="40" bestFit="1" customWidth="1"/>
    <col min="5" max="5" width="17.85546875" style="40" bestFit="1" customWidth="1"/>
    <col min="6" max="6" width="19.7109375" style="40" bestFit="1" customWidth="1"/>
    <col min="7" max="7" width="36.28515625" style="40" customWidth="1"/>
    <col min="8" max="8" width="3.7109375" style="40" customWidth="1"/>
    <col min="9" max="12" width="3.5703125" style="40" customWidth="1"/>
    <col min="13" max="16384" width="9.140625" style="40"/>
  </cols>
  <sheetData>
    <row r="1" spans="1:38" x14ac:dyDescent="0.2">
      <c r="N1" s="27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221"/>
      <c r="AD1" s="221"/>
      <c r="AE1" s="220"/>
      <c r="AF1" s="232"/>
      <c r="AG1" s="232"/>
      <c r="AH1" s="232"/>
      <c r="AI1" s="232"/>
      <c r="AJ1" s="232"/>
      <c r="AK1" s="232"/>
      <c r="AL1" s="232"/>
    </row>
    <row r="2" spans="1:38" x14ac:dyDescent="0.2">
      <c r="N2" s="219"/>
      <c r="O2" s="268"/>
      <c r="P2" s="190"/>
      <c r="Q2" s="190"/>
      <c r="R2" s="190"/>
      <c r="S2" s="217" t="s">
        <v>212</v>
      </c>
      <c r="T2" s="190"/>
      <c r="U2" s="190"/>
      <c r="V2" s="190"/>
      <c r="W2" s="190"/>
      <c r="X2" s="268"/>
      <c r="Y2" s="190"/>
      <c r="Z2" s="190"/>
      <c r="AA2" s="190"/>
      <c r="AB2" s="359" t="s">
        <v>195</v>
      </c>
      <c r="AC2" s="217" t="s">
        <v>2</v>
      </c>
      <c r="AD2" s="268"/>
      <c r="AE2" s="214"/>
      <c r="AF2" s="232"/>
      <c r="AG2" s="232"/>
      <c r="AH2" s="232"/>
      <c r="AI2" s="232"/>
      <c r="AJ2" s="232"/>
      <c r="AK2" s="232"/>
      <c r="AL2" s="232"/>
    </row>
    <row r="3" spans="1:38" x14ac:dyDescent="0.2">
      <c r="A3" s="50"/>
      <c r="B3" s="49"/>
      <c r="C3" s="49"/>
      <c r="D3" s="49"/>
      <c r="E3" s="51"/>
      <c r="F3" s="52"/>
      <c r="G3" s="51"/>
      <c r="H3" s="46"/>
      <c r="N3" s="195"/>
      <c r="O3" s="190"/>
      <c r="P3" s="268"/>
      <c r="Q3" s="268"/>
      <c r="R3" s="268"/>
      <c r="S3" s="268" t="e">
        <f>_xll.qlInterpolation(,InterpolationType,_xll.ohFilter(N5:N42,W5:W42),_xll.ohFilter(V5:V42,W5:W42))</f>
        <v>#NUM!</v>
      </c>
      <c r="T3" s="268"/>
      <c r="U3" s="268"/>
      <c r="V3" s="268"/>
      <c r="W3" s="268"/>
      <c r="X3" s="268"/>
      <c r="Y3" s="190"/>
      <c r="Z3" s="190"/>
      <c r="AA3" s="190"/>
      <c r="AB3" s="268"/>
      <c r="AC3" s="268"/>
      <c r="AD3" s="212">
        <f>_xll.ohTrigger(AD5:AD42)</f>
        <v>3</v>
      </c>
      <c r="AE3" s="186"/>
      <c r="AF3" s="232"/>
      <c r="AG3" s="232"/>
      <c r="AH3" s="232"/>
      <c r="AI3" s="232"/>
      <c r="AJ3" s="232"/>
      <c r="AK3" s="232"/>
      <c r="AL3" s="232"/>
    </row>
    <row r="4" spans="1:38" ht="23.25" thickBot="1" x14ac:dyDescent="0.25">
      <c r="A4" s="30"/>
      <c r="B4" s="44" t="s">
        <v>62</v>
      </c>
      <c r="C4" s="45"/>
      <c r="D4" s="44"/>
      <c r="E4" s="43" t="str">
        <f>Currency&amp;"_010_Sw"&amp;$C$6&amp;$D$6&amp;".xml"</f>
        <v>HKD_010_Sw3L6L.xml</v>
      </c>
      <c r="F4" s="42" t="e">
        <f ca="1">IF(Serialize,_xll.ohObjectSave(F5:F42,SerializationPath&amp;E4,FileOverwrite,,Serialize),"---")</f>
        <v>#NUM!</v>
      </c>
      <c r="G4" s="25" t="str">
        <f ca="1">_xll.ohRangeRetrieveError(F4)</f>
        <v>ohObjectSave - ObjectHandler error: attempt to retrieve object with unknown ID 'HKD3L6L6M_Quote'</v>
      </c>
      <c r="H4" s="24"/>
      <c r="N4" s="195"/>
      <c r="O4" s="339"/>
      <c r="P4" s="265"/>
      <c r="Q4" s="265"/>
      <c r="R4" s="265"/>
      <c r="S4" s="211" t="str">
        <f>_xll.RData(S5:S42,T4:U4,,ReutersRtMode,,T5)</f>
        <v>Updated at 16:19:58</v>
      </c>
      <c r="T4" s="264" t="s">
        <v>233</v>
      </c>
      <c r="U4" s="264" t="s">
        <v>208</v>
      </c>
      <c r="V4" s="264" t="s">
        <v>253</v>
      </c>
      <c r="W4" s="264"/>
      <c r="X4" s="206" t="s">
        <v>252</v>
      </c>
      <c r="Y4" s="190"/>
      <c r="Z4" s="209" t="s">
        <v>192</v>
      </c>
      <c r="AA4" s="190"/>
      <c r="AB4" s="208" t="s">
        <v>191</v>
      </c>
      <c r="AC4" s="338" t="s">
        <v>190</v>
      </c>
      <c r="AD4" s="337" t="s">
        <v>189</v>
      </c>
      <c r="AE4" s="186"/>
      <c r="AF4" s="232"/>
      <c r="AG4" s="232"/>
      <c r="AH4" s="232"/>
      <c r="AI4" s="232"/>
      <c r="AJ4" s="232"/>
      <c r="AK4" s="260" t="s">
        <v>254</v>
      </c>
      <c r="AL4" s="232"/>
    </row>
    <row r="5" spans="1:38" x14ac:dyDescent="0.2">
      <c r="A5" s="30"/>
      <c r="B5" s="41" t="s">
        <v>61</v>
      </c>
      <c r="C5" s="28" t="str">
        <f>VLOOKUP(Currency,$J$10:$L$14,2)</f>
        <v>3L</v>
      </c>
      <c r="D5" s="27" t="str">
        <f>VLOOKUP(Currency,$J$10:$L$14,3)</f>
        <v>6L</v>
      </c>
      <c r="E5" s="26" t="str">
        <f t="shared" ref="E5:E42" si="0">IF(ISBLANK(C5),"#",Currency&amp;$C5&amp;$D5&amp;$B5&amp;QuoteSuffix)</f>
        <v>HKD3L6L6M_Quote</v>
      </c>
      <c r="F5" s="26" t="str">
        <f>_xll.qlSimpleQuote(E5,,RateTickValue,Permanent,Trigger,ObjectOverwrite)</f>
        <v>HKD3L6L6M_Quote#0001</v>
      </c>
      <c r="G5" s="25" t="str">
        <f>_xll.ohRangeRetrieveError(F5)</f>
        <v/>
      </c>
      <c r="H5" s="24"/>
      <c r="N5" s="358">
        <v>0.5</v>
      </c>
      <c r="O5" s="247" t="s">
        <v>61</v>
      </c>
      <c r="P5" s="246" t="str">
        <f t="array" ref="P5:P42">VLOOKUP(Currency,Conventions,2)</f>
        <v>3L</v>
      </c>
      <c r="Q5" s="246" t="str">
        <f t="array" ref="Q5:Q42">VLOOKUP(Currency,Conventions,3)</f>
        <v>6L</v>
      </c>
      <c r="R5" s="244" t="str">
        <f t="shared" ref="R5:R42" si="1">Currency&amp;$P5&amp;$Q5&amp;$O5</f>
        <v>HKD3L6L6M</v>
      </c>
      <c r="S5" s="193" t="str">
        <f t="array" ref="S5:S42">Instruments&amp;"="&amp;VLOOKUP(Contributor,ContributorTable,2,FALSE)</f>
        <v>HKD3L6L6M=ICAP</v>
      </c>
      <c r="T5" s="357" t="s">
        <v>188</v>
      </c>
      <c r="U5" s="357" t="s">
        <v>188</v>
      </c>
      <c r="V5" s="357" t="e">
        <f>_xll.qlMidEquivalent(T5,U5)</f>
        <v>#NUM!</v>
      </c>
      <c r="W5" s="197" t="b">
        <f t="shared" ref="W5:W42" si="2">IF(ISNUMBER(V5),TRUE,FALSE)</f>
        <v>0</v>
      </c>
      <c r="X5" s="363" t="e">
        <f t="array" ref="X5:X41">_xll.qlInterpolationInterpolate(S3,N5:N42)</f>
        <v>#VALUE!</v>
      </c>
      <c r="Y5" s="190"/>
      <c r="Z5" s="355" t="e">
        <v>#VALUE!</v>
      </c>
      <c r="AA5" s="190"/>
      <c r="AB5" s="198" t="str">
        <f t="shared" ref="AB5:AB42" si="3">$R5&amp;$AC$2</f>
        <v>HKD3L6L6M_Quote</v>
      </c>
      <c r="AC5" s="354" t="e">
        <f t="array" ref="AC5:AC42">QuoteLive</f>
        <v>#VALUE!</v>
      </c>
      <c r="AD5" s="196" t="e">
        <f>_xll.qlSimpleQuoteSetValue($AB5,ROUND($AC5/10000,6),Trigger)</f>
        <v>#NUM!</v>
      </c>
      <c r="AE5" s="186"/>
      <c r="AF5" s="232"/>
      <c r="AG5" s="324" t="s">
        <v>55</v>
      </c>
      <c r="AH5" s="352" t="s">
        <v>43</v>
      </c>
      <c r="AI5" s="351" t="s">
        <v>46</v>
      </c>
      <c r="AJ5" s="232" t="str">
        <f t="shared" ref="AJ5:AJ42" si="4">O5</f>
        <v>6M</v>
      </c>
      <c r="AK5" s="360" t="e">
        <f>((#REF!-Swap3M!AC5)*100-AC5)/10000</f>
        <v>#REF!</v>
      </c>
      <c r="AL5" s="232"/>
    </row>
    <row r="6" spans="1:38" x14ac:dyDescent="0.2">
      <c r="A6" s="30"/>
      <c r="B6" s="41" t="s">
        <v>60</v>
      </c>
      <c r="C6" s="28" t="str">
        <f t="shared" ref="C6:C42" si="5">C5</f>
        <v>3L</v>
      </c>
      <c r="D6" s="27" t="str">
        <f t="shared" ref="D6:D42" si="6">D5</f>
        <v>6L</v>
      </c>
      <c r="E6" s="26" t="str">
        <f t="shared" si="0"/>
        <v>HKD3L6L1Y_Quote</v>
      </c>
      <c r="F6" s="26" t="str">
        <f>_xll.qlSimpleQuote(E6,,RateTickValue,Permanent,Trigger,ObjectOverwrite)</f>
        <v>HKD3L6L1Y_Quote#0001</v>
      </c>
      <c r="G6" s="25" t="str">
        <f>_xll.ohRangeRetrieveError(F6)</f>
        <v/>
      </c>
      <c r="H6" s="24"/>
      <c r="N6" s="358">
        <v>1</v>
      </c>
      <c r="O6" s="247" t="s">
        <v>60</v>
      </c>
      <c r="P6" s="246" t="str">
        <v>3L</v>
      </c>
      <c r="Q6" s="246" t="str">
        <v>6L</v>
      </c>
      <c r="R6" s="244" t="str">
        <f t="shared" si="1"/>
        <v>HKD3L6L1Y</v>
      </c>
      <c r="S6" s="193" t="str">
        <v>HKD3L6L1Y=ICAP</v>
      </c>
      <c r="T6" s="357" t="s">
        <v>188</v>
      </c>
      <c r="U6" s="357" t="s">
        <v>188</v>
      </c>
      <c r="V6" s="357" t="e">
        <f>_xll.qlMidEquivalent(T6,U6)</f>
        <v>#NUM!</v>
      </c>
      <c r="W6" s="197" t="b">
        <f t="shared" si="2"/>
        <v>0</v>
      </c>
      <c r="X6" s="363" t="e">
        <v>#VALUE!</v>
      </c>
      <c r="Y6" s="190"/>
      <c r="Z6" s="355" t="e">
        <v>#VALUE!</v>
      </c>
      <c r="AA6" s="190"/>
      <c r="AB6" s="198" t="str">
        <f t="shared" si="3"/>
        <v>HKD3L6L1Y_Quote</v>
      </c>
      <c r="AC6" s="354" t="e">
        <v>#VALUE!</v>
      </c>
      <c r="AD6" s="196" t="e">
        <f>_xll.qlSimpleQuoteSetValue($AB6,ROUND($AC6/10000,6),Trigger)</f>
        <v>#NUM!</v>
      </c>
      <c r="AE6" s="186"/>
      <c r="AF6" s="232"/>
      <c r="AG6" s="289" t="s">
        <v>53</v>
      </c>
      <c r="AH6" s="227" t="s">
        <v>63</v>
      </c>
      <c r="AI6" s="288" t="s">
        <v>51</v>
      </c>
      <c r="AJ6" s="232" t="str">
        <f t="shared" si="4"/>
        <v>1Y</v>
      </c>
      <c r="AK6" s="360" t="e">
        <f>((#REF!-Swap3M!AC6)*100-AC6)/10000</f>
        <v>#REF!</v>
      </c>
      <c r="AL6" s="232"/>
    </row>
    <row r="7" spans="1:38" x14ac:dyDescent="0.2">
      <c r="A7" s="30"/>
      <c r="B7" s="41" t="s">
        <v>59</v>
      </c>
      <c r="C7" s="28" t="str">
        <f t="shared" si="5"/>
        <v>3L</v>
      </c>
      <c r="D7" s="27" t="str">
        <f t="shared" si="6"/>
        <v>6L</v>
      </c>
      <c r="E7" s="26" t="str">
        <f t="shared" si="0"/>
        <v>HKD3L6L15M_Quote</v>
      </c>
      <c r="F7" s="26" t="str">
        <f>_xll.qlSimpleQuote(E7,,RateTickValue,Permanent,Trigger,ObjectOverwrite)</f>
        <v>HKD3L6L15M_Quote#0001</v>
      </c>
      <c r="G7" s="25" t="str">
        <f>_xll.ohRangeRetrieveError(F7)</f>
        <v/>
      </c>
      <c r="H7" s="24"/>
      <c r="N7" s="358">
        <v>1.25</v>
      </c>
      <c r="O7" s="247" t="s">
        <v>59</v>
      </c>
      <c r="P7" s="246" t="str">
        <v>3L</v>
      </c>
      <c r="Q7" s="246" t="str">
        <v>6L</v>
      </c>
      <c r="R7" s="244" t="str">
        <f t="shared" si="1"/>
        <v>HKD3L6L15M</v>
      </c>
      <c r="S7" s="193" t="str">
        <v>HKD3L6L15M=ICAP</v>
      </c>
      <c r="T7" s="357" t="s">
        <v>188</v>
      </c>
      <c r="U7" s="357" t="s">
        <v>188</v>
      </c>
      <c r="V7" s="357" t="e">
        <f>_xll.qlMidEquivalent(T7,U7)</f>
        <v>#NUM!</v>
      </c>
      <c r="W7" s="197" t="b">
        <f t="shared" si="2"/>
        <v>0</v>
      </c>
      <c r="X7" s="363" t="e">
        <v>#VALUE!</v>
      </c>
      <c r="Y7" s="190"/>
      <c r="Z7" s="355" t="e">
        <v>#VALUE!</v>
      </c>
      <c r="AA7" s="190"/>
      <c r="AB7" s="198" t="str">
        <f t="shared" si="3"/>
        <v>HKD3L6L15M_Quote</v>
      </c>
      <c r="AC7" s="354" t="e">
        <v>#VALUE!</v>
      </c>
      <c r="AD7" s="196" t="e">
        <f>_xll.qlSimpleQuoteSetValue($AB7,ROUND($AC7/10000,6),Trigger)</f>
        <v>#NUM!</v>
      </c>
      <c r="AE7" s="186"/>
      <c r="AF7" s="232"/>
      <c r="AG7" s="289" t="s">
        <v>49</v>
      </c>
      <c r="AH7" s="227" t="s">
        <v>43</v>
      </c>
      <c r="AI7" s="288" t="s">
        <v>46</v>
      </c>
      <c r="AJ7" s="232" t="str">
        <f t="shared" si="4"/>
        <v>15M</v>
      </c>
      <c r="AK7" s="360" t="e">
        <f>((#REF!-Swap3M!AC7)*100-AC7)/10000</f>
        <v>#REF!</v>
      </c>
      <c r="AL7" s="232"/>
    </row>
    <row r="8" spans="1:38" x14ac:dyDescent="0.2">
      <c r="A8" s="30"/>
      <c r="B8" s="41" t="s">
        <v>58</v>
      </c>
      <c r="C8" s="28" t="str">
        <f t="shared" si="5"/>
        <v>3L</v>
      </c>
      <c r="D8" s="27" t="str">
        <f t="shared" si="6"/>
        <v>6L</v>
      </c>
      <c r="E8" s="26" t="str">
        <f t="shared" si="0"/>
        <v>HKD3L6L18M_Quote</v>
      </c>
      <c r="F8" s="26" t="str">
        <f>_xll.qlSimpleQuote(E8,,RateTickValue,Permanent,Trigger,ObjectOverwrite)</f>
        <v>HKD3L6L18M_Quote#0001</v>
      </c>
      <c r="G8" s="25" t="str">
        <f>_xll.ohRangeRetrieveError(F8)</f>
        <v/>
      </c>
      <c r="H8" s="24"/>
      <c r="N8" s="358">
        <v>1.5</v>
      </c>
      <c r="O8" s="247" t="s">
        <v>58</v>
      </c>
      <c r="P8" s="246" t="str">
        <v>3L</v>
      </c>
      <c r="Q8" s="246" t="str">
        <v>6L</v>
      </c>
      <c r="R8" s="244" t="str">
        <f t="shared" si="1"/>
        <v>HKD3L6L18M</v>
      </c>
      <c r="S8" s="193" t="str">
        <v>HKD3L6L18M=ICAP</v>
      </c>
      <c r="T8" s="357" t="s">
        <v>188</v>
      </c>
      <c r="U8" s="357" t="s">
        <v>188</v>
      </c>
      <c r="V8" s="357" t="e">
        <f>_xll.qlMidEquivalent(T8,U8)</f>
        <v>#NUM!</v>
      </c>
      <c r="W8" s="197" t="b">
        <f t="shared" si="2"/>
        <v>0</v>
      </c>
      <c r="X8" s="363" t="e">
        <v>#VALUE!</v>
      </c>
      <c r="Y8" s="190"/>
      <c r="Z8" s="355" t="e">
        <v>#VALUE!</v>
      </c>
      <c r="AA8" s="190"/>
      <c r="AB8" s="198" t="str">
        <f t="shared" si="3"/>
        <v>HKD3L6L18M_Quote</v>
      </c>
      <c r="AC8" s="354" t="e">
        <v>#VALUE!</v>
      </c>
      <c r="AD8" s="196" t="e">
        <f>_xll.qlSimpleQuoteSetValue($AB8,ROUND($AC8/10000,6),Trigger)</f>
        <v>#NUM!</v>
      </c>
      <c r="AE8" s="186"/>
      <c r="AF8" s="232"/>
      <c r="AG8" s="289" t="s">
        <v>47</v>
      </c>
      <c r="AH8" s="227" t="s">
        <v>43</v>
      </c>
      <c r="AI8" s="288" t="s">
        <v>46</v>
      </c>
      <c r="AJ8" s="232" t="str">
        <f t="shared" si="4"/>
        <v>18M</v>
      </c>
      <c r="AK8" s="360" t="e">
        <f>((#REF!-Swap3M!AC8)*100-AC8)/10000</f>
        <v>#REF!</v>
      </c>
      <c r="AL8" s="232"/>
    </row>
    <row r="9" spans="1:38" ht="13.5" thickBot="1" x14ac:dyDescent="0.25">
      <c r="A9" s="30"/>
      <c r="B9" s="41" t="s">
        <v>57</v>
      </c>
      <c r="C9" s="28" t="str">
        <f t="shared" si="5"/>
        <v>3L</v>
      </c>
      <c r="D9" s="27" t="str">
        <f t="shared" si="6"/>
        <v>6L</v>
      </c>
      <c r="E9" s="26" t="str">
        <f t="shared" si="0"/>
        <v>HKD3L6L21M_Quote</v>
      </c>
      <c r="F9" s="26" t="str">
        <f>_xll.qlSimpleQuote(E9,,RateTickValue,Permanent,Trigger,ObjectOverwrite)</f>
        <v>HKD3L6L21M_Quote#0001</v>
      </c>
      <c r="G9" s="25" t="str">
        <f>_xll.ohRangeRetrieveError(F9)</f>
        <v/>
      </c>
      <c r="H9" s="24"/>
      <c r="N9" s="358">
        <v>1.75</v>
      </c>
      <c r="O9" s="247" t="s">
        <v>57</v>
      </c>
      <c r="P9" s="246" t="str">
        <v>3L</v>
      </c>
      <c r="Q9" s="246" t="str">
        <v>6L</v>
      </c>
      <c r="R9" s="244" t="str">
        <f t="shared" si="1"/>
        <v>HKD3L6L21M</v>
      </c>
      <c r="S9" s="193" t="str">
        <v>HKD3L6L21M=ICAP</v>
      </c>
      <c r="T9" s="357" t="s">
        <v>188</v>
      </c>
      <c r="U9" s="357" t="s">
        <v>188</v>
      </c>
      <c r="V9" s="357" t="e">
        <f>_xll.qlMidEquivalent(T9,U9)</f>
        <v>#NUM!</v>
      </c>
      <c r="W9" s="197" t="b">
        <f t="shared" si="2"/>
        <v>0</v>
      </c>
      <c r="X9" s="363" t="e">
        <v>#VALUE!</v>
      </c>
      <c r="Y9" s="190"/>
      <c r="Z9" s="355" t="e">
        <v>#VALUE!</v>
      </c>
      <c r="AA9" s="190"/>
      <c r="AB9" s="198" t="str">
        <f t="shared" si="3"/>
        <v>HKD3L6L21M_Quote</v>
      </c>
      <c r="AC9" s="354" t="e">
        <v>#VALUE!</v>
      </c>
      <c r="AD9" s="196" t="e">
        <f>_xll.qlSimpleQuoteSetValue($AB9,ROUND($AC9/10000,6),Trigger)</f>
        <v>#NUM!</v>
      </c>
      <c r="AE9" s="186"/>
      <c r="AF9" s="232"/>
      <c r="AG9" s="287" t="s">
        <v>44</v>
      </c>
      <c r="AH9" s="348" t="s">
        <v>46</v>
      </c>
      <c r="AI9" s="286" t="s">
        <v>43</v>
      </c>
      <c r="AJ9" s="232" t="str">
        <f t="shared" si="4"/>
        <v>21M</v>
      </c>
      <c r="AK9" s="360" t="e">
        <f>((#REF!-Swap3M!AC9)*100-AC9)/10000</f>
        <v>#REF!</v>
      </c>
      <c r="AL9" s="232"/>
    </row>
    <row r="10" spans="1:38" x14ac:dyDescent="0.2">
      <c r="A10" s="30"/>
      <c r="B10" s="29" t="s">
        <v>56</v>
      </c>
      <c r="C10" s="28" t="str">
        <f t="shared" si="5"/>
        <v>3L</v>
      </c>
      <c r="D10" s="27" t="str">
        <f t="shared" si="6"/>
        <v>6L</v>
      </c>
      <c r="E10" s="26" t="str">
        <f t="shared" si="0"/>
        <v>HKD3L6L2Y_Quote</v>
      </c>
      <c r="F10" s="26" t="str">
        <f>_xll.qlSimpleQuote(E10,,RateTickValue,Permanent,Trigger,ObjectOverwrite)</f>
        <v>HKD3L6L2Y_Quote#0001</v>
      </c>
      <c r="G10" s="25" t="str">
        <f>_xll.ohRangeRetrieveError(F10)</f>
        <v/>
      </c>
      <c r="H10" s="24"/>
      <c r="J10" s="39" t="s">
        <v>55</v>
      </c>
      <c r="K10" s="38" t="s">
        <v>43</v>
      </c>
      <c r="L10" s="37" t="s">
        <v>46</v>
      </c>
      <c r="N10" s="195">
        <v>2</v>
      </c>
      <c r="O10" s="247" t="s">
        <v>56</v>
      </c>
      <c r="P10" s="246" t="str">
        <v>3L</v>
      </c>
      <c r="Q10" s="246" t="str">
        <v>6L</v>
      </c>
      <c r="R10" s="244" t="str">
        <f t="shared" si="1"/>
        <v>HKD3L6L2Y</v>
      </c>
      <c r="S10" s="193" t="str">
        <v>HKD3L6L2Y=ICAP</v>
      </c>
      <c r="T10" s="357" t="s">
        <v>188</v>
      </c>
      <c r="U10" s="357" t="s">
        <v>188</v>
      </c>
      <c r="V10" s="357" t="e">
        <f>_xll.qlMidEquivalent(T10,U10)</f>
        <v>#NUM!</v>
      </c>
      <c r="W10" s="197" t="b">
        <f t="shared" si="2"/>
        <v>0</v>
      </c>
      <c r="X10" s="363" t="e">
        <v>#VALUE!</v>
      </c>
      <c r="Y10" s="190"/>
      <c r="Z10" s="355" t="e">
        <v>#VALUE!</v>
      </c>
      <c r="AA10" s="190"/>
      <c r="AB10" s="198" t="str">
        <f t="shared" si="3"/>
        <v>HKD3L6L2Y_Quote</v>
      </c>
      <c r="AC10" s="354" t="e">
        <v>#VALUE!</v>
      </c>
      <c r="AD10" s="196" t="e">
        <f>_xll.qlSimpleQuoteSetValue($AB10,ROUND($AC10/10000,6),Trigger)</f>
        <v>#NUM!</v>
      </c>
      <c r="AE10" s="186"/>
      <c r="AF10" s="232"/>
      <c r="AG10" s="232"/>
      <c r="AH10" s="232"/>
      <c r="AI10" s="232"/>
      <c r="AJ10" s="232" t="str">
        <f t="shared" si="4"/>
        <v>2Y</v>
      </c>
      <c r="AK10" s="360" t="e">
        <f>((#REF!-Swap3M!AC10)*100-AC10)/10000</f>
        <v>#REF!</v>
      </c>
      <c r="AL10" s="232"/>
    </row>
    <row r="11" spans="1:38" x14ac:dyDescent="0.2">
      <c r="A11" s="30"/>
      <c r="B11" s="29" t="s">
        <v>54</v>
      </c>
      <c r="C11" s="28" t="str">
        <f t="shared" si="5"/>
        <v>3L</v>
      </c>
      <c r="D11" s="27" t="str">
        <f t="shared" si="6"/>
        <v>6L</v>
      </c>
      <c r="E11" s="26" t="str">
        <f t="shared" si="0"/>
        <v>HKD3L6L3Y_Quote</v>
      </c>
      <c r="F11" s="26" t="str">
        <f>_xll.qlSimpleQuote(E11,,RateTickValue,Permanent,Trigger,ObjectOverwrite)</f>
        <v>HKD3L6L3Y_Quote#0001</v>
      </c>
      <c r="G11" s="25" t="str">
        <f>_xll.ohRangeRetrieveError(F11)</f>
        <v/>
      </c>
      <c r="H11" s="24"/>
      <c r="J11" s="36" t="s">
        <v>53</v>
      </c>
      <c r="K11" s="35" t="s">
        <v>63</v>
      </c>
      <c r="L11" s="34" t="s">
        <v>51</v>
      </c>
      <c r="N11" s="195">
        <v>3</v>
      </c>
      <c r="O11" s="247" t="s">
        <v>54</v>
      </c>
      <c r="P11" s="246" t="str">
        <v>3L</v>
      </c>
      <c r="Q11" s="246" t="str">
        <v>6L</v>
      </c>
      <c r="R11" s="244" t="str">
        <f t="shared" si="1"/>
        <v>HKD3L6L3Y</v>
      </c>
      <c r="S11" s="193" t="str">
        <v>HKD3L6L3Y=ICAP</v>
      </c>
      <c r="T11" s="357" t="s">
        <v>188</v>
      </c>
      <c r="U11" s="357" t="s">
        <v>188</v>
      </c>
      <c r="V11" s="357" t="e">
        <f>_xll.qlMidEquivalent(T11,U11)</f>
        <v>#NUM!</v>
      </c>
      <c r="W11" s="197" t="b">
        <f t="shared" si="2"/>
        <v>0</v>
      </c>
      <c r="X11" s="363" t="e">
        <v>#VALUE!</v>
      </c>
      <c r="Y11" s="190"/>
      <c r="Z11" s="355" t="e">
        <v>#VALUE!</v>
      </c>
      <c r="AA11" s="190"/>
      <c r="AB11" s="198" t="str">
        <f t="shared" si="3"/>
        <v>HKD3L6L3Y_Quote</v>
      </c>
      <c r="AC11" s="354" t="e">
        <v>#VALUE!</v>
      </c>
      <c r="AD11" s="196" t="e">
        <f>_xll.qlSimpleQuoteSetValue($AB11,ROUND($AC11/10000,6),Trigger)</f>
        <v>#NUM!</v>
      </c>
      <c r="AE11" s="186"/>
      <c r="AF11" s="232"/>
      <c r="AG11" s="232"/>
      <c r="AH11" s="232"/>
      <c r="AI11" s="232"/>
      <c r="AJ11" s="232" t="str">
        <f t="shared" si="4"/>
        <v>3Y</v>
      </c>
      <c r="AK11" s="360" t="e">
        <f>((#REF!-Swap3M!AC11)*100-AC11)/10000</f>
        <v>#REF!</v>
      </c>
      <c r="AL11" s="232"/>
    </row>
    <row r="12" spans="1:38" x14ac:dyDescent="0.2">
      <c r="A12" s="30"/>
      <c r="B12" s="29" t="s">
        <v>50</v>
      </c>
      <c r="C12" s="28" t="str">
        <f t="shared" si="5"/>
        <v>3L</v>
      </c>
      <c r="D12" s="27" t="str">
        <f t="shared" si="6"/>
        <v>6L</v>
      </c>
      <c r="E12" s="26" t="str">
        <f t="shared" si="0"/>
        <v>HKD3L6L4Y_Quote</v>
      </c>
      <c r="F12" s="26" t="str">
        <f>_xll.qlSimpleQuote(E12,,RateTickValue,Permanent,Trigger,ObjectOverwrite)</f>
        <v>HKD3L6L4Y_Quote#0001</v>
      </c>
      <c r="G12" s="25" t="str">
        <f>_xll.ohRangeRetrieveError(F12)</f>
        <v/>
      </c>
      <c r="H12" s="24"/>
      <c r="J12" s="36" t="s">
        <v>49</v>
      </c>
      <c r="K12" s="35" t="s">
        <v>43</v>
      </c>
      <c r="L12" s="34" t="s">
        <v>46</v>
      </c>
      <c r="N12" s="195">
        <v>4</v>
      </c>
      <c r="O12" s="247" t="s">
        <v>50</v>
      </c>
      <c r="P12" s="246" t="str">
        <v>3L</v>
      </c>
      <c r="Q12" s="246" t="str">
        <v>6L</v>
      </c>
      <c r="R12" s="244" t="str">
        <f t="shared" si="1"/>
        <v>HKD3L6L4Y</v>
      </c>
      <c r="S12" s="193" t="str">
        <v>HKD3L6L4Y=ICAP</v>
      </c>
      <c r="T12" s="357" t="s">
        <v>188</v>
      </c>
      <c r="U12" s="357" t="s">
        <v>188</v>
      </c>
      <c r="V12" s="357" t="e">
        <f>_xll.qlMidEquivalent(T12,U12)</f>
        <v>#NUM!</v>
      </c>
      <c r="W12" s="197" t="b">
        <f t="shared" si="2"/>
        <v>0</v>
      </c>
      <c r="X12" s="363" t="e">
        <v>#VALUE!</v>
      </c>
      <c r="Y12" s="190"/>
      <c r="Z12" s="355" t="e">
        <v>#VALUE!</v>
      </c>
      <c r="AA12" s="190"/>
      <c r="AB12" s="198" t="str">
        <f t="shared" si="3"/>
        <v>HKD3L6L4Y_Quote</v>
      </c>
      <c r="AC12" s="354" t="e">
        <v>#VALUE!</v>
      </c>
      <c r="AD12" s="196" t="e">
        <f>_xll.qlSimpleQuoteSetValue($AB12,ROUND($AC12/10000,6),Trigger)</f>
        <v>#NUM!</v>
      </c>
      <c r="AE12" s="186"/>
      <c r="AF12" s="232"/>
      <c r="AG12" s="232"/>
      <c r="AH12" s="232"/>
      <c r="AI12" s="232"/>
      <c r="AJ12" s="232" t="str">
        <f t="shared" si="4"/>
        <v>4Y</v>
      </c>
      <c r="AK12" s="360" t="e">
        <f>((#REF!-Swap3M!AC12)*100-AC12)/10000</f>
        <v>#REF!</v>
      </c>
      <c r="AL12" s="232"/>
    </row>
    <row r="13" spans="1:38" x14ac:dyDescent="0.2">
      <c r="A13" s="30"/>
      <c r="B13" s="29" t="s">
        <v>48</v>
      </c>
      <c r="C13" s="28" t="str">
        <f t="shared" si="5"/>
        <v>3L</v>
      </c>
      <c r="D13" s="27" t="str">
        <f t="shared" si="6"/>
        <v>6L</v>
      </c>
      <c r="E13" s="26" t="str">
        <f t="shared" si="0"/>
        <v>HKD3L6L5Y_Quote</v>
      </c>
      <c r="F13" s="26" t="str">
        <f>_xll.qlSimpleQuote(E13,,RateTickValue,Permanent,Trigger,ObjectOverwrite)</f>
        <v>HKD3L6L5Y_Quote#0001</v>
      </c>
      <c r="G13" s="25" t="str">
        <f>_xll.ohRangeRetrieveError(F13)</f>
        <v/>
      </c>
      <c r="H13" s="24"/>
      <c r="J13" s="36" t="s">
        <v>47</v>
      </c>
      <c r="K13" s="35" t="s">
        <v>43</v>
      </c>
      <c r="L13" s="34" t="s">
        <v>46</v>
      </c>
      <c r="N13" s="195">
        <v>5</v>
      </c>
      <c r="O13" s="247" t="s">
        <v>48</v>
      </c>
      <c r="P13" s="246" t="str">
        <v>3L</v>
      </c>
      <c r="Q13" s="246" t="str">
        <v>6L</v>
      </c>
      <c r="R13" s="244" t="str">
        <f t="shared" si="1"/>
        <v>HKD3L6L5Y</v>
      </c>
      <c r="S13" s="193" t="str">
        <v>HKD3L6L5Y=ICAP</v>
      </c>
      <c r="T13" s="357" t="s">
        <v>188</v>
      </c>
      <c r="U13" s="357" t="s">
        <v>188</v>
      </c>
      <c r="V13" s="357" t="e">
        <f>_xll.qlMidEquivalent(T13,U13)</f>
        <v>#NUM!</v>
      </c>
      <c r="W13" s="197" t="b">
        <f t="shared" si="2"/>
        <v>0</v>
      </c>
      <c r="X13" s="363" t="e">
        <v>#VALUE!</v>
      </c>
      <c r="Y13" s="190"/>
      <c r="Z13" s="355" t="e">
        <v>#VALUE!</v>
      </c>
      <c r="AA13" s="190"/>
      <c r="AB13" s="198" t="str">
        <f t="shared" si="3"/>
        <v>HKD3L6L5Y_Quote</v>
      </c>
      <c r="AC13" s="354" t="e">
        <v>#VALUE!</v>
      </c>
      <c r="AD13" s="196" t="e">
        <f>_xll.qlSimpleQuoteSetValue($AB13,ROUND($AC13/10000,6),Trigger)</f>
        <v>#NUM!</v>
      </c>
      <c r="AE13" s="186"/>
      <c r="AF13" s="232"/>
      <c r="AG13" s="232"/>
      <c r="AH13" s="232"/>
      <c r="AI13" s="232"/>
      <c r="AJ13" s="232" t="str">
        <f t="shared" si="4"/>
        <v>5Y</v>
      </c>
      <c r="AK13" s="360" t="e">
        <f>((#REF!-Swap3M!AC13)*100-AC13)/10000</f>
        <v>#REF!</v>
      </c>
      <c r="AL13" s="232"/>
    </row>
    <row r="14" spans="1:38" ht="13.5" thickBot="1" x14ac:dyDescent="0.25">
      <c r="A14" s="30"/>
      <c r="B14" s="29" t="s">
        <v>45</v>
      </c>
      <c r="C14" s="28" t="str">
        <f t="shared" si="5"/>
        <v>3L</v>
      </c>
      <c r="D14" s="27" t="str">
        <f t="shared" si="6"/>
        <v>6L</v>
      </c>
      <c r="E14" s="26" t="str">
        <f t="shared" si="0"/>
        <v>HKD3L6L6Y_Quote</v>
      </c>
      <c r="F14" s="26" t="str">
        <f>_xll.qlSimpleQuote(E14,,RateTickValue,Permanent,Trigger,ObjectOverwrite)</f>
        <v>HKD3L6L6Y_Quote#0001</v>
      </c>
      <c r="G14" s="25" t="str">
        <f>_xll.ohRangeRetrieveError(F14)</f>
        <v/>
      </c>
      <c r="H14" s="24"/>
      <c r="J14" s="33" t="s">
        <v>44</v>
      </c>
      <c r="K14" s="32" t="s">
        <v>46</v>
      </c>
      <c r="L14" s="31" t="s">
        <v>43</v>
      </c>
      <c r="N14" s="195">
        <v>6</v>
      </c>
      <c r="O14" s="247" t="s">
        <v>45</v>
      </c>
      <c r="P14" s="246" t="str">
        <v>3L</v>
      </c>
      <c r="Q14" s="246" t="str">
        <v>6L</v>
      </c>
      <c r="R14" s="244" t="str">
        <f t="shared" si="1"/>
        <v>HKD3L6L6Y</v>
      </c>
      <c r="S14" s="193" t="str">
        <v>HKD3L6L6Y=ICAP</v>
      </c>
      <c r="T14" s="357" t="s">
        <v>188</v>
      </c>
      <c r="U14" s="357" t="s">
        <v>188</v>
      </c>
      <c r="V14" s="357" t="e">
        <f>_xll.qlMidEquivalent(T14,U14)</f>
        <v>#NUM!</v>
      </c>
      <c r="W14" s="197" t="b">
        <f t="shared" si="2"/>
        <v>0</v>
      </c>
      <c r="X14" s="363" t="e">
        <v>#VALUE!</v>
      </c>
      <c r="Y14" s="190"/>
      <c r="Z14" s="355" t="e">
        <v>#VALUE!</v>
      </c>
      <c r="AA14" s="190"/>
      <c r="AB14" s="198" t="str">
        <f t="shared" si="3"/>
        <v>HKD3L6L6Y_Quote</v>
      </c>
      <c r="AC14" s="354" t="e">
        <v>#VALUE!</v>
      </c>
      <c r="AD14" s="196" t="e">
        <f>_xll.qlSimpleQuoteSetValue($AB14,ROUND($AC14/10000,6),Trigger)</f>
        <v>#NUM!</v>
      </c>
      <c r="AE14" s="186"/>
      <c r="AF14" s="232"/>
      <c r="AG14" s="232"/>
      <c r="AH14" s="232"/>
      <c r="AI14" s="232"/>
      <c r="AJ14" s="232" t="str">
        <f t="shared" si="4"/>
        <v>6Y</v>
      </c>
      <c r="AK14" s="360" t="e">
        <f>((#REF!-Swap3M!AC14)*100-AC14)/10000</f>
        <v>#REF!</v>
      </c>
      <c r="AL14" s="232"/>
    </row>
    <row r="15" spans="1:38" x14ac:dyDescent="0.2">
      <c r="A15" s="30"/>
      <c r="B15" s="29" t="s">
        <v>41</v>
      </c>
      <c r="C15" s="28" t="str">
        <f t="shared" si="5"/>
        <v>3L</v>
      </c>
      <c r="D15" s="27" t="str">
        <f t="shared" si="6"/>
        <v>6L</v>
      </c>
      <c r="E15" s="26" t="str">
        <f t="shared" si="0"/>
        <v>HKD3L6L7Y_Quote</v>
      </c>
      <c r="F15" s="26" t="str">
        <f>_xll.qlSimpleQuote(E15,,RateTickValue,Permanent,Trigger,ObjectOverwrite)</f>
        <v>HKD3L6L7Y_Quote#0001</v>
      </c>
      <c r="G15" s="25" t="str">
        <f>_xll.ohRangeRetrieveError(F15)</f>
        <v/>
      </c>
      <c r="H15" s="24"/>
      <c r="N15" s="195">
        <v>7</v>
      </c>
      <c r="O15" s="247" t="s">
        <v>41</v>
      </c>
      <c r="P15" s="246" t="str">
        <v>3L</v>
      </c>
      <c r="Q15" s="246" t="str">
        <v>6L</v>
      </c>
      <c r="R15" s="244" t="str">
        <f t="shared" si="1"/>
        <v>HKD3L6L7Y</v>
      </c>
      <c r="S15" s="193" t="str">
        <v>HKD3L6L7Y=ICAP</v>
      </c>
      <c r="T15" s="357" t="s">
        <v>188</v>
      </c>
      <c r="U15" s="357" t="s">
        <v>188</v>
      </c>
      <c r="V15" s="357" t="e">
        <f>_xll.qlMidEquivalent(T15,U15)</f>
        <v>#NUM!</v>
      </c>
      <c r="W15" s="197" t="b">
        <f t="shared" si="2"/>
        <v>0</v>
      </c>
      <c r="X15" s="363" t="e">
        <v>#VALUE!</v>
      </c>
      <c r="Y15" s="190"/>
      <c r="Z15" s="355" t="e">
        <v>#VALUE!</v>
      </c>
      <c r="AA15" s="190"/>
      <c r="AB15" s="198" t="str">
        <f t="shared" si="3"/>
        <v>HKD3L6L7Y_Quote</v>
      </c>
      <c r="AC15" s="354" t="e">
        <v>#VALUE!</v>
      </c>
      <c r="AD15" s="196" t="e">
        <f>_xll.qlSimpleQuoteSetValue($AB15,ROUND($AC15/10000,6),Trigger)</f>
        <v>#NUM!</v>
      </c>
      <c r="AE15" s="186"/>
      <c r="AF15" s="232"/>
      <c r="AG15" s="232"/>
      <c r="AH15" s="232"/>
      <c r="AI15" s="232"/>
      <c r="AJ15" s="232" t="str">
        <f t="shared" si="4"/>
        <v>7Y</v>
      </c>
      <c r="AK15" s="360" t="e">
        <f>((#REF!-Swap3M!AC15)*100-AC15)/10000</f>
        <v>#REF!</v>
      </c>
      <c r="AL15" s="232"/>
    </row>
    <row r="16" spans="1:38" x14ac:dyDescent="0.2">
      <c r="A16" s="30"/>
      <c r="B16" s="29" t="s">
        <v>40</v>
      </c>
      <c r="C16" s="28" t="str">
        <f t="shared" si="5"/>
        <v>3L</v>
      </c>
      <c r="D16" s="27" t="str">
        <f t="shared" si="6"/>
        <v>6L</v>
      </c>
      <c r="E16" s="26" t="str">
        <f t="shared" si="0"/>
        <v>HKD3L6L8Y_Quote</v>
      </c>
      <c r="F16" s="26" t="str">
        <f>_xll.qlSimpleQuote(E16,,RateTickValue,Permanent,Trigger,ObjectOverwrite)</f>
        <v>HKD3L6L8Y_Quote#0001</v>
      </c>
      <c r="G16" s="25" t="str">
        <f>_xll.ohRangeRetrieveError(F16)</f>
        <v/>
      </c>
      <c r="H16" s="24"/>
      <c r="N16" s="195">
        <v>8</v>
      </c>
      <c r="O16" s="247" t="s">
        <v>40</v>
      </c>
      <c r="P16" s="246" t="str">
        <v>3L</v>
      </c>
      <c r="Q16" s="246" t="str">
        <v>6L</v>
      </c>
      <c r="R16" s="244" t="str">
        <f t="shared" si="1"/>
        <v>HKD3L6L8Y</v>
      </c>
      <c r="S16" s="193" t="str">
        <v>HKD3L6L8Y=ICAP</v>
      </c>
      <c r="T16" s="357" t="s">
        <v>188</v>
      </c>
      <c r="U16" s="357" t="s">
        <v>188</v>
      </c>
      <c r="V16" s="357" t="e">
        <f>_xll.qlMidEquivalent(T16,U16)</f>
        <v>#NUM!</v>
      </c>
      <c r="W16" s="197" t="b">
        <f t="shared" si="2"/>
        <v>0</v>
      </c>
      <c r="X16" s="363" t="e">
        <v>#VALUE!</v>
      </c>
      <c r="Y16" s="190"/>
      <c r="Z16" s="355" t="e">
        <v>#VALUE!</v>
      </c>
      <c r="AA16" s="190"/>
      <c r="AB16" s="198" t="str">
        <f t="shared" si="3"/>
        <v>HKD3L6L8Y_Quote</v>
      </c>
      <c r="AC16" s="354" t="e">
        <v>#VALUE!</v>
      </c>
      <c r="AD16" s="196" t="e">
        <f>_xll.qlSimpleQuoteSetValue($AB16,ROUND($AC16/10000,6),Trigger)</f>
        <v>#NUM!</v>
      </c>
      <c r="AE16" s="186"/>
      <c r="AF16" s="232"/>
      <c r="AG16" s="232"/>
      <c r="AH16" s="232"/>
      <c r="AI16" s="232"/>
      <c r="AJ16" s="232" t="str">
        <f t="shared" si="4"/>
        <v>8Y</v>
      </c>
      <c r="AK16" s="360" t="e">
        <f>((#REF!-Swap3M!AC16)*100-AC16)/10000</f>
        <v>#REF!</v>
      </c>
      <c r="AL16" s="232"/>
    </row>
    <row r="17" spans="1:38" x14ac:dyDescent="0.2">
      <c r="A17" s="30"/>
      <c r="B17" s="29" t="s">
        <v>39</v>
      </c>
      <c r="C17" s="28" t="str">
        <f t="shared" si="5"/>
        <v>3L</v>
      </c>
      <c r="D17" s="27" t="str">
        <f t="shared" si="6"/>
        <v>6L</v>
      </c>
      <c r="E17" s="26" t="str">
        <f t="shared" si="0"/>
        <v>HKD3L6L9Y_Quote</v>
      </c>
      <c r="F17" s="26" t="str">
        <f>_xll.qlSimpleQuote(E17,,RateTickValue,Permanent,Trigger,ObjectOverwrite)</f>
        <v>HKD3L6L9Y_Quote#0001</v>
      </c>
      <c r="G17" s="25" t="str">
        <f>_xll.ohRangeRetrieveError(F17)</f>
        <v/>
      </c>
      <c r="H17" s="24"/>
      <c r="N17" s="195">
        <v>9</v>
      </c>
      <c r="O17" s="247" t="s">
        <v>39</v>
      </c>
      <c r="P17" s="246" t="str">
        <v>3L</v>
      </c>
      <c r="Q17" s="246" t="str">
        <v>6L</v>
      </c>
      <c r="R17" s="244" t="str">
        <f t="shared" si="1"/>
        <v>HKD3L6L9Y</v>
      </c>
      <c r="S17" s="193" t="str">
        <v>HKD3L6L9Y=ICAP</v>
      </c>
      <c r="T17" s="357" t="s">
        <v>188</v>
      </c>
      <c r="U17" s="357" t="s">
        <v>188</v>
      </c>
      <c r="V17" s="357" t="e">
        <f>_xll.qlMidEquivalent(T17,U17)</f>
        <v>#NUM!</v>
      </c>
      <c r="W17" s="197" t="b">
        <f t="shared" si="2"/>
        <v>0</v>
      </c>
      <c r="X17" s="363" t="e">
        <v>#VALUE!</v>
      </c>
      <c r="Y17" s="190"/>
      <c r="Z17" s="355" t="e">
        <v>#VALUE!</v>
      </c>
      <c r="AA17" s="190"/>
      <c r="AB17" s="198" t="str">
        <f t="shared" si="3"/>
        <v>HKD3L6L9Y_Quote</v>
      </c>
      <c r="AC17" s="354" t="e">
        <v>#VALUE!</v>
      </c>
      <c r="AD17" s="196" t="e">
        <f>_xll.qlSimpleQuoteSetValue($AB17,ROUND($AC17/10000,6),Trigger)</f>
        <v>#NUM!</v>
      </c>
      <c r="AE17" s="186"/>
      <c r="AF17" s="232"/>
      <c r="AG17" s="232"/>
      <c r="AH17" s="232"/>
      <c r="AI17" s="232"/>
      <c r="AJ17" s="232" t="str">
        <f t="shared" si="4"/>
        <v>9Y</v>
      </c>
      <c r="AK17" s="360" t="e">
        <f>((#REF!-Swap3M!AC17)*100-AC17)/10000</f>
        <v>#REF!</v>
      </c>
      <c r="AL17" s="232"/>
    </row>
    <row r="18" spans="1:38" x14ac:dyDescent="0.2">
      <c r="A18" s="30"/>
      <c r="B18" s="29" t="s">
        <v>38</v>
      </c>
      <c r="C18" s="28" t="str">
        <f t="shared" si="5"/>
        <v>3L</v>
      </c>
      <c r="D18" s="27" t="str">
        <f t="shared" si="6"/>
        <v>6L</v>
      </c>
      <c r="E18" s="26" t="str">
        <f t="shared" si="0"/>
        <v>HKD3L6L10Y_Quote</v>
      </c>
      <c r="F18" s="26" t="str">
        <f>_xll.qlSimpleQuote(E18,,RateTickValue,Permanent,Trigger,ObjectOverwrite)</f>
        <v>HKD3L6L10Y_Quote#0001</v>
      </c>
      <c r="G18" s="25" t="str">
        <f>_xll.ohRangeRetrieveError(F18)</f>
        <v/>
      </c>
      <c r="H18" s="24"/>
      <c r="N18" s="195">
        <v>10</v>
      </c>
      <c r="O18" s="247" t="s">
        <v>38</v>
      </c>
      <c r="P18" s="246" t="str">
        <v>3L</v>
      </c>
      <c r="Q18" s="246" t="str">
        <v>6L</v>
      </c>
      <c r="R18" s="244" t="str">
        <f t="shared" si="1"/>
        <v>HKD3L6L10Y</v>
      </c>
      <c r="S18" s="193" t="str">
        <v>HKD3L6L10Y=ICAP</v>
      </c>
      <c r="T18" s="357" t="s">
        <v>188</v>
      </c>
      <c r="U18" s="357" t="s">
        <v>188</v>
      </c>
      <c r="V18" s="357" t="e">
        <f>_xll.qlMidEquivalent(T18,U18)</f>
        <v>#NUM!</v>
      </c>
      <c r="W18" s="197" t="b">
        <f t="shared" si="2"/>
        <v>0</v>
      </c>
      <c r="X18" s="363" t="e">
        <v>#VALUE!</v>
      </c>
      <c r="Y18" s="190"/>
      <c r="Z18" s="355" t="e">
        <v>#VALUE!</v>
      </c>
      <c r="AA18" s="190"/>
      <c r="AB18" s="198" t="str">
        <f t="shared" si="3"/>
        <v>HKD3L6L10Y_Quote</v>
      </c>
      <c r="AC18" s="354" t="e">
        <v>#VALUE!</v>
      </c>
      <c r="AD18" s="196" t="e">
        <f>_xll.qlSimpleQuoteSetValue($AB18,ROUND($AC18/10000,6),Trigger)</f>
        <v>#NUM!</v>
      </c>
      <c r="AE18" s="186"/>
      <c r="AF18" s="232"/>
      <c r="AG18" s="232"/>
      <c r="AH18" s="232"/>
      <c r="AI18" s="232"/>
      <c r="AJ18" s="232" t="str">
        <f t="shared" si="4"/>
        <v>10Y</v>
      </c>
      <c r="AK18" s="360" t="e">
        <f>((#REF!-Swap3M!AC18)*100-AC18)/10000</f>
        <v>#REF!</v>
      </c>
      <c r="AL18" s="232"/>
    </row>
    <row r="19" spans="1:38" x14ac:dyDescent="0.2">
      <c r="A19" s="30"/>
      <c r="B19" s="29" t="s">
        <v>37</v>
      </c>
      <c r="C19" s="28" t="str">
        <f t="shared" si="5"/>
        <v>3L</v>
      </c>
      <c r="D19" s="27" t="str">
        <f t="shared" si="6"/>
        <v>6L</v>
      </c>
      <c r="E19" s="26" t="str">
        <f t="shared" si="0"/>
        <v>HKD3L6L11Y_Quote</v>
      </c>
      <c r="F19" s="26" t="str">
        <f>_xll.qlSimpleQuote(E19,,RateTickValue,Permanent,Trigger,ObjectOverwrite)</f>
        <v>HKD3L6L11Y_Quote#0001</v>
      </c>
      <c r="G19" s="25" t="str">
        <f>_xll.ohRangeRetrieveError(F19)</f>
        <v/>
      </c>
      <c r="H19" s="24"/>
      <c r="N19" s="195">
        <v>11</v>
      </c>
      <c r="O19" s="247" t="s">
        <v>37</v>
      </c>
      <c r="P19" s="246" t="str">
        <v>3L</v>
      </c>
      <c r="Q19" s="246" t="str">
        <v>6L</v>
      </c>
      <c r="R19" s="244" t="str">
        <f t="shared" si="1"/>
        <v>HKD3L6L11Y</v>
      </c>
      <c r="S19" s="193" t="str">
        <v>HKD3L6L11Y=ICAP</v>
      </c>
      <c r="T19" s="357" t="s">
        <v>188</v>
      </c>
      <c r="U19" s="357" t="s">
        <v>188</v>
      </c>
      <c r="V19" s="357" t="e">
        <f>_xll.qlMidEquivalent(T19,U19)</f>
        <v>#NUM!</v>
      </c>
      <c r="W19" s="197" t="b">
        <f t="shared" si="2"/>
        <v>0</v>
      </c>
      <c r="X19" s="363" t="e">
        <v>#VALUE!</v>
      </c>
      <c r="Y19" s="190"/>
      <c r="Z19" s="355" t="e">
        <v>#VALUE!</v>
      </c>
      <c r="AA19" s="190"/>
      <c r="AB19" s="198" t="str">
        <f t="shared" si="3"/>
        <v>HKD3L6L11Y_Quote</v>
      </c>
      <c r="AC19" s="354" t="e">
        <v>#VALUE!</v>
      </c>
      <c r="AD19" s="196" t="e">
        <f>_xll.qlSimpleQuoteSetValue($AB19,ROUND($AC19/10000,6),Trigger)</f>
        <v>#NUM!</v>
      </c>
      <c r="AE19" s="186"/>
      <c r="AF19" s="232"/>
      <c r="AG19" s="232"/>
      <c r="AH19" s="232"/>
      <c r="AI19" s="232"/>
      <c r="AJ19" s="232" t="str">
        <f t="shared" si="4"/>
        <v>11Y</v>
      </c>
      <c r="AK19" s="360" t="e">
        <f>((#REF!-Swap3M!AC19)*100-AC19)/10000</f>
        <v>#REF!</v>
      </c>
      <c r="AL19" s="232"/>
    </row>
    <row r="20" spans="1:38" x14ac:dyDescent="0.2">
      <c r="A20" s="30"/>
      <c r="B20" s="29" t="s">
        <v>36</v>
      </c>
      <c r="C20" s="28" t="str">
        <f t="shared" si="5"/>
        <v>3L</v>
      </c>
      <c r="D20" s="27" t="str">
        <f t="shared" si="6"/>
        <v>6L</v>
      </c>
      <c r="E20" s="26" t="str">
        <f t="shared" si="0"/>
        <v>HKD3L6L12Y_Quote</v>
      </c>
      <c r="F20" s="26" t="str">
        <f>_xll.qlSimpleQuote(E20,,RateTickValue,Permanent,Trigger,ObjectOverwrite)</f>
        <v>HKD3L6L12Y_Quote#0001</v>
      </c>
      <c r="G20" s="25" t="str">
        <f>_xll.ohRangeRetrieveError(F20)</f>
        <v/>
      </c>
      <c r="H20" s="24"/>
      <c r="N20" s="195">
        <v>12</v>
      </c>
      <c r="O20" s="247" t="s">
        <v>36</v>
      </c>
      <c r="P20" s="246" t="str">
        <v>3L</v>
      </c>
      <c r="Q20" s="246" t="str">
        <v>6L</v>
      </c>
      <c r="R20" s="244" t="str">
        <f t="shared" si="1"/>
        <v>HKD3L6L12Y</v>
      </c>
      <c r="S20" s="193" t="str">
        <v>HKD3L6L12Y=ICAP</v>
      </c>
      <c r="T20" s="357" t="s">
        <v>188</v>
      </c>
      <c r="U20" s="357" t="s">
        <v>188</v>
      </c>
      <c r="V20" s="357" t="e">
        <f>_xll.qlMidEquivalent(T20,U20)</f>
        <v>#NUM!</v>
      </c>
      <c r="W20" s="197" t="b">
        <f t="shared" si="2"/>
        <v>0</v>
      </c>
      <c r="X20" s="363" t="e">
        <v>#VALUE!</v>
      </c>
      <c r="Y20" s="190"/>
      <c r="Z20" s="355" t="e">
        <v>#VALUE!</v>
      </c>
      <c r="AA20" s="190"/>
      <c r="AB20" s="198" t="str">
        <f t="shared" si="3"/>
        <v>HKD3L6L12Y_Quote</v>
      </c>
      <c r="AC20" s="354" t="e">
        <v>#VALUE!</v>
      </c>
      <c r="AD20" s="196" t="e">
        <f>_xll.qlSimpleQuoteSetValue($AB20,ROUND($AC20/10000,6),Trigger)</f>
        <v>#NUM!</v>
      </c>
      <c r="AE20" s="186"/>
      <c r="AF20" s="232"/>
      <c r="AG20" s="232"/>
      <c r="AH20" s="232"/>
      <c r="AI20" s="232"/>
      <c r="AJ20" s="232" t="str">
        <f t="shared" si="4"/>
        <v>12Y</v>
      </c>
      <c r="AK20" s="360" t="e">
        <f>((#REF!-Swap3M!AC20)*100-AC20)/10000</f>
        <v>#REF!</v>
      </c>
      <c r="AL20" s="232"/>
    </row>
    <row r="21" spans="1:38" x14ac:dyDescent="0.2">
      <c r="A21" s="30"/>
      <c r="B21" s="29" t="s">
        <v>35</v>
      </c>
      <c r="C21" s="28" t="str">
        <f t="shared" si="5"/>
        <v>3L</v>
      </c>
      <c r="D21" s="27" t="str">
        <f t="shared" si="6"/>
        <v>6L</v>
      </c>
      <c r="E21" s="26" t="str">
        <f t="shared" si="0"/>
        <v>HKD3L6L13Y_Quote</v>
      </c>
      <c r="F21" s="26" t="str">
        <f>_xll.qlSimpleQuote(E21,,RateTickValue,Permanent,Trigger,ObjectOverwrite)</f>
        <v>HKD3L6L13Y_Quote#0001</v>
      </c>
      <c r="G21" s="25" t="str">
        <f>_xll.ohRangeRetrieveError(F21)</f>
        <v/>
      </c>
      <c r="H21" s="24"/>
      <c r="N21" s="195">
        <v>13</v>
      </c>
      <c r="O21" s="247" t="s">
        <v>35</v>
      </c>
      <c r="P21" s="246" t="str">
        <v>3L</v>
      </c>
      <c r="Q21" s="246" t="str">
        <v>6L</v>
      </c>
      <c r="R21" s="244" t="str">
        <f t="shared" si="1"/>
        <v>HKD3L6L13Y</v>
      </c>
      <c r="S21" s="193" t="str">
        <v>HKD3L6L13Y=ICAP</v>
      </c>
      <c r="T21" s="357" t="s">
        <v>188</v>
      </c>
      <c r="U21" s="357" t="s">
        <v>188</v>
      </c>
      <c r="V21" s="357" t="e">
        <f>_xll.qlMidEquivalent(T21,U21)</f>
        <v>#NUM!</v>
      </c>
      <c r="W21" s="197" t="b">
        <f t="shared" si="2"/>
        <v>0</v>
      </c>
      <c r="X21" s="363" t="e">
        <v>#VALUE!</v>
      </c>
      <c r="Y21" s="190"/>
      <c r="Z21" s="355" t="e">
        <v>#VALUE!</v>
      </c>
      <c r="AA21" s="190"/>
      <c r="AB21" s="198" t="str">
        <f t="shared" si="3"/>
        <v>HKD3L6L13Y_Quote</v>
      </c>
      <c r="AC21" s="354" t="e">
        <v>#VALUE!</v>
      </c>
      <c r="AD21" s="196" t="e">
        <f>_xll.qlSimpleQuoteSetValue($AB21,ROUND($AC21/10000,6),Trigger)</f>
        <v>#NUM!</v>
      </c>
      <c r="AE21" s="186"/>
      <c r="AF21" s="232"/>
      <c r="AG21" s="232"/>
      <c r="AH21" s="232"/>
      <c r="AI21" s="232"/>
      <c r="AJ21" s="232" t="str">
        <f t="shared" si="4"/>
        <v>13Y</v>
      </c>
      <c r="AK21" s="360" t="e">
        <f>((#REF!-Swap3M!AC21)*100-AC21)/10000</f>
        <v>#REF!</v>
      </c>
      <c r="AL21" s="232"/>
    </row>
    <row r="22" spans="1:38" x14ac:dyDescent="0.2">
      <c r="A22" s="30"/>
      <c r="B22" s="29" t="s">
        <v>34</v>
      </c>
      <c r="C22" s="28" t="str">
        <f t="shared" si="5"/>
        <v>3L</v>
      </c>
      <c r="D22" s="27" t="str">
        <f t="shared" si="6"/>
        <v>6L</v>
      </c>
      <c r="E22" s="26" t="str">
        <f t="shared" si="0"/>
        <v>HKD3L6L14Y_Quote</v>
      </c>
      <c r="F22" s="26" t="str">
        <f>_xll.qlSimpleQuote(E22,,RateTickValue,Permanent,Trigger,ObjectOverwrite)</f>
        <v>HKD3L6L14Y_Quote#0001</v>
      </c>
      <c r="G22" s="25" t="str">
        <f>_xll.ohRangeRetrieveError(F22)</f>
        <v/>
      </c>
      <c r="H22" s="24"/>
      <c r="N22" s="195">
        <v>14</v>
      </c>
      <c r="O22" s="247" t="s">
        <v>34</v>
      </c>
      <c r="P22" s="246" t="str">
        <v>3L</v>
      </c>
      <c r="Q22" s="246" t="str">
        <v>6L</v>
      </c>
      <c r="R22" s="244" t="str">
        <f t="shared" si="1"/>
        <v>HKD3L6L14Y</v>
      </c>
      <c r="S22" s="193" t="str">
        <v>HKD3L6L14Y=ICAP</v>
      </c>
      <c r="T22" s="357" t="s">
        <v>188</v>
      </c>
      <c r="U22" s="357" t="s">
        <v>188</v>
      </c>
      <c r="V22" s="357" t="e">
        <f>_xll.qlMidEquivalent(T22,U22)</f>
        <v>#NUM!</v>
      </c>
      <c r="W22" s="197" t="b">
        <f t="shared" si="2"/>
        <v>0</v>
      </c>
      <c r="X22" s="363" t="e">
        <v>#VALUE!</v>
      </c>
      <c r="Y22" s="190"/>
      <c r="Z22" s="355" t="e">
        <v>#VALUE!</v>
      </c>
      <c r="AA22" s="190"/>
      <c r="AB22" s="198" t="str">
        <f t="shared" si="3"/>
        <v>HKD3L6L14Y_Quote</v>
      </c>
      <c r="AC22" s="354" t="e">
        <v>#VALUE!</v>
      </c>
      <c r="AD22" s="196" t="e">
        <f>_xll.qlSimpleQuoteSetValue($AB22,ROUND($AC22/10000,6),Trigger)</f>
        <v>#NUM!</v>
      </c>
      <c r="AE22" s="186"/>
      <c r="AF22" s="232"/>
      <c r="AG22" s="232"/>
      <c r="AH22" s="232"/>
      <c r="AI22" s="232"/>
      <c r="AJ22" s="232" t="str">
        <f t="shared" si="4"/>
        <v>14Y</v>
      </c>
      <c r="AK22" s="360" t="e">
        <f>((#REF!-Swap3M!AC22)*100-AC22)/10000</f>
        <v>#REF!</v>
      </c>
      <c r="AL22" s="232"/>
    </row>
    <row r="23" spans="1:38" x14ac:dyDescent="0.2">
      <c r="A23" s="30"/>
      <c r="B23" s="29" t="s">
        <v>33</v>
      </c>
      <c r="C23" s="28" t="str">
        <f t="shared" si="5"/>
        <v>3L</v>
      </c>
      <c r="D23" s="27" t="str">
        <f t="shared" si="6"/>
        <v>6L</v>
      </c>
      <c r="E23" s="26" t="str">
        <f t="shared" si="0"/>
        <v>HKD3L6L15Y_Quote</v>
      </c>
      <c r="F23" s="26" t="str">
        <f>_xll.qlSimpleQuote(E23,,RateTickValue,Permanent,Trigger,ObjectOverwrite)</f>
        <v>HKD3L6L15Y_Quote#0001</v>
      </c>
      <c r="G23" s="25" t="str">
        <f>_xll.ohRangeRetrieveError(F23)</f>
        <v/>
      </c>
      <c r="H23" s="24"/>
      <c r="N23" s="195">
        <v>15</v>
      </c>
      <c r="O23" s="247" t="s">
        <v>33</v>
      </c>
      <c r="P23" s="246" t="str">
        <v>3L</v>
      </c>
      <c r="Q23" s="246" t="str">
        <v>6L</v>
      </c>
      <c r="R23" s="244" t="str">
        <f t="shared" si="1"/>
        <v>HKD3L6L15Y</v>
      </c>
      <c r="S23" s="193" t="str">
        <v>HKD3L6L15Y=ICAP</v>
      </c>
      <c r="T23" s="357" t="s">
        <v>188</v>
      </c>
      <c r="U23" s="357" t="s">
        <v>188</v>
      </c>
      <c r="V23" s="357" t="e">
        <f>_xll.qlMidEquivalent(T23,U23)</f>
        <v>#NUM!</v>
      </c>
      <c r="W23" s="197" t="b">
        <f t="shared" si="2"/>
        <v>0</v>
      </c>
      <c r="X23" s="363" t="e">
        <v>#VALUE!</v>
      </c>
      <c r="Y23" s="190"/>
      <c r="Z23" s="355" t="e">
        <v>#VALUE!</v>
      </c>
      <c r="AA23" s="190"/>
      <c r="AB23" s="198" t="str">
        <f t="shared" si="3"/>
        <v>HKD3L6L15Y_Quote</v>
      </c>
      <c r="AC23" s="354" t="e">
        <v>#VALUE!</v>
      </c>
      <c r="AD23" s="196" t="e">
        <f>_xll.qlSimpleQuoteSetValue($AB23,ROUND($AC23/10000,6),Trigger)</f>
        <v>#NUM!</v>
      </c>
      <c r="AE23" s="186"/>
      <c r="AF23" s="232"/>
      <c r="AG23" s="232"/>
      <c r="AH23" s="232"/>
      <c r="AI23" s="232"/>
      <c r="AJ23" s="232" t="str">
        <f t="shared" si="4"/>
        <v>15Y</v>
      </c>
      <c r="AK23" s="360" t="e">
        <f>((#REF!-Swap3M!AC23)*100-AC23)/10000</f>
        <v>#REF!</v>
      </c>
      <c r="AL23" s="232"/>
    </row>
    <row r="24" spans="1:38" x14ac:dyDescent="0.2">
      <c r="A24" s="30"/>
      <c r="B24" s="29" t="s">
        <v>32</v>
      </c>
      <c r="C24" s="28" t="str">
        <f t="shared" si="5"/>
        <v>3L</v>
      </c>
      <c r="D24" s="27" t="str">
        <f t="shared" si="6"/>
        <v>6L</v>
      </c>
      <c r="E24" s="26" t="str">
        <f t="shared" si="0"/>
        <v>HKD3L6L16Y_Quote</v>
      </c>
      <c r="F24" s="26" t="str">
        <f>_xll.qlSimpleQuote(E24,,RateTickValue,Permanent,Trigger,ObjectOverwrite)</f>
        <v>HKD3L6L16Y_Quote#0001</v>
      </c>
      <c r="G24" s="25" t="str">
        <f>_xll.ohRangeRetrieveError(F24)</f>
        <v/>
      </c>
      <c r="H24" s="24"/>
      <c r="N24" s="195">
        <v>16</v>
      </c>
      <c r="O24" s="247" t="s">
        <v>32</v>
      </c>
      <c r="P24" s="246" t="str">
        <v>3L</v>
      </c>
      <c r="Q24" s="246" t="str">
        <v>6L</v>
      </c>
      <c r="R24" s="244" t="str">
        <f t="shared" si="1"/>
        <v>HKD3L6L16Y</v>
      </c>
      <c r="S24" s="193" t="str">
        <v>HKD3L6L16Y=ICAP</v>
      </c>
      <c r="T24" s="357" t="s">
        <v>188</v>
      </c>
      <c r="U24" s="357" t="s">
        <v>188</v>
      </c>
      <c r="V24" s="357" t="e">
        <f>_xll.qlMidEquivalent(T24,U24)</f>
        <v>#NUM!</v>
      </c>
      <c r="W24" s="197" t="b">
        <f t="shared" si="2"/>
        <v>0</v>
      </c>
      <c r="X24" s="363" t="e">
        <v>#VALUE!</v>
      </c>
      <c r="Y24" s="190"/>
      <c r="Z24" s="355" t="e">
        <v>#VALUE!</v>
      </c>
      <c r="AA24" s="190"/>
      <c r="AB24" s="198" t="str">
        <f t="shared" si="3"/>
        <v>HKD3L6L16Y_Quote</v>
      </c>
      <c r="AC24" s="354" t="e">
        <v>#VALUE!</v>
      </c>
      <c r="AD24" s="196" t="e">
        <f>_xll.qlSimpleQuoteSetValue($AB24,ROUND($AC24/10000,6),Trigger)</f>
        <v>#NUM!</v>
      </c>
      <c r="AE24" s="186"/>
      <c r="AF24" s="232"/>
      <c r="AG24" s="232"/>
      <c r="AH24" s="232"/>
      <c r="AI24" s="232"/>
      <c r="AJ24" s="232" t="str">
        <f t="shared" si="4"/>
        <v>16Y</v>
      </c>
      <c r="AK24" s="360" t="e">
        <f>((#REF!-Swap3M!AC24)*100-AC24)/10000</f>
        <v>#REF!</v>
      </c>
      <c r="AL24" s="232"/>
    </row>
    <row r="25" spans="1:38" x14ac:dyDescent="0.2">
      <c r="A25" s="30"/>
      <c r="B25" s="29" t="s">
        <v>31</v>
      </c>
      <c r="C25" s="28" t="str">
        <f t="shared" si="5"/>
        <v>3L</v>
      </c>
      <c r="D25" s="27" t="str">
        <f t="shared" si="6"/>
        <v>6L</v>
      </c>
      <c r="E25" s="26" t="str">
        <f t="shared" si="0"/>
        <v>HKD3L6L17Y_Quote</v>
      </c>
      <c r="F25" s="26" t="str">
        <f>_xll.qlSimpleQuote(E25,,RateTickValue,Permanent,Trigger,ObjectOverwrite)</f>
        <v>HKD3L6L17Y_Quote#0001</v>
      </c>
      <c r="G25" s="25" t="str">
        <f>_xll.ohRangeRetrieveError(F25)</f>
        <v/>
      </c>
      <c r="H25" s="24"/>
      <c r="N25" s="195">
        <v>17</v>
      </c>
      <c r="O25" s="247" t="s">
        <v>31</v>
      </c>
      <c r="P25" s="246" t="str">
        <v>3L</v>
      </c>
      <c r="Q25" s="246" t="str">
        <v>6L</v>
      </c>
      <c r="R25" s="244" t="str">
        <f t="shared" si="1"/>
        <v>HKD3L6L17Y</v>
      </c>
      <c r="S25" s="193" t="str">
        <v>HKD3L6L17Y=ICAP</v>
      </c>
      <c r="T25" s="357" t="s">
        <v>188</v>
      </c>
      <c r="U25" s="357" t="s">
        <v>188</v>
      </c>
      <c r="V25" s="357" t="e">
        <f>_xll.qlMidEquivalent(T25,U25)</f>
        <v>#NUM!</v>
      </c>
      <c r="W25" s="197" t="b">
        <f t="shared" si="2"/>
        <v>0</v>
      </c>
      <c r="X25" s="363" t="e">
        <v>#VALUE!</v>
      </c>
      <c r="Y25" s="190"/>
      <c r="Z25" s="355" t="e">
        <v>#VALUE!</v>
      </c>
      <c r="AA25" s="190"/>
      <c r="AB25" s="198" t="str">
        <f t="shared" si="3"/>
        <v>HKD3L6L17Y_Quote</v>
      </c>
      <c r="AC25" s="354" t="e">
        <v>#VALUE!</v>
      </c>
      <c r="AD25" s="196" t="e">
        <f>_xll.qlSimpleQuoteSetValue($AB25,ROUND($AC25/10000,6),Trigger)</f>
        <v>#NUM!</v>
      </c>
      <c r="AE25" s="186"/>
      <c r="AF25" s="232"/>
      <c r="AG25" s="232"/>
      <c r="AH25" s="232"/>
      <c r="AI25" s="232"/>
      <c r="AJ25" s="232" t="str">
        <f t="shared" si="4"/>
        <v>17Y</v>
      </c>
      <c r="AK25" s="360" t="e">
        <f>((#REF!-Swap3M!AC25)*100-AC25)/10000</f>
        <v>#REF!</v>
      </c>
      <c r="AL25" s="232"/>
    </row>
    <row r="26" spans="1:38" x14ac:dyDescent="0.2">
      <c r="A26" s="30"/>
      <c r="B26" s="29" t="s">
        <v>30</v>
      </c>
      <c r="C26" s="28" t="str">
        <f t="shared" si="5"/>
        <v>3L</v>
      </c>
      <c r="D26" s="27" t="str">
        <f t="shared" si="6"/>
        <v>6L</v>
      </c>
      <c r="E26" s="26" t="str">
        <f t="shared" si="0"/>
        <v>HKD3L6L18Y_Quote</v>
      </c>
      <c r="F26" s="26" t="str">
        <f>_xll.qlSimpleQuote(E26,,RateTickValue,Permanent,Trigger,ObjectOverwrite)</f>
        <v>HKD3L6L18Y_Quote#0001</v>
      </c>
      <c r="G26" s="25" t="str">
        <f>_xll.ohRangeRetrieveError(F26)</f>
        <v/>
      </c>
      <c r="H26" s="24"/>
      <c r="N26" s="195">
        <v>18</v>
      </c>
      <c r="O26" s="247" t="s">
        <v>30</v>
      </c>
      <c r="P26" s="246" t="str">
        <v>3L</v>
      </c>
      <c r="Q26" s="246" t="str">
        <v>6L</v>
      </c>
      <c r="R26" s="244" t="str">
        <f t="shared" si="1"/>
        <v>HKD3L6L18Y</v>
      </c>
      <c r="S26" s="193" t="str">
        <v>HKD3L6L18Y=ICAP</v>
      </c>
      <c r="T26" s="357" t="s">
        <v>188</v>
      </c>
      <c r="U26" s="357" t="s">
        <v>188</v>
      </c>
      <c r="V26" s="357" t="e">
        <f>_xll.qlMidEquivalent(T26,U26)</f>
        <v>#NUM!</v>
      </c>
      <c r="W26" s="197" t="b">
        <f t="shared" si="2"/>
        <v>0</v>
      </c>
      <c r="X26" s="363" t="e">
        <v>#VALUE!</v>
      </c>
      <c r="Y26" s="190"/>
      <c r="Z26" s="355" t="e">
        <v>#VALUE!</v>
      </c>
      <c r="AA26" s="190"/>
      <c r="AB26" s="198" t="str">
        <f t="shared" si="3"/>
        <v>HKD3L6L18Y_Quote</v>
      </c>
      <c r="AC26" s="354" t="e">
        <v>#VALUE!</v>
      </c>
      <c r="AD26" s="196" t="e">
        <f>_xll.qlSimpleQuoteSetValue($AB26,ROUND($AC26/10000,6),Trigger)</f>
        <v>#NUM!</v>
      </c>
      <c r="AE26" s="186"/>
      <c r="AF26" s="232"/>
      <c r="AG26" s="232"/>
      <c r="AH26" s="232"/>
      <c r="AI26" s="232"/>
      <c r="AJ26" s="232" t="str">
        <f t="shared" si="4"/>
        <v>18Y</v>
      </c>
      <c r="AK26" s="360" t="e">
        <f>((#REF!-Swap3M!AC26)*100-AC26)/10000</f>
        <v>#REF!</v>
      </c>
      <c r="AL26" s="232"/>
    </row>
    <row r="27" spans="1:38" x14ac:dyDescent="0.2">
      <c r="A27" s="30"/>
      <c r="B27" s="29" t="s">
        <v>29</v>
      </c>
      <c r="C27" s="28" t="str">
        <f t="shared" si="5"/>
        <v>3L</v>
      </c>
      <c r="D27" s="27" t="str">
        <f t="shared" si="6"/>
        <v>6L</v>
      </c>
      <c r="E27" s="26" t="str">
        <f t="shared" si="0"/>
        <v>HKD3L6L19Y_Quote</v>
      </c>
      <c r="F27" s="26" t="str">
        <f>_xll.qlSimpleQuote(E27,,RateTickValue,Permanent,Trigger,ObjectOverwrite)</f>
        <v>HKD3L6L19Y_Quote#0001</v>
      </c>
      <c r="G27" s="25" t="str">
        <f>_xll.ohRangeRetrieveError(F27)</f>
        <v/>
      </c>
      <c r="H27" s="24"/>
      <c r="N27" s="195">
        <v>19</v>
      </c>
      <c r="O27" s="247" t="s">
        <v>29</v>
      </c>
      <c r="P27" s="246" t="str">
        <v>3L</v>
      </c>
      <c r="Q27" s="246" t="str">
        <v>6L</v>
      </c>
      <c r="R27" s="244" t="str">
        <f t="shared" si="1"/>
        <v>HKD3L6L19Y</v>
      </c>
      <c r="S27" s="193" t="str">
        <v>HKD3L6L19Y=ICAP</v>
      </c>
      <c r="T27" s="357" t="s">
        <v>188</v>
      </c>
      <c r="U27" s="357" t="s">
        <v>188</v>
      </c>
      <c r="V27" s="357" t="e">
        <f>_xll.qlMidEquivalent(T27,U27)</f>
        <v>#NUM!</v>
      </c>
      <c r="W27" s="197" t="b">
        <f t="shared" si="2"/>
        <v>0</v>
      </c>
      <c r="X27" s="363" t="e">
        <v>#VALUE!</v>
      </c>
      <c r="Y27" s="190"/>
      <c r="Z27" s="355" t="e">
        <v>#VALUE!</v>
      </c>
      <c r="AA27" s="190"/>
      <c r="AB27" s="198" t="str">
        <f t="shared" si="3"/>
        <v>HKD3L6L19Y_Quote</v>
      </c>
      <c r="AC27" s="354" t="e">
        <v>#VALUE!</v>
      </c>
      <c r="AD27" s="196" t="e">
        <f>_xll.qlSimpleQuoteSetValue($AB27,ROUND($AC27/10000,6),Trigger)</f>
        <v>#NUM!</v>
      </c>
      <c r="AE27" s="186"/>
      <c r="AF27" s="232"/>
      <c r="AG27" s="232"/>
      <c r="AH27" s="232"/>
      <c r="AI27" s="232"/>
      <c r="AJ27" s="232" t="str">
        <f t="shared" si="4"/>
        <v>19Y</v>
      </c>
      <c r="AK27" s="360" t="e">
        <f>((#REF!-Swap3M!AC27)*100-AC27)/10000</f>
        <v>#REF!</v>
      </c>
      <c r="AL27" s="232"/>
    </row>
    <row r="28" spans="1:38" x14ac:dyDescent="0.2">
      <c r="A28" s="30"/>
      <c r="B28" s="29" t="s">
        <v>28</v>
      </c>
      <c r="C28" s="28" t="str">
        <f t="shared" si="5"/>
        <v>3L</v>
      </c>
      <c r="D28" s="27" t="str">
        <f t="shared" si="6"/>
        <v>6L</v>
      </c>
      <c r="E28" s="26" t="str">
        <f t="shared" si="0"/>
        <v>HKD3L6L20Y_Quote</v>
      </c>
      <c r="F28" s="26" t="str">
        <f>_xll.qlSimpleQuote(E28,,RateTickValue,Permanent,Trigger,ObjectOverwrite)</f>
        <v>HKD3L6L20Y_Quote#0001</v>
      </c>
      <c r="G28" s="25" t="str">
        <f>_xll.ohRangeRetrieveError(F28)</f>
        <v/>
      </c>
      <c r="H28" s="24"/>
      <c r="N28" s="195">
        <v>20</v>
      </c>
      <c r="O28" s="247" t="s">
        <v>28</v>
      </c>
      <c r="P28" s="246" t="str">
        <v>3L</v>
      </c>
      <c r="Q28" s="246" t="str">
        <v>6L</v>
      </c>
      <c r="R28" s="244" t="str">
        <f t="shared" si="1"/>
        <v>HKD3L6L20Y</v>
      </c>
      <c r="S28" s="193" t="str">
        <v>HKD3L6L20Y=ICAP</v>
      </c>
      <c r="T28" s="357" t="s">
        <v>188</v>
      </c>
      <c r="U28" s="357" t="s">
        <v>188</v>
      </c>
      <c r="V28" s="357" t="e">
        <f>_xll.qlMidEquivalent(T28,U28)</f>
        <v>#NUM!</v>
      </c>
      <c r="W28" s="197" t="b">
        <f t="shared" si="2"/>
        <v>0</v>
      </c>
      <c r="X28" s="363" t="e">
        <v>#VALUE!</v>
      </c>
      <c r="Y28" s="190"/>
      <c r="Z28" s="355" t="e">
        <v>#VALUE!</v>
      </c>
      <c r="AA28" s="190"/>
      <c r="AB28" s="198" t="str">
        <f t="shared" si="3"/>
        <v>HKD3L6L20Y_Quote</v>
      </c>
      <c r="AC28" s="354" t="e">
        <v>#VALUE!</v>
      </c>
      <c r="AD28" s="196" t="e">
        <f>_xll.qlSimpleQuoteSetValue($AB28,ROUND($AC28/10000,6),Trigger)</f>
        <v>#NUM!</v>
      </c>
      <c r="AE28" s="186"/>
      <c r="AF28" s="232"/>
      <c r="AG28" s="232"/>
      <c r="AH28" s="232"/>
      <c r="AI28" s="232"/>
      <c r="AJ28" s="232" t="str">
        <f t="shared" si="4"/>
        <v>20Y</v>
      </c>
      <c r="AK28" s="360" t="e">
        <f>((#REF!-Swap3M!AC28)*100-AC28)/10000</f>
        <v>#REF!</v>
      </c>
      <c r="AL28" s="232"/>
    </row>
    <row r="29" spans="1:38" x14ac:dyDescent="0.2">
      <c r="A29" s="30"/>
      <c r="B29" s="29" t="s">
        <v>27</v>
      </c>
      <c r="C29" s="28" t="str">
        <f t="shared" si="5"/>
        <v>3L</v>
      </c>
      <c r="D29" s="27" t="str">
        <f t="shared" si="6"/>
        <v>6L</v>
      </c>
      <c r="E29" s="26" t="str">
        <f t="shared" si="0"/>
        <v>HKD3L6L21Y_Quote</v>
      </c>
      <c r="F29" s="26" t="str">
        <f>_xll.qlSimpleQuote(E29,,RateTickValue,Permanent,Trigger,ObjectOverwrite)</f>
        <v>HKD3L6L21Y_Quote#0001</v>
      </c>
      <c r="G29" s="25" t="str">
        <f>_xll.ohRangeRetrieveError(F29)</f>
        <v/>
      </c>
      <c r="H29" s="24"/>
      <c r="N29" s="195">
        <v>21</v>
      </c>
      <c r="O29" s="247" t="s">
        <v>27</v>
      </c>
      <c r="P29" s="246" t="str">
        <v>3L</v>
      </c>
      <c r="Q29" s="246" t="str">
        <v>6L</v>
      </c>
      <c r="R29" s="244" t="str">
        <f t="shared" si="1"/>
        <v>HKD3L6L21Y</v>
      </c>
      <c r="S29" s="193" t="str">
        <v>HKD3L6L21Y=ICAP</v>
      </c>
      <c r="T29" s="357" t="s">
        <v>188</v>
      </c>
      <c r="U29" s="357" t="s">
        <v>188</v>
      </c>
      <c r="V29" s="357" t="e">
        <f>_xll.qlMidEquivalent(T29,U29)</f>
        <v>#NUM!</v>
      </c>
      <c r="W29" s="197" t="b">
        <f t="shared" si="2"/>
        <v>0</v>
      </c>
      <c r="X29" s="363" t="e">
        <v>#VALUE!</v>
      </c>
      <c r="Y29" s="190"/>
      <c r="Z29" s="355" t="e">
        <v>#VALUE!</v>
      </c>
      <c r="AA29" s="190"/>
      <c r="AB29" s="198" t="str">
        <f t="shared" si="3"/>
        <v>HKD3L6L21Y_Quote</v>
      </c>
      <c r="AC29" s="354" t="e">
        <v>#VALUE!</v>
      </c>
      <c r="AD29" s="196" t="e">
        <f>_xll.qlSimpleQuoteSetValue($AB29,ROUND($AC29/10000,6),Trigger)</f>
        <v>#NUM!</v>
      </c>
      <c r="AE29" s="186"/>
      <c r="AF29" s="232"/>
      <c r="AG29" s="232"/>
      <c r="AH29" s="232"/>
      <c r="AI29" s="232"/>
      <c r="AJ29" s="232" t="str">
        <f t="shared" si="4"/>
        <v>21Y</v>
      </c>
      <c r="AK29" s="360" t="e">
        <f>((#REF!-Swap3M!AC29)*100-AC29)/10000</f>
        <v>#REF!</v>
      </c>
      <c r="AL29" s="232"/>
    </row>
    <row r="30" spans="1:38" x14ac:dyDescent="0.2">
      <c r="A30" s="30"/>
      <c r="B30" s="29" t="s">
        <v>26</v>
      </c>
      <c r="C30" s="28" t="str">
        <f t="shared" si="5"/>
        <v>3L</v>
      </c>
      <c r="D30" s="27" t="str">
        <f t="shared" si="6"/>
        <v>6L</v>
      </c>
      <c r="E30" s="26" t="str">
        <f t="shared" si="0"/>
        <v>HKD3L6L22Y_Quote</v>
      </c>
      <c r="F30" s="26" t="str">
        <f>_xll.qlSimpleQuote(E30,,RateTickValue,Permanent,Trigger,ObjectOverwrite)</f>
        <v>HKD3L6L22Y_Quote#0001</v>
      </c>
      <c r="G30" s="25" t="str">
        <f>_xll.ohRangeRetrieveError(F30)</f>
        <v/>
      </c>
      <c r="H30" s="24"/>
      <c r="N30" s="195">
        <v>22</v>
      </c>
      <c r="O30" s="247" t="s">
        <v>26</v>
      </c>
      <c r="P30" s="246" t="str">
        <v>3L</v>
      </c>
      <c r="Q30" s="246" t="str">
        <v>6L</v>
      </c>
      <c r="R30" s="244" t="str">
        <f t="shared" si="1"/>
        <v>HKD3L6L22Y</v>
      </c>
      <c r="S30" s="193" t="str">
        <v>HKD3L6L22Y=ICAP</v>
      </c>
      <c r="T30" s="357" t="s">
        <v>188</v>
      </c>
      <c r="U30" s="357" t="s">
        <v>188</v>
      </c>
      <c r="V30" s="357" t="e">
        <f>_xll.qlMidEquivalent(T30,U30)</f>
        <v>#NUM!</v>
      </c>
      <c r="W30" s="197" t="b">
        <f t="shared" si="2"/>
        <v>0</v>
      </c>
      <c r="X30" s="363" t="e">
        <v>#VALUE!</v>
      </c>
      <c r="Y30" s="190"/>
      <c r="Z30" s="355" t="e">
        <v>#VALUE!</v>
      </c>
      <c r="AA30" s="190"/>
      <c r="AB30" s="198" t="str">
        <f t="shared" si="3"/>
        <v>HKD3L6L22Y_Quote</v>
      </c>
      <c r="AC30" s="354" t="e">
        <v>#VALUE!</v>
      </c>
      <c r="AD30" s="196" t="e">
        <f>_xll.qlSimpleQuoteSetValue($AB30,ROUND($AC30/10000,6),Trigger)</f>
        <v>#NUM!</v>
      </c>
      <c r="AE30" s="186"/>
      <c r="AF30" s="232"/>
      <c r="AG30" s="232"/>
      <c r="AH30" s="232"/>
      <c r="AI30" s="232"/>
      <c r="AJ30" s="232" t="str">
        <f t="shared" si="4"/>
        <v>22Y</v>
      </c>
      <c r="AK30" s="360" t="e">
        <f>((#REF!-Swap3M!AC30)*100-AC30)/10000</f>
        <v>#REF!</v>
      </c>
      <c r="AL30" s="232"/>
    </row>
    <row r="31" spans="1:38" x14ac:dyDescent="0.2">
      <c r="A31" s="30"/>
      <c r="B31" s="29" t="s">
        <v>25</v>
      </c>
      <c r="C31" s="28" t="str">
        <f t="shared" si="5"/>
        <v>3L</v>
      </c>
      <c r="D31" s="27" t="str">
        <f t="shared" si="6"/>
        <v>6L</v>
      </c>
      <c r="E31" s="26" t="str">
        <f t="shared" si="0"/>
        <v>HKD3L6L23Y_Quote</v>
      </c>
      <c r="F31" s="26" t="str">
        <f>_xll.qlSimpleQuote(E31,,RateTickValue,Permanent,Trigger,ObjectOverwrite)</f>
        <v>HKD3L6L23Y_Quote#0001</v>
      </c>
      <c r="G31" s="25" t="str">
        <f>_xll.ohRangeRetrieveError(F31)</f>
        <v/>
      </c>
      <c r="H31" s="24"/>
      <c r="N31" s="195">
        <v>23</v>
      </c>
      <c r="O31" s="247" t="s">
        <v>25</v>
      </c>
      <c r="P31" s="246" t="str">
        <v>3L</v>
      </c>
      <c r="Q31" s="246" t="str">
        <v>6L</v>
      </c>
      <c r="R31" s="244" t="str">
        <f t="shared" si="1"/>
        <v>HKD3L6L23Y</v>
      </c>
      <c r="S31" s="193" t="str">
        <v>HKD3L6L23Y=ICAP</v>
      </c>
      <c r="T31" s="357" t="s">
        <v>188</v>
      </c>
      <c r="U31" s="357" t="s">
        <v>188</v>
      </c>
      <c r="V31" s="357" t="e">
        <f>_xll.qlMidEquivalent(T31,U31)</f>
        <v>#NUM!</v>
      </c>
      <c r="W31" s="197" t="b">
        <f t="shared" si="2"/>
        <v>0</v>
      </c>
      <c r="X31" s="363" t="e">
        <v>#VALUE!</v>
      </c>
      <c r="Y31" s="190"/>
      <c r="Z31" s="355" t="e">
        <v>#VALUE!</v>
      </c>
      <c r="AA31" s="190"/>
      <c r="AB31" s="198" t="str">
        <f t="shared" si="3"/>
        <v>HKD3L6L23Y_Quote</v>
      </c>
      <c r="AC31" s="354" t="e">
        <v>#VALUE!</v>
      </c>
      <c r="AD31" s="196" t="e">
        <f>_xll.qlSimpleQuoteSetValue($AB31,ROUND($AC31/10000,6),Trigger)</f>
        <v>#NUM!</v>
      </c>
      <c r="AE31" s="186"/>
      <c r="AF31" s="232"/>
      <c r="AG31" s="232"/>
      <c r="AH31" s="232"/>
      <c r="AI31" s="232"/>
      <c r="AJ31" s="232" t="str">
        <f t="shared" si="4"/>
        <v>23Y</v>
      </c>
      <c r="AK31" s="360" t="e">
        <f>((#REF!-Swap3M!AC31)*100-AC31)/10000</f>
        <v>#REF!</v>
      </c>
      <c r="AL31" s="232"/>
    </row>
    <row r="32" spans="1:38" x14ac:dyDescent="0.2">
      <c r="A32" s="30"/>
      <c r="B32" s="29" t="s">
        <v>24</v>
      </c>
      <c r="C32" s="28" t="str">
        <f t="shared" si="5"/>
        <v>3L</v>
      </c>
      <c r="D32" s="27" t="str">
        <f t="shared" si="6"/>
        <v>6L</v>
      </c>
      <c r="E32" s="26" t="str">
        <f t="shared" si="0"/>
        <v>HKD3L6L24Y_Quote</v>
      </c>
      <c r="F32" s="26" t="str">
        <f>_xll.qlSimpleQuote(E32,,RateTickValue,Permanent,Trigger,ObjectOverwrite)</f>
        <v>HKD3L6L24Y_Quote#0001</v>
      </c>
      <c r="G32" s="25" t="str">
        <f>_xll.ohRangeRetrieveError(F32)</f>
        <v/>
      </c>
      <c r="H32" s="24"/>
      <c r="N32" s="195">
        <v>24</v>
      </c>
      <c r="O32" s="247" t="s">
        <v>24</v>
      </c>
      <c r="P32" s="246" t="str">
        <v>3L</v>
      </c>
      <c r="Q32" s="246" t="str">
        <v>6L</v>
      </c>
      <c r="R32" s="244" t="str">
        <f t="shared" si="1"/>
        <v>HKD3L6L24Y</v>
      </c>
      <c r="S32" s="193" t="str">
        <v>HKD3L6L24Y=ICAP</v>
      </c>
      <c r="T32" s="357" t="s">
        <v>188</v>
      </c>
      <c r="U32" s="357" t="s">
        <v>188</v>
      </c>
      <c r="V32" s="357" t="e">
        <f>_xll.qlMidEquivalent(T32,U32)</f>
        <v>#NUM!</v>
      </c>
      <c r="W32" s="197" t="b">
        <f t="shared" si="2"/>
        <v>0</v>
      </c>
      <c r="X32" s="363" t="e">
        <v>#VALUE!</v>
      </c>
      <c r="Y32" s="190"/>
      <c r="Z32" s="355" t="e">
        <v>#VALUE!</v>
      </c>
      <c r="AA32" s="190"/>
      <c r="AB32" s="198" t="str">
        <f t="shared" si="3"/>
        <v>HKD3L6L24Y_Quote</v>
      </c>
      <c r="AC32" s="354" t="e">
        <v>#VALUE!</v>
      </c>
      <c r="AD32" s="196" t="e">
        <f>_xll.qlSimpleQuoteSetValue($AB32,ROUND($AC32/10000,6),Trigger)</f>
        <v>#NUM!</v>
      </c>
      <c r="AE32" s="186"/>
      <c r="AF32" s="232"/>
      <c r="AG32" s="232"/>
      <c r="AH32" s="232"/>
      <c r="AI32" s="232"/>
      <c r="AJ32" s="232" t="str">
        <f t="shared" si="4"/>
        <v>24Y</v>
      </c>
      <c r="AK32" s="360" t="e">
        <f>((#REF!-Swap3M!AC32)*100-AC32)/10000</f>
        <v>#REF!</v>
      </c>
      <c r="AL32" s="232"/>
    </row>
    <row r="33" spans="1:38" x14ac:dyDescent="0.2">
      <c r="A33" s="30"/>
      <c r="B33" s="29" t="s">
        <v>23</v>
      </c>
      <c r="C33" s="28" t="str">
        <f t="shared" si="5"/>
        <v>3L</v>
      </c>
      <c r="D33" s="27" t="str">
        <f t="shared" si="6"/>
        <v>6L</v>
      </c>
      <c r="E33" s="26" t="str">
        <f t="shared" si="0"/>
        <v>HKD3L6L25Y_Quote</v>
      </c>
      <c r="F33" s="26" t="str">
        <f>_xll.qlSimpleQuote(E33,,RateTickValue,Permanent,Trigger,ObjectOverwrite)</f>
        <v>HKD3L6L25Y_Quote#0001</v>
      </c>
      <c r="G33" s="25" t="str">
        <f>_xll.ohRangeRetrieveError(F33)</f>
        <v/>
      </c>
      <c r="H33" s="24"/>
      <c r="N33" s="195">
        <v>25</v>
      </c>
      <c r="O33" s="247" t="s">
        <v>23</v>
      </c>
      <c r="P33" s="246" t="str">
        <v>3L</v>
      </c>
      <c r="Q33" s="246" t="str">
        <v>6L</v>
      </c>
      <c r="R33" s="244" t="str">
        <f t="shared" si="1"/>
        <v>HKD3L6L25Y</v>
      </c>
      <c r="S33" s="193" t="str">
        <v>HKD3L6L25Y=ICAP</v>
      </c>
      <c r="T33" s="357" t="s">
        <v>188</v>
      </c>
      <c r="U33" s="357" t="s">
        <v>188</v>
      </c>
      <c r="V33" s="357" t="e">
        <f>_xll.qlMidEquivalent(T33,U33)</f>
        <v>#NUM!</v>
      </c>
      <c r="W33" s="197" t="b">
        <f t="shared" si="2"/>
        <v>0</v>
      </c>
      <c r="X33" s="363" t="e">
        <v>#VALUE!</v>
      </c>
      <c r="Y33" s="190"/>
      <c r="Z33" s="355" t="e">
        <v>#VALUE!</v>
      </c>
      <c r="AA33" s="190"/>
      <c r="AB33" s="198" t="str">
        <f t="shared" si="3"/>
        <v>HKD3L6L25Y_Quote</v>
      </c>
      <c r="AC33" s="354" t="e">
        <v>#VALUE!</v>
      </c>
      <c r="AD33" s="196" t="e">
        <f>_xll.qlSimpleQuoteSetValue($AB33,ROUND($AC33/10000,6),Trigger)</f>
        <v>#NUM!</v>
      </c>
      <c r="AE33" s="186"/>
      <c r="AF33" s="232"/>
      <c r="AG33" s="232"/>
      <c r="AH33" s="232"/>
      <c r="AI33" s="232"/>
      <c r="AJ33" s="232" t="str">
        <f t="shared" si="4"/>
        <v>25Y</v>
      </c>
      <c r="AK33" s="360" t="e">
        <f>((#REF!-Swap3M!AC33)*100-AC33)/10000</f>
        <v>#REF!</v>
      </c>
      <c r="AL33" s="232"/>
    </row>
    <row r="34" spans="1:38" x14ac:dyDescent="0.2">
      <c r="A34" s="30"/>
      <c r="B34" s="29" t="s">
        <v>22</v>
      </c>
      <c r="C34" s="28" t="str">
        <f t="shared" si="5"/>
        <v>3L</v>
      </c>
      <c r="D34" s="27" t="str">
        <f t="shared" si="6"/>
        <v>6L</v>
      </c>
      <c r="E34" s="26" t="str">
        <f t="shared" si="0"/>
        <v>HKD3L6L26Y_Quote</v>
      </c>
      <c r="F34" s="26" t="str">
        <f>_xll.qlSimpleQuote(E34,,RateTickValue,Permanent,Trigger,ObjectOverwrite)</f>
        <v>HKD3L6L26Y_Quote#0001</v>
      </c>
      <c r="G34" s="25" t="str">
        <f>_xll.ohRangeRetrieveError(F34)</f>
        <v/>
      </c>
      <c r="H34" s="24"/>
      <c r="N34" s="195">
        <v>26</v>
      </c>
      <c r="O34" s="247" t="s">
        <v>22</v>
      </c>
      <c r="P34" s="246" t="str">
        <v>3L</v>
      </c>
      <c r="Q34" s="246" t="str">
        <v>6L</v>
      </c>
      <c r="R34" s="244" t="str">
        <f t="shared" si="1"/>
        <v>HKD3L6L26Y</v>
      </c>
      <c r="S34" s="193" t="str">
        <v>HKD3L6L26Y=ICAP</v>
      </c>
      <c r="T34" s="357" t="s">
        <v>188</v>
      </c>
      <c r="U34" s="357" t="s">
        <v>188</v>
      </c>
      <c r="V34" s="357" t="e">
        <f>_xll.qlMidEquivalent(T34,U34)</f>
        <v>#NUM!</v>
      </c>
      <c r="W34" s="197" t="b">
        <f t="shared" si="2"/>
        <v>0</v>
      </c>
      <c r="X34" s="363" t="e">
        <v>#VALUE!</v>
      </c>
      <c r="Y34" s="190"/>
      <c r="Z34" s="355" t="e">
        <v>#VALUE!</v>
      </c>
      <c r="AA34" s="190"/>
      <c r="AB34" s="198" t="str">
        <f t="shared" si="3"/>
        <v>HKD3L6L26Y_Quote</v>
      </c>
      <c r="AC34" s="354" t="e">
        <v>#VALUE!</v>
      </c>
      <c r="AD34" s="196" t="e">
        <f>_xll.qlSimpleQuoteSetValue($AB34,ROUND($AC34/10000,6),Trigger)</f>
        <v>#NUM!</v>
      </c>
      <c r="AE34" s="186"/>
      <c r="AF34" s="232"/>
      <c r="AG34" s="232"/>
      <c r="AH34" s="232"/>
      <c r="AI34" s="232"/>
      <c r="AJ34" s="232" t="str">
        <f t="shared" si="4"/>
        <v>26Y</v>
      </c>
      <c r="AK34" s="360" t="e">
        <f>((#REF!-Swap3M!AC34)*100-AC34)/10000</f>
        <v>#REF!</v>
      </c>
      <c r="AL34" s="232"/>
    </row>
    <row r="35" spans="1:38" x14ac:dyDescent="0.2">
      <c r="A35" s="30"/>
      <c r="B35" s="29" t="s">
        <v>21</v>
      </c>
      <c r="C35" s="28" t="str">
        <f t="shared" si="5"/>
        <v>3L</v>
      </c>
      <c r="D35" s="27" t="str">
        <f t="shared" si="6"/>
        <v>6L</v>
      </c>
      <c r="E35" s="26" t="str">
        <f t="shared" si="0"/>
        <v>HKD3L6L27Y_Quote</v>
      </c>
      <c r="F35" s="26" t="str">
        <f>_xll.qlSimpleQuote(E35,,RateTickValue,Permanent,Trigger,ObjectOverwrite)</f>
        <v>HKD3L6L27Y_Quote#0001</v>
      </c>
      <c r="G35" s="25" t="str">
        <f>_xll.ohRangeRetrieveError(F35)</f>
        <v/>
      </c>
      <c r="H35" s="24"/>
      <c r="N35" s="195">
        <v>27</v>
      </c>
      <c r="O35" s="247" t="s">
        <v>21</v>
      </c>
      <c r="P35" s="246" t="str">
        <v>3L</v>
      </c>
      <c r="Q35" s="246" t="str">
        <v>6L</v>
      </c>
      <c r="R35" s="244" t="str">
        <f t="shared" si="1"/>
        <v>HKD3L6L27Y</v>
      </c>
      <c r="S35" s="193" t="str">
        <v>HKD3L6L27Y=ICAP</v>
      </c>
      <c r="T35" s="357" t="s">
        <v>188</v>
      </c>
      <c r="U35" s="357" t="s">
        <v>188</v>
      </c>
      <c r="V35" s="357" t="e">
        <f>_xll.qlMidEquivalent(T35,U35)</f>
        <v>#NUM!</v>
      </c>
      <c r="W35" s="197" t="b">
        <f t="shared" si="2"/>
        <v>0</v>
      </c>
      <c r="X35" s="363" t="e">
        <v>#VALUE!</v>
      </c>
      <c r="Y35" s="190"/>
      <c r="Z35" s="355" t="e">
        <v>#VALUE!</v>
      </c>
      <c r="AA35" s="190"/>
      <c r="AB35" s="198" t="str">
        <f t="shared" si="3"/>
        <v>HKD3L6L27Y_Quote</v>
      </c>
      <c r="AC35" s="354" t="e">
        <v>#VALUE!</v>
      </c>
      <c r="AD35" s="196" t="e">
        <f>_xll.qlSimpleQuoteSetValue($AB35,ROUND($AC35/10000,6),Trigger)</f>
        <v>#NUM!</v>
      </c>
      <c r="AE35" s="186"/>
      <c r="AF35" s="232"/>
      <c r="AG35" s="232"/>
      <c r="AH35" s="232"/>
      <c r="AI35" s="232"/>
      <c r="AJ35" s="232" t="str">
        <f t="shared" si="4"/>
        <v>27Y</v>
      </c>
      <c r="AK35" s="360" t="e">
        <f>((#REF!-Swap3M!AC35)*100-AC35)/10000</f>
        <v>#REF!</v>
      </c>
      <c r="AL35" s="232"/>
    </row>
    <row r="36" spans="1:38" x14ac:dyDescent="0.2">
      <c r="A36" s="30"/>
      <c r="B36" s="29" t="s">
        <v>20</v>
      </c>
      <c r="C36" s="28" t="str">
        <f t="shared" si="5"/>
        <v>3L</v>
      </c>
      <c r="D36" s="27" t="str">
        <f t="shared" si="6"/>
        <v>6L</v>
      </c>
      <c r="E36" s="26" t="str">
        <f t="shared" si="0"/>
        <v>HKD3L6L28Y_Quote</v>
      </c>
      <c r="F36" s="26" t="str">
        <f>_xll.qlSimpleQuote(E36,,RateTickValue,Permanent,Trigger,ObjectOverwrite)</f>
        <v>HKD3L6L28Y_Quote#0001</v>
      </c>
      <c r="G36" s="25" t="str">
        <f>_xll.ohRangeRetrieveError(F36)</f>
        <v/>
      </c>
      <c r="H36" s="24"/>
      <c r="N36" s="195">
        <v>28</v>
      </c>
      <c r="O36" s="247" t="s">
        <v>20</v>
      </c>
      <c r="P36" s="246" t="str">
        <v>3L</v>
      </c>
      <c r="Q36" s="246" t="str">
        <v>6L</v>
      </c>
      <c r="R36" s="244" t="str">
        <f t="shared" si="1"/>
        <v>HKD3L6L28Y</v>
      </c>
      <c r="S36" s="193" t="str">
        <v>HKD3L6L28Y=ICAP</v>
      </c>
      <c r="T36" s="357" t="s">
        <v>188</v>
      </c>
      <c r="U36" s="357" t="s">
        <v>188</v>
      </c>
      <c r="V36" s="357" t="e">
        <f>_xll.qlMidEquivalent(T36,U36)</f>
        <v>#NUM!</v>
      </c>
      <c r="W36" s="197" t="b">
        <f t="shared" si="2"/>
        <v>0</v>
      </c>
      <c r="X36" s="363" t="e">
        <v>#VALUE!</v>
      </c>
      <c r="Y36" s="190"/>
      <c r="Z36" s="355" t="e">
        <v>#VALUE!</v>
      </c>
      <c r="AA36" s="190"/>
      <c r="AB36" s="198" t="str">
        <f t="shared" si="3"/>
        <v>HKD3L6L28Y_Quote</v>
      </c>
      <c r="AC36" s="354" t="e">
        <v>#VALUE!</v>
      </c>
      <c r="AD36" s="196" t="e">
        <f>_xll.qlSimpleQuoteSetValue($AB36,ROUND($AC36/10000,6),Trigger)</f>
        <v>#NUM!</v>
      </c>
      <c r="AE36" s="186"/>
      <c r="AF36" s="232"/>
      <c r="AG36" s="232"/>
      <c r="AH36" s="232"/>
      <c r="AI36" s="232"/>
      <c r="AJ36" s="232" t="str">
        <f t="shared" si="4"/>
        <v>28Y</v>
      </c>
      <c r="AK36" s="360" t="e">
        <f>((#REF!-Swap3M!AC36)*100-AC36)/10000</f>
        <v>#REF!</v>
      </c>
      <c r="AL36" s="232"/>
    </row>
    <row r="37" spans="1:38" x14ac:dyDescent="0.2">
      <c r="A37" s="30"/>
      <c r="B37" s="29" t="s">
        <v>19</v>
      </c>
      <c r="C37" s="28" t="str">
        <f t="shared" si="5"/>
        <v>3L</v>
      </c>
      <c r="D37" s="27" t="str">
        <f t="shared" si="6"/>
        <v>6L</v>
      </c>
      <c r="E37" s="26" t="str">
        <f t="shared" si="0"/>
        <v>HKD3L6L29Y_Quote</v>
      </c>
      <c r="F37" s="26" t="str">
        <f>_xll.qlSimpleQuote(E37,,RateTickValue,Permanent,Trigger,ObjectOverwrite)</f>
        <v>HKD3L6L29Y_Quote#0001</v>
      </c>
      <c r="G37" s="25" t="str">
        <f>_xll.ohRangeRetrieveError(F37)</f>
        <v/>
      </c>
      <c r="H37" s="24"/>
      <c r="N37" s="195">
        <v>29</v>
      </c>
      <c r="O37" s="247" t="s">
        <v>19</v>
      </c>
      <c r="P37" s="246" t="str">
        <v>3L</v>
      </c>
      <c r="Q37" s="246" t="str">
        <v>6L</v>
      </c>
      <c r="R37" s="244" t="str">
        <f t="shared" si="1"/>
        <v>HKD3L6L29Y</v>
      </c>
      <c r="S37" s="193" t="str">
        <v>HKD3L6L29Y=ICAP</v>
      </c>
      <c r="T37" s="357" t="s">
        <v>188</v>
      </c>
      <c r="U37" s="357" t="s">
        <v>188</v>
      </c>
      <c r="V37" s="357" t="e">
        <f>_xll.qlMidEquivalent(T37,U37)</f>
        <v>#NUM!</v>
      </c>
      <c r="W37" s="197" t="b">
        <f t="shared" si="2"/>
        <v>0</v>
      </c>
      <c r="X37" s="363" t="e">
        <v>#VALUE!</v>
      </c>
      <c r="Y37" s="190"/>
      <c r="Z37" s="355" t="e">
        <v>#VALUE!</v>
      </c>
      <c r="AA37" s="190"/>
      <c r="AB37" s="198" t="str">
        <f t="shared" si="3"/>
        <v>HKD3L6L29Y_Quote</v>
      </c>
      <c r="AC37" s="354" t="e">
        <v>#VALUE!</v>
      </c>
      <c r="AD37" s="196" t="e">
        <f>_xll.qlSimpleQuoteSetValue($AB37,ROUND($AC37/10000,6),Trigger)</f>
        <v>#NUM!</v>
      </c>
      <c r="AE37" s="186"/>
      <c r="AF37" s="232"/>
      <c r="AG37" s="232"/>
      <c r="AH37" s="232"/>
      <c r="AI37" s="232"/>
      <c r="AJ37" s="232" t="str">
        <f t="shared" si="4"/>
        <v>29Y</v>
      </c>
      <c r="AK37" s="360" t="e">
        <f>((#REF!-Swap3M!AC37)*100-AC37)/10000</f>
        <v>#REF!</v>
      </c>
      <c r="AL37" s="232"/>
    </row>
    <row r="38" spans="1:38" x14ac:dyDescent="0.2">
      <c r="A38" s="30"/>
      <c r="B38" s="29" t="s">
        <v>18</v>
      </c>
      <c r="C38" s="28" t="str">
        <f t="shared" si="5"/>
        <v>3L</v>
      </c>
      <c r="D38" s="27" t="str">
        <f t="shared" si="6"/>
        <v>6L</v>
      </c>
      <c r="E38" s="26" t="str">
        <f t="shared" si="0"/>
        <v>HKD3L6L30Y_Quote</v>
      </c>
      <c r="F38" s="26" t="str">
        <f>_xll.qlSimpleQuote(E38,,RateTickValue,Permanent,Trigger,ObjectOverwrite)</f>
        <v>HKD3L6L30Y_Quote#0001</v>
      </c>
      <c r="G38" s="25" t="str">
        <f>_xll.ohRangeRetrieveError(F38)</f>
        <v/>
      </c>
      <c r="H38" s="24"/>
      <c r="N38" s="195">
        <v>30</v>
      </c>
      <c r="O38" s="247" t="s">
        <v>18</v>
      </c>
      <c r="P38" s="246" t="str">
        <v>3L</v>
      </c>
      <c r="Q38" s="246" t="str">
        <v>6L</v>
      </c>
      <c r="R38" s="244" t="str">
        <f t="shared" si="1"/>
        <v>HKD3L6L30Y</v>
      </c>
      <c r="S38" s="193" t="str">
        <v>HKD3L6L30Y=ICAP</v>
      </c>
      <c r="T38" s="357" t="s">
        <v>188</v>
      </c>
      <c r="U38" s="357" t="s">
        <v>188</v>
      </c>
      <c r="V38" s="357" t="e">
        <f>_xll.qlMidEquivalent(T38,U38)</f>
        <v>#NUM!</v>
      </c>
      <c r="W38" s="197" t="b">
        <f t="shared" si="2"/>
        <v>0</v>
      </c>
      <c r="X38" s="363" t="e">
        <v>#VALUE!</v>
      </c>
      <c r="Y38" s="190"/>
      <c r="Z38" s="355" t="e">
        <v>#VALUE!</v>
      </c>
      <c r="AA38" s="190"/>
      <c r="AB38" s="198" t="str">
        <f t="shared" si="3"/>
        <v>HKD3L6L30Y_Quote</v>
      </c>
      <c r="AC38" s="354" t="e">
        <v>#VALUE!</v>
      </c>
      <c r="AD38" s="196" t="e">
        <f>_xll.qlSimpleQuoteSetValue($AB38,ROUND($AC38/10000,6),Trigger)</f>
        <v>#NUM!</v>
      </c>
      <c r="AE38" s="186"/>
      <c r="AF38" s="232"/>
      <c r="AG38" s="232"/>
      <c r="AH38" s="232"/>
      <c r="AI38" s="232"/>
      <c r="AJ38" s="232" t="str">
        <f t="shared" si="4"/>
        <v>30Y</v>
      </c>
      <c r="AK38" s="360" t="e">
        <f>((#REF!-Swap3M!AC38)*100-AC38)/10000</f>
        <v>#REF!</v>
      </c>
      <c r="AL38" s="232"/>
    </row>
    <row r="39" spans="1:38" x14ac:dyDescent="0.2">
      <c r="A39" s="30"/>
      <c r="B39" s="29" t="s">
        <v>17</v>
      </c>
      <c r="C39" s="28" t="str">
        <f t="shared" si="5"/>
        <v>3L</v>
      </c>
      <c r="D39" s="27" t="str">
        <f t="shared" si="6"/>
        <v>6L</v>
      </c>
      <c r="E39" s="26" t="str">
        <f t="shared" si="0"/>
        <v>HKD3L6L35Y_Quote</v>
      </c>
      <c r="F39" s="26" t="str">
        <f>_xll.qlSimpleQuote(E39,,RateTickValue,Permanent,Trigger,ObjectOverwrite)</f>
        <v>HKD3L6L35Y_Quote#0001</v>
      </c>
      <c r="G39" s="25" t="str">
        <f>_xll.ohRangeRetrieveError(F39)</f>
        <v/>
      </c>
      <c r="H39" s="24"/>
      <c r="N39" s="195">
        <v>35</v>
      </c>
      <c r="O39" s="247" t="s">
        <v>17</v>
      </c>
      <c r="P39" s="246" t="str">
        <v>3L</v>
      </c>
      <c r="Q39" s="246" t="str">
        <v>6L</v>
      </c>
      <c r="R39" s="244" t="str">
        <f t="shared" si="1"/>
        <v>HKD3L6L35Y</v>
      </c>
      <c r="S39" s="193" t="str">
        <v>HKD3L6L35Y=ICAP</v>
      </c>
      <c r="T39" s="357" t="s">
        <v>188</v>
      </c>
      <c r="U39" s="357" t="s">
        <v>188</v>
      </c>
      <c r="V39" s="357" t="e">
        <f>_xll.qlMidEquivalent(T39,U39)</f>
        <v>#NUM!</v>
      </c>
      <c r="W39" s="197" t="b">
        <f t="shared" si="2"/>
        <v>0</v>
      </c>
      <c r="X39" s="363" t="e">
        <v>#VALUE!</v>
      </c>
      <c r="Y39" s="190"/>
      <c r="Z39" s="355" t="e">
        <v>#VALUE!</v>
      </c>
      <c r="AA39" s="190"/>
      <c r="AB39" s="198" t="str">
        <f t="shared" si="3"/>
        <v>HKD3L6L35Y_Quote</v>
      </c>
      <c r="AC39" s="354" t="e">
        <v>#VALUE!</v>
      </c>
      <c r="AD39" s="196" t="e">
        <f>_xll.qlSimpleQuoteSetValue($AB39,ROUND($AC39/10000,6),Trigger)</f>
        <v>#NUM!</v>
      </c>
      <c r="AE39" s="186"/>
      <c r="AF39" s="232"/>
      <c r="AG39" s="232"/>
      <c r="AH39" s="232"/>
      <c r="AI39" s="232"/>
      <c r="AJ39" s="232" t="str">
        <f t="shared" si="4"/>
        <v>35Y</v>
      </c>
      <c r="AK39" s="360" t="e">
        <f>((#REF!-Swap3M!AC39)*100-AC39)/10000</f>
        <v>#REF!</v>
      </c>
      <c r="AL39" s="232"/>
    </row>
    <row r="40" spans="1:38" x14ac:dyDescent="0.2">
      <c r="A40" s="30"/>
      <c r="B40" s="29" t="s">
        <v>16</v>
      </c>
      <c r="C40" s="28" t="str">
        <f t="shared" si="5"/>
        <v>3L</v>
      </c>
      <c r="D40" s="27" t="str">
        <f t="shared" si="6"/>
        <v>6L</v>
      </c>
      <c r="E40" s="26" t="str">
        <f t="shared" si="0"/>
        <v>HKD3L6L40Y_Quote</v>
      </c>
      <c r="F40" s="26" t="str">
        <f>_xll.qlSimpleQuote(E40,,RateTickValue,Permanent,Trigger,ObjectOverwrite)</f>
        <v>HKD3L6L40Y_Quote#0001</v>
      </c>
      <c r="G40" s="25" t="str">
        <f>_xll.ohRangeRetrieveError(F40)</f>
        <v/>
      </c>
      <c r="H40" s="24"/>
      <c r="N40" s="195">
        <v>40</v>
      </c>
      <c r="O40" s="247" t="s">
        <v>16</v>
      </c>
      <c r="P40" s="246" t="str">
        <v>3L</v>
      </c>
      <c r="Q40" s="246" t="str">
        <v>6L</v>
      </c>
      <c r="R40" s="244" t="str">
        <f t="shared" si="1"/>
        <v>HKD3L6L40Y</v>
      </c>
      <c r="S40" s="193" t="str">
        <v>HKD3L6L40Y=ICAP</v>
      </c>
      <c r="T40" s="357" t="s">
        <v>188</v>
      </c>
      <c r="U40" s="357" t="s">
        <v>188</v>
      </c>
      <c r="V40" s="357" t="e">
        <f>_xll.qlMidEquivalent(T40,U40)</f>
        <v>#NUM!</v>
      </c>
      <c r="W40" s="197" t="b">
        <f t="shared" si="2"/>
        <v>0</v>
      </c>
      <c r="X40" s="363" t="e">
        <v>#VALUE!</v>
      </c>
      <c r="Y40" s="361" t="e">
        <f>X38-X40</f>
        <v>#VALUE!</v>
      </c>
      <c r="Z40" s="355" t="e">
        <v>#VALUE!</v>
      </c>
      <c r="AA40" s="190"/>
      <c r="AB40" s="198" t="str">
        <f t="shared" si="3"/>
        <v>HKD3L6L40Y_Quote</v>
      </c>
      <c r="AC40" s="354" t="e">
        <v>#VALUE!</v>
      </c>
      <c r="AD40" s="196" t="e">
        <f>_xll.qlSimpleQuoteSetValue($AB40,ROUND($AC40/10000,6),Trigger)</f>
        <v>#NUM!</v>
      </c>
      <c r="AE40" s="186"/>
      <c r="AF40" s="232"/>
      <c r="AG40" s="232"/>
      <c r="AH40" s="232"/>
      <c r="AI40" s="232"/>
      <c r="AJ40" s="232" t="str">
        <f t="shared" si="4"/>
        <v>40Y</v>
      </c>
      <c r="AK40" s="360" t="e">
        <f>((#REF!-Swap3M!AC40)*100-AC40)/10000</f>
        <v>#REF!</v>
      </c>
      <c r="AL40" s="232"/>
    </row>
    <row r="41" spans="1:38" x14ac:dyDescent="0.2">
      <c r="A41" s="30"/>
      <c r="B41" s="29" t="s">
        <v>15</v>
      </c>
      <c r="C41" s="28" t="str">
        <f t="shared" si="5"/>
        <v>3L</v>
      </c>
      <c r="D41" s="27" t="str">
        <f t="shared" si="6"/>
        <v>6L</v>
      </c>
      <c r="E41" s="26" t="str">
        <f t="shared" si="0"/>
        <v>HKD3L6L50Y_Quote</v>
      </c>
      <c r="F41" s="26" t="str">
        <f>_xll.qlSimpleQuote(E41,,RateTickValue,Permanent,Trigger,ObjectOverwrite)</f>
        <v>HKD3L6L50Y_Quote#0001</v>
      </c>
      <c r="G41" s="25" t="str">
        <f>_xll.ohRangeRetrieveError(F41)</f>
        <v/>
      </c>
      <c r="H41" s="24"/>
      <c r="N41" s="195">
        <v>50</v>
      </c>
      <c r="O41" s="247" t="s">
        <v>15</v>
      </c>
      <c r="P41" s="246" t="str">
        <v>3L</v>
      </c>
      <c r="Q41" s="246" t="str">
        <v>6L</v>
      </c>
      <c r="R41" s="244" t="str">
        <f t="shared" si="1"/>
        <v>HKD3L6L50Y</v>
      </c>
      <c r="S41" s="193" t="str">
        <v>HKD3L6L50Y=ICAP</v>
      </c>
      <c r="T41" s="357" t="s">
        <v>188</v>
      </c>
      <c r="U41" s="357" t="s">
        <v>188</v>
      </c>
      <c r="V41" s="357" t="e">
        <f>_xll.qlMidEquivalent(T41,U41)</f>
        <v>#NUM!</v>
      </c>
      <c r="W41" s="197" t="b">
        <f t="shared" si="2"/>
        <v>0</v>
      </c>
      <c r="X41" s="363" t="e">
        <v>#VALUE!</v>
      </c>
      <c r="Y41" s="361" t="e">
        <f>X40-X41</f>
        <v>#VALUE!</v>
      </c>
      <c r="Z41" s="355" t="e">
        <v>#VALUE!</v>
      </c>
      <c r="AA41" s="190"/>
      <c r="AB41" s="198" t="str">
        <f t="shared" si="3"/>
        <v>HKD3L6L50Y_Quote</v>
      </c>
      <c r="AC41" s="354" t="e">
        <v>#VALUE!</v>
      </c>
      <c r="AD41" s="196" t="e">
        <f>_xll.qlSimpleQuoteSetValue($AB41,ROUND($AC41/10000,6),Trigger)</f>
        <v>#NUM!</v>
      </c>
      <c r="AE41" s="186"/>
      <c r="AF41" s="232"/>
      <c r="AG41" s="232"/>
      <c r="AH41" s="232"/>
      <c r="AI41" s="232"/>
      <c r="AJ41" s="232" t="str">
        <f t="shared" si="4"/>
        <v>50Y</v>
      </c>
      <c r="AK41" s="360" t="e">
        <f>((#REF!-Swap3M!AC41)*100-AC41)/10000</f>
        <v>#REF!</v>
      </c>
      <c r="AL41" s="232"/>
    </row>
    <row r="42" spans="1:38" x14ac:dyDescent="0.2">
      <c r="A42" s="30"/>
      <c r="B42" s="29" t="s">
        <v>14</v>
      </c>
      <c r="C42" s="28" t="str">
        <f t="shared" si="5"/>
        <v>3L</v>
      </c>
      <c r="D42" s="27" t="str">
        <f t="shared" si="6"/>
        <v>6L</v>
      </c>
      <c r="E42" s="26" t="str">
        <f t="shared" si="0"/>
        <v>HKD3L6L60Y_Quote</v>
      </c>
      <c r="F42" s="26" t="str">
        <f>_xll.qlSimpleQuote(E42,,RateTickValue,Permanent,Trigger,ObjectOverwrite)</f>
        <v>HKD3L6L60Y_Quote#0001</v>
      </c>
      <c r="G42" s="25" t="str">
        <f>_xll.ohRangeRetrieveError(F42)</f>
        <v/>
      </c>
      <c r="H42" s="24"/>
      <c r="N42" s="195">
        <v>60</v>
      </c>
      <c r="O42" s="247" t="s">
        <v>14</v>
      </c>
      <c r="P42" s="246" t="str">
        <v>3L</v>
      </c>
      <c r="Q42" s="246" t="str">
        <v>6L</v>
      </c>
      <c r="R42" s="244" t="str">
        <f t="shared" si="1"/>
        <v>HKD3L6L60Y</v>
      </c>
      <c r="S42" s="193" t="str">
        <v>HKD3L6L60Y=ICAP</v>
      </c>
      <c r="T42" s="357" t="s">
        <v>188</v>
      </c>
      <c r="U42" s="357" t="s">
        <v>188</v>
      </c>
      <c r="V42" s="357" t="e">
        <f>_xll.qlMidEquivalent(T42,U42)</f>
        <v>#NUM!</v>
      </c>
      <c r="W42" s="197" t="b">
        <f t="shared" si="2"/>
        <v>0</v>
      </c>
      <c r="X42" s="362" t="e">
        <f>X41-Y42</f>
        <v>#VALUE!</v>
      </c>
      <c r="Y42" s="361" t="e">
        <f>Y41/Y40*Y41</f>
        <v>#VALUE!</v>
      </c>
      <c r="Z42" s="355" t="e">
        <v>#VALUE!</v>
      </c>
      <c r="AA42" s="190"/>
      <c r="AB42" s="198" t="str">
        <f t="shared" si="3"/>
        <v>HKD3L6L60Y_Quote</v>
      </c>
      <c r="AC42" s="354" t="e">
        <v>#VALUE!</v>
      </c>
      <c r="AD42" s="196" t="e">
        <f>_xll.qlSimpleQuoteSetValue($AB42,ROUND($AC42/10000,6),Trigger)</f>
        <v>#NUM!</v>
      </c>
      <c r="AE42" s="186"/>
      <c r="AF42" s="232"/>
      <c r="AG42" s="232"/>
      <c r="AH42" s="232"/>
      <c r="AI42" s="232"/>
      <c r="AJ42" s="232" t="str">
        <f t="shared" si="4"/>
        <v>60Y</v>
      </c>
      <c r="AK42" s="360" t="e">
        <f>((#REF!-Swap3M!AC42)*100-AC42)/10000</f>
        <v>#REF!</v>
      </c>
      <c r="AL42" s="232"/>
    </row>
    <row r="43" spans="1:38" ht="13.5" thickBot="1" x14ac:dyDescent="0.25">
      <c r="A43" s="23"/>
      <c r="B43" s="22"/>
      <c r="C43" s="22"/>
      <c r="D43" s="22"/>
      <c r="E43" s="22"/>
      <c r="F43" s="21"/>
      <c r="G43" s="21"/>
      <c r="H43" s="20"/>
      <c r="N43" s="185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3"/>
      <c r="Z43" s="184"/>
      <c r="AA43" s="183"/>
      <c r="AB43" s="184"/>
      <c r="AC43" s="184"/>
      <c r="AD43" s="184"/>
      <c r="AE43" s="332"/>
      <c r="AF43" s="232"/>
      <c r="AG43" s="232"/>
      <c r="AH43" s="232"/>
      <c r="AI43" s="232"/>
      <c r="AJ43" s="232"/>
      <c r="AK43" s="232"/>
      <c r="AL43" s="232"/>
    </row>
    <row r="44" spans="1:38" x14ac:dyDescent="0.2">
      <c r="N44" s="232"/>
      <c r="O44" s="232"/>
      <c r="P44" s="232"/>
      <c r="Q44" s="232"/>
      <c r="R44" s="232"/>
      <c r="S44" s="232"/>
      <c r="T44" s="232"/>
      <c r="U44" s="232"/>
      <c r="V44" s="232"/>
      <c r="W44" s="232"/>
      <c r="X44" s="232"/>
      <c r="Y44" s="232"/>
      <c r="Z44" s="232"/>
      <c r="AA44" s="232"/>
      <c r="AB44" s="232"/>
      <c r="AC44" s="232"/>
      <c r="AD44" s="232"/>
      <c r="AE44" s="232"/>
      <c r="AF44" s="232"/>
      <c r="AG44" s="232"/>
      <c r="AH44" s="232"/>
      <c r="AI44" s="232"/>
      <c r="AJ44" s="232"/>
      <c r="AK44" s="232"/>
      <c r="AL44" s="232"/>
    </row>
    <row r="45" spans="1:38" ht="15" x14ac:dyDescent="0.25">
      <c r="N45" s="232"/>
      <c r="O45" s="232"/>
      <c r="P45" s="232"/>
      <c r="Q45" s="232"/>
      <c r="R45" s="232"/>
      <c r="S45" s="232"/>
      <c r="T45" s="232"/>
      <c r="U45" s="232"/>
      <c r="V45" s="232"/>
      <c r="W45" s="232"/>
      <c r="X45" s="232"/>
      <c r="Y45" s="232"/>
      <c r="Z45" s="232"/>
      <c r="AA45" s="232"/>
      <c r="AB45" s="232"/>
      <c r="AC45" s="232"/>
      <c r="AD45" s="232"/>
      <c r="AE45" s="232"/>
      <c r="AF45" s="232"/>
      <c r="AG45" t="str">
        <f>_xll.RtGet("IDN","ICHKD9","ROW80_8")</f>
        <v>#N/A Paused at 16:09:04</v>
      </c>
      <c r="AH45" s="232"/>
      <c r="AI45" s="232"/>
      <c r="AJ45" s="232"/>
      <c r="AK45" s="232"/>
      <c r="AL45" s="232"/>
    </row>
    <row r="46" spans="1:38" x14ac:dyDescent="0.2">
      <c r="N46" s="232"/>
      <c r="O46" s="232"/>
      <c r="P46" s="232"/>
      <c r="Q46" s="232"/>
      <c r="R46" s="232"/>
      <c r="S46" s="232"/>
      <c r="T46" s="232"/>
      <c r="U46" s="232"/>
      <c r="V46" s="232"/>
      <c r="W46" s="232"/>
      <c r="X46" s="232"/>
      <c r="Y46" s="232"/>
      <c r="Z46" s="232"/>
      <c r="AA46" s="232"/>
      <c r="AB46" s="232"/>
      <c r="AC46" s="232"/>
      <c r="AD46" s="232"/>
      <c r="AE46" s="232"/>
      <c r="AF46" s="232"/>
      <c r="AG46" s="232"/>
      <c r="AH46" s="232"/>
      <c r="AI46" s="232"/>
      <c r="AJ46" s="232"/>
      <c r="AK46" s="232"/>
      <c r="AL46" s="232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57" t="s">
        <v>13</v>
      </c>
      <c r="C2" s="458"/>
      <c r="D2" s="458"/>
      <c r="E2" s="459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57" t="s">
        <v>6</v>
      </c>
      <c r="C12" s="458"/>
      <c r="D12" s="458"/>
      <c r="E12" s="459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23"/>
  <sheetViews>
    <sheetView workbookViewId="0"/>
  </sheetViews>
  <sheetFormatPr defaultRowHeight="11.25" x14ac:dyDescent="0.2"/>
  <cols>
    <col min="1" max="1" width="4.42578125" style="18" customWidth="1"/>
    <col min="2" max="2" width="5.140625" style="18" bestFit="1" customWidth="1"/>
    <col min="3" max="3" width="17.85546875" style="18" bestFit="1" customWidth="1"/>
    <col min="4" max="4" width="16.7109375" style="18" bestFit="1" customWidth="1"/>
    <col min="5" max="5" width="36.85546875" style="18" bestFit="1" customWidth="1"/>
    <col min="6" max="6" width="5" style="18" customWidth="1"/>
    <col min="7" max="7" width="9.140625" style="18"/>
    <col min="8" max="8" width="8.140625" style="18" customWidth="1"/>
    <col min="9" max="9" width="3.85546875" style="18" bestFit="1" customWidth="1"/>
    <col min="10" max="10" width="9.7109375" style="18" customWidth="1"/>
    <col min="11" max="11" width="10.28515625" style="18" customWidth="1"/>
    <col min="12" max="14" width="8.140625" style="18" customWidth="1"/>
    <col min="15" max="15" width="12.85546875" style="18" bestFit="1" customWidth="1"/>
    <col min="16" max="16" width="9" style="18" customWidth="1"/>
    <col min="17" max="18" width="8.140625" style="18" customWidth="1"/>
    <col min="19" max="16384" width="9.140625" style="18"/>
  </cols>
  <sheetData>
    <row r="1" spans="1:24" s="156" customFormat="1" x14ac:dyDescent="0.2">
      <c r="H1" s="222"/>
      <c r="I1" s="221"/>
      <c r="J1" s="221"/>
      <c r="K1" s="221"/>
      <c r="L1" s="221"/>
      <c r="M1" s="221"/>
      <c r="N1" s="221"/>
      <c r="O1" s="221"/>
      <c r="P1" s="221"/>
      <c r="Q1" s="221"/>
      <c r="R1" s="220"/>
    </row>
    <row r="2" spans="1:24" s="156" customFormat="1" ht="22.5" x14ac:dyDescent="0.2">
      <c r="H2" s="219"/>
      <c r="I2" s="218"/>
      <c r="J2" s="217" t="s">
        <v>152</v>
      </c>
      <c r="K2" s="190"/>
      <c r="L2" s="190"/>
      <c r="M2" s="190"/>
      <c r="N2" s="190"/>
      <c r="O2" s="216" t="s">
        <v>195</v>
      </c>
      <c r="P2" s="215" t="s">
        <v>194</v>
      </c>
      <c r="Q2" s="213"/>
      <c r="R2" s="214"/>
      <c r="T2" s="223" t="s">
        <v>196</v>
      </c>
      <c r="U2" s="224" t="s">
        <v>197</v>
      </c>
      <c r="V2" s="224" t="s">
        <v>198</v>
      </c>
      <c r="W2" s="224" t="s">
        <v>199</v>
      </c>
      <c r="X2" s="225" t="s">
        <v>200</v>
      </c>
    </row>
    <row r="3" spans="1:24" x14ac:dyDescent="0.2">
      <c r="A3" s="60"/>
      <c r="B3" s="49"/>
      <c r="C3" s="49"/>
      <c r="D3" s="49"/>
      <c r="E3" s="49"/>
      <c r="F3" s="46"/>
      <c r="H3" s="195"/>
      <c r="I3" s="213"/>
      <c r="J3" s="213"/>
      <c r="K3" s="213"/>
      <c r="L3" s="190"/>
      <c r="M3" s="190"/>
      <c r="N3" s="190"/>
      <c r="O3" s="213"/>
      <c r="P3" s="213"/>
      <c r="Q3" s="212">
        <f>_xll.ohTrigger(Q5:Q22)</f>
        <v>1</v>
      </c>
      <c r="R3" s="186"/>
      <c r="T3" s="226" t="s">
        <v>201</v>
      </c>
      <c r="U3" s="227" t="s">
        <v>202</v>
      </c>
      <c r="V3" s="227" t="s">
        <v>203</v>
      </c>
      <c r="W3" s="227" t="str">
        <f>""</f>
        <v/>
      </c>
      <c r="X3" s="228" t="s">
        <v>204</v>
      </c>
    </row>
    <row r="4" spans="1:24" ht="17.25" customHeight="1" x14ac:dyDescent="0.2">
      <c r="A4" s="30"/>
      <c r="B4" s="59"/>
      <c r="C4" s="43" t="str">
        <f>Currency&amp;"_010_"&amp;"Deposits.xml"</f>
        <v>HKD_010_Deposits.xml</v>
      </c>
      <c r="D4" s="58" t="e">
        <f ca="1">IF(Serialize,_xll.ohObjectSave(D5:D22,SerializationPath&amp;C4,FileOverwrite,,Serialize),"---")</f>
        <v>#NUM!</v>
      </c>
      <c r="E4" s="57" t="str">
        <f ca="1">_xll.ohRangeRetrieveError(D4)</f>
        <v>ohObjectSave - ObjectHandler error: attempt to retrieve object with unknown ID 'HKDOND_Quote'</v>
      </c>
      <c r="F4" s="53"/>
      <c r="H4" s="195"/>
      <c r="I4" s="208"/>
      <c r="J4" s="211" t="str">
        <f>_xll.RData(J5:J22,K4:K4,,ReutersRtMode,,K5)</f>
        <v>Retrieving...</v>
      </c>
      <c r="K4" s="210" t="s">
        <v>193</v>
      </c>
      <c r="L4" s="190"/>
      <c r="M4" s="209" t="s">
        <v>192</v>
      </c>
      <c r="N4" s="190"/>
      <c r="O4" s="208" t="s">
        <v>191</v>
      </c>
      <c r="P4" s="207" t="s">
        <v>190</v>
      </c>
      <c r="Q4" s="206" t="s">
        <v>189</v>
      </c>
      <c r="R4" s="186"/>
      <c r="T4" s="226" t="s">
        <v>205</v>
      </c>
      <c r="U4" s="227"/>
      <c r="V4" s="227" t="s">
        <v>206</v>
      </c>
      <c r="W4" s="227"/>
      <c r="X4" s="228" t="s">
        <v>204</v>
      </c>
    </row>
    <row r="5" spans="1:24" x14ac:dyDescent="0.2">
      <c r="A5" s="30"/>
      <c r="B5" s="56" t="s">
        <v>81</v>
      </c>
      <c r="C5" s="55" t="str">
        <f t="shared" ref="C5:C22" si="0">Currency&amp;$B5&amp;QuoteSuffix</f>
        <v>HKDOND_Quote</v>
      </c>
      <c r="D5" s="55" t="str">
        <f>_xll.qlSimpleQuote(C5,,RateTickValue,Permanent,Trigger,ObjectOverwrite)</f>
        <v>HKDOND_Quote#0001</v>
      </c>
      <c r="E5" s="54" t="str">
        <f>_xll.ohRangeRetrieveError(D5)</f>
        <v/>
      </c>
      <c r="F5" s="53"/>
      <c r="H5" s="195"/>
      <c r="I5" s="205" t="s">
        <v>151</v>
      </c>
      <c r="J5" s="193" t="str">
        <f t="shared" ref="J5:J22" si="1">"HIHKD"&amp;I5&amp;"D="</f>
        <v>HIHKDOND=</v>
      </c>
      <c r="K5" s="204">
        <v>6.4810000000000006E-2</v>
      </c>
      <c r="L5" s="190"/>
      <c r="M5" s="203"/>
      <c r="N5" s="190"/>
      <c r="O5" s="202" t="str">
        <f t="shared" ref="O5:O22" si="2">Currency&amp;I5&amp;$P$2</f>
        <v>HKDOND_Quote</v>
      </c>
      <c r="P5" s="201">
        <f t="array" ref="P5:P22">QuoteLive</f>
        <v>6.4810000000000006E-2</v>
      </c>
      <c r="Q5" s="200" t="e">
        <f>_xll.qlSimpleQuoteSetValue($O5,$P5/100,Trigger)</f>
        <v>#NUM!</v>
      </c>
      <c r="R5" s="186"/>
      <c r="T5" s="226" t="s">
        <v>152</v>
      </c>
      <c r="U5" s="227" t="s">
        <v>207</v>
      </c>
      <c r="V5" s="227" t="s">
        <v>203</v>
      </c>
      <c r="W5" s="227"/>
      <c r="X5" s="228" t="s">
        <v>208</v>
      </c>
    </row>
    <row r="6" spans="1:24" x14ac:dyDescent="0.2">
      <c r="A6" s="30"/>
      <c r="B6" s="56" t="s">
        <v>80</v>
      </c>
      <c r="C6" s="55" t="str">
        <f t="shared" si="0"/>
        <v>HKDTND_Quote</v>
      </c>
      <c r="D6" s="55" t="str">
        <f>_xll.qlSimpleQuote(C6,,RateTickValue,Permanent,Trigger,ObjectOverwrite)</f>
        <v>HKDTND_Quote#0001</v>
      </c>
      <c r="E6" s="54" t="str">
        <f>_xll.ohRangeRetrieveError(D6)</f>
        <v/>
      </c>
      <c r="F6" s="53"/>
      <c r="H6" s="195"/>
      <c r="I6" s="194" t="s">
        <v>159</v>
      </c>
      <c r="J6" s="193" t="str">
        <f t="shared" si="1"/>
        <v>HIHKDTND=</v>
      </c>
      <c r="K6" s="192" t="s">
        <v>188</v>
      </c>
      <c r="L6" s="190"/>
      <c r="M6" s="199" t="s">
        <v>188</v>
      </c>
      <c r="N6" s="190"/>
      <c r="O6" s="198" t="str">
        <f t="shared" si="2"/>
        <v>HKDTND_Quote</v>
      </c>
      <c r="P6" s="197" t="str">
        <v>The record could not be found</v>
      </c>
      <c r="Q6" s="196" t="e">
        <f>_xll.qlSimpleQuoteSetValue($O6,$P6/100,Trigger)</f>
        <v>#NUM!</v>
      </c>
      <c r="R6" s="186"/>
      <c r="T6" s="226" t="s">
        <v>209</v>
      </c>
      <c r="U6" s="227"/>
      <c r="V6" s="227" t="s">
        <v>203</v>
      </c>
      <c r="W6" s="227"/>
      <c r="X6" s="228" t="s">
        <v>208</v>
      </c>
    </row>
    <row r="7" spans="1:24" x14ac:dyDescent="0.2">
      <c r="A7" s="30"/>
      <c r="B7" s="56" t="s">
        <v>79</v>
      </c>
      <c r="C7" s="55" t="str">
        <f t="shared" si="0"/>
        <v>HKDSND_Quote</v>
      </c>
      <c r="D7" s="55" t="str">
        <f>_xll.qlSimpleQuote(C7,,RateTickValue,Permanent,Trigger,ObjectOverwrite)</f>
        <v>HKDSND_Quote#0001</v>
      </c>
      <c r="E7" s="54" t="str">
        <f>_xll.ohRangeRetrieveError(D7)</f>
        <v/>
      </c>
      <c r="F7" s="53"/>
      <c r="H7" s="195"/>
      <c r="I7" s="194" t="s">
        <v>158</v>
      </c>
      <c r="J7" s="193" t="str">
        <f t="shared" si="1"/>
        <v>HIHKDSND=</v>
      </c>
      <c r="K7" s="192" t="s">
        <v>188</v>
      </c>
      <c r="L7" s="190"/>
      <c r="M7" s="199" t="s">
        <v>188</v>
      </c>
      <c r="N7" s="190"/>
      <c r="O7" s="198" t="str">
        <f t="shared" si="2"/>
        <v>HKDSND_Quote</v>
      </c>
      <c r="P7" s="197" t="str">
        <v>The record could not be found</v>
      </c>
      <c r="Q7" s="196" t="e">
        <f>_xll.qlSimpleQuoteSetValue($O7,$P7/100,Trigger)</f>
        <v>#NUM!</v>
      </c>
      <c r="R7" s="186"/>
      <c r="T7" s="226" t="s">
        <v>210</v>
      </c>
      <c r="U7" s="227"/>
      <c r="V7" s="227" t="s">
        <v>203</v>
      </c>
      <c r="W7" s="227" t="s">
        <v>211</v>
      </c>
      <c r="X7" s="228" t="s">
        <v>208</v>
      </c>
    </row>
    <row r="8" spans="1:24" x14ac:dyDescent="0.2">
      <c r="A8" s="30"/>
      <c r="B8" s="56" t="s">
        <v>78</v>
      </c>
      <c r="C8" s="55" t="str">
        <f t="shared" si="0"/>
        <v>HKDSWD_Quote</v>
      </c>
      <c r="D8" s="55" t="str">
        <f>_xll.qlSimpleQuote(C8,,RateTickValue,Permanent,Trigger,ObjectOverwrite)</f>
        <v>HKDSWD_Quote#0001</v>
      </c>
      <c r="E8" s="54" t="str">
        <f>_xll.ohRangeRetrieveError(D8)</f>
        <v/>
      </c>
      <c r="F8" s="53"/>
      <c r="H8" s="195"/>
      <c r="I8" s="194" t="s">
        <v>157</v>
      </c>
      <c r="J8" s="193" t="str">
        <f t="shared" si="1"/>
        <v>HIHKD1WD=</v>
      </c>
      <c r="K8" s="192">
        <v>0.12179</v>
      </c>
      <c r="L8" s="190"/>
      <c r="M8" s="199">
        <v>0.13428999999999999</v>
      </c>
      <c r="N8" s="190"/>
      <c r="O8" s="198" t="str">
        <f t="shared" si="2"/>
        <v>HKD1WD_Quote</v>
      </c>
      <c r="P8" s="197">
        <v>0.12179</v>
      </c>
      <c r="Q8" s="196" t="e">
        <f>_xll.qlSimpleQuoteSetValue($O8,$P8/100,Trigger)</f>
        <v>#NUM!</v>
      </c>
      <c r="R8" s="186"/>
      <c r="T8" s="226" t="s">
        <v>212</v>
      </c>
      <c r="U8" s="227"/>
      <c r="V8" s="227" t="s">
        <v>203</v>
      </c>
      <c r="W8" s="227" t="s">
        <v>212</v>
      </c>
      <c r="X8" s="228" t="s">
        <v>208</v>
      </c>
    </row>
    <row r="9" spans="1:24" x14ac:dyDescent="0.2">
      <c r="A9" s="30"/>
      <c r="B9" s="56" t="s">
        <v>77</v>
      </c>
      <c r="C9" s="55" t="str">
        <f t="shared" si="0"/>
        <v>HKD2WD_Quote</v>
      </c>
      <c r="D9" s="55" t="str">
        <f>_xll.qlSimpleQuote(C9,,RateTickValue,Permanent,Trigger,ObjectOverwrite)</f>
        <v>HKD2WD_Quote#0001</v>
      </c>
      <c r="E9" s="54" t="str">
        <f>_xll.ohRangeRetrieveError(D9)</f>
        <v/>
      </c>
      <c r="F9" s="53"/>
      <c r="H9" s="195"/>
      <c r="I9" s="194" t="s">
        <v>136</v>
      </c>
      <c r="J9" s="193" t="str">
        <f t="shared" si="1"/>
        <v>HIHKD2WD=</v>
      </c>
      <c r="K9" s="192">
        <v>0.15643000000000001</v>
      </c>
      <c r="L9" s="190"/>
      <c r="M9" s="199">
        <v>0.16070999999999999</v>
      </c>
      <c r="N9" s="190"/>
      <c r="O9" s="198" t="str">
        <f t="shared" si="2"/>
        <v>HKD2WD_Quote</v>
      </c>
      <c r="P9" s="197">
        <v>0.15643000000000001</v>
      </c>
      <c r="Q9" s="196" t="e">
        <f>_xll.qlSimpleQuoteSetValue($O9,$P9/100,Trigger)</f>
        <v>#NUM!</v>
      </c>
      <c r="R9" s="186"/>
      <c r="T9" s="226" t="s">
        <v>213</v>
      </c>
      <c r="U9" s="227"/>
      <c r="V9" s="227" t="s">
        <v>203</v>
      </c>
      <c r="W9" s="227" t="s">
        <v>214</v>
      </c>
      <c r="X9" s="228" t="s">
        <v>208</v>
      </c>
    </row>
    <row r="10" spans="1:24" x14ac:dyDescent="0.2">
      <c r="A10" s="30"/>
      <c r="B10" s="56" t="s">
        <v>76</v>
      </c>
      <c r="C10" s="55" t="str">
        <f t="shared" si="0"/>
        <v>HKD3WD_Quote</v>
      </c>
      <c r="D10" s="55" t="str">
        <f>_xll.qlSimpleQuote(C10,,RateTickValue,Permanent,Trigger,ObjectOverwrite)</f>
        <v>HKD3WD_Quote#0001</v>
      </c>
      <c r="E10" s="54" t="str">
        <f>_xll.ohRangeRetrieveError(D10)</f>
        <v/>
      </c>
      <c r="F10" s="53"/>
      <c r="H10" s="195"/>
      <c r="I10" s="194" t="s">
        <v>135</v>
      </c>
      <c r="J10" s="193" t="str">
        <f t="shared" si="1"/>
        <v>HIHKD3WD=</v>
      </c>
      <c r="K10" s="192" t="s">
        <v>188</v>
      </c>
      <c r="L10" s="190"/>
      <c r="M10" s="199" t="s">
        <v>188</v>
      </c>
      <c r="N10" s="190"/>
      <c r="O10" s="198" t="str">
        <f t="shared" si="2"/>
        <v>HKD3WD_Quote</v>
      </c>
      <c r="P10" s="197" t="str">
        <v>The record could not be found</v>
      </c>
      <c r="Q10" s="196" t="e">
        <f>_xll.qlSimpleQuoteSetValue($O10,$P10/100,Trigger)</f>
        <v>#NUM!</v>
      </c>
      <c r="R10" s="186"/>
      <c r="T10" s="226" t="s">
        <v>215</v>
      </c>
      <c r="U10" s="227"/>
      <c r="V10" s="227" t="s">
        <v>203</v>
      </c>
      <c r="W10" s="227" t="s">
        <v>216</v>
      </c>
      <c r="X10" s="228" t="s">
        <v>208</v>
      </c>
    </row>
    <row r="11" spans="1:24" x14ac:dyDescent="0.2">
      <c r="A11" s="30"/>
      <c r="B11" s="56" t="s">
        <v>75</v>
      </c>
      <c r="C11" s="55" t="str">
        <f t="shared" si="0"/>
        <v>HKD1MD_Quote</v>
      </c>
      <c r="D11" s="55" t="str">
        <f>_xll.qlSimpleQuote(C11,,RateTickValue,Permanent,Trigger,ObjectOverwrite)</f>
        <v>HKD1MD_Quote#0001</v>
      </c>
      <c r="E11" s="54" t="str">
        <f>_xll.ohRangeRetrieveError(D11)</f>
        <v/>
      </c>
      <c r="F11" s="53"/>
      <c r="H11" s="195"/>
      <c r="I11" s="194" t="s">
        <v>104</v>
      </c>
      <c r="J11" s="193" t="str">
        <f t="shared" si="1"/>
        <v>HIHKD1MD=</v>
      </c>
      <c r="K11" s="192">
        <v>0.21357000000000001</v>
      </c>
      <c r="L11" s="190"/>
      <c r="M11" s="199">
        <v>0.215</v>
      </c>
      <c r="N11" s="190"/>
      <c r="O11" s="198" t="str">
        <f t="shared" si="2"/>
        <v>HKD1MD_Quote</v>
      </c>
      <c r="P11" s="197">
        <v>0.21357000000000001</v>
      </c>
      <c r="Q11" s="196" t="e">
        <f>_xll.qlSimpleQuoteSetValue($O11,$P11/100,Trigger)</f>
        <v>#NUM!</v>
      </c>
      <c r="R11" s="186"/>
      <c r="T11" s="226" t="s">
        <v>217</v>
      </c>
      <c r="U11" s="227"/>
      <c r="V11" s="227" t="s">
        <v>203</v>
      </c>
      <c r="W11" s="227" t="s">
        <v>218</v>
      </c>
      <c r="X11" s="228" t="s">
        <v>208</v>
      </c>
    </row>
    <row r="12" spans="1:24" x14ac:dyDescent="0.2">
      <c r="A12" s="30"/>
      <c r="B12" s="56" t="s">
        <v>74</v>
      </c>
      <c r="C12" s="55" t="str">
        <f t="shared" si="0"/>
        <v>HKD2MD_Quote</v>
      </c>
      <c r="D12" s="55" t="str">
        <f>_xll.qlSimpleQuote(C12,,RateTickValue,Permanent,Trigger,ObjectOverwrite)</f>
        <v>HKD2MD_Quote#0001</v>
      </c>
      <c r="E12" s="54" t="str">
        <f>_xll.ohRangeRetrieveError(D12)</f>
        <v/>
      </c>
      <c r="F12" s="53"/>
      <c r="H12" s="195"/>
      <c r="I12" s="194" t="s">
        <v>134</v>
      </c>
      <c r="J12" s="193" t="str">
        <f t="shared" si="1"/>
        <v>HIHKD2MD=</v>
      </c>
      <c r="K12" s="192">
        <v>0.31470999999999999</v>
      </c>
      <c r="L12" s="190"/>
      <c r="M12" s="199">
        <v>0.32500000000000001</v>
      </c>
      <c r="N12" s="190"/>
      <c r="O12" s="198" t="str">
        <f t="shared" si="2"/>
        <v>HKD2MD_Quote</v>
      </c>
      <c r="P12" s="197">
        <v>0.31470999999999999</v>
      </c>
      <c r="Q12" s="196" t="e">
        <f>_xll.qlSimpleQuoteSetValue($O12,$P12/100,Trigger)</f>
        <v>#NUM!</v>
      </c>
      <c r="R12" s="186"/>
      <c r="T12" s="229" t="s">
        <v>219</v>
      </c>
      <c r="U12" s="230"/>
      <c r="V12" s="230" t="s">
        <v>203</v>
      </c>
      <c r="W12" s="230" t="s">
        <v>220</v>
      </c>
      <c r="X12" s="231" t="s">
        <v>208</v>
      </c>
    </row>
    <row r="13" spans="1:24" x14ac:dyDescent="0.2">
      <c r="A13" s="30"/>
      <c r="B13" s="56" t="s">
        <v>73</v>
      </c>
      <c r="C13" s="55" t="str">
        <f t="shared" si="0"/>
        <v>HKD3MD_Quote</v>
      </c>
      <c r="D13" s="55" t="str">
        <f>_xll.qlSimpleQuote(C13,,RateTickValue,Permanent,Trigger,ObjectOverwrite)</f>
        <v>HKD3MD_Quote#0001</v>
      </c>
      <c r="E13" s="54" t="str">
        <f>_xll.ohRangeRetrieveError(D13)</f>
        <v/>
      </c>
      <c r="F13" s="53"/>
      <c r="H13" s="195"/>
      <c r="I13" s="194" t="s">
        <v>106</v>
      </c>
      <c r="J13" s="193" t="str">
        <f t="shared" si="1"/>
        <v>HIHKD3MD=</v>
      </c>
      <c r="K13" s="192">
        <v>0.37785999999999997</v>
      </c>
      <c r="L13" s="190"/>
      <c r="M13" s="199">
        <v>0.38429000000000002</v>
      </c>
      <c r="N13" s="190"/>
      <c r="O13" s="198" t="str">
        <f t="shared" si="2"/>
        <v>HKD3MD_Quote</v>
      </c>
      <c r="P13" s="197">
        <v>0.37785999999999997</v>
      </c>
      <c r="Q13" s="196" t="e">
        <f>_xll.qlSimpleQuoteSetValue($O13,$P13/100,Trigger)</f>
        <v>#NUM!</v>
      </c>
      <c r="R13" s="186"/>
    </row>
    <row r="14" spans="1:24" x14ac:dyDescent="0.2">
      <c r="A14" s="30"/>
      <c r="B14" s="56" t="s">
        <v>72</v>
      </c>
      <c r="C14" s="55" t="str">
        <f t="shared" si="0"/>
        <v>HKD4MD_Quote</v>
      </c>
      <c r="D14" s="55" t="str">
        <f>_xll.qlSimpleQuote(C14,,RateTickValue,Permanent,Trigger,ObjectOverwrite)</f>
        <v>HKD4MD_Quote#0001</v>
      </c>
      <c r="E14" s="54" t="str">
        <f>_xll.ohRangeRetrieveError(D14)</f>
        <v/>
      </c>
      <c r="F14" s="53"/>
      <c r="H14" s="195"/>
      <c r="I14" s="194" t="s">
        <v>133</v>
      </c>
      <c r="J14" s="193" t="str">
        <f t="shared" si="1"/>
        <v>HIHKD4MD=</v>
      </c>
      <c r="K14" s="192">
        <v>0.41214000000000001</v>
      </c>
      <c r="L14" s="190"/>
      <c r="M14" s="199">
        <v>0.41143000000000002</v>
      </c>
      <c r="N14" s="190"/>
      <c r="O14" s="198" t="str">
        <f t="shared" si="2"/>
        <v>HKD4MD_Quote</v>
      </c>
      <c r="P14" s="197">
        <v>0.41214000000000001</v>
      </c>
      <c r="Q14" s="196" t="e">
        <f>_xll.qlSimpleQuoteSetValue($O14,$P14/100,Trigger)</f>
        <v>#NUM!</v>
      </c>
      <c r="R14" s="186"/>
    </row>
    <row r="15" spans="1:24" x14ac:dyDescent="0.2">
      <c r="A15" s="30"/>
      <c r="B15" s="56" t="s">
        <v>71</v>
      </c>
      <c r="C15" s="55" t="str">
        <f t="shared" si="0"/>
        <v>HKD5MD_Quote</v>
      </c>
      <c r="D15" s="55" t="str">
        <f>_xll.qlSimpleQuote(C15,,RateTickValue,Permanent,Trigger,ObjectOverwrite)</f>
        <v>HKD5MD_Quote#0001</v>
      </c>
      <c r="E15" s="54" t="str">
        <f>_xll.ohRangeRetrieveError(D15)</f>
        <v/>
      </c>
      <c r="F15" s="53"/>
      <c r="H15" s="195"/>
      <c r="I15" s="194" t="s">
        <v>132</v>
      </c>
      <c r="J15" s="193" t="str">
        <f t="shared" si="1"/>
        <v>HIHKD5MD=</v>
      </c>
      <c r="K15" s="192">
        <v>0.45918999999999999</v>
      </c>
      <c r="L15" s="190"/>
      <c r="M15" s="199">
        <v>0.45213999999999999</v>
      </c>
      <c r="N15" s="190"/>
      <c r="O15" s="198" t="str">
        <f t="shared" si="2"/>
        <v>HKD5MD_Quote</v>
      </c>
      <c r="P15" s="197">
        <v>0.45918999999999999</v>
      </c>
      <c r="Q15" s="196" t="e">
        <f>_xll.qlSimpleQuoteSetValue($O15,$P15/100,Trigger)</f>
        <v>#NUM!</v>
      </c>
      <c r="R15" s="186"/>
    </row>
    <row r="16" spans="1:24" x14ac:dyDescent="0.2">
      <c r="A16" s="30"/>
      <c r="B16" s="56" t="s">
        <v>70</v>
      </c>
      <c r="C16" s="55" t="str">
        <f t="shared" si="0"/>
        <v>HKD6MD_Quote</v>
      </c>
      <c r="D16" s="55" t="str">
        <f>_xll.qlSimpleQuote(C16,,RateTickValue,Permanent,Trigger,ObjectOverwrite)</f>
        <v>HKD6MD_Quote#0001</v>
      </c>
      <c r="E16" s="54" t="str">
        <f>_xll.ohRangeRetrieveError(D16)</f>
        <v/>
      </c>
      <c r="F16" s="53"/>
      <c r="H16" s="195"/>
      <c r="I16" s="194" t="s">
        <v>61</v>
      </c>
      <c r="J16" s="193" t="str">
        <f t="shared" si="1"/>
        <v>HIHKD6MD=</v>
      </c>
      <c r="K16" s="192">
        <v>0.54786000000000001</v>
      </c>
      <c r="L16" s="190"/>
      <c r="M16" s="199">
        <v>0.54571000000000003</v>
      </c>
      <c r="N16" s="190"/>
      <c r="O16" s="198" t="str">
        <f t="shared" si="2"/>
        <v>HKD6MD_Quote</v>
      </c>
      <c r="P16" s="197">
        <v>0.54786000000000001</v>
      </c>
      <c r="Q16" s="196" t="e">
        <f>_xll.qlSimpleQuoteSetValue($O16,$P16/100,Trigger)</f>
        <v>#NUM!</v>
      </c>
      <c r="R16" s="186"/>
    </row>
    <row r="17" spans="1:18" x14ac:dyDescent="0.2">
      <c r="A17" s="30"/>
      <c r="B17" s="56" t="s">
        <v>69</v>
      </c>
      <c r="C17" s="55" t="str">
        <f t="shared" si="0"/>
        <v>HKD7MD_Quote</v>
      </c>
      <c r="D17" s="55" t="str">
        <f>_xll.qlSimpleQuote(C17,,RateTickValue,Permanent,Trigger,ObjectOverwrite)</f>
        <v>HKD7MD_Quote#0001</v>
      </c>
      <c r="E17" s="54" t="str">
        <f>_xll.ohRangeRetrieveError(D17)</f>
        <v/>
      </c>
      <c r="F17" s="53"/>
      <c r="H17" s="195"/>
      <c r="I17" s="194" t="s">
        <v>131</v>
      </c>
      <c r="J17" s="193" t="str">
        <f t="shared" si="1"/>
        <v>HIHKD7MD=</v>
      </c>
      <c r="K17" s="192">
        <v>0.57786000000000004</v>
      </c>
      <c r="L17" s="190"/>
      <c r="M17" s="199">
        <v>0.57071000000000005</v>
      </c>
      <c r="N17" s="190"/>
      <c r="O17" s="198" t="str">
        <f t="shared" si="2"/>
        <v>HKD7MD_Quote</v>
      </c>
      <c r="P17" s="197">
        <v>0.57786000000000004</v>
      </c>
      <c r="Q17" s="196" t="e">
        <f>_xll.qlSimpleQuoteSetValue($O17,$P17/100,Trigger)</f>
        <v>#NUM!</v>
      </c>
      <c r="R17" s="186"/>
    </row>
    <row r="18" spans="1:18" x14ac:dyDescent="0.2">
      <c r="A18" s="30"/>
      <c r="B18" s="56" t="s">
        <v>68</v>
      </c>
      <c r="C18" s="55" t="str">
        <f t="shared" si="0"/>
        <v>HKD8MD_Quote</v>
      </c>
      <c r="D18" s="55" t="str">
        <f>_xll.qlSimpleQuote(C18,,RateTickValue,Permanent,Trigger,ObjectOverwrite)</f>
        <v>HKD8MD_Quote#0001</v>
      </c>
      <c r="E18" s="54" t="str">
        <f>_xll.ohRangeRetrieveError(D18)</f>
        <v/>
      </c>
      <c r="F18" s="53"/>
      <c r="H18" s="195"/>
      <c r="I18" s="194" t="s">
        <v>130</v>
      </c>
      <c r="J18" s="193" t="str">
        <f t="shared" si="1"/>
        <v>HIHKD8MD=</v>
      </c>
      <c r="K18" s="192">
        <v>0.6089</v>
      </c>
      <c r="L18" s="190"/>
      <c r="M18" s="199">
        <v>0.59214</v>
      </c>
      <c r="N18" s="190"/>
      <c r="O18" s="198" t="str">
        <f t="shared" si="2"/>
        <v>HKD8MD_Quote</v>
      </c>
      <c r="P18" s="197">
        <v>0.6089</v>
      </c>
      <c r="Q18" s="196" t="e">
        <f>_xll.qlSimpleQuoteSetValue($O18,$P18/100,Trigger)</f>
        <v>#NUM!</v>
      </c>
      <c r="R18" s="186"/>
    </row>
    <row r="19" spans="1:18" x14ac:dyDescent="0.2">
      <c r="A19" s="30"/>
      <c r="B19" s="56" t="s">
        <v>67</v>
      </c>
      <c r="C19" s="55" t="str">
        <f t="shared" si="0"/>
        <v>HKD9MD_Quote</v>
      </c>
      <c r="D19" s="55" t="str">
        <f>_xll.qlSimpleQuote(C19,,RateTickValue,Permanent,Trigger,ObjectOverwrite)</f>
        <v>HKD9MD_Quote#0001</v>
      </c>
      <c r="E19" s="54" t="str">
        <f>_xll.ohRangeRetrieveError(D19)</f>
        <v/>
      </c>
      <c r="F19" s="53"/>
      <c r="H19" s="195"/>
      <c r="I19" s="194" t="s">
        <v>129</v>
      </c>
      <c r="J19" s="193" t="str">
        <f t="shared" si="1"/>
        <v>HIHKD9MD=</v>
      </c>
      <c r="K19" s="192">
        <v>0.63871</v>
      </c>
      <c r="L19" s="190"/>
      <c r="M19" s="199">
        <v>0.62070999999999998</v>
      </c>
      <c r="N19" s="190"/>
      <c r="O19" s="198" t="str">
        <f t="shared" si="2"/>
        <v>HKD9MD_Quote</v>
      </c>
      <c r="P19" s="197">
        <v>0.63871</v>
      </c>
      <c r="Q19" s="196" t="e">
        <f>_xll.qlSimpleQuoteSetValue($O19,$P19/100,Trigger)</f>
        <v>#NUM!</v>
      </c>
      <c r="R19" s="186"/>
    </row>
    <row r="20" spans="1:18" x14ac:dyDescent="0.2">
      <c r="A20" s="30"/>
      <c r="B20" s="56" t="s">
        <v>66</v>
      </c>
      <c r="C20" s="55" t="str">
        <f t="shared" si="0"/>
        <v>HKD10MD_Quote</v>
      </c>
      <c r="D20" s="55" t="str">
        <f>_xll.qlSimpleQuote(C20,,RateTickValue,Permanent,Trigger,ObjectOverwrite)</f>
        <v>HKD10MD_Quote#0001</v>
      </c>
      <c r="E20" s="54" t="str">
        <f>_xll.ohRangeRetrieveError(D20)</f>
        <v/>
      </c>
      <c r="F20" s="53"/>
      <c r="H20" s="195"/>
      <c r="I20" s="194" t="s">
        <v>128</v>
      </c>
      <c r="J20" s="193" t="str">
        <f t="shared" si="1"/>
        <v>HIHKD10MD=</v>
      </c>
      <c r="K20" s="192">
        <v>0.71421000000000001</v>
      </c>
      <c r="L20" s="190"/>
      <c r="M20" s="199">
        <v>0.70143</v>
      </c>
      <c r="N20" s="190"/>
      <c r="O20" s="198" t="str">
        <f t="shared" si="2"/>
        <v>HKD10MD_Quote</v>
      </c>
      <c r="P20" s="197">
        <v>0.71421000000000001</v>
      </c>
      <c r="Q20" s="196" t="e">
        <f>_xll.qlSimpleQuoteSetValue($O20,$P20/100,Trigger)</f>
        <v>#NUM!</v>
      </c>
      <c r="R20" s="186"/>
    </row>
    <row r="21" spans="1:18" x14ac:dyDescent="0.2">
      <c r="A21" s="30"/>
      <c r="B21" s="56" t="s">
        <v>65</v>
      </c>
      <c r="C21" s="55" t="str">
        <f t="shared" si="0"/>
        <v>HKD11MD_Quote</v>
      </c>
      <c r="D21" s="55" t="str">
        <f>_xll.qlSimpleQuote(C21,,RateTickValue,Permanent,Trigger,ObjectOverwrite)</f>
        <v>HKD11MD_Quote#0001</v>
      </c>
      <c r="E21" s="54" t="str">
        <f>_xll.ohRangeRetrieveError(D21)</f>
        <v/>
      </c>
      <c r="F21" s="53"/>
      <c r="H21" s="195"/>
      <c r="I21" s="194" t="s">
        <v>127</v>
      </c>
      <c r="J21" s="193" t="str">
        <f t="shared" si="1"/>
        <v>HIHKD11MD=</v>
      </c>
      <c r="K21" s="192">
        <v>0.79049999999999998</v>
      </c>
      <c r="L21" s="190"/>
      <c r="M21" s="199">
        <v>0.78571000000000002</v>
      </c>
      <c r="N21" s="190"/>
      <c r="O21" s="198" t="str">
        <f t="shared" si="2"/>
        <v>HKD11MD_Quote</v>
      </c>
      <c r="P21" s="197">
        <v>0.79049999999999998</v>
      </c>
      <c r="Q21" s="196" t="e">
        <f>_xll.qlSimpleQuoteSetValue($O21,$P21/100,Trigger)</f>
        <v>#NUM!</v>
      </c>
      <c r="R21" s="186"/>
    </row>
    <row r="22" spans="1:18" x14ac:dyDescent="0.2">
      <c r="A22" s="30"/>
      <c r="B22" s="56" t="s">
        <v>64</v>
      </c>
      <c r="C22" s="55" t="str">
        <f t="shared" si="0"/>
        <v>HKD1YD_Quote</v>
      </c>
      <c r="D22" s="55" t="str">
        <f>_xll.qlSimpleQuote(C22,,RateTickValue,Permanent,Trigger,ObjectOverwrite)</f>
        <v>HKD1YD_Quote#0001</v>
      </c>
      <c r="E22" s="54" t="str">
        <f>_xll.ohRangeRetrieveError(D22)</f>
        <v/>
      </c>
      <c r="F22" s="53"/>
      <c r="H22" s="195"/>
      <c r="I22" s="194" t="s">
        <v>60</v>
      </c>
      <c r="J22" s="193" t="str">
        <f t="shared" si="1"/>
        <v>HIHKD1YD=</v>
      </c>
      <c r="K22" s="192">
        <v>0.86643000000000003</v>
      </c>
      <c r="L22" s="190"/>
      <c r="M22" s="191">
        <v>0.87070999999999998</v>
      </c>
      <c r="N22" s="190"/>
      <c r="O22" s="189" t="str">
        <f t="shared" si="2"/>
        <v>HKD1YD_Quote</v>
      </c>
      <c r="P22" s="188">
        <v>0.86643000000000003</v>
      </c>
      <c r="Q22" s="187" t="e">
        <f>_xll.qlSimpleQuoteSetValue($O22,$P22/100,Trigger)</f>
        <v>#NUM!</v>
      </c>
      <c r="R22" s="186"/>
    </row>
    <row r="23" spans="1:18" ht="12" thickBot="1" x14ac:dyDescent="0.25">
      <c r="A23" s="23"/>
      <c r="B23" s="22"/>
      <c r="C23" s="22"/>
      <c r="D23" s="22"/>
      <c r="E23" s="22"/>
      <c r="F23" s="20"/>
      <c r="H23" s="185"/>
      <c r="I23" s="184"/>
      <c r="J23" s="184"/>
      <c r="K23" s="184"/>
      <c r="L23" s="183"/>
      <c r="M23" s="183"/>
      <c r="N23" s="183"/>
      <c r="O23" s="183"/>
      <c r="P23" s="183"/>
      <c r="Q23" s="183"/>
      <c r="R23" s="182"/>
    </row>
  </sheetData>
  <dataValidations count="1">
    <dataValidation type="list" showInputMessage="1" showErrorMessage="1" sqref="J2">
      <formula1>Contributors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53"/>
  <sheetViews>
    <sheetView workbookViewId="0"/>
  </sheetViews>
  <sheetFormatPr defaultRowHeight="12.75" x14ac:dyDescent="0.2"/>
  <cols>
    <col min="1" max="1" width="4.28515625" style="40" customWidth="1"/>
    <col min="2" max="2" width="5.85546875" style="40" bestFit="1" customWidth="1"/>
    <col min="3" max="3" width="4.42578125" style="40" bestFit="1" customWidth="1"/>
    <col min="4" max="4" width="15.5703125" style="62" bestFit="1" customWidth="1"/>
    <col min="5" max="5" width="20" style="40" bestFit="1" customWidth="1"/>
    <col min="6" max="6" width="57.42578125" style="61" customWidth="1"/>
    <col min="7" max="7" width="4.28515625" style="40" customWidth="1"/>
    <col min="8" max="8" width="4.42578125" style="40" customWidth="1"/>
    <col min="9" max="12" width="9.140625" style="40"/>
    <col min="13" max="13" width="14.5703125" style="40" bestFit="1" customWidth="1"/>
    <col min="14" max="16384" width="9.140625" style="40"/>
  </cols>
  <sheetData>
    <row r="1" spans="1:32" x14ac:dyDescent="0.2">
      <c r="A1" s="73"/>
      <c r="B1" s="88"/>
      <c r="C1" s="88"/>
      <c r="D1" s="40"/>
      <c r="E1" s="61"/>
      <c r="F1" s="40"/>
      <c r="G1" s="67"/>
      <c r="I1" s="27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0"/>
      <c r="Z1" s="232"/>
      <c r="AA1" s="232"/>
      <c r="AB1" s="232"/>
      <c r="AC1" s="232"/>
      <c r="AD1" s="232"/>
      <c r="AE1" s="232"/>
      <c r="AF1" s="232"/>
    </row>
    <row r="2" spans="1:32" ht="24" customHeight="1" x14ac:dyDescent="0.2">
      <c r="A2" s="73"/>
      <c r="B2" s="87"/>
      <c r="C2" s="86"/>
      <c r="D2" s="85" t="str">
        <f>Currency&amp;"_010_"&amp;"FRA.xml"</f>
        <v>HKD_010_FRA.xml</v>
      </c>
      <c r="E2" s="84" t="e">
        <f ca="1">IF(Serialize,_xll.ohObjectSave(E3:E38,SerializationPath&amp;D2,FileOverwrite,,Serialize),"---")</f>
        <v>#NUM!</v>
      </c>
      <c r="F2" s="83" t="str">
        <f ca="1">_xll.ohRangeRetrieveError(E2)</f>
        <v>ohObjectSave - ObjectHandler error: attempt to retrieve object with unknown ID 'HKDT1F1_Quote'</v>
      </c>
      <c r="G2" s="67"/>
      <c r="I2" s="219"/>
      <c r="J2" s="270"/>
      <c r="K2" s="268"/>
      <c r="L2" s="268"/>
      <c r="M2" s="217" t="s">
        <v>217</v>
      </c>
      <c r="N2" s="268"/>
      <c r="O2" s="268"/>
      <c r="P2" s="268"/>
      <c r="Q2" s="268"/>
      <c r="R2" s="190"/>
      <c r="S2" s="190"/>
      <c r="T2" s="190"/>
      <c r="U2" s="190"/>
      <c r="V2" s="269" t="s">
        <v>195</v>
      </c>
      <c r="W2" s="217" t="s">
        <v>2</v>
      </c>
      <c r="X2" s="268"/>
      <c r="Y2" s="214"/>
      <c r="Z2" s="232"/>
      <c r="AA2" s="232"/>
      <c r="AB2" s="232"/>
      <c r="AC2" s="232"/>
      <c r="AD2" s="232"/>
      <c r="AE2" s="232"/>
      <c r="AF2" s="232"/>
    </row>
    <row r="3" spans="1:32" x14ac:dyDescent="0.2">
      <c r="A3" s="73"/>
      <c r="B3" s="77" t="s">
        <v>100</v>
      </c>
      <c r="C3" s="78" t="s">
        <v>83</v>
      </c>
      <c r="D3" s="77" t="str">
        <f t="shared" ref="D3:D38" si="0">Currency&amp;$B3&amp;$C3&amp;QuoteSuffix</f>
        <v>HKDT1F1_Quote</v>
      </c>
      <c r="E3" s="76" t="str">
        <f>_xll.qlSimpleQuote(D3,,RateTickValue,Permanent,Trigger,ObjectOverwrite)</f>
        <v>HKDT1F1_Quote#0001</v>
      </c>
      <c r="F3" s="75" t="str">
        <f>_xll.ohRangeRetrieveError(E3)</f>
        <v/>
      </c>
      <c r="G3" s="67"/>
      <c r="I3" s="195"/>
      <c r="J3" s="268"/>
      <c r="K3" s="190"/>
      <c r="L3" s="268"/>
      <c r="M3" s="268"/>
      <c r="N3" s="268"/>
      <c r="O3" s="268"/>
      <c r="P3" s="268"/>
      <c r="Q3" s="268"/>
      <c r="R3" s="268"/>
      <c r="S3" s="190"/>
      <c r="T3" s="190"/>
      <c r="U3" s="190"/>
      <c r="V3" s="268"/>
      <c r="W3" s="268"/>
      <c r="X3" s="212">
        <f>_xll.ohTrigger(X5:X26)</f>
        <v>3</v>
      </c>
      <c r="Y3" s="186"/>
      <c r="Z3" s="232"/>
      <c r="AA3" s="232"/>
      <c r="AB3" s="232"/>
      <c r="AC3" s="232"/>
      <c r="AD3" s="232"/>
      <c r="AE3" s="232"/>
      <c r="AF3" s="232"/>
    </row>
    <row r="4" spans="1:32" ht="22.5" x14ac:dyDescent="0.2">
      <c r="A4" s="73"/>
      <c r="B4" s="70" t="s">
        <v>99</v>
      </c>
      <c r="C4" s="74" t="s">
        <v>83</v>
      </c>
      <c r="D4" s="70" t="str">
        <f t="shared" si="0"/>
        <v>HKDTOM1F1_Quote</v>
      </c>
      <c r="E4" s="69" t="str">
        <f>_xll.qlSimpleQuote(D4,,RateTickValue,Permanent,Trigger,ObjectOverwrite)</f>
        <v>HKDTOM1F1_Quote#0001</v>
      </c>
      <c r="F4" s="68" t="str">
        <f>_xll.ohRangeRetrieveError(E4)</f>
        <v/>
      </c>
      <c r="G4" s="67"/>
      <c r="I4" s="195"/>
      <c r="J4" s="267"/>
      <c r="K4" s="266"/>
      <c r="L4" s="265"/>
      <c r="M4" s="211" t="str">
        <f>_xll.RData(M5:M36,N4:Q4,,ReutersRtMode,,N5)</f>
        <v>Updated at 16:19:59</v>
      </c>
      <c r="N4" s="264" t="s">
        <v>233</v>
      </c>
      <c r="O4" s="264" t="s">
        <v>208</v>
      </c>
      <c r="P4" s="264" t="s">
        <v>204</v>
      </c>
      <c r="Q4" s="264" t="s">
        <v>232</v>
      </c>
      <c r="R4" s="206" t="s">
        <v>231</v>
      </c>
      <c r="S4" s="190"/>
      <c r="T4" s="209" t="s">
        <v>192</v>
      </c>
      <c r="U4" s="190"/>
      <c r="V4" s="263" t="s">
        <v>191</v>
      </c>
      <c r="W4" s="262" t="s">
        <v>190</v>
      </c>
      <c r="X4" s="261" t="s">
        <v>189</v>
      </c>
      <c r="Y4" s="186"/>
      <c r="Z4" s="232"/>
      <c r="AA4" s="232"/>
      <c r="AB4" s="232"/>
      <c r="AC4" s="232"/>
      <c r="AD4" s="232"/>
      <c r="AE4" s="260" t="s">
        <v>230</v>
      </c>
      <c r="AF4" s="232"/>
    </row>
    <row r="5" spans="1:32" x14ac:dyDescent="0.2">
      <c r="A5" s="73"/>
      <c r="B5" s="77" t="s">
        <v>98</v>
      </c>
      <c r="C5" s="78" t="s">
        <v>83</v>
      </c>
      <c r="D5" s="77" t="str">
        <f t="shared" si="0"/>
        <v>HKDT3F1_Quote</v>
      </c>
      <c r="E5" s="76" t="str">
        <f>_xll.qlSimpleQuote(D5,,RateTickValue,Permanent,Trigger,ObjectOverwrite)</f>
        <v>HKDT3F1_Quote#0001</v>
      </c>
      <c r="F5" s="75" t="str">
        <f>_xll.ohRangeRetrieveError(E5)</f>
        <v/>
      </c>
      <c r="G5" s="67"/>
      <c r="I5" s="195"/>
      <c r="J5" s="259" t="s">
        <v>98</v>
      </c>
      <c r="K5" s="258" t="s">
        <v>83</v>
      </c>
      <c r="L5" s="256" t="str">
        <f t="shared" ref="L5:L36" si="1">Currency&amp;$J5&amp;$K5</f>
        <v>HKDT3F1</v>
      </c>
      <c r="M5" s="256" t="str">
        <f t="array" ref="M5:M36">UPPER(Instruments)&amp;"="&amp;VLOOKUP(Contributor,ContributorTable,2,FALSE)</f>
        <v>HKDT3F1=PREA</v>
      </c>
      <c r="N5" s="257" t="s">
        <v>188</v>
      </c>
      <c r="O5" s="257" t="s">
        <v>188</v>
      </c>
      <c r="P5" s="256" t="s">
        <v>188</v>
      </c>
      <c r="Q5" s="256" t="s">
        <v>188</v>
      </c>
      <c r="R5" s="204" t="e">
        <f>_xll.qlMidSafe($N5,$O5)</f>
        <v>#NUM!</v>
      </c>
      <c r="S5" s="190"/>
      <c r="T5" s="255" t="e">
        <v>#NUM!</v>
      </c>
      <c r="U5" s="190"/>
      <c r="V5" s="202" t="str">
        <f t="shared" ref="V5:V36" si="2">$L5&amp;$W$2</f>
        <v>HKDT3F1_Quote</v>
      </c>
      <c r="W5" s="201" t="e">
        <f t="array" ref="W5:W36">QuoteLive</f>
        <v>#NUM!</v>
      </c>
      <c r="X5" s="200" t="e">
        <f>_xll.qlSimpleQuoteSetValue($V5,$W5/100,Trigger)</f>
        <v>#NUM!</v>
      </c>
      <c r="Y5" s="186"/>
      <c r="Z5" s="232"/>
      <c r="AA5" s="248"/>
      <c r="AB5" s="232"/>
      <c r="AC5" s="232"/>
      <c r="AD5" s="232"/>
      <c r="AE5" s="233" t="e">
        <f t="shared" ref="AE5:AE11" si="3">(O5-R5)/50</f>
        <v>#VALUE!</v>
      </c>
      <c r="AF5" s="232"/>
    </row>
    <row r="6" spans="1:32" x14ac:dyDescent="0.2">
      <c r="A6" s="73"/>
      <c r="B6" s="70" t="s">
        <v>97</v>
      </c>
      <c r="C6" s="74" t="s">
        <v>83</v>
      </c>
      <c r="D6" s="70" t="str">
        <f t="shared" si="0"/>
        <v>HKDTOM3F1_Quote</v>
      </c>
      <c r="E6" s="69" t="str">
        <f>_xll.qlSimpleQuote(D6,,RateTickValue,Permanent,Trigger,ObjectOverwrite)</f>
        <v>HKDTOM3F1_Quote#0001</v>
      </c>
      <c r="F6" s="68" t="str">
        <f>_xll.ohRangeRetrieveError(E6)</f>
        <v/>
      </c>
      <c r="G6" s="67"/>
      <c r="I6" s="195"/>
      <c r="J6" s="254" t="s">
        <v>97</v>
      </c>
      <c r="K6" s="253" t="s">
        <v>83</v>
      </c>
      <c r="L6" s="251" t="str">
        <f t="shared" si="1"/>
        <v>HKDTOM3F1</v>
      </c>
      <c r="M6" s="251" t="str">
        <v>HKDTOM3F1=PREA</v>
      </c>
      <c r="N6" s="252" t="s">
        <v>188</v>
      </c>
      <c r="O6" s="252" t="s">
        <v>188</v>
      </c>
      <c r="P6" s="251" t="s">
        <v>188</v>
      </c>
      <c r="Q6" s="251" t="s">
        <v>188</v>
      </c>
      <c r="R6" s="250" t="e">
        <f>_xll.qlMidSafe($N6,$O6)</f>
        <v>#NUM!</v>
      </c>
      <c r="S6" s="190"/>
      <c r="T6" s="249" t="e">
        <v>#NUM!</v>
      </c>
      <c r="U6" s="190"/>
      <c r="V6" s="189" t="str">
        <f t="shared" si="2"/>
        <v>HKDTOM3F1_Quote</v>
      </c>
      <c r="W6" s="188" t="e">
        <v>#NUM!</v>
      </c>
      <c r="X6" s="187" t="e">
        <f>_xll.qlSimpleQuoteSetValue($V6,$W6/100,Trigger)</f>
        <v>#NUM!</v>
      </c>
      <c r="Y6" s="186"/>
      <c r="Z6" s="232"/>
      <c r="AA6" s="248"/>
      <c r="AB6" s="232"/>
      <c r="AC6" s="232"/>
      <c r="AD6" s="232"/>
      <c r="AE6" s="233" t="e">
        <f t="shared" si="3"/>
        <v>#VALUE!</v>
      </c>
      <c r="AF6" s="232"/>
    </row>
    <row r="7" spans="1:32" x14ac:dyDescent="0.2">
      <c r="A7" s="73"/>
      <c r="B7" s="77">
        <v>1</v>
      </c>
      <c r="C7" s="78" t="s">
        <v>96</v>
      </c>
      <c r="D7" s="77" t="str">
        <f t="shared" si="0"/>
        <v>HKD1x4F_Quote</v>
      </c>
      <c r="E7" s="76" t="str">
        <f>_xll.qlSimpleQuote(D7,,RateTickValue,Permanent,Trigger,ObjectOverwrite)</f>
        <v>HKD1x4F_Quote#0001</v>
      </c>
      <c r="F7" s="75" t="str">
        <f>_xll.ohRangeRetrieveError(E7)</f>
        <v/>
      </c>
      <c r="G7" s="67"/>
      <c r="I7" s="195"/>
      <c r="J7" s="259">
        <v>1</v>
      </c>
      <c r="K7" s="258" t="s">
        <v>96</v>
      </c>
      <c r="L7" s="256" t="str">
        <f t="shared" si="1"/>
        <v>HKD1x4F</v>
      </c>
      <c r="M7" s="256" t="str">
        <v>HKD1X4F=PREA</v>
      </c>
      <c r="N7" s="257">
        <v>0.36</v>
      </c>
      <c r="O7" s="257">
        <v>0.46</v>
      </c>
      <c r="P7" s="256">
        <v>0</v>
      </c>
      <c r="Q7" s="256">
        <v>0</v>
      </c>
      <c r="R7" s="204">
        <f>_xll.qlMidSafe($N7,$O7)</f>
        <v>0.41000000000000003</v>
      </c>
      <c r="S7" s="190"/>
      <c r="T7" s="243">
        <v>0.41000000000000003</v>
      </c>
      <c r="U7" s="190"/>
      <c r="V7" s="198" t="str">
        <f t="shared" si="2"/>
        <v>HKD1x4F_Quote</v>
      </c>
      <c r="W7" s="197">
        <v>0.41000000000000003</v>
      </c>
      <c r="X7" s="196" t="e">
        <f>_xll.qlSimpleQuoteSetValue($V7,$W7/100,Trigger)</f>
        <v>#NUM!</v>
      </c>
      <c r="Y7" s="186"/>
      <c r="Z7" s="232"/>
      <c r="AA7" s="248"/>
      <c r="AB7" s="232"/>
      <c r="AC7" s="232"/>
      <c r="AD7" s="232"/>
      <c r="AE7" s="233">
        <f t="shared" si="3"/>
        <v>9.999999999999998E-4</v>
      </c>
      <c r="AF7" s="232"/>
    </row>
    <row r="8" spans="1:32" x14ac:dyDescent="0.2">
      <c r="A8" s="73"/>
      <c r="B8" s="81">
        <v>2</v>
      </c>
      <c r="C8" s="82" t="s">
        <v>95</v>
      </c>
      <c r="D8" s="81" t="str">
        <f t="shared" si="0"/>
        <v>HKD2x5F_Quote</v>
      </c>
      <c r="E8" s="80" t="str">
        <f>_xll.qlSimpleQuote(D8,,RateTickValue,Permanent,Trigger,ObjectOverwrite)</f>
        <v>HKD2x5F_Quote#0001</v>
      </c>
      <c r="F8" s="79" t="str">
        <f>_xll.ohRangeRetrieveError(E8)</f>
        <v/>
      </c>
      <c r="G8" s="67"/>
      <c r="I8" s="195"/>
      <c r="J8" s="247">
        <v>2</v>
      </c>
      <c r="K8" s="246" t="s">
        <v>95</v>
      </c>
      <c r="L8" s="244" t="str">
        <f t="shared" si="1"/>
        <v>HKD2x5F</v>
      </c>
      <c r="M8" s="244" t="str">
        <v>HKD2X5F=PREA</v>
      </c>
      <c r="N8" s="245">
        <v>0.36</v>
      </c>
      <c r="O8" s="245">
        <v>0.46</v>
      </c>
      <c r="P8" s="244">
        <v>0</v>
      </c>
      <c r="Q8" s="244">
        <v>0</v>
      </c>
      <c r="R8" s="192">
        <f>_xll.qlMidSafe($N8,$O8)</f>
        <v>0.41000000000000003</v>
      </c>
      <c r="S8" s="190"/>
      <c r="T8" s="243">
        <v>0.41000000000000003</v>
      </c>
      <c r="U8" s="190"/>
      <c r="V8" s="198" t="str">
        <f t="shared" si="2"/>
        <v>HKD2x5F_Quote</v>
      </c>
      <c r="W8" s="197">
        <v>0.41000000000000003</v>
      </c>
      <c r="X8" s="196" t="e">
        <f>_xll.qlSimpleQuoteSetValue($V8,$W8/100,Trigger)</f>
        <v>#NUM!</v>
      </c>
      <c r="Y8" s="186"/>
      <c r="Z8" s="232"/>
      <c r="AA8" s="248"/>
      <c r="AB8" s="232"/>
      <c r="AC8" s="232"/>
      <c r="AD8" s="232"/>
      <c r="AE8" s="233">
        <f t="shared" si="3"/>
        <v>9.999999999999998E-4</v>
      </c>
      <c r="AF8" s="232"/>
    </row>
    <row r="9" spans="1:32" x14ac:dyDescent="0.2">
      <c r="A9" s="73"/>
      <c r="B9" s="81">
        <v>3</v>
      </c>
      <c r="C9" s="82" t="s">
        <v>94</v>
      </c>
      <c r="D9" s="81" t="str">
        <f t="shared" si="0"/>
        <v>HKD3x6F_Quote</v>
      </c>
      <c r="E9" s="80" t="str">
        <f>_xll.qlSimpleQuote(D9,,RateTickValue,Permanent,Trigger,ObjectOverwrite)</f>
        <v>HKD3x6F_Quote#0001</v>
      </c>
      <c r="F9" s="79" t="str">
        <f>_xll.ohRangeRetrieveError(E9)</f>
        <v/>
      </c>
      <c r="G9" s="67"/>
      <c r="I9" s="195"/>
      <c r="J9" s="247">
        <v>3</v>
      </c>
      <c r="K9" s="246" t="s">
        <v>94</v>
      </c>
      <c r="L9" s="244" t="str">
        <f t="shared" si="1"/>
        <v>HKD3x6F</v>
      </c>
      <c r="M9" s="244" t="str">
        <v>HKD3X6F=PREA</v>
      </c>
      <c r="N9" s="245">
        <v>0.36</v>
      </c>
      <c r="O9" s="245">
        <v>0.46</v>
      </c>
      <c r="P9" s="244">
        <v>0</v>
      </c>
      <c r="Q9" s="244">
        <v>0</v>
      </c>
      <c r="R9" s="192">
        <f>_xll.qlMidSafe($N9,$O9)</f>
        <v>0.41000000000000003</v>
      </c>
      <c r="S9" s="190"/>
      <c r="T9" s="243">
        <v>0.41000000000000003</v>
      </c>
      <c r="U9" s="190"/>
      <c r="V9" s="198" t="str">
        <f t="shared" si="2"/>
        <v>HKD3x6F_Quote</v>
      </c>
      <c r="W9" s="197">
        <v>0.41000000000000003</v>
      </c>
      <c r="X9" s="196" t="e">
        <f>_xll.qlSimpleQuoteSetValue($V9,$W9/100,Trigger)</f>
        <v>#NUM!</v>
      </c>
      <c r="Y9" s="186"/>
      <c r="Z9" s="232"/>
      <c r="AA9" s="248"/>
      <c r="AB9" s="232"/>
      <c r="AC9" s="232"/>
      <c r="AD9" s="232"/>
      <c r="AE9" s="233">
        <f t="shared" si="3"/>
        <v>9.999999999999998E-4</v>
      </c>
      <c r="AF9" s="232"/>
    </row>
    <row r="10" spans="1:32" x14ac:dyDescent="0.2">
      <c r="A10" s="73"/>
      <c r="B10" s="81">
        <v>4</v>
      </c>
      <c r="C10" s="82" t="s">
        <v>93</v>
      </c>
      <c r="D10" s="81" t="str">
        <f t="shared" si="0"/>
        <v>HKD4x7F_Quote</v>
      </c>
      <c r="E10" s="80" t="str">
        <f>_xll.qlSimpleQuote(D10,,RateTickValue,Permanent,Trigger,ObjectOverwrite)</f>
        <v>HKD4x7F_Quote#0001</v>
      </c>
      <c r="F10" s="79" t="str">
        <f>_xll.ohRangeRetrieveError(E10)</f>
        <v/>
      </c>
      <c r="G10" s="67"/>
      <c r="I10" s="195"/>
      <c r="J10" s="247">
        <v>4</v>
      </c>
      <c r="K10" s="246" t="s">
        <v>93</v>
      </c>
      <c r="L10" s="244" t="str">
        <f t="shared" si="1"/>
        <v>HKD4x7F</v>
      </c>
      <c r="M10" s="244" t="str">
        <v>HKD4X7F=PREA</v>
      </c>
      <c r="N10" s="245">
        <v>0.37</v>
      </c>
      <c r="O10" s="245">
        <v>0.47</v>
      </c>
      <c r="P10" s="244">
        <v>0</v>
      </c>
      <c r="Q10" s="244">
        <v>0</v>
      </c>
      <c r="R10" s="192">
        <f>_xll.qlMidSafe($N10,$O10)</f>
        <v>0.42</v>
      </c>
      <c r="S10" s="190"/>
      <c r="T10" s="243">
        <v>0.43</v>
      </c>
      <c r="U10" s="190"/>
      <c r="V10" s="198" t="str">
        <f t="shared" si="2"/>
        <v>HKD4x7F_Quote</v>
      </c>
      <c r="W10" s="197">
        <v>0.42</v>
      </c>
      <c r="X10" s="196" t="e">
        <f>_xll.qlSimpleQuoteSetValue($V10,$W10/100,Trigger)</f>
        <v>#NUM!</v>
      </c>
      <c r="Y10" s="186"/>
      <c r="Z10" s="232"/>
      <c r="AA10" s="248"/>
      <c r="AB10" s="232"/>
      <c r="AC10" s="232"/>
      <c r="AD10" s="232"/>
      <c r="AE10" s="233">
        <f t="shared" si="3"/>
        <v>9.999999999999998E-4</v>
      </c>
      <c r="AF10" s="232"/>
    </row>
    <row r="11" spans="1:32" x14ac:dyDescent="0.2">
      <c r="A11" s="73"/>
      <c r="B11" s="81">
        <v>5</v>
      </c>
      <c r="C11" s="82" t="s">
        <v>92</v>
      </c>
      <c r="D11" s="81" t="str">
        <f t="shared" si="0"/>
        <v>HKD5x8F_Quote</v>
      </c>
      <c r="E11" s="80" t="str">
        <f>_xll.qlSimpleQuote(D11,,RateTickValue,Permanent,Trigger,ObjectOverwrite)</f>
        <v>HKD5x8F_Quote#0001</v>
      </c>
      <c r="F11" s="79" t="str">
        <f>_xll.ohRangeRetrieveError(E11)</f>
        <v/>
      </c>
      <c r="G11" s="67"/>
      <c r="I11" s="195"/>
      <c r="J11" s="247">
        <v>5</v>
      </c>
      <c r="K11" s="246" t="s">
        <v>92</v>
      </c>
      <c r="L11" s="244" t="str">
        <f t="shared" si="1"/>
        <v>HKD5x8F</v>
      </c>
      <c r="M11" s="244" t="str">
        <v>HKD5X8F=PREA</v>
      </c>
      <c r="N11" s="245">
        <v>0.39</v>
      </c>
      <c r="O11" s="245">
        <v>0.49</v>
      </c>
      <c r="P11" s="244">
        <v>0</v>
      </c>
      <c r="Q11" s="244">
        <v>0</v>
      </c>
      <c r="R11" s="192">
        <f>_xll.qlMidSafe($N11,$O11)</f>
        <v>0.44</v>
      </c>
      <c r="S11" s="190"/>
      <c r="T11" s="243">
        <v>0.44</v>
      </c>
      <c r="U11" s="190"/>
      <c r="V11" s="198" t="str">
        <f t="shared" si="2"/>
        <v>HKD5x8F_Quote</v>
      </c>
      <c r="W11" s="197">
        <v>0.44</v>
      </c>
      <c r="X11" s="196" t="e">
        <f>_xll.qlSimpleQuoteSetValue($V11,$W11/100,Trigger)</f>
        <v>#NUM!</v>
      </c>
      <c r="Y11" s="186"/>
      <c r="Z11" s="232"/>
      <c r="AA11" s="248"/>
      <c r="AB11" s="232"/>
      <c r="AC11" s="232"/>
      <c r="AD11" s="232"/>
      <c r="AE11" s="233">
        <f t="shared" si="3"/>
        <v>9.999999999999998E-4</v>
      </c>
      <c r="AF11" s="232"/>
    </row>
    <row r="12" spans="1:32" x14ac:dyDescent="0.2">
      <c r="A12" s="73"/>
      <c r="B12" s="81">
        <v>6</v>
      </c>
      <c r="C12" s="82" t="s">
        <v>91</v>
      </c>
      <c r="D12" s="81" t="str">
        <f t="shared" si="0"/>
        <v>HKD6x9F_Quote</v>
      </c>
      <c r="E12" s="80" t="str">
        <f>_xll.qlSimpleQuote(D12,,RateTickValue,Permanent,Trigger,ObjectOverwrite)</f>
        <v>HKD6x9F_Quote#0001</v>
      </c>
      <c r="F12" s="79" t="str">
        <f>_xll.ohRangeRetrieveError(E12)</f>
        <v/>
      </c>
      <c r="G12" s="67"/>
      <c r="I12" s="195"/>
      <c r="J12" s="247">
        <v>6</v>
      </c>
      <c r="K12" s="246" t="s">
        <v>91</v>
      </c>
      <c r="L12" s="244" t="str">
        <f t="shared" si="1"/>
        <v>HKD6x9F</v>
      </c>
      <c r="M12" s="244" t="str">
        <v>HKD6X9F=PREA</v>
      </c>
      <c r="N12" s="245">
        <v>0.4</v>
      </c>
      <c r="O12" s="245">
        <v>0.5</v>
      </c>
      <c r="P12" s="244">
        <v>0</v>
      </c>
      <c r="Q12" s="244">
        <v>0</v>
      </c>
      <c r="R12" s="192">
        <f>_xll.qlMidSafe($N12,$O12)</f>
        <v>0.45</v>
      </c>
      <c r="S12" s="190"/>
      <c r="T12" s="243">
        <v>0.45</v>
      </c>
      <c r="U12" s="190"/>
      <c r="V12" s="198" t="str">
        <f t="shared" si="2"/>
        <v>HKD6x9F_Quote</v>
      </c>
      <c r="W12" s="197">
        <v>0.45</v>
      </c>
      <c r="X12" s="196" t="e">
        <f>_xll.qlSimpleQuoteSetValue($V12,$W12/100,Trigger)</f>
        <v>#NUM!</v>
      </c>
      <c r="Y12" s="186"/>
      <c r="Z12" s="232"/>
      <c r="AA12" s="248"/>
      <c r="AB12" s="232"/>
      <c r="AC12" s="232"/>
      <c r="AD12" s="232"/>
      <c r="AE12" s="233"/>
      <c r="AF12" s="232"/>
    </row>
    <row r="13" spans="1:32" x14ac:dyDescent="0.2">
      <c r="A13" s="73"/>
      <c r="B13" s="81">
        <v>7</v>
      </c>
      <c r="C13" s="82" t="s">
        <v>90</v>
      </c>
      <c r="D13" s="81" t="str">
        <f t="shared" si="0"/>
        <v>HKD7x10F_Quote</v>
      </c>
      <c r="E13" s="80" t="str">
        <f>_xll.qlSimpleQuote(D13,,RateTickValue,Permanent,Trigger,ObjectOverwrite)</f>
        <v>HKD7x10F_Quote#0001</v>
      </c>
      <c r="F13" s="79" t="str">
        <f>_xll.ohRangeRetrieveError(E13)</f>
        <v/>
      </c>
      <c r="G13" s="67"/>
      <c r="I13" s="195"/>
      <c r="J13" s="247">
        <v>7</v>
      </c>
      <c r="K13" s="246" t="s">
        <v>90</v>
      </c>
      <c r="L13" s="244" t="str">
        <f t="shared" si="1"/>
        <v>HKD7x10F</v>
      </c>
      <c r="M13" s="244" t="str">
        <v>HKD7X10F=PREA</v>
      </c>
      <c r="N13" s="245">
        <v>0.41</v>
      </c>
      <c r="O13" s="245">
        <v>0.51</v>
      </c>
      <c r="P13" s="244">
        <v>0</v>
      </c>
      <c r="Q13" s="244">
        <v>0</v>
      </c>
      <c r="R13" s="192">
        <f>_xll.qlMidSafe($N13,$O13)</f>
        <v>0.45999999999999996</v>
      </c>
      <c r="S13" s="190"/>
      <c r="T13" s="243">
        <v>0.47</v>
      </c>
      <c r="U13" s="190"/>
      <c r="V13" s="198" t="str">
        <f t="shared" si="2"/>
        <v>HKD7x10F_Quote</v>
      </c>
      <c r="W13" s="197">
        <v>0.45999999999999996</v>
      </c>
      <c r="X13" s="196" t="e">
        <f>_xll.qlSimpleQuoteSetValue($V13,$W13/100,Trigger)</f>
        <v>#NUM!</v>
      </c>
      <c r="Y13" s="186"/>
      <c r="Z13" s="232"/>
      <c r="AA13" s="248"/>
      <c r="AB13" s="232"/>
      <c r="AC13" s="232"/>
      <c r="AD13" s="232"/>
      <c r="AE13" s="233"/>
      <c r="AF13" s="232"/>
    </row>
    <row r="14" spans="1:32" x14ac:dyDescent="0.2">
      <c r="A14" s="73"/>
      <c r="B14" s="81">
        <v>8</v>
      </c>
      <c r="C14" s="82" t="s">
        <v>89</v>
      </c>
      <c r="D14" s="81" t="str">
        <f t="shared" si="0"/>
        <v>HKD8x11F_Quote</v>
      </c>
      <c r="E14" s="80" t="str">
        <f>_xll.qlSimpleQuote(D14,,RateTickValue,Permanent,Trigger,ObjectOverwrite)</f>
        <v>HKD8x11F_Quote#0001</v>
      </c>
      <c r="F14" s="79" t="str">
        <f>_xll.ohRangeRetrieveError(E14)</f>
        <v/>
      </c>
      <c r="G14" s="67"/>
      <c r="I14" s="195"/>
      <c r="J14" s="247">
        <v>8</v>
      </c>
      <c r="K14" s="246" t="s">
        <v>89</v>
      </c>
      <c r="L14" s="244" t="str">
        <f t="shared" si="1"/>
        <v>HKD8x11F</v>
      </c>
      <c r="M14" s="244" t="str">
        <v>HKD8X11F=PREA</v>
      </c>
      <c r="N14" s="245">
        <v>0.42</v>
      </c>
      <c r="O14" s="245">
        <v>0.52</v>
      </c>
      <c r="P14" s="244">
        <v>0</v>
      </c>
      <c r="Q14" s="244">
        <v>0</v>
      </c>
      <c r="R14" s="192">
        <f>_xll.qlMidSafe($N14,$O14)</f>
        <v>0.47</v>
      </c>
      <c r="S14" s="190"/>
      <c r="T14" s="243">
        <v>0.48</v>
      </c>
      <c r="U14" s="190"/>
      <c r="V14" s="198" t="str">
        <f t="shared" si="2"/>
        <v>HKD8x11F_Quote</v>
      </c>
      <c r="W14" s="197">
        <v>0.47</v>
      </c>
      <c r="X14" s="196" t="e">
        <f>_xll.qlSimpleQuoteSetValue($V14,$W14/100,Trigger)</f>
        <v>#NUM!</v>
      </c>
      <c r="Y14" s="186"/>
      <c r="Z14" s="232"/>
      <c r="AA14" s="248"/>
      <c r="AB14" s="232"/>
      <c r="AC14" s="232"/>
      <c r="AD14" s="232"/>
      <c r="AE14" s="233"/>
      <c r="AF14" s="232"/>
    </row>
    <row r="15" spans="1:32" x14ac:dyDescent="0.2">
      <c r="A15" s="73"/>
      <c r="B15" s="70">
        <v>9</v>
      </c>
      <c r="C15" s="74" t="s">
        <v>88</v>
      </c>
      <c r="D15" s="70" t="str">
        <f t="shared" si="0"/>
        <v>HKD9x12F_Quote</v>
      </c>
      <c r="E15" s="69" t="str">
        <f>_xll.qlSimpleQuote(D15,,RateTickValue,Permanent,Trigger,ObjectOverwrite)</f>
        <v>HKD9x12F_Quote#0001</v>
      </c>
      <c r="F15" s="68" t="str">
        <f>_xll.ohRangeRetrieveError(E15)</f>
        <v/>
      </c>
      <c r="G15" s="67"/>
      <c r="I15" s="195"/>
      <c r="J15" s="254">
        <v>9</v>
      </c>
      <c r="K15" s="253" t="s">
        <v>88</v>
      </c>
      <c r="L15" s="251" t="str">
        <f t="shared" si="1"/>
        <v>HKD9x12F</v>
      </c>
      <c r="M15" s="251" t="str">
        <v>HKD9X12F=PREA</v>
      </c>
      <c r="N15" s="252">
        <v>0.43</v>
      </c>
      <c r="O15" s="252">
        <v>0.53</v>
      </c>
      <c r="P15" s="251">
        <v>0</v>
      </c>
      <c r="Q15" s="251">
        <v>0</v>
      </c>
      <c r="R15" s="250">
        <f>_xll.qlMidSafe($N15,$O15)</f>
        <v>0.48</v>
      </c>
      <c r="S15" s="190"/>
      <c r="T15" s="249">
        <v>0.5</v>
      </c>
      <c r="U15" s="190"/>
      <c r="V15" s="198" t="str">
        <f t="shared" si="2"/>
        <v>HKD9x12F_Quote</v>
      </c>
      <c r="W15" s="197">
        <v>0.48</v>
      </c>
      <c r="X15" s="196" t="e">
        <f>_xll.qlSimpleQuoteSetValue($V15,$W15/100,Trigger)</f>
        <v>#NUM!</v>
      </c>
      <c r="Y15" s="186"/>
      <c r="Z15" s="232"/>
      <c r="AA15" s="248"/>
      <c r="AB15" s="232"/>
      <c r="AC15" s="232"/>
      <c r="AD15" s="232"/>
      <c r="AE15" s="233">
        <f t="shared" ref="AE15:AE36" si="4">(O15-R15)/50</f>
        <v>1.0000000000000009E-3</v>
      </c>
      <c r="AF15" s="232"/>
    </row>
    <row r="16" spans="1:32" x14ac:dyDescent="0.2">
      <c r="A16" s="73"/>
      <c r="B16" s="77" t="s">
        <v>87</v>
      </c>
      <c r="C16" s="78" t="s">
        <v>83</v>
      </c>
      <c r="D16" s="77" t="str">
        <f t="shared" si="0"/>
        <v>HKDT6F1_Quote</v>
      </c>
      <c r="E16" s="76" t="str">
        <f>_xll.qlSimpleQuote(D16,,RateTickValue,Permanent,Trigger,ObjectOverwrite)</f>
        <v>HKDT6F1_Quote#0001</v>
      </c>
      <c r="F16" s="75" t="str">
        <f>_xll.ohRangeRetrieveError(E16)</f>
        <v/>
      </c>
      <c r="G16" s="67"/>
      <c r="I16" s="195"/>
      <c r="J16" s="259" t="s">
        <v>87</v>
      </c>
      <c r="K16" s="258" t="s">
        <v>83</v>
      </c>
      <c r="L16" s="256" t="str">
        <f t="shared" si="1"/>
        <v>HKDT6F1</v>
      </c>
      <c r="M16" s="256" t="str">
        <v>HKDT6F1=PREA</v>
      </c>
      <c r="N16" s="257" t="s">
        <v>188</v>
      </c>
      <c r="O16" s="257" t="s">
        <v>188</v>
      </c>
      <c r="P16" s="256" t="s">
        <v>188</v>
      </c>
      <c r="Q16" s="256" t="s">
        <v>188</v>
      </c>
      <c r="R16" s="204" t="e">
        <f>_xll.qlMidSafe($N16,$O16)</f>
        <v>#NUM!</v>
      </c>
      <c r="S16" s="190"/>
      <c r="T16" s="255" t="e">
        <v>#NUM!</v>
      </c>
      <c r="U16" s="190"/>
      <c r="V16" s="202" t="str">
        <f t="shared" si="2"/>
        <v>HKDT6F1_Quote</v>
      </c>
      <c r="W16" s="201" t="e">
        <v>#NUM!</v>
      </c>
      <c r="X16" s="200" t="e">
        <f>_xll.qlSimpleQuoteSetValue($V16,$W16/100,Trigger)</f>
        <v>#NUM!</v>
      </c>
      <c r="Y16" s="186"/>
      <c r="Z16" s="232"/>
      <c r="AA16" s="248"/>
      <c r="AB16" s="232"/>
      <c r="AC16" s="232"/>
      <c r="AD16" s="232"/>
      <c r="AE16" s="233" t="e">
        <f t="shared" si="4"/>
        <v>#VALUE!</v>
      </c>
      <c r="AF16" s="232"/>
    </row>
    <row r="17" spans="1:32" x14ac:dyDescent="0.2">
      <c r="A17" s="73"/>
      <c r="B17" s="70" t="s">
        <v>86</v>
      </c>
      <c r="C17" s="74" t="s">
        <v>83</v>
      </c>
      <c r="D17" s="70" t="str">
        <f t="shared" si="0"/>
        <v>HKDTOM6F1_Quote</v>
      </c>
      <c r="E17" s="69" t="str">
        <f>_xll.qlSimpleQuote(D17,,RateTickValue,Permanent,Trigger,ObjectOverwrite)</f>
        <v>HKDTOM6F1_Quote#0001</v>
      </c>
      <c r="F17" s="68" t="str">
        <f>_xll.ohRangeRetrieveError(E17)</f>
        <v/>
      </c>
      <c r="G17" s="67"/>
      <c r="I17" s="195"/>
      <c r="J17" s="254" t="s">
        <v>86</v>
      </c>
      <c r="K17" s="253" t="s">
        <v>83</v>
      </c>
      <c r="L17" s="251" t="str">
        <f t="shared" si="1"/>
        <v>HKDTOM6F1</v>
      </c>
      <c r="M17" s="251" t="str">
        <v>HKDTOM6F1=PREA</v>
      </c>
      <c r="N17" s="252" t="s">
        <v>188</v>
      </c>
      <c r="O17" s="252" t="s">
        <v>188</v>
      </c>
      <c r="P17" s="251" t="s">
        <v>188</v>
      </c>
      <c r="Q17" s="251" t="s">
        <v>188</v>
      </c>
      <c r="R17" s="250" t="e">
        <f>_xll.qlMidSafe($N17,$O17)</f>
        <v>#NUM!</v>
      </c>
      <c r="S17" s="190"/>
      <c r="T17" s="249" t="e">
        <v>#NUM!</v>
      </c>
      <c r="U17" s="190"/>
      <c r="V17" s="189" t="str">
        <f t="shared" si="2"/>
        <v>HKDTOM6F1_Quote</v>
      </c>
      <c r="W17" s="188" t="e">
        <v>#NUM!</v>
      </c>
      <c r="X17" s="187" t="e">
        <f>_xll.qlSimpleQuoteSetValue($V17,$W17/100,Trigger)</f>
        <v>#NUM!</v>
      </c>
      <c r="Y17" s="186"/>
      <c r="Z17" s="232"/>
      <c r="AA17" s="248"/>
      <c r="AB17" s="232"/>
      <c r="AC17" s="232"/>
      <c r="AD17" s="232"/>
      <c r="AE17" s="233" t="e">
        <f t="shared" si="4"/>
        <v>#VALUE!</v>
      </c>
      <c r="AF17" s="232"/>
    </row>
    <row r="18" spans="1:32" x14ac:dyDescent="0.2">
      <c r="A18" s="73"/>
      <c r="B18" s="77">
        <v>1</v>
      </c>
      <c r="C18" s="78" t="str">
        <f t="shared" ref="C18:C35" si="5">"x"&amp;B18+6&amp;"F"</f>
        <v>x7F</v>
      </c>
      <c r="D18" s="77" t="str">
        <f t="shared" si="0"/>
        <v>HKD1x7F_Quote</v>
      </c>
      <c r="E18" s="76" t="str">
        <f>_xll.qlSimpleQuote(D18,,RateTickValue,Permanent,Trigger,ObjectOverwrite)</f>
        <v>HKD1x7F_Quote#0001</v>
      </c>
      <c r="F18" s="75" t="str">
        <f>_xll.ohRangeRetrieveError(E18)</f>
        <v/>
      </c>
      <c r="G18" s="67"/>
      <c r="I18" s="195"/>
      <c r="J18" s="247">
        <v>1</v>
      </c>
      <c r="K18" s="246" t="str">
        <f t="shared" ref="K18:K35" si="6">"x"&amp;J18+6&amp;"F"</f>
        <v>x7F</v>
      </c>
      <c r="L18" s="244" t="str">
        <f t="shared" si="1"/>
        <v>HKD1x7F</v>
      </c>
      <c r="M18" s="244" t="str">
        <v>HKD1X7F=PREA</v>
      </c>
      <c r="N18" s="245">
        <v>0.44</v>
      </c>
      <c r="O18" s="245">
        <v>0.54</v>
      </c>
      <c r="P18" s="244">
        <v>0</v>
      </c>
      <c r="Q18" s="244">
        <v>0</v>
      </c>
      <c r="R18" s="192">
        <f>_xll.qlMidSafe($N18,$O18)</f>
        <v>0.49</v>
      </c>
      <c r="S18" s="190"/>
      <c r="T18" s="243">
        <v>0.49</v>
      </c>
      <c r="U18" s="190"/>
      <c r="V18" s="198" t="str">
        <f t="shared" si="2"/>
        <v>HKD1x7F_Quote</v>
      </c>
      <c r="W18" s="197">
        <v>0.49</v>
      </c>
      <c r="X18" s="196" t="e">
        <f>_xll.qlSimpleQuoteSetValue($V18,$W18/100,Trigger)</f>
        <v>#NUM!</v>
      </c>
      <c r="Y18" s="186"/>
      <c r="Z18" s="232"/>
      <c r="AA18" s="248"/>
      <c r="AB18" s="232"/>
      <c r="AC18" s="232"/>
      <c r="AD18" s="232"/>
      <c r="AE18" s="233">
        <f t="shared" si="4"/>
        <v>1.0000000000000009E-3</v>
      </c>
      <c r="AF18" s="232"/>
    </row>
    <row r="19" spans="1:32" x14ac:dyDescent="0.2">
      <c r="A19" s="73"/>
      <c r="B19" s="81">
        <v>2</v>
      </c>
      <c r="C19" s="82" t="str">
        <f t="shared" si="5"/>
        <v>x8F</v>
      </c>
      <c r="D19" s="81" t="str">
        <f t="shared" si="0"/>
        <v>HKD2x8F_Quote</v>
      </c>
      <c r="E19" s="80" t="str">
        <f>_xll.qlSimpleQuote(D19,,RateTickValue,Permanent,Trigger,ObjectOverwrite)</f>
        <v>HKD2x8F_Quote#0001</v>
      </c>
      <c r="F19" s="79" t="str">
        <f>_xll.ohRangeRetrieveError(E19)</f>
        <v/>
      </c>
      <c r="G19" s="67"/>
      <c r="I19" s="195"/>
      <c r="J19" s="247">
        <v>2</v>
      </c>
      <c r="K19" s="246" t="str">
        <f t="shared" si="6"/>
        <v>x8F</v>
      </c>
      <c r="L19" s="244" t="str">
        <f t="shared" si="1"/>
        <v>HKD2x8F</v>
      </c>
      <c r="M19" s="244" t="str">
        <v>HKD2X8F=PREA</v>
      </c>
      <c r="N19" s="245">
        <v>0.44</v>
      </c>
      <c r="O19" s="245">
        <v>0.54</v>
      </c>
      <c r="P19" s="244">
        <v>0</v>
      </c>
      <c r="Q19" s="244">
        <v>0</v>
      </c>
      <c r="R19" s="192">
        <f>_xll.qlMidSafe($N19,$O19)</f>
        <v>0.49</v>
      </c>
      <c r="S19" s="190"/>
      <c r="T19" s="243">
        <v>0.49</v>
      </c>
      <c r="U19" s="190"/>
      <c r="V19" s="198" t="str">
        <f t="shared" si="2"/>
        <v>HKD2x8F_Quote</v>
      </c>
      <c r="W19" s="197">
        <v>0.49</v>
      </c>
      <c r="X19" s="196" t="e">
        <f>_xll.qlSimpleQuoteSetValue($V19,$W19/100,Trigger)</f>
        <v>#NUM!</v>
      </c>
      <c r="Y19" s="186"/>
      <c r="Z19" s="232"/>
      <c r="AA19" s="248"/>
      <c r="AB19" s="232"/>
      <c r="AC19" s="232"/>
      <c r="AD19" s="232"/>
      <c r="AE19" s="233">
        <f t="shared" si="4"/>
        <v>1.0000000000000009E-3</v>
      </c>
      <c r="AF19" s="232"/>
    </row>
    <row r="20" spans="1:32" x14ac:dyDescent="0.2">
      <c r="A20" s="73"/>
      <c r="B20" s="81">
        <v>3</v>
      </c>
      <c r="C20" s="82" t="str">
        <f t="shared" si="5"/>
        <v>x9F</v>
      </c>
      <c r="D20" s="81" t="str">
        <f t="shared" si="0"/>
        <v>HKD3x9F_Quote</v>
      </c>
      <c r="E20" s="80" t="str">
        <f>_xll.qlSimpleQuote(D20,,RateTickValue,Permanent,Trigger,ObjectOverwrite)</f>
        <v>HKD3x9F_Quote#0001</v>
      </c>
      <c r="F20" s="79" t="str">
        <f>_xll.ohRangeRetrieveError(E20)</f>
        <v/>
      </c>
      <c r="G20" s="67"/>
      <c r="I20" s="195"/>
      <c r="J20" s="247">
        <v>3</v>
      </c>
      <c r="K20" s="246" t="str">
        <f t="shared" si="6"/>
        <v>x9F</v>
      </c>
      <c r="L20" s="244" t="str">
        <f t="shared" si="1"/>
        <v>HKD3x9F</v>
      </c>
      <c r="M20" s="244" t="str">
        <v>HKD3X9F=PREA</v>
      </c>
      <c r="N20" s="245">
        <v>0.45</v>
      </c>
      <c r="O20" s="245">
        <v>0.55000000000000004</v>
      </c>
      <c r="P20" s="244">
        <v>0</v>
      </c>
      <c r="Q20" s="244">
        <v>0</v>
      </c>
      <c r="R20" s="192">
        <f>_xll.qlMidSafe($N20,$O20)</f>
        <v>0.5</v>
      </c>
      <c r="S20" s="190"/>
      <c r="T20" s="243">
        <v>0.5</v>
      </c>
      <c r="U20" s="190"/>
      <c r="V20" s="198" t="str">
        <f t="shared" si="2"/>
        <v>HKD3x9F_Quote</v>
      </c>
      <c r="W20" s="197">
        <v>0.5</v>
      </c>
      <c r="X20" s="196" t="e">
        <f>_xll.qlSimpleQuoteSetValue($V20,$W20/100,Trigger)</f>
        <v>#NUM!</v>
      </c>
      <c r="Y20" s="186"/>
      <c r="Z20" s="232"/>
      <c r="AA20" s="248"/>
      <c r="AB20" s="232"/>
      <c r="AC20" s="232"/>
      <c r="AD20" s="232"/>
      <c r="AE20" s="233">
        <f t="shared" si="4"/>
        <v>1.0000000000000009E-3</v>
      </c>
      <c r="AF20" s="232"/>
    </row>
    <row r="21" spans="1:32" x14ac:dyDescent="0.2">
      <c r="A21" s="73"/>
      <c r="B21" s="81">
        <v>4</v>
      </c>
      <c r="C21" s="82" t="str">
        <f t="shared" si="5"/>
        <v>x10F</v>
      </c>
      <c r="D21" s="81" t="str">
        <f t="shared" si="0"/>
        <v>HKD4x10F_Quote</v>
      </c>
      <c r="E21" s="80" t="str">
        <f>_xll.qlSimpleQuote(D21,,RateTickValue,Permanent,Trigger,ObjectOverwrite)</f>
        <v>HKD4x10F_Quote#0001</v>
      </c>
      <c r="F21" s="79" t="str">
        <f>_xll.ohRangeRetrieveError(E21)</f>
        <v/>
      </c>
      <c r="G21" s="67"/>
      <c r="I21" s="195"/>
      <c r="J21" s="247">
        <v>4</v>
      </c>
      <c r="K21" s="246" t="str">
        <f t="shared" si="6"/>
        <v>x10F</v>
      </c>
      <c r="L21" s="244" t="str">
        <f t="shared" si="1"/>
        <v>HKD4x10F</v>
      </c>
      <c r="M21" s="244" t="str">
        <v>HKD4X10F=PREA</v>
      </c>
      <c r="N21" s="245">
        <v>0.46</v>
      </c>
      <c r="O21" s="245">
        <v>0.56000000000000005</v>
      </c>
      <c r="P21" s="244">
        <v>0</v>
      </c>
      <c r="Q21" s="244">
        <v>0</v>
      </c>
      <c r="R21" s="192">
        <f>_xll.qlMidSafe($N21,$O21)</f>
        <v>0.51</v>
      </c>
      <c r="S21" s="190"/>
      <c r="T21" s="243">
        <v>0.52</v>
      </c>
      <c r="U21" s="190"/>
      <c r="V21" s="198" t="str">
        <f t="shared" si="2"/>
        <v>HKD4x10F_Quote</v>
      </c>
      <c r="W21" s="197">
        <v>0.51</v>
      </c>
      <c r="X21" s="196" t="e">
        <f>_xll.qlSimpleQuoteSetValue($V21,$W21/100,Trigger)</f>
        <v>#NUM!</v>
      </c>
      <c r="Y21" s="186"/>
      <c r="Z21" s="232"/>
      <c r="AA21" s="248"/>
      <c r="AB21" s="232"/>
      <c r="AC21" s="232"/>
      <c r="AD21" s="232"/>
      <c r="AE21" s="233">
        <f t="shared" si="4"/>
        <v>1.0000000000000009E-3</v>
      </c>
      <c r="AF21" s="232"/>
    </row>
    <row r="22" spans="1:32" x14ac:dyDescent="0.2">
      <c r="A22" s="73"/>
      <c r="B22" s="81">
        <v>5</v>
      </c>
      <c r="C22" s="82" t="str">
        <f t="shared" si="5"/>
        <v>x11F</v>
      </c>
      <c r="D22" s="81" t="str">
        <f t="shared" si="0"/>
        <v>HKD5x11F_Quote</v>
      </c>
      <c r="E22" s="80" t="str">
        <f>_xll.qlSimpleQuote(D22,,RateTickValue,Permanent,Trigger,ObjectOverwrite)</f>
        <v>HKD5x11F_Quote#0001</v>
      </c>
      <c r="F22" s="79" t="str">
        <f>_xll.ohRangeRetrieveError(E22)</f>
        <v/>
      </c>
      <c r="G22" s="67"/>
      <c r="I22" s="195"/>
      <c r="J22" s="247">
        <v>5</v>
      </c>
      <c r="K22" s="246" t="str">
        <f t="shared" si="6"/>
        <v>x11F</v>
      </c>
      <c r="L22" s="244" t="str">
        <f t="shared" si="1"/>
        <v>HKD5x11F</v>
      </c>
      <c r="M22" s="244" t="str">
        <v>HKD5X11F=PREA</v>
      </c>
      <c r="N22" s="245">
        <v>0.47</v>
      </c>
      <c r="O22" s="245">
        <v>0.56999999999999995</v>
      </c>
      <c r="P22" s="244">
        <v>0</v>
      </c>
      <c r="Q22" s="244">
        <v>0</v>
      </c>
      <c r="R22" s="192">
        <f>_xll.qlMidSafe($N22,$O22)</f>
        <v>0.52</v>
      </c>
      <c r="S22" s="190"/>
      <c r="T22" s="243">
        <v>0.53</v>
      </c>
      <c r="U22" s="190"/>
      <c r="V22" s="198" t="str">
        <f t="shared" si="2"/>
        <v>HKD5x11F_Quote</v>
      </c>
      <c r="W22" s="197">
        <v>0.52</v>
      </c>
      <c r="X22" s="196" t="e">
        <f>_xll.qlSimpleQuoteSetValue($V22,$W22/100,Trigger)</f>
        <v>#NUM!</v>
      </c>
      <c r="Y22" s="186"/>
      <c r="Z22" s="232"/>
      <c r="AA22" s="248"/>
      <c r="AB22" s="232"/>
      <c r="AC22" s="232"/>
      <c r="AD22" s="232"/>
      <c r="AE22" s="233">
        <f t="shared" si="4"/>
        <v>9.9999999999999872E-4</v>
      </c>
      <c r="AF22" s="232"/>
    </row>
    <row r="23" spans="1:32" x14ac:dyDescent="0.2">
      <c r="A23" s="73"/>
      <c r="B23" s="81">
        <v>6</v>
      </c>
      <c r="C23" s="82" t="str">
        <f t="shared" si="5"/>
        <v>x12F</v>
      </c>
      <c r="D23" s="81" t="str">
        <f t="shared" si="0"/>
        <v>HKD6x12F_Quote</v>
      </c>
      <c r="E23" s="80" t="str">
        <f>_xll.qlSimpleQuote(D23,,RateTickValue,Permanent,Trigger,ObjectOverwrite)</f>
        <v>HKD6x12F_Quote#0001</v>
      </c>
      <c r="F23" s="79" t="str">
        <f>_xll.ohRangeRetrieveError(E23)</f>
        <v/>
      </c>
      <c r="G23" s="67"/>
      <c r="I23" s="195"/>
      <c r="J23" s="247">
        <v>6</v>
      </c>
      <c r="K23" s="246" t="str">
        <f t="shared" si="6"/>
        <v>x12F</v>
      </c>
      <c r="L23" s="244" t="str">
        <f t="shared" si="1"/>
        <v>HKD6x12F</v>
      </c>
      <c r="M23" s="244" t="str">
        <v>HKD6X12F=PREA</v>
      </c>
      <c r="N23" s="245">
        <v>0.49</v>
      </c>
      <c r="O23" s="245">
        <v>0.59</v>
      </c>
      <c r="P23" s="244">
        <v>0</v>
      </c>
      <c r="Q23" s="244">
        <v>0</v>
      </c>
      <c r="R23" s="192">
        <f>_xll.qlMidSafe($N23,$O23)</f>
        <v>0.54</v>
      </c>
      <c r="S23" s="190"/>
      <c r="T23" s="243">
        <v>0.54</v>
      </c>
      <c r="U23" s="190"/>
      <c r="V23" s="198" t="str">
        <f t="shared" si="2"/>
        <v>HKD6x12F_Quote</v>
      </c>
      <c r="W23" s="197">
        <v>0.54</v>
      </c>
      <c r="X23" s="196" t="e">
        <f>_xll.qlSimpleQuoteSetValue($V23,$W23/100,Trigger)</f>
        <v>#NUM!</v>
      </c>
      <c r="Y23" s="186"/>
      <c r="Z23" s="232"/>
      <c r="AA23" s="248"/>
      <c r="AB23" s="232"/>
      <c r="AC23" s="232"/>
      <c r="AD23" s="232"/>
      <c r="AE23" s="233">
        <f t="shared" si="4"/>
        <v>9.9999999999999872E-4</v>
      </c>
      <c r="AF23" s="232"/>
    </row>
    <row r="24" spans="1:32" x14ac:dyDescent="0.2">
      <c r="A24" s="73"/>
      <c r="B24" s="81">
        <v>7</v>
      </c>
      <c r="C24" s="82" t="str">
        <f t="shared" si="5"/>
        <v>x13F</v>
      </c>
      <c r="D24" s="81" t="str">
        <f t="shared" si="0"/>
        <v>HKD7x13F_Quote</v>
      </c>
      <c r="E24" s="80" t="str">
        <f>_xll.qlSimpleQuote(D24,,RateTickValue,Permanent,Trigger,ObjectOverwrite)</f>
        <v>HKD7x13F_Quote#0001</v>
      </c>
      <c r="F24" s="79" t="str">
        <f>_xll.ohRangeRetrieveError(E24)</f>
        <v/>
      </c>
      <c r="G24" s="67"/>
      <c r="I24" s="195"/>
      <c r="J24" s="247">
        <v>7</v>
      </c>
      <c r="K24" s="246" t="str">
        <f t="shared" si="6"/>
        <v>x13F</v>
      </c>
      <c r="L24" s="244" t="str">
        <f t="shared" si="1"/>
        <v>HKD7x13F</v>
      </c>
      <c r="M24" s="244" t="str">
        <v>HKD7X13F=PREA</v>
      </c>
      <c r="N24" s="245" t="s">
        <v>188</v>
      </c>
      <c r="O24" s="245" t="s">
        <v>188</v>
      </c>
      <c r="P24" s="244" t="s">
        <v>188</v>
      </c>
      <c r="Q24" s="244" t="s">
        <v>188</v>
      </c>
      <c r="R24" s="192" t="e">
        <f>_xll.qlMidSafe($N24,$O24)</f>
        <v>#NUM!</v>
      </c>
      <c r="S24" s="190"/>
      <c r="T24" s="243" t="e">
        <v>#NUM!</v>
      </c>
      <c r="U24" s="190"/>
      <c r="V24" s="198" t="str">
        <f t="shared" si="2"/>
        <v>HKD7x13F_Quote</v>
      </c>
      <c r="W24" s="197" t="e">
        <v>#NUM!</v>
      </c>
      <c r="X24" s="196" t="e">
        <f>_xll.qlSimpleQuoteSetValue($V24,$W24/100,Trigger)</f>
        <v>#NUM!</v>
      </c>
      <c r="Y24" s="186"/>
      <c r="Z24" s="232"/>
      <c r="AA24" s="248"/>
      <c r="AB24" s="232"/>
      <c r="AC24" s="232"/>
      <c r="AD24" s="232"/>
      <c r="AE24" s="233" t="e">
        <f t="shared" si="4"/>
        <v>#VALUE!</v>
      </c>
      <c r="AF24" s="232"/>
    </row>
    <row r="25" spans="1:32" x14ac:dyDescent="0.2">
      <c r="A25" s="73"/>
      <c r="B25" s="81">
        <v>8</v>
      </c>
      <c r="C25" s="82" t="str">
        <f t="shared" si="5"/>
        <v>x14F</v>
      </c>
      <c r="D25" s="81" t="str">
        <f t="shared" si="0"/>
        <v>HKD8x14F_Quote</v>
      </c>
      <c r="E25" s="80" t="str">
        <f>_xll.qlSimpleQuote(D25,,RateTickValue,Permanent,Trigger,ObjectOverwrite)</f>
        <v>HKD8x14F_Quote#0001</v>
      </c>
      <c r="F25" s="79" t="str">
        <f>_xll.ohRangeRetrieveError(E25)</f>
        <v/>
      </c>
      <c r="G25" s="67"/>
      <c r="I25" s="195"/>
      <c r="J25" s="247">
        <v>8</v>
      </c>
      <c r="K25" s="246" t="str">
        <f t="shared" si="6"/>
        <v>x14F</v>
      </c>
      <c r="L25" s="244" t="str">
        <f t="shared" si="1"/>
        <v>HKD8x14F</v>
      </c>
      <c r="M25" s="244" t="str">
        <v>HKD8X14F=PREA</v>
      </c>
      <c r="N25" s="245" t="s">
        <v>188</v>
      </c>
      <c r="O25" s="245" t="s">
        <v>188</v>
      </c>
      <c r="P25" s="244" t="s">
        <v>188</v>
      </c>
      <c r="Q25" s="244" t="s">
        <v>188</v>
      </c>
      <c r="R25" s="192" t="e">
        <f>_xll.qlMidSafe($N25,$O25)</f>
        <v>#NUM!</v>
      </c>
      <c r="S25" s="190"/>
      <c r="T25" s="243" t="e">
        <v>#NUM!</v>
      </c>
      <c r="U25" s="190"/>
      <c r="V25" s="198" t="str">
        <f t="shared" si="2"/>
        <v>HKD8x14F_Quote</v>
      </c>
      <c r="W25" s="197" t="e">
        <v>#NUM!</v>
      </c>
      <c r="X25" s="196" t="e">
        <f>_xll.qlSimpleQuoteSetValue($V25,$W25/100,Trigger)</f>
        <v>#NUM!</v>
      </c>
      <c r="Y25" s="186"/>
      <c r="Z25" s="232"/>
      <c r="AA25" s="248"/>
      <c r="AB25" s="232"/>
      <c r="AC25" s="232"/>
      <c r="AD25" s="232"/>
      <c r="AE25" s="233" t="e">
        <f t="shared" si="4"/>
        <v>#VALUE!</v>
      </c>
      <c r="AF25" s="232"/>
    </row>
    <row r="26" spans="1:32" x14ac:dyDescent="0.2">
      <c r="A26" s="73"/>
      <c r="B26" s="81">
        <v>9</v>
      </c>
      <c r="C26" s="82" t="str">
        <f t="shared" si="5"/>
        <v>x15F</v>
      </c>
      <c r="D26" s="81" t="str">
        <f t="shared" si="0"/>
        <v>HKD9x15F_Quote</v>
      </c>
      <c r="E26" s="80" t="str">
        <f>_xll.qlSimpleQuote(D26,,RateTickValue,Permanent,Trigger,ObjectOverwrite)</f>
        <v>HKD9x15F_Quote#0001</v>
      </c>
      <c r="F26" s="79" t="str">
        <f>_xll.ohRangeRetrieveError(E26)</f>
        <v/>
      </c>
      <c r="G26" s="67"/>
      <c r="I26" s="195"/>
      <c r="J26" s="247">
        <v>9</v>
      </c>
      <c r="K26" s="246" t="str">
        <f t="shared" si="6"/>
        <v>x15F</v>
      </c>
      <c r="L26" s="244" t="str">
        <f t="shared" si="1"/>
        <v>HKD9x15F</v>
      </c>
      <c r="M26" s="244" t="str">
        <v>HKD9X15F=PREA</v>
      </c>
      <c r="N26" s="245" t="s">
        <v>188</v>
      </c>
      <c r="O26" s="245" t="s">
        <v>188</v>
      </c>
      <c r="P26" s="244" t="s">
        <v>188</v>
      </c>
      <c r="Q26" s="244" t="s">
        <v>188</v>
      </c>
      <c r="R26" s="192" t="e">
        <f>_xll.qlMidSafe($N26,$O26)</f>
        <v>#NUM!</v>
      </c>
      <c r="S26" s="190"/>
      <c r="T26" s="243" t="e">
        <v>#NUM!</v>
      </c>
      <c r="U26" s="190"/>
      <c r="V26" s="198" t="str">
        <f t="shared" si="2"/>
        <v>HKD9x15F_Quote</v>
      </c>
      <c r="W26" s="197" t="e">
        <v>#NUM!</v>
      </c>
      <c r="X26" s="196" t="e">
        <f>_xll.qlSimpleQuoteSetValue($V26,$W26/100,Trigger)</f>
        <v>#NUM!</v>
      </c>
      <c r="Y26" s="186"/>
      <c r="Z26" s="232"/>
      <c r="AA26" s="248"/>
      <c r="AB26" s="232"/>
      <c r="AC26" s="232"/>
      <c r="AD26" s="232"/>
      <c r="AE26" s="233" t="e">
        <f t="shared" si="4"/>
        <v>#VALUE!</v>
      </c>
      <c r="AF26" s="232"/>
    </row>
    <row r="27" spans="1:32" x14ac:dyDescent="0.2">
      <c r="A27" s="73"/>
      <c r="B27" s="81">
        <v>10</v>
      </c>
      <c r="C27" s="82" t="str">
        <f t="shared" si="5"/>
        <v>x16F</v>
      </c>
      <c r="D27" s="81" t="str">
        <f t="shared" si="0"/>
        <v>HKD10x16F_Quote</v>
      </c>
      <c r="E27" s="80" t="str">
        <f>_xll.qlSimpleQuote(D27,,RateTickValue,Permanent,Trigger,ObjectOverwrite)</f>
        <v>HKD10x16F_Quote#0001</v>
      </c>
      <c r="F27" s="79" t="str">
        <f>_xll.ohRangeRetrieveError(E27)</f>
        <v/>
      </c>
      <c r="G27" s="67"/>
      <c r="I27" s="195"/>
      <c r="J27" s="247">
        <v>10</v>
      </c>
      <c r="K27" s="246" t="str">
        <f t="shared" si="6"/>
        <v>x16F</v>
      </c>
      <c r="L27" s="244" t="str">
        <f t="shared" si="1"/>
        <v>HKD10x16F</v>
      </c>
      <c r="M27" s="244" t="str">
        <v>HKD10X16F=PREA</v>
      </c>
      <c r="N27" s="245" t="s">
        <v>188</v>
      </c>
      <c r="O27" s="245" t="s">
        <v>188</v>
      </c>
      <c r="P27" s="244" t="s">
        <v>188</v>
      </c>
      <c r="Q27" s="244" t="s">
        <v>188</v>
      </c>
      <c r="R27" s="192" t="e">
        <f>_xll.qlMidSafe($N27,$O27)</f>
        <v>#NUM!</v>
      </c>
      <c r="S27" s="190"/>
      <c r="T27" s="243" t="e">
        <v>#NUM!</v>
      </c>
      <c r="U27" s="190"/>
      <c r="V27" s="198" t="str">
        <f t="shared" si="2"/>
        <v>HKD10x16F_Quote</v>
      </c>
      <c r="W27" s="197" t="e">
        <v>#NUM!</v>
      </c>
      <c r="X27" s="196" t="e">
        <f>_xll.qlSimpleQuoteSetValue($V27,$W27/100,Trigger)</f>
        <v>#NUM!</v>
      </c>
      <c r="Y27" s="186"/>
      <c r="Z27" s="232"/>
      <c r="AA27" s="248"/>
      <c r="AB27" s="232"/>
      <c r="AC27" s="232"/>
      <c r="AD27" s="232"/>
      <c r="AE27" s="233" t="e">
        <f t="shared" si="4"/>
        <v>#VALUE!</v>
      </c>
      <c r="AF27" s="232"/>
    </row>
    <row r="28" spans="1:32" x14ac:dyDescent="0.2">
      <c r="A28" s="73"/>
      <c r="B28" s="81">
        <v>11</v>
      </c>
      <c r="C28" s="82" t="str">
        <f t="shared" si="5"/>
        <v>x17F</v>
      </c>
      <c r="D28" s="81" t="str">
        <f t="shared" si="0"/>
        <v>HKD11x17F_Quote</v>
      </c>
      <c r="E28" s="80" t="str">
        <f>_xll.qlSimpleQuote(D28,,RateTickValue,Permanent,Trigger,ObjectOverwrite)</f>
        <v>HKD11x17F_Quote#0001</v>
      </c>
      <c r="F28" s="79" t="str">
        <f>_xll.ohRangeRetrieveError(E28)</f>
        <v/>
      </c>
      <c r="G28" s="67"/>
      <c r="I28" s="195"/>
      <c r="J28" s="247">
        <v>11</v>
      </c>
      <c r="K28" s="246" t="str">
        <f t="shared" si="6"/>
        <v>x17F</v>
      </c>
      <c r="L28" s="244" t="str">
        <f t="shared" si="1"/>
        <v>HKD11x17F</v>
      </c>
      <c r="M28" s="244" t="str">
        <v>HKD11X17F=PREA</v>
      </c>
      <c r="N28" s="245" t="s">
        <v>188</v>
      </c>
      <c r="O28" s="245" t="s">
        <v>188</v>
      </c>
      <c r="P28" s="244" t="s">
        <v>188</v>
      </c>
      <c r="Q28" s="244" t="s">
        <v>188</v>
      </c>
      <c r="R28" s="192" t="e">
        <f>_xll.qlMidSafe($N28,$O28)</f>
        <v>#NUM!</v>
      </c>
      <c r="S28" s="190"/>
      <c r="T28" s="243" t="e">
        <v>#NUM!</v>
      </c>
      <c r="U28" s="190"/>
      <c r="V28" s="198" t="str">
        <f t="shared" si="2"/>
        <v>HKD11x17F_Quote</v>
      </c>
      <c r="W28" s="197" t="e">
        <v>#NUM!</v>
      </c>
      <c r="X28" s="196" t="e">
        <f>_xll.qlSimpleQuoteSetValue($V28,$W28/100,Trigger)</f>
        <v>#NUM!</v>
      </c>
      <c r="Y28" s="186"/>
      <c r="Z28" s="232"/>
      <c r="AA28" s="232"/>
      <c r="AB28" s="232"/>
      <c r="AC28" s="232"/>
      <c r="AD28" s="232"/>
      <c r="AE28" s="233" t="e">
        <f t="shared" si="4"/>
        <v>#VALUE!</v>
      </c>
      <c r="AF28" s="232"/>
    </row>
    <row r="29" spans="1:32" x14ac:dyDescent="0.2">
      <c r="A29" s="73"/>
      <c r="B29" s="81">
        <v>12</v>
      </c>
      <c r="C29" s="82" t="str">
        <f t="shared" si="5"/>
        <v>x18F</v>
      </c>
      <c r="D29" s="81" t="str">
        <f t="shared" si="0"/>
        <v>HKD12x18F_Quote</v>
      </c>
      <c r="E29" s="80" t="str">
        <f>_xll.qlSimpleQuote(D29,,RateTickValue,Permanent,Trigger,ObjectOverwrite)</f>
        <v>HKD12x18F_Quote#0001</v>
      </c>
      <c r="F29" s="79" t="str">
        <f>_xll.ohRangeRetrieveError(E29)</f>
        <v/>
      </c>
      <c r="G29" s="67"/>
      <c r="I29" s="195"/>
      <c r="J29" s="247">
        <v>12</v>
      </c>
      <c r="K29" s="246" t="str">
        <f t="shared" si="6"/>
        <v>x18F</v>
      </c>
      <c r="L29" s="244" t="str">
        <f t="shared" si="1"/>
        <v>HKD12x18F</v>
      </c>
      <c r="M29" s="244" t="str">
        <v>HKD12X18F=PREA</v>
      </c>
      <c r="N29" s="245">
        <v>0.57999999999999996</v>
      </c>
      <c r="O29" s="245">
        <v>0.68</v>
      </c>
      <c r="P29" s="244">
        <v>0</v>
      </c>
      <c r="Q29" s="244">
        <v>0</v>
      </c>
      <c r="R29" s="192">
        <f>_xll.qlMidSafe($N29,$O29)</f>
        <v>0.63</v>
      </c>
      <c r="S29" s="190"/>
      <c r="T29" s="243">
        <v>0.6399999999999999</v>
      </c>
      <c r="U29" s="190"/>
      <c r="V29" s="198" t="str">
        <f t="shared" si="2"/>
        <v>HKD12x18F_Quote</v>
      </c>
      <c r="W29" s="197">
        <v>0.63</v>
      </c>
      <c r="X29" s="196" t="e">
        <f>_xll.qlSimpleQuoteSetValue($V29,$W29/100,Trigger)</f>
        <v>#NUM!</v>
      </c>
      <c r="Y29" s="186"/>
      <c r="Z29" s="232"/>
      <c r="AA29" s="232"/>
      <c r="AB29" s="232"/>
      <c r="AC29" s="232"/>
      <c r="AD29" s="232"/>
      <c r="AE29" s="233">
        <f t="shared" si="4"/>
        <v>1.0000000000000009E-3</v>
      </c>
      <c r="AF29" s="232"/>
    </row>
    <row r="30" spans="1:32" x14ac:dyDescent="0.2">
      <c r="A30" s="73"/>
      <c r="B30" s="81">
        <v>13</v>
      </c>
      <c r="C30" s="82" t="str">
        <f t="shared" si="5"/>
        <v>x19F</v>
      </c>
      <c r="D30" s="81" t="str">
        <f t="shared" si="0"/>
        <v>HKD13x19F_Quote</v>
      </c>
      <c r="E30" s="80" t="str">
        <f>_xll.qlSimpleQuote(D30,,RateTickValue,Permanent,Trigger,ObjectOverwrite)</f>
        <v>HKD13x19F_Quote#0001</v>
      </c>
      <c r="F30" s="79" t="str">
        <f>_xll.ohRangeRetrieveError(E30)</f>
        <v/>
      </c>
      <c r="G30" s="67"/>
      <c r="I30" s="195"/>
      <c r="J30" s="247">
        <v>13</v>
      </c>
      <c r="K30" s="246" t="str">
        <f t="shared" si="6"/>
        <v>x19F</v>
      </c>
      <c r="L30" s="244" t="str">
        <f t="shared" si="1"/>
        <v>HKD13x19F</v>
      </c>
      <c r="M30" s="244" t="str">
        <v>HKD13X19F=PREA</v>
      </c>
      <c r="N30" s="245" t="s">
        <v>188</v>
      </c>
      <c r="O30" s="245" t="s">
        <v>188</v>
      </c>
      <c r="P30" s="244" t="s">
        <v>188</v>
      </c>
      <c r="Q30" s="244" t="s">
        <v>188</v>
      </c>
      <c r="R30" s="192" t="e">
        <f>_xll.qlMidSafe($N30,$O30)</f>
        <v>#NUM!</v>
      </c>
      <c r="S30" s="190"/>
      <c r="T30" s="243" t="e">
        <v>#NUM!</v>
      </c>
      <c r="U30" s="190"/>
      <c r="V30" s="198" t="str">
        <f t="shared" si="2"/>
        <v>HKD13x19F_Quote</v>
      </c>
      <c r="W30" s="197" t="e">
        <v>#NUM!</v>
      </c>
      <c r="X30" s="196" t="e">
        <f>_xll.qlSimpleQuoteSetValue($V30,$W30/100,Trigger)</f>
        <v>#NUM!</v>
      </c>
      <c r="Y30" s="186"/>
      <c r="Z30" s="232"/>
      <c r="AA30" s="232"/>
      <c r="AB30" s="232"/>
      <c r="AC30" s="232"/>
      <c r="AD30" s="232"/>
      <c r="AE30" s="233" t="e">
        <f t="shared" si="4"/>
        <v>#VALUE!</v>
      </c>
      <c r="AF30" s="232"/>
    </row>
    <row r="31" spans="1:32" x14ac:dyDescent="0.2">
      <c r="A31" s="73"/>
      <c r="B31" s="81">
        <v>14</v>
      </c>
      <c r="C31" s="82" t="str">
        <f t="shared" si="5"/>
        <v>x20F</v>
      </c>
      <c r="D31" s="81" t="str">
        <f t="shared" si="0"/>
        <v>HKD14x20F_Quote</v>
      </c>
      <c r="E31" s="80" t="str">
        <f>_xll.qlSimpleQuote(D31,,RateTickValue,Permanent,Trigger,ObjectOverwrite)</f>
        <v>HKD14x20F_Quote#0001</v>
      </c>
      <c r="F31" s="79" t="str">
        <f>_xll.ohRangeRetrieveError(E31)</f>
        <v/>
      </c>
      <c r="G31" s="67"/>
      <c r="I31" s="195"/>
      <c r="J31" s="247">
        <v>14</v>
      </c>
      <c r="K31" s="246" t="str">
        <f t="shared" si="6"/>
        <v>x20F</v>
      </c>
      <c r="L31" s="244" t="str">
        <f t="shared" si="1"/>
        <v>HKD14x20F</v>
      </c>
      <c r="M31" s="244" t="str">
        <v>HKD14X20F=PREA</v>
      </c>
      <c r="N31" s="245" t="s">
        <v>188</v>
      </c>
      <c r="O31" s="245" t="s">
        <v>188</v>
      </c>
      <c r="P31" s="244" t="s">
        <v>188</v>
      </c>
      <c r="Q31" s="244" t="s">
        <v>188</v>
      </c>
      <c r="R31" s="192" t="e">
        <f>_xll.qlMidSafe($N31,$O31)</f>
        <v>#NUM!</v>
      </c>
      <c r="S31" s="190"/>
      <c r="T31" s="243" t="e">
        <v>#NUM!</v>
      </c>
      <c r="U31" s="190"/>
      <c r="V31" s="198" t="str">
        <f t="shared" si="2"/>
        <v>HKD14x20F_Quote</v>
      </c>
      <c r="W31" s="197" t="e">
        <v>#NUM!</v>
      </c>
      <c r="X31" s="196" t="e">
        <f>_xll.qlSimpleQuoteSetValue($V31,$W31/100,Trigger)</f>
        <v>#NUM!</v>
      </c>
      <c r="Y31" s="186"/>
      <c r="Z31" s="232"/>
      <c r="AA31" s="232"/>
      <c r="AB31" s="232"/>
      <c r="AC31" s="232"/>
      <c r="AD31" s="232"/>
      <c r="AE31" s="233" t="e">
        <f t="shared" si="4"/>
        <v>#VALUE!</v>
      </c>
      <c r="AF31" s="232"/>
    </row>
    <row r="32" spans="1:32" x14ac:dyDescent="0.2">
      <c r="A32" s="73"/>
      <c r="B32" s="81">
        <v>15</v>
      </c>
      <c r="C32" s="82" t="str">
        <f t="shared" si="5"/>
        <v>x21F</v>
      </c>
      <c r="D32" s="81" t="str">
        <f t="shared" si="0"/>
        <v>HKD15x21F_Quote</v>
      </c>
      <c r="E32" s="80" t="str">
        <f>_xll.qlSimpleQuote(D32,,RateTickValue,Permanent,Trigger,ObjectOverwrite)</f>
        <v>HKD15x21F_Quote#0001</v>
      </c>
      <c r="F32" s="79" t="str">
        <f>_xll.ohRangeRetrieveError(E32)</f>
        <v/>
      </c>
      <c r="G32" s="67"/>
      <c r="I32" s="195"/>
      <c r="J32" s="247">
        <v>15</v>
      </c>
      <c r="K32" s="246" t="str">
        <f t="shared" si="6"/>
        <v>x21F</v>
      </c>
      <c r="L32" s="244" t="str">
        <f t="shared" si="1"/>
        <v>HKD15x21F</v>
      </c>
      <c r="M32" s="244" t="str">
        <v>HKD15X21F=PREA</v>
      </c>
      <c r="N32" s="245" t="s">
        <v>188</v>
      </c>
      <c r="O32" s="245" t="s">
        <v>188</v>
      </c>
      <c r="P32" s="244" t="s">
        <v>188</v>
      </c>
      <c r="Q32" s="244" t="s">
        <v>188</v>
      </c>
      <c r="R32" s="192" t="e">
        <f>_xll.qlMidSafe($N32,$O32)</f>
        <v>#NUM!</v>
      </c>
      <c r="S32" s="190"/>
      <c r="T32" s="243" t="e">
        <v>#NUM!</v>
      </c>
      <c r="U32" s="190"/>
      <c r="V32" s="198" t="str">
        <f t="shared" si="2"/>
        <v>HKD15x21F_Quote</v>
      </c>
      <c r="W32" s="197" t="e">
        <v>#NUM!</v>
      </c>
      <c r="X32" s="196" t="e">
        <f>_xll.qlSimpleQuoteSetValue($V32,$W32/100,Trigger)</f>
        <v>#NUM!</v>
      </c>
      <c r="Y32" s="186"/>
      <c r="Z32" s="232"/>
      <c r="AA32" s="232"/>
      <c r="AB32" s="232"/>
      <c r="AC32" s="232"/>
      <c r="AD32" s="232"/>
      <c r="AE32" s="233" t="e">
        <f t="shared" si="4"/>
        <v>#VALUE!</v>
      </c>
      <c r="AF32" s="232"/>
    </row>
    <row r="33" spans="1:32" x14ac:dyDescent="0.2">
      <c r="A33" s="73"/>
      <c r="B33" s="81">
        <v>16</v>
      </c>
      <c r="C33" s="82" t="str">
        <f t="shared" si="5"/>
        <v>x22F</v>
      </c>
      <c r="D33" s="81" t="str">
        <f t="shared" si="0"/>
        <v>HKD16x22F_Quote</v>
      </c>
      <c r="E33" s="80" t="str">
        <f>_xll.qlSimpleQuote(D33,,RateTickValue,Permanent,Trigger,ObjectOverwrite)</f>
        <v>HKD16x22F_Quote#0001</v>
      </c>
      <c r="F33" s="79" t="str">
        <f>_xll.ohRangeRetrieveError(E33)</f>
        <v/>
      </c>
      <c r="G33" s="67"/>
      <c r="I33" s="195"/>
      <c r="J33" s="247">
        <v>16</v>
      </c>
      <c r="K33" s="246" t="str">
        <f t="shared" si="6"/>
        <v>x22F</v>
      </c>
      <c r="L33" s="244" t="str">
        <f t="shared" si="1"/>
        <v>HKD16x22F</v>
      </c>
      <c r="M33" s="244" t="str">
        <v>HKD16X22F=PREA</v>
      </c>
      <c r="N33" s="245" t="s">
        <v>188</v>
      </c>
      <c r="O33" s="245" t="s">
        <v>188</v>
      </c>
      <c r="P33" s="244" t="s">
        <v>188</v>
      </c>
      <c r="Q33" s="244" t="s">
        <v>188</v>
      </c>
      <c r="R33" s="192" t="e">
        <f>_xll.qlMidSafe($N33,$O33)</f>
        <v>#NUM!</v>
      </c>
      <c r="S33" s="190"/>
      <c r="T33" s="243" t="e">
        <v>#NUM!</v>
      </c>
      <c r="U33" s="190"/>
      <c r="V33" s="198" t="str">
        <f t="shared" si="2"/>
        <v>HKD16x22F_Quote</v>
      </c>
      <c r="W33" s="197" t="e">
        <v>#NUM!</v>
      </c>
      <c r="X33" s="196" t="e">
        <f>_xll.qlSimpleQuoteSetValue($V33,$W33/100,Trigger)</f>
        <v>#NUM!</v>
      </c>
      <c r="Y33" s="186"/>
      <c r="Z33" s="232"/>
      <c r="AA33" s="232"/>
      <c r="AB33" s="232"/>
      <c r="AC33" s="232"/>
      <c r="AD33" s="232"/>
      <c r="AE33" s="233" t="e">
        <f t="shared" si="4"/>
        <v>#VALUE!</v>
      </c>
      <c r="AF33" s="232"/>
    </row>
    <row r="34" spans="1:32" x14ac:dyDescent="0.2">
      <c r="A34" s="73"/>
      <c r="B34" s="81">
        <v>17</v>
      </c>
      <c r="C34" s="82" t="str">
        <f t="shared" si="5"/>
        <v>x23F</v>
      </c>
      <c r="D34" s="81" t="str">
        <f t="shared" si="0"/>
        <v>HKD17x23F_Quote</v>
      </c>
      <c r="E34" s="80" t="str">
        <f>_xll.qlSimpleQuote(D34,,RateTickValue,Permanent,Trigger,ObjectOverwrite)</f>
        <v>HKD17x23F_Quote#0001</v>
      </c>
      <c r="F34" s="79" t="str">
        <f>_xll.ohRangeRetrieveError(E34)</f>
        <v/>
      </c>
      <c r="G34" s="67"/>
      <c r="I34" s="195"/>
      <c r="J34" s="247">
        <v>17</v>
      </c>
      <c r="K34" s="246" t="str">
        <f t="shared" si="6"/>
        <v>x23F</v>
      </c>
      <c r="L34" s="244" t="str">
        <f t="shared" si="1"/>
        <v>HKD17x23F</v>
      </c>
      <c r="M34" s="244" t="str">
        <v>HKD17X23F=PREA</v>
      </c>
      <c r="N34" s="245" t="s">
        <v>188</v>
      </c>
      <c r="O34" s="245" t="s">
        <v>188</v>
      </c>
      <c r="P34" s="244" t="s">
        <v>188</v>
      </c>
      <c r="Q34" s="244" t="s">
        <v>188</v>
      </c>
      <c r="R34" s="192" t="e">
        <f>_xll.qlMidSafe($N34,$O34)</f>
        <v>#NUM!</v>
      </c>
      <c r="S34" s="190"/>
      <c r="T34" s="243" t="e">
        <v>#NUM!</v>
      </c>
      <c r="U34" s="190"/>
      <c r="V34" s="198" t="str">
        <f t="shared" si="2"/>
        <v>HKD17x23F_Quote</v>
      </c>
      <c r="W34" s="197" t="e">
        <v>#NUM!</v>
      </c>
      <c r="X34" s="196" t="e">
        <f>_xll.qlSimpleQuoteSetValue($V34,$W34/100,Trigger)</f>
        <v>#NUM!</v>
      </c>
      <c r="Y34" s="186"/>
      <c r="Z34" s="232"/>
      <c r="AA34" s="232"/>
      <c r="AB34" s="232"/>
      <c r="AC34" s="232"/>
      <c r="AD34" s="232"/>
      <c r="AE34" s="233" t="e">
        <f t="shared" si="4"/>
        <v>#VALUE!</v>
      </c>
      <c r="AF34" s="232"/>
    </row>
    <row r="35" spans="1:32" x14ac:dyDescent="0.2">
      <c r="A35" s="73"/>
      <c r="B35" s="70">
        <v>18</v>
      </c>
      <c r="C35" s="74" t="str">
        <f t="shared" si="5"/>
        <v>x24F</v>
      </c>
      <c r="D35" s="70" t="str">
        <f t="shared" si="0"/>
        <v>HKD18x24F_Quote</v>
      </c>
      <c r="E35" s="69" t="str">
        <f>_xll.qlSimpleQuote(D35,,RateTickValue,Permanent,Trigger,ObjectOverwrite)</f>
        <v>HKD18x24F_Quote#0001</v>
      </c>
      <c r="F35" s="68" t="str">
        <f>_xll.ohRangeRetrieveError(E35)</f>
        <v/>
      </c>
      <c r="G35" s="67"/>
      <c r="I35" s="195"/>
      <c r="J35" s="247">
        <v>18</v>
      </c>
      <c r="K35" s="246" t="str">
        <f t="shared" si="6"/>
        <v>x24F</v>
      </c>
      <c r="L35" s="244" t="str">
        <f t="shared" si="1"/>
        <v>HKD18x24F</v>
      </c>
      <c r="M35" s="244" t="str">
        <v>HKD18X24F=PREA</v>
      </c>
      <c r="N35" s="245">
        <v>0.71</v>
      </c>
      <c r="O35" s="245">
        <v>0.81</v>
      </c>
      <c r="P35" s="244">
        <v>0</v>
      </c>
      <c r="Q35" s="244">
        <v>0</v>
      </c>
      <c r="R35" s="192">
        <f>_xll.qlMidSafe($N35,$O35)</f>
        <v>0.76</v>
      </c>
      <c r="S35" s="190"/>
      <c r="T35" s="243">
        <v>0.81</v>
      </c>
      <c r="U35" s="190"/>
      <c r="V35" s="198" t="str">
        <f t="shared" si="2"/>
        <v>HKD18x24F_Quote</v>
      </c>
      <c r="W35" s="197">
        <v>0.76</v>
      </c>
      <c r="X35" s="196" t="e">
        <f>_xll.qlSimpleQuoteSetValue($V35,$W35/100,Trigger)</f>
        <v>#NUM!</v>
      </c>
      <c r="Y35" s="186"/>
      <c r="Z35" s="232"/>
      <c r="AA35" s="232"/>
      <c r="AB35" s="232"/>
      <c r="AC35" s="232"/>
      <c r="AD35" s="232"/>
      <c r="AE35" s="233">
        <f t="shared" si="4"/>
        <v>1.0000000000000009E-3</v>
      </c>
      <c r="AF35" s="232"/>
    </row>
    <row r="36" spans="1:32" x14ac:dyDescent="0.2">
      <c r="A36" s="73"/>
      <c r="B36" s="77" t="s">
        <v>85</v>
      </c>
      <c r="C36" s="78" t="s">
        <v>83</v>
      </c>
      <c r="D36" s="77" t="str">
        <f t="shared" si="0"/>
        <v>HKDT12F1_Quote</v>
      </c>
      <c r="E36" s="76" t="str">
        <f>_xll.qlSimpleQuote(D36,,RateTickValue,Permanent,Trigger,ObjectOverwrite)</f>
        <v>HKDT12F1_Quote#0001</v>
      </c>
      <c r="F36" s="75" t="str">
        <f>_xll.ohRangeRetrieveError(E36)</f>
        <v/>
      </c>
      <c r="G36" s="67"/>
      <c r="I36" s="195"/>
      <c r="J36" s="242">
        <v>12</v>
      </c>
      <c r="K36" s="241" t="str">
        <f>"x"&amp;J36+12&amp;"F"</f>
        <v>x24F</v>
      </c>
      <c r="L36" s="239" t="str">
        <f t="shared" si="1"/>
        <v>HKD12x24F</v>
      </c>
      <c r="M36" s="239" t="str">
        <v>HKD12X24F=PREA</v>
      </c>
      <c r="N36" s="240" t="s">
        <v>188</v>
      </c>
      <c r="O36" s="240" t="s">
        <v>188</v>
      </c>
      <c r="P36" s="239" t="s">
        <v>188</v>
      </c>
      <c r="Q36" s="239" t="s">
        <v>188</v>
      </c>
      <c r="R36" s="238" t="e">
        <f>_xll.qlMidSafe($N36,$O36)</f>
        <v>#NUM!</v>
      </c>
      <c r="S36" s="190"/>
      <c r="T36" s="237" t="e">
        <v>#NUM!</v>
      </c>
      <c r="U36" s="190"/>
      <c r="V36" s="236" t="str">
        <f t="shared" si="2"/>
        <v>HKD12x24F_Quote</v>
      </c>
      <c r="W36" s="235" t="e">
        <v>#NUM!</v>
      </c>
      <c r="X36" s="234" t="e">
        <f>_xll.qlSimpleQuoteSetValue($V36,$W36/100,Trigger)</f>
        <v>#NUM!</v>
      </c>
      <c r="Y36" s="186"/>
      <c r="Z36" s="232"/>
      <c r="AA36" s="232"/>
      <c r="AB36" s="232"/>
      <c r="AC36" s="232"/>
      <c r="AD36" s="232"/>
      <c r="AE36" s="233" t="e">
        <f t="shared" si="4"/>
        <v>#VALUE!</v>
      </c>
      <c r="AF36" s="232"/>
    </row>
    <row r="37" spans="1:32" ht="13.5" thickBot="1" x14ac:dyDescent="0.25">
      <c r="A37" s="73"/>
      <c r="B37" s="70" t="s">
        <v>84</v>
      </c>
      <c r="C37" s="74" t="s">
        <v>83</v>
      </c>
      <c r="D37" s="70" t="str">
        <f t="shared" si="0"/>
        <v>HKDTOM12F1_Quote</v>
      </c>
      <c r="E37" s="69" t="str">
        <f>_xll.qlSimpleQuote(D37,,RateTickValue,Permanent,Trigger,ObjectOverwrite)</f>
        <v>HKDTOM12F1_Quote#0001</v>
      </c>
      <c r="F37" s="68" t="str">
        <f>_xll.ohRangeRetrieveError(E37)</f>
        <v/>
      </c>
      <c r="G37" s="67"/>
      <c r="I37" s="185"/>
      <c r="J37" s="184"/>
      <c r="K37" s="184"/>
      <c r="L37" s="184"/>
      <c r="M37" s="184"/>
      <c r="N37" s="184"/>
      <c r="O37" s="184"/>
      <c r="P37" s="184"/>
      <c r="Q37" s="184"/>
      <c r="R37" s="184"/>
      <c r="S37" s="183"/>
      <c r="T37" s="184"/>
      <c r="U37" s="183"/>
      <c r="V37" s="184"/>
      <c r="W37" s="184"/>
      <c r="X37" s="184"/>
      <c r="Y37" s="182"/>
      <c r="Z37" s="232"/>
      <c r="AA37" s="232"/>
      <c r="AB37" s="232"/>
      <c r="AC37" s="232"/>
      <c r="AD37" s="232"/>
      <c r="AE37" s="232"/>
      <c r="AF37" s="232"/>
    </row>
    <row r="38" spans="1:32" x14ac:dyDescent="0.2">
      <c r="A38" s="73"/>
      <c r="B38" s="72">
        <v>12</v>
      </c>
      <c r="C38" s="71" t="s">
        <v>82</v>
      </c>
      <c r="D38" s="70" t="str">
        <f t="shared" si="0"/>
        <v>HKD12x24F_Quote</v>
      </c>
      <c r="E38" s="69" t="str">
        <f>_xll.qlSimpleQuote(D38,,RateTickValue,Permanent,Trigger,ObjectOverwrite)</f>
        <v>HKD12x24F_Quote#0001</v>
      </c>
      <c r="F38" s="68" t="str">
        <f>_xll.ohRangeRetrieveError(E38)</f>
        <v/>
      </c>
      <c r="G38" s="67"/>
      <c r="I38" s="232"/>
      <c r="J38" s="232"/>
      <c r="K38" s="232"/>
      <c r="L38" s="232"/>
      <c r="M38" s="232"/>
      <c r="N38" s="232"/>
      <c r="O38" s="232"/>
      <c r="P38" s="232"/>
      <c r="Q38" s="232"/>
      <c r="R38" s="232"/>
      <c r="S38" s="232"/>
      <c r="T38" s="232"/>
      <c r="U38" s="232"/>
      <c r="V38" s="232"/>
      <c r="W38" s="232"/>
      <c r="X38" s="232"/>
      <c r="Y38" s="232"/>
      <c r="Z38" s="232"/>
      <c r="AA38" s="232"/>
      <c r="AB38" s="232"/>
      <c r="AC38" s="232"/>
      <c r="AD38" s="232"/>
      <c r="AE38" s="232"/>
      <c r="AF38" s="232"/>
    </row>
    <row r="39" spans="1:32" ht="13.5" thickBot="1" x14ac:dyDescent="0.25">
      <c r="A39" s="66"/>
      <c r="B39" s="65"/>
      <c r="C39" s="65"/>
      <c r="D39" s="65"/>
      <c r="E39" s="64"/>
      <c r="F39" s="64"/>
      <c r="G39" s="63"/>
      <c r="I39" s="232"/>
      <c r="J39" s="232"/>
      <c r="K39" s="232"/>
      <c r="L39" s="232"/>
      <c r="M39" s="232"/>
      <c r="N39" s="232"/>
      <c r="O39" s="232"/>
      <c r="P39" s="232"/>
      <c r="Q39" s="232"/>
      <c r="R39" s="232"/>
      <c r="S39" s="232"/>
      <c r="T39" s="232"/>
      <c r="U39" s="232"/>
      <c r="V39" s="232"/>
      <c r="W39" s="232"/>
      <c r="X39" s="232"/>
      <c r="Y39" s="232"/>
      <c r="Z39" s="232"/>
      <c r="AA39" s="232"/>
      <c r="AB39" s="232"/>
      <c r="AC39" s="232"/>
      <c r="AD39" s="232"/>
      <c r="AE39" s="232"/>
      <c r="AF39" s="232"/>
    </row>
    <row r="40" spans="1:32" ht="15" x14ac:dyDescent="0.25">
      <c r="I40" s="232"/>
      <c r="J40" s="232"/>
      <c r="K40" s="232"/>
      <c r="L40" s="232"/>
      <c r="M40" s="232"/>
      <c r="N40" s="232"/>
      <c r="O40" s="232"/>
      <c r="P40" s="232"/>
      <c r="Q40" s="232"/>
      <c r="R40" s="232"/>
      <c r="S40" s="232"/>
      <c r="T40" s="232"/>
      <c r="U40" s="232"/>
      <c r="V40" s="232"/>
      <c r="W40" s="232"/>
      <c r="X40" t="str">
        <f>_xll.RtGet("IDN","HKD1X7F=","SEC_ACT_1")</f>
        <v>#N/A Paused at 16:09:04</v>
      </c>
      <c r="Y40" s="232"/>
      <c r="Z40" s="232"/>
      <c r="AA40" s="232"/>
      <c r="AB40" s="232"/>
      <c r="AC40" s="232"/>
      <c r="AD40" s="232"/>
      <c r="AE40" s="232"/>
      <c r="AF40" s="232"/>
    </row>
    <row r="41" spans="1:32" ht="15" x14ac:dyDescent="0.25">
      <c r="I41" s="232"/>
      <c r="J41" s="232"/>
      <c r="K41" s="232"/>
      <c r="L41" s="232"/>
      <c r="M41" s="232"/>
      <c r="N41" s="232"/>
      <c r="O41" s="232"/>
      <c r="P41" s="232"/>
      <c r="Q41" s="232"/>
      <c r="R41" s="232"/>
      <c r="S41" s="232"/>
      <c r="T41" s="232"/>
      <c r="U41" s="232"/>
      <c r="V41" s="232"/>
      <c r="W41" s="232"/>
      <c r="X41" t="str">
        <f>_xll.RtGet("IDN","HKD1X4F=","PRIMACT_1")</f>
        <v>#N/A Paused at 16:09:04</v>
      </c>
      <c r="Y41" s="232"/>
      <c r="Z41" s="232"/>
      <c r="AA41" s="232"/>
      <c r="AB41" s="232"/>
      <c r="AC41" s="232"/>
      <c r="AD41" s="232"/>
      <c r="AE41" s="232"/>
      <c r="AF41" s="232"/>
    </row>
    <row r="42" spans="1:32" x14ac:dyDescent="0.2">
      <c r="I42" s="232"/>
      <c r="J42" s="232"/>
      <c r="K42" s="232"/>
      <c r="L42" s="232"/>
      <c r="M42" s="232"/>
      <c r="N42" s="232"/>
      <c r="O42" s="232"/>
      <c r="P42" s="232"/>
      <c r="Q42" s="232"/>
      <c r="R42" s="232"/>
      <c r="S42" s="232"/>
      <c r="T42" s="232"/>
      <c r="U42" s="232"/>
      <c r="V42" s="232"/>
      <c r="W42" s="232"/>
      <c r="X42" s="232"/>
      <c r="Y42" s="232"/>
      <c r="Z42" s="232"/>
      <c r="AA42" s="232"/>
      <c r="AB42" s="232"/>
      <c r="AC42" s="232"/>
      <c r="AD42" s="232"/>
      <c r="AE42" s="232"/>
      <c r="AF42" s="232"/>
    </row>
    <row r="43" spans="1:32" x14ac:dyDescent="0.2">
      <c r="I43" s="232"/>
      <c r="J43" s="232"/>
      <c r="K43" s="232"/>
      <c r="L43" s="232"/>
      <c r="M43" s="232"/>
      <c r="N43" s="232"/>
      <c r="O43" s="232"/>
      <c r="P43" s="232"/>
      <c r="Q43" s="232"/>
      <c r="R43" s="232"/>
      <c r="S43" s="232"/>
      <c r="T43" s="232"/>
      <c r="U43" s="232"/>
      <c r="V43" s="232"/>
      <c r="W43" s="232"/>
      <c r="X43" s="232"/>
      <c r="Y43" s="232"/>
      <c r="Z43" s="232"/>
      <c r="AA43" s="232"/>
      <c r="AB43" s="232"/>
      <c r="AC43" s="232"/>
      <c r="AD43" s="232"/>
      <c r="AE43" s="232"/>
      <c r="AF43" s="232"/>
    </row>
    <row r="44" spans="1:32" x14ac:dyDescent="0.2">
      <c r="I44" s="232"/>
      <c r="J44" s="232"/>
      <c r="K44" s="232"/>
      <c r="L44" s="232"/>
      <c r="M44" s="232" t="s">
        <v>229</v>
      </c>
      <c r="N44" s="232"/>
      <c r="O44" s="232" t="s">
        <v>229</v>
      </c>
      <c r="P44" s="232" t="s">
        <v>228</v>
      </c>
      <c r="Q44" s="232" t="s">
        <v>227</v>
      </c>
      <c r="R44" s="232" t="s">
        <v>226</v>
      </c>
      <c r="S44" s="232" t="s">
        <v>225</v>
      </c>
      <c r="T44" s="232" t="s">
        <v>224</v>
      </c>
      <c r="U44" s="232" t="s">
        <v>223</v>
      </c>
      <c r="V44" s="232" t="s">
        <v>222</v>
      </c>
      <c r="W44" s="232" t="s">
        <v>221</v>
      </c>
      <c r="X44" s="232"/>
      <c r="Y44" s="232"/>
      <c r="Z44" s="232"/>
      <c r="AA44" s="232"/>
      <c r="AB44" s="232"/>
      <c r="AC44" s="232"/>
      <c r="AD44" s="232"/>
      <c r="AE44" s="232"/>
      <c r="AF44" s="232"/>
    </row>
    <row r="45" spans="1:32" x14ac:dyDescent="0.2">
      <c r="I45" s="232"/>
      <c r="J45" s="232"/>
      <c r="K45" s="232"/>
      <c r="L45" s="232"/>
      <c r="M45" s="232" t="s">
        <v>228</v>
      </c>
      <c r="N45" s="232"/>
      <c r="O45" s="232"/>
      <c r="P45" s="232"/>
      <c r="Q45" s="232"/>
      <c r="R45" s="232"/>
      <c r="S45" s="232"/>
      <c r="T45" s="232"/>
      <c r="U45" s="232"/>
      <c r="V45" s="232"/>
      <c r="W45" s="232"/>
      <c r="X45" s="232"/>
      <c r="Y45" s="232"/>
      <c r="Z45" s="232"/>
      <c r="AA45" s="232"/>
      <c r="AB45" s="232"/>
      <c r="AC45" s="232"/>
      <c r="AD45" s="232"/>
      <c r="AE45" s="232"/>
      <c r="AF45" s="232"/>
    </row>
    <row r="46" spans="1:32" x14ac:dyDescent="0.2">
      <c r="I46" s="232"/>
      <c r="J46" s="232"/>
      <c r="K46" s="232"/>
      <c r="L46" s="232"/>
      <c r="M46" s="232" t="s">
        <v>227</v>
      </c>
      <c r="N46" s="232"/>
      <c r="O46" s="232"/>
      <c r="P46" s="232"/>
      <c r="Q46" s="232"/>
      <c r="R46" s="232"/>
      <c r="S46" s="232"/>
      <c r="T46" s="232"/>
      <c r="U46" s="232"/>
      <c r="V46" s="232"/>
      <c r="W46" s="232"/>
      <c r="X46" s="232"/>
      <c r="Y46" s="232"/>
      <c r="Z46" s="232"/>
      <c r="AA46" s="232"/>
      <c r="AB46" s="232"/>
      <c r="AC46" s="232"/>
      <c r="AD46" s="232"/>
      <c r="AE46" s="232"/>
      <c r="AF46" s="232"/>
    </row>
    <row r="47" spans="1:32" x14ac:dyDescent="0.2">
      <c r="I47" s="232"/>
      <c r="J47" s="232"/>
      <c r="K47" s="232"/>
      <c r="L47" s="232"/>
      <c r="M47" s="232" t="s">
        <v>226</v>
      </c>
      <c r="N47" s="232"/>
      <c r="O47" s="232"/>
      <c r="P47" s="232"/>
      <c r="Q47" s="232"/>
      <c r="R47" s="232"/>
      <c r="S47" s="232"/>
      <c r="T47" s="232"/>
      <c r="U47" s="232"/>
      <c r="V47" s="232"/>
      <c r="W47" s="232"/>
      <c r="X47" s="232"/>
      <c r="Y47" s="232"/>
      <c r="Z47" s="232"/>
      <c r="AA47" s="232"/>
      <c r="AB47" s="232"/>
      <c r="AC47" s="232"/>
      <c r="AD47" s="232"/>
      <c r="AE47" s="232"/>
      <c r="AF47" s="232"/>
    </row>
    <row r="48" spans="1:32" x14ac:dyDescent="0.2">
      <c r="I48" s="232"/>
      <c r="J48" s="232"/>
      <c r="K48" s="232"/>
      <c r="L48" s="232"/>
      <c r="M48" s="232" t="s">
        <v>225</v>
      </c>
      <c r="N48" s="232"/>
      <c r="O48" s="232"/>
      <c r="P48" s="232"/>
      <c r="Q48" s="232"/>
      <c r="R48" s="232"/>
      <c r="S48" s="232"/>
      <c r="T48" s="232"/>
      <c r="U48" s="232"/>
      <c r="V48" s="232"/>
      <c r="W48" s="232"/>
      <c r="X48" s="232"/>
      <c r="Y48" s="232"/>
      <c r="Z48" s="232"/>
      <c r="AA48" s="232"/>
      <c r="AB48" s="232"/>
      <c r="AC48" s="232"/>
      <c r="AD48" s="232"/>
      <c r="AE48" s="232"/>
      <c r="AF48" s="232"/>
    </row>
    <row r="49" spans="9:32" x14ac:dyDescent="0.2">
      <c r="I49" s="232"/>
      <c r="J49" s="232"/>
      <c r="K49" s="232"/>
      <c r="L49" s="232"/>
      <c r="M49" s="232" t="s">
        <v>224</v>
      </c>
      <c r="N49" s="232"/>
      <c r="O49" s="232"/>
      <c r="P49" s="232"/>
      <c r="Q49" s="232"/>
      <c r="R49" s="232"/>
      <c r="S49" s="232"/>
      <c r="T49" s="232"/>
      <c r="U49" s="232"/>
      <c r="V49" s="232"/>
      <c r="W49" s="232"/>
      <c r="X49" s="232"/>
      <c r="Y49" s="232"/>
      <c r="Z49" s="232"/>
      <c r="AA49" s="232"/>
      <c r="AB49" s="232"/>
      <c r="AC49" s="232"/>
      <c r="AD49" s="232"/>
      <c r="AE49" s="232"/>
      <c r="AF49" s="232"/>
    </row>
    <row r="50" spans="9:32" x14ac:dyDescent="0.2">
      <c r="I50" s="232"/>
      <c r="J50" s="232"/>
      <c r="K50" s="232"/>
      <c r="L50" s="232"/>
      <c r="M50" s="232" t="s">
        <v>223</v>
      </c>
      <c r="N50" s="232"/>
      <c r="O50" s="232"/>
      <c r="P50" s="232"/>
      <c r="Q50" s="232"/>
      <c r="R50" s="232"/>
      <c r="S50" s="232"/>
      <c r="T50" s="232"/>
      <c r="U50" s="232"/>
      <c r="V50" s="232"/>
      <c r="W50" s="232"/>
      <c r="X50" s="232"/>
      <c r="Y50" s="232"/>
      <c r="Z50" s="232"/>
      <c r="AA50" s="232"/>
      <c r="AB50" s="232"/>
      <c r="AC50" s="232"/>
      <c r="AD50" s="232"/>
      <c r="AE50" s="232"/>
      <c r="AF50" s="232"/>
    </row>
    <row r="51" spans="9:32" x14ac:dyDescent="0.2">
      <c r="I51" s="232"/>
      <c r="J51" s="232"/>
      <c r="K51" s="232"/>
      <c r="L51" s="232"/>
      <c r="M51" s="232" t="s">
        <v>222</v>
      </c>
      <c r="N51" s="232"/>
      <c r="O51" s="232"/>
      <c r="P51" s="232"/>
      <c r="Q51" s="232"/>
      <c r="R51" s="232"/>
      <c r="S51" s="232"/>
      <c r="T51" s="232"/>
      <c r="U51" s="232"/>
      <c r="V51" s="232"/>
      <c r="W51" s="232"/>
      <c r="X51" s="232"/>
      <c r="Y51" s="232"/>
      <c r="Z51" s="232"/>
      <c r="AA51" s="232"/>
      <c r="AB51" s="232"/>
      <c r="AC51" s="232"/>
      <c r="AD51" s="232"/>
      <c r="AE51" s="232"/>
      <c r="AF51" s="232"/>
    </row>
    <row r="52" spans="9:32" x14ac:dyDescent="0.2">
      <c r="I52" s="232"/>
      <c r="J52" s="232"/>
      <c r="K52" s="232"/>
      <c r="L52" s="232"/>
      <c r="M52" s="232" t="s">
        <v>221</v>
      </c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232"/>
      <c r="AA52" s="232"/>
      <c r="AB52" s="232"/>
      <c r="AC52" s="232"/>
      <c r="AD52" s="232"/>
      <c r="AE52" s="232"/>
      <c r="AF52" s="232"/>
    </row>
    <row r="53" spans="9:32" x14ac:dyDescent="0.2"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232"/>
      <c r="Z53" s="232"/>
      <c r="AA53" s="232"/>
      <c r="AB53" s="232"/>
      <c r="AC53" s="232"/>
      <c r="AD53" s="232"/>
      <c r="AE53" s="232"/>
      <c r="AF53" s="232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6.140625" style="18" bestFit="1" customWidth="1"/>
    <col min="5" max="5" width="19.140625" style="18" bestFit="1" customWidth="1"/>
    <col min="6" max="6" width="20.140625" style="18" bestFit="1" customWidth="1"/>
    <col min="7" max="7" width="33.85546875" style="18" customWidth="1"/>
    <col min="8" max="8" width="4.5703125" style="18" customWidth="1"/>
    <col min="9" max="13" width="9.140625" style="18"/>
    <col min="14" max="14" width="14.28515625" style="18" bestFit="1" customWidth="1"/>
    <col min="15" max="16384" width="9.140625" style="18"/>
  </cols>
  <sheetData>
    <row r="1" spans="1:34" s="156" customFormat="1" x14ac:dyDescent="0.2">
      <c r="J1" s="222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304"/>
      <c r="W1" s="304"/>
      <c r="X1" s="221"/>
      <c r="Y1" s="221"/>
      <c r="Z1" s="221"/>
      <c r="AA1" s="221"/>
      <c r="AB1" s="303"/>
      <c r="AC1" s="232"/>
      <c r="AD1" s="232"/>
      <c r="AE1" s="232"/>
      <c r="AF1" s="232"/>
      <c r="AG1" s="232"/>
      <c r="AH1" s="232"/>
    </row>
    <row r="2" spans="1:34" s="156" customFormat="1" ht="22.5" x14ac:dyDescent="0.2">
      <c r="J2" s="219"/>
      <c r="K2" s="268"/>
      <c r="L2" s="218"/>
      <c r="M2" s="218"/>
      <c r="N2" s="268"/>
      <c r="O2" s="268"/>
      <c r="P2" s="268"/>
      <c r="Q2" s="268"/>
      <c r="R2" s="268"/>
      <c r="S2" s="268"/>
      <c r="T2" s="268"/>
      <c r="U2" s="268"/>
      <c r="V2" s="190"/>
      <c r="W2" s="190"/>
      <c r="X2" s="268"/>
      <c r="Y2" s="302" t="s">
        <v>195</v>
      </c>
      <c r="Z2" s="301" t="s">
        <v>2</v>
      </c>
      <c r="AA2" s="268"/>
      <c r="AB2" s="300"/>
      <c r="AC2" s="232"/>
      <c r="AD2" s="232"/>
      <c r="AE2" s="232"/>
      <c r="AF2" s="232"/>
      <c r="AG2" s="232"/>
      <c r="AH2" s="232"/>
    </row>
    <row r="3" spans="1:34" s="156" customFormat="1" ht="12" thickBot="1" x14ac:dyDescent="0.25">
      <c r="J3" s="219"/>
      <c r="K3" s="268"/>
      <c r="L3" s="268"/>
      <c r="M3" s="268"/>
      <c r="N3" s="268"/>
      <c r="O3" s="268"/>
      <c r="P3" s="268"/>
      <c r="Q3" s="268"/>
      <c r="R3" s="268"/>
      <c r="S3" s="268"/>
      <c r="T3" s="268"/>
      <c r="U3" s="268"/>
      <c r="V3" s="190"/>
      <c r="W3" s="190"/>
      <c r="X3" s="268"/>
      <c r="Y3" s="232"/>
      <c r="Z3" s="268"/>
      <c r="AA3" s="268"/>
      <c r="AB3" s="300"/>
      <c r="AC3" s="232"/>
      <c r="AD3" s="232"/>
      <c r="AE3" s="232"/>
      <c r="AF3" s="232"/>
      <c r="AG3" s="232"/>
      <c r="AH3" s="232"/>
    </row>
    <row r="4" spans="1:34" ht="12" thickBot="1" x14ac:dyDescent="0.25">
      <c r="A4" s="105"/>
      <c r="B4" s="104"/>
      <c r="C4" s="104"/>
      <c r="D4" s="38" t="s">
        <v>105</v>
      </c>
      <c r="E4" s="38" t="s">
        <v>106</v>
      </c>
      <c r="F4" s="103"/>
      <c r="G4" s="103"/>
      <c r="H4" s="102"/>
      <c r="J4" s="219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190"/>
      <c r="W4" s="190"/>
      <c r="X4" s="268"/>
      <c r="Y4" s="190" t="s">
        <v>243</v>
      </c>
      <c r="Z4" s="268"/>
      <c r="AA4" s="212">
        <f>_xll.ohTrigger(AA6:AA47)</f>
        <v>8</v>
      </c>
      <c r="AB4" s="300"/>
      <c r="AC4" s="232"/>
      <c r="AD4" s="232"/>
      <c r="AE4" s="232"/>
      <c r="AF4" s="232"/>
      <c r="AG4" s="232"/>
      <c r="AH4" s="232"/>
    </row>
    <row r="5" spans="1:34" ht="22.5" x14ac:dyDescent="0.2">
      <c r="A5" s="101"/>
      <c r="B5" s="44" t="s">
        <v>103</v>
      </c>
      <c r="C5" s="45" t="s">
        <v>102</v>
      </c>
      <c r="D5" s="45" t="s">
        <v>101</v>
      </c>
      <c r="E5" s="43" t="str">
        <f>Currency&amp;"_010_"&amp;$D$4&amp;$E$4&amp;".xml"</f>
        <v>HKD_010_FUT3M.xml</v>
      </c>
      <c r="F5" s="42" t="e">
        <f ca="1">IF(Serialize,_xll.ohObjectSave(F6:F125,SerializationPath&amp;E5,FileOverwrite,,Serialize),"---")</f>
        <v>#NUM!</v>
      </c>
      <c r="G5" s="57" t="str">
        <f ca="1">_xll.ohRangeRetrieveError(F5)</f>
        <v>ohObjectSave - ObjectHandler error: attempt to retrieve object with unknown ID 'HKDFUT3MX3_Quote'</v>
      </c>
      <c r="H5" s="67"/>
      <c r="J5" s="219"/>
      <c r="K5" s="310" t="s">
        <v>103</v>
      </c>
      <c r="L5" s="306" t="s">
        <v>102</v>
      </c>
      <c r="M5" s="306" t="s">
        <v>101</v>
      </c>
      <c r="N5" s="306" t="s">
        <v>237</v>
      </c>
      <c r="O5" s="309" t="str">
        <f>_xll.RData(O6:O47,P5:T5,,ReutersRtMode,,P6)</f>
        <v>Updated at 16:19:59</v>
      </c>
      <c r="P5" s="306" t="s">
        <v>236</v>
      </c>
      <c r="Q5" s="306" t="s">
        <v>233</v>
      </c>
      <c r="R5" s="306" t="s">
        <v>208</v>
      </c>
      <c r="S5" s="306" t="s">
        <v>204</v>
      </c>
      <c r="T5" s="306" t="s">
        <v>232</v>
      </c>
      <c r="U5" s="308" t="s">
        <v>231</v>
      </c>
      <c r="V5" s="190"/>
      <c r="W5" s="307" t="s">
        <v>192</v>
      </c>
      <c r="X5" s="190"/>
      <c r="Y5" s="263" t="s">
        <v>191</v>
      </c>
      <c r="Z5" s="306" t="s">
        <v>190</v>
      </c>
      <c r="AA5" s="305" t="s">
        <v>189</v>
      </c>
      <c r="AB5" s="214"/>
      <c r="AC5" s="232"/>
      <c r="AD5" s="298" t="s">
        <v>235</v>
      </c>
      <c r="AE5" s="297" t="s">
        <v>234</v>
      </c>
      <c r="AF5" s="232"/>
      <c r="AG5" s="260" t="s">
        <v>230</v>
      </c>
      <c r="AH5" s="232"/>
    </row>
    <row r="6" spans="1:34" x14ac:dyDescent="0.2">
      <c r="A6" s="95"/>
      <c r="B6" s="100">
        <v>1</v>
      </c>
      <c r="C6" s="99" t="b">
        <v>0</v>
      </c>
      <c r="D6" s="98" t="str">
        <f t="array" ref="D6:D125">_xll.qlIMMNextCodes(_xll.qlSettingsEvaluationDate(Trigger)-1,$C6:$C125)</f>
        <v>X3</v>
      </c>
      <c r="E6" s="91" t="str">
        <f t="shared" ref="E6:E37" si="0">Currency&amp;$D$4&amp;$E$4&amp;$D6&amp;QuoteSuffix</f>
        <v>HKDFUT3MX3_Quote</v>
      </c>
      <c r="F6" s="97" t="str">
        <f>_xll.qlSimpleQuote(E6,,PriceTickValue,Permanent,Trigger,ObjectOverwrite)</f>
        <v>HKDFUT3MX3_Quote#0001</v>
      </c>
      <c r="G6" s="96" t="str">
        <f>_xll.ohRangeRetrieveError(F6)</f>
        <v/>
      </c>
      <c r="H6" s="67"/>
      <c r="J6" s="279"/>
      <c r="K6" s="296">
        <v>1</v>
      </c>
      <c r="L6" s="295" t="b">
        <v>0</v>
      </c>
      <c r="M6" s="201" t="str">
        <f t="array" ref="M6:M47">_xll.qlIMMcode(FuturesDates)</f>
        <v>X3</v>
      </c>
      <c r="N6" s="294">
        <f t="array" ref="N6:N47">_xll.qlIMMNextDates(_xll.qlSettingsEvaluationDate(Trigger)-1,$L6:$L47)</f>
        <v>41598</v>
      </c>
      <c r="O6" s="201" t="str">
        <f t="array" ref="O6:O47">VLOOKUP(Currency,LiffeCodes,2)&amp;FuturesCodes</f>
        <v>HIRX3</v>
      </c>
      <c r="P6" s="293">
        <v>41596</v>
      </c>
      <c r="Q6" s="201">
        <v>99.53</v>
      </c>
      <c r="R6" s="201">
        <v>99.63</v>
      </c>
      <c r="S6" s="201">
        <v>0</v>
      </c>
      <c r="T6" s="201">
        <v>99.58</v>
      </c>
      <c r="U6" s="204">
        <f>_xll.qlMidSafe($Q6,$R6)</f>
        <v>99.58</v>
      </c>
      <c r="V6" s="190"/>
      <c r="W6" s="292">
        <v>99.59</v>
      </c>
      <c r="X6" s="190"/>
      <c r="Y6" s="291" t="str">
        <f t="array" ref="Y6:Y47">Currency&amp;$Y$4&amp;FuturesCodes&amp;$Z$2</f>
        <v>HKDFUT3MX3_Quote</v>
      </c>
      <c r="Z6" s="201">
        <f t="array" ref="Z6:Z47">QuoteLive</f>
        <v>99.58</v>
      </c>
      <c r="AA6" s="204" t="e">
        <f>_xll.qlSimpleQuoteSetValue($Y6,$Z6,Trigger)</f>
        <v>#NUM!</v>
      </c>
      <c r="AB6" s="214"/>
      <c r="AC6" s="232"/>
      <c r="AD6" s="289" t="s">
        <v>55</v>
      </c>
      <c r="AE6" s="288" t="s">
        <v>242</v>
      </c>
      <c r="AF6" s="232"/>
      <c r="AG6" s="233">
        <f t="shared" ref="AG6:AG47" si="1">(R6-U6)/50</f>
        <v>9.9999999999994321E-4</v>
      </c>
      <c r="AH6" s="232"/>
    </row>
    <row r="7" spans="1:34" x14ac:dyDescent="0.2">
      <c r="A7" s="95"/>
      <c r="B7" s="94">
        <v>2</v>
      </c>
      <c r="C7" s="93" t="b">
        <v>0</v>
      </c>
      <c r="D7" s="92" t="str">
        <v>Z3</v>
      </c>
      <c r="E7" s="91" t="str">
        <f t="shared" si="0"/>
        <v>HKDFUT3MZ3_Quote</v>
      </c>
      <c r="F7" s="97" t="str">
        <f>_xll.qlSimpleQuote(E7,,PriceTickValue,Permanent,Trigger,ObjectOverwrite)</f>
        <v>HKDFUT3MZ3_Quote#0001</v>
      </c>
      <c r="G7" s="54" t="str">
        <f>_xll.ohRangeRetrieveError(F7)</f>
        <v/>
      </c>
      <c r="H7" s="67"/>
      <c r="J7" s="279"/>
      <c r="K7" s="285">
        <v>2</v>
      </c>
      <c r="L7" s="284" t="b">
        <v>0</v>
      </c>
      <c r="M7" s="197" t="str">
        <v>Z3</v>
      </c>
      <c r="N7" s="283">
        <v>41626</v>
      </c>
      <c r="O7" s="197" t="str">
        <v>HIRZ3</v>
      </c>
      <c r="P7" s="282">
        <v>41624</v>
      </c>
      <c r="Q7" s="197">
        <v>99.53</v>
      </c>
      <c r="R7" s="197">
        <v>99.63</v>
      </c>
      <c r="S7" s="197">
        <v>0</v>
      </c>
      <c r="T7" s="197">
        <v>99.58</v>
      </c>
      <c r="U7" s="192">
        <f>_xll.qlMidSafe($Q7,$R7)</f>
        <v>99.58</v>
      </c>
      <c r="V7" s="190"/>
      <c r="W7" s="290">
        <v>99.59</v>
      </c>
      <c r="X7" s="190"/>
      <c r="Y7" s="280" t="str">
        <v>HKDFUT3MZ3_Quote</v>
      </c>
      <c r="Z7" s="197">
        <v>99.58</v>
      </c>
      <c r="AA7" s="192" t="e">
        <f>_xll.qlSimpleQuoteSetValue($Y7,$Z7,Trigger)</f>
        <v>#NUM!</v>
      </c>
      <c r="AB7" s="214"/>
      <c r="AC7" s="232"/>
      <c r="AD7" s="289" t="s">
        <v>53</v>
      </c>
      <c r="AE7" s="288" t="s">
        <v>241</v>
      </c>
      <c r="AF7" s="232"/>
      <c r="AG7" s="233">
        <f t="shared" si="1"/>
        <v>9.9999999999994321E-4</v>
      </c>
      <c r="AH7" s="232"/>
    </row>
    <row r="8" spans="1:34" x14ac:dyDescent="0.2">
      <c r="A8" s="95"/>
      <c r="B8" s="94">
        <v>3</v>
      </c>
      <c r="C8" s="93" t="b">
        <v>0</v>
      </c>
      <c r="D8" s="92" t="str">
        <v>F4</v>
      </c>
      <c r="E8" s="91" t="str">
        <f t="shared" si="0"/>
        <v>HKDFUT3MF4_Quote</v>
      </c>
      <c r="F8" s="97" t="str">
        <f>_xll.qlSimpleQuote(E8,,PriceTickValue,Permanent,Trigger,ObjectOverwrite)</f>
        <v>HKDFUT3MF4_Quote#0001</v>
      </c>
      <c r="G8" s="54" t="str">
        <f>_xll.ohRangeRetrieveError(F8)</f>
        <v/>
      </c>
      <c r="H8" s="67"/>
      <c r="J8" s="279"/>
      <c r="K8" s="285">
        <v>3</v>
      </c>
      <c r="L8" s="284" t="b">
        <v>0</v>
      </c>
      <c r="M8" s="197" t="str">
        <v>F4</v>
      </c>
      <c r="N8" s="283">
        <v>41654</v>
      </c>
      <c r="O8" s="197" t="str">
        <v>HIRF4</v>
      </c>
      <c r="P8" s="282">
        <v>41652</v>
      </c>
      <c r="Q8" s="197">
        <v>99.53</v>
      </c>
      <c r="R8" s="197">
        <v>99.63</v>
      </c>
      <c r="S8" s="197">
        <v>0</v>
      </c>
      <c r="T8" s="197">
        <v>99.58</v>
      </c>
      <c r="U8" s="192">
        <f>_xll.qlMidSafe($Q8,$R8)</f>
        <v>99.58</v>
      </c>
      <c r="V8" s="190"/>
      <c r="W8" s="290">
        <v>99.59</v>
      </c>
      <c r="X8" s="190"/>
      <c r="Y8" s="280" t="str">
        <v>HKDFUT3MF4_Quote</v>
      </c>
      <c r="Z8" s="197">
        <v>99.58</v>
      </c>
      <c r="AA8" s="192" t="e">
        <f>_xll.qlSimpleQuoteSetValue($Y8,$Z8,Trigger)</f>
        <v>#NUM!</v>
      </c>
      <c r="AB8" s="214"/>
      <c r="AC8" s="232"/>
      <c r="AD8" s="289" t="s">
        <v>49</v>
      </c>
      <c r="AE8" s="288" t="s">
        <v>240</v>
      </c>
      <c r="AF8" s="232"/>
      <c r="AG8" s="233">
        <f t="shared" si="1"/>
        <v>9.9999999999994321E-4</v>
      </c>
      <c r="AH8" s="232"/>
    </row>
    <row r="9" spans="1:34" x14ac:dyDescent="0.2">
      <c r="A9" s="95"/>
      <c r="B9" s="94">
        <v>4</v>
      </c>
      <c r="C9" s="93" t="b">
        <v>0</v>
      </c>
      <c r="D9" s="92" t="str">
        <v>G4</v>
      </c>
      <c r="E9" s="91" t="str">
        <f t="shared" si="0"/>
        <v>HKDFUT3MG4_Quote</v>
      </c>
      <c r="F9" s="97" t="str">
        <f>_xll.qlSimpleQuote(E9,,PriceTickValue,Permanent,Trigger,ObjectOverwrite)</f>
        <v>HKDFUT3MG4_Quote#0001</v>
      </c>
      <c r="G9" s="54" t="str">
        <f>_xll.ohRangeRetrieveError(F9)</f>
        <v/>
      </c>
      <c r="H9" s="67"/>
      <c r="J9" s="279"/>
      <c r="K9" s="285">
        <v>4</v>
      </c>
      <c r="L9" s="284" t="b">
        <v>0</v>
      </c>
      <c r="M9" s="197" t="str">
        <v>G4</v>
      </c>
      <c r="N9" s="283">
        <v>41689</v>
      </c>
      <c r="O9" s="197" t="str">
        <v>HIRG4</v>
      </c>
      <c r="P9" s="282">
        <v>41687</v>
      </c>
      <c r="Q9" s="197">
        <v>99.53</v>
      </c>
      <c r="R9" s="197">
        <v>99.63</v>
      </c>
      <c r="S9" s="197">
        <v>0</v>
      </c>
      <c r="T9" s="197">
        <v>0</v>
      </c>
      <c r="U9" s="192">
        <f>_xll.qlMidSafe($Q9,$R9)</f>
        <v>99.58</v>
      </c>
      <c r="V9" s="190"/>
      <c r="W9" s="290" t="e">
        <v>#NUM!</v>
      </c>
      <c r="X9" s="190"/>
      <c r="Y9" s="280" t="str">
        <v>HKDFUT3MG4_Quote</v>
      </c>
      <c r="Z9" s="197">
        <v>99.58</v>
      </c>
      <c r="AA9" s="192" t="e">
        <f>_xll.qlSimpleQuoteSetValue($Y9,$Z9,Trigger)</f>
        <v>#NUM!</v>
      </c>
      <c r="AB9" s="214"/>
      <c r="AC9" s="232"/>
      <c r="AD9" s="289" t="s">
        <v>4</v>
      </c>
      <c r="AE9" s="288" t="s">
        <v>239</v>
      </c>
      <c r="AF9" s="232"/>
      <c r="AG9" s="233">
        <f t="shared" si="1"/>
        <v>9.9999999999994321E-4</v>
      </c>
      <c r="AH9" s="232"/>
    </row>
    <row r="10" spans="1:34" x14ac:dyDescent="0.2">
      <c r="A10" s="95"/>
      <c r="B10" s="94">
        <v>5</v>
      </c>
      <c r="C10" s="93" t="b">
        <v>0</v>
      </c>
      <c r="D10" s="92" t="str">
        <v>H4</v>
      </c>
      <c r="E10" s="91" t="str">
        <f t="shared" si="0"/>
        <v>HKDFUT3MH4_Quote</v>
      </c>
      <c r="F10" s="97" t="str">
        <f>_xll.qlSimpleQuote(E10,,PriceTickValue,Permanent,Trigger,ObjectOverwrite)</f>
        <v>HKDFUT3MH4_Quote#0001</v>
      </c>
      <c r="G10" s="54" t="str">
        <f>_xll.ohRangeRetrieveError(F10)</f>
        <v/>
      </c>
      <c r="H10" s="67"/>
      <c r="J10" s="279"/>
      <c r="K10" s="285">
        <v>5</v>
      </c>
      <c r="L10" s="284" t="b">
        <v>0</v>
      </c>
      <c r="M10" s="197" t="str">
        <v>H4</v>
      </c>
      <c r="N10" s="283">
        <v>41717</v>
      </c>
      <c r="O10" s="197" t="str">
        <v>HIRH4</v>
      </c>
      <c r="P10" s="282">
        <v>41715</v>
      </c>
      <c r="Q10" s="197">
        <v>99.52</v>
      </c>
      <c r="R10" s="197">
        <v>99.62</v>
      </c>
      <c r="S10" s="197">
        <v>0</v>
      </c>
      <c r="T10" s="197">
        <v>99.57</v>
      </c>
      <c r="U10" s="192">
        <f>_xll.qlMidSafe($Q10,$R10)</f>
        <v>99.57</v>
      </c>
      <c r="V10" s="190"/>
      <c r="W10" s="281">
        <v>99.56</v>
      </c>
      <c r="X10" s="190"/>
      <c r="Y10" s="280" t="str">
        <v>HKDFUT3MH4_Quote</v>
      </c>
      <c r="Z10" s="197">
        <v>99.57</v>
      </c>
      <c r="AA10" s="192" t="e">
        <f>_xll.qlSimpleQuoteSetValue($Y10,$Z10,Trigger)</f>
        <v>#NUM!</v>
      </c>
      <c r="AB10" s="214"/>
      <c r="AC10" s="232"/>
      <c r="AD10" s="289" t="s">
        <v>47</v>
      </c>
      <c r="AE10" s="288"/>
      <c r="AF10" s="232"/>
      <c r="AG10" s="233">
        <f t="shared" si="1"/>
        <v>1.0000000000002273E-3</v>
      </c>
      <c r="AH10" s="232"/>
    </row>
    <row r="11" spans="1:34" ht="12" thickBot="1" x14ac:dyDescent="0.25">
      <c r="A11" s="95"/>
      <c r="B11" s="94">
        <v>6</v>
      </c>
      <c r="C11" s="93" t="b">
        <v>0</v>
      </c>
      <c r="D11" s="92" t="str">
        <v>J4</v>
      </c>
      <c r="E11" s="91" t="str">
        <f t="shared" si="0"/>
        <v>HKDFUT3MJ4_Quote</v>
      </c>
      <c r="F11" s="97" t="str">
        <f>_xll.qlSimpleQuote(E11,,PriceTickValue,Permanent,Trigger,ObjectOverwrite)</f>
        <v>HKDFUT3MJ4_Quote#0001</v>
      </c>
      <c r="G11" s="54" t="str">
        <f>_xll.ohRangeRetrieveError(F11)</f>
        <v/>
      </c>
      <c r="H11" s="67"/>
      <c r="J11" s="279"/>
      <c r="K11" s="285">
        <v>6</v>
      </c>
      <c r="L11" s="284" t="b">
        <v>0</v>
      </c>
      <c r="M11" s="197" t="str">
        <v>J4</v>
      </c>
      <c r="N11" s="283">
        <v>41745</v>
      </c>
      <c r="O11" s="197" t="str">
        <v>HIRJ4</v>
      </c>
      <c r="P11" s="282" t="s">
        <v>188</v>
      </c>
      <c r="Q11" s="197" t="s">
        <v>188</v>
      </c>
      <c r="R11" s="197" t="s">
        <v>188</v>
      </c>
      <c r="S11" s="197" t="s">
        <v>188</v>
      </c>
      <c r="T11" s="197" t="s">
        <v>188</v>
      </c>
      <c r="U11" s="192" t="e">
        <f>_xll.qlMidSafe($Q11,$R11)</f>
        <v>#NUM!</v>
      </c>
      <c r="V11" s="190"/>
      <c r="W11" s="281" t="e">
        <v>#NUM!</v>
      </c>
      <c r="X11" s="190"/>
      <c r="Y11" s="280" t="str">
        <v>HKDFUT3MJ4_Quote</v>
      </c>
      <c r="Z11" s="197" t="e">
        <v>#NUM!</v>
      </c>
      <c r="AA11" s="192" t="e">
        <f>_xll.qlSimpleQuoteSetValue($Y11,$Z11,Trigger)</f>
        <v>#NUM!</v>
      </c>
      <c r="AB11" s="214"/>
      <c r="AC11" s="232"/>
      <c r="AD11" s="287" t="s">
        <v>44</v>
      </c>
      <c r="AE11" s="286" t="s">
        <v>238</v>
      </c>
      <c r="AF11" s="232"/>
      <c r="AG11" s="233" t="e">
        <f t="shared" si="1"/>
        <v>#VALUE!</v>
      </c>
      <c r="AH11" s="232"/>
    </row>
    <row r="12" spans="1:34" x14ac:dyDescent="0.2">
      <c r="A12" s="95"/>
      <c r="B12" s="94">
        <v>7</v>
      </c>
      <c r="C12" s="93" t="b">
        <v>0</v>
      </c>
      <c r="D12" s="92" t="str">
        <v>K4</v>
      </c>
      <c r="E12" s="91" t="str">
        <f t="shared" si="0"/>
        <v>HKDFUT3MK4_Quote</v>
      </c>
      <c r="F12" s="97" t="str">
        <f>_xll.qlSimpleQuote(E12,,PriceTickValue,Permanent,Trigger,ObjectOverwrite)</f>
        <v>HKDFUT3MK4_Quote#0001</v>
      </c>
      <c r="G12" s="54" t="str">
        <f>_xll.ohRangeRetrieveError(F12)</f>
        <v/>
      </c>
      <c r="H12" s="67"/>
      <c r="J12" s="279"/>
      <c r="K12" s="285">
        <v>7</v>
      </c>
      <c r="L12" s="284" t="b">
        <v>0</v>
      </c>
      <c r="M12" s="197" t="str">
        <v>K4</v>
      </c>
      <c r="N12" s="283">
        <v>41780</v>
      </c>
      <c r="O12" s="197" t="str">
        <v>HIRK4</v>
      </c>
      <c r="P12" s="282" t="s">
        <v>188</v>
      </c>
      <c r="Q12" s="197" t="s">
        <v>188</v>
      </c>
      <c r="R12" s="197" t="s">
        <v>188</v>
      </c>
      <c r="S12" s="197" t="s">
        <v>188</v>
      </c>
      <c r="T12" s="197" t="s">
        <v>188</v>
      </c>
      <c r="U12" s="192" t="e">
        <f>_xll.qlMidSafe($Q12,$R12)</f>
        <v>#NUM!</v>
      </c>
      <c r="V12" s="190"/>
      <c r="W12" s="281" t="e">
        <v>#NUM!</v>
      </c>
      <c r="X12" s="190"/>
      <c r="Y12" s="280" t="str">
        <v>HKDFUT3MK4_Quote</v>
      </c>
      <c r="Z12" s="197" t="e">
        <v>#NUM!</v>
      </c>
      <c r="AA12" s="192" t="e">
        <f>_xll.qlSimpleQuoteSetValue($Y12,$Z12,Trigger)</f>
        <v>#NUM!</v>
      </c>
      <c r="AB12" s="214"/>
      <c r="AC12" s="232"/>
      <c r="AD12" s="232"/>
      <c r="AE12" s="232"/>
      <c r="AF12" s="232"/>
      <c r="AG12" s="233" t="e">
        <f t="shared" si="1"/>
        <v>#VALUE!</v>
      </c>
      <c r="AH12" s="232"/>
    </row>
    <row r="13" spans="1:34" x14ac:dyDescent="0.2">
      <c r="A13" s="95"/>
      <c r="B13" s="94">
        <v>8</v>
      </c>
      <c r="C13" s="93" t="b">
        <v>0</v>
      </c>
      <c r="D13" s="92" t="str">
        <v>M4</v>
      </c>
      <c r="E13" s="91" t="str">
        <f t="shared" si="0"/>
        <v>HKDFUT3MM4_Quote</v>
      </c>
      <c r="F13" s="97" t="str">
        <f>_xll.qlSimpleQuote(E13,,PriceTickValue,Permanent,Trigger,ObjectOverwrite)</f>
        <v>HKDFUT3MM4_Quote#0001</v>
      </c>
      <c r="G13" s="54" t="str">
        <f>_xll.ohRangeRetrieveError(F13)</f>
        <v/>
      </c>
      <c r="H13" s="67"/>
      <c r="J13" s="279"/>
      <c r="K13" s="285">
        <v>8</v>
      </c>
      <c r="L13" s="284" t="b">
        <v>0</v>
      </c>
      <c r="M13" s="197" t="str">
        <v>M4</v>
      </c>
      <c r="N13" s="283">
        <v>41808</v>
      </c>
      <c r="O13" s="197" t="str">
        <v>HIRM4</v>
      </c>
      <c r="P13" s="282">
        <v>41806</v>
      </c>
      <c r="Q13" s="197">
        <v>99.51</v>
      </c>
      <c r="R13" s="197">
        <v>99.57</v>
      </c>
      <c r="S13" s="197">
        <v>0</v>
      </c>
      <c r="T13" s="197">
        <v>99.54</v>
      </c>
      <c r="U13" s="192">
        <f>_xll.qlMidSafe($Q13,$R13)</f>
        <v>99.539999999999992</v>
      </c>
      <c r="V13" s="190"/>
      <c r="W13" s="281">
        <v>99.52</v>
      </c>
      <c r="X13" s="190"/>
      <c r="Y13" s="280" t="str">
        <v>HKDFUT3MM4_Quote</v>
      </c>
      <c r="Z13" s="197">
        <v>99.539999999999992</v>
      </c>
      <c r="AA13" s="192" t="e">
        <f>_xll.qlSimpleQuoteSetValue($Y13,$Z13,Trigger)</f>
        <v>#NUM!</v>
      </c>
      <c r="AB13" s="214"/>
      <c r="AC13" s="232"/>
      <c r="AD13" s="232"/>
      <c r="AE13" s="232"/>
      <c r="AF13" s="232"/>
      <c r="AG13" s="233">
        <f t="shared" si="1"/>
        <v>6.0000000000002272E-4</v>
      </c>
      <c r="AH13" s="232"/>
    </row>
    <row r="14" spans="1:34" x14ac:dyDescent="0.2">
      <c r="A14" s="95"/>
      <c r="B14" s="94">
        <v>9</v>
      </c>
      <c r="C14" s="93" t="b">
        <v>0</v>
      </c>
      <c r="D14" s="92" t="str">
        <v>N4</v>
      </c>
      <c r="E14" s="91" t="str">
        <f t="shared" si="0"/>
        <v>HKDFUT3MN4_Quote</v>
      </c>
      <c r="F14" s="97" t="str">
        <f>_xll.qlSimpleQuote(E14,,PriceTickValue,Permanent,Trigger,ObjectOverwrite)</f>
        <v>HKDFUT3MN4_Quote#0001</v>
      </c>
      <c r="G14" s="54" t="str">
        <f>_xll.ohRangeRetrieveError(F14)</f>
        <v/>
      </c>
      <c r="H14" s="67"/>
      <c r="J14" s="279"/>
      <c r="K14" s="285">
        <v>9</v>
      </c>
      <c r="L14" s="284" t="b">
        <v>0</v>
      </c>
      <c r="M14" s="197" t="str">
        <v>N4</v>
      </c>
      <c r="N14" s="283">
        <v>41836</v>
      </c>
      <c r="O14" s="197" t="str">
        <v>HIRN4</v>
      </c>
      <c r="P14" s="282" t="s">
        <v>188</v>
      </c>
      <c r="Q14" s="197" t="s">
        <v>188</v>
      </c>
      <c r="R14" s="197" t="s">
        <v>188</v>
      </c>
      <c r="S14" s="197" t="s">
        <v>188</v>
      </c>
      <c r="T14" s="197" t="s">
        <v>188</v>
      </c>
      <c r="U14" s="192" t="e">
        <f>_xll.qlMidSafe($Q14,$R14)</f>
        <v>#NUM!</v>
      </c>
      <c r="V14" s="190"/>
      <c r="W14" s="281" t="e">
        <v>#NUM!</v>
      </c>
      <c r="X14" s="190"/>
      <c r="Y14" s="280" t="str">
        <v>HKDFUT3MN4_Quote</v>
      </c>
      <c r="Z14" s="197" t="e">
        <v>#NUM!</v>
      </c>
      <c r="AA14" s="192" t="e">
        <f>_xll.qlSimpleQuoteSetValue($Y14,$Z14,Trigger)</f>
        <v>#NUM!</v>
      </c>
      <c r="AB14" s="214"/>
      <c r="AC14" s="232"/>
      <c r="AD14" s="232"/>
      <c r="AE14" s="232"/>
      <c r="AF14" s="232"/>
      <c r="AG14" s="233" t="e">
        <f t="shared" si="1"/>
        <v>#VALUE!</v>
      </c>
      <c r="AH14" s="232"/>
    </row>
    <row r="15" spans="1:34" x14ac:dyDescent="0.2">
      <c r="A15" s="95"/>
      <c r="B15" s="94">
        <v>10</v>
      </c>
      <c r="C15" s="93" t="b">
        <v>0</v>
      </c>
      <c r="D15" s="92" t="str">
        <v>Q4</v>
      </c>
      <c r="E15" s="91" t="str">
        <f t="shared" si="0"/>
        <v>HKDFUT3MQ4_Quote</v>
      </c>
      <c r="F15" s="97" t="str">
        <f>_xll.qlSimpleQuote(E15,,PriceTickValue,Permanent,Trigger,ObjectOverwrite)</f>
        <v>HKDFUT3MQ4_Quote#0001</v>
      </c>
      <c r="G15" s="54" t="str">
        <f>_xll.ohRangeRetrieveError(F15)</f>
        <v/>
      </c>
      <c r="H15" s="67"/>
      <c r="J15" s="279"/>
      <c r="K15" s="285">
        <v>10</v>
      </c>
      <c r="L15" s="284" t="b">
        <v>0</v>
      </c>
      <c r="M15" s="197" t="str">
        <v>Q4</v>
      </c>
      <c r="N15" s="283">
        <v>41871</v>
      </c>
      <c r="O15" s="197" t="str">
        <v>HIRQ4</v>
      </c>
      <c r="P15" s="282" t="s">
        <v>188</v>
      </c>
      <c r="Q15" s="197" t="s">
        <v>188</v>
      </c>
      <c r="R15" s="197" t="s">
        <v>188</v>
      </c>
      <c r="S15" s="197" t="s">
        <v>188</v>
      </c>
      <c r="T15" s="197" t="s">
        <v>188</v>
      </c>
      <c r="U15" s="192" t="e">
        <f>_xll.qlMidSafe($Q15,$R15)</f>
        <v>#NUM!</v>
      </c>
      <c r="V15" s="190"/>
      <c r="W15" s="281" t="e">
        <v>#NUM!</v>
      </c>
      <c r="X15" s="190"/>
      <c r="Y15" s="280" t="str">
        <v>HKDFUT3MQ4_Quote</v>
      </c>
      <c r="Z15" s="197" t="e">
        <v>#NUM!</v>
      </c>
      <c r="AA15" s="192" t="e">
        <f>_xll.qlSimpleQuoteSetValue($Y15,$Z15,Trigger)</f>
        <v>#NUM!</v>
      </c>
      <c r="AB15" s="214"/>
      <c r="AC15" s="232"/>
      <c r="AD15" s="232"/>
      <c r="AE15" s="232"/>
      <c r="AF15" s="232"/>
      <c r="AG15" s="233" t="e">
        <f t="shared" si="1"/>
        <v>#VALUE!</v>
      </c>
      <c r="AH15" s="232"/>
    </row>
    <row r="16" spans="1:34" x14ac:dyDescent="0.2">
      <c r="A16" s="95"/>
      <c r="B16" s="94">
        <v>11</v>
      </c>
      <c r="C16" s="93" t="b">
        <v>0</v>
      </c>
      <c r="D16" s="92" t="str">
        <v>U4</v>
      </c>
      <c r="E16" s="91" t="str">
        <f t="shared" si="0"/>
        <v>HKDFUT3MU4_Quote</v>
      </c>
      <c r="F16" s="97" t="str">
        <f>_xll.qlSimpleQuote(E16,,PriceTickValue,Permanent,Trigger,ObjectOverwrite)</f>
        <v>HKDFUT3MU4_Quote#0001</v>
      </c>
      <c r="G16" s="54" t="str">
        <f>_xll.ohRangeRetrieveError(F16)</f>
        <v/>
      </c>
      <c r="H16" s="67"/>
      <c r="J16" s="279"/>
      <c r="K16" s="285">
        <v>11</v>
      </c>
      <c r="L16" s="284" t="b">
        <v>0</v>
      </c>
      <c r="M16" s="197" t="str">
        <v>U4</v>
      </c>
      <c r="N16" s="283">
        <v>41899</v>
      </c>
      <c r="O16" s="197" t="str">
        <v>HIRU4</v>
      </c>
      <c r="P16" s="282">
        <v>41897</v>
      </c>
      <c r="Q16" s="197">
        <v>99.48</v>
      </c>
      <c r="R16" s="197">
        <v>99.52</v>
      </c>
      <c r="S16" s="197">
        <v>0</v>
      </c>
      <c r="T16" s="197">
        <v>99.5</v>
      </c>
      <c r="U16" s="192">
        <f>_xll.qlMidSafe($Q16,$R16)</f>
        <v>99.5</v>
      </c>
      <c r="V16" s="190"/>
      <c r="W16" s="281">
        <v>99.48</v>
      </c>
      <c r="X16" s="190"/>
      <c r="Y16" s="280" t="str">
        <v>HKDFUT3MU4_Quote</v>
      </c>
      <c r="Z16" s="197">
        <v>99.5</v>
      </c>
      <c r="AA16" s="192" t="e">
        <f>_xll.qlSimpleQuoteSetValue($Y16,$Z16,Trigger)</f>
        <v>#NUM!</v>
      </c>
      <c r="AB16" s="214"/>
      <c r="AC16" s="232"/>
      <c r="AD16" s="232"/>
      <c r="AE16" s="232"/>
      <c r="AF16" s="232"/>
      <c r="AG16" s="233">
        <f t="shared" si="1"/>
        <v>3.9999999999992044E-4</v>
      </c>
      <c r="AH16" s="232"/>
    </row>
    <row r="17" spans="1:34" x14ac:dyDescent="0.2">
      <c r="A17" s="95"/>
      <c r="B17" s="94">
        <v>12</v>
      </c>
      <c r="C17" s="93" t="b">
        <v>0</v>
      </c>
      <c r="D17" s="92" t="str">
        <v>V4</v>
      </c>
      <c r="E17" s="91" t="str">
        <f t="shared" si="0"/>
        <v>HKDFUT3MV4_Quote</v>
      </c>
      <c r="F17" s="90" t="str">
        <f>_xll.qlSimpleQuote(E17,,PriceTickValue,Permanent,Trigger,ObjectOverwrite)</f>
        <v>HKDFUT3MV4_Quote#0001</v>
      </c>
      <c r="G17" s="54" t="str">
        <f>_xll.ohRangeRetrieveError(F17)</f>
        <v/>
      </c>
      <c r="H17" s="67"/>
      <c r="J17" s="279"/>
      <c r="K17" s="285">
        <v>12</v>
      </c>
      <c r="L17" s="284" t="b">
        <v>0</v>
      </c>
      <c r="M17" s="197" t="str">
        <v>V4</v>
      </c>
      <c r="N17" s="283">
        <v>41927</v>
      </c>
      <c r="O17" s="197" t="str">
        <v>HIRV4</v>
      </c>
      <c r="P17" s="282" t="s">
        <v>188</v>
      </c>
      <c r="Q17" s="197" t="s">
        <v>188</v>
      </c>
      <c r="R17" s="197" t="s">
        <v>188</v>
      </c>
      <c r="S17" s="197" t="s">
        <v>188</v>
      </c>
      <c r="T17" s="197" t="s">
        <v>188</v>
      </c>
      <c r="U17" s="192" t="e">
        <f>_xll.qlMidSafe($Q17,$R17)</f>
        <v>#NUM!</v>
      </c>
      <c r="V17" s="190"/>
      <c r="W17" s="281" t="e">
        <v>#NUM!</v>
      </c>
      <c r="X17" s="190"/>
      <c r="Y17" s="280" t="str">
        <v>HKDFUT3MV4_Quote</v>
      </c>
      <c r="Z17" s="197" t="e">
        <v>#NUM!</v>
      </c>
      <c r="AA17" s="192" t="e">
        <f>_xll.qlSimpleQuoteSetValue($Y17,$Z17,Trigger)</f>
        <v>#NUM!</v>
      </c>
      <c r="AB17" s="214"/>
      <c r="AC17" s="232"/>
      <c r="AD17" s="232"/>
      <c r="AE17" s="232"/>
      <c r="AF17" s="232"/>
      <c r="AG17" s="233" t="e">
        <f t="shared" si="1"/>
        <v>#VALUE!</v>
      </c>
      <c r="AH17" s="232"/>
    </row>
    <row r="18" spans="1:34" x14ac:dyDescent="0.2">
      <c r="A18" s="95"/>
      <c r="B18" s="94">
        <v>13</v>
      </c>
      <c r="C18" s="93" t="b">
        <v>0</v>
      </c>
      <c r="D18" s="92" t="str">
        <v>X4</v>
      </c>
      <c r="E18" s="91" t="str">
        <f t="shared" si="0"/>
        <v>HKDFUT3MX4_Quote</v>
      </c>
      <c r="F18" s="90" t="str">
        <f>_xll.qlSimpleQuote(E18,,PriceTickValue,Permanent,Trigger,ObjectOverwrite)</f>
        <v>HKDFUT3MX4_Quote#0001</v>
      </c>
      <c r="G18" s="54" t="str">
        <f>_xll.ohRangeRetrieveError(F18)</f>
        <v/>
      </c>
      <c r="H18" s="67"/>
      <c r="J18" s="279"/>
      <c r="K18" s="285">
        <v>13</v>
      </c>
      <c r="L18" s="284" t="b">
        <v>0</v>
      </c>
      <c r="M18" s="197" t="str">
        <v>X4</v>
      </c>
      <c r="N18" s="283">
        <v>41962</v>
      </c>
      <c r="O18" s="197" t="str">
        <v>HIRX4</v>
      </c>
      <c r="P18" s="282" t="s">
        <v>188</v>
      </c>
      <c r="Q18" s="197" t="s">
        <v>188</v>
      </c>
      <c r="R18" s="197" t="s">
        <v>188</v>
      </c>
      <c r="S18" s="197" t="s">
        <v>188</v>
      </c>
      <c r="T18" s="197" t="s">
        <v>188</v>
      </c>
      <c r="U18" s="192" t="e">
        <f>_xll.qlMidSafe($Q18,$R18)</f>
        <v>#NUM!</v>
      </c>
      <c r="V18" s="190"/>
      <c r="W18" s="281" t="e">
        <v>#NUM!</v>
      </c>
      <c r="X18" s="190"/>
      <c r="Y18" s="280" t="str">
        <v>HKDFUT3MX4_Quote</v>
      </c>
      <c r="Z18" s="197" t="e">
        <v>#NUM!</v>
      </c>
      <c r="AA18" s="192" t="e">
        <f>_xll.qlSimpleQuoteSetValue($Y18,$Z18,Trigger)</f>
        <v>#NUM!</v>
      </c>
      <c r="AB18" s="214"/>
      <c r="AC18" s="232"/>
      <c r="AD18" s="232"/>
      <c r="AE18" s="232"/>
      <c r="AF18" s="232"/>
      <c r="AG18" s="233" t="e">
        <f t="shared" si="1"/>
        <v>#VALUE!</v>
      </c>
      <c r="AH18" s="232"/>
    </row>
    <row r="19" spans="1:34" x14ac:dyDescent="0.2">
      <c r="A19" s="95"/>
      <c r="B19" s="94">
        <v>14</v>
      </c>
      <c r="C19" s="93" t="b">
        <v>0</v>
      </c>
      <c r="D19" s="92" t="str">
        <v>Z4</v>
      </c>
      <c r="E19" s="91" t="str">
        <f t="shared" si="0"/>
        <v>HKDFUT3MZ4_Quote</v>
      </c>
      <c r="F19" s="90" t="str">
        <f>_xll.qlSimpleQuote(E19,,PriceTickValue,Permanent,Trigger,ObjectOverwrite)</f>
        <v>HKDFUT3MZ4_Quote#0001</v>
      </c>
      <c r="G19" s="54" t="str">
        <f>_xll.ohRangeRetrieveError(F19)</f>
        <v/>
      </c>
      <c r="H19" s="67"/>
      <c r="J19" s="279"/>
      <c r="K19" s="285">
        <v>14</v>
      </c>
      <c r="L19" s="284" t="b">
        <v>0</v>
      </c>
      <c r="M19" s="197" t="str">
        <v>Z4</v>
      </c>
      <c r="N19" s="283">
        <v>41990</v>
      </c>
      <c r="O19" s="197" t="str">
        <v>HIRZ4</v>
      </c>
      <c r="P19" s="282">
        <v>41988</v>
      </c>
      <c r="Q19" s="197">
        <v>0</v>
      </c>
      <c r="R19" s="197">
        <v>0</v>
      </c>
      <c r="S19" s="197">
        <v>0</v>
      </c>
      <c r="T19" s="197">
        <v>99.5</v>
      </c>
      <c r="U19" s="192" t="e">
        <f>_xll.qlMidSafe($Q19,$R19)</f>
        <v>#NUM!</v>
      </c>
      <c r="V19" s="190"/>
      <c r="W19" s="281" t="e">
        <v>#NUM!</v>
      </c>
      <c r="X19" s="190"/>
      <c r="Y19" s="280" t="str">
        <v>HKDFUT3MZ4_Quote</v>
      </c>
      <c r="Z19" s="197" t="e">
        <v>#NUM!</v>
      </c>
      <c r="AA19" s="192" t="e">
        <f>_xll.qlSimpleQuoteSetValue($Y19,$Z19,Trigger)</f>
        <v>#NUM!</v>
      </c>
      <c r="AB19" s="214"/>
      <c r="AC19" s="232"/>
      <c r="AD19" s="232"/>
      <c r="AE19" s="232"/>
      <c r="AF19" s="232"/>
      <c r="AG19" s="233" t="e">
        <f t="shared" si="1"/>
        <v>#NUM!</v>
      </c>
      <c r="AH19" s="232"/>
    </row>
    <row r="20" spans="1:34" x14ac:dyDescent="0.2">
      <c r="A20" s="95"/>
      <c r="B20" s="94">
        <v>15</v>
      </c>
      <c r="C20" s="93" t="b">
        <v>0</v>
      </c>
      <c r="D20" s="92" t="str">
        <v>F5</v>
      </c>
      <c r="E20" s="91" t="str">
        <f t="shared" si="0"/>
        <v>HKDFUT3MF5_Quote</v>
      </c>
      <c r="F20" s="90" t="str">
        <f>_xll.qlSimpleQuote(E20,,PriceTickValue,Permanent,Trigger,ObjectOverwrite)</f>
        <v>HKDFUT3MF5_Quote#0001</v>
      </c>
      <c r="G20" s="54" t="str">
        <f>_xll.ohRangeRetrieveError(F20)</f>
        <v/>
      </c>
      <c r="H20" s="67"/>
      <c r="J20" s="279"/>
      <c r="K20" s="285">
        <v>15</v>
      </c>
      <c r="L20" s="284" t="b">
        <v>0</v>
      </c>
      <c r="M20" s="197" t="str">
        <v>F5</v>
      </c>
      <c r="N20" s="283">
        <v>42025</v>
      </c>
      <c r="O20" s="197" t="str">
        <v>HIRF5</v>
      </c>
      <c r="P20" s="282" t="s">
        <v>188</v>
      </c>
      <c r="Q20" s="197" t="s">
        <v>188</v>
      </c>
      <c r="R20" s="197" t="s">
        <v>188</v>
      </c>
      <c r="S20" s="197" t="s">
        <v>188</v>
      </c>
      <c r="T20" s="197" t="s">
        <v>188</v>
      </c>
      <c r="U20" s="192" t="e">
        <f>_xll.qlMidSafe($Q20,$R20)</f>
        <v>#NUM!</v>
      </c>
      <c r="V20" s="190"/>
      <c r="W20" s="281" t="e">
        <v>#NUM!</v>
      </c>
      <c r="X20" s="190"/>
      <c r="Y20" s="280" t="str">
        <v>HKDFUT3MF5_Quote</v>
      </c>
      <c r="Z20" s="197" t="e">
        <v>#NUM!</v>
      </c>
      <c r="AA20" s="192" t="e">
        <f>_xll.qlSimpleQuoteSetValue($Y20,$Z20,Trigger)</f>
        <v>#NUM!</v>
      </c>
      <c r="AB20" s="214"/>
      <c r="AC20" s="232"/>
      <c r="AD20" s="232"/>
      <c r="AE20" s="232"/>
      <c r="AF20" s="232"/>
      <c r="AG20" s="233" t="e">
        <f t="shared" si="1"/>
        <v>#VALUE!</v>
      </c>
      <c r="AH20" s="232"/>
    </row>
    <row r="21" spans="1:34" x14ac:dyDescent="0.2">
      <c r="A21" s="95"/>
      <c r="B21" s="94">
        <v>16</v>
      </c>
      <c r="C21" s="93" t="b">
        <v>0</v>
      </c>
      <c r="D21" s="92" t="str">
        <v>G5</v>
      </c>
      <c r="E21" s="91" t="str">
        <f t="shared" si="0"/>
        <v>HKDFUT3MG5_Quote</v>
      </c>
      <c r="F21" s="90" t="str">
        <f>_xll.qlSimpleQuote(E21,,PriceTickValue,Permanent,Trigger,ObjectOverwrite)</f>
        <v>HKDFUT3MG5_Quote#0001</v>
      </c>
      <c r="G21" s="54" t="str">
        <f>_xll.ohRangeRetrieveError(F21)</f>
        <v/>
      </c>
      <c r="H21" s="67"/>
      <c r="J21" s="279"/>
      <c r="K21" s="285">
        <v>16</v>
      </c>
      <c r="L21" s="284" t="b">
        <v>0</v>
      </c>
      <c r="M21" s="197" t="str">
        <v>G5</v>
      </c>
      <c r="N21" s="283">
        <v>42053</v>
      </c>
      <c r="O21" s="197" t="str">
        <v>HIRG5</v>
      </c>
      <c r="P21" s="282" t="s">
        <v>188</v>
      </c>
      <c r="Q21" s="197" t="s">
        <v>188</v>
      </c>
      <c r="R21" s="197" t="s">
        <v>188</v>
      </c>
      <c r="S21" s="197" t="s">
        <v>188</v>
      </c>
      <c r="T21" s="197" t="s">
        <v>188</v>
      </c>
      <c r="U21" s="192" t="e">
        <f>_xll.qlMidSafe($Q21,$R21)</f>
        <v>#NUM!</v>
      </c>
      <c r="V21" s="190"/>
      <c r="W21" s="281" t="e">
        <v>#NUM!</v>
      </c>
      <c r="X21" s="190"/>
      <c r="Y21" s="280" t="str">
        <v>HKDFUT3MG5_Quote</v>
      </c>
      <c r="Z21" s="197" t="e">
        <v>#NUM!</v>
      </c>
      <c r="AA21" s="192" t="e">
        <f>_xll.qlSimpleQuoteSetValue($Y21,$Z21,Trigger)</f>
        <v>#NUM!</v>
      </c>
      <c r="AB21" s="214"/>
      <c r="AC21" s="232"/>
      <c r="AD21" s="232"/>
      <c r="AE21" s="232"/>
      <c r="AF21" s="232"/>
      <c r="AG21" s="233" t="e">
        <f t="shared" si="1"/>
        <v>#VALUE!</v>
      </c>
      <c r="AH21" s="232"/>
    </row>
    <row r="22" spans="1:34" x14ac:dyDescent="0.2">
      <c r="A22" s="95"/>
      <c r="B22" s="94">
        <v>17</v>
      </c>
      <c r="C22" s="93" t="b">
        <v>0</v>
      </c>
      <c r="D22" s="92" t="str">
        <v>H5</v>
      </c>
      <c r="E22" s="91" t="str">
        <f t="shared" si="0"/>
        <v>HKDFUT3MH5_Quote</v>
      </c>
      <c r="F22" s="90" t="str">
        <f>_xll.qlSimpleQuote(E22,,PriceTickValue,Permanent,Trigger,ObjectOverwrite)</f>
        <v>HKDFUT3MH5_Quote#0001</v>
      </c>
      <c r="G22" s="54" t="str">
        <f>_xll.ohRangeRetrieveError(F22)</f>
        <v/>
      </c>
      <c r="H22" s="67"/>
      <c r="J22" s="279"/>
      <c r="K22" s="285">
        <v>17</v>
      </c>
      <c r="L22" s="284" t="b">
        <v>0</v>
      </c>
      <c r="M22" s="197" t="str">
        <v>H5</v>
      </c>
      <c r="N22" s="283">
        <v>42081</v>
      </c>
      <c r="O22" s="197" t="str">
        <v>HIRH5</v>
      </c>
      <c r="P22" s="282">
        <v>42079</v>
      </c>
      <c r="Q22" s="197">
        <v>0</v>
      </c>
      <c r="R22" s="197">
        <v>0</v>
      </c>
      <c r="S22" s="197">
        <v>0</v>
      </c>
      <c r="T22" s="197">
        <v>99.5</v>
      </c>
      <c r="U22" s="192" t="e">
        <f>_xll.qlMidSafe($Q22,$R22)</f>
        <v>#NUM!</v>
      </c>
      <c r="V22" s="190"/>
      <c r="W22" s="281" t="e">
        <v>#NUM!</v>
      </c>
      <c r="X22" s="190"/>
      <c r="Y22" s="280" t="str">
        <v>HKDFUT3MH5_Quote</v>
      </c>
      <c r="Z22" s="197" t="e">
        <v>#NUM!</v>
      </c>
      <c r="AA22" s="192" t="e">
        <f>_xll.qlSimpleQuoteSetValue($Y22,$Z22,Trigger)</f>
        <v>#NUM!</v>
      </c>
      <c r="AB22" s="214"/>
      <c r="AC22" s="232"/>
      <c r="AD22" s="232"/>
      <c r="AE22" s="232"/>
      <c r="AF22" s="232"/>
      <c r="AG22" s="233" t="e">
        <f t="shared" si="1"/>
        <v>#NUM!</v>
      </c>
      <c r="AH22" s="232"/>
    </row>
    <row r="23" spans="1:34" x14ac:dyDescent="0.2">
      <c r="A23" s="95"/>
      <c r="B23" s="94">
        <v>18</v>
      </c>
      <c r="C23" s="93" t="b">
        <v>0</v>
      </c>
      <c r="D23" s="92" t="str">
        <v>J5</v>
      </c>
      <c r="E23" s="91" t="str">
        <f t="shared" si="0"/>
        <v>HKDFUT3MJ5_Quote</v>
      </c>
      <c r="F23" s="90" t="str">
        <f>_xll.qlSimpleQuote(E23,,PriceTickValue,Permanent,Trigger,ObjectOverwrite)</f>
        <v>HKDFUT3MJ5_Quote#0001</v>
      </c>
      <c r="G23" s="54" t="str">
        <f>_xll.ohRangeRetrieveError(F23)</f>
        <v/>
      </c>
      <c r="H23" s="67"/>
      <c r="J23" s="279"/>
      <c r="K23" s="285">
        <v>18</v>
      </c>
      <c r="L23" s="284" t="b">
        <v>0</v>
      </c>
      <c r="M23" s="197" t="str">
        <v>J5</v>
      </c>
      <c r="N23" s="283">
        <v>42109</v>
      </c>
      <c r="O23" s="197" t="str">
        <v>HIRJ5</v>
      </c>
      <c r="P23" s="282" t="s">
        <v>188</v>
      </c>
      <c r="Q23" s="197" t="s">
        <v>188</v>
      </c>
      <c r="R23" s="197" t="s">
        <v>188</v>
      </c>
      <c r="S23" s="197" t="s">
        <v>188</v>
      </c>
      <c r="T23" s="197" t="s">
        <v>188</v>
      </c>
      <c r="U23" s="192" t="e">
        <f>_xll.qlMidSafe($Q23,$R23)</f>
        <v>#NUM!</v>
      </c>
      <c r="V23" s="190"/>
      <c r="W23" s="281" t="e">
        <v>#NUM!</v>
      </c>
      <c r="X23" s="190"/>
      <c r="Y23" s="280" t="str">
        <v>HKDFUT3MJ5_Quote</v>
      </c>
      <c r="Z23" s="197" t="e">
        <v>#NUM!</v>
      </c>
      <c r="AA23" s="192" t="e">
        <f>_xll.qlSimpleQuoteSetValue($Y23,$Z23,Trigger)</f>
        <v>#NUM!</v>
      </c>
      <c r="AB23" s="214"/>
      <c r="AC23" s="232"/>
      <c r="AD23" s="232"/>
      <c r="AE23" s="232"/>
      <c r="AF23" s="232"/>
      <c r="AG23" s="233" t="e">
        <f t="shared" si="1"/>
        <v>#VALUE!</v>
      </c>
      <c r="AH23" s="232"/>
    </row>
    <row r="24" spans="1:34" x14ac:dyDescent="0.2">
      <c r="A24" s="95"/>
      <c r="B24" s="94">
        <v>19</v>
      </c>
      <c r="C24" s="93" t="b">
        <v>0</v>
      </c>
      <c r="D24" s="92" t="str">
        <v>K5</v>
      </c>
      <c r="E24" s="91" t="str">
        <f t="shared" si="0"/>
        <v>HKDFUT3MK5_Quote</v>
      </c>
      <c r="F24" s="90" t="str">
        <f>_xll.qlSimpleQuote(E24,,PriceTickValue,Permanent,Trigger,ObjectOverwrite)</f>
        <v>HKDFUT3MK5_Quote#0001</v>
      </c>
      <c r="G24" s="54" t="str">
        <f>_xll.ohRangeRetrieveError(F24)</f>
        <v/>
      </c>
      <c r="H24" s="67"/>
      <c r="J24" s="279"/>
      <c r="K24" s="285">
        <v>19</v>
      </c>
      <c r="L24" s="284" t="b">
        <v>0</v>
      </c>
      <c r="M24" s="197" t="str">
        <v>K5</v>
      </c>
      <c r="N24" s="283">
        <v>42144</v>
      </c>
      <c r="O24" s="197" t="str">
        <v>HIRK5</v>
      </c>
      <c r="P24" s="282" t="s">
        <v>188</v>
      </c>
      <c r="Q24" s="197" t="s">
        <v>188</v>
      </c>
      <c r="R24" s="197" t="s">
        <v>188</v>
      </c>
      <c r="S24" s="197" t="s">
        <v>188</v>
      </c>
      <c r="T24" s="197" t="s">
        <v>188</v>
      </c>
      <c r="U24" s="192" t="e">
        <f>_xll.qlMidSafe($Q24,$R24)</f>
        <v>#NUM!</v>
      </c>
      <c r="V24" s="190"/>
      <c r="W24" s="281" t="e">
        <v>#NUM!</v>
      </c>
      <c r="X24" s="190"/>
      <c r="Y24" s="280" t="str">
        <v>HKDFUT3MK5_Quote</v>
      </c>
      <c r="Z24" s="197" t="e">
        <v>#NUM!</v>
      </c>
      <c r="AA24" s="192" t="e">
        <f>_xll.qlSimpleQuoteSetValue($Y24,$Z24,Trigger)</f>
        <v>#NUM!</v>
      </c>
      <c r="AB24" s="214"/>
      <c r="AC24" s="232"/>
      <c r="AD24" s="232"/>
      <c r="AE24" s="232"/>
      <c r="AF24" s="232"/>
      <c r="AG24" s="233" t="e">
        <f t="shared" si="1"/>
        <v>#VALUE!</v>
      </c>
      <c r="AH24" s="232"/>
    </row>
    <row r="25" spans="1:34" x14ac:dyDescent="0.2">
      <c r="A25" s="95"/>
      <c r="B25" s="94">
        <v>20</v>
      </c>
      <c r="C25" s="93" t="b">
        <v>0</v>
      </c>
      <c r="D25" s="92" t="str">
        <v>M5</v>
      </c>
      <c r="E25" s="91" t="str">
        <f t="shared" si="0"/>
        <v>HKDFUT3MM5_Quote</v>
      </c>
      <c r="F25" s="90" t="str">
        <f>_xll.qlSimpleQuote(E25,,PriceTickValue,Permanent,Trigger,ObjectOverwrite)</f>
        <v>HKDFUT3MM5_Quote#0001</v>
      </c>
      <c r="G25" s="54" t="str">
        <f>_xll.ohRangeRetrieveError(F25)</f>
        <v/>
      </c>
      <c r="H25" s="67"/>
      <c r="J25" s="279"/>
      <c r="K25" s="285">
        <v>20</v>
      </c>
      <c r="L25" s="284" t="b">
        <v>0</v>
      </c>
      <c r="M25" s="197" t="str">
        <v>M5</v>
      </c>
      <c r="N25" s="283">
        <v>42172</v>
      </c>
      <c r="O25" s="197" t="str">
        <v>HIRM5</v>
      </c>
      <c r="P25" s="282">
        <v>42170</v>
      </c>
      <c r="Q25" s="197">
        <v>0</v>
      </c>
      <c r="R25" s="197">
        <v>0</v>
      </c>
      <c r="S25" s="197">
        <v>0</v>
      </c>
      <c r="T25" s="197">
        <v>99.5</v>
      </c>
      <c r="U25" s="192" t="e">
        <f>_xll.qlMidSafe($Q25,$R25)</f>
        <v>#NUM!</v>
      </c>
      <c r="V25" s="190"/>
      <c r="W25" s="281" t="e">
        <v>#NUM!</v>
      </c>
      <c r="X25" s="190"/>
      <c r="Y25" s="280" t="str">
        <v>HKDFUT3MM5_Quote</v>
      </c>
      <c r="Z25" s="197" t="e">
        <v>#NUM!</v>
      </c>
      <c r="AA25" s="192" t="e">
        <f>_xll.qlSimpleQuoteSetValue($Y25,$Z25,Trigger)</f>
        <v>#NUM!</v>
      </c>
      <c r="AB25" s="214"/>
      <c r="AC25" s="232"/>
      <c r="AD25" s="232"/>
      <c r="AE25" s="232"/>
      <c r="AF25" s="232"/>
      <c r="AG25" s="233" t="e">
        <f t="shared" si="1"/>
        <v>#NUM!</v>
      </c>
      <c r="AH25" s="232"/>
    </row>
    <row r="26" spans="1:34" x14ac:dyDescent="0.2">
      <c r="A26" s="95"/>
      <c r="B26" s="94">
        <v>21</v>
      </c>
      <c r="C26" s="93" t="b">
        <v>0</v>
      </c>
      <c r="D26" s="92" t="str">
        <v>N5</v>
      </c>
      <c r="E26" s="91" t="str">
        <f t="shared" si="0"/>
        <v>HKDFUT3MN5_Quote</v>
      </c>
      <c r="F26" s="90" t="str">
        <f>_xll.qlSimpleQuote(E26,,PriceTickValue,Permanent,Trigger,ObjectOverwrite)</f>
        <v>HKDFUT3MN5_Quote#0001</v>
      </c>
      <c r="G26" s="54" t="str">
        <f>_xll.ohRangeRetrieveError(F26)</f>
        <v/>
      </c>
      <c r="H26" s="67"/>
      <c r="J26" s="279"/>
      <c r="K26" s="285">
        <v>21</v>
      </c>
      <c r="L26" s="284" t="b">
        <v>0</v>
      </c>
      <c r="M26" s="197" t="str">
        <v>N5</v>
      </c>
      <c r="N26" s="283">
        <v>42200</v>
      </c>
      <c r="O26" s="197" t="str">
        <v>HIRN5</v>
      </c>
      <c r="P26" s="282" t="s">
        <v>188</v>
      </c>
      <c r="Q26" s="197" t="s">
        <v>188</v>
      </c>
      <c r="R26" s="197" t="s">
        <v>188</v>
      </c>
      <c r="S26" s="197" t="s">
        <v>188</v>
      </c>
      <c r="T26" s="197" t="s">
        <v>188</v>
      </c>
      <c r="U26" s="192" t="e">
        <f>_xll.qlMidSafe($Q26,$R26)</f>
        <v>#NUM!</v>
      </c>
      <c r="V26" s="190"/>
      <c r="W26" s="281" t="e">
        <v>#NUM!</v>
      </c>
      <c r="X26" s="190"/>
      <c r="Y26" s="280" t="str">
        <v>HKDFUT3MN5_Quote</v>
      </c>
      <c r="Z26" s="197" t="e">
        <v>#NUM!</v>
      </c>
      <c r="AA26" s="192" t="e">
        <f>_xll.qlSimpleQuoteSetValue($Y26,$Z26,Trigger)</f>
        <v>#NUM!</v>
      </c>
      <c r="AB26" s="214"/>
      <c r="AC26" s="232"/>
      <c r="AD26" s="232"/>
      <c r="AE26" s="232"/>
      <c r="AF26" s="232"/>
      <c r="AG26" s="233" t="e">
        <f t="shared" si="1"/>
        <v>#VALUE!</v>
      </c>
      <c r="AH26" s="232"/>
    </row>
    <row r="27" spans="1:34" x14ac:dyDescent="0.2">
      <c r="A27" s="95"/>
      <c r="B27" s="94">
        <v>22</v>
      </c>
      <c r="C27" s="93" t="b">
        <v>0</v>
      </c>
      <c r="D27" s="92" t="str">
        <v>Q5</v>
      </c>
      <c r="E27" s="91" t="str">
        <f t="shared" si="0"/>
        <v>HKDFUT3MQ5_Quote</v>
      </c>
      <c r="F27" s="90" t="str">
        <f>_xll.qlSimpleQuote(E27,,PriceTickValue,Permanent,Trigger,ObjectOverwrite)</f>
        <v>HKDFUT3MQ5_Quote#0001</v>
      </c>
      <c r="G27" s="54" t="str">
        <f>_xll.ohRangeRetrieveError(F27)</f>
        <v/>
      </c>
      <c r="H27" s="67"/>
      <c r="J27" s="279"/>
      <c r="K27" s="285">
        <v>22</v>
      </c>
      <c r="L27" s="284" t="b">
        <v>0</v>
      </c>
      <c r="M27" s="197" t="str">
        <v>Q5</v>
      </c>
      <c r="N27" s="283">
        <v>42235</v>
      </c>
      <c r="O27" s="197" t="str">
        <v>HIRQ5</v>
      </c>
      <c r="P27" s="282" t="s">
        <v>188</v>
      </c>
      <c r="Q27" s="197" t="s">
        <v>188</v>
      </c>
      <c r="R27" s="197" t="s">
        <v>188</v>
      </c>
      <c r="S27" s="197" t="s">
        <v>188</v>
      </c>
      <c r="T27" s="197" t="s">
        <v>188</v>
      </c>
      <c r="U27" s="192" t="e">
        <f>_xll.qlMidSafe($Q27,$R27)</f>
        <v>#NUM!</v>
      </c>
      <c r="V27" s="190"/>
      <c r="W27" s="281" t="e">
        <v>#NUM!</v>
      </c>
      <c r="X27" s="190"/>
      <c r="Y27" s="280" t="str">
        <v>HKDFUT3MQ5_Quote</v>
      </c>
      <c r="Z27" s="197" t="e">
        <v>#NUM!</v>
      </c>
      <c r="AA27" s="192" t="e">
        <f>_xll.qlSimpleQuoteSetValue($Y27,$Z27,Trigger)</f>
        <v>#NUM!</v>
      </c>
      <c r="AB27" s="214"/>
      <c r="AC27" s="232"/>
      <c r="AD27" s="232"/>
      <c r="AE27" s="232"/>
      <c r="AF27" s="232"/>
      <c r="AG27" s="233" t="e">
        <f t="shared" si="1"/>
        <v>#VALUE!</v>
      </c>
      <c r="AH27" s="232"/>
    </row>
    <row r="28" spans="1:34" x14ac:dyDescent="0.2">
      <c r="A28" s="95"/>
      <c r="B28" s="94">
        <v>23</v>
      </c>
      <c r="C28" s="93" t="b">
        <v>0</v>
      </c>
      <c r="D28" s="92" t="str">
        <v>U5</v>
      </c>
      <c r="E28" s="91" t="str">
        <f t="shared" si="0"/>
        <v>HKDFUT3MU5_Quote</v>
      </c>
      <c r="F28" s="90" t="str">
        <f>_xll.qlSimpleQuote(E28,,PriceTickValue,Permanent,Trigger,ObjectOverwrite)</f>
        <v>HKDFUT3MU5_Quote#0001</v>
      </c>
      <c r="G28" s="54" t="str">
        <f>_xll.ohRangeRetrieveError(F28)</f>
        <v/>
      </c>
      <c r="H28" s="67"/>
      <c r="J28" s="279"/>
      <c r="K28" s="285">
        <v>23</v>
      </c>
      <c r="L28" s="284" t="b">
        <v>0</v>
      </c>
      <c r="M28" s="197" t="str">
        <v>U5</v>
      </c>
      <c r="N28" s="283">
        <v>42263</v>
      </c>
      <c r="O28" s="197" t="str">
        <v>HIRU5</v>
      </c>
      <c r="P28" s="282">
        <v>42261</v>
      </c>
      <c r="Q28" s="197">
        <v>0</v>
      </c>
      <c r="R28" s="197">
        <v>0</v>
      </c>
      <c r="S28" s="197">
        <v>0</v>
      </c>
      <c r="T28" s="197">
        <v>99.5</v>
      </c>
      <c r="U28" s="192" t="e">
        <f>_xll.qlMidSafe($Q28,$R28)</f>
        <v>#NUM!</v>
      </c>
      <c r="V28" s="190"/>
      <c r="W28" s="281" t="e">
        <v>#NUM!</v>
      </c>
      <c r="X28" s="190"/>
      <c r="Y28" s="280" t="str">
        <v>HKDFUT3MU5_Quote</v>
      </c>
      <c r="Z28" s="197" t="e">
        <v>#NUM!</v>
      </c>
      <c r="AA28" s="192" t="e">
        <f>_xll.qlSimpleQuoteSetValue($Y28,$Z28,Trigger)</f>
        <v>#NUM!</v>
      </c>
      <c r="AB28" s="214"/>
      <c r="AC28" s="232"/>
      <c r="AD28" s="232"/>
      <c r="AE28" s="232"/>
      <c r="AF28" s="232"/>
      <c r="AG28" s="233" t="e">
        <f t="shared" si="1"/>
        <v>#NUM!</v>
      </c>
      <c r="AH28" s="232"/>
    </row>
    <row r="29" spans="1:34" x14ac:dyDescent="0.2">
      <c r="A29" s="95"/>
      <c r="B29" s="94">
        <v>24</v>
      </c>
      <c r="C29" s="93" t="b">
        <v>0</v>
      </c>
      <c r="D29" s="92" t="str">
        <v>V5</v>
      </c>
      <c r="E29" s="91" t="str">
        <f t="shared" si="0"/>
        <v>HKDFUT3MV5_Quote</v>
      </c>
      <c r="F29" s="90" t="str">
        <f>_xll.qlSimpleQuote(E29,,PriceTickValue,Permanent,Trigger,ObjectOverwrite)</f>
        <v>HKDFUT3MV5_Quote#0001</v>
      </c>
      <c r="G29" s="54" t="str">
        <f>_xll.ohRangeRetrieveError(F29)</f>
        <v/>
      </c>
      <c r="H29" s="67"/>
      <c r="J29" s="279"/>
      <c r="K29" s="285">
        <v>24</v>
      </c>
      <c r="L29" s="284" t="b">
        <v>0</v>
      </c>
      <c r="M29" s="197" t="str">
        <v>V5</v>
      </c>
      <c r="N29" s="283">
        <v>42298</v>
      </c>
      <c r="O29" s="197" t="str">
        <v>HIRV5</v>
      </c>
      <c r="P29" s="282" t="s">
        <v>188</v>
      </c>
      <c r="Q29" s="197" t="s">
        <v>188</v>
      </c>
      <c r="R29" s="197" t="s">
        <v>188</v>
      </c>
      <c r="S29" s="197" t="s">
        <v>188</v>
      </c>
      <c r="T29" s="197" t="s">
        <v>188</v>
      </c>
      <c r="U29" s="192" t="e">
        <f>_xll.qlMidSafe($Q29,$R29)</f>
        <v>#NUM!</v>
      </c>
      <c r="V29" s="190"/>
      <c r="W29" s="281" t="e">
        <v>#NUM!</v>
      </c>
      <c r="X29" s="190"/>
      <c r="Y29" s="280" t="str">
        <v>HKDFUT3MV5_Quote</v>
      </c>
      <c r="Z29" s="197" t="e">
        <v>#NUM!</v>
      </c>
      <c r="AA29" s="192" t="e">
        <f>_xll.qlSimpleQuoteSetValue($Y29,$Z29,Trigger)</f>
        <v>#NUM!</v>
      </c>
      <c r="AB29" s="214"/>
      <c r="AC29" s="232"/>
      <c r="AD29" s="232"/>
      <c r="AE29" s="232"/>
      <c r="AF29" s="232"/>
      <c r="AG29" s="233" t="e">
        <f t="shared" si="1"/>
        <v>#VALUE!</v>
      </c>
      <c r="AH29" s="232"/>
    </row>
    <row r="30" spans="1:34" x14ac:dyDescent="0.2">
      <c r="A30" s="95"/>
      <c r="B30" s="94">
        <v>25</v>
      </c>
      <c r="C30" s="93" t="b">
        <v>0</v>
      </c>
      <c r="D30" s="92" t="str">
        <v>X5</v>
      </c>
      <c r="E30" s="91" t="str">
        <f t="shared" si="0"/>
        <v>HKDFUT3MX5_Quote</v>
      </c>
      <c r="F30" s="90" t="str">
        <f>_xll.qlSimpleQuote(E30,,PriceTickValue,Permanent,Trigger,ObjectOverwrite)</f>
        <v>HKDFUT3MX5_Quote#0001</v>
      </c>
      <c r="G30" s="54" t="str">
        <f>_xll.ohRangeRetrieveError(F30)</f>
        <v/>
      </c>
      <c r="H30" s="67"/>
      <c r="J30" s="279"/>
      <c r="K30" s="285">
        <v>25</v>
      </c>
      <c r="L30" s="284" t="b">
        <v>0</v>
      </c>
      <c r="M30" s="197" t="str">
        <v>X5</v>
      </c>
      <c r="N30" s="283">
        <v>42326</v>
      </c>
      <c r="O30" s="197" t="str">
        <v>HIRX5</v>
      </c>
      <c r="P30" s="282" t="s">
        <v>188</v>
      </c>
      <c r="Q30" s="197" t="s">
        <v>188</v>
      </c>
      <c r="R30" s="197" t="s">
        <v>188</v>
      </c>
      <c r="S30" s="197" t="s">
        <v>188</v>
      </c>
      <c r="T30" s="197" t="s">
        <v>188</v>
      </c>
      <c r="U30" s="192" t="e">
        <f>_xll.qlMidSafe($Q30,$R30)</f>
        <v>#NUM!</v>
      </c>
      <c r="V30" s="190"/>
      <c r="W30" s="281" t="e">
        <v>#NUM!</v>
      </c>
      <c r="X30" s="190"/>
      <c r="Y30" s="280" t="str">
        <v>HKDFUT3MX5_Quote</v>
      </c>
      <c r="Z30" s="197" t="e">
        <v>#NUM!</v>
      </c>
      <c r="AA30" s="192" t="e">
        <f>_xll.qlSimpleQuoteSetValue($Y30,$Z30,Trigger)</f>
        <v>#NUM!</v>
      </c>
      <c r="AB30" s="214"/>
      <c r="AC30" s="232"/>
      <c r="AD30" s="232"/>
      <c r="AE30" s="232"/>
      <c r="AF30" s="232"/>
      <c r="AG30" s="233" t="e">
        <f t="shared" si="1"/>
        <v>#VALUE!</v>
      </c>
      <c r="AH30" s="232"/>
    </row>
    <row r="31" spans="1:34" x14ac:dyDescent="0.2">
      <c r="A31" s="95"/>
      <c r="B31" s="94">
        <v>26</v>
      </c>
      <c r="C31" s="93" t="b">
        <v>0</v>
      </c>
      <c r="D31" s="92" t="str">
        <v>Z5</v>
      </c>
      <c r="E31" s="91" t="str">
        <f t="shared" si="0"/>
        <v>HKDFUT3MZ5_Quote</v>
      </c>
      <c r="F31" s="90" t="str">
        <f>_xll.qlSimpleQuote(E31,,PriceTickValue,Permanent,Trigger,ObjectOverwrite)</f>
        <v>HKDFUT3MZ5_Quote#0001</v>
      </c>
      <c r="G31" s="54" t="str">
        <f>_xll.ohRangeRetrieveError(F31)</f>
        <v/>
      </c>
      <c r="H31" s="67"/>
      <c r="J31" s="279"/>
      <c r="K31" s="285">
        <v>26</v>
      </c>
      <c r="L31" s="284" t="b">
        <v>0</v>
      </c>
      <c r="M31" s="197" t="str">
        <v>Z5</v>
      </c>
      <c r="N31" s="283">
        <v>42354</v>
      </c>
      <c r="O31" s="197" t="str">
        <v>HIRZ5</v>
      </c>
      <c r="P31" s="282" t="s">
        <v>188</v>
      </c>
      <c r="Q31" s="197" t="s">
        <v>188</v>
      </c>
      <c r="R31" s="197" t="s">
        <v>188</v>
      </c>
      <c r="S31" s="197" t="s">
        <v>188</v>
      </c>
      <c r="T31" s="197" t="s">
        <v>188</v>
      </c>
      <c r="U31" s="192" t="e">
        <f>_xll.qlMidSafe($Q31,$R31)</f>
        <v>#NUM!</v>
      </c>
      <c r="V31" s="190"/>
      <c r="W31" s="281" t="e">
        <v>#NUM!</v>
      </c>
      <c r="X31" s="190"/>
      <c r="Y31" s="280" t="str">
        <v>HKDFUT3MZ5_Quote</v>
      </c>
      <c r="Z31" s="197" t="e">
        <v>#NUM!</v>
      </c>
      <c r="AA31" s="192" t="e">
        <f>_xll.qlSimpleQuoteSetValue($Y31,$Z31,Trigger)</f>
        <v>#NUM!</v>
      </c>
      <c r="AB31" s="214"/>
      <c r="AC31" s="232"/>
      <c r="AD31" s="232"/>
      <c r="AE31" s="232"/>
      <c r="AF31" s="232"/>
      <c r="AG31" s="233" t="e">
        <f t="shared" si="1"/>
        <v>#VALUE!</v>
      </c>
      <c r="AH31" s="232"/>
    </row>
    <row r="32" spans="1:34" x14ac:dyDescent="0.2">
      <c r="A32" s="95"/>
      <c r="B32" s="94">
        <v>27</v>
      </c>
      <c r="C32" s="93" t="b">
        <v>0</v>
      </c>
      <c r="D32" s="92" t="str">
        <v>F6</v>
      </c>
      <c r="E32" s="91" t="str">
        <f t="shared" si="0"/>
        <v>HKDFUT3MF6_Quote</v>
      </c>
      <c r="F32" s="90" t="str">
        <f>_xll.qlSimpleQuote(E32,,PriceTickValue,Permanent,Trigger,ObjectOverwrite)</f>
        <v>HKDFUT3MF6_Quote#0001</v>
      </c>
      <c r="G32" s="54" t="str">
        <f>_xll.ohRangeRetrieveError(F32)</f>
        <v/>
      </c>
      <c r="H32" s="67"/>
      <c r="J32" s="279"/>
      <c r="K32" s="285">
        <v>27</v>
      </c>
      <c r="L32" s="284" t="b">
        <v>0</v>
      </c>
      <c r="M32" s="197" t="str">
        <v>F6</v>
      </c>
      <c r="N32" s="283">
        <v>42389</v>
      </c>
      <c r="O32" s="197" t="str">
        <v>HIRF6</v>
      </c>
      <c r="P32" s="282" t="s">
        <v>188</v>
      </c>
      <c r="Q32" s="197" t="s">
        <v>188</v>
      </c>
      <c r="R32" s="197" t="s">
        <v>188</v>
      </c>
      <c r="S32" s="197" t="s">
        <v>188</v>
      </c>
      <c r="T32" s="197" t="s">
        <v>188</v>
      </c>
      <c r="U32" s="192" t="e">
        <f>_xll.qlMidSafe($Q32,$R32)</f>
        <v>#NUM!</v>
      </c>
      <c r="V32" s="190"/>
      <c r="W32" s="281" t="e">
        <v>#NUM!</v>
      </c>
      <c r="X32" s="190"/>
      <c r="Y32" s="280" t="str">
        <v>HKDFUT3MF6_Quote</v>
      </c>
      <c r="Z32" s="197" t="e">
        <v>#NUM!</v>
      </c>
      <c r="AA32" s="192" t="e">
        <f>_xll.qlSimpleQuoteSetValue($Y32,$Z32,Trigger)</f>
        <v>#NUM!</v>
      </c>
      <c r="AB32" s="214"/>
      <c r="AC32" s="232"/>
      <c r="AD32" s="232"/>
      <c r="AE32" s="232"/>
      <c r="AF32" s="232"/>
      <c r="AG32" s="233" t="e">
        <f t="shared" si="1"/>
        <v>#VALUE!</v>
      </c>
      <c r="AH32" s="232"/>
    </row>
    <row r="33" spans="1:34" x14ac:dyDescent="0.2">
      <c r="A33" s="95"/>
      <c r="B33" s="94">
        <v>28</v>
      </c>
      <c r="C33" s="93" t="b">
        <v>0</v>
      </c>
      <c r="D33" s="92" t="str">
        <v>G6</v>
      </c>
      <c r="E33" s="91" t="str">
        <f t="shared" si="0"/>
        <v>HKDFUT3MG6_Quote</v>
      </c>
      <c r="F33" s="90" t="str">
        <f>_xll.qlSimpleQuote(E33,,PriceTickValue,Permanent,Trigger,ObjectOverwrite)</f>
        <v>HKDFUT3MG6_Quote#0001</v>
      </c>
      <c r="G33" s="54" t="str">
        <f>_xll.ohRangeRetrieveError(F33)</f>
        <v/>
      </c>
      <c r="H33" s="67"/>
      <c r="J33" s="279"/>
      <c r="K33" s="285">
        <v>28</v>
      </c>
      <c r="L33" s="284" t="b">
        <v>0</v>
      </c>
      <c r="M33" s="197" t="str">
        <v>G6</v>
      </c>
      <c r="N33" s="283">
        <v>42417</v>
      </c>
      <c r="O33" s="197" t="str">
        <v>HIRG6</v>
      </c>
      <c r="P33" s="282" t="s">
        <v>188</v>
      </c>
      <c r="Q33" s="197" t="s">
        <v>188</v>
      </c>
      <c r="R33" s="197" t="s">
        <v>188</v>
      </c>
      <c r="S33" s="197" t="s">
        <v>188</v>
      </c>
      <c r="T33" s="197" t="s">
        <v>188</v>
      </c>
      <c r="U33" s="192" t="e">
        <f>_xll.qlMidSafe($Q33,$R33)</f>
        <v>#NUM!</v>
      </c>
      <c r="V33" s="190"/>
      <c r="W33" s="281" t="e">
        <v>#NUM!</v>
      </c>
      <c r="X33" s="190"/>
      <c r="Y33" s="280" t="str">
        <v>HKDFUT3MG6_Quote</v>
      </c>
      <c r="Z33" s="197" t="e">
        <v>#NUM!</v>
      </c>
      <c r="AA33" s="192" t="e">
        <f>_xll.qlSimpleQuoteSetValue($Y33,$Z33,Trigger)</f>
        <v>#NUM!</v>
      </c>
      <c r="AB33" s="214"/>
      <c r="AC33" s="232"/>
      <c r="AD33" s="232"/>
      <c r="AE33" s="232"/>
      <c r="AF33" s="232"/>
      <c r="AG33" s="233" t="e">
        <f t="shared" si="1"/>
        <v>#VALUE!</v>
      </c>
      <c r="AH33" s="232"/>
    </row>
    <row r="34" spans="1:34" x14ac:dyDescent="0.2">
      <c r="A34" s="95"/>
      <c r="B34" s="94">
        <v>29</v>
      </c>
      <c r="C34" s="93" t="b">
        <v>0</v>
      </c>
      <c r="D34" s="92" t="str">
        <v>H6</v>
      </c>
      <c r="E34" s="91" t="str">
        <f t="shared" si="0"/>
        <v>HKDFUT3MH6_Quote</v>
      </c>
      <c r="F34" s="90" t="str">
        <f>_xll.qlSimpleQuote(E34,,PriceTickValue,Permanent,Trigger,ObjectOverwrite)</f>
        <v>HKDFUT3MH6_Quote#0001</v>
      </c>
      <c r="G34" s="54" t="str">
        <f>_xll.ohRangeRetrieveError(F34)</f>
        <v/>
      </c>
      <c r="H34" s="67"/>
      <c r="J34" s="279"/>
      <c r="K34" s="285">
        <v>29</v>
      </c>
      <c r="L34" s="284" t="b">
        <v>0</v>
      </c>
      <c r="M34" s="197" t="str">
        <v>H6</v>
      </c>
      <c r="N34" s="283">
        <v>42445</v>
      </c>
      <c r="O34" s="197" t="str">
        <v>HIRH6</v>
      </c>
      <c r="P34" s="282" t="s">
        <v>188</v>
      </c>
      <c r="Q34" s="197" t="s">
        <v>188</v>
      </c>
      <c r="R34" s="197" t="s">
        <v>188</v>
      </c>
      <c r="S34" s="197" t="s">
        <v>188</v>
      </c>
      <c r="T34" s="197" t="s">
        <v>188</v>
      </c>
      <c r="U34" s="192" t="e">
        <f>_xll.qlMidSafe($Q34,$R34)</f>
        <v>#NUM!</v>
      </c>
      <c r="V34" s="190"/>
      <c r="W34" s="281" t="e">
        <v>#NUM!</v>
      </c>
      <c r="X34" s="190"/>
      <c r="Y34" s="280" t="str">
        <v>HKDFUT3MH6_Quote</v>
      </c>
      <c r="Z34" s="197" t="e">
        <v>#NUM!</v>
      </c>
      <c r="AA34" s="192" t="e">
        <f>_xll.qlSimpleQuoteSetValue($Y34,$Z34,Trigger)</f>
        <v>#NUM!</v>
      </c>
      <c r="AB34" s="214"/>
      <c r="AC34" s="232"/>
      <c r="AD34" s="232"/>
      <c r="AE34" s="232"/>
      <c r="AF34" s="232"/>
      <c r="AG34" s="233" t="e">
        <f t="shared" si="1"/>
        <v>#VALUE!</v>
      </c>
      <c r="AH34" s="232"/>
    </row>
    <row r="35" spans="1:34" x14ac:dyDescent="0.2">
      <c r="A35" s="95"/>
      <c r="B35" s="94">
        <v>30</v>
      </c>
      <c r="C35" s="93" t="b">
        <v>0</v>
      </c>
      <c r="D35" s="92" t="str">
        <v>J6</v>
      </c>
      <c r="E35" s="91" t="str">
        <f t="shared" si="0"/>
        <v>HKDFUT3MJ6_Quote</v>
      </c>
      <c r="F35" s="90" t="str">
        <f>_xll.qlSimpleQuote(E35,,PriceTickValue,Permanent,Trigger,ObjectOverwrite)</f>
        <v>HKDFUT3MJ6_Quote#0001</v>
      </c>
      <c r="G35" s="54" t="str">
        <f>_xll.ohRangeRetrieveError(F35)</f>
        <v/>
      </c>
      <c r="H35" s="67"/>
      <c r="J35" s="279"/>
      <c r="K35" s="285">
        <v>30</v>
      </c>
      <c r="L35" s="284" t="b">
        <v>0</v>
      </c>
      <c r="M35" s="197" t="str">
        <v>J6</v>
      </c>
      <c r="N35" s="283">
        <v>42480</v>
      </c>
      <c r="O35" s="197" t="str">
        <v>HIRJ6</v>
      </c>
      <c r="P35" s="282" t="s">
        <v>188</v>
      </c>
      <c r="Q35" s="197" t="s">
        <v>188</v>
      </c>
      <c r="R35" s="197" t="s">
        <v>188</v>
      </c>
      <c r="S35" s="197" t="s">
        <v>188</v>
      </c>
      <c r="T35" s="197" t="s">
        <v>188</v>
      </c>
      <c r="U35" s="192" t="e">
        <f>_xll.qlMidSafe($Q35,$R35)</f>
        <v>#NUM!</v>
      </c>
      <c r="V35" s="190"/>
      <c r="W35" s="281" t="e">
        <v>#NUM!</v>
      </c>
      <c r="X35" s="190"/>
      <c r="Y35" s="280" t="str">
        <v>HKDFUT3MJ6_Quote</v>
      </c>
      <c r="Z35" s="197" t="e">
        <v>#NUM!</v>
      </c>
      <c r="AA35" s="192" t="e">
        <f>_xll.qlSimpleQuoteSetValue($Y35,$Z35,Trigger)</f>
        <v>#NUM!</v>
      </c>
      <c r="AB35" s="214"/>
      <c r="AC35" s="232"/>
      <c r="AD35" s="232"/>
      <c r="AE35" s="232"/>
      <c r="AF35" s="232"/>
      <c r="AG35" s="233" t="e">
        <f t="shared" si="1"/>
        <v>#VALUE!</v>
      </c>
      <c r="AH35" s="232"/>
    </row>
    <row r="36" spans="1:34" x14ac:dyDescent="0.2">
      <c r="A36" s="95"/>
      <c r="B36" s="94">
        <v>31</v>
      </c>
      <c r="C36" s="93" t="b">
        <v>0</v>
      </c>
      <c r="D36" s="92" t="str">
        <v>K6</v>
      </c>
      <c r="E36" s="91" t="str">
        <f t="shared" si="0"/>
        <v>HKDFUT3MK6_Quote</v>
      </c>
      <c r="F36" s="90" t="str">
        <f>_xll.qlSimpleQuote(E36,,PriceTickValue,Permanent,Trigger,ObjectOverwrite)</f>
        <v>HKDFUT3MK6_Quote#0001</v>
      </c>
      <c r="G36" s="54" t="str">
        <f>_xll.ohRangeRetrieveError(F36)</f>
        <v/>
      </c>
      <c r="H36" s="67"/>
      <c r="J36" s="279"/>
      <c r="K36" s="285">
        <v>31</v>
      </c>
      <c r="L36" s="284" t="b">
        <v>0</v>
      </c>
      <c r="M36" s="197" t="str">
        <v>K6</v>
      </c>
      <c r="N36" s="283">
        <v>42508</v>
      </c>
      <c r="O36" s="197" t="str">
        <v>HIRK6</v>
      </c>
      <c r="P36" s="282" t="s">
        <v>188</v>
      </c>
      <c r="Q36" s="197" t="s">
        <v>188</v>
      </c>
      <c r="R36" s="197" t="s">
        <v>188</v>
      </c>
      <c r="S36" s="197" t="s">
        <v>188</v>
      </c>
      <c r="T36" s="197" t="s">
        <v>188</v>
      </c>
      <c r="U36" s="192" t="e">
        <f>_xll.qlMidSafe($Q36,$R36)</f>
        <v>#NUM!</v>
      </c>
      <c r="V36" s="190"/>
      <c r="W36" s="281" t="e">
        <v>#NUM!</v>
      </c>
      <c r="X36" s="190"/>
      <c r="Y36" s="280" t="str">
        <v>HKDFUT3MK6_Quote</v>
      </c>
      <c r="Z36" s="197" t="e">
        <v>#NUM!</v>
      </c>
      <c r="AA36" s="192" t="e">
        <f>_xll.qlSimpleQuoteSetValue($Y36,$Z36,Trigger)</f>
        <v>#NUM!</v>
      </c>
      <c r="AB36" s="214"/>
      <c r="AC36" s="232"/>
      <c r="AD36" s="232"/>
      <c r="AE36" s="232"/>
      <c r="AF36" s="232"/>
      <c r="AG36" s="233" t="e">
        <f t="shared" si="1"/>
        <v>#VALUE!</v>
      </c>
      <c r="AH36" s="232"/>
    </row>
    <row r="37" spans="1:34" x14ac:dyDescent="0.2">
      <c r="A37" s="95"/>
      <c r="B37" s="94">
        <v>32</v>
      </c>
      <c r="C37" s="93" t="b">
        <v>0</v>
      </c>
      <c r="D37" s="92" t="str">
        <v>M6</v>
      </c>
      <c r="E37" s="91" t="str">
        <f t="shared" si="0"/>
        <v>HKDFUT3MM6_Quote</v>
      </c>
      <c r="F37" s="90" t="str">
        <f>_xll.qlSimpleQuote(E37,,PriceTickValue,Permanent,Trigger,ObjectOverwrite)</f>
        <v>HKDFUT3MM6_Quote#0001</v>
      </c>
      <c r="G37" s="54" t="str">
        <f>_xll.ohRangeRetrieveError(F37)</f>
        <v/>
      </c>
      <c r="H37" s="67"/>
      <c r="J37" s="279"/>
      <c r="K37" s="285">
        <v>32</v>
      </c>
      <c r="L37" s="284" t="b">
        <v>0</v>
      </c>
      <c r="M37" s="197" t="str">
        <v>M6</v>
      </c>
      <c r="N37" s="283">
        <v>42536</v>
      </c>
      <c r="O37" s="197" t="str">
        <v>HIRM6</v>
      </c>
      <c r="P37" s="282" t="s">
        <v>188</v>
      </c>
      <c r="Q37" s="197" t="s">
        <v>188</v>
      </c>
      <c r="R37" s="197" t="s">
        <v>188</v>
      </c>
      <c r="S37" s="197" t="s">
        <v>188</v>
      </c>
      <c r="T37" s="197" t="s">
        <v>188</v>
      </c>
      <c r="U37" s="192" t="e">
        <f>_xll.qlMidSafe($Q37,$R37)</f>
        <v>#NUM!</v>
      </c>
      <c r="V37" s="190"/>
      <c r="W37" s="281" t="e">
        <v>#NUM!</v>
      </c>
      <c r="X37" s="190"/>
      <c r="Y37" s="280" t="str">
        <v>HKDFUT3MM6_Quote</v>
      </c>
      <c r="Z37" s="197" t="e">
        <v>#NUM!</v>
      </c>
      <c r="AA37" s="192" t="e">
        <f>_xll.qlSimpleQuoteSetValue($Y37,$Z37,Trigger)</f>
        <v>#NUM!</v>
      </c>
      <c r="AB37" s="214"/>
      <c r="AC37" s="232"/>
      <c r="AD37" s="232"/>
      <c r="AE37" s="232"/>
      <c r="AF37" s="232"/>
      <c r="AG37" s="233" t="e">
        <f t="shared" si="1"/>
        <v>#VALUE!</v>
      </c>
      <c r="AH37" s="232"/>
    </row>
    <row r="38" spans="1:34" x14ac:dyDescent="0.2">
      <c r="A38" s="95"/>
      <c r="B38" s="94">
        <v>33</v>
      </c>
      <c r="C38" s="93" t="b">
        <v>0</v>
      </c>
      <c r="D38" s="92" t="str">
        <v>N6</v>
      </c>
      <c r="E38" s="91" t="str">
        <f t="shared" ref="E38:E69" si="2">Currency&amp;$D$4&amp;$E$4&amp;$D38&amp;QuoteSuffix</f>
        <v>HKDFUT3MN6_Quote</v>
      </c>
      <c r="F38" s="90" t="str">
        <f>_xll.qlSimpleQuote(E38,,PriceTickValue,Permanent,Trigger,ObjectOverwrite)</f>
        <v>HKDFUT3MN6_Quote#0001</v>
      </c>
      <c r="G38" s="54" t="str">
        <f>_xll.ohRangeRetrieveError(F38)</f>
        <v/>
      </c>
      <c r="H38" s="67"/>
      <c r="J38" s="279"/>
      <c r="K38" s="285">
        <v>33</v>
      </c>
      <c r="L38" s="284" t="b">
        <v>0</v>
      </c>
      <c r="M38" s="197" t="str">
        <v>N6</v>
      </c>
      <c r="N38" s="283">
        <v>42571</v>
      </c>
      <c r="O38" s="197" t="str">
        <v>HIRN6</v>
      </c>
      <c r="P38" s="282" t="s">
        <v>188</v>
      </c>
      <c r="Q38" s="197" t="s">
        <v>188</v>
      </c>
      <c r="R38" s="197" t="s">
        <v>188</v>
      </c>
      <c r="S38" s="197" t="s">
        <v>188</v>
      </c>
      <c r="T38" s="197" t="s">
        <v>188</v>
      </c>
      <c r="U38" s="192" t="e">
        <f>_xll.qlMidSafe($Q38,$R38)</f>
        <v>#NUM!</v>
      </c>
      <c r="V38" s="190"/>
      <c r="W38" s="281" t="e">
        <v>#NUM!</v>
      </c>
      <c r="X38" s="190"/>
      <c r="Y38" s="280" t="str">
        <v>HKDFUT3MN6_Quote</v>
      </c>
      <c r="Z38" s="197" t="e">
        <v>#NUM!</v>
      </c>
      <c r="AA38" s="192" t="e">
        <f>_xll.qlSimpleQuoteSetValue($Y38,$Z38,Trigger)</f>
        <v>#NUM!</v>
      </c>
      <c r="AB38" s="214"/>
      <c r="AC38" s="232"/>
      <c r="AD38" s="232"/>
      <c r="AE38" s="232"/>
      <c r="AF38" s="232"/>
      <c r="AG38" s="233" t="e">
        <f t="shared" si="1"/>
        <v>#VALUE!</v>
      </c>
      <c r="AH38" s="232"/>
    </row>
    <row r="39" spans="1:34" ht="15" x14ac:dyDescent="0.25">
      <c r="A39" s="95"/>
      <c r="B39" s="94">
        <v>34</v>
      </c>
      <c r="C39" s="93" t="b">
        <v>0</v>
      </c>
      <c r="D39" s="92" t="str">
        <v>Q6</v>
      </c>
      <c r="E39" s="91" t="str">
        <f t="shared" si="2"/>
        <v>HKDFUT3MQ6_Quote</v>
      </c>
      <c r="F39" s="90" t="str">
        <f>_xll.qlSimpleQuote(E39,,PriceTickValue,Permanent,Trigger,ObjectOverwrite)</f>
        <v>HKDFUT3MQ6_Quote#0001</v>
      </c>
      <c r="G39" s="54" t="str">
        <f>_xll.ohRangeRetrieveError(F39)</f>
        <v/>
      </c>
      <c r="H39" s="67"/>
      <c r="J39" s="279"/>
      <c r="K39" s="285">
        <v>34</v>
      </c>
      <c r="L39" s="284" t="b">
        <v>0</v>
      </c>
      <c r="M39" s="197" t="str">
        <v>Q6</v>
      </c>
      <c r="N39" s="283">
        <v>42599</v>
      </c>
      <c r="O39" s="197" t="str">
        <v>HIRQ6</v>
      </c>
      <c r="P39" s="282" t="s">
        <v>188</v>
      </c>
      <c r="Q39" s="197" t="s">
        <v>188</v>
      </c>
      <c r="R39" s="197" t="s">
        <v>188</v>
      </c>
      <c r="S39" s="197" t="s">
        <v>188</v>
      </c>
      <c r="T39" s="197" t="s">
        <v>188</v>
      </c>
      <c r="U39" s="192" t="e">
        <f>_xll.qlMidSafe($Q39,$R39)</f>
        <v>#NUM!</v>
      </c>
      <c r="V39" s="190"/>
      <c r="W39" s="281" t="e">
        <v>#NUM!</v>
      </c>
      <c r="X39" s="190"/>
      <c r="Y39" s="280" t="str">
        <v>HKDFUT3MQ6_Quote</v>
      </c>
      <c r="Z39" s="197" t="e">
        <v>#NUM!</v>
      </c>
      <c r="AA39" s="192" t="e">
        <f>_xll.qlSimpleQuoteSetValue($Y39,$Z39,Trigger)</f>
        <v>#NUM!</v>
      </c>
      <c r="AB39" s="214"/>
      <c r="AC39" s="232"/>
      <c r="AD39" s="232"/>
      <c r="AE39" s="232"/>
      <c r="AF39" t="str">
        <f>_xll.RtGet("IDN","/HIRX3","BID")</f>
        <v>#N/A Paused at 16:09:04</v>
      </c>
      <c r="AG39" s="233" t="e">
        <f t="shared" si="1"/>
        <v>#VALUE!</v>
      </c>
      <c r="AH39" s="232"/>
    </row>
    <row r="40" spans="1:34" x14ac:dyDescent="0.2">
      <c r="A40" s="95"/>
      <c r="B40" s="94">
        <v>35</v>
      </c>
      <c r="C40" s="93" t="b">
        <v>0</v>
      </c>
      <c r="D40" s="92" t="str">
        <v>U6</v>
      </c>
      <c r="E40" s="91" t="str">
        <f t="shared" si="2"/>
        <v>HKDFUT3MU6_Quote</v>
      </c>
      <c r="F40" s="90" t="str">
        <f>_xll.qlSimpleQuote(E40,,PriceTickValue,Permanent,Trigger,ObjectOverwrite)</f>
        <v>HKDFUT3MU6_Quote#0001</v>
      </c>
      <c r="G40" s="54" t="str">
        <f>_xll.ohRangeRetrieveError(F40)</f>
        <v/>
      </c>
      <c r="H40" s="67"/>
      <c r="J40" s="279"/>
      <c r="K40" s="285">
        <v>35</v>
      </c>
      <c r="L40" s="284" t="b">
        <v>0</v>
      </c>
      <c r="M40" s="197" t="str">
        <v>U6</v>
      </c>
      <c r="N40" s="283">
        <v>42634</v>
      </c>
      <c r="O40" s="197" t="str">
        <v>HIRU6</v>
      </c>
      <c r="P40" s="282" t="s">
        <v>188</v>
      </c>
      <c r="Q40" s="197" t="s">
        <v>188</v>
      </c>
      <c r="R40" s="197" t="s">
        <v>188</v>
      </c>
      <c r="S40" s="197" t="s">
        <v>188</v>
      </c>
      <c r="T40" s="197" t="s">
        <v>188</v>
      </c>
      <c r="U40" s="192" t="e">
        <f>_xll.qlMidSafe($Q40,$R40)</f>
        <v>#NUM!</v>
      </c>
      <c r="V40" s="190"/>
      <c r="W40" s="281" t="e">
        <v>#NUM!</v>
      </c>
      <c r="X40" s="190"/>
      <c r="Y40" s="280" t="str">
        <v>HKDFUT3MU6_Quote</v>
      </c>
      <c r="Z40" s="197" t="e">
        <v>#NUM!</v>
      </c>
      <c r="AA40" s="192" t="e">
        <f>_xll.qlSimpleQuoteSetValue($Y40,$Z40,Trigger)</f>
        <v>#NUM!</v>
      </c>
      <c r="AB40" s="214"/>
      <c r="AC40" s="232"/>
      <c r="AD40" s="232"/>
      <c r="AE40" s="232"/>
      <c r="AF40" s="232"/>
      <c r="AG40" s="233" t="e">
        <f t="shared" si="1"/>
        <v>#VALUE!</v>
      </c>
      <c r="AH40" s="232"/>
    </row>
    <row r="41" spans="1:34" x14ac:dyDescent="0.2">
      <c r="A41" s="95"/>
      <c r="B41" s="94">
        <v>36</v>
      </c>
      <c r="C41" s="93" t="b">
        <v>0</v>
      </c>
      <c r="D41" s="92" t="str">
        <v>V6</v>
      </c>
      <c r="E41" s="91" t="str">
        <f t="shared" si="2"/>
        <v>HKDFUT3MV6_Quote</v>
      </c>
      <c r="F41" s="90" t="str">
        <f>_xll.qlSimpleQuote(E41,,PriceTickValue,Permanent,Trigger,ObjectOverwrite)</f>
        <v>HKDFUT3MV6_Quote#0001</v>
      </c>
      <c r="G41" s="54" t="str">
        <f>_xll.ohRangeRetrieveError(F41)</f>
        <v/>
      </c>
      <c r="H41" s="67"/>
      <c r="J41" s="279"/>
      <c r="K41" s="285">
        <v>36</v>
      </c>
      <c r="L41" s="284" t="b">
        <v>0</v>
      </c>
      <c r="M41" s="197" t="str">
        <v>V6</v>
      </c>
      <c r="N41" s="283">
        <v>42662</v>
      </c>
      <c r="O41" s="197" t="str">
        <v>HIRV6</v>
      </c>
      <c r="P41" s="282" t="s">
        <v>188</v>
      </c>
      <c r="Q41" s="197" t="s">
        <v>188</v>
      </c>
      <c r="R41" s="197" t="s">
        <v>188</v>
      </c>
      <c r="S41" s="197" t="s">
        <v>188</v>
      </c>
      <c r="T41" s="197" t="s">
        <v>188</v>
      </c>
      <c r="U41" s="192" t="e">
        <f>_xll.qlMidSafe($Q41,$R41)</f>
        <v>#NUM!</v>
      </c>
      <c r="V41" s="190"/>
      <c r="W41" s="281" t="e">
        <v>#NUM!</v>
      </c>
      <c r="X41" s="190"/>
      <c r="Y41" s="280" t="str">
        <v>HKDFUT3MV6_Quote</v>
      </c>
      <c r="Z41" s="197" t="e">
        <v>#NUM!</v>
      </c>
      <c r="AA41" s="192" t="e">
        <f>_xll.qlSimpleQuoteSetValue($Y41,$Z41,Trigger)</f>
        <v>#NUM!</v>
      </c>
      <c r="AB41" s="214"/>
      <c r="AC41" s="232"/>
      <c r="AD41" s="232"/>
      <c r="AE41" s="232"/>
      <c r="AF41" s="232"/>
      <c r="AG41" s="233" t="e">
        <f t="shared" si="1"/>
        <v>#VALUE!</v>
      </c>
      <c r="AH41" s="232"/>
    </row>
    <row r="42" spans="1:34" x14ac:dyDescent="0.2">
      <c r="A42" s="95"/>
      <c r="B42" s="94">
        <v>37</v>
      </c>
      <c r="C42" s="93" t="b">
        <v>0</v>
      </c>
      <c r="D42" s="92" t="str">
        <v>X6</v>
      </c>
      <c r="E42" s="91" t="str">
        <f t="shared" si="2"/>
        <v>HKDFUT3MX6_Quote</v>
      </c>
      <c r="F42" s="90" t="str">
        <f>_xll.qlSimpleQuote(E42,,PriceTickValue,Permanent,Trigger,ObjectOverwrite)</f>
        <v>HKDFUT3MX6_Quote#0001</v>
      </c>
      <c r="G42" s="54" t="str">
        <f>_xll.ohRangeRetrieveError(F42)</f>
        <v/>
      </c>
      <c r="H42" s="67"/>
      <c r="J42" s="279"/>
      <c r="K42" s="285">
        <v>37</v>
      </c>
      <c r="L42" s="284" t="b">
        <v>0</v>
      </c>
      <c r="M42" s="197" t="str">
        <v>X6</v>
      </c>
      <c r="N42" s="283">
        <v>42690</v>
      </c>
      <c r="O42" s="197" t="str">
        <v>HIRX6</v>
      </c>
      <c r="P42" s="282" t="s">
        <v>188</v>
      </c>
      <c r="Q42" s="197" t="s">
        <v>188</v>
      </c>
      <c r="R42" s="197" t="s">
        <v>188</v>
      </c>
      <c r="S42" s="197" t="s">
        <v>188</v>
      </c>
      <c r="T42" s="197" t="s">
        <v>188</v>
      </c>
      <c r="U42" s="192" t="e">
        <f>_xll.qlMidSafe($Q42,$R42)</f>
        <v>#NUM!</v>
      </c>
      <c r="V42" s="190"/>
      <c r="W42" s="281" t="e">
        <v>#NUM!</v>
      </c>
      <c r="X42" s="190"/>
      <c r="Y42" s="280" t="str">
        <v>HKDFUT3MX6_Quote</v>
      </c>
      <c r="Z42" s="197" t="e">
        <v>#NUM!</v>
      </c>
      <c r="AA42" s="192" t="e">
        <f>_xll.qlSimpleQuoteSetValue($Y42,$Z42,Trigger)</f>
        <v>#NUM!</v>
      </c>
      <c r="AB42" s="214"/>
      <c r="AC42" s="232"/>
      <c r="AD42" s="232"/>
      <c r="AE42" s="232"/>
      <c r="AF42" s="232"/>
      <c r="AG42" s="233" t="e">
        <f t="shared" si="1"/>
        <v>#VALUE!</v>
      </c>
      <c r="AH42" s="232"/>
    </row>
    <row r="43" spans="1:34" x14ac:dyDescent="0.2">
      <c r="A43" s="95"/>
      <c r="B43" s="94">
        <v>38</v>
      </c>
      <c r="C43" s="93" t="b">
        <v>0</v>
      </c>
      <c r="D43" s="92" t="str">
        <v>Z6</v>
      </c>
      <c r="E43" s="91" t="str">
        <f t="shared" si="2"/>
        <v>HKDFUT3MZ6_Quote</v>
      </c>
      <c r="F43" s="90" t="str">
        <f>_xll.qlSimpleQuote(E43,,PriceTickValue,Permanent,Trigger,ObjectOverwrite)</f>
        <v>HKDFUT3MZ6_Quote#0001</v>
      </c>
      <c r="G43" s="54" t="str">
        <f>_xll.ohRangeRetrieveError(F43)</f>
        <v/>
      </c>
      <c r="H43" s="67"/>
      <c r="J43" s="279"/>
      <c r="K43" s="285">
        <v>38</v>
      </c>
      <c r="L43" s="284" t="b">
        <v>0</v>
      </c>
      <c r="M43" s="197" t="str">
        <v>Z6</v>
      </c>
      <c r="N43" s="283">
        <v>42725</v>
      </c>
      <c r="O43" s="197" t="str">
        <v>HIRZ6</v>
      </c>
      <c r="P43" s="282" t="s">
        <v>188</v>
      </c>
      <c r="Q43" s="197" t="s">
        <v>188</v>
      </c>
      <c r="R43" s="197" t="s">
        <v>188</v>
      </c>
      <c r="S43" s="197" t="s">
        <v>188</v>
      </c>
      <c r="T43" s="197" t="s">
        <v>188</v>
      </c>
      <c r="U43" s="192" t="e">
        <f>_xll.qlMidSafe($Q43,$R43)</f>
        <v>#NUM!</v>
      </c>
      <c r="V43" s="190"/>
      <c r="W43" s="281" t="e">
        <v>#NUM!</v>
      </c>
      <c r="X43" s="190"/>
      <c r="Y43" s="280" t="str">
        <v>HKDFUT3MZ6_Quote</v>
      </c>
      <c r="Z43" s="197" t="e">
        <v>#NUM!</v>
      </c>
      <c r="AA43" s="192" t="e">
        <f>_xll.qlSimpleQuoteSetValue($Y43,$Z43,Trigger)</f>
        <v>#NUM!</v>
      </c>
      <c r="AB43" s="214"/>
      <c r="AC43" s="232"/>
      <c r="AD43" s="232"/>
      <c r="AE43" s="232"/>
      <c r="AF43" s="232"/>
      <c r="AG43" s="233" t="e">
        <f t="shared" si="1"/>
        <v>#VALUE!</v>
      </c>
      <c r="AH43" s="232"/>
    </row>
    <row r="44" spans="1:34" x14ac:dyDescent="0.2">
      <c r="A44" s="95"/>
      <c r="B44" s="94">
        <v>39</v>
      </c>
      <c r="C44" s="93" t="b">
        <v>0</v>
      </c>
      <c r="D44" s="92" t="str">
        <v>F7</v>
      </c>
      <c r="E44" s="91" t="str">
        <f t="shared" si="2"/>
        <v>HKDFUT3MF7_Quote</v>
      </c>
      <c r="F44" s="90" t="str">
        <f>_xll.qlSimpleQuote(E44,,PriceTickValue,Permanent,Trigger,ObjectOverwrite)</f>
        <v>HKDFUT3MF7_Quote#0001</v>
      </c>
      <c r="G44" s="54" t="str">
        <f>_xll.ohRangeRetrieveError(F44)</f>
        <v/>
      </c>
      <c r="H44" s="67"/>
      <c r="J44" s="279"/>
      <c r="K44" s="285">
        <v>39</v>
      </c>
      <c r="L44" s="284" t="b">
        <v>0</v>
      </c>
      <c r="M44" s="197" t="str">
        <v>F7</v>
      </c>
      <c r="N44" s="283">
        <v>42753</v>
      </c>
      <c r="O44" s="197" t="str">
        <v>HIRF7</v>
      </c>
      <c r="P44" s="282" t="s">
        <v>188</v>
      </c>
      <c r="Q44" s="197" t="s">
        <v>188</v>
      </c>
      <c r="R44" s="197" t="s">
        <v>188</v>
      </c>
      <c r="S44" s="197" t="s">
        <v>188</v>
      </c>
      <c r="T44" s="197" t="s">
        <v>188</v>
      </c>
      <c r="U44" s="192" t="e">
        <f>_xll.qlMidSafe($Q44,$R44)</f>
        <v>#NUM!</v>
      </c>
      <c r="V44" s="190"/>
      <c r="W44" s="281" t="e">
        <v>#NUM!</v>
      </c>
      <c r="X44" s="190"/>
      <c r="Y44" s="280" t="str">
        <v>HKDFUT3MF7_Quote</v>
      </c>
      <c r="Z44" s="197" t="e">
        <v>#NUM!</v>
      </c>
      <c r="AA44" s="192" t="e">
        <f>_xll.qlSimpleQuoteSetValue($Y44,$Z44,Trigger)</f>
        <v>#NUM!</v>
      </c>
      <c r="AB44" s="214"/>
      <c r="AC44" s="232"/>
      <c r="AD44" s="232"/>
      <c r="AE44" s="232"/>
      <c r="AF44" s="232"/>
      <c r="AG44" s="233" t="e">
        <f t="shared" si="1"/>
        <v>#VALUE!</v>
      </c>
      <c r="AH44" s="232"/>
    </row>
    <row r="45" spans="1:34" x14ac:dyDescent="0.2">
      <c r="A45" s="95"/>
      <c r="B45" s="94">
        <v>40</v>
      </c>
      <c r="C45" s="93" t="b">
        <v>0</v>
      </c>
      <c r="D45" s="92" t="str">
        <v>G7</v>
      </c>
      <c r="E45" s="91" t="str">
        <f t="shared" si="2"/>
        <v>HKDFUT3MG7_Quote</v>
      </c>
      <c r="F45" s="90" t="str">
        <f>_xll.qlSimpleQuote(E45,,PriceTickValue,Permanent,Trigger,ObjectOverwrite)</f>
        <v>HKDFUT3MG7_Quote#0001</v>
      </c>
      <c r="G45" s="54" t="str">
        <f>_xll.ohRangeRetrieveError(F45)</f>
        <v/>
      </c>
      <c r="H45" s="67"/>
      <c r="J45" s="279"/>
      <c r="K45" s="285">
        <v>40</v>
      </c>
      <c r="L45" s="284" t="b">
        <v>0</v>
      </c>
      <c r="M45" s="197" t="str">
        <v>G7</v>
      </c>
      <c r="N45" s="283">
        <v>42781</v>
      </c>
      <c r="O45" s="197" t="str">
        <v>HIRG7</v>
      </c>
      <c r="P45" s="282" t="s">
        <v>188</v>
      </c>
      <c r="Q45" s="197" t="s">
        <v>188</v>
      </c>
      <c r="R45" s="197" t="s">
        <v>188</v>
      </c>
      <c r="S45" s="197" t="s">
        <v>188</v>
      </c>
      <c r="T45" s="197" t="s">
        <v>188</v>
      </c>
      <c r="U45" s="192" t="e">
        <f>_xll.qlMidSafe($Q45,$R45)</f>
        <v>#NUM!</v>
      </c>
      <c r="V45" s="190"/>
      <c r="W45" s="281" t="e">
        <v>#NUM!</v>
      </c>
      <c r="X45" s="190"/>
      <c r="Y45" s="280" t="str">
        <v>HKDFUT3MG7_Quote</v>
      </c>
      <c r="Z45" s="197" t="e">
        <v>#NUM!</v>
      </c>
      <c r="AA45" s="192" t="e">
        <f>_xll.qlSimpleQuoteSetValue($Y45,$Z45,Trigger)</f>
        <v>#NUM!</v>
      </c>
      <c r="AB45" s="214"/>
      <c r="AC45" s="232"/>
      <c r="AD45" s="232"/>
      <c r="AE45" s="232"/>
      <c r="AF45" s="232"/>
      <c r="AG45" s="233" t="e">
        <f t="shared" si="1"/>
        <v>#VALUE!</v>
      </c>
      <c r="AH45" s="232"/>
    </row>
    <row r="46" spans="1:34" x14ac:dyDescent="0.2">
      <c r="A46" s="95"/>
      <c r="B46" s="94">
        <v>41</v>
      </c>
      <c r="C46" s="93" t="b">
        <v>0</v>
      </c>
      <c r="D46" s="92" t="str">
        <v>H7</v>
      </c>
      <c r="E46" s="91" t="str">
        <f t="shared" si="2"/>
        <v>HKDFUT3MH7_Quote</v>
      </c>
      <c r="F46" s="90" t="str">
        <f>_xll.qlSimpleQuote(E46,,PriceTickValue,Permanent,Trigger,ObjectOverwrite)</f>
        <v>HKDFUT3MH7_Quote#0001</v>
      </c>
      <c r="G46" s="54" t="str">
        <f>_xll.ohRangeRetrieveError(F46)</f>
        <v/>
      </c>
      <c r="H46" s="67"/>
      <c r="J46" s="279"/>
      <c r="K46" s="285">
        <v>41</v>
      </c>
      <c r="L46" s="284" t="b">
        <v>0</v>
      </c>
      <c r="M46" s="197" t="str">
        <v>H7</v>
      </c>
      <c r="N46" s="283">
        <v>42809</v>
      </c>
      <c r="O46" s="197" t="str">
        <v>HIRH7</v>
      </c>
      <c r="P46" s="282" t="s">
        <v>188</v>
      </c>
      <c r="Q46" s="197" t="s">
        <v>188</v>
      </c>
      <c r="R46" s="197" t="s">
        <v>188</v>
      </c>
      <c r="S46" s="197" t="s">
        <v>188</v>
      </c>
      <c r="T46" s="197" t="s">
        <v>188</v>
      </c>
      <c r="U46" s="192" t="e">
        <f>_xll.qlMidSafe($Q46,$R46)</f>
        <v>#NUM!</v>
      </c>
      <c r="V46" s="190"/>
      <c r="W46" s="281" t="e">
        <v>#NUM!</v>
      </c>
      <c r="X46" s="190"/>
      <c r="Y46" s="280" t="str">
        <v>HKDFUT3MH7_Quote</v>
      </c>
      <c r="Z46" s="197" t="e">
        <v>#NUM!</v>
      </c>
      <c r="AA46" s="192" t="e">
        <f>_xll.qlSimpleQuoteSetValue($Y46,$Z46,Trigger)</f>
        <v>#NUM!</v>
      </c>
      <c r="AB46" s="214"/>
      <c r="AC46" s="232"/>
      <c r="AD46" s="232"/>
      <c r="AE46" s="232"/>
      <c r="AF46" s="232"/>
      <c r="AG46" s="233" t="e">
        <f t="shared" si="1"/>
        <v>#VALUE!</v>
      </c>
      <c r="AH46" s="232"/>
    </row>
    <row r="47" spans="1:34" x14ac:dyDescent="0.2">
      <c r="A47" s="95"/>
      <c r="B47" s="94">
        <v>42</v>
      </c>
      <c r="C47" s="93" t="b">
        <v>0</v>
      </c>
      <c r="D47" s="92" t="str">
        <v>J7</v>
      </c>
      <c r="E47" s="91" t="str">
        <f t="shared" si="2"/>
        <v>HKDFUT3MJ7_Quote</v>
      </c>
      <c r="F47" s="90" t="str">
        <f>_xll.qlSimpleQuote(E47,,PriceTickValue,Permanent,Trigger,ObjectOverwrite)</f>
        <v>HKDFUT3MJ7_Quote#0001</v>
      </c>
      <c r="G47" s="54" t="str">
        <f>_xll.ohRangeRetrieveError(F47)</f>
        <v/>
      </c>
      <c r="H47" s="67"/>
      <c r="J47" s="279"/>
      <c r="K47" s="278">
        <v>42</v>
      </c>
      <c r="L47" s="277" t="b">
        <v>0</v>
      </c>
      <c r="M47" s="188" t="str">
        <v>J7</v>
      </c>
      <c r="N47" s="276">
        <v>42844</v>
      </c>
      <c r="O47" s="188" t="str">
        <v>HIRJ7</v>
      </c>
      <c r="P47" s="275" t="s">
        <v>188</v>
      </c>
      <c r="Q47" s="188" t="s">
        <v>188</v>
      </c>
      <c r="R47" s="188" t="s">
        <v>188</v>
      </c>
      <c r="S47" s="188" t="s">
        <v>188</v>
      </c>
      <c r="T47" s="188" t="s">
        <v>188</v>
      </c>
      <c r="U47" s="250" t="e">
        <f>_xll.qlMidSafe($Q47,$R47)</f>
        <v>#NUM!</v>
      </c>
      <c r="V47" s="190"/>
      <c r="W47" s="274" t="e">
        <v>#NUM!</v>
      </c>
      <c r="X47" s="190"/>
      <c r="Y47" s="273" t="str">
        <v>HKDFUT3MJ7_Quote</v>
      </c>
      <c r="Z47" s="188" t="e">
        <v>#NUM!</v>
      </c>
      <c r="AA47" s="250" t="e">
        <f>_xll.qlSimpleQuoteSetValue($Y47,$Z47,Trigger)</f>
        <v>#NUM!</v>
      </c>
      <c r="AB47" s="214"/>
      <c r="AC47" s="232"/>
      <c r="AD47" s="232"/>
      <c r="AE47" s="232"/>
      <c r="AF47" s="232"/>
      <c r="AG47" s="233" t="e">
        <f t="shared" si="1"/>
        <v>#VALUE!</v>
      </c>
      <c r="AH47" s="232"/>
    </row>
    <row r="48" spans="1:34" ht="12" thickBot="1" x14ac:dyDescent="0.25">
      <c r="A48" s="95"/>
      <c r="B48" s="94">
        <v>43</v>
      </c>
      <c r="C48" s="93" t="b">
        <v>0</v>
      </c>
      <c r="D48" s="92" t="str">
        <v>K7</v>
      </c>
      <c r="E48" s="91" t="str">
        <f t="shared" si="2"/>
        <v>HKDFUT3MK7_Quote</v>
      </c>
      <c r="F48" s="90" t="str">
        <f>_xll.qlSimpleQuote(E48,,PriceTickValue,Permanent,Trigger,ObjectOverwrite)</f>
        <v>HKDFUT3MK7_Quote#0001</v>
      </c>
      <c r="G48" s="54" t="str">
        <f>_xll.ohRangeRetrieveError(F48)</f>
        <v/>
      </c>
      <c r="H48" s="67"/>
      <c r="J48" s="272"/>
      <c r="K48" s="183"/>
      <c r="L48" s="183"/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  <c r="X48" s="183"/>
      <c r="Y48" s="183"/>
      <c r="Z48" s="183"/>
      <c r="AA48" s="183"/>
      <c r="AB48" s="182"/>
      <c r="AC48" s="232"/>
      <c r="AD48" s="232"/>
      <c r="AE48" s="232"/>
      <c r="AF48" s="232"/>
      <c r="AG48" s="232"/>
      <c r="AH48" s="232"/>
    </row>
    <row r="49" spans="1:34" x14ac:dyDescent="0.2">
      <c r="A49" s="95"/>
      <c r="B49" s="94">
        <v>44</v>
      </c>
      <c r="C49" s="93" t="b">
        <v>0</v>
      </c>
      <c r="D49" s="92" t="str">
        <v>M7</v>
      </c>
      <c r="E49" s="91" t="str">
        <f t="shared" si="2"/>
        <v>HKDFUT3MM7_Quote</v>
      </c>
      <c r="F49" s="90" t="str">
        <f>_xll.qlSimpleQuote(E49,,PriceTickValue,Permanent,Trigger,ObjectOverwrite)</f>
        <v>HKDFUT3MM7_Quote#0001</v>
      </c>
      <c r="G49" s="54" t="str">
        <f>_xll.ohRangeRetrieveError(F49)</f>
        <v/>
      </c>
      <c r="H49" s="67"/>
      <c r="J49" s="232"/>
      <c r="K49" s="232"/>
      <c r="L49" s="232"/>
      <c r="M49" s="232"/>
      <c r="N49" s="232"/>
      <c r="O49" s="232"/>
      <c r="P49" s="232"/>
      <c r="Q49" s="232"/>
      <c r="R49" s="232"/>
      <c r="S49" s="232"/>
      <c r="T49" s="232"/>
      <c r="U49" s="232"/>
      <c r="V49" s="232"/>
      <c r="W49" s="232"/>
      <c r="X49" s="232"/>
      <c r="Y49" s="232"/>
      <c r="Z49" s="232"/>
      <c r="AA49" s="232"/>
      <c r="AB49" s="232"/>
      <c r="AC49" s="232"/>
      <c r="AD49" s="232"/>
      <c r="AE49" s="232"/>
      <c r="AF49" s="232"/>
      <c r="AG49" s="232"/>
      <c r="AH49" s="232"/>
    </row>
    <row r="50" spans="1:34" x14ac:dyDescent="0.2">
      <c r="A50" s="95"/>
      <c r="B50" s="94">
        <v>45</v>
      </c>
      <c r="C50" s="93" t="b">
        <v>0</v>
      </c>
      <c r="D50" s="92" t="str">
        <v>N7</v>
      </c>
      <c r="E50" s="91" t="str">
        <f t="shared" si="2"/>
        <v>HKDFUT3MN7_Quote</v>
      </c>
      <c r="F50" s="90" t="str">
        <f>_xll.qlSimpleQuote(E50,,PriceTickValue,Permanent,Trigger,ObjectOverwrite)</f>
        <v>HKDFUT3MN7_Quote#0001</v>
      </c>
      <c r="G50" s="54" t="str">
        <f>_xll.ohRangeRetrieveError(F50)</f>
        <v/>
      </c>
      <c r="H50" s="67"/>
    </row>
    <row r="51" spans="1:34" x14ac:dyDescent="0.2">
      <c r="A51" s="95"/>
      <c r="B51" s="94">
        <v>46</v>
      </c>
      <c r="C51" s="93" t="b">
        <v>0</v>
      </c>
      <c r="D51" s="92" t="str">
        <v>Q7</v>
      </c>
      <c r="E51" s="91" t="str">
        <f t="shared" si="2"/>
        <v>HKDFUT3MQ7_Quote</v>
      </c>
      <c r="F51" s="90" t="str">
        <f>_xll.qlSimpleQuote(E51,,PriceTickValue,Permanent,Trigger,ObjectOverwrite)</f>
        <v>HKDFUT3MQ7_Quote#0001</v>
      </c>
      <c r="G51" s="54" t="str">
        <f>_xll.ohRangeRetrieveError(F51)</f>
        <v/>
      </c>
      <c r="H51" s="67"/>
    </row>
    <row r="52" spans="1:34" x14ac:dyDescent="0.2">
      <c r="A52" s="95"/>
      <c r="B52" s="94">
        <v>47</v>
      </c>
      <c r="C52" s="93" t="b">
        <v>0</v>
      </c>
      <c r="D52" s="92" t="str">
        <v>U7</v>
      </c>
      <c r="E52" s="91" t="str">
        <f t="shared" si="2"/>
        <v>HKDFUT3MU7_Quote</v>
      </c>
      <c r="F52" s="90" t="str">
        <f>_xll.qlSimpleQuote(E52,,PriceTickValue,Permanent,Trigger,ObjectOverwrite)</f>
        <v>HKDFUT3MU7_Quote#0001</v>
      </c>
      <c r="G52" s="54" t="str">
        <f>_xll.ohRangeRetrieveError(F52)</f>
        <v/>
      </c>
      <c r="H52" s="67"/>
    </row>
    <row r="53" spans="1:34" x14ac:dyDescent="0.2">
      <c r="A53" s="95"/>
      <c r="B53" s="94">
        <v>48</v>
      </c>
      <c r="C53" s="93" t="b">
        <v>0</v>
      </c>
      <c r="D53" s="92" t="str">
        <v>V7</v>
      </c>
      <c r="E53" s="91" t="str">
        <f t="shared" si="2"/>
        <v>HKDFUT3MV7_Quote</v>
      </c>
      <c r="F53" s="90" t="str">
        <f>_xll.qlSimpleQuote(E53,,PriceTickValue,Permanent,Trigger,ObjectOverwrite)</f>
        <v>HKDFUT3MV7_Quote#0001</v>
      </c>
      <c r="G53" s="54" t="str">
        <f>_xll.ohRangeRetrieveError(F53)</f>
        <v/>
      </c>
      <c r="H53" s="67"/>
    </row>
    <row r="54" spans="1:34" x14ac:dyDescent="0.2">
      <c r="A54" s="95"/>
      <c r="B54" s="94">
        <v>49</v>
      </c>
      <c r="C54" s="93" t="b">
        <v>0</v>
      </c>
      <c r="D54" s="92" t="str">
        <v>X7</v>
      </c>
      <c r="E54" s="91" t="str">
        <f t="shared" si="2"/>
        <v>HKDFUT3MX7_Quote</v>
      </c>
      <c r="F54" s="90" t="str">
        <f>_xll.qlSimpleQuote(E54,,PriceTickValue,Permanent,Trigger,ObjectOverwrite)</f>
        <v>HKDFUT3MX7_Quote#0001</v>
      </c>
      <c r="G54" s="54" t="str">
        <f>_xll.ohRangeRetrieveError(F54)</f>
        <v/>
      </c>
      <c r="H54" s="67"/>
    </row>
    <row r="55" spans="1:34" x14ac:dyDescent="0.2">
      <c r="A55" s="95"/>
      <c r="B55" s="94">
        <v>50</v>
      </c>
      <c r="C55" s="93" t="b">
        <v>0</v>
      </c>
      <c r="D55" s="92" t="str">
        <v>Z7</v>
      </c>
      <c r="E55" s="91" t="str">
        <f t="shared" si="2"/>
        <v>HKDFUT3MZ7_Quote</v>
      </c>
      <c r="F55" s="90" t="str">
        <f>_xll.qlSimpleQuote(E55,,PriceTickValue,Permanent,Trigger,ObjectOverwrite)</f>
        <v>HKDFUT3MZ7_Quote#0001</v>
      </c>
      <c r="G55" s="54" t="str">
        <f>_xll.ohRangeRetrieveError(F55)</f>
        <v/>
      </c>
      <c r="H55" s="67"/>
    </row>
    <row r="56" spans="1:34" x14ac:dyDescent="0.2">
      <c r="A56" s="95"/>
      <c r="B56" s="94">
        <v>51</v>
      </c>
      <c r="C56" s="93" t="b">
        <v>0</v>
      </c>
      <c r="D56" s="92" t="str">
        <v>F8</v>
      </c>
      <c r="E56" s="91" t="str">
        <f t="shared" si="2"/>
        <v>HKDFUT3MF8_Quote</v>
      </c>
      <c r="F56" s="90" t="str">
        <f>_xll.qlSimpleQuote(E56,,PriceTickValue,Permanent,Trigger,ObjectOverwrite)</f>
        <v>HKDFUT3MF8_Quote#0001</v>
      </c>
      <c r="G56" s="54" t="str">
        <f>_xll.ohRangeRetrieveError(F56)</f>
        <v/>
      </c>
      <c r="H56" s="67"/>
    </row>
    <row r="57" spans="1:34" x14ac:dyDescent="0.2">
      <c r="A57" s="95"/>
      <c r="B57" s="94">
        <v>52</v>
      </c>
      <c r="C57" s="93" t="b">
        <v>0</v>
      </c>
      <c r="D57" s="92" t="str">
        <v>G8</v>
      </c>
      <c r="E57" s="91" t="str">
        <f t="shared" si="2"/>
        <v>HKDFUT3MG8_Quote</v>
      </c>
      <c r="F57" s="90" t="str">
        <f>_xll.qlSimpleQuote(E57,,PriceTickValue,Permanent,Trigger,ObjectOverwrite)</f>
        <v>HKDFUT3MG8_Quote#0001</v>
      </c>
      <c r="G57" s="54" t="str">
        <f>_xll.ohRangeRetrieveError(F57)</f>
        <v/>
      </c>
      <c r="H57" s="67"/>
    </row>
    <row r="58" spans="1:34" x14ac:dyDescent="0.2">
      <c r="A58" s="95"/>
      <c r="B58" s="94">
        <v>53</v>
      </c>
      <c r="C58" s="93" t="b">
        <v>0</v>
      </c>
      <c r="D58" s="92" t="str">
        <v>H8</v>
      </c>
      <c r="E58" s="91" t="str">
        <f t="shared" si="2"/>
        <v>HKDFUT3MH8_Quote</v>
      </c>
      <c r="F58" s="90" t="str">
        <f>_xll.qlSimpleQuote(E58,,PriceTickValue,Permanent,Trigger,ObjectOverwrite)</f>
        <v>HKDFUT3MH8_Quote#0001</v>
      </c>
      <c r="G58" s="54" t="str">
        <f>_xll.ohRangeRetrieveError(F58)</f>
        <v/>
      </c>
      <c r="H58" s="67"/>
    </row>
    <row r="59" spans="1:34" x14ac:dyDescent="0.2">
      <c r="A59" s="95"/>
      <c r="B59" s="94">
        <v>54</v>
      </c>
      <c r="C59" s="93" t="b">
        <v>0</v>
      </c>
      <c r="D59" s="92" t="str">
        <v>J8</v>
      </c>
      <c r="E59" s="91" t="str">
        <f t="shared" si="2"/>
        <v>HKDFUT3MJ8_Quote</v>
      </c>
      <c r="F59" s="90" t="str">
        <f>_xll.qlSimpleQuote(E59,,PriceTickValue,Permanent,Trigger,ObjectOverwrite)</f>
        <v>HKDFUT3MJ8_Quote#0001</v>
      </c>
      <c r="G59" s="54" t="str">
        <f>_xll.ohRangeRetrieveError(F59)</f>
        <v/>
      </c>
      <c r="H59" s="67"/>
    </row>
    <row r="60" spans="1:34" x14ac:dyDescent="0.2">
      <c r="A60" s="95"/>
      <c r="B60" s="94">
        <v>55</v>
      </c>
      <c r="C60" s="93" t="b">
        <v>0</v>
      </c>
      <c r="D60" s="92" t="str">
        <v>K8</v>
      </c>
      <c r="E60" s="91" t="str">
        <f t="shared" si="2"/>
        <v>HKDFUT3MK8_Quote</v>
      </c>
      <c r="F60" s="90" t="str">
        <f>_xll.qlSimpleQuote(E60,,PriceTickValue,Permanent,Trigger,ObjectOverwrite)</f>
        <v>HKDFUT3MK8_Quote#0001</v>
      </c>
      <c r="G60" s="54" t="str">
        <f>_xll.ohRangeRetrieveError(F60)</f>
        <v/>
      </c>
      <c r="H60" s="67"/>
    </row>
    <row r="61" spans="1:34" x14ac:dyDescent="0.2">
      <c r="A61" s="95"/>
      <c r="B61" s="94">
        <v>56</v>
      </c>
      <c r="C61" s="93" t="b">
        <v>0</v>
      </c>
      <c r="D61" s="92" t="str">
        <v>M8</v>
      </c>
      <c r="E61" s="91" t="str">
        <f t="shared" si="2"/>
        <v>HKDFUT3MM8_Quote</v>
      </c>
      <c r="F61" s="90" t="str">
        <f>_xll.qlSimpleQuote(E61,,PriceTickValue,Permanent,Trigger,ObjectOverwrite)</f>
        <v>HKDFUT3MM8_Quote#0001</v>
      </c>
      <c r="G61" s="54" t="str">
        <f>_xll.ohRangeRetrieveError(F61)</f>
        <v/>
      </c>
      <c r="H61" s="67"/>
    </row>
    <row r="62" spans="1:34" x14ac:dyDescent="0.2">
      <c r="A62" s="95"/>
      <c r="B62" s="94">
        <v>57</v>
      </c>
      <c r="C62" s="93" t="b">
        <v>0</v>
      </c>
      <c r="D62" s="92" t="str">
        <v>N8</v>
      </c>
      <c r="E62" s="91" t="str">
        <f t="shared" si="2"/>
        <v>HKDFUT3MN8_Quote</v>
      </c>
      <c r="F62" s="90" t="str">
        <f>_xll.qlSimpleQuote(E62,,PriceTickValue,Permanent,Trigger,ObjectOverwrite)</f>
        <v>HKDFUT3MN8_Quote#0001</v>
      </c>
      <c r="G62" s="54" t="str">
        <f>_xll.ohRangeRetrieveError(F62)</f>
        <v/>
      </c>
      <c r="H62" s="67"/>
    </row>
    <row r="63" spans="1:34" x14ac:dyDescent="0.2">
      <c r="A63" s="95"/>
      <c r="B63" s="94">
        <v>58</v>
      </c>
      <c r="C63" s="93" t="b">
        <v>0</v>
      </c>
      <c r="D63" s="92" t="str">
        <v>Q8</v>
      </c>
      <c r="E63" s="91" t="str">
        <f t="shared" si="2"/>
        <v>HKDFUT3MQ8_Quote</v>
      </c>
      <c r="F63" s="90" t="str">
        <f>_xll.qlSimpleQuote(E63,,PriceTickValue,Permanent,Trigger,ObjectOverwrite)</f>
        <v>HKDFUT3MQ8_Quote#0001</v>
      </c>
      <c r="G63" s="54" t="str">
        <f>_xll.ohRangeRetrieveError(F63)</f>
        <v/>
      </c>
      <c r="H63" s="67"/>
    </row>
    <row r="64" spans="1:34" x14ac:dyDescent="0.2">
      <c r="A64" s="95"/>
      <c r="B64" s="94">
        <v>59</v>
      </c>
      <c r="C64" s="93" t="b">
        <v>0</v>
      </c>
      <c r="D64" s="92" t="str">
        <v>U8</v>
      </c>
      <c r="E64" s="91" t="str">
        <f t="shared" si="2"/>
        <v>HKDFUT3MU8_Quote</v>
      </c>
      <c r="F64" s="90" t="str">
        <f>_xll.qlSimpleQuote(E64,,PriceTickValue,Permanent,Trigger,ObjectOverwrite)</f>
        <v>HKDFUT3MU8_Quote#0001</v>
      </c>
      <c r="G64" s="54" t="str">
        <f>_xll.ohRangeRetrieveError(F64)</f>
        <v/>
      </c>
      <c r="H64" s="67"/>
    </row>
    <row r="65" spans="1:8" x14ac:dyDescent="0.2">
      <c r="A65" s="95"/>
      <c r="B65" s="94">
        <v>60</v>
      </c>
      <c r="C65" s="93" t="b">
        <v>0</v>
      </c>
      <c r="D65" s="92" t="str">
        <v>V8</v>
      </c>
      <c r="E65" s="91" t="str">
        <f t="shared" si="2"/>
        <v>HKDFUT3MV8_Quote</v>
      </c>
      <c r="F65" s="90" t="str">
        <f>_xll.qlSimpleQuote(E65,,PriceTickValue,Permanent,Trigger,ObjectOverwrite)</f>
        <v>HKDFUT3MV8_Quote#0001</v>
      </c>
      <c r="G65" s="54" t="str">
        <f>_xll.ohRangeRetrieveError(F65)</f>
        <v/>
      </c>
      <c r="H65" s="67"/>
    </row>
    <row r="66" spans="1:8" x14ac:dyDescent="0.2">
      <c r="A66" s="95"/>
      <c r="B66" s="94">
        <v>61</v>
      </c>
      <c r="C66" s="93" t="b">
        <v>0</v>
      </c>
      <c r="D66" s="92" t="str">
        <v>X8</v>
      </c>
      <c r="E66" s="91" t="str">
        <f t="shared" si="2"/>
        <v>HKDFUT3MX8_Quote</v>
      </c>
      <c r="F66" s="90" t="str">
        <f>_xll.qlSimpleQuote(E66,,PriceTickValue,Permanent,Trigger,ObjectOverwrite)</f>
        <v>HKDFUT3MX8_Quote#0001</v>
      </c>
      <c r="G66" s="54" t="str">
        <f>_xll.ohRangeRetrieveError(F66)</f>
        <v/>
      </c>
      <c r="H66" s="67"/>
    </row>
    <row r="67" spans="1:8" x14ac:dyDescent="0.2">
      <c r="A67" s="95"/>
      <c r="B67" s="94">
        <v>62</v>
      </c>
      <c r="C67" s="93" t="b">
        <v>0</v>
      </c>
      <c r="D67" s="92" t="str">
        <v>Z8</v>
      </c>
      <c r="E67" s="91" t="str">
        <f t="shared" si="2"/>
        <v>HKDFUT3MZ8_Quote</v>
      </c>
      <c r="F67" s="90" t="str">
        <f>_xll.qlSimpleQuote(E67,,PriceTickValue,Permanent,Trigger,ObjectOverwrite)</f>
        <v>HKDFUT3MZ8_Quote#0001</v>
      </c>
      <c r="G67" s="54" t="str">
        <f>_xll.ohRangeRetrieveError(F67)</f>
        <v/>
      </c>
      <c r="H67" s="67"/>
    </row>
    <row r="68" spans="1:8" x14ac:dyDescent="0.2">
      <c r="A68" s="95"/>
      <c r="B68" s="94">
        <v>63</v>
      </c>
      <c r="C68" s="93" t="b">
        <v>0</v>
      </c>
      <c r="D68" s="92" t="str">
        <v>F9</v>
      </c>
      <c r="E68" s="91" t="str">
        <f t="shared" si="2"/>
        <v>HKDFUT3MF9_Quote</v>
      </c>
      <c r="F68" s="90" t="str">
        <f>_xll.qlSimpleQuote(E68,,PriceTickValue,Permanent,Trigger,ObjectOverwrite)</f>
        <v>HKDFUT3MF9_Quote#0001</v>
      </c>
      <c r="G68" s="54" t="str">
        <f>_xll.ohRangeRetrieveError(F68)</f>
        <v/>
      </c>
      <c r="H68" s="67"/>
    </row>
    <row r="69" spans="1:8" x14ac:dyDescent="0.2">
      <c r="A69" s="95"/>
      <c r="B69" s="94">
        <v>64</v>
      </c>
      <c r="C69" s="93" t="b">
        <v>0</v>
      </c>
      <c r="D69" s="92" t="str">
        <v>G9</v>
      </c>
      <c r="E69" s="91" t="str">
        <f t="shared" si="2"/>
        <v>HKDFUT3MG9_Quote</v>
      </c>
      <c r="F69" s="90" t="str">
        <f>_xll.qlSimpleQuote(E69,,PriceTickValue,Permanent,Trigger,ObjectOverwrite)</f>
        <v>HKDFUT3MG9_Quote#0001</v>
      </c>
      <c r="G69" s="54" t="str">
        <f>_xll.ohRangeRetrieveError(F69)</f>
        <v/>
      </c>
      <c r="H69" s="67"/>
    </row>
    <row r="70" spans="1:8" x14ac:dyDescent="0.2">
      <c r="A70" s="95"/>
      <c r="B70" s="94">
        <v>65</v>
      </c>
      <c r="C70" s="93" t="b">
        <v>0</v>
      </c>
      <c r="D70" s="92" t="str">
        <v>H9</v>
      </c>
      <c r="E70" s="91" t="str">
        <f t="shared" ref="E70:E101" si="3">Currency&amp;$D$4&amp;$E$4&amp;$D70&amp;QuoteSuffix</f>
        <v>HKDFUT3MH9_Quote</v>
      </c>
      <c r="F70" s="90" t="str">
        <f>_xll.qlSimpleQuote(E70,,PriceTickValue,Permanent,Trigger,ObjectOverwrite)</f>
        <v>HKDFUT3MH9_Quote#0001</v>
      </c>
      <c r="G70" s="54" t="str">
        <f>_xll.ohRangeRetrieveError(F70)</f>
        <v/>
      </c>
      <c r="H70" s="67"/>
    </row>
    <row r="71" spans="1:8" x14ac:dyDescent="0.2">
      <c r="A71" s="95"/>
      <c r="B71" s="94">
        <v>66</v>
      </c>
      <c r="C71" s="93" t="b">
        <v>0</v>
      </c>
      <c r="D71" s="92" t="str">
        <v>J9</v>
      </c>
      <c r="E71" s="91" t="str">
        <f t="shared" si="3"/>
        <v>HKDFUT3MJ9_Quote</v>
      </c>
      <c r="F71" s="90" t="str">
        <f>_xll.qlSimpleQuote(E71,,PriceTickValue,Permanent,Trigger,ObjectOverwrite)</f>
        <v>HKDFUT3MJ9_Quote#0001</v>
      </c>
      <c r="G71" s="54" t="str">
        <f>_xll.ohRangeRetrieveError(F71)</f>
        <v/>
      </c>
      <c r="H71" s="67"/>
    </row>
    <row r="72" spans="1:8" x14ac:dyDescent="0.2">
      <c r="A72" s="95"/>
      <c r="B72" s="94">
        <v>67</v>
      </c>
      <c r="C72" s="93" t="b">
        <v>0</v>
      </c>
      <c r="D72" s="92" t="str">
        <v>K9</v>
      </c>
      <c r="E72" s="91" t="str">
        <f t="shared" si="3"/>
        <v>HKDFUT3MK9_Quote</v>
      </c>
      <c r="F72" s="90" t="str">
        <f>_xll.qlSimpleQuote(E72,,PriceTickValue,Permanent,Trigger,ObjectOverwrite)</f>
        <v>HKDFUT3MK9_Quote#0001</v>
      </c>
      <c r="G72" s="54" t="str">
        <f>_xll.ohRangeRetrieveError(F72)</f>
        <v/>
      </c>
      <c r="H72" s="67"/>
    </row>
    <row r="73" spans="1:8" x14ac:dyDescent="0.2">
      <c r="A73" s="95"/>
      <c r="B73" s="94">
        <v>68</v>
      </c>
      <c r="C73" s="93" t="b">
        <v>0</v>
      </c>
      <c r="D73" s="92" t="str">
        <v>M9</v>
      </c>
      <c r="E73" s="91" t="str">
        <f t="shared" si="3"/>
        <v>HKDFUT3MM9_Quote</v>
      </c>
      <c r="F73" s="90" t="str">
        <f>_xll.qlSimpleQuote(E73,,PriceTickValue,Permanent,Trigger,ObjectOverwrite)</f>
        <v>HKDFUT3MM9_Quote#0001</v>
      </c>
      <c r="G73" s="54" t="str">
        <f>_xll.ohRangeRetrieveError(F73)</f>
        <v/>
      </c>
      <c r="H73" s="67"/>
    </row>
    <row r="74" spans="1:8" x14ac:dyDescent="0.2">
      <c r="A74" s="95"/>
      <c r="B74" s="94">
        <v>69</v>
      </c>
      <c r="C74" s="93" t="b">
        <v>0</v>
      </c>
      <c r="D74" s="92" t="str">
        <v>N9</v>
      </c>
      <c r="E74" s="91" t="str">
        <f t="shared" si="3"/>
        <v>HKDFUT3MN9_Quote</v>
      </c>
      <c r="F74" s="90" t="str">
        <f>_xll.qlSimpleQuote(E74,,PriceTickValue,Permanent,Trigger,ObjectOverwrite)</f>
        <v>HKDFUT3MN9_Quote#0001</v>
      </c>
      <c r="G74" s="54" t="str">
        <f>_xll.ohRangeRetrieveError(F74)</f>
        <v/>
      </c>
      <c r="H74" s="67"/>
    </row>
    <row r="75" spans="1:8" x14ac:dyDescent="0.2">
      <c r="A75" s="95"/>
      <c r="B75" s="94">
        <v>70</v>
      </c>
      <c r="C75" s="93" t="b">
        <v>0</v>
      </c>
      <c r="D75" s="92" t="str">
        <v>Q9</v>
      </c>
      <c r="E75" s="91" t="str">
        <f t="shared" si="3"/>
        <v>HKDFUT3MQ9_Quote</v>
      </c>
      <c r="F75" s="90" t="str">
        <f>_xll.qlSimpleQuote(E75,,PriceTickValue,Permanent,Trigger,ObjectOverwrite)</f>
        <v>HKDFUT3MQ9_Quote#0001</v>
      </c>
      <c r="G75" s="54" t="str">
        <f>_xll.ohRangeRetrieveError(F75)</f>
        <v/>
      </c>
      <c r="H75" s="67"/>
    </row>
    <row r="76" spans="1:8" x14ac:dyDescent="0.2">
      <c r="A76" s="95"/>
      <c r="B76" s="94">
        <v>71</v>
      </c>
      <c r="C76" s="93" t="b">
        <v>0</v>
      </c>
      <c r="D76" s="92" t="str">
        <v>U9</v>
      </c>
      <c r="E76" s="91" t="str">
        <f t="shared" si="3"/>
        <v>HKDFUT3MU9_Quote</v>
      </c>
      <c r="F76" s="90" t="str">
        <f>_xll.qlSimpleQuote(E76,,PriceTickValue,Permanent,Trigger,ObjectOverwrite)</f>
        <v>HKDFUT3MU9_Quote#0001</v>
      </c>
      <c r="G76" s="54" t="str">
        <f>_xll.ohRangeRetrieveError(F76)</f>
        <v/>
      </c>
      <c r="H76" s="67"/>
    </row>
    <row r="77" spans="1:8" x14ac:dyDescent="0.2">
      <c r="A77" s="95"/>
      <c r="B77" s="94">
        <v>72</v>
      </c>
      <c r="C77" s="93" t="b">
        <v>0</v>
      </c>
      <c r="D77" s="92" t="str">
        <v>V9</v>
      </c>
      <c r="E77" s="91" t="str">
        <f t="shared" si="3"/>
        <v>HKDFUT3MV9_Quote</v>
      </c>
      <c r="F77" s="90" t="str">
        <f>_xll.qlSimpleQuote(E77,,PriceTickValue,Permanent,Trigger,ObjectOverwrite)</f>
        <v>HKDFUT3MV9_Quote#0001</v>
      </c>
      <c r="G77" s="54" t="str">
        <f>_xll.ohRangeRetrieveError(F77)</f>
        <v/>
      </c>
      <c r="H77" s="67"/>
    </row>
    <row r="78" spans="1:8" x14ac:dyDescent="0.2">
      <c r="A78" s="95"/>
      <c r="B78" s="94">
        <v>73</v>
      </c>
      <c r="C78" s="93" t="b">
        <v>0</v>
      </c>
      <c r="D78" s="92" t="str">
        <v>X9</v>
      </c>
      <c r="E78" s="91" t="str">
        <f t="shared" si="3"/>
        <v>HKDFUT3MX9_Quote</v>
      </c>
      <c r="F78" s="90" t="str">
        <f>_xll.qlSimpleQuote(E78,,PriceTickValue,Permanent,Trigger,ObjectOverwrite)</f>
        <v>HKDFUT3MX9_Quote#0001</v>
      </c>
      <c r="G78" s="54" t="str">
        <f>_xll.ohRangeRetrieveError(F78)</f>
        <v/>
      </c>
      <c r="H78" s="67"/>
    </row>
    <row r="79" spans="1:8" x14ac:dyDescent="0.2">
      <c r="A79" s="95"/>
      <c r="B79" s="94">
        <v>74</v>
      </c>
      <c r="C79" s="93" t="b">
        <v>0</v>
      </c>
      <c r="D79" s="92" t="str">
        <v>Z9</v>
      </c>
      <c r="E79" s="91" t="str">
        <f t="shared" si="3"/>
        <v>HKDFUT3MZ9_Quote</v>
      </c>
      <c r="F79" s="90" t="str">
        <f>_xll.qlSimpleQuote(E79,,PriceTickValue,Permanent,Trigger,ObjectOverwrite)</f>
        <v>HKDFUT3MZ9_Quote#0001</v>
      </c>
      <c r="G79" s="54" t="str">
        <f>_xll.ohRangeRetrieveError(F79)</f>
        <v/>
      </c>
      <c r="H79" s="67"/>
    </row>
    <row r="80" spans="1:8" x14ac:dyDescent="0.2">
      <c r="A80" s="95"/>
      <c r="B80" s="94">
        <v>75</v>
      </c>
      <c r="C80" s="93" t="b">
        <v>0</v>
      </c>
      <c r="D80" s="92" t="str">
        <v>F0</v>
      </c>
      <c r="E80" s="91" t="str">
        <f t="shared" si="3"/>
        <v>HKDFUT3MF0_Quote</v>
      </c>
      <c r="F80" s="90" t="str">
        <f>_xll.qlSimpleQuote(E80,,PriceTickValue,Permanent,Trigger,ObjectOverwrite)</f>
        <v>HKDFUT3MF0_Quote#0001</v>
      </c>
      <c r="G80" s="54" t="str">
        <f>_xll.ohRangeRetrieveError(F80)</f>
        <v/>
      </c>
      <c r="H80" s="67"/>
    </row>
    <row r="81" spans="1:8" x14ac:dyDescent="0.2">
      <c r="A81" s="95"/>
      <c r="B81" s="94">
        <v>76</v>
      </c>
      <c r="C81" s="93" t="b">
        <v>0</v>
      </c>
      <c r="D81" s="92" t="str">
        <v>G0</v>
      </c>
      <c r="E81" s="91" t="str">
        <f t="shared" si="3"/>
        <v>HKDFUT3MG0_Quote</v>
      </c>
      <c r="F81" s="90" t="str">
        <f>_xll.qlSimpleQuote(E81,,PriceTickValue,Permanent,Trigger,ObjectOverwrite)</f>
        <v>HKDFUT3MG0_Quote#0001</v>
      </c>
      <c r="G81" s="54" t="str">
        <f>_xll.ohRangeRetrieveError(F81)</f>
        <v/>
      </c>
      <c r="H81" s="67"/>
    </row>
    <row r="82" spans="1:8" x14ac:dyDescent="0.2">
      <c r="A82" s="95"/>
      <c r="B82" s="94">
        <v>77</v>
      </c>
      <c r="C82" s="93" t="b">
        <v>0</v>
      </c>
      <c r="D82" s="92" t="str">
        <v>H0</v>
      </c>
      <c r="E82" s="91" t="str">
        <f t="shared" si="3"/>
        <v>HKDFUT3MH0_Quote</v>
      </c>
      <c r="F82" s="90" t="str">
        <f>_xll.qlSimpleQuote(E82,,PriceTickValue,Permanent,Trigger,ObjectOverwrite)</f>
        <v>HKDFUT3MH0_Quote#0001</v>
      </c>
      <c r="G82" s="54" t="str">
        <f>_xll.ohRangeRetrieveError(F82)</f>
        <v/>
      </c>
      <c r="H82" s="67"/>
    </row>
    <row r="83" spans="1:8" x14ac:dyDescent="0.2">
      <c r="A83" s="95"/>
      <c r="B83" s="94">
        <v>78</v>
      </c>
      <c r="C83" s="93" t="b">
        <v>0</v>
      </c>
      <c r="D83" s="92" t="str">
        <v>J0</v>
      </c>
      <c r="E83" s="91" t="str">
        <f t="shared" si="3"/>
        <v>HKDFUT3MJ0_Quote</v>
      </c>
      <c r="F83" s="90" t="str">
        <f>_xll.qlSimpleQuote(E83,,PriceTickValue,Permanent,Trigger,ObjectOverwrite)</f>
        <v>HKDFUT3MJ0_Quote#0001</v>
      </c>
      <c r="G83" s="54" t="str">
        <f>_xll.ohRangeRetrieveError(F83)</f>
        <v/>
      </c>
      <c r="H83" s="67"/>
    </row>
    <row r="84" spans="1:8" x14ac:dyDescent="0.2">
      <c r="A84" s="95"/>
      <c r="B84" s="94">
        <v>79</v>
      </c>
      <c r="C84" s="93" t="b">
        <v>0</v>
      </c>
      <c r="D84" s="92" t="str">
        <v>K0</v>
      </c>
      <c r="E84" s="91" t="str">
        <f t="shared" si="3"/>
        <v>HKDFUT3MK0_Quote</v>
      </c>
      <c r="F84" s="90" t="str">
        <f>_xll.qlSimpleQuote(E84,,PriceTickValue,Permanent,Trigger,ObjectOverwrite)</f>
        <v>HKDFUT3MK0_Quote#0001</v>
      </c>
      <c r="G84" s="54" t="str">
        <f>_xll.ohRangeRetrieveError(F84)</f>
        <v/>
      </c>
      <c r="H84" s="67"/>
    </row>
    <row r="85" spans="1:8" x14ac:dyDescent="0.2">
      <c r="A85" s="95"/>
      <c r="B85" s="94">
        <v>80</v>
      </c>
      <c r="C85" s="93" t="b">
        <v>0</v>
      </c>
      <c r="D85" s="92" t="str">
        <v>M0</v>
      </c>
      <c r="E85" s="91" t="str">
        <f t="shared" si="3"/>
        <v>HKDFUT3MM0_Quote</v>
      </c>
      <c r="F85" s="90" t="str">
        <f>_xll.qlSimpleQuote(E85,,PriceTickValue,Permanent,Trigger,ObjectOverwrite)</f>
        <v>HKDFUT3MM0_Quote#0001</v>
      </c>
      <c r="G85" s="54" t="str">
        <f>_xll.ohRangeRetrieveError(F85)</f>
        <v/>
      </c>
      <c r="H85" s="67"/>
    </row>
    <row r="86" spans="1:8" x14ac:dyDescent="0.2">
      <c r="A86" s="95"/>
      <c r="B86" s="94">
        <v>81</v>
      </c>
      <c r="C86" s="93" t="b">
        <v>0</v>
      </c>
      <c r="D86" s="92" t="str">
        <v>N0</v>
      </c>
      <c r="E86" s="91" t="str">
        <f t="shared" si="3"/>
        <v>HKDFUT3MN0_Quote</v>
      </c>
      <c r="F86" s="90" t="str">
        <f>_xll.qlSimpleQuote(E86,,PriceTickValue,Permanent,Trigger,ObjectOverwrite)</f>
        <v>HKDFUT3MN0_Quote#0001</v>
      </c>
      <c r="G86" s="54" t="str">
        <f>_xll.ohRangeRetrieveError(F86)</f>
        <v/>
      </c>
      <c r="H86" s="67"/>
    </row>
    <row r="87" spans="1:8" x14ac:dyDescent="0.2">
      <c r="A87" s="95"/>
      <c r="B87" s="94">
        <v>82</v>
      </c>
      <c r="C87" s="93" t="b">
        <v>0</v>
      </c>
      <c r="D87" s="92" t="str">
        <v>Q0</v>
      </c>
      <c r="E87" s="91" t="str">
        <f t="shared" si="3"/>
        <v>HKDFUT3MQ0_Quote</v>
      </c>
      <c r="F87" s="90" t="str">
        <f>_xll.qlSimpleQuote(E87,,PriceTickValue,Permanent,Trigger,ObjectOverwrite)</f>
        <v>HKDFUT3MQ0_Quote#0001</v>
      </c>
      <c r="G87" s="54" t="str">
        <f>_xll.ohRangeRetrieveError(F87)</f>
        <v/>
      </c>
      <c r="H87" s="67"/>
    </row>
    <row r="88" spans="1:8" x14ac:dyDescent="0.2">
      <c r="A88" s="95"/>
      <c r="B88" s="94">
        <v>83</v>
      </c>
      <c r="C88" s="93" t="b">
        <v>0</v>
      </c>
      <c r="D88" s="92" t="str">
        <v>U0</v>
      </c>
      <c r="E88" s="91" t="str">
        <f t="shared" si="3"/>
        <v>HKDFUT3MU0_Quote</v>
      </c>
      <c r="F88" s="90" t="str">
        <f>_xll.qlSimpleQuote(E88,,PriceTickValue,Permanent,Trigger,ObjectOverwrite)</f>
        <v>HKDFUT3MU0_Quote#0001</v>
      </c>
      <c r="G88" s="54" t="str">
        <f>_xll.ohRangeRetrieveError(F88)</f>
        <v/>
      </c>
      <c r="H88" s="67"/>
    </row>
    <row r="89" spans="1:8" x14ac:dyDescent="0.2">
      <c r="A89" s="95"/>
      <c r="B89" s="94">
        <v>84</v>
      </c>
      <c r="C89" s="93" t="b">
        <v>0</v>
      </c>
      <c r="D89" s="92" t="str">
        <v>V0</v>
      </c>
      <c r="E89" s="91" t="str">
        <f t="shared" si="3"/>
        <v>HKDFUT3MV0_Quote</v>
      </c>
      <c r="F89" s="90" t="str">
        <f>_xll.qlSimpleQuote(E89,,PriceTickValue,Permanent,Trigger,ObjectOverwrite)</f>
        <v>HKDFUT3MV0_Quote#0001</v>
      </c>
      <c r="G89" s="54" t="str">
        <f>_xll.ohRangeRetrieveError(F89)</f>
        <v/>
      </c>
      <c r="H89" s="67"/>
    </row>
    <row r="90" spans="1:8" x14ac:dyDescent="0.2">
      <c r="A90" s="95"/>
      <c r="B90" s="94">
        <v>85</v>
      </c>
      <c r="C90" s="93" t="b">
        <v>0</v>
      </c>
      <c r="D90" s="92" t="str">
        <v>X0</v>
      </c>
      <c r="E90" s="91" t="str">
        <f t="shared" si="3"/>
        <v>HKDFUT3MX0_Quote</v>
      </c>
      <c r="F90" s="90" t="str">
        <f>_xll.qlSimpleQuote(E90,,PriceTickValue,Permanent,Trigger,ObjectOverwrite)</f>
        <v>HKDFUT3MX0_Quote#0001</v>
      </c>
      <c r="G90" s="54" t="str">
        <f>_xll.ohRangeRetrieveError(F90)</f>
        <v/>
      </c>
      <c r="H90" s="67"/>
    </row>
    <row r="91" spans="1:8" x14ac:dyDescent="0.2">
      <c r="A91" s="95"/>
      <c r="B91" s="94">
        <v>86</v>
      </c>
      <c r="C91" s="93" t="b">
        <v>0</v>
      </c>
      <c r="D91" s="92" t="str">
        <v>Z0</v>
      </c>
      <c r="E91" s="91" t="str">
        <f t="shared" si="3"/>
        <v>HKDFUT3MZ0_Quote</v>
      </c>
      <c r="F91" s="90" t="str">
        <f>_xll.qlSimpleQuote(E91,,PriceTickValue,Permanent,Trigger,ObjectOverwrite)</f>
        <v>HKDFUT3MZ0_Quote#0001</v>
      </c>
      <c r="G91" s="54" t="str">
        <f>_xll.ohRangeRetrieveError(F91)</f>
        <v/>
      </c>
      <c r="H91" s="67"/>
    </row>
    <row r="92" spans="1:8" x14ac:dyDescent="0.2">
      <c r="A92" s="95"/>
      <c r="B92" s="94">
        <v>87</v>
      </c>
      <c r="C92" s="93" t="b">
        <v>0</v>
      </c>
      <c r="D92" s="92" t="str">
        <v>F1</v>
      </c>
      <c r="E92" s="91" t="str">
        <f t="shared" si="3"/>
        <v>HKDFUT3MF1_Quote</v>
      </c>
      <c r="F92" s="90" t="str">
        <f>_xll.qlSimpleQuote(E92,,PriceTickValue,Permanent,Trigger,ObjectOverwrite)</f>
        <v>HKDFUT3MF1_Quote#0001</v>
      </c>
      <c r="G92" s="54" t="str">
        <f>_xll.ohRangeRetrieveError(F92)</f>
        <v/>
      </c>
      <c r="H92" s="67"/>
    </row>
    <row r="93" spans="1:8" x14ac:dyDescent="0.2">
      <c r="A93" s="95"/>
      <c r="B93" s="94">
        <v>88</v>
      </c>
      <c r="C93" s="93" t="b">
        <v>0</v>
      </c>
      <c r="D93" s="92" t="str">
        <v>G1</v>
      </c>
      <c r="E93" s="91" t="str">
        <f t="shared" si="3"/>
        <v>HKDFUT3MG1_Quote</v>
      </c>
      <c r="F93" s="90" t="str">
        <f>_xll.qlSimpleQuote(E93,,PriceTickValue,Permanent,Trigger,ObjectOverwrite)</f>
        <v>HKDFUT3MG1_Quote#0001</v>
      </c>
      <c r="G93" s="54" t="str">
        <f>_xll.ohRangeRetrieveError(F93)</f>
        <v/>
      </c>
      <c r="H93" s="67"/>
    </row>
    <row r="94" spans="1:8" x14ac:dyDescent="0.2">
      <c r="A94" s="95"/>
      <c r="B94" s="94">
        <v>89</v>
      </c>
      <c r="C94" s="93" t="b">
        <v>0</v>
      </c>
      <c r="D94" s="92" t="str">
        <v>H1</v>
      </c>
      <c r="E94" s="91" t="str">
        <f t="shared" si="3"/>
        <v>HKDFUT3MH1_Quote</v>
      </c>
      <c r="F94" s="90" t="str">
        <f>_xll.qlSimpleQuote(E94,,PriceTickValue,Permanent,Trigger,ObjectOverwrite)</f>
        <v>HKDFUT3MH1_Quote#0001</v>
      </c>
      <c r="G94" s="54" t="str">
        <f>_xll.ohRangeRetrieveError(F94)</f>
        <v/>
      </c>
      <c r="H94" s="67"/>
    </row>
    <row r="95" spans="1:8" x14ac:dyDescent="0.2">
      <c r="A95" s="95"/>
      <c r="B95" s="94">
        <v>90</v>
      </c>
      <c r="C95" s="93" t="b">
        <v>0</v>
      </c>
      <c r="D95" s="92" t="str">
        <v>J1</v>
      </c>
      <c r="E95" s="91" t="str">
        <f t="shared" si="3"/>
        <v>HKDFUT3MJ1_Quote</v>
      </c>
      <c r="F95" s="90" t="str">
        <f>_xll.qlSimpleQuote(E95,,PriceTickValue,Permanent,Trigger,ObjectOverwrite)</f>
        <v>HKDFUT3MJ1_Quote#0001</v>
      </c>
      <c r="G95" s="54" t="str">
        <f>_xll.ohRangeRetrieveError(F95)</f>
        <v/>
      </c>
      <c r="H95" s="67"/>
    </row>
    <row r="96" spans="1:8" x14ac:dyDescent="0.2">
      <c r="A96" s="95"/>
      <c r="B96" s="94">
        <v>91</v>
      </c>
      <c r="C96" s="93" t="b">
        <v>0</v>
      </c>
      <c r="D96" s="92" t="str">
        <v>K1</v>
      </c>
      <c r="E96" s="91" t="str">
        <f t="shared" si="3"/>
        <v>HKDFUT3MK1_Quote</v>
      </c>
      <c r="F96" s="90" t="str">
        <f>_xll.qlSimpleQuote(E96,,PriceTickValue,Permanent,Trigger,ObjectOverwrite)</f>
        <v>HKDFUT3MK1_Quote#0001</v>
      </c>
      <c r="G96" s="54" t="str">
        <f>_xll.ohRangeRetrieveError(F96)</f>
        <v/>
      </c>
      <c r="H96" s="67"/>
    </row>
    <row r="97" spans="1:8" x14ac:dyDescent="0.2">
      <c r="A97" s="95"/>
      <c r="B97" s="94">
        <v>92</v>
      </c>
      <c r="C97" s="93" t="b">
        <v>0</v>
      </c>
      <c r="D97" s="92" t="str">
        <v>M1</v>
      </c>
      <c r="E97" s="91" t="str">
        <f t="shared" si="3"/>
        <v>HKDFUT3MM1_Quote</v>
      </c>
      <c r="F97" s="90" t="str">
        <f>_xll.qlSimpleQuote(E97,,PriceTickValue,Permanent,Trigger,ObjectOverwrite)</f>
        <v>HKDFUT3MM1_Quote#0001</v>
      </c>
      <c r="G97" s="54" t="str">
        <f>_xll.ohRangeRetrieveError(F97)</f>
        <v/>
      </c>
      <c r="H97" s="67"/>
    </row>
    <row r="98" spans="1:8" x14ac:dyDescent="0.2">
      <c r="A98" s="95"/>
      <c r="B98" s="94">
        <v>93</v>
      </c>
      <c r="C98" s="93" t="b">
        <v>0</v>
      </c>
      <c r="D98" s="92" t="str">
        <v>N1</v>
      </c>
      <c r="E98" s="91" t="str">
        <f t="shared" si="3"/>
        <v>HKDFUT3MN1_Quote</v>
      </c>
      <c r="F98" s="90" t="str">
        <f>_xll.qlSimpleQuote(E98,,PriceTickValue,Permanent,Trigger,ObjectOverwrite)</f>
        <v>HKDFUT3MN1_Quote#0001</v>
      </c>
      <c r="G98" s="54" t="str">
        <f>_xll.ohRangeRetrieveError(F98)</f>
        <v/>
      </c>
      <c r="H98" s="67"/>
    </row>
    <row r="99" spans="1:8" x14ac:dyDescent="0.2">
      <c r="A99" s="95"/>
      <c r="B99" s="94">
        <v>94</v>
      </c>
      <c r="C99" s="93" t="b">
        <v>0</v>
      </c>
      <c r="D99" s="92" t="str">
        <v>Q1</v>
      </c>
      <c r="E99" s="91" t="str">
        <f t="shared" si="3"/>
        <v>HKDFUT3MQ1_Quote</v>
      </c>
      <c r="F99" s="90" t="str">
        <f>_xll.qlSimpleQuote(E99,,PriceTickValue,Permanent,Trigger,ObjectOverwrite)</f>
        <v>HKDFUT3MQ1_Quote#0001</v>
      </c>
      <c r="G99" s="54" t="str">
        <f>_xll.ohRangeRetrieveError(F99)</f>
        <v/>
      </c>
      <c r="H99" s="67"/>
    </row>
    <row r="100" spans="1:8" x14ac:dyDescent="0.2">
      <c r="A100" s="95"/>
      <c r="B100" s="94">
        <v>95</v>
      </c>
      <c r="C100" s="93" t="b">
        <v>0</v>
      </c>
      <c r="D100" s="92" t="str">
        <v>U1</v>
      </c>
      <c r="E100" s="91" t="str">
        <f t="shared" si="3"/>
        <v>HKDFUT3MU1_Quote</v>
      </c>
      <c r="F100" s="90" t="str">
        <f>_xll.qlSimpleQuote(E100,,PriceTickValue,Permanent,Trigger,ObjectOverwrite)</f>
        <v>HKDFUT3MU1_Quote#0001</v>
      </c>
      <c r="G100" s="54" t="str">
        <f>_xll.ohRangeRetrieveError(F100)</f>
        <v/>
      </c>
      <c r="H100" s="67"/>
    </row>
    <row r="101" spans="1:8" x14ac:dyDescent="0.2">
      <c r="A101" s="95"/>
      <c r="B101" s="94">
        <v>96</v>
      </c>
      <c r="C101" s="93" t="b">
        <v>0</v>
      </c>
      <c r="D101" s="92" t="str">
        <v>V1</v>
      </c>
      <c r="E101" s="91" t="str">
        <f t="shared" si="3"/>
        <v>HKDFUT3MV1_Quote</v>
      </c>
      <c r="F101" s="90" t="str">
        <f>_xll.qlSimpleQuote(E101,,PriceTickValue,Permanent,Trigger,ObjectOverwrite)</f>
        <v>HKDFUT3MV1_Quote#0001</v>
      </c>
      <c r="G101" s="54" t="str">
        <f>_xll.ohRangeRetrieveError(F101)</f>
        <v/>
      </c>
      <c r="H101" s="67"/>
    </row>
    <row r="102" spans="1:8" x14ac:dyDescent="0.2">
      <c r="A102" s="95"/>
      <c r="B102" s="94">
        <v>97</v>
      </c>
      <c r="C102" s="93" t="b">
        <v>0</v>
      </c>
      <c r="D102" s="92" t="str">
        <v>X1</v>
      </c>
      <c r="E102" s="91" t="str">
        <f t="shared" ref="E102:E125" si="4">Currency&amp;$D$4&amp;$E$4&amp;$D102&amp;QuoteSuffix</f>
        <v>HKDFUT3MX1_Quote</v>
      </c>
      <c r="F102" s="90" t="str">
        <f>_xll.qlSimpleQuote(E102,,PriceTickValue,Permanent,Trigger,ObjectOverwrite)</f>
        <v>HKDFUT3MX1_Quote#0001</v>
      </c>
      <c r="G102" s="54" t="str">
        <f>_xll.ohRangeRetrieveError(F102)</f>
        <v/>
      </c>
      <c r="H102" s="67"/>
    </row>
    <row r="103" spans="1:8" x14ac:dyDescent="0.2">
      <c r="A103" s="95"/>
      <c r="B103" s="94">
        <v>98</v>
      </c>
      <c r="C103" s="93" t="b">
        <v>0</v>
      </c>
      <c r="D103" s="92" t="str">
        <v>Z1</v>
      </c>
      <c r="E103" s="91" t="str">
        <f t="shared" si="4"/>
        <v>HKDFUT3MZ1_Quote</v>
      </c>
      <c r="F103" s="90" t="str">
        <f>_xll.qlSimpleQuote(E103,,PriceTickValue,Permanent,Trigger,ObjectOverwrite)</f>
        <v>HKDFUT3MZ1_Quote#0001</v>
      </c>
      <c r="G103" s="54" t="str">
        <f>_xll.ohRangeRetrieveError(F103)</f>
        <v/>
      </c>
      <c r="H103" s="67"/>
    </row>
    <row r="104" spans="1:8" x14ac:dyDescent="0.2">
      <c r="A104" s="95"/>
      <c r="B104" s="94">
        <v>99</v>
      </c>
      <c r="C104" s="93" t="b">
        <v>0</v>
      </c>
      <c r="D104" s="92" t="str">
        <v>F2</v>
      </c>
      <c r="E104" s="91" t="str">
        <f t="shared" si="4"/>
        <v>HKDFUT3MF2_Quote</v>
      </c>
      <c r="F104" s="90" t="str">
        <f>_xll.qlSimpleQuote(E104,,PriceTickValue,Permanent,Trigger,ObjectOverwrite)</f>
        <v>HKDFUT3MF2_Quote#0001</v>
      </c>
      <c r="G104" s="54" t="str">
        <f>_xll.ohRangeRetrieveError(F104)</f>
        <v/>
      </c>
      <c r="H104" s="67"/>
    </row>
    <row r="105" spans="1:8" x14ac:dyDescent="0.2">
      <c r="A105" s="95"/>
      <c r="B105" s="94">
        <v>100</v>
      </c>
      <c r="C105" s="93" t="b">
        <v>0</v>
      </c>
      <c r="D105" s="92" t="str">
        <v>G2</v>
      </c>
      <c r="E105" s="91" t="str">
        <f t="shared" si="4"/>
        <v>HKDFUT3MG2_Quote</v>
      </c>
      <c r="F105" s="90" t="str">
        <f>_xll.qlSimpleQuote(E105,,PriceTickValue,Permanent,Trigger,ObjectOverwrite)</f>
        <v>HKDFUT3MG2_Quote#0001</v>
      </c>
      <c r="G105" s="54" t="str">
        <f>_xll.ohRangeRetrieveError(F105)</f>
        <v/>
      </c>
      <c r="H105" s="67"/>
    </row>
    <row r="106" spans="1:8" x14ac:dyDescent="0.2">
      <c r="A106" s="95"/>
      <c r="B106" s="94">
        <v>101</v>
      </c>
      <c r="C106" s="93" t="b">
        <v>0</v>
      </c>
      <c r="D106" s="92" t="str">
        <v>H2</v>
      </c>
      <c r="E106" s="91" t="str">
        <f t="shared" si="4"/>
        <v>HKDFUT3MH2_Quote</v>
      </c>
      <c r="F106" s="90" t="str">
        <f>_xll.qlSimpleQuote(E106,,PriceTickValue,Permanent,Trigger,ObjectOverwrite)</f>
        <v>HKDFUT3MH2_Quote#0001</v>
      </c>
      <c r="G106" s="54" t="str">
        <f>_xll.ohRangeRetrieveError(F106)</f>
        <v/>
      </c>
      <c r="H106" s="67"/>
    </row>
    <row r="107" spans="1:8" x14ac:dyDescent="0.2">
      <c r="A107" s="95"/>
      <c r="B107" s="94">
        <v>102</v>
      </c>
      <c r="C107" s="93" t="b">
        <v>0</v>
      </c>
      <c r="D107" s="92" t="str">
        <v>J2</v>
      </c>
      <c r="E107" s="91" t="str">
        <f t="shared" si="4"/>
        <v>HKDFUT3MJ2_Quote</v>
      </c>
      <c r="F107" s="90" t="str">
        <f>_xll.qlSimpleQuote(E107,,PriceTickValue,Permanent,Trigger,ObjectOverwrite)</f>
        <v>HKDFUT3MJ2_Quote#0001</v>
      </c>
      <c r="G107" s="54" t="str">
        <f>_xll.ohRangeRetrieveError(F107)</f>
        <v/>
      </c>
      <c r="H107" s="67"/>
    </row>
    <row r="108" spans="1:8" x14ac:dyDescent="0.2">
      <c r="A108" s="95"/>
      <c r="B108" s="94">
        <v>103</v>
      </c>
      <c r="C108" s="93" t="b">
        <v>0</v>
      </c>
      <c r="D108" s="92" t="str">
        <v>K2</v>
      </c>
      <c r="E108" s="91" t="str">
        <f t="shared" si="4"/>
        <v>HKDFUT3MK2_Quote</v>
      </c>
      <c r="F108" s="90" t="str">
        <f>_xll.qlSimpleQuote(E108,,PriceTickValue,Permanent,Trigger,ObjectOverwrite)</f>
        <v>HKDFUT3MK2_Quote#0001</v>
      </c>
      <c r="G108" s="54" t="str">
        <f>_xll.ohRangeRetrieveError(F108)</f>
        <v/>
      </c>
      <c r="H108" s="67"/>
    </row>
    <row r="109" spans="1:8" x14ac:dyDescent="0.2">
      <c r="A109" s="95"/>
      <c r="B109" s="94">
        <v>104</v>
      </c>
      <c r="C109" s="93" t="b">
        <v>0</v>
      </c>
      <c r="D109" s="92" t="str">
        <v>M2</v>
      </c>
      <c r="E109" s="91" t="str">
        <f t="shared" si="4"/>
        <v>HKDFUT3MM2_Quote</v>
      </c>
      <c r="F109" s="90" t="str">
        <f>_xll.qlSimpleQuote(E109,,PriceTickValue,Permanent,Trigger,ObjectOverwrite)</f>
        <v>HKDFUT3MM2_Quote#0001</v>
      </c>
      <c r="G109" s="54" t="str">
        <f>_xll.ohRangeRetrieveError(F109)</f>
        <v/>
      </c>
      <c r="H109" s="67"/>
    </row>
    <row r="110" spans="1:8" x14ac:dyDescent="0.2">
      <c r="A110" s="95"/>
      <c r="B110" s="94">
        <v>105</v>
      </c>
      <c r="C110" s="93" t="b">
        <v>0</v>
      </c>
      <c r="D110" s="92" t="str">
        <v>N2</v>
      </c>
      <c r="E110" s="91" t="str">
        <f t="shared" si="4"/>
        <v>HKDFUT3MN2_Quote</v>
      </c>
      <c r="F110" s="90" t="str">
        <f>_xll.qlSimpleQuote(E110,,PriceTickValue,Permanent,Trigger,ObjectOverwrite)</f>
        <v>HKDFUT3MN2_Quote#0001</v>
      </c>
      <c r="G110" s="54" t="str">
        <f>_xll.ohRangeRetrieveError(F110)</f>
        <v/>
      </c>
      <c r="H110" s="67"/>
    </row>
    <row r="111" spans="1:8" x14ac:dyDescent="0.2">
      <c r="A111" s="95"/>
      <c r="B111" s="94">
        <v>106</v>
      </c>
      <c r="C111" s="93" t="b">
        <v>0</v>
      </c>
      <c r="D111" s="92" t="str">
        <v>Q2</v>
      </c>
      <c r="E111" s="91" t="str">
        <f t="shared" si="4"/>
        <v>HKDFUT3MQ2_Quote</v>
      </c>
      <c r="F111" s="90" t="str">
        <f>_xll.qlSimpleQuote(E111,,PriceTickValue,Permanent,Trigger,ObjectOverwrite)</f>
        <v>HKDFUT3MQ2_Quote#0001</v>
      </c>
      <c r="G111" s="54" t="str">
        <f>_xll.ohRangeRetrieveError(F111)</f>
        <v/>
      </c>
      <c r="H111" s="67"/>
    </row>
    <row r="112" spans="1:8" x14ac:dyDescent="0.2">
      <c r="A112" s="95"/>
      <c r="B112" s="94">
        <v>107</v>
      </c>
      <c r="C112" s="93" t="b">
        <v>0</v>
      </c>
      <c r="D112" s="92" t="str">
        <v>U2</v>
      </c>
      <c r="E112" s="91" t="str">
        <f t="shared" si="4"/>
        <v>HKDFUT3MU2_Quote</v>
      </c>
      <c r="F112" s="90" t="str">
        <f>_xll.qlSimpleQuote(E112,,PriceTickValue,Permanent,Trigger,ObjectOverwrite)</f>
        <v>HKDFUT3MU2_Quote#0001</v>
      </c>
      <c r="G112" s="54" t="str">
        <f>_xll.ohRangeRetrieveError(F112)</f>
        <v/>
      </c>
      <c r="H112" s="67"/>
    </row>
    <row r="113" spans="1:8" x14ac:dyDescent="0.2">
      <c r="A113" s="95"/>
      <c r="B113" s="94">
        <v>108</v>
      </c>
      <c r="C113" s="93" t="b">
        <v>0</v>
      </c>
      <c r="D113" s="92" t="str">
        <v>V2</v>
      </c>
      <c r="E113" s="91" t="str">
        <f t="shared" si="4"/>
        <v>HKDFUT3MV2_Quote</v>
      </c>
      <c r="F113" s="90" t="str">
        <f>_xll.qlSimpleQuote(E113,,PriceTickValue,Permanent,Trigger,ObjectOverwrite)</f>
        <v>HKDFUT3MV2_Quote#0001</v>
      </c>
      <c r="G113" s="54" t="str">
        <f>_xll.ohRangeRetrieveError(F113)</f>
        <v/>
      </c>
      <c r="H113" s="67"/>
    </row>
    <row r="114" spans="1:8" x14ac:dyDescent="0.2">
      <c r="A114" s="95"/>
      <c r="B114" s="94">
        <v>109</v>
      </c>
      <c r="C114" s="93" t="b">
        <v>0</v>
      </c>
      <c r="D114" s="92" t="str">
        <v>X2</v>
      </c>
      <c r="E114" s="91" t="str">
        <f t="shared" si="4"/>
        <v>HKDFUT3MX2_Quote</v>
      </c>
      <c r="F114" s="90" t="str">
        <f>_xll.qlSimpleQuote(E114,,PriceTickValue,Permanent,Trigger,ObjectOverwrite)</f>
        <v>HKDFUT3MX2_Quote#0001</v>
      </c>
      <c r="G114" s="54" t="str">
        <f>_xll.ohRangeRetrieveError(F114)</f>
        <v/>
      </c>
      <c r="H114" s="67"/>
    </row>
    <row r="115" spans="1:8" x14ac:dyDescent="0.2">
      <c r="A115" s="95"/>
      <c r="B115" s="94">
        <v>110</v>
      </c>
      <c r="C115" s="93" t="b">
        <v>0</v>
      </c>
      <c r="D115" s="92" t="str">
        <v>Z2</v>
      </c>
      <c r="E115" s="91" t="str">
        <f t="shared" si="4"/>
        <v>HKDFUT3MZ2_Quote</v>
      </c>
      <c r="F115" s="90" t="str">
        <f>_xll.qlSimpleQuote(E115,,PriceTickValue,Permanent,Trigger,ObjectOverwrite)</f>
        <v>HKDFUT3MZ2_Quote#0001</v>
      </c>
      <c r="G115" s="54" t="str">
        <f>_xll.ohRangeRetrieveError(F115)</f>
        <v/>
      </c>
      <c r="H115" s="67"/>
    </row>
    <row r="116" spans="1:8" x14ac:dyDescent="0.2">
      <c r="A116" s="95"/>
      <c r="B116" s="94">
        <v>111</v>
      </c>
      <c r="C116" s="93" t="b">
        <v>0</v>
      </c>
      <c r="D116" s="92" t="str">
        <v>F3</v>
      </c>
      <c r="E116" s="91" t="str">
        <f t="shared" si="4"/>
        <v>HKDFUT3MF3_Quote</v>
      </c>
      <c r="F116" s="90" t="str">
        <f>_xll.qlSimpleQuote(E116,,PriceTickValue,Permanent,Trigger,ObjectOverwrite)</f>
        <v>HKDFUT3MF3_Quote#0001</v>
      </c>
      <c r="G116" s="54" t="str">
        <f>_xll.ohRangeRetrieveError(F116)</f>
        <v/>
      </c>
      <c r="H116" s="67"/>
    </row>
    <row r="117" spans="1:8" x14ac:dyDescent="0.2">
      <c r="A117" s="95"/>
      <c r="B117" s="94">
        <v>112</v>
      </c>
      <c r="C117" s="93" t="b">
        <v>0</v>
      </c>
      <c r="D117" s="92" t="str">
        <v>G3</v>
      </c>
      <c r="E117" s="91" t="str">
        <f t="shared" si="4"/>
        <v>HKDFUT3MG3_Quote</v>
      </c>
      <c r="F117" s="90" t="str">
        <f>_xll.qlSimpleQuote(E117,,PriceTickValue,Permanent,Trigger,ObjectOverwrite)</f>
        <v>HKDFUT3MG3_Quote#0001</v>
      </c>
      <c r="G117" s="54" t="str">
        <f>_xll.ohRangeRetrieveError(F117)</f>
        <v/>
      </c>
      <c r="H117" s="67"/>
    </row>
    <row r="118" spans="1:8" x14ac:dyDescent="0.2">
      <c r="A118" s="95"/>
      <c r="B118" s="94">
        <v>113</v>
      </c>
      <c r="C118" s="93" t="b">
        <v>0</v>
      </c>
      <c r="D118" s="92" t="str">
        <v>H3</v>
      </c>
      <c r="E118" s="91" t="str">
        <f t="shared" si="4"/>
        <v>HKDFUT3MH3_Quote</v>
      </c>
      <c r="F118" s="90" t="str">
        <f>_xll.qlSimpleQuote(E118,,PriceTickValue,Permanent,Trigger,ObjectOverwrite)</f>
        <v>HKDFUT3MH3_Quote#0001</v>
      </c>
      <c r="G118" s="54" t="str">
        <f>_xll.ohRangeRetrieveError(F118)</f>
        <v/>
      </c>
      <c r="H118" s="67"/>
    </row>
    <row r="119" spans="1:8" x14ac:dyDescent="0.2">
      <c r="A119" s="95"/>
      <c r="B119" s="94">
        <v>114</v>
      </c>
      <c r="C119" s="93" t="b">
        <v>0</v>
      </c>
      <c r="D119" s="92" t="str">
        <v>J3</v>
      </c>
      <c r="E119" s="91" t="str">
        <f t="shared" si="4"/>
        <v>HKDFUT3MJ3_Quote</v>
      </c>
      <c r="F119" s="90" t="str">
        <f>_xll.qlSimpleQuote(E119,,PriceTickValue,Permanent,Trigger,ObjectOverwrite)</f>
        <v>HKDFUT3MJ3_Quote#0001</v>
      </c>
      <c r="G119" s="54" t="str">
        <f>_xll.ohRangeRetrieveError(F119)</f>
        <v/>
      </c>
      <c r="H119" s="67"/>
    </row>
    <row r="120" spans="1:8" x14ac:dyDescent="0.2">
      <c r="A120" s="95"/>
      <c r="B120" s="94">
        <v>115</v>
      </c>
      <c r="C120" s="93" t="b">
        <v>0</v>
      </c>
      <c r="D120" s="92" t="str">
        <v>K3</v>
      </c>
      <c r="E120" s="91" t="str">
        <f t="shared" si="4"/>
        <v>HKDFUT3MK3_Quote</v>
      </c>
      <c r="F120" s="90" t="str">
        <f>_xll.qlSimpleQuote(E120,,PriceTickValue,Permanent,Trigger,ObjectOverwrite)</f>
        <v>HKDFUT3MK3_Quote#0001</v>
      </c>
      <c r="G120" s="54" t="str">
        <f>_xll.ohRangeRetrieveError(F120)</f>
        <v/>
      </c>
      <c r="H120" s="67"/>
    </row>
    <row r="121" spans="1:8" x14ac:dyDescent="0.2">
      <c r="A121" s="95"/>
      <c r="B121" s="94">
        <v>116</v>
      </c>
      <c r="C121" s="93" t="b">
        <v>0</v>
      </c>
      <c r="D121" s="92" t="str">
        <v>M3</v>
      </c>
      <c r="E121" s="91" t="str">
        <f t="shared" si="4"/>
        <v>HKDFUT3MM3_Quote</v>
      </c>
      <c r="F121" s="90" t="str">
        <f>_xll.qlSimpleQuote(E121,,PriceTickValue,Permanent,Trigger,ObjectOverwrite)</f>
        <v>HKDFUT3MM3_Quote#0001</v>
      </c>
      <c r="G121" s="54" t="str">
        <f>_xll.ohRangeRetrieveError(F121)</f>
        <v/>
      </c>
      <c r="H121" s="67"/>
    </row>
    <row r="122" spans="1:8" x14ac:dyDescent="0.2">
      <c r="A122" s="95"/>
      <c r="B122" s="94">
        <v>117</v>
      </c>
      <c r="C122" s="93" t="b">
        <v>0</v>
      </c>
      <c r="D122" s="92" t="str">
        <v>N3</v>
      </c>
      <c r="E122" s="91" t="str">
        <f t="shared" si="4"/>
        <v>HKDFUT3MN3_Quote</v>
      </c>
      <c r="F122" s="90" t="str">
        <f>_xll.qlSimpleQuote(E122,,PriceTickValue,Permanent,Trigger,ObjectOverwrite)</f>
        <v>HKDFUT3MN3_Quote#0001</v>
      </c>
      <c r="G122" s="54" t="str">
        <f>_xll.ohRangeRetrieveError(F122)</f>
        <v/>
      </c>
      <c r="H122" s="67"/>
    </row>
    <row r="123" spans="1:8" x14ac:dyDescent="0.2">
      <c r="A123" s="95"/>
      <c r="B123" s="94">
        <v>118</v>
      </c>
      <c r="C123" s="93" t="b">
        <v>0</v>
      </c>
      <c r="D123" s="92" t="str">
        <v>Q3</v>
      </c>
      <c r="E123" s="91" t="str">
        <f t="shared" si="4"/>
        <v>HKDFUT3MQ3_Quote</v>
      </c>
      <c r="F123" s="90" t="str">
        <f>_xll.qlSimpleQuote(E123,,PriceTickValue,Permanent,Trigger,ObjectOverwrite)</f>
        <v>HKDFUT3MQ3_Quote#0001</v>
      </c>
      <c r="G123" s="54" t="str">
        <f>_xll.ohRangeRetrieveError(F123)</f>
        <v/>
      </c>
      <c r="H123" s="67"/>
    </row>
    <row r="124" spans="1:8" x14ac:dyDescent="0.2">
      <c r="A124" s="95"/>
      <c r="B124" s="94">
        <v>119</v>
      </c>
      <c r="C124" s="93" t="b">
        <v>0</v>
      </c>
      <c r="D124" s="92" t="str">
        <v>U3</v>
      </c>
      <c r="E124" s="91" t="str">
        <f t="shared" si="4"/>
        <v>HKDFUT3MU3_Quote</v>
      </c>
      <c r="F124" s="90" t="str">
        <f>_xll.qlSimpleQuote(E124,,PriceTickValue,Permanent,Trigger,ObjectOverwrite)</f>
        <v>HKDFUT3MU3_Quote#0001</v>
      </c>
      <c r="G124" s="54" t="str">
        <f>_xll.ohRangeRetrieveError(F124)</f>
        <v/>
      </c>
      <c r="H124" s="67"/>
    </row>
    <row r="125" spans="1:8" x14ac:dyDescent="0.2">
      <c r="A125" s="95"/>
      <c r="B125" s="94">
        <v>120</v>
      </c>
      <c r="C125" s="93" t="b">
        <v>0</v>
      </c>
      <c r="D125" s="92" t="str">
        <v>V3</v>
      </c>
      <c r="E125" s="91" t="str">
        <f t="shared" si="4"/>
        <v>HKDFUT3MV3_Quote</v>
      </c>
      <c r="F125" s="90" t="str">
        <f>_xll.qlSimpleQuote(E125,,PriceTickValue,Permanent,Trigger,ObjectOverwrite)</f>
        <v>HKDFUT3MV3_Quote#0001</v>
      </c>
      <c r="G125" s="54" t="str">
        <f>_xll.ohRangeRetrieveError(F125)</f>
        <v/>
      </c>
      <c r="H125" s="67"/>
    </row>
    <row r="126" spans="1:8" ht="12" thickBot="1" x14ac:dyDescent="0.25">
      <c r="A126" s="89"/>
      <c r="B126" s="65"/>
      <c r="C126" s="65"/>
      <c r="D126" s="65"/>
      <c r="E126" s="65"/>
      <c r="F126" s="65"/>
      <c r="G126" s="65"/>
      <c r="H126" s="63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0"/>
  <sheetViews>
    <sheetView workbookViewId="0"/>
  </sheetViews>
  <sheetFormatPr defaultRowHeight="11.25" x14ac:dyDescent="0.2"/>
  <cols>
    <col min="1" max="1" width="3.85546875" style="18" customWidth="1"/>
    <col min="2" max="2" width="25.5703125" style="18" bestFit="1" customWidth="1"/>
    <col min="3" max="3" width="27.7109375" style="18" bestFit="1" customWidth="1"/>
    <col min="4" max="4" width="23.28515625" style="18" customWidth="1"/>
    <col min="5" max="5" width="4.85546875" style="18" customWidth="1"/>
    <col min="6" max="16384" width="9.140625" style="18"/>
  </cols>
  <sheetData>
    <row r="1" spans="1:24" s="156" customFormat="1" x14ac:dyDescent="0.2">
      <c r="G1" s="222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0"/>
      <c r="T1" s="232"/>
      <c r="U1" s="232"/>
      <c r="V1" s="232"/>
      <c r="W1" s="232"/>
      <c r="X1" s="232"/>
    </row>
    <row r="2" spans="1:24" s="156" customFormat="1" x14ac:dyDescent="0.2">
      <c r="G2" s="219"/>
      <c r="H2" s="217" t="s">
        <v>212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14"/>
      <c r="T2" s="232"/>
      <c r="U2" s="232"/>
      <c r="V2" s="232"/>
      <c r="W2" s="232"/>
      <c r="X2" s="232"/>
    </row>
    <row r="3" spans="1:24" x14ac:dyDescent="0.2">
      <c r="A3" s="60"/>
      <c r="B3" s="49"/>
      <c r="C3" s="49"/>
      <c r="D3" s="49"/>
      <c r="E3" s="46"/>
      <c r="G3" s="219"/>
      <c r="H3" s="268"/>
      <c r="I3" s="268"/>
      <c r="J3" s="268"/>
      <c r="K3" s="268"/>
      <c r="L3" s="268"/>
      <c r="M3" s="268"/>
      <c r="N3" s="268"/>
      <c r="O3" s="268"/>
      <c r="P3" s="268"/>
      <c r="Q3" s="268"/>
      <c r="R3" s="212">
        <f>_xll.ohTrigger(R5:R10)</f>
        <v>10</v>
      </c>
      <c r="S3" s="214"/>
      <c r="T3" s="232"/>
      <c r="U3" s="232"/>
      <c r="V3" s="232" t="s">
        <v>50</v>
      </c>
      <c r="W3" s="232"/>
      <c r="X3" s="232"/>
    </row>
    <row r="4" spans="1:24" ht="15.75" thickBot="1" x14ac:dyDescent="0.25">
      <c r="A4" s="107"/>
      <c r="B4" s="109" t="str">
        <f>Currency&amp;"_010_"&amp;"FuturesHWConvAdj.xml"</f>
        <v>HKD_010_FuturesHWConvAdj.xml</v>
      </c>
      <c r="C4" s="108" t="e">
        <f ca="1">IF(Serialize,_xll.ohObjectSave(C5:C6,SerializationPath&amp;B4,FileOverwrite,,Serialize),"---")</f>
        <v>#NUM!</v>
      </c>
      <c r="D4" s="54" t="str">
        <f ca="1">_xll.ohRangeRetrieveError(C4)</f>
        <v>ohObjectSave - ObjectHandler error: attempt to retrieve object with unknown ID 'HKDHW_Volatility_Quote'</v>
      </c>
      <c r="E4" s="24"/>
      <c r="G4" s="219"/>
      <c r="H4" s="299" t="str">
        <f>_xll.RData(H5,I4,,ReutersRtMode,,I5)</f>
        <v>Updated at 16:19:59</v>
      </c>
      <c r="I4" s="331" t="s">
        <v>233</v>
      </c>
      <c r="J4" s="319"/>
      <c r="K4" s="460" t="s">
        <v>251</v>
      </c>
      <c r="L4" s="461"/>
      <c r="M4" s="319"/>
      <c r="N4" s="209" t="s">
        <v>192</v>
      </c>
      <c r="O4" s="317"/>
      <c r="P4" s="299" t="s">
        <v>191</v>
      </c>
      <c r="Q4" s="264" t="s">
        <v>190</v>
      </c>
      <c r="R4" s="210" t="s">
        <v>189</v>
      </c>
      <c r="S4" s="214"/>
      <c r="T4" s="232"/>
      <c r="U4" s="232"/>
      <c r="V4" s="232"/>
      <c r="W4" s="232"/>
      <c r="X4" s="232"/>
    </row>
    <row r="5" spans="1:24" x14ac:dyDescent="0.2">
      <c r="A5" s="107"/>
      <c r="B5" s="106" t="str">
        <f>Currency&amp;"HW_Volatility"&amp;QuoteSuffix</f>
        <v>HKDHW_Volatility_Quote</v>
      </c>
      <c r="C5" s="106" t="str">
        <f>_xll.qlSimpleQuote(B5,,,Permanent,Trigger,ObjectOverwrite)</f>
        <v>HKDHW_Volatility_Quote#0001</v>
      </c>
      <c r="D5" s="54" t="str">
        <f>_xll.ohRangeRetrieveError(C5)</f>
        <v/>
      </c>
      <c r="E5" s="24"/>
      <c r="G5" s="219"/>
      <c r="H5" s="330" t="str">
        <f>VLOOKUP(Currency,$U$5:$W$9,2)&amp;V3&amp;VLOOKUP(Currency,$U$5:$W$9,3)&amp;"ATM="&amp;VLOOKUP(Contributor,ContributorTable,2,FALSE)</f>
        <v>GB4Y3LATM=ICAP</v>
      </c>
      <c r="I5" s="329">
        <v>60.67</v>
      </c>
      <c r="J5" s="319"/>
      <c r="K5" s="205" t="s">
        <v>250</v>
      </c>
      <c r="L5" s="325">
        <f>I5/100*IF(ISNUMBER(Swap3M4Y),Swap3M4Y/100,Swap6M4Y/100)*0</f>
        <v>0</v>
      </c>
      <c r="M5" s="319"/>
      <c r="N5" s="328">
        <v>0</v>
      </c>
      <c r="O5" s="317"/>
      <c r="P5" s="327" t="str">
        <f>Currency&amp;"HW_Volatility_Quote"</f>
        <v>HKDHW_Volatility_Quote</v>
      </c>
      <c r="Q5" s="326">
        <f t="array" ref="Q5:Q6">QuoteLive</f>
        <v>0</v>
      </c>
      <c r="R5" s="325" t="e">
        <f>_xll.qlSimpleQuoteSetValue(P5,ROUND(Q5,6),Trigger)</f>
        <v>#NUM!</v>
      </c>
      <c r="S5" s="214"/>
      <c r="T5" s="232"/>
      <c r="U5" s="324" t="s">
        <v>55</v>
      </c>
      <c r="V5" s="323" t="s">
        <v>249</v>
      </c>
      <c r="W5" s="322" t="s">
        <v>46</v>
      </c>
      <c r="X5" s="232"/>
    </row>
    <row r="6" spans="1:24" x14ac:dyDescent="0.2">
      <c r="A6" s="107"/>
      <c r="B6" s="106" t="str">
        <f>Currency&amp;"HW_MeanReversion"&amp;QuoteSuffix</f>
        <v>HKDHW_MeanReversion_Quote</v>
      </c>
      <c r="C6" s="106" t="str">
        <f>_xll.qlSimpleQuote(B6,,,Permanent,Trigger,ObjectOverwrite)</f>
        <v>HKDHW_MeanReversion_Quote#0001</v>
      </c>
      <c r="D6" s="54" t="str">
        <f>_xll.ohRangeRetrieveError(C6)</f>
        <v/>
      </c>
      <c r="E6" s="24"/>
      <c r="G6" s="219"/>
      <c r="H6" s="316"/>
      <c r="I6" s="321"/>
      <c r="J6" s="319"/>
      <c r="K6" s="320" t="s">
        <v>248</v>
      </c>
      <c r="L6" s="314">
        <v>0.03</v>
      </c>
      <c r="M6" s="319"/>
      <c r="N6" s="318">
        <v>0.03</v>
      </c>
      <c r="O6" s="317"/>
      <c r="P6" s="316" t="str">
        <f>Currency&amp;"HW_MeanReversion_Quote"</f>
        <v>HKDHW_MeanReversion_Quote</v>
      </c>
      <c r="Q6" s="315">
        <v>0.03</v>
      </c>
      <c r="R6" s="314" t="e">
        <f>_xll.qlSimpleQuoteSetValue(P6,ROUND(Q6,6),Trigger)</f>
        <v>#NUM!</v>
      </c>
      <c r="S6" s="214"/>
      <c r="T6" s="232"/>
      <c r="U6" s="289" t="s">
        <v>53</v>
      </c>
      <c r="V6" s="270" t="s">
        <v>247</v>
      </c>
      <c r="W6" s="313" t="s">
        <v>46</v>
      </c>
      <c r="X6" s="232"/>
    </row>
    <row r="7" spans="1:24" ht="12" thickBot="1" x14ac:dyDescent="0.25">
      <c r="A7" s="23"/>
      <c r="B7" s="22"/>
      <c r="C7" s="22"/>
      <c r="D7" s="22"/>
      <c r="E7" s="20"/>
      <c r="G7" s="185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2"/>
      <c r="T7" s="232"/>
      <c r="U7" s="289" t="s">
        <v>49</v>
      </c>
      <c r="V7" s="270" t="s">
        <v>246</v>
      </c>
      <c r="W7" s="313" t="s">
        <v>43</v>
      </c>
      <c r="X7" s="232"/>
    </row>
    <row r="8" spans="1:24" x14ac:dyDescent="0.2"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89" t="s">
        <v>47</v>
      </c>
      <c r="V8" s="270" t="s">
        <v>245</v>
      </c>
      <c r="W8" s="313" t="s">
        <v>46</v>
      </c>
      <c r="X8" s="232"/>
    </row>
    <row r="9" spans="1:24" ht="12" thickBot="1" x14ac:dyDescent="0.25"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87" t="s">
        <v>44</v>
      </c>
      <c r="V9" s="312" t="s">
        <v>244</v>
      </c>
      <c r="W9" s="311" t="s">
        <v>43</v>
      </c>
      <c r="X9" s="232"/>
    </row>
    <row r="10" spans="1:24" x14ac:dyDescent="0.2">
      <c r="G10" s="232"/>
      <c r="H10" s="232"/>
      <c r="I10" s="232"/>
      <c r="J10" s="232"/>
      <c r="K10" s="232"/>
      <c r="L10" s="232"/>
      <c r="M10" s="232"/>
      <c r="N10" s="232"/>
      <c r="O10" s="232"/>
      <c r="P10" s="232"/>
      <c r="Q10" s="232"/>
      <c r="R10" s="232"/>
      <c r="S10" s="232"/>
      <c r="T10" s="232"/>
      <c r="U10" s="232"/>
      <c r="V10" s="232"/>
      <c r="W10" s="232"/>
      <c r="X10" s="232"/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57" t="s">
        <v>13</v>
      </c>
      <c r="C2" s="458"/>
      <c r="D2" s="458"/>
      <c r="E2" s="459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57" t="s">
        <v>6</v>
      </c>
      <c r="C12" s="458"/>
      <c r="D12" s="458"/>
      <c r="E12" s="459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96"/>
  <sheetViews>
    <sheetView workbookViewId="0"/>
  </sheetViews>
  <sheetFormatPr defaultRowHeight="13.5" x14ac:dyDescent="0.25"/>
  <cols>
    <col min="1" max="1" width="3.7109375" style="110" customWidth="1"/>
    <col min="2" max="3" width="4" style="110" bestFit="1" customWidth="1"/>
    <col min="4" max="4" width="6" style="110" bestFit="1" customWidth="1"/>
    <col min="5" max="5" width="21.42578125" style="110" bestFit="1" customWidth="1"/>
    <col min="6" max="6" width="26.5703125" style="111" bestFit="1" customWidth="1"/>
    <col min="7" max="7" width="38.28515625" style="110" customWidth="1"/>
    <col min="8" max="8" width="4.42578125" style="110" customWidth="1"/>
    <col min="9" max="16384" width="9.140625" style="110"/>
  </cols>
  <sheetData>
    <row r="1" spans="1:28" ht="15" x14ac:dyDescent="0.25">
      <c r="J1" s="27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0"/>
      <c r="AB1"/>
    </row>
    <row r="2" spans="1:28" ht="15.75" thickBot="1" x14ac:dyDescent="0.3">
      <c r="J2" s="219"/>
      <c r="K2" s="268"/>
      <c r="L2" s="268"/>
      <c r="M2" s="268"/>
      <c r="N2" s="268"/>
      <c r="O2" s="217" t="s">
        <v>255</v>
      </c>
      <c r="P2" s="268"/>
      <c r="Q2" s="268"/>
      <c r="R2" s="268"/>
      <c r="S2" s="268"/>
      <c r="T2" s="268"/>
      <c r="U2" s="190"/>
      <c r="V2" s="190"/>
      <c r="W2" s="190"/>
      <c r="X2" s="269" t="s">
        <v>195</v>
      </c>
      <c r="Y2" s="217" t="s">
        <v>2</v>
      </c>
      <c r="Z2" s="268"/>
      <c r="AA2" s="214"/>
      <c r="AB2"/>
    </row>
    <row r="3" spans="1:28" ht="15" x14ac:dyDescent="0.25">
      <c r="A3" s="136"/>
      <c r="B3" s="135"/>
      <c r="C3" s="135"/>
      <c r="D3" s="135"/>
      <c r="E3" s="133"/>
      <c r="F3" s="134"/>
      <c r="G3" s="133"/>
      <c r="H3" s="132"/>
      <c r="J3" s="195"/>
      <c r="K3" s="190"/>
      <c r="L3" s="268"/>
      <c r="M3" s="268"/>
      <c r="N3" s="268"/>
      <c r="O3" s="268"/>
      <c r="P3" s="268"/>
      <c r="Q3" s="268"/>
      <c r="R3" s="268"/>
      <c r="S3" s="268"/>
      <c r="T3" s="268"/>
      <c r="U3" s="190"/>
      <c r="V3" s="190"/>
      <c r="W3" s="190"/>
      <c r="X3" s="268"/>
      <c r="Y3" s="268"/>
      <c r="Z3" s="212">
        <f>_xll.ohTrigger(Z5:Z37)</f>
        <v>3</v>
      </c>
      <c r="AA3" s="186"/>
      <c r="AB3"/>
    </row>
    <row r="4" spans="1:28" ht="22.5" x14ac:dyDescent="0.25">
      <c r="A4" s="121"/>
      <c r="B4" s="131"/>
      <c r="C4" s="131"/>
      <c r="D4" s="130"/>
      <c r="E4" s="129" t="str">
        <f>Currency&amp;"_010_"&amp;"OIS.xml"</f>
        <v>HKD_010_OIS.xml</v>
      </c>
      <c r="F4" s="128" t="e">
        <f ca="1">IF(Serialize,_xll.ohObjectSave(_xll.ohPack(F5:F95),SerializationPath&amp;E4,FileOverwrite,,Serialize),"---")</f>
        <v>#NUM!</v>
      </c>
      <c r="G4" s="127" t="str">
        <f ca="1">_xll.ohRangeRetrieveError(F4)</f>
        <v>ohObjectSave - ObjectHandler error: attempt to retrieve object with unknown ID 'HKDOISSW_Quote'</v>
      </c>
      <c r="H4" s="116"/>
      <c r="J4" s="195"/>
      <c r="K4" s="339"/>
      <c r="L4" s="265"/>
      <c r="M4" s="265"/>
      <c r="N4" s="265"/>
      <c r="O4" s="211" t="str">
        <f>_xll.RData(O5:O40,P4:S4,,ReutersRtMode,,P5)</f>
        <v>Updated at 16:19:59</v>
      </c>
      <c r="P4" s="264" t="s">
        <v>233</v>
      </c>
      <c r="Q4" s="264" t="s">
        <v>208</v>
      </c>
      <c r="R4" s="264" t="s">
        <v>204</v>
      </c>
      <c r="S4" s="264" t="s">
        <v>232</v>
      </c>
      <c r="T4" s="206" t="s">
        <v>231</v>
      </c>
      <c r="U4" s="190"/>
      <c r="V4" s="209" t="s">
        <v>192</v>
      </c>
      <c r="W4" s="190"/>
      <c r="X4" s="208" t="s">
        <v>191</v>
      </c>
      <c r="Y4" s="338" t="s">
        <v>190</v>
      </c>
      <c r="Z4" s="337" t="s">
        <v>189</v>
      </c>
      <c r="AA4" s="186"/>
      <c r="AB4"/>
    </row>
    <row r="5" spans="1:28" ht="15" x14ac:dyDescent="0.25">
      <c r="A5" s="121"/>
      <c r="B5" s="120"/>
      <c r="C5" s="120" t="s">
        <v>107</v>
      </c>
      <c r="D5" s="126" t="s">
        <v>137</v>
      </c>
      <c r="E5" s="118" t="str">
        <f t="shared" ref="E5:E36" si="0">Currency&amp;$B5&amp;$C5&amp;$D5&amp;QuoteSuffix</f>
        <v>HKDOISSW_Quote</v>
      </c>
      <c r="F5" s="118" t="str">
        <f>_xll.qlSimpleQuote(Currency&amp;$B5&amp;$C5&amp;$D5&amp;QuoteSuffix,,RateTickValue,Permanent,Trigger,ObjectOverwrite)</f>
        <v>HKDOISSW_Quote#0001</v>
      </c>
      <c r="G5" s="117" t="str">
        <f>_xll.ohRangeRetrieveError(F5)</f>
        <v/>
      </c>
      <c r="H5" s="116"/>
      <c r="J5" s="195"/>
      <c r="K5" s="364"/>
      <c r="L5" s="246" t="s">
        <v>137</v>
      </c>
      <c r="M5" s="246" t="s">
        <v>107</v>
      </c>
      <c r="N5" s="244" t="str">
        <f>Currency&amp;$L5&amp;$K5&amp;$M5</f>
        <v>HKDSWOIS</v>
      </c>
      <c r="O5" s="244" t="str">
        <f t="shared" ref="O5:O40" si="1">N5&amp;"="&amp;VLOOKUP(Contributor,ContributorTable,2,FALSE)</f>
        <v>HKDSWOIS=ICHK</v>
      </c>
      <c r="P5" s="197" t="s">
        <v>188</v>
      </c>
      <c r="Q5" s="197" t="s">
        <v>188</v>
      </c>
      <c r="R5" s="197" t="s">
        <v>188</v>
      </c>
      <c r="S5" s="197" t="s">
        <v>188</v>
      </c>
      <c r="T5" s="192" t="e">
        <f t="shared" ref="T5:T40" si="2">AVERAGE($P5,$Q5)</f>
        <v>#DIV/0!</v>
      </c>
      <c r="U5" s="190"/>
      <c r="V5" s="203" t="e">
        <v>#DIV/0!</v>
      </c>
      <c r="W5" s="190"/>
      <c r="X5" s="202" t="str">
        <f t="shared" ref="X5:X40" si="3">Currency&amp;$M5&amp;$L5&amp;$K5&amp;$Y$2</f>
        <v>HKDOISSW_Quote</v>
      </c>
      <c r="Y5" s="201" t="e">
        <f t="array" ref="Y5:Y40">QuoteLive</f>
        <v>#DIV/0!</v>
      </c>
      <c r="Z5" s="200" t="e">
        <f>_xll.qlSimpleQuoteSetValue($X5,$Y5/100,Trigger)</f>
        <v>#NUM!</v>
      </c>
      <c r="AA5" s="186"/>
      <c r="AB5"/>
    </row>
    <row r="6" spans="1:28" ht="15" x14ac:dyDescent="0.25">
      <c r="A6" s="121"/>
      <c r="B6" s="120"/>
      <c r="C6" s="120" t="s">
        <v>107</v>
      </c>
      <c r="D6" s="126" t="s">
        <v>136</v>
      </c>
      <c r="E6" s="118" t="str">
        <f t="shared" si="0"/>
        <v>HKDOIS2W_Quote</v>
      </c>
      <c r="F6" s="118" t="str">
        <f>_xll.qlSimpleQuote(Currency&amp;$B6&amp;$C6&amp;$D6&amp;QuoteSuffix,,RateTickValue,Permanent,Trigger,ObjectOverwrite)</f>
        <v>HKDOIS2W_Quote#0001</v>
      </c>
      <c r="G6" s="117" t="str">
        <f>_xll.ohRangeRetrieveError(F6)</f>
        <v/>
      </c>
      <c r="H6" s="116"/>
      <c r="J6" s="195"/>
      <c r="K6" s="364"/>
      <c r="L6" s="246" t="s">
        <v>136</v>
      </c>
      <c r="M6" s="246" t="s">
        <v>107</v>
      </c>
      <c r="N6" s="244" t="str">
        <f t="shared" ref="N6:N40" si="4">Currency&amp;$L6&amp;$M6&amp;$K6</f>
        <v>HKD2WOIS</v>
      </c>
      <c r="O6" s="244" t="str">
        <f t="shared" si="1"/>
        <v>HKD2WOIS=ICHK</v>
      </c>
      <c r="P6" s="197" t="s">
        <v>188</v>
      </c>
      <c r="Q6" s="197" t="s">
        <v>188</v>
      </c>
      <c r="R6" s="197" t="s">
        <v>188</v>
      </c>
      <c r="S6" s="197" t="s">
        <v>188</v>
      </c>
      <c r="T6" s="192" t="e">
        <f t="shared" si="2"/>
        <v>#DIV/0!</v>
      </c>
      <c r="U6" s="190"/>
      <c r="V6" s="199" t="e">
        <v>#DIV/0!</v>
      </c>
      <c r="W6" s="190"/>
      <c r="X6" s="198" t="str">
        <f t="shared" si="3"/>
        <v>HKDOIS2W_Quote</v>
      </c>
      <c r="Y6" s="197" t="e">
        <v>#DIV/0!</v>
      </c>
      <c r="Z6" s="196" t="e">
        <f>_xll.qlSimpleQuoteSetValue($X6,$Y6/100,Trigger)</f>
        <v>#NUM!</v>
      </c>
      <c r="AA6" s="186"/>
      <c r="AB6"/>
    </row>
    <row r="7" spans="1:28" ht="15" x14ac:dyDescent="0.25">
      <c r="A7" s="121"/>
      <c r="B7" s="120"/>
      <c r="C7" s="120" t="s">
        <v>107</v>
      </c>
      <c r="D7" s="126" t="s">
        <v>135</v>
      </c>
      <c r="E7" s="118" t="str">
        <f t="shared" si="0"/>
        <v>HKDOIS3W_Quote</v>
      </c>
      <c r="F7" s="118" t="str">
        <f>_xll.qlSimpleQuote(Currency&amp;$B7&amp;$C7&amp;$D7&amp;QuoteSuffix,,RateTickValue,Permanent,Trigger,ObjectOverwrite)</f>
        <v>HKDOIS3W_Quote#0001</v>
      </c>
      <c r="G7" s="117" t="str">
        <f>_xll.ohRangeRetrieveError(F7)</f>
        <v/>
      </c>
      <c r="H7" s="116"/>
      <c r="J7" s="195"/>
      <c r="K7" s="364"/>
      <c r="L7" s="246" t="s">
        <v>135</v>
      </c>
      <c r="M7" s="246" t="s">
        <v>107</v>
      </c>
      <c r="N7" s="244" t="str">
        <f t="shared" si="4"/>
        <v>HKD3WOIS</v>
      </c>
      <c r="O7" s="244" t="str">
        <f t="shared" si="1"/>
        <v>HKD3WOIS=ICHK</v>
      </c>
      <c r="P7" s="197" t="s">
        <v>188</v>
      </c>
      <c r="Q7" s="197" t="s">
        <v>188</v>
      </c>
      <c r="R7" s="197" t="s">
        <v>188</v>
      </c>
      <c r="S7" s="197" t="s">
        <v>188</v>
      </c>
      <c r="T7" s="192" t="e">
        <f t="shared" si="2"/>
        <v>#DIV/0!</v>
      </c>
      <c r="U7" s="190"/>
      <c r="V7" s="199" t="e">
        <v>#DIV/0!</v>
      </c>
      <c r="W7" s="190"/>
      <c r="X7" s="198" t="str">
        <f t="shared" si="3"/>
        <v>HKDOIS3W_Quote</v>
      </c>
      <c r="Y7" s="197" t="e">
        <v>#DIV/0!</v>
      </c>
      <c r="Z7" s="196" t="e">
        <f>_xll.qlSimpleQuoteSetValue($X7,$Y7/100,Trigger)</f>
        <v>#NUM!</v>
      </c>
      <c r="AA7" s="186"/>
      <c r="AB7"/>
    </row>
    <row r="8" spans="1:28" ht="15" x14ac:dyDescent="0.25">
      <c r="A8" s="121"/>
      <c r="B8" s="120"/>
      <c r="C8" s="120" t="s">
        <v>107</v>
      </c>
      <c r="D8" s="126" t="s">
        <v>104</v>
      </c>
      <c r="E8" s="118" t="str">
        <f t="shared" si="0"/>
        <v>HKDOIS1M_Quote</v>
      </c>
      <c r="F8" s="118" t="str">
        <f>_xll.qlSimpleQuote(Currency&amp;$B8&amp;$C8&amp;$D8&amp;QuoteSuffix,,RateTickValue,Permanent,Trigger,ObjectOverwrite)</f>
        <v>HKDOIS1M_Quote#0001</v>
      </c>
      <c r="G8" s="117" t="str">
        <f>_xll.ohRangeRetrieveError(F8)</f>
        <v/>
      </c>
      <c r="H8" s="116"/>
      <c r="J8" s="195"/>
      <c r="K8" s="364"/>
      <c r="L8" s="246" t="s">
        <v>104</v>
      </c>
      <c r="M8" s="246" t="s">
        <v>107</v>
      </c>
      <c r="N8" s="244" t="str">
        <f t="shared" si="4"/>
        <v>HKD1MOIS</v>
      </c>
      <c r="O8" s="244" t="str">
        <f t="shared" si="1"/>
        <v>HKD1MOIS=ICHK</v>
      </c>
      <c r="P8" s="197">
        <v>0</v>
      </c>
      <c r="Q8" s="197">
        <v>0.1</v>
      </c>
      <c r="R8" s="197">
        <v>0</v>
      </c>
      <c r="S8" s="197">
        <v>0</v>
      </c>
      <c r="T8" s="192">
        <f t="shared" si="2"/>
        <v>0.05</v>
      </c>
      <c r="U8" s="190"/>
      <c r="V8" s="199">
        <v>0.05</v>
      </c>
      <c r="W8" s="190"/>
      <c r="X8" s="198" t="str">
        <f t="shared" si="3"/>
        <v>HKDOIS1M_Quote</v>
      </c>
      <c r="Y8" s="197">
        <v>0.05</v>
      </c>
      <c r="Z8" s="196" t="e">
        <f>_xll.qlSimpleQuoteSetValue($X8,$Y8/100,Trigger)</f>
        <v>#NUM!</v>
      </c>
      <c r="AA8" s="186"/>
      <c r="AB8"/>
    </row>
    <row r="9" spans="1:28" ht="15" x14ac:dyDescent="0.25">
      <c r="A9" s="121"/>
      <c r="B9" s="120"/>
      <c r="C9" s="120" t="s">
        <v>107</v>
      </c>
      <c r="D9" s="126" t="s">
        <v>134</v>
      </c>
      <c r="E9" s="118" t="str">
        <f t="shared" si="0"/>
        <v>HKDOIS2M_Quote</v>
      </c>
      <c r="F9" s="118" t="str">
        <f>_xll.qlSimpleQuote(Currency&amp;$B9&amp;$C9&amp;$D9&amp;QuoteSuffix,,RateTickValue,Permanent,Trigger,ObjectOverwrite)</f>
        <v>HKDOIS2M_Quote#0001</v>
      </c>
      <c r="G9" s="117" t="str">
        <f>_xll.ohRangeRetrieveError(F9)</f>
        <v/>
      </c>
      <c r="H9" s="116"/>
      <c r="J9" s="195"/>
      <c r="K9" s="364"/>
      <c r="L9" s="246" t="s">
        <v>134</v>
      </c>
      <c r="M9" s="246" t="s">
        <v>107</v>
      </c>
      <c r="N9" s="244" t="str">
        <f t="shared" si="4"/>
        <v>HKD2MOIS</v>
      </c>
      <c r="O9" s="244" t="str">
        <f t="shared" si="1"/>
        <v>HKD2MOIS=ICHK</v>
      </c>
      <c r="P9" s="197">
        <v>0.02</v>
      </c>
      <c r="Q9" s="197">
        <v>0.12</v>
      </c>
      <c r="R9" s="197">
        <v>0</v>
      </c>
      <c r="S9" s="197">
        <v>0</v>
      </c>
      <c r="T9" s="192">
        <f t="shared" si="2"/>
        <v>6.9999999999999993E-2</v>
      </c>
      <c r="U9" s="190"/>
      <c r="V9" s="199">
        <v>6.9999999999999993E-2</v>
      </c>
      <c r="W9" s="190"/>
      <c r="X9" s="198" t="str">
        <f t="shared" si="3"/>
        <v>HKDOIS2M_Quote</v>
      </c>
      <c r="Y9" s="197">
        <v>6.9999999999999993E-2</v>
      </c>
      <c r="Z9" s="196" t="e">
        <f>_xll.qlSimpleQuoteSetValue($X9,$Y9/100,Trigger)</f>
        <v>#NUM!</v>
      </c>
      <c r="AA9" s="186"/>
      <c r="AB9"/>
    </row>
    <row r="10" spans="1:28" ht="15" x14ac:dyDescent="0.25">
      <c r="A10" s="121"/>
      <c r="B10" s="120"/>
      <c r="C10" s="120" t="s">
        <v>107</v>
      </c>
      <c r="D10" s="126" t="s">
        <v>106</v>
      </c>
      <c r="E10" s="118" t="str">
        <f t="shared" si="0"/>
        <v>HKDOIS3M_Quote</v>
      </c>
      <c r="F10" s="118" t="str">
        <f>_xll.qlSimpleQuote(Currency&amp;$B10&amp;$C10&amp;$D10&amp;QuoteSuffix,,RateTickValue,Permanent,Trigger,ObjectOverwrite)</f>
        <v>HKDOIS3M_Quote#0001</v>
      </c>
      <c r="G10" s="117" t="str">
        <f>_xll.ohRangeRetrieveError(F10)</f>
        <v/>
      </c>
      <c r="H10" s="116"/>
      <c r="J10" s="195"/>
      <c r="K10" s="364"/>
      <c r="L10" s="246" t="s">
        <v>106</v>
      </c>
      <c r="M10" s="246" t="s">
        <v>107</v>
      </c>
      <c r="N10" s="244" t="str">
        <f t="shared" si="4"/>
        <v>HKD3MOIS</v>
      </c>
      <c r="O10" s="244" t="str">
        <f t="shared" si="1"/>
        <v>HKD3MOIS=ICHK</v>
      </c>
      <c r="P10" s="197">
        <v>0.04</v>
      </c>
      <c r="Q10" s="197">
        <v>0.14000000000000001</v>
      </c>
      <c r="R10" s="197">
        <v>0</v>
      </c>
      <c r="S10" s="197">
        <v>0</v>
      </c>
      <c r="T10" s="192">
        <f t="shared" si="2"/>
        <v>9.0000000000000011E-2</v>
      </c>
      <c r="U10" s="190"/>
      <c r="V10" s="199">
        <v>9.0000000000000011E-2</v>
      </c>
      <c r="W10" s="190"/>
      <c r="X10" s="198" t="str">
        <f t="shared" si="3"/>
        <v>HKDOIS3M_Quote</v>
      </c>
      <c r="Y10" s="197">
        <v>9.0000000000000011E-2</v>
      </c>
      <c r="Z10" s="196" t="e">
        <f>_xll.qlSimpleQuoteSetValue($X10,$Y10/100,Trigger)</f>
        <v>#NUM!</v>
      </c>
      <c r="AA10" s="186"/>
      <c r="AB10"/>
    </row>
    <row r="11" spans="1:28" ht="15" x14ac:dyDescent="0.25">
      <c r="A11" s="121"/>
      <c r="B11" s="120"/>
      <c r="C11" s="120" t="s">
        <v>107</v>
      </c>
      <c r="D11" s="126" t="s">
        <v>133</v>
      </c>
      <c r="E11" s="118" t="str">
        <f t="shared" si="0"/>
        <v>HKDOIS4M_Quote</v>
      </c>
      <c r="F11" s="118" t="str">
        <f>_xll.qlSimpleQuote(Currency&amp;$B11&amp;$C11&amp;$D11&amp;QuoteSuffix,,RateTickValue,Permanent,Trigger,ObjectOverwrite)</f>
        <v>HKDOIS4M_Quote#0001</v>
      </c>
      <c r="G11" s="117" t="str">
        <f>_xll.ohRangeRetrieveError(F11)</f>
        <v/>
      </c>
      <c r="H11" s="116"/>
      <c r="J11" s="195"/>
      <c r="K11" s="364"/>
      <c r="L11" s="246" t="s">
        <v>133</v>
      </c>
      <c r="M11" s="246" t="s">
        <v>107</v>
      </c>
      <c r="N11" s="244" t="str">
        <f t="shared" si="4"/>
        <v>HKD4MOIS</v>
      </c>
      <c r="O11" s="244" t="str">
        <f t="shared" si="1"/>
        <v>HKD4MOIS=ICHK</v>
      </c>
      <c r="P11" s="197">
        <v>7.0000000000000007E-2</v>
      </c>
      <c r="Q11" s="197">
        <v>0.17</v>
      </c>
      <c r="R11" s="197">
        <v>0</v>
      </c>
      <c r="S11" s="197">
        <v>0</v>
      </c>
      <c r="T11" s="192">
        <f t="shared" si="2"/>
        <v>0.12000000000000001</v>
      </c>
      <c r="U11" s="190"/>
      <c r="V11" s="199">
        <v>0.12000000000000001</v>
      </c>
      <c r="W11" s="190"/>
      <c r="X11" s="198" t="str">
        <f t="shared" si="3"/>
        <v>HKDOIS4M_Quote</v>
      </c>
      <c r="Y11" s="197">
        <v>0.12000000000000001</v>
      </c>
      <c r="Z11" s="196" t="e">
        <f>_xll.qlSimpleQuoteSetValue($X11,$Y11/100,Trigger)</f>
        <v>#NUM!</v>
      </c>
      <c r="AA11" s="186"/>
      <c r="AB11"/>
    </row>
    <row r="12" spans="1:28" ht="15" x14ac:dyDescent="0.25">
      <c r="A12" s="121"/>
      <c r="B12" s="120"/>
      <c r="C12" s="120" t="s">
        <v>107</v>
      </c>
      <c r="D12" s="126" t="s">
        <v>132</v>
      </c>
      <c r="E12" s="118" t="str">
        <f t="shared" si="0"/>
        <v>HKDOIS5M_Quote</v>
      </c>
      <c r="F12" s="118" t="str">
        <f>_xll.qlSimpleQuote(Currency&amp;$B12&amp;$C12&amp;$D12&amp;QuoteSuffix,,RateTickValue,Permanent,Trigger,ObjectOverwrite)</f>
        <v>HKDOIS5M_Quote#0001</v>
      </c>
      <c r="G12" s="117" t="str">
        <f>_xll.ohRangeRetrieveError(F12)</f>
        <v/>
      </c>
      <c r="H12" s="116"/>
      <c r="J12" s="195"/>
      <c r="K12" s="364"/>
      <c r="L12" s="246" t="s">
        <v>132</v>
      </c>
      <c r="M12" s="246" t="s">
        <v>107</v>
      </c>
      <c r="N12" s="244" t="str">
        <f t="shared" si="4"/>
        <v>HKD5MOIS</v>
      </c>
      <c r="O12" s="244" t="str">
        <f t="shared" si="1"/>
        <v>HKD5MOIS=ICHK</v>
      </c>
      <c r="P12" s="197">
        <v>0.05</v>
      </c>
      <c r="Q12" s="197">
        <v>0.15</v>
      </c>
      <c r="R12" s="197">
        <v>0</v>
      </c>
      <c r="S12" s="197">
        <v>0</v>
      </c>
      <c r="T12" s="192">
        <f t="shared" si="2"/>
        <v>0.1</v>
      </c>
      <c r="U12" s="190"/>
      <c r="V12" s="199">
        <v>0.1</v>
      </c>
      <c r="W12" s="190"/>
      <c r="X12" s="198" t="str">
        <f t="shared" si="3"/>
        <v>HKDOIS5M_Quote</v>
      </c>
      <c r="Y12" s="197">
        <v>0.1</v>
      </c>
      <c r="Z12" s="196" t="e">
        <f>_xll.qlSimpleQuoteSetValue($X12,$Y12/100,Trigger)</f>
        <v>#NUM!</v>
      </c>
      <c r="AA12" s="186"/>
      <c r="AB12"/>
    </row>
    <row r="13" spans="1:28" ht="15" x14ac:dyDescent="0.25">
      <c r="A13" s="121"/>
      <c r="B13" s="120"/>
      <c r="C13" s="120" t="s">
        <v>107</v>
      </c>
      <c r="D13" s="126" t="s">
        <v>61</v>
      </c>
      <c r="E13" s="118" t="str">
        <f t="shared" si="0"/>
        <v>HKDOIS6M_Quote</v>
      </c>
      <c r="F13" s="118" t="str">
        <f>_xll.qlSimpleQuote(Currency&amp;$B13&amp;$C13&amp;$D13&amp;QuoteSuffix,,RateTickValue,Permanent,Trigger,ObjectOverwrite)</f>
        <v>HKDOIS6M_Quote#0001</v>
      </c>
      <c r="G13" s="117" t="str">
        <f>_xll.ohRangeRetrieveError(F13)</f>
        <v/>
      </c>
      <c r="H13" s="116"/>
      <c r="J13" s="195"/>
      <c r="K13" s="364"/>
      <c r="L13" s="246" t="s">
        <v>61</v>
      </c>
      <c r="M13" s="246" t="s">
        <v>107</v>
      </c>
      <c r="N13" s="244" t="str">
        <f t="shared" si="4"/>
        <v>HKD6MOIS</v>
      </c>
      <c r="O13" s="244" t="str">
        <f t="shared" si="1"/>
        <v>HKD6MOIS=ICHK</v>
      </c>
      <c r="P13" s="197">
        <v>0.06</v>
      </c>
      <c r="Q13" s="197">
        <v>0.16</v>
      </c>
      <c r="R13" s="197">
        <v>0</v>
      </c>
      <c r="S13" s="197">
        <v>0</v>
      </c>
      <c r="T13" s="192">
        <f t="shared" si="2"/>
        <v>0.11</v>
      </c>
      <c r="U13" s="190"/>
      <c r="V13" s="199">
        <v>0.11</v>
      </c>
      <c r="W13" s="190"/>
      <c r="X13" s="198" t="str">
        <f t="shared" si="3"/>
        <v>HKDOIS6M_Quote</v>
      </c>
      <c r="Y13" s="197">
        <v>0.11</v>
      </c>
      <c r="Z13" s="196" t="e">
        <f>_xll.qlSimpleQuoteSetValue($X13,$Y13/100,Trigger)</f>
        <v>#NUM!</v>
      </c>
      <c r="AA13" s="186"/>
      <c r="AB13"/>
    </row>
    <row r="14" spans="1:28" ht="15" x14ac:dyDescent="0.25">
      <c r="A14" s="121"/>
      <c r="B14" s="120"/>
      <c r="C14" s="120" t="s">
        <v>107</v>
      </c>
      <c r="D14" s="126" t="s">
        <v>131</v>
      </c>
      <c r="E14" s="118" t="str">
        <f t="shared" si="0"/>
        <v>HKDOIS7M_Quote</v>
      </c>
      <c r="F14" s="118" t="str">
        <f>_xll.qlSimpleQuote(Currency&amp;$B14&amp;$C14&amp;$D14&amp;QuoteSuffix,,RateTickValue,Permanent,Trigger,ObjectOverwrite)</f>
        <v>HKDOIS7M_Quote#0001</v>
      </c>
      <c r="G14" s="117" t="str">
        <f>_xll.ohRangeRetrieveError(F14)</f>
        <v/>
      </c>
      <c r="H14" s="116"/>
      <c r="J14" s="195"/>
      <c r="K14" s="364"/>
      <c r="L14" s="246" t="s">
        <v>131</v>
      </c>
      <c r="M14" s="246" t="s">
        <v>107</v>
      </c>
      <c r="N14" s="244" t="str">
        <f t="shared" si="4"/>
        <v>HKD7MOIS</v>
      </c>
      <c r="O14" s="244" t="str">
        <f t="shared" si="1"/>
        <v>HKD7MOIS=ICHK</v>
      </c>
      <c r="P14" s="197" t="s">
        <v>188</v>
      </c>
      <c r="Q14" s="197" t="s">
        <v>188</v>
      </c>
      <c r="R14" s="197" t="s">
        <v>188</v>
      </c>
      <c r="S14" s="197" t="s">
        <v>188</v>
      </c>
      <c r="T14" s="192" t="e">
        <f t="shared" si="2"/>
        <v>#DIV/0!</v>
      </c>
      <c r="U14" s="190"/>
      <c r="V14" s="199" t="e">
        <v>#DIV/0!</v>
      </c>
      <c r="W14" s="190"/>
      <c r="X14" s="198" t="str">
        <f t="shared" si="3"/>
        <v>HKDOIS7M_Quote</v>
      </c>
      <c r="Y14" s="197" t="e">
        <v>#DIV/0!</v>
      </c>
      <c r="Z14" s="196" t="e">
        <f>_xll.qlSimpleQuoteSetValue($X14,$Y14/100,Trigger)</f>
        <v>#NUM!</v>
      </c>
      <c r="AA14" s="186"/>
      <c r="AB14"/>
    </row>
    <row r="15" spans="1:28" ht="15" x14ac:dyDescent="0.25">
      <c r="A15" s="121"/>
      <c r="B15" s="120"/>
      <c r="C15" s="120" t="s">
        <v>107</v>
      </c>
      <c r="D15" s="126" t="s">
        <v>130</v>
      </c>
      <c r="E15" s="118" t="str">
        <f t="shared" si="0"/>
        <v>HKDOIS8M_Quote</v>
      </c>
      <c r="F15" s="118" t="str">
        <f>_xll.qlSimpleQuote(Currency&amp;$B15&amp;$C15&amp;$D15&amp;QuoteSuffix,,RateTickValue,Permanent,Trigger,ObjectOverwrite)</f>
        <v>HKDOIS8M_Quote#0001</v>
      </c>
      <c r="G15" s="117" t="str">
        <f>_xll.ohRangeRetrieveError(F15)</f>
        <v/>
      </c>
      <c r="H15" s="116"/>
      <c r="J15" s="195"/>
      <c r="K15" s="364"/>
      <c r="L15" s="246" t="s">
        <v>130</v>
      </c>
      <c r="M15" s="246" t="s">
        <v>107</v>
      </c>
      <c r="N15" s="244" t="str">
        <f t="shared" si="4"/>
        <v>HKD8MOIS</v>
      </c>
      <c r="O15" s="244" t="str">
        <f t="shared" si="1"/>
        <v>HKD8MOIS=ICHK</v>
      </c>
      <c r="P15" s="197" t="s">
        <v>188</v>
      </c>
      <c r="Q15" s="197" t="s">
        <v>188</v>
      </c>
      <c r="R15" s="197" t="s">
        <v>188</v>
      </c>
      <c r="S15" s="197" t="s">
        <v>188</v>
      </c>
      <c r="T15" s="192" t="e">
        <f t="shared" si="2"/>
        <v>#DIV/0!</v>
      </c>
      <c r="U15" s="190"/>
      <c r="V15" s="199" t="e">
        <v>#DIV/0!</v>
      </c>
      <c r="W15" s="190"/>
      <c r="X15" s="198" t="str">
        <f t="shared" si="3"/>
        <v>HKDOIS8M_Quote</v>
      </c>
      <c r="Y15" s="197" t="e">
        <v>#DIV/0!</v>
      </c>
      <c r="Z15" s="196" t="e">
        <f>_xll.qlSimpleQuoteSetValue($X15,$Y15/100,Trigger)</f>
        <v>#NUM!</v>
      </c>
      <c r="AA15" s="186"/>
      <c r="AB15"/>
    </row>
    <row r="16" spans="1:28" ht="15" x14ac:dyDescent="0.25">
      <c r="A16" s="121"/>
      <c r="B16" s="120"/>
      <c r="C16" s="120" t="s">
        <v>107</v>
      </c>
      <c r="D16" s="126" t="s">
        <v>129</v>
      </c>
      <c r="E16" s="118" t="str">
        <f t="shared" si="0"/>
        <v>HKDOIS9M_Quote</v>
      </c>
      <c r="F16" s="118" t="str">
        <f>_xll.qlSimpleQuote(Currency&amp;$B16&amp;$C16&amp;$D16&amp;QuoteSuffix,,RateTickValue,Permanent,Trigger,ObjectOverwrite)</f>
        <v>HKDOIS9M_Quote#0001</v>
      </c>
      <c r="G16" s="117" t="str">
        <f>_xll.ohRangeRetrieveError(F16)</f>
        <v/>
      </c>
      <c r="H16" s="116"/>
      <c r="J16" s="195"/>
      <c r="K16" s="364"/>
      <c r="L16" s="246" t="s">
        <v>129</v>
      </c>
      <c r="M16" s="246" t="s">
        <v>107</v>
      </c>
      <c r="N16" s="244" t="str">
        <f t="shared" si="4"/>
        <v>HKD9MOIS</v>
      </c>
      <c r="O16" s="244" t="str">
        <f t="shared" si="1"/>
        <v>HKD9MOIS=ICHK</v>
      </c>
      <c r="P16" s="197">
        <v>0.12</v>
      </c>
      <c r="Q16" s="197">
        <v>0.22</v>
      </c>
      <c r="R16" s="197">
        <v>0</v>
      </c>
      <c r="S16" s="197">
        <v>0</v>
      </c>
      <c r="T16" s="192">
        <f t="shared" si="2"/>
        <v>0.16999999999999998</v>
      </c>
      <c r="U16" s="190"/>
      <c r="V16" s="199">
        <v>0.16999999999999998</v>
      </c>
      <c r="W16" s="190"/>
      <c r="X16" s="198" t="str">
        <f t="shared" si="3"/>
        <v>HKDOIS9M_Quote</v>
      </c>
      <c r="Y16" s="197">
        <v>0.16999999999999998</v>
      </c>
      <c r="Z16" s="196" t="e">
        <f>_xll.qlSimpleQuoteSetValue($X16,$Y16/100,Trigger)</f>
        <v>#NUM!</v>
      </c>
      <c r="AA16" s="186"/>
      <c r="AB16"/>
    </row>
    <row r="17" spans="1:28" ht="15" x14ac:dyDescent="0.25">
      <c r="A17" s="121"/>
      <c r="B17" s="120"/>
      <c r="C17" s="120" t="s">
        <v>107</v>
      </c>
      <c r="D17" s="126" t="s">
        <v>128</v>
      </c>
      <c r="E17" s="118" t="str">
        <f t="shared" si="0"/>
        <v>HKDOIS10M_Quote</v>
      </c>
      <c r="F17" s="118" t="str">
        <f>_xll.qlSimpleQuote(Currency&amp;$B17&amp;$C17&amp;$D17&amp;QuoteSuffix,,RateTickValue,Permanent,Trigger,ObjectOverwrite)</f>
        <v>HKDOIS10M_Quote#0001</v>
      </c>
      <c r="G17" s="117" t="str">
        <f>_xll.ohRangeRetrieveError(F17)</f>
        <v/>
      </c>
      <c r="H17" s="116"/>
      <c r="J17" s="195"/>
      <c r="K17" s="364"/>
      <c r="L17" s="246" t="s">
        <v>128</v>
      </c>
      <c r="M17" s="246" t="s">
        <v>107</v>
      </c>
      <c r="N17" s="244" t="str">
        <f t="shared" si="4"/>
        <v>HKD10MOIS</v>
      </c>
      <c r="O17" s="244" t="str">
        <f t="shared" si="1"/>
        <v>HKD10MOIS=ICHK</v>
      </c>
      <c r="P17" s="197" t="s">
        <v>188</v>
      </c>
      <c r="Q17" s="197" t="s">
        <v>188</v>
      </c>
      <c r="R17" s="197" t="s">
        <v>188</v>
      </c>
      <c r="S17" s="197" t="s">
        <v>188</v>
      </c>
      <c r="T17" s="192" t="e">
        <f t="shared" si="2"/>
        <v>#DIV/0!</v>
      </c>
      <c r="U17" s="190"/>
      <c r="V17" s="199" t="e">
        <v>#DIV/0!</v>
      </c>
      <c r="W17" s="190"/>
      <c r="X17" s="198" t="str">
        <f t="shared" si="3"/>
        <v>HKDOIS10M_Quote</v>
      </c>
      <c r="Y17" s="197" t="e">
        <v>#DIV/0!</v>
      </c>
      <c r="Z17" s="196" t="e">
        <f>_xll.qlSimpleQuoteSetValue($X17,$Y17/100,Trigger)</f>
        <v>#NUM!</v>
      </c>
      <c r="AA17" s="186"/>
      <c r="AB17"/>
    </row>
    <row r="18" spans="1:28" ht="15" x14ac:dyDescent="0.25">
      <c r="A18" s="121"/>
      <c r="B18" s="120"/>
      <c r="C18" s="120" t="s">
        <v>107</v>
      </c>
      <c r="D18" s="126" t="s">
        <v>127</v>
      </c>
      <c r="E18" s="118" t="str">
        <f t="shared" si="0"/>
        <v>HKDOIS11M_Quote</v>
      </c>
      <c r="F18" s="118" t="str">
        <f>_xll.qlSimpleQuote(Currency&amp;$B18&amp;$C18&amp;$D18&amp;QuoteSuffix,,RateTickValue,Permanent,Trigger,ObjectOverwrite)</f>
        <v>HKDOIS11M_Quote#0001</v>
      </c>
      <c r="G18" s="117" t="str">
        <f>_xll.ohRangeRetrieveError(F18)</f>
        <v/>
      </c>
      <c r="H18" s="116"/>
      <c r="J18" s="195"/>
      <c r="K18" s="364"/>
      <c r="L18" s="246" t="s">
        <v>127</v>
      </c>
      <c r="M18" s="246" t="s">
        <v>107</v>
      </c>
      <c r="N18" s="244" t="str">
        <f t="shared" si="4"/>
        <v>HKD11MOIS</v>
      </c>
      <c r="O18" s="244" t="str">
        <f t="shared" si="1"/>
        <v>HKD11MOIS=ICHK</v>
      </c>
      <c r="P18" s="197" t="s">
        <v>188</v>
      </c>
      <c r="Q18" s="197" t="s">
        <v>188</v>
      </c>
      <c r="R18" s="197" t="s">
        <v>188</v>
      </c>
      <c r="S18" s="197" t="s">
        <v>188</v>
      </c>
      <c r="T18" s="192" t="e">
        <f t="shared" si="2"/>
        <v>#DIV/0!</v>
      </c>
      <c r="U18" s="190"/>
      <c r="V18" s="199" t="e">
        <v>#DIV/0!</v>
      </c>
      <c r="W18" s="190"/>
      <c r="X18" s="198" t="str">
        <f t="shared" si="3"/>
        <v>HKDOIS11M_Quote</v>
      </c>
      <c r="Y18" s="197" t="e">
        <v>#DIV/0!</v>
      </c>
      <c r="Z18" s="196" t="e">
        <f>_xll.qlSimpleQuoteSetValue($X18,$Y18/100,Trigger)</f>
        <v>#NUM!</v>
      </c>
      <c r="AA18" s="186"/>
      <c r="AB18"/>
    </row>
    <row r="19" spans="1:28" ht="15" x14ac:dyDescent="0.25">
      <c r="A19" s="121"/>
      <c r="B19" s="120"/>
      <c r="C19" s="120" t="s">
        <v>107</v>
      </c>
      <c r="D19" s="126" t="s">
        <v>60</v>
      </c>
      <c r="E19" s="118" t="str">
        <f t="shared" si="0"/>
        <v>HKDOIS1Y_Quote</v>
      </c>
      <c r="F19" s="118" t="str">
        <f>_xll.qlSimpleQuote(Currency&amp;$B19&amp;$C19&amp;$D19&amp;QuoteSuffix,,RateTickValue,Permanent,Trigger,ObjectOverwrite)</f>
        <v>HKDOIS1Y_Quote#0001</v>
      </c>
      <c r="G19" s="117" t="str">
        <f>_xll.ohRangeRetrieveError(F19)</f>
        <v/>
      </c>
      <c r="H19" s="116"/>
      <c r="J19" s="195"/>
      <c r="K19" s="364"/>
      <c r="L19" s="246" t="s">
        <v>60</v>
      </c>
      <c r="M19" s="246" t="s">
        <v>107</v>
      </c>
      <c r="N19" s="244" t="str">
        <f t="shared" si="4"/>
        <v>HKD1YOIS</v>
      </c>
      <c r="O19" s="244" t="str">
        <f t="shared" si="1"/>
        <v>HKD1YOIS=ICHK</v>
      </c>
      <c r="P19" s="197">
        <v>0.15</v>
      </c>
      <c r="Q19" s="197">
        <v>0.25</v>
      </c>
      <c r="R19" s="197">
        <v>0</v>
      </c>
      <c r="S19" s="197">
        <v>0</v>
      </c>
      <c r="T19" s="192">
        <f t="shared" si="2"/>
        <v>0.2</v>
      </c>
      <c r="U19" s="190"/>
      <c r="V19" s="199">
        <v>0.2</v>
      </c>
      <c r="W19" s="190"/>
      <c r="X19" s="198" t="str">
        <f t="shared" si="3"/>
        <v>HKDOIS1Y_Quote</v>
      </c>
      <c r="Y19" s="197">
        <v>0.2</v>
      </c>
      <c r="Z19" s="196" t="e">
        <f>_xll.qlSimpleQuoteSetValue($X19,$Y19/100,Trigger)</f>
        <v>#NUM!</v>
      </c>
      <c r="AA19" s="186"/>
      <c r="AB19"/>
    </row>
    <row r="20" spans="1:28" ht="15" x14ac:dyDescent="0.25">
      <c r="A20" s="121"/>
      <c r="B20" s="120"/>
      <c r="C20" s="120" t="s">
        <v>107</v>
      </c>
      <c r="D20" s="126" t="s">
        <v>126</v>
      </c>
      <c r="E20" s="118" t="str">
        <f t="shared" si="0"/>
        <v>HKDOIS13M_Quote</v>
      </c>
      <c r="F20" s="118" t="str">
        <f>_xll.qlSimpleQuote(Currency&amp;$B20&amp;$C20&amp;$D20&amp;QuoteSuffix,,RateTickValue,Permanent,Trigger,ObjectOverwrite)</f>
        <v>HKDOIS13M_Quote#0001</v>
      </c>
      <c r="G20" s="117" t="str">
        <f>_xll.ohRangeRetrieveError(F20)</f>
        <v/>
      </c>
      <c r="H20" s="116"/>
      <c r="J20" s="195"/>
      <c r="K20" s="364"/>
      <c r="L20" s="246" t="s">
        <v>59</v>
      </c>
      <c r="M20" s="246" t="s">
        <v>107</v>
      </c>
      <c r="N20" s="244" t="str">
        <f t="shared" si="4"/>
        <v>HKD15MOIS</v>
      </c>
      <c r="O20" s="244" t="str">
        <f t="shared" si="1"/>
        <v>HKD15MOIS=ICHK</v>
      </c>
      <c r="P20" s="197" t="s">
        <v>188</v>
      </c>
      <c r="Q20" s="197" t="s">
        <v>188</v>
      </c>
      <c r="R20" s="197" t="s">
        <v>188</v>
      </c>
      <c r="S20" s="197" t="s">
        <v>188</v>
      </c>
      <c r="T20" s="192" t="e">
        <f t="shared" si="2"/>
        <v>#DIV/0!</v>
      </c>
      <c r="U20" s="190"/>
      <c r="V20" s="199" t="e">
        <v>#DIV/0!</v>
      </c>
      <c r="W20" s="190"/>
      <c r="X20" s="198" t="str">
        <f t="shared" si="3"/>
        <v>HKDOIS15M_Quote</v>
      </c>
      <c r="Y20" s="197" t="e">
        <v>#DIV/0!</v>
      </c>
      <c r="Z20" s="196" t="e">
        <f>_xll.qlSimpleQuoteSetValue($X20,$Y20/100,Trigger)</f>
        <v>#NUM!</v>
      </c>
      <c r="AA20" s="186"/>
      <c r="AB20"/>
    </row>
    <row r="21" spans="1:28" ht="15" x14ac:dyDescent="0.25">
      <c r="A21" s="121"/>
      <c r="B21" s="120"/>
      <c r="C21" s="120" t="s">
        <v>107</v>
      </c>
      <c r="D21" s="126" t="s">
        <v>125</v>
      </c>
      <c r="E21" s="118" t="str">
        <f t="shared" si="0"/>
        <v>HKDOIS14M_Quote</v>
      </c>
      <c r="F21" s="118" t="str">
        <f>_xll.qlSimpleQuote(Currency&amp;$B21&amp;$C21&amp;$D21&amp;QuoteSuffix,,RateTickValue,Permanent,Trigger,ObjectOverwrite)</f>
        <v>HKDOIS14M_Quote#0001</v>
      </c>
      <c r="G21" s="117" t="str">
        <f>_xll.ohRangeRetrieveError(F21)</f>
        <v/>
      </c>
      <c r="H21" s="116"/>
      <c r="J21" s="195"/>
      <c r="K21" s="364"/>
      <c r="L21" s="246" t="s">
        <v>58</v>
      </c>
      <c r="M21" s="246" t="s">
        <v>107</v>
      </c>
      <c r="N21" s="244" t="str">
        <f t="shared" si="4"/>
        <v>HKD18MOIS</v>
      </c>
      <c r="O21" s="244" t="str">
        <f t="shared" si="1"/>
        <v>HKD18MOIS=ICHK</v>
      </c>
      <c r="P21" s="197" t="s">
        <v>188</v>
      </c>
      <c r="Q21" s="197" t="s">
        <v>188</v>
      </c>
      <c r="R21" s="197" t="s">
        <v>188</v>
      </c>
      <c r="S21" s="197" t="s">
        <v>188</v>
      </c>
      <c r="T21" s="192" t="e">
        <f t="shared" si="2"/>
        <v>#DIV/0!</v>
      </c>
      <c r="U21" s="190"/>
      <c r="V21" s="199" t="e">
        <v>#DIV/0!</v>
      </c>
      <c r="W21" s="190"/>
      <c r="X21" s="198" t="str">
        <f t="shared" si="3"/>
        <v>HKDOIS18M_Quote</v>
      </c>
      <c r="Y21" s="197" t="e">
        <v>#DIV/0!</v>
      </c>
      <c r="Z21" s="196" t="e">
        <f>_xll.qlSimpleQuoteSetValue($X21,$Y21/100,Trigger)</f>
        <v>#NUM!</v>
      </c>
      <c r="AA21" s="186"/>
      <c r="AB21"/>
    </row>
    <row r="22" spans="1:28" ht="15" x14ac:dyDescent="0.25">
      <c r="A22" s="121"/>
      <c r="B22" s="120"/>
      <c r="C22" s="120" t="s">
        <v>107</v>
      </c>
      <c r="D22" s="126" t="s">
        <v>59</v>
      </c>
      <c r="E22" s="118" t="str">
        <f t="shared" si="0"/>
        <v>HKDOIS15M_Quote</v>
      </c>
      <c r="F22" s="118" t="str">
        <f>_xll.qlSimpleQuote(Currency&amp;$B22&amp;$C22&amp;$D22&amp;QuoteSuffix,,RateTickValue,Permanent,Trigger,ObjectOverwrite)</f>
        <v>HKDOIS15M_Quote#0001</v>
      </c>
      <c r="G22" s="117" t="str">
        <f>_xll.ohRangeRetrieveError(F22)</f>
        <v/>
      </c>
      <c r="H22" s="116"/>
      <c r="J22" s="195"/>
      <c r="K22" s="364"/>
      <c r="L22" s="246" t="s">
        <v>57</v>
      </c>
      <c r="M22" s="246" t="s">
        <v>107</v>
      </c>
      <c r="N22" s="244" t="str">
        <f t="shared" si="4"/>
        <v>HKD21MOIS</v>
      </c>
      <c r="O22" s="244" t="str">
        <f t="shared" si="1"/>
        <v>HKD21MOIS=ICHK</v>
      </c>
      <c r="P22" s="197" t="s">
        <v>188</v>
      </c>
      <c r="Q22" s="197" t="s">
        <v>188</v>
      </c>
      <c r="R22" s="197" t="s">
        <v>188</v>
      </c>
      <c r="S22" s="197" t="s">
        <v>188</v>
      </c>
      <c r="T22" s="192" t="e">
        <f t="shared" si="2"/>
        <v>#DIV/0!</v>
      </c>
      <c r="U22" s="190"/>
      <c r="V22" s="199" t="e">
        <v>#DIV/0!</v>
      </c>
      <c r="W22" s="190"/>
      <c r="X22" s="198" t="str">
        <f t="shared" si="3"/>
        <v>HKDOIS21M_Quote</v>
      </c>
      <c r="Y22" s="197" t="e">
        <v>#DIV/0!</v>
      </c>
      <c r="Z22" s="196" t="e">
        <f>_xll.qlSimpleQuoteSetValue($X22,$Y22/100,Trigger)</f>
        <v>#NUM!</v>
      </c>
      <c r="AA22" s="186"/>
      <c r="AB22"/>
    </row>
    <row r="23" spans="1:28" ht="15" x14ac:dyDescent="0.25">
      <c r="A23" s="121"/>
      <c r="B23" s="120"/>
      <c r="C23" s="120" t="s">
        <v>107</v>
      </c>
      <c r="D23" s="126" t="s">
        <v>124</v>
      </c>
      <c r="E23" s="118" t="str">
        <f t="shared" si="0"/>
        <v>HKDOIS16M_Quote</v>
      </c>
      <c r="F23" s="118" t="str">
        <f>_xll.qlSimpleQuote(Currency&amp;$B23&amp;$C23&amp;$D23&amp;QuoteSuffix,,RateTickValue,Permanent,Trigger,ObjectOverwrite)</f>
        <v>HKDOIS16M_Quote#0001</v>
      </c>
      <c r="G23" s="117" t="str">
        <f>_xll.ohRangeRetrieveError(F23)</f>
        <v/>
      </c>
      <c r="H23" s="116"/>
      <c r="J23" s="195"/>
      <c r="K23" s="364"/>
      <c r="L23" s="246" t="s">
        <v>56</v>
      </c>
      <c r="M23" s="246" t="s">
        <v>107</v>
      </c>
      <c r="N23" s="244" t="str">
        <f t="shared" si="4"/>
        <v>HKD2YOIS</v>
      </c>
      <c r="O23" s="244" t="str">
        <f t="shared" si="1"/>
        <v>HKD2YOIS=ICHK</v>
      </c>
      <c r="P23" s="197" t="s">
        <v>188</v>
      </c>
      <c r="Q23" s="197" t="s">
        <v>188</v>
      </c>
      <c r="R23" s="197" t="s">
        <v>188</v>
      </c>
      <c r="S23" s="197" t="s">
        <v>188</v>
      </c>
      <c r="T23" s="192" t="e">
        <f t="shared" si="2"/>
        <v>#DIV/0!</v>
      </c>
      <c r="U23" s="190"/>
      <c r="V23" s="199" t="e">
        <v>#DIV/0!</v>
      </c>
      <c r="W23" s="190"/>
      <c r="X23" s="198" t="str">
        <f t="shared" si="3"/>
        <v>HKDOIS2Y_Quote</v>
      </c>
      <c r="Y23" s="197" t="e">
        <v>#DIV/0!</v>
      </c>
      <c r="Z23" s="196" t="e">
        <f>_xll.qlSimpleQuoteSetValue($X23,$Y23/100,Trigger)</f>
        <v>#NUM!</v>
      </c>
      <c r="AA23" s="186"/>
      <c r="AB23"/>
    </row>
    <row r="24" spans="1:28" ht="15" x14ac:dyDescent="0.25">
      <c r="A24" s="121"/>
      <c r="B24" s="120"/>
      <c r="C24" s="120" t="s">
        <v>107</v>
      </c>
      <c r="D24" s="126" t="s">
        <v>123</v>
      </c>
      <c r="E24" s="118" t="str">
        <f t="shared" si="0"/>
        <v>HKDOIS17M_Quote</v>
      </c>
      <c r="F24" s="118" t="str">
        <f>_xll.qlSimpleQuote(Currency&amp;$B24&amp;$C24&amp;$D24&amp;QuoteSuffix,,RateTickValue,Permanent,Trigger,ObjectOverwrite)</f>
        <v>HKDOIS17M_Quote#0001</v>
      </c>
      <c r="G24" s="117" t="str">
        <f>_xll.ohRangeRetrieveError(F24)</f>
        <v/>
      </c>
      <c r="H24" s="116"/>
      <c r="J24" s="195"/>
      <c r="K24" s="364"/>
      <c r="L24" s="246" t="s">
        <v>54</v>
      </c>
      <c r="M24" s="246" t="s">
        <v>107</v>
      </c>
      <c r="N24" s="244" t="str">
        <f t="shared" si="4"/>
        <v>HKD3YOIS</v>
      </c>
      <c r="O24" s="244" t="str">
        <f t="shared" si="1"/>
        <v>HKD3YOIS=ICHK</v>
      </c>
      <c r="P24" s="197" t="s">
        <v>188</v>
      </c>
      <c r="Q24" s="197" t="s">
        <v>188</v>
      </c>
      <c r="R24" s="197" t="s">
        <v>188</v>
      </c>
      <c r="S24" s="197" t="s">
        <v>188</v>
      </c>
      <c r="T24" s="192" t="e">
        <f t="shared" si="2"/>
        <v>#DIV/0!</v>
      </c>
      <c r="U24" s="190"/>
      <c r="V24" s="199" t="e">
        <v>#DIV/0!</v>
      </c>
      <c r="W24" s="190"/>
      <c r="X24" s="198" t="str">
        <f t="shared" si="3"/>
        <v>HKDOIS3Y_Quote</v>
      </c>
      <c r="Y24" s="197" t="e">
        <v>#DIV/0!</v>
      </c>
      <c r="Z24" s="196" t="e">
        <f>_xll.qlSimpleQuoteSetValue($X24,$Y24/100,Trigger)</f>
        <v>#NUM!</v>
      </c>
      <c r="AA24" s="186"/>
      <c r="AB24"/>
    </row>
    <row r="25" spans="1:28" ht="15" x14ac:dyDescent="0.25">
      <c r="A25" s="121"/>
      <c r="B25" s="120"/>
      <c r="C25" s="120" t="s">
        <v>107</v>
      </c>
      <c r="D25" s="126" t="s">
        <v>58</v>
      </c>
      <c r="E25" s="118" t="str">
        <f t="shared" si="0"/>
        <v>HKDOIS18M_Quote</v>
      </c>
      <c r="F25" s="118" t="str">
        <f>_xll.qlSimpleQuote(Currency&amp;$B25&amp;$C25&amp;$D25&amp;QuoteSuffix,,RateTickValue,Permanent,Trigger,ObjectOverwrite)</f>
        <v>HKDOIS18M_Quote#0001</v>
      </c>
      <c r="G25" s="117" t="str">
        <f>_xll.ohRangeRetrieveError(F25)</f>
        <v/>
      </c>
      <c r="H25" s="116"/>
      <c r="J25" s="195"/>
      <c r="K25" s="364"/>
      <c r="L25" s="246" t="s">
        <v>50</v>
      </c>
      <c r="M25" s="246" t="s">
        <v>107</v>
      </c>
      <c r="N25" s="244" t="str">
        <f t="shared" si="4"/>
        <v>HKD4YOIS</v>
      </c>
      <c r="O25" s="244" t="str">
        <f t="shared" si="1"/>
        <v>HKD4YOIS=ICHK</v>
      </c>
      <c r="P25" s="197" t="s">
        <v>188</v>
      </c>
      <c r="Q25" s="197" t="s">
        <v>188</v>
      </c>
      <c r="R25" s="197" t="s">
        <v>188</v>
      </c>
      <c r="S25" s="197" t="s">
        <v>188</v>
      </c>
      <c r="T25" s="192" t="e">
        <f t="shared" si="2"/>
        <v>#DIV/0!</v>
      </c>
      <c r="U25" s="190"/>
      <c r="V25" s="199" t="e">
        <v>#DIV/0!</v>
      </c>
      <c r="W25" s="190"/>
      <c r="X25" s="198" t="str">
        <f t="shared" si="3"/>
        <v>HKDOIS4Y_Quote</v>
      </c>
      <c r="Y25" s="197" t="e">
        <v>#DIV/0!</v>
      </c>
      <c r="Z25" s="196" t="e">
        <f>_xll.qlSimpleQuoteSetValue($X25,$Y25/100,Trigger)</f>
        <v>#NUM!</v>
      </c>
      <c r="AA25" s="186"/>
      <c r="AB25"/>
    </row>
    <row r="26" spans="1:28" ht="15" x14ac:dyDescent="0.25">
      <c r="A26" s="121"/>
      <c r="B26" s="120"/>
      <c r="C26" s="120" t="s">
        <v>107</v>
      </c>
      <c r="D26" s="126" t="s">
        <v>122</v>
      </c>
      <c r="E26" s="118" t="str">
        <f t="shared" si="0"/>
        <v>HKDOIS19M_Quote</v>
      </c>
      <c r="F26" s="118" t="str">
        <f>_xll.qlSimpleQuote(Currency&amp;$B26&amp;$C26&amp;$D26&amp;QuoteSuffix,,RateTickValue,Permanent,Trigger,ObjectOverwrite)</f>
        <v>HKDOIS19M_Quote#0001</v>
      </c>
      <c r="G26" s="117" t="str">
        <f>_xll.ohRangeRetrieveError(F26)</f>
        <v/>
      </c>
      <c r="H26" s="116"/>
      <c r="J26" s="195"/>
      <c r="K26" s="364"/>
      <c r="L26" s="246" t="s">
        <v>48</v>
      </c>
      <c r="M26" s="246" t="s">
        <v>107</v>
      </c>
      <c r="N26" s="244" t="str">
        <f t="shared" si="4"/>
        <v>HKD5YOIS</v>
      </c>
      <c r="O26" s="244" t="str">
        <f t="shared" si="1"/>
        <v>HKD5YOIS=ICHK</v>
      </c>
      <c r="P26" s="197" t="s">
        <v>188</v>
      </c>
      <c r="Q26" s="197" t="s">
        <v>188</v>
      </c>
      <c r="R26" s="197" t="s">
        <v>188</v>
      </c>
      <c r="S26" s="197" t="s">
        <v>188</v>
      </c>
      <c r="T26" s="192" t="e">
        <f t="shared" si="2"/>
        <v>#DIV/0!</v>
      </c>
      <c r="U26" s="190"/>
      <c r="V26" s="199" t="e">
        <v>#DIV/0!</v>
      </c>
      <c r="W26" s="190"/>
      <c r="X26" s="198" t="str">
        <f t="shared" si="3"/>
        <v>HKDOIS5Y_Quote</v>
      </c>
      <c r="Y26" s="197" t="e">
        <v>#DIV/0!</v>
      </c>
      <c r="Z26" s="196" t="e">
        <f>_xll.qlSimpleQuoteSetValue($X26,$Y26/100,Trigger)</f>
        <v>#NUM!</v>
      </c>
      <c r="AA26" s="186"/>
      <c r="AB26"/>
    </row>
    <row r="27" spans="1:28" ht="15" x14ac:dyDescent="0.25">
      <c r="A27" s="121"/>
      <c r="B27" s="120"/>
      <c r="C27" s="120" t="s">
        <v>107</v>
      </c>
      <c r="D27" s="126" t="s">
        <v>121</v>
      </c>
      <c r="E27" s="118" t="str">
        <f t="shared" si="0"/>
        <v>HKDOIS20M_Quote</v>
      </c>
      <c r="F27" s="118" t="str">
        <f>_xll.qlSimpleQuote(Currency&amp;$B27&amp;$C27&amp;$D27&amp;QuoteSuffix,,RateTickValue,Permanent,Trigger,ObjectOverwrite)</f>
        <v>HKDOIS20M_Quote#0001</v>
      </c>
      <c r="G27" s="117" t="str">
        <f>_xll.ohRangeRetrieveError(F27)</f>
        <v/>
      </c>
      <c r="H27" s="116"/>
      <c r="J27" s="195"/>
      <c r="K27" s="364"/>
      <c r="L27" s="246" t="s">
        <v>45</v>
      </c>
      <c r="M27" s="246" t="s">
        <v>107</v>
      </c>
      <c r="N27" s="244" t="str">
        <f t="shared" si="4"/>
        <v>HKD6YOIS</v>
      </c>
      <c r="O27" s="244" t="str">
        <f t="shared" si="1"/>
        <v>HKD6YOIS=ICHK</v>
      </c>
      <c r="P27" s="197" t="s">
        <v>188</v>
      </c>
      <c r="Q27" s="197" t="s">
        <v>188</v>
      </c>
      <c r="R27" s="197" t="s">
        <v>188</v>
      </c>
      <c r="S27" s="197" t="s">
        <v>188</v>
      </c>
      <c r="T27" s="192" t="e">
        <f t="shared" si="2"/>
        <v>#DIV/0!</v>
      </c>
      <c r="U27" s="190"/>
      <c r="V27" s="199" t="e">
        <v>#DIV/0!</v>
      </c>
      <c r="W27" s="190"/>
      <c r="X27" s="198" t="str">
        <f t="shared" si="3"/>
        <v>HKDOIS6Y_Quote</v>
      </c>
      <c r="Y27" s="197" t="e">
        <v>#DIV/0!</v>
      </c>
      <c r="Z27" s="196" t="e">
        <f>_xll.qlSimpleQuoteSetValue($X27,$Y27/100,Trigger)</f>
        <v>#NUM!</v>
      </c>
      <c r="AA27" s="186"/>
      <c r="AB27"/>
    </row>
    <row r="28" spans="1:28" ht="15" x14ac:dyDescent="0.25">
      <c r="A28" s="121"/>
      <c r="B28" s="120"/>
      <c r="C28" s="120" t="s">
        <v>107</v>
      </c>
      <c r="D28" s="126" t="s">
        <v>57</v>
      </c>
      <c r="E28" s="118" t="str">
        <f t="shared" si="0"/>
        <v>HKDOIS21M_Quote</v>
      </c>
      <c r="F28" s="118" t="str">
        <f>_xll.qlSimpleQuote(Currency&amp;$B28&amp;$C28&amp;$D28&amp;QuoteSuffix,,RateTickValue,Permanent,Trigger,ObjectOverwrite)</f>
        <v>HKDOIS21M_Quote#0001</v>
      </c>
      <c r="G28" s="117" t="str">
        <f>_xll.ohRangeRetrieveError(F28)</f>
        <v/>
      </c>
      <c r="H28" s="116"/>
      <c r="J28" s="195"/>
      <c r="K28" s="364"/>
      <c r="L28" s="246" t="s">
        <v>41</v>
      </c>
      <c r="M28" s="246" t="s">
        <v>107</v>
      </c>
      <c r="N28" s="244" t="str">
        <f t="shared" si="4"/>
        <v>HKD7YOIS</v>
      </c>
      <c r="O28" s="244" t="str">
        <f t="shared" si="1"/>
        <v>HKD7YOIS=ICHK</v>
      </c>
      <c r="P28" s="197" t="s">
        <v>188</v>
      </c>
      <c r="Q28" s="197" t="s">
        <v>188</v>
      </c>
      <c r="R28" s="197" t="s">
        <v>188</v>
      </c>
      <c r="S28" s="197" t="s">
        <v>188</v>
      </c>
      <c r="T28" s="192" t="e">
        <f t="shared" si="2"/>
        <v>#DIV/0!</v>
      </c>
      <c r="U28" s="190"/>
      <c r="V28" s="199" t="e">
        <v>#DIV/0!</v>
      </c>
      <c r="W28" s="190"/>
      <c r="X28" s="198" t="str">
        <f t="shared" si="3"/>
        <v>HKDOIS7Y_Quote</v>
      </c>
      <c r="Y28" s="197" t="e">
        <v>#DIV/0!</v>
      </c>
      <c r="Z28" s="196" t="e">
        <f>_xll.qlSimpleQuoteSetValue($X28,$Y28/100,Trigger)</f>
        <v>#NUM!</v>
      </c>
      <c r="AA28" s="186"/>
      <c r="AB28"/>
    </row>
    <row r="29" spans="1:28" ht="15" x14ac:dyDescent="0.25">
      <c r="A29" s="121"/>
      <c r="B29" s="120"/>
      <c r="C29" s="120" t="s">
        <v>107</v>
      </c>
      <c r="D29" s="126" t="s">
        <v>120</v>
      </c>
      <c r="E29" s="118" t="str">
        <f t="shared" si="0"/>
        <v>HKDOIS22M_Quote</v>
      </c>
      <c r="F29" s="118" t="str">
        <f>_xll.qlSimpleQuote(Currency&amp;$B29&amp;$C29&amp;$D29&amp;QuoteSuffix,,RateTickValue,Permanent,Trigger,ObjectOverwrite)</f>
        <v>HKDOIS22M_Quote#0001</v>
      </c>
      <c r="G29" s="117" t="str">
        <f>_xll.ohRangeRetrieveError(F29)</f>
        <v/>
      </c>
      <c r="H29" s="116"/>
      <c r="J29" s="195"/>
      <c r="K29" s="364"/>
      <c r="L29" s="246" t="s">
        <v>40</v>
      </c>
      <c r="M29" s="246" t="s">
        <v>107</v>
      </c>
      <c r="N29" s="244" t="str">
        <f t="shared" si="4"/>
        <v>HKD8YOIS</v>
      </c>
      <c r="O29" s="244" t="str">
        <f t="shared" si="1"/>
        <v>HKD8YOIS=ICHK</v>
      </c>
      <c r="P29" s="197" t="s">
        <v>188</v>
      </c>
      <c r="Q29" s="197" t="s">
        <v>188</v>
      </c>
      <c r="R29" s="197" t="s">
        <v>188</v>
      </c>
      <c r="S29" s="197" t="s">
        <v>188</v>
      </c>
      <c r="T29" s="192" t="e">
        <f t="shared" si="2"/>
        <v>#DIV/0!</v>
      </c>
      <c r="U29" s="190"/>
      <c r="V29" s="199" t="e">
        <v>#DIV/0!</v>
      </c>
      <c r="W29" s="190"/>
      <c r="X29" s="198" t="str">
        <f t="shared" si="3"/>
        <v>HKDOIS8Y_Quote</v>
      </c>
      <c r="Y29" s="197" t="e">
        <v>#DIV/0!</v>
      </c>
      <c r="Z29" s="196" t="e">
        <f>_xll.qlSimpleQuoteSetValue($X29,$Y29/100,Trigger)</f>
        <v>#NUM!</v>
      </c>
      <c r="AA29" s="186"/>
      <c r="AB29"/>
    </row>
    <row r="30" spans="1:28" ht="15" x14ac:dyDescent="0.25">
      <c r="A30" s="121"/>
      <c r="B30" s="120"/>
      <c r="C30" s="120" t="s">
        <v>107</v>
      </c>
      <c r="D30" s="126" t="s">
        <v>119</v>
      </c>
      <c r="E30" s="118" t="str">
        <f t="shared" si="0"/>
        <v>HKDOIS23M_Quote</v>
      </c>
      <c r="F30" s="118" t="str">
        <f>_xll.qlSimpleQuote(Currency&amp;$B30&amp;$C30&amp;$D30&amp;QuoteSuffix,,RateTickValue,Permanent,Trigger,ObjectOverwrite)</f>
        <v>HKDOIS23M_Quote#0001</v>
      </c>
      <c r="G30" s="117" t="str">
        <f>_xll.ohRangeRetrieveError(F30)</f>
        <v/>
      </c>
      <c r="H30" s="116"/>
      <c r="J30" s="195"/>
      <c r="K30" s="364"/>
      <c r="L30" s="246" t="s">
        <v>39</v>
      </c>
      <c r="M30" s="246" t="s">
        <v>107</v>
      </c>
      <c r="N30" s="244" t="str">
        <f t="shared" si="4"/>
        <v>HKD9YOIS</v>
      </c>
      <c r="O30" s="244" t="str">
        <f t="shared" si="1"/>
        <v>HKD9YOIS=ICHK</v>
      </c>
      <c r="P30" s="197" t="s">
        <v>188</v>
      </c>
      <c r="Q30" s="197" t="s">
        <v>188</v>
      </c>
      <c r="R30" s="197" t="s">
        <v>188</v>
      </c>
      <c r="S30" s="197" t="s">
        <v>188</v>
      </c>
      <c r="T30" s="192" t="e">
        <f t="shared" si="2"/>
        <v>#DIV/0!</v>
      </c>
      <c r="U30" s="190"/>
      <c r="V30" s="199" t="e">
        <v>#DIV/0!</v>
      </c>
      <c r="W30" s="190"/>
      <c r="X30" s="198" t="str">
        <f t="shared" si="3"/>
        <v>HKDOIS9Y_Quote</v>
      </c>
      <c r="Y30" s="197" t="e">
        <v>#DIV/0!</v>
      </c>
      <c r="Z30" s="196" t="e">
        <f>_xll.qlSimpleQuoteSetValue($X30,$Y30/100,Trigger)</f>
        <v>#NUM!</v>
      </c>
      <c r="AA30" s="186"/>
      <c r="AB30"/>
    </row>
    <row r="31" spans="1:28" ht="15" x14ac:dyDescent="0.25">
      <c r="A31" s="121"/>
      <c r="B31" s="120"/>
      <c r="C31" s="120" t="s">
        <v>107</v>
      </c>
      <c r="D31" s="126" t="s">
        <v>56</v>
      </c>
      <c r="E31" s="118" t="str">
        <f t="shared" si="0"/>
        <v>HKDOIS2Y_Quote</v>
      </c>
      <c r="F31" s="118" t="str">
        <f>_xll.qlSimpleQuote(Currency&amp;$B31&amp;$C31&amp;$D31&amp;QuoteSuffix,,RateTickValue,Permanent,Trigger,ObjectOverwrite)</f>
        <v>HKDOIS2Y_Quote#0001</v>
      </c>
      <c r="G31" s="117" t="str">
        <f>_xll.ohRangeRetrieveError(F31)</f>
        <v/>
      </c>
      <c r="H31" s="116"/>
      <c r="J31" s="195"/>
      <c r="K31" s="364"/>
      <c r="L31" s="246" t="s">
        <v>38</v>
      </c>
      <c r="M31" s="246" t="s">
        <v>107</v>
      </c>
      <c r="N31" s="244" t="str">
        <f t="shared" si="4"/>
        <v>HKD10YOIS</v>
      </c>
      <c r="O31" s="244" t="str">
        <f t="shared" si="1"/>
        <v>HKD10YOIS=ICHK</v>
      </c>
      <c r="P31" s="197" t="s">
        <v>188</v>
      </c>
      <c r="Q31" s="197" t="s">
        <v>188</v>
      </c>
      <c r="R31" s="197" t="s">
        <v>188</v>
      </c>
      <c r="S31" s="197" t="s">
        <v>188</v>
      </c>
      <c r="T31" s="192" t="e">
        <f t="shared" si="2"/>
        <v>#DIV/0!</v>
      </c>
      <c r="U31" s="190"/>
      <c r="V31" s="199" t="e">
        <v>#DIV/0!</v>
      </c>
      <c r="W31" s="190"/>
      <c r="X31" s="198" t="str">
        <f t="shared" si="3"/>
        <v>HKDOIS10Y_Quote</v>
      </c>
      <c r="Y31" s="197" t="e">
        <v>#DIV/0!</v>
      </c>
      <c r="Z31" s="196" t="e">
        <f>_xll.qlSimpleQuoteSetValue($X31,$Y31/100,Trigger)</f>
        <v>#NUM!</v>
      </c>
      <c r="AA31" s="186"/>
      <c r="AB31"/>
    </row>
    <row r="32" spans="1:28" ht="15" x14ac:dyDescent="0.25">
      <c r="A32" s="121"/>
      <c r="B32" s="120"/>
      <c r="C32" s="120" t="s">
        <v>107</v>
      </c>
      <c r="D32" s="126" t="s">
        <v>118</v>
      </c>
      <c r="E32" s="118" t="str">
        <f t="shared" si="0"/>
        <v>HKDOIS27M_Quote</v>
      </c>
      <c r="F32" s="118" t="str">
        <f>_xll.qlSimpleQuote(Currency&amp;$B32&amp;$C32&amp;$D32&amp;QuoteSuffix,,RateTickValue,Permanent,Trigger,ObjectOverwrite)</f>
        <v>HKDOIS27M_Quote#0001</v>
      </c>
      <c r="G32" s="117" t="str">
        <f>_xll.ohRangeRetrieveError(F32)</f>
        <v/>
      </c>
      <c r="H32" s="116"/>
      <c r="J32" s="195"/>
      <c r="K32" s="364"/>
      <c r="L32" s="246" t="s">
        <v>37</v>
      </c>
      <c r="M32" s="246" t="s">
        <v>107</v>
      </c>
      <c r="N32" s="244" t="str">
        <f t="shared" si="4"/>
        <v>HKD11YOIS</v>
      </c>
      <c r="O32" s="244" t="str">
        <f t="shared" si="1"/>
        <v>HKD11YOIS=ICHK</v>
      </c>
      <c r="P32" s="197" t="s">
        <v>188</v>
      </c>
      <c r="Q32" s="197" t="s">
        <v>188</v>
      </c>
      <c r="R32" s="197" t="s">
        <v>188</v>
      </c>
      <c r="S32" s="197" t="s">
        <v>188</v>
      </c>
      <c r="T32" s="192" t="e">
        <f t="shared" si="2"/>
        <v>#DIV/0!</v>
      </c>
      <c r="U32" s="190"/>
      <c r="V32" s="199" t="e">
        <v>#DIV/0!</v>
      </c>
      <c r="W32" s="190"/>
      <c r="X32" s="198" t="str">
        <f t="shared" si="3"/>
        <v>HKDOIS11Y_Quote</v>
      </c>
      <c r="Y32" s="197" t="e">
        <v>#DIV/0!</v>
      </c>
      <c r="Z32" s="196" t="e">
        <f>_xll.qlSimpleQuoteSetValue($X32,$Y32/100,Trigger)</f>
        <v>#NUM!</v>
      </c>
      <c r="AA32" s="186"/>
      <c r="AB32"/>
    </row>
    <row r="33" spans="1:28" ht="15" x14ac:dyDescent="0.25">
      <c r="A33" s="121"/>
      <c r="B33" s="120"/>
      <c r="C33" s="120" t="s">
        <v>107</v>
      </c>
      <c r="D33" s="126" t="s">
        <v>117</v>
      </c>
      <c r="E33" s="118" t="str">
        <f t="shared" si="0"/>
        <v>HKDOIS30M_Quote</v>
      </c>
      <c r="F33" s="118" t="str">
        <f>_xll.qlSimpleQuote(Currency&amp;$B33&amp;$C33&amp;$D33&amp;QuoteSuffix,,RateTickValue,Permanent,Trigger,ObjectOverwrite)</f>
        <v>HKDOIS30M_Quote#0001</v>
      </c>
      <c r="G33" s="117" t="str">
        <f>_xll.ohRangeRetrieveError(F33)</f>
        <v/>
      </c>
      <c r="H33" s="116"/>
      <c r="J33" s="195"/>
      <c r="K33" s="364"/>
      <c r="L33" s="246" t="s">
        <v>36</v>
      </c>
      <c r="M33" s="246" t="s">
        <v>107</v>
      </c>
      <c r="N33" s="244" t="str">
        <f t="shared" si="4"/>
        <v>HKD12YOIS</v>
      </c>
      <c r="O33" s="244" t="str">
        <f t="shared" si="1"/>
        <v>HKD12YOIS=ICHK</v>
      </c>
      <c r="P33" s="197" t="s">
        <v>188</v>
      </c>
      <c r="Q33" s="197" t="s">
        <v>188</v>
      </c>
      <c r="R33" s="197" t="s">
        <v>188</v>
      </c>
      <c r="S33" s="197" t="s">
        <v>188</v>
      </c>
      <c r="T33" s="192" t="e">
        <f t="shared" si="2"/>
        <v>#DIV/0!</v>
      </c>
      <c r="U33" s="190"/>
      <c r="V33" s="199" t="e">
        <v>#DIV/0!</v>
      </c>
      <c r="W33" s="190"/>
      <c r="X33" s="198" t="str">
        <f t="shared" si="3"/>
        <v>HKDOIS12Y_Quote</v>
      </c>
      <c r="Y33" s="197" t="e">
        <v>#DIV/0!</v>
      </c>
      <c r="Z33" s="196" t="e">
        <f>_xll.qlSimpleQuoteSetValue($X33,$Y33/100,Trigger)</f>
        <v>#NUM!</v>
      </c>
      <c r="AA33" s="186"/>
      <c r="AB33"/>
    </row>
    <row r="34" spans="1:28" ht="15" x14ac:dyDescent="0.25">
      <c r="A34" s="121"/>
      <c r="B34" s="120"/>
      <c r="C34" s="120" t="s">
        <v>107</v>
      </c>
      <c r="D34" s="126" t="s">
        <v>116</v>
      </c>
      <c r="E34" s="118" t="str">
        <f t="shared" si="0"/>
        <v>HKDOIS33M_Quote</v>
      </c>
      <c r="F34" s="118" t="str">
        <f>_xll.qlSimpleQuote(Currency&amp;$B34&amp;$C34&amp;$D34&amp;QuoteSuffix,,RateTickValue,Permanent,Trigger,ObjectOverwrite)</f>
        <v>HKDOIS33M_Quote#0001</v>
      </c>
      <c r="G34" s="117" t="str">
        <f>_xll.ohRangeRetrieveError(F34)</f>
        <v/>
      </c>
      <c r="H34" s="116"/>
      <c r="J34" s="195"/>
      <c r="K34" s="364"/>
      <c r="L34" s="246" t="s">
        <v>33</v>
      </c>
      <c r="M34" s="246" t="s">
        <v>107</v>
      </c>
      <c r="N34" s="244" t="str">
        <f t="shared" si="4"/>
        <v>HKD15YOIS</v>
      </c>
      <c r="O34" s="244" t="str">
        <f t="shared" si="1"/>
        <v>HKD15YOIS=ICHK</v>
      </c>
      <c r="P34" s="197" t="s">
        <v>188</v>
      </c>
      <c r="Q34" s="197" t="s">
        <v>188</v>
      </c>
      <c r="R34" s="197" t="s">
        <v>188</v>
      </c>
      <c r="S34" s="197" t="s">
        <v>188</v>
      </c>
      <c r="T34" s="192" t="e">
        <f t="shared" si="2"/>
        <v>#DIV/0!</v>
      </c>
      <c r="U34" s="190"/>
      <c r="V34" s="199" t="e">
        <v>#DIV/0!</v>
      </c>
      <c r="W34" s="190"/>
      <c r="X34" s="198" t="str">
        <f t="shared" si="3"/>
        <v>HKDOIS15Y_Quote</v>
      </c>
      <c r="Y34" s="197" t="e">
        <v>#DIV/0!</v>
      </c>
      <c r="Z34" s="196" t="e">
        <f>_xll.qlSimpleQuoteSetValue($X34,$Y34/100,Trigger)</f>
        <v>#NUM!</v>
      </c>
      <c r="AA34" s="186"/>
      <c r="AB34"/>
    </row>
    <row r="35" spans="1:28" ht="15" x14ac:dyDescent="0.25">
      <c r="A35" s="121"/>
      <c r="B35" s="120"/>
      <c r="C35" s="120" t="s">
        <v>107</v>
      </c>
      <c r="D35" s="126" t="s">
        <v>54</v>
      </c>
      <c r="E35" s="118" t="str">
        <f t="shared" si="0"/>
        <v>HKDOIS3Y_Quote</v>
      </c>
      <c r="F35" s="118" t="str">
        <f>_xll.qlSimpleQuote(Currency&amp;$B35&amp;$C35&amp;$D35&amp;QuoteSuffix,,RateTickValue,Permanent,Trigger,ObjectOverwrite)</f>
        <v>HKDOIS3Y_Quote#0001</v>
      </c>
      <c r="G35" s="117" t="str">
        <f>_xll.ohRangeRetrieveError(F35)</f>
        <v/>
      </c>
      <c r="H35" s="116"/>
      <c r="J35" s="195"/>
      <c r="K35" s="364"/>
      <c r="L35" s="246" t="s">
        <v>28</v>
      </c>
      <c r="M35" s="246" t="s">
        <v>107</v>
      </c>
      <c r="N35" s="244" t="str">
        <f t="shared" si="4"/>
        <v>HKD20YOIS</v>
      </c>
      <c r="O35" s="244" t="str">
        <f t="shared" si="1"/>
        <v>HKD20YOIS=ICHK</v>
      </c>
      <c r="P35" s="197" t="s">
        <v>188</v>
      </c>
      <c r="Q35" s="197" t="s">
        <v>188</v>
      </c>
      <c r="R35" s="197" t="s">
        <v>188</v>
      </c>
      <c r="S35" s="197" t="s">
        <v>188</v>
      </c>
      <c r="T35" s="192" t="e">
        <f t="shared" si="2"/>
        <v>#DIV/0!</v>
      </c>
      <c r="U35" s="190"/>
      <c r="V35" s="199" t="e">
        <v>#DIV/0!</v>
      </c>
      <c r="W35" s="190"/>
      <c r="X35" s="198" t="str">
        <f t="shared" si="3"/>
        <v>HKDOIS20Y_Quote</v>
      </c>
      <c r="Y35" s="197" t="e">
        <v>#DIV/0!</v>
      </c>
      <c r="Z35" s="196" t="e">
        <f>_xll.qlSimpleQuoteSetValue($X35,$Y35/100,Trigger)</f>
        <v>#NUM!</v>
      </c>
      <c r="AA35" s="186"/>
      <c r="AB35"/>
    </row>
    <row r="36" spans="1:28" ht="15" x14ac:dyDescent="0.25">
      <c r="A36" s="121"/>
      <c r="B36" s="120"/>
      <c r="C36" s="120" t="s">
        <v>107</v>
      </c>
      <c r="D36" s="126" t="s">
        <v>115</v>
      </c>
      <c r="E36" s="118" t="str">
        <f t="shared" si="0"/>
        <v>HKDOIS39M_Quote</v>
      </c>
      <c r="F36" s="118" t="str">
        <f>_xll.qlSimpleQuote(Currency&amp;$B36&amp;$C36&amp;$D36&amp;QuoteSuffix,,RateTickValue,Permanent,Trigger,ObjectOverwrite)</f>
        <v>HKDOIS39M_Quote#0001</v>
      </c>
      <c r="G36" s="117" t="str">
        <f>_xll.ohRangeRetrieveError(F36)</f>
        <v/>
      </c>
      <c r="H36" s="116"/>
      <c r="J36" s="195"/>
      <c r="K36" s="364"/>
      <c r="L36" s="246" t="s">
        <v>23</v>
      </c>
      <c r="M36" s="246" t="s">
        <v>107</v>
      </c>
      <c r="N36" s="244" t="str">
        <f t="shared" si="4"/>
        <v>HKD25YOIS</v>
      </c>
      <c r="O36" s="244" t="str">
        <f t="shared" si="1"/>
        <v>HKD25YOIS=ICHK</v>
      </c>
      <c r="P36" s="197" t="s">
        <v>188</v>
      </c>
      <c r="Q36" s="197" t="s">
        <v>188</v>
      </c>
      <c r="R36" s="197" t="s">
        <v>188</v>
      </c>
      <c r="S36" s="197" t="s">
        <v>188</v>
      </c>
      <c r="T36" s="192" t="e">
        <f t="shared" si="2"/>
        <v>#DIV/0!</v>
      </c>
      <c r="U36" s="190"/>
      <c r="V36" s="199" t="e">
        <v>#DIV/0!</v>
      </c>
      <c r="W36" s="190"/>
      <c r="X36" s="198" t="str">
        <f t="shared" si="3"/>
        <v>HKDOIS25Y_Quote</v>
      </c>
      <c r="Y36" s="197" t="e">
        <v>#DIV/0!</v>
      </c>
      <c r="Z36" s="196" t="e">
        <f>_xll.qlSimpleQuoteSetValue($X36,$Y36/100,Trigger)</f>
        <v>#NUM!</v>
      </c>
      <c r="AA36" s="186"/>
      <c r="AB36"/>
    </row>
    <row r="37" spans="1:28" ht="15" x14ac:dyDescent="0.25">
      <c r="A37" s="121"/>
      <c r="B37" s="120"/>
      <c r="C37" s="120" t="s">
        <v>107</v>
      </c>
      <c r="D37" s="126" t="s">
        <v>114</v>
      </c>
      <c r="E37" s="118" t="str">
        <f t="shared" ref="E37:E58" si="5">Currency&amp;$B37&amp;$C37&amp;$D37&amp;QuoteSuffix</f>
        <v>HKDOIS42M_Quote</v>
      </c>
      <c r="F37" s="118" t="str">
        <f>_xll.qlSimpleQuote(Currency&amp;$B37&amp;$C37&amp;$D37&amp;QuoteSuffix,,RateTickValue,Permanent,Trigger,ObjectOverwrite)</f>
        <v>HKDOIS42M_Quote#0001</v>
      </c>
      <c r="G37" s="117" t="str">
        <f>_xll.ohRangeRetrieveError(F37)</f>
        <v/>
      </c>
      <c r="H37" s="116"/>
      <c r="J37" s="195"/>
      <c r="K37" s="364"/>
      <c r="L37" s="246" t="s">
        <v>18</v>
      </c>
      <c r="M37" s="246" t="s">
        <v>107</v>
      </c>
      <c r="N37" s="244" t="str">
        <f t="shared" si="4"/>
        <v>HKD30YOIS</v>
      </c>
      <c r="O37" s="244" t="str">
        <f t="shared" si="1"/>
        <v>HKD30YOIS=ICHK</v>
      </c>
      <c r="P37" s="197" t="s">
        <v>188</v>
      </c>
      <c r="Q37" s="197" t="s">
        <v>188</v>
      </c>
      <c r="R37" s="197" t="s">
        <v>188</v>
      </c>
      <c r="S37" s="197" t="s">
        <v>188</v>
      </c>
      <c r="T37" s="192" t="e">
        <f t="shared" si="2"/>
        <v>#DIV/0!</v>
      </c>
      <c r="U37" s="190"/>
      <c r="V37" s="199" t="e">
        <v>#DIV/0!</v>
      </c>
      <c r="W37" s="190"/>
      <c r="X37" s="198" t="str">
        <f t="shared" si="3"/>
        <v>HKDOIS30Y_Quote</v>
      </c>
      <c r="Y37" s="197" t="e">
        <v>#DIV/0!</v>
      </c>
      <c r="Z37" s="196" t="e">
        <f>_xll.qlSimpleQuoteSetValue($X37,$Y37/100,Trigger)</f>
        <v>#NUM!</v>
      </c>
      <c r="AA37" s="186"/>
      <c r="AB37"/>
    </row>
    <row r="38" spans="1:28" ht="15" x14ac:dyDescent="0.25">
      <c r="A38" s="121"/>
      <c r="B38" s="120"/>
      <c r="C38" s="120" t="s">
        <v>107</v>
      </c>
      <c r="D38" s="126" t="s">
        <v>113</v>
      </c>
      <c r="E38" s="118" t="str">
        <f t="shared" si="5"/>
        <v>HKDOIS45M_Quote</v>
      </c>
      <c r="F38" s="118" t="str">
        <f>_xll.qlSimpleQuote(Currency&amp;$B38&amp;$C38&amp;$D38&amp;QuoteSuffix,,RateTickValue,Permanent,Trigger,ObjectOverwrite)</f>
        <v>HKDOIS45M_Quote#0001</v>
      </c>
      <c r="G38" s="117" t="str">
        <f>_xll.ohRangeRetrieveError(F38)</f>
        <v/>
      </c>
      <c r="H38" s="116"/>
      <c r="J38" s="195"/>
      <c r="K38" s="364"/>
      <c r="L38" s="246" t="s">
        <v>16</v>
      </c>
      <c r="M38" s="246" t="s">
        <v>107</v>
      </c>
      <c r="N38" s="244" t="str">
        <f t="shared" si="4"/>
        <v>HKD40YOIS</v>
      </c>
      <c r="O38" s="244" t="str">
        <f t="shared" si="1"/>
        <v>HKD40YOIS=ICHK</v>
      </c>
      <c r="P38" s="197" t="s">
        <v>188</v>
      </c>
      <c r="Q38" s="197" t="s">
        <v>188</v>
      </c>
      <c r="R38" s="197" t="s">
        <v>188</v>
      </c>
      <c r="S38" s="197" t="s">
        <v>188</v>
      </c>
      <c r="T38" s="192" t="e">
        <f t="shared" si="2"/>
        <v>#DIV/0!</v>
      </c>
      <c r="U38" s="190"/>
      <c r="V38" s="199" t="e">
        <v>#DIV/0!</v>
      </c>
      <c r="W38" s="190"/>
      <c r="X38" s="198" t="str">
        <f t="shared" si="3"/>
        <v>HKDOIS40Y_Quote</v>
      </c>
      <c r="Y38" s="197" t="e">
        <v>#DIV/0!</v>
      </c>
      <c r="Z38" s="196" t="e">
        <f>_xll.qlSimpleQuoteSetValue($X38,$Y38/100,Trigger)</f>
        <v>#NUM!</v>
      </c>
      <c r="AA38" s="186"/>
      <c r="AB38"/>
    </row>
    <row r="39" spans="1:28" ht="15" x14ac:dyDescent="0.25">
      <c r="A39" s="121"/>
      <c r="B39" s="120"/>
      <c r="C39" s="120" t="s">
        <v>107</v>
      </c>
      <c r="D39" s="126" t="s">
        <v>50</v>
      </c>
      <c r="E39" s="118" t="str">
        <f t="shared" si="5"/>
        <v>HKDOIS4Y_Quote</v>
      </c>
      <c r="F39" s="118" t="str">
        <f>_xll.qlSimpleQuote(Currency&amp;$B39&amp;$C39&amp;$D39&amp;QuoteSuffix,,RateTickValue,Permanent,Trigger,ObjectOverwrite)</f>
        <v>HKDOIS4Y_Quote#0001</v>
      </c>
      <c r="G39" s="117" t="str">
        <f>_xll.ohRangeRetrieveError(F39)</f>
        <v/>
      </c>
      <c r="H39" s="116"/>
      <c r="J39" s="195"/>
      <c r="K39" s="364"/>
      <c r="L39" s="246" t="s">
        <v>15</v>
      </c>
      <c r="M39" s="246" t="s">
        <v>107</v>
      </c>
      <c r="N39" s="244" t="str">
        <f t="shared" si="4"/>
        <v>HKD50YOIS</v>
      </c>
      <c r="O39" s="244" t="str">
        <f t="shared" si="1"/>
        <v>HKD50YOIS=ICHK</v>
      </c>
      <c r="P39" s="197" t="s">
        <v>188</v>
      </c>
      <c r="Q39" s="197" t="s">
        <v>188</v>
      </c>
      <c r="R39" s="197" t="s">
        <v>188</v>
      </c>
      <c r="S39" s="197" t="s">
        <v>188</v>
      </c>
      <c r="T39" s="192" t="e">
        <f t="shared" si="2"/>
        <v>#DIV/0!</v>
      </c>
      <c r="U39" s="190"/>
      <c r="V39" s="199" t="e">
        <v>#DIV/0!</v>
      </c>
      <c r="W39" s="190"/>
      <c r="X39" s="198" t="str">
        <f t="shared" si="3"/>
        <v>HKDOIS50Y_Quote</v>
      </c>
      <c r="Y39" s="197" t="e">
        <v>#DIV/0!</v>
      </c>
      <c r="Z39" s="196" t="e">
        <f>_xll.qlSimpleQuoteSetValue($X39,$Y39/100,Trigger)</f>
        <v>#NUM!</v>
      </c>
      <c r="AA39" s="186"/>
      <c r="AB39"/>
    </row>
    <row r="40" spans="1:28" ht="15" x14ac:dyDescent="0.25">
      <c r="A40" s="121"/>
      <c r="B40" s="120"/>
      <c r="C40" s="120" t="s">
        <v>107</v>
      </c>
      <c r="D40" s="126" t="s">
        <v>112</v>
      </c>
      <c r="E40" s="118" t="str">
        <f t="shared" si="5"/>
        <v>HKDOIS51M_Quote</v>
      </c>
      <c r="F40" s="118" t="str">
        <f>_xll.qlSimpleQuote(Currency&amp;$B40&amp;$C40&amp;$D40&amp;QuoteSuffix,,RateTickValue,Permanent,Trigger,ObjectOverwrite)</f>
        <v>HKDOIS51M_Quote#0001</v>
      </c>
      <c r="G40" s="117" t="str">
        <f>_xll.ohRangeRetrieveError(F40)</f>
        <v/>
      </c>
      <c r="H40" s="116"/>
      <c r="J40" s="195"/>
      <c r="K40" s="364"/>
      <c r="L40" s="246" t="s">
        <v>14</v>
      </c>
      <c r="M40" s="246" t="s">
        <v>107</v>
      </c>
      <c r="N40" s="244" t="str">
        <f t="shared" si="4"/>
        <v>HKD60YOIS</v>
      </c>
      <c r="O40" s="244" t="str">
        <f t="shared" si="1"/>
        <v>HKD60YOIS=ICHK</v>
      </c>
      <c r="P40" s="197" t="s">
        <v>188</v>
      </c>
      <c r="Q40" s="197" t="s">
        <v>188</v>
      </c>
      <c r="R40" s="197" t="s">
        <v>188</v>
      </c>
      <c r="S40" s="197" t="s">
        <v>188</v>
      </c>
      <c r="T40" s="192" t="e">
        <f t="shared" si="2"/>
        <v>#DIV/0!</v>
      </c>
      <c r="U40" s="190"/>
      <c r="V40" s="199" t="e">
        <v>#DIV/0!</v>
      </c>
      <c r="W40" s="190"/>
      <c r="X40" s="198" t="str">
        <f t="shared" si="3"/>
        <v>HKDOIS60Y_Quote</v>
      </c>
      <c r="Y40" s="197" t="e">
        <v>#DIV/0!</v>
      </c>
      <c r="Z40" s="196" t="e">
        <f>_xll.qlSimpleQuoteSetValue($X40,$Y40/100,Trigger)</f>
        <v>#NUM!</v>
      </c>
      <c r="AA40" s="186"/>
      <c r="AB40"/>
    </row>
    <row r="41" spans="1:28" ht="15.75" thickBot="1" x14ac:dyDescent="0.3">
      <c r="A41" s="121"/>
      <c r="B41" s="120"/>
      <c r="C41" s="120" t="s">
        <v>107</v>
      </c>
      <c r="D41" s="126" t="s">
        <v>111</v>
      </c>
      <c r="E41" s="118" t="str">
        <f t="shared" si="5"/>
        <v>HKDOIS54M_Quote</v>
      </c>
      <c r="F41" s="118" t="str">
        <f>_xll.qlSimpleQuote(Currency&amp;$B41&amp;$C41&amp;$D41&amp;QuoteSuffix,,RateTickValue,Permanent,Trigger,ObjectOverwrite)</f>
        <v>HKDOIS54M_Quote#0001</v>
      </c>
      <c r="G41" s="117" t="str">
        <f>_xll.ohRangeRetrieveError(F41)</f>
        <v/>
      </c>
      <c r="H41" s="116"/>
      <c r="J41" s="185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3"/>
      <c r="V41" s="184"/>
      <c r="W41" s="183"/>
      <c r="X41" s="184"/>
      <c r="Y41" s="184"/>
      <c r="Z41" s="184"/>
      <c r="AA41" s="332"/>
      <c r="AB41"/>
    </row>
    <row r="42" spans="1:28" ht="15" x14ac:dyDescent="0.25">
      <c r="A42" s="121"/>
      <c r="B42" s="120"/>
      <c r="C42" s="120" t="s">
        <v>107</v>
      </c>
      <c r="D42" s="126" t="s">
        <v>110</v>
      </c>
      <c r="E42" s="118" t="str">
        <f t="shared" si="5"/>
        <v>HKDOIS57M_Quote</v>
      </c>
      <c r="F42" s="118" t="str">
        <f>_xll.qlSimpleQuote(Currency&amp;$B42&amp;$C42&amp;$D42&amp;QuoteSuffix,,RateTickValue,Permanent,Trigger,ObjectOverwrite)</f>
        <v>HKDOIS57M_Quote#0001</v>
      </c>
      <c r="G42" s="117" t="str">
        <f>_xll.ohRangeRetrieveError(F42)</f>
        <v/>
      </c>
      <c r="H42" s="116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x14ac:dyDescent="0.25">
      <c r="A43" s="121"/>
      <c r="B43" s="120"/>
      <c r="C43" s="120" t="s">
        <v>107</v>
      </c>
      <c r="D43" s="126" t="s">
        <v>48</v>
      </c>
      <c r="E43" s="118" t="str">
        <f t="shared" si="5"/>
        <v>HKDOIS5Y_Quote</v>
      </c>
      <c r="F43" s="118" t="str">
        <f>_xll.qlSimpleQuote(Currency&amp;$B43&amp;$C43&amp;$D43&amp;QuoteSuffix,,RateTickValue,Permanent,Trigger,ObjectOverwrite)</f>
        <v>HKDOIS5Y_Quote#0001</v>
      </c>
      <c r="G43" s="117" t="str">
        <f>_xll.ohRangeRetrieveError(F43)</f>
        <v/>
      </c>
      <c r="H43" s="116"/>
    </row>
    <row r="44" spans="1:28" x14ac:dyDescent="0.25">
      <c r="A44" s="121"/>
      <c r="B44" s="120"/>
      <c r="C44" s="120" t="s">
        <v>107</v>
      </c>
      <c r="D44" s="126" t="s">
        <v>45</v>
      </c>
      <c r="E44" s="118" t="str">
        <f t="shared" si="5"/>
        <v>HKDOIS6Y_Quote</v>
      </c>
      <c r="F44" s="118" t="str">
        <f>_xll.qlSimpleQuote(Currency&amp;$B44&amp;$C44&amp;$D44&amp;QuoteSuffix,,RateTickValue,Permanent,Trigger,ObjectOverwrite)</f>
        <v>HKDOIS6Y_Quote#0001</v>
      </c>
      <c r="G44" s="117" t="str">
        <f>_xll.ohRangeRetrieveError(F44)</f>
        <v/>
      </c>
      <c r="H44" s="116"/>
    </row>
    <row r="45" spans="1:28" x14ac:dyDescent="0.25">
      <c r="A45" s="121"/>
      <c r="B45" s="120"/>
      <c r="C45" s="120" t="s">
        <v>107</v>
      </c>
      <c r="D45" s="126" t="s">
        <v>41</v>
      </c>
      <c r="E45" s="118" t="str">
        <f t="shared" si="5"/>
        <v>HKDOIS7Y_Quote</v>
      </c>
      <c r="F45" s="118" t="str">
        <f>_xll.qlSimpleQuote(Currency&amp;$B45&amp;$C45&amp;$D45&amp;QuoteSuffix,,RateTickValue,Permanent,Trigger,ObjectOverwrite)</f>
        <v>HKDOIS7Y_Quote#0001</v>
      </c>
      <c r="G45" s="117" t="str">
        <f>_xll.ohRangeRetrieveError(F45)</f>
        <v/>
      </c>
      <c r="H45" s="116"/>
    </row>
    <row r="46" spans="1:28" x14ac:dyDescent="0.25">
      <c r="A46" s="121"/>
      <c r="B46" s="120"/>
      <c r="C46" s="120" t="s">
        <v>107</v>
      </c>
      <c r="D46" s="126" t="s">
        <v>40</v>
      </c>
      <c r="E46" s="118" t="str">
        <f t="shared" si="5"/>
        <v>HKDOIS8Y_Quote</v>
      </c>
      <c r="F46" s="118" t="str">
        <f>_xll.qlSimpleQuote(Currency&amp;$B46&amp;$C46&amp;$D46&amp;QuoteSuffix,,RateTickValue,Permanent,Trigger,ObjectOverwrite)</f>
        <v>HKDOIS8Y_Quote#0001</v>
      </c>
      <c r="G46" s="117" t="str">
        <f>_xll.ohRangeRetrieveError(F46)</f>
        <v/>
      </c>
      <c r="H46" s="116"/>
    </row>
    <row r="47" spans="1:28" x14ac:dyDescent="0.25">
      <c r="A47" s="121"/>
      <c r="B47" s="120"/>
      <c r="C47" s="120" t="s">
        <v>107</v>
      </c>
      <c r="D47" s="126" t="s">
        <v>39</v>
      </c>
      <c r="E47" s="118" t="str">
        <f t="shared" si="5"/>
        <v>HKDOIS9Y_Quote</v>
      </c>
      <c r="F47" s="118" t="str">
        <f>_xll.qlSimpleQuote(Currency&amp;$B47&amp;$C47&amp;$D47&amp;QuoteSuffix,,RateTickValue,Permanent,Trigger,ObjectOverwrite)</f>
        <v>HKDOIS9Y_Quote#0001</v>
      </c>
      <c r="G47" s="117" t="str">
        <f>_xll.ohRangeRetrieveError(F47)</f>
        <v/>
      </c>
      <c r="H47" s="116"/>
    </row>
    <row r="48" spans="1:28" x14ac:dyDescent="0.25">
      <c r="A48" s="121"/>
      <c r="B48" s="120"/>
      <c r="C48" s="120" t="s">
        <v>107</v>
      </c>
      <c r="D48" s="126" t="s">
        <v>38</v>
      </c>
      <c r="E48" s="118" t="str">
        <f t="shared" si="5"/>
        <v>HKDOIS10Y_Quote</v>
      </c>
      <c r="F48" s="118" t="str">
        <f>_xll.qlSimpleQuote(Currency&amp;$B48&amp;$C48&amp;$D48&amp;QuoteSuffix,,RateTickValue,Permanent,Trigger,ObjectOverwrite)</f>
        <v>HKDOIS10Y_Quote#0001</v>
      </c>
      <c r="G48" s="117" t="str">
        <f>_xll.ohRangeRetrieveError(F48)</f>
        <v/>
      </c>
      <c r="H48" s="116"/>
    </row>
    <row r="49" spans="1:8" x14ac:dyDescent="0.25">
      <c r="A49" s="121"/>
      <c r="B49" s="120"/>
      <c r="C49" s="120" t="s">
        <v>107</v>
      </c>
      <c r="D49" s="126" t="s">
        <v>36</v>
      </c>
      <c r="E49" s="118" t="str">
        <f t="shared" si="5"/>
        <v>HKDOIS12Y_Quote</v>
      </c>
      <c r="F49" s="118" t="str">
        <f>_xll.qlSimpleQuote(Currency&amp;$B49&amp;$C49&amp;$D49&amp;QuoteSuffix,,RateTickValue,Permanent,Trigger,ObjectOverwrite)</f>
        <v>HKDOIS12Y_Quote#0001</v>
      </c>
      <c r="G49" s="117" t="str">
        <f>_xll.ohRangeRetrieveError(F49)</f>
        <v/>
      </c>
      <c r="H49" s="116"/>
    </row>
    <row r="50" spans="1:8" x14ac:dyDescent="0.25">
      <c r="A50" s="121"/>
      <c r="B50" s="120"/>
      <c r="C50" s="120" t="s">
        <v>107</v>
      </c>
      <c r="D50" s="126" t="s">
        <v>33</v>
      </c>
      <c r="E50" s="118" t="str">
        <f t="shared" si="5"/>
        <v>HKDOIS15Y_Quote</v>
      </c>
      <c r="F50" s="118" t="str">
        <f>_xll.qlSimpleQuote(Currency&amp;$B50&amp;$C50&amp;$D50&amp;QuoteSuffix,,RateTickValue,Permanent,Trigger,ObjectOverwrite)</f>
        <v>HKDOIS15Y_Quote#0001</v>
      </c>
      <c r="G50" s="117" t="str">
        <f>_xll.ohRangeRetrieveError(F50)</f>
        <v/>
      </c>
      <c r="H50" s="116"/>
    </row>
    <row r="51" spans="1:8" x14ac:dyDescent="0.25">
      <c r="A51" s="121"/>
      <c r="B51" s="120"/>
      <c r="C51" s="120" t="s">
        <v>107</v>
      </c>
      <c r="D51" s="126" t="s">
        <v>28</v>
      </c>
      <c r="E51" s="118" t="str">
        <f t="shared" si="5"/>
        <v>HKDOIS20Y_Quote</v>
      </c>
      <c r="F51" s="118" t="str">
        <f>_xll.qlSimpleQuote(Currency&amp;$B51&amp;$C51&amp;$D51&amp;QuoteSuffix,,RateTickValue,Permanent,Trigger,ObjectOverwrite)</f>
        <v>HKDOIS20Y_Quote#0001</v>
      </c>
      <c r="G51" s="117" t="str">
        <f>_xll.ohRangeRetrieveError(F51)</f>
        <v/>
      </c>
      <c r="H51" s="116"/>
    </row>
    <row r="52" spans="1:8" x14ac:dyDescent="0.25">
      <c r="A52" s="121"/>
      <c r="B52" s="120"/>
      <c r="C52" s="120" t="s">
        <v>107</v>
      </c>
      <c r="D52" s="126" t="s">
        <v>23</v>
      </c>
      <c r="E52" s="118" t="str">
        <f t="shared" si="5"/>
        <v>HKDOIS25Y_Quote</v>
      </c>
      <c r="F52" s="118" t="str">
        <f>_xll.qlSimpleQuote(Currency&amp;$B52&amp;$C52&amp;$D52&amp;QuoteSuffix,,RateTickValue,Permanent,Trigger,ObjectOverwrite)</f>
        <v>HKDOIS25Y_Quote#0001</v>
      </c>
      <c r="G52" s="117" t="str">
        <f>_xll.ohRangeRetrieveError(F52)</f>
        <v/>
      </c>
      <c r="H52" s="116"/>
    </row>
    <row r="53" spans="1:8" x14ac:dyDescent="0.25">
      <c r="A53" s="121"/>
      <c r="B53" s="120"/>
      <c r="C53" s="120" t="s">
        <v>107</v>
      </c>
      <c r="D53" s="126" t="s">
        <v>21</v>
      </c>
      <c r="E53" s="118" t="str">
        <f t="shared" si="5"/>
        <v>HKDOIS27Y_Quote</v>
      </c>
      <c r="F53" s="118" t="str">
        <f>_xll.qlSimpleQuote(Currency&amp;$B53&amp;$C53&amp;$D53&amp;QuoteSuffix,,RateTickValue,Permanent,Trigger,ObjectOverwrite)</f>
        <v>HKDOIS27Y_Quote#0001</v>
      </c>
      <c r="G53" s="117" t="str">
        <f>_xll.ohRangeRetrieveError(F53)</f>
        <v/>
      </c>
      <c r="H53" s="116"/>
    </row>
    <row r="54" spans="1:8" x14ac:dyDescent="0.25">
      <c r="A54" s="121"/>
      <c r="B54" s="120"/>
      <c r="C54" s="120" t="s">
        <v>107</v>
      </c>
      <c r="D54" s="126" t="s">
        <v>18</v>
      </c>
      <c r="E54" s="118" t="str">
        <f t="shared" si="5"/>
        <v>HKDOIS30Y_Quote</v>
      </c>
      <c r="F54" s="118" t="str">
        <f>_xll.qlSimpleQuote(Currency&amp;$B54&amp;$C54&amp;$D54&amp;QuoteSuffix,,RateTickValue,Permanent,Trigger,ObjectOverwrite)</f>
        <v>HKDOIS30Y_Quote#0001</v>
      </c>
      <c r="G54" s="117" t="str">
        <f>_xll.ohRangeRetrieveError(F54)</f>
        <v/>
      </c>
      <c r="H54" s="116"/>
    </row>
    <row r="55" spans="1:8" x14ac:dyDescent="0.25">
      <c r="A55" s="121"/>
      <c r="B55" s="120"/>
      <c r="C55" s="120" t="s">
        <v>107</v>
      </c>
      <c r="D55" s="126" t="s">
        <v>17</v>
      </c>
      <c r="E55" s="118" t="str">
        <f t="shared" si="5"/>
        <v>HKDOIS35Y_Quote</v>
      </c>
      <c r="F55" s="118" t="str">
        <f>_xll.qlSimpleQuote(Currency&amp;$B55&amp;$C55&amp;$D55&amp;QuoteSuffix,,RateTickValue,Permanent,Trigger,ObjectOverwrite)</f>
        <v>HKDOIS35Y_Quote#0001</v>
      </c>
      <c r="G55" s="117" t="str">
        <f>_xll.ohRangeRetrieveError(F55)</f>
        <v/>
      </c>
      <c r="H55" s="116"/>
    </row>
    <row r="56" spans="1:8" x14ac:dyDescent="0.25">
      <c r="A56" s="121"/>
      <c r="B56" s="120"/>
      <c r="C56" s="120" t="s">
        <v>107</v>
      </c>
      <c r="D56" s="126" t="s">
        <v>16</v>
      </c>
      <c r="E56" s="118" t="str">
        <f t="shared" si="5"/>
        <v>HKDOIS40Y_Quote</v>
      </c>
      <c r="F56" s="118" t="str">
        <f>_xll.qlSimpleQuote(Currency&amp;$B56&amp;$C56&amp;$D56&amp;QuoteSuffix,,RateTickValue,Permanent,Trigger,ObjectOverwrite)</f>
        <v>HKDOIS40Y_Quote#0001</v>
      </c>
      <c r="G56" s="117" t="str">
        <f>_xll.ohRangeRetrieveError(F56)</f>
        <v/>
      </c>
      <c r="H56" s="116"/>
    </row>
    <row r="57" spans="1:8" x14ac:dyDescent="0.25">
      <c r="A57" s="121"/>
      <c r="B57" s="120"/>
      <c r="C57" s="120" t="s">
        <v>107</v>
      </c>
      <c r="D57" s="126" t="s">
        <v>109</v>
      </c>
      <c r="E57" s="118" t="str">
        <f t="shared" si="5"/>
        <v>HKDOIS45Y_Quote</v>
      </c>
      <c r="F57" s="118" t="str">
        <f>_xll.qlSimpleQuote(Currency&amp;$B57&amp;$C57&amp;$D57&amp;QuoteSuffix,,RateTickValue,Permanent,Trigger,ObjectOverwrite)</f>
        <v>HKDOIS45Y_Quote#0001</v>
      </c>
      <c r="G57" s="117" t="str">
        <f>_xll.ohRangeRetrieveError(F57)</f>
        <v/>
      </c>
      <c r="H57" s="116"/>
    </row>
    <row r="58" spans="1:8" x14ac:dyDescent="0.25">
      <c r="A58" s="121"/>
      <c r="B58" s="120"/>
      <c r="C58" s="120" t="s">
        <v>107</v>
      </c>
      <c r="D58" s="126" t="s">
        <v>15</v>
      </c>
      <c r="E58" s="118" t="str">
        <f t="shared" si="5"/>
        <v>HKDOIS50Y_Quote</v>
      </c>
      <c r="F58" s="118" t="str">
        <f>_xll.qlSimpleQuote(Currency&amp;$B58&amp;$C58&amp;$D58&amp;QuoteSuffix,,RateTickValue,Permanent,Trigger,ObjectOverwrite)</f>
        <v>HKDOIS50Y_Quote#0001</v>
      </c>
      <c r="G58" s="117" t="str">
        <f>_xll.ohRangeRetrieveError(F58)</f>
        <v/>
      </c>
      <c r="H58" s="116"/>
    </row>
    <row r="59" spans="1:8" x14ac:dyDescent="0.25">
      <c r="A59" s="121"/>
      <c r="B59" s="125"/>
      <c r="C59" s="125"/>
      <c r="D59" s="124"/>
      <c r="E59" s="123"/>
      <c r="F59" s="123"/>
      <c r="G59" s="122"/>
      <c r="H59" s="116"/>
    </row>
    <row r="60" spans="1:8" x14ac:dyDescent="0.25">
      <c r="A60" s="121"/>
      <c r="B60" s="120" t="s">
        <v>108</v>
      </c>
      <c r="C60" s="120" t="s">
        <v>107</v>
      </c>
      <c r="D60" s="119" t="str">
        <f>_xll.qlECBNextCode(_xll.qlSettingsEvaluationDate(Trigger)-365)</f>
        <v>DEC12</v>
      </c>
      <c r="E60" s="118" t="str">
        <f t="shared" ref="E60:E95" si="6">Currency&amp;$B60&amp;$C60&amp;$D60&amp;QuoteSuffix</f>
        <v>HKDFEDOISDEC12_Quote</v>
      </c>
      <c r="F60" s="118" t="str">
        <f>_xll.qlSimpleQuote(Currency&amp;$B60&amp;$C60&amp;$D60&amp;QuoteSuffix,,RateTickValue,Permanent,Trigger,ObjectOverwrite)</f>
        <v>HKDFEDOISDEC12_Quote#0001</v>
      </c>
      <c r="G60" s="117" t="str">
        <f>_xll.ohRangeRetrieveError(F60)</f>
        <v/>
      </c>
      <c r="H60" s="116"/>
    </row>
    <row r="61" spans="1:8" x14ac:dyDescent="0.25">
      <c r="A61" s="121"/>
      <c r="B61" s="120" t="s">
        <v>108</v>
      </c>
      <c r="C61" s="120" t="s">
        <v>107</v>
      </c>
      <c r="D61" s="119" t="str">
        <f>_xll.qlECBNextCode(_xll.qlECBdate(D60))</f>
        <v>JAN13</v>
      </c>
      <c r="E61" s="118" t="str">
        <f t="shared" si="6"/>
        <v>HKDFEDOISJAN13_Quote</v>
      </c>
      <c r="F61" s="118" t="str">
        <f>_xll.qlSimpleQuote(Currency&amp;$B61&amp;$C61&amp;$D61&amp;QuoteSuffix,,RateTickValue,Permanent,Trigger,ObjectOverwrite)</f>
        <v>HKDFEDOISJAN13_Quote#0001</v>
      </c>
      <c r="G61" s="117" t="str">
        <f>_xll.ohRangeRetrieveError(F61)</f>
        <v/>
      </c>
      <c r="H61" s="116"/>
    </row>
    <row r="62" spans="1:8" x14ac:dyDescent="0.25">
      <c r="A62" s="121"/>
      <c r="B62" s="120" t="s">
        <v>108</v>
      </c>
      <c r="C62" s="120" t="s">
        <v>107</v>
      </c>
      <c r="D62" s="119" t="str">
        <f>_xll.qlECBNextCode(_xll.qlECBdate(D61))</f>
        <v>FEB13</v>
      </c>
      <c r="E62" s="118" t="str">
        <f t="shared" si="6"/>
        <v>HKDFEDOISFEB13_Quote</v>
      </c>
      <c r="F62" s="118" t="str">
        <f>_xll.qlSimpleQuote(Currency&amp;$B62&amp;$C62&amp;$D62&amp;QuoteSuffix,,RateTickValue,Permanent,Trigger,ObjectOverwrite)</f>
        <v>HKDFEDOISFEB13_Quote#0001</v>
      </c>
      <c r="G62" s="117" t="str">
        <f>_xll.ohRangeRetrieveError(F62)</f>
        <v/>
      </c>
      <c r="H62" s="116"/>
    </row>
    <row r="63" spans="1:8" x14ac:dyDescent="0.25">
      <c r="A63" s="121"/>
      <c r="B63" s="120" t="s">
        <v>108</v>
      </c>
      <c r="C63" s="120" t="s">
        <v>107</v>
      </c>
      <c r="D63" s="119" t="str">
        <f>_xll.qlECBNextCode(_xll.qlECBdate(D62))</f>
        <v>MAR13</v>
      </c>
      <c r="E63" s="118" t="str">
        <f t="shared" si="6"/>
        <v>HKDFEDOISMAR13_Quote</v>
      </c>
      <c r="F63" s="118" t="str">
        <f>_xll.qlSimpleQuote(Currency&amp;$B63&amp;$C63&amp;$D63&amp;QuoteSuffix,,RateTickValue,Permanent,Trigger,ObjectOverwrite)</f>
        <v>HKDFEDOISMAR13_Quote#0001</v>
      </c>
      <c r="G63" s="117" t="str">
        <f>_xll.ohRangeRetrieveError(F63)</f>
        <v/>
      </c>
      <c r="H63" s="116"/>
    </row>
    <row r="64" spans="1:8" x14ac:dyDescent="0.25">
      <c r="A64" s="121"/>
      <c r="B64" s="120" t="s">
        <v>108</v>
      </c>
      <c r="C64" s="120" t="s">
        <v>107</v>
      </c>
      <c r="D64" s="119" t="str">
        <f>_xll.qlECBNextCode(_xll.qlECBdate(D63))</f>
        <v>APR13</v>
      </c>
      <c r="E64" s="118" t="str">
        <f t="shared" si="6"/>
        <v>HKDFEDOISAPR13_Quote</v>
      </c>
      <c r="F64" s="118" t="str">
        <f>_xll.qlSimpleQuote(Currency&amp;$B64&amp;$C64&amp;$D64&amp;QuoteSuffix,,RateTickValue,Permanent,Trigger,ObjectOverwrite)</f>
        <v>HKDFEDOISAPR13_Quote#0001</v>
      </c>
      <c r="G64" s="117" t="str">
        <f>_xll.ohRangeRetrieveError(F64)</f>
        <v/>
      </c>
      <c r="H64" s="116"/>
    </row>
    <row r="65" spans="1:8" x14ac:dyDescent="0.25">
      <c r="A65" s="121"/>
      <c r="B65" s="120" t="s">
        <v>108</v>
      </c>
      <c r="C65" s="120" t="s">
        <v>107</v>
      </c>
      <c r="D65" s="119" t="str">
        <f>_xll.qlECBNextCode(_xll.qlECBdate(D64))</f>
        <v>MAY13</v>
      </c>
      <c r="E65" s="118" t="str">
        <f t="shared" si="6"/>
        <v>HKDFEDOISMAY13_Quote</v>
      </c>
      <c r="F65" s="118" t="str">
        <f>_xll.qlSimpleQuote(Currency&amp;$B65&amp;$C65&amp;$D65&amp;QuoteSuffix,,RateTickValue,Permanent,Trigger,ObjectOverwrite)</f>
        <v>HKDFEDOISMAY13_Quote#0001</v>
      </c>
      <c r="G65" s="117" t="str">
        <f>_xll.ohRangeRetrieveError(F65)</f>
        <v/>
      </c>
      <c r="H65" s="116"/>
    </row>
    <row r="66" spans="1:8" x14ac:dyDescent="0.25">
      <c r="A66" s="121"/>
      <c r="B66" s="120" t="s">
        <v>108</v>
      </c>
      <c r="C66" s="120" t="s">
        <v>107</v>
      </c>
      <c r="D66" s="119" t="str">
        <f>_xll.qlECBNextCode(_xll.qlECBdate(D65))</f>
        <v>JUN13</v>
      </c>
      <c r="E66" s="118" t="str">
        <f t="shared" si="6"/>
        <v>HKDFEDOISJUN13_Quote</v>
      </c>
      <c r="F66" s="118" t="str">
        <f>_xll.qlSimpleQuote(Currency&amp;$B66&amp;$C66&amp;$D66&amp;QuoteSuffix,,RateTickValue,Permanent,Trigger,ObjectOverwrite)</f>
        <v>HKDFEDOISJUN13_Quote#0001</v>
      </c>
      <c r="G66" s="117" t="str">
        <f>_xll.ohRangeRetrieveError(F66)</f>
        <v/>
      </c>
      <c r="H66" s="116"/>
    </row>
    <row r="67" spans="1:8" x14ac:dyDescent="0.25">
      <c r="A67" s="121"/>
      <c r="B67" s="120" t="s">
        <v>108</v>
      </c>
      <c r="C67" s="120" t="s">
        <v>107</v>
      </c>
      <c r="D67" s="119" t="str">
        <f>_xll.qlECBNextCode(_xll.qlECBdate(D66))</f>
        <v>JUL13</v>
      </c>
      <c r="E67" s="118" t="str">
        <f t="shared" si="6"/>
        <v>HKDFEDOISJUL13_Quote</v>
      </c>
      <c r="F67" s="118" t="str">
        <f>_xll.qlSimpleQuote(Currency&amp;$B67&amp;$C67&amp;$D67&amp;QuoteSuffix,,RateTickValue,Permanent,Trigger,ObjectOverwrite)</f>
        <v>HKDFEDOISJUL13_Quote#0001</v>
      </c>
      <c r="G67" s="117" t="str">
        <f>_xll.ohRangeRetrieveError(F67)</f>
        <v/>
      </c>
      <c r="H67" s="116"/>
    </row>
    <row r="68" spans="1:8" x14ac:dyDescent="0.25">
      <c r="A68" s="121"/>
      <c r="B68" s="120" t="s">
        <v>108</v>
      </c>
      <c r="C68" s="120" t="s">
        <v>107</v>
      </c>
      <c r="D68" s="119" t="str">
        <f>_xll.qlECBNextCode(_xll.qlECBdate(D67))</f>
        <v>AUG13</v>
      </c>
      <c r="E68" s="118" t="str">
        <f t="shared" si="6"/>
        <v>HKDFEDOISAUG13_Quote</v>
      </c>
      <c r="F68" s="118" t="str">
        <f>_xll.qlSimpleQuote(Currency&amp;$B68&amp;$C68&amp;$D68&amp;QuoteSuffix,,RateTickValue,Permanent,Trigger,ObjectOverwrite)</f>
        <v>HKDFEDOISAUG13_Quote#0001</v>
      </c>
      <c r="G68" s="117" t="str">
        <f>_xll.ohRangeRetrieveError(F68)</f>
        <v/>
      </c>
      <c r="H68" s="116"/>
    </row>
    <row r="69" spans="1:8" x14ac:dyDescent="0.25">
      <c r="A69" s="121"/>
      <c r="B69" s="120" t="s">
        <v>108</v>
      </c>
      <c r="C69" s="120" t="s">
        <v>107</v>
      </c>
      <c r="D69" s="119" t="str">
        <f>_xll.qlECBNextCode(_xll.qlECBdate(D68))</f>
        <v>SEP13</v>
      </c>
      <c r="E69" s="118" t="str">
        <f t="shared" si="6"/>
        <v>HKDFEDOISSEP13_Quote</v>
      </c>
      <c r="F69" s="118" t="str">
        <f>_xll.qlSimpleQuote(Currency&amp;$B69&amp;$C69&amp;$D69&amp;QuoteSuffix,,RateTickValue,Permanent,Trigger,ObjectOverwrite)</f>
        <v>HKDFEDOISSEP13_Quote#0001</v>
      </c>
      <c r="G69" s="117" t="str">
        <f>_xll.ohRangeRetrieveError(F69)</f>
        <v/>
      </c>
      <c r="H69" s="116"/>
    </row>
    <row r="70" spans="1:8" x14ac:dyDescent="0.25">
      <c r="A70" s="121"/>
      <c r="B70" s="120" t="s">
        <v>108</v>
      </c>
      <c r="C70" s="120" t="s">
        <v>107</v>
      </c>
      <c r="D70" s="119" t="str">
        <f>_xll.qlECBNextCode(_xll.qlECBdate(D69))</f>
        <v>OCT13</v>
      </c>
      <c r="E70" s="118" t="str">
        <f t="shared" si="6"/>
        <v>HKDFEDOISOCT13_Quote</v>
      </c>
      <c r="F70" s="118" t="str">
        <f>_xll.qlSimpleQuote(Currency&amp;$B70&amp;$C70&amp;$D70&amp;QuoteSuffix,,RateTickValue,Permanent,Trigger,ObjectOverwrite)</f>
        <v>HKDFEDOISOCT13_Quote#0001</v>
      </c>
      <c r="G70" s="117" t="str">
        <f>_xll.ohRangeRetrieveError(F70)</f>
        <v/>
      </c>
      <c r="H70" s="116"/>
    </row>
    <row r="71" spans="1:8" x14ac:dyDescent="0.25">
      <c r="A71" s="121"/>
      <c r="B71" s="120" t="s">
        <v>108</v>
      </c>
      <c r="C71" s="120" t="s">
        <v>107</v>
      </c>
      <c r="D71" s="119" t="str">
        <f>_xll.qlECBNextCode(_xll.qlECBdate(D70))</f>
        <v>NOV13</v>
      </c>
      <c r="E71" s="118" t="str">
        <f t="shared" si="6"/>
        <v>HKDFEDOISNOV13_Quote</v>
      </c>
      <c r="F71" s="118" t="str">
        <f>_xll.qlSimpleQuote(Currency&amp;$B71&amp;$C71&amp;$D71&amp;QuoteSuffix,,RateTickValue,Permanent,Trigger,ObjectOverwrite)</f>
        <v>HKDFEDOISNOV13_Quote#0001</v>
      </c>
      <c r="G71" s="117" t="str">
        <f>_xll.ohRangeRetrieveError(F71)</f>
        <v/>
      </c>
      <c r="H71" s="116"/>
    </row>
    <row r="72" spans="1:8" x14ac:dyDescent="0.25">
      <c r="A72" s="121"/>
      <c r="B72" s="120" t="s">
        <v>108</v>
      </c>
      <c r="C72" s="120" t="s">
        <v>107</v>
      </c>
      <c r="D72" s="119" t="str">
        <f>_xll.qlECBNextCode(_xll.qlECBdate(D71))</f>
        <v>DEC13</v>
      </c>
      <c r="E72" s="118" t="str">
        <f t="shared" si="6"/>
        <v>HKDFEDOISDEC13_Quote</v>
      </c>
      <c r="F72" s="118" t="str">
        <f>_xll.qlSimpleQuote(Currency&amp;$B72&amp;$C72&amp;$D72&amp;QuoteSuffix,,RateTickValue,Permanent,Trigger,ObjectOverwrite)</f>
        <v>HKDFEDOISDEC13_Quote#0001</v>
      </c>
      <c r="G72" s="117" t="str">
        <f>_xll.ohRangeRetrieveError(F72)</f>
        <v/>
      </c>
      <c r="H72" s="116"/>
    </row>
    <row r="73" spans="1:8" x14ac:dyDescent="0.25">
      <c r="A73" s="121"/>
      <c r="B73" s="120" t="s">
        <v>108</v>
      </c>
      <c r="C73" s="120" t="s">
        <v>107</v>
      </c>
      <c r="D73" s="119" t="e">
        <f>_xll.qlECBNextCode(_xll.qlECBdate(D72))</f>
        <v>#NUM!</v>
      </c>
      <c r="E73" s="118" t="e">
        <f t="shared" si="6"/>
        <v>#NUM!</v>
      </c>
      <c r="F73" s="118" t="e">
        <f>_xll.qlSimpleQuote(Currency&amp;$B73&amp;$C73&amp;$D73&amp;QuoteSuffix,,RateTickValue,Permanent,Trigger,ObjectOverwrite)</f>
        <v>#VALUE!</v>
      </c>
      <c r="G73" s="117" t="str">
        <f ca="1">_xll.ohRangeRetrieveError(F73)</f>
        <v/>
      </c>
      <c r="H73" s="116"/>
    </row>
    <row r="74" spans="1:8" x14ac:dyDescent="0.25">
      <c r="A74" s="121"/>
      <c r="B74" s="120" t="s">
        <v>108</v>
      </c>
      <c r="C74" s="120" t="s">
        <v>107</v>
      </c>
      <c r="D74" s="119" t="e">
        <f>_xll.qlECBNextCode(_xll.qlECBdate(D73))</f>
        <v>#NUM!</v>
      </c>
      <c r="E74" s="118" t="e">
        <f t="shared" si="6"/>
        <v>#NUM!</v>
      </c>
      <c r="F74" s="118" t="e">
        <f>_xll.qlSimpleQuote(Currency&amp;$B74&amp;$C74&amp;$D74&amp;QuoteSuffix,,RateTickValue,Permanent,Trigger,ObjectOverwrite)</f>
        <v>#VALUE!</v>
      </c>
      <c r="G74" s="117" t="str">
        <f ca="1">_xll.ohRangeRetrieveError(F74)</f>
        <v/>
      </c>
      <c r="H74" s="116"/>
    </row>
    <row r="75" spans="1:8" x14ac:dyDescent="0.25">
      <c r="A75" s="121"/>
      <c r="B75" s="120" t="s">
        <v>108</v>
      </c>
      <c r="C75" s="120" t="s">
        <v>107</v>
      </c>
      <c r="D75" s="119" t="e">
        <f>_xll.qlECBNextCode(_xll.qlECBdate(D74))</f>
        <v>#NUM!</v>
      </c>
      <c r="E75" s="118" t="e">
        <f t="shared" si="6"/>
        <v>#NUM!</v>
      </c>
      <c r="F75" s="118" t="e">
        <f>_xll.qlSimpleQuote(Currency&amp;$B75&amp;$C75&amp;$D75&amp;QuoteSuffix,,RateTickValue,Permanent,Trigger,ObjectOverwrite)</f>
        <v>#VALUE!</v>
      </c>
      <c r="G75" s="117" t="str">
        <f ca="1">_xll.ohRangeRetrieveError(F75)</f>
        <v/>
      </c>
      <c r="H75" s="116"/>
    </row>
    <row r="76" spans="1:8" x14ac:dyDescent="0.25">
      <c r="A76" s="121"/>
      <c r="B76" s="120" t="s">
        <v>108</v>
      </c>
      <c r="C76" s="120" t="s">
        <v>107</v>
      </c>
      <c r="D76" s="119" t="e">
        <f>_xll.qlECBNextCode(_xll.qlECBdate(D75))</f>
        <v>#NUM!</v>
      </c>
      <c r="E76" s="118" t="e">
        <f t="shared" si="6"/>
        <v>#NUM!</v>
      </c>
      <c r="F76" s="118" t="e">
        <f>_xll.qlSimpleQuote(Currency&amp;$B76&amp;$C76&amp;$D76&amp;QuoteSuffix,,RateTickValue,Permanent,Trigger,ObjectOverwrite)</f>
        <v>#VALUE!</v>
      </c>
      <c r="G76" s="117" t="str">
        <f ca="1">_xll.ohRangeRetrieveError(F76)</f>
        <v/>
      </c>
      <c r="H76" s="116"/>
    </row>
    <row r="77" spans="1:8" x14ac:dyDescent="0.25">
      <c r="A77" s="121"/>
      <c r="B77" s="120" t="s">
        <v>108</v>
      </c>
      <c r="C77" s="120" t="s">
        <v>107</v>
      </c>
      <c r="D77" s="119" t="e">
        <f>_xll.qlECBNextCode(_xll.qlECBdate(D76))</f>
        <v>#NUM!</v>
      </c>
      <c r="E77" s="118" t="e">
        <f t="shared" si="6"/>
        <v>#NUM!</v>
      </c>
      <c r="F77" s="118" t="e">
        <f>_xll.qlSimpleQuote(Currency&amp;$B77&amp;$C77&amp;$D77&amp;QuoteSuffix,,RateTickValue,Permanent,Trigger,ObjectOverwrite)</f>
        <v>#VALUE!</v>
      </c>
      <c r="G77" s="117" t="str">
        <f ca="1">_xll.ohRangeRetrieveError(F77)</f>
        <v/>
      </c>
      <c r="H77" s="116"/>
    </row>
    <row r="78" spans="1:8" x14ac:dyDescent="0.25">
      <c r="A78" s="121"/>
      <c r="B78" s="120" t="s">
        <v>108</v>
      </c>
      <c r="C78" s="120" t="s">
        <v>107</v>
      </c>
      <c r="D78" s="119" t="e">
        <f>_xll.qlECBNextCode(_xll.qlECBdate(D77))</f>
        <v>#NUM!</v>
      </c>
      <c r="E78" s="118" t="e">
        <f t="shared" si="6"/>
        <v>#NUM!</v>
      </c>
      <c r="F78" s="118" t="e">
        <f>_xll.qlSimpleQuote(Currency&amp;$B78&amp;$C78&amp;$D78&amp;QuoteSuffix,,RateTickValue,Permanent,Trigger,ObjectOverwrite)</f>
        <v>#VALUE!</v>
      </c>
      <c r="G78" s="117" t="str">
        <f ca="1">_xll.ohRangeRetrieveError(F78)</f>
        <v/>
      </c>
      <c r="H78" s="116"/>
    </row>
    <row r="79" spans="1:8" x14ac:dyDescent="0.25">
      <c r="A79" s="121"/>
      <c r="B79" s="120" t="s">
        <v>108</v>
      </c>
      <c r="C79" s="120" t="s">
        <v>107</v>
      </c>
      <c r="D79" s="119" t="e">
        <f>_xll.qlECBNextCode(_xll.qlECBdate(D78))</f>
        <v>#NUM!</v>
      </c>
      <c r="E79" s="118" t="e">
        <f t="shared" si="6"/>
        <v>#NUM!</v>
      </c>
      <c r="F79" s="118" t="e">
        <f>_xll.qlSimpleQuote(Currency&amp;$B79&amp;$C79&amp;$D79&amp;QuoteSuffix,,RateTickValue,Permanent,Trigger,ObjectOverwrite)</f>
        <v>#VALUE!</v>
      </c>
      <c r="G79" s="117" t="str">
        <f ca="1">_xll.ohRangeRetrieveError(F79)</f>
        <v/>
      </c>
      <c r="H79" s="116"/>
    </row>
    <row r="80" spans="1:8" x14ac:dyDescent="0.25">
      <c r="A80" s="121"/>
      <c r="B80" s="120" t="s">
        <v>108</v>
      </c>
      <c r="C80" s="120" t="s">
        <v>107</v>
      </c>
      <c r="D80" s="119" t="e">
        <f>_xll.qlECBNextCode(_xll.qlECBdate(D79))</f>
        <v>#NUM!</v>
      </c>
      <c r="E80" s="118" t="e">
        <f t="shared" si="6"/>
        <v>#NUM!</v>
      </c>
      <c r="F80" s="118" t="e">
        <f>_xll.qlSimpleQuote(Currency&amp;$B80&amp;$C80&amp;$D80&amp;QuoteSuffix,,RateTickValue,Permanent,Trigger,ObjectOverwrite)</f>
        <v>#VALUE!</v>
      </c>
      <c r="G80" s="117" t="str">
        <f ca="1">_xll.ohRangeRetrieveError(F80)</f>
        <v/>
      </c>
      <c r="H80" s="116"/>
    </row>
    <row r="81" spans="1:8" x14ac:dyDescent="0.25">
      <c r="A81" s="121"/>
      <c r="B81" s="120" t="s">
        <v>108</v>
      </c>
      <c r="C81" s="120" t="s">
        <v>107</v>
      </c>
      <c r="D81" s="119" t="e">
        <f>_xll.qlECBNextCode(_xll.qlECBdate(D80))</f>
        <v>#NUM!</v>
      </c>
      <c r="E81" s="118" t="e">
        <f t="shared" si="6"/>
        <v>#NUM!</v>
      </c>
      <c r="F81" s="118" t="e">
        <f>_xll.qlSimpleQuote(Currency&amp;$B81&amp;$C81&amp;$D81&amp;QuoteSuffix,,RateTickValue,Permanent,Trigger,ObjectOverwrite)</f>
        <v>#VALUE!</v>
      </c>
      <c r="G81" s="117" t="str">
        <f ca="1">_xll.ohRangeRetrieveError(F81)</f>
        <v/>
      </c>
      <c r="H81" s="116"/>
    </row>
    <row r="82" spans="1:8" x14ac:dyDescent="0.25">
      <c r="A82" s="121"/>
      <c r="B82" s="120" t="s">
        <v>108</v>
      </c>
      <c r="C82" s="120" t="s">
        <v>107</v>
      </c>
      <c r="D82" s="119" t="e">
        <f>_xll.qlECBNextCode(_xll.qlECBdate(D81))</f>
        <v>#NUM!</v>
      </c>
      <c r="E82" s="118" t="e">
        <f t="shared" si="6"/>
        <v>#NUM!</v>
      </c>
      <c r="F82" s="118" t="e">
        <f>_xll.qlSimpleQuote(Currency&amp;$B82&amp;$C82&amp;$D82&amp;QuoteSuffix,,RateTickValue,Permanent,Trigger,ObjectOverwrite)</f>
        <v>#VALUE!</v>
      </c>
      <c r="G82" s="117" t="str">
        <f ca="1">_xll.ohRangeRetrieveError(F82)</f>
        <v/>
      </c>
      <c r="H82" s="116"/>
    </row>
    <row r="83" spans="1:8" x14ac:dyDescent="0.25">
      <c r="A83" s="121"/>
      <c r="B83" s="120" t="s">
        <v>108</v>
      </c>
      <c r="C83" s="120" t="s">
        <v>107</v>
      </c>
      <c r="D83" s="119" t="e">
        <f>_xll.qlECBNextCode(_xll.qlECBdate(D82))</f>
        <v>#NUM!</v>
      </c>
      <c r="E83" s="118" t="e">
        <f t="shared" si="6"/>
        <v>#NUM!</v>
      </c>
      <c r="F83" s="118" t="e">
        <f>_xll.qlSimpleQuote(Currency&amp;$B83&amp;$C83&amp;$D83&amp;QuoteSuffix,,RateTickValue,Permanent,Trigger,ObjectOverwrite)</f>
        <v>#VALUE!</v>
      </c>
      <c r="G83" s="117" t="str">
        <f ca="1">_xll.ohRangeRetrieveError(F83)</f>
        <v/>
      </c>
      <c r="H83" s="116"/>
    </row>
    <row r="84" spans="1:8" x14ac:dyDescent="0.25">
      <c r="A84" s="121"/>
      <c r="B84" s="120" t="s">
        <v>108</v>
      </c>
      <c r="C84" s="120" t="s">
        <v>107</v>
      </c>
      <c r="D84" s="119" t="e">
        <f>_xll.qlECBNextCode(_xll.qlECBdate(D83))</f>
        <v>#NUM!</v>
      </c>
      <c r="E84" s="118" t="e">
        <f t="shared" si="6"/>
        <v>#NUM!</v>
      </c>
      <c r="F84" s="118" t="e">
        <f>_xll.qlSimpleQuote(Currency&amp;$B84&amp;$C84&amp;$D84&amp;QuoteSuffix,,RateTickValue,Permanent,Trigger,ObjectOverwrite)</f>
        <v>#VALUE!</v>
      </c>
      <c r="G84" s="117" t="str">
        <f ca="1">_xll.ohRangeRetrieveError(F84)</f>
        <v/>
      </c>
      <c r="H84" s="116"/>
    </row>
    <row r="85" spans="1:8" x14ac:dyDescent="0.25">
      <c r="A85" s="121"/>
      <c r="B85" s="120" t="s">
        <v>108</v>
      </c>
      <c r="C85" s="120" t="s">
        <v>107</v>
      </c>
      <c r="D85" s="119" t="e">
        <f>_xll.qlECBNextCode(_xll.qlECBdate(D84))</f>
        <v>#NUM!</v>
      </c>
      <c r="E85" s="118" t="e">
        <f t="shared" si="6"/>
        <v>#NUM!</v>
      </c>
      <c r="F85" s="118" t="e">
        <f>_xll.qlSimpleQuote(Currency&amp;$B85&amp;$C85&amp;$D85&amp;QuoteSuffix,,RateTickValue,Permanent,Trigger,ObjectOverwrite)</f>
        <v>#VALUE!</v>
      </c>
      <c r="G85" s="117" t="str">
        <f ca="1">_xll.ohRangeRetrieveError(F85)</f>
        <v/>
      </c>
      <c r="H85" s="116"/>
    </row>
    <row r="86" spans="1:8" x14ac:dyDescent="0.25">
      <c r="A86" s="121"/>
      <c r="B86" s="120" t="s">
        <v>108</v>
      </c>
      <c r="C86" s="120" t="s">
        <v>107</v>
      </c>
      <c r="D86" s="119" t="e">
        <f>_xll.qlECBNextCode(_xll.qlECBdate(D85))</f>
        <v>#NUM!</v>
      </c>
      <c r="E86" s="118" t="e">
        <f t="shared" si="6"/>
        <v>#NUM!</v>
      </c>
      <c r="F86" s="118" t="e">
        <f>_xll.qlSimpleQuote(Currency&amp;$B86&amp;$C86&amp;$D86&amp;QuoteSuffix,,RateTickValue,Permanent,Trigger,ObjectOverwrite)</f>
        <v>#VALUE!</v>
      </c>
      <c r="G86" s="117" t="str">
        <f ca="1">_xll.ohRangeRetrieveError(F86)</f>
        <v/>
      </c>
      <c r="H86" s="116"/>
    </row>
    <row r="87" spans="1:8" x14ac:dyDescent="0.25">
      <c r="A87" s="121"/>
      <c r="B87" s="120" t="s">
        <v>108</v>
      </c>
      <c r="C87" s="120" t="s">
        <v>107</v>
      </c>
      <c r="D87" s="119" t="e">
        <f>_xll.qlECBNextCode(_xll.qlECBdate(D86))</f>
        <v>#NUM!</v>
      </c>
      <c r="E87" s="118" t="e">
        <f t="shared" si="6"/>
        <v>#NUM!</v>
      </c>
      <c r="F87" s="118" t="e">
        <f>_xll.qlSimpleQuote(Currency&amp;$B87&amp;$C87&amp;$D87&amp;QuoteSuffix,,RateTickValue,Permanent,Trigger,ObjectOverwrite)</f>
        <v>#VALUE!</v>
      </c>
      <c r="G87" s="117" t="str">
        <f ca="1">_xll.ohRangeRetrieveError(F87)</f>
        <v/>
      </c>
      <c r="H87" s="116"/>
    </row>
    <row r="88" spans="1:8" x14ac:dyDescent="0.25">
      <c r="A88" s="121"/>
      <c r="B88" s="120" t="s">
        <v>108</v>
      </c>
      <c r="C88" s="120" t="s">
        <v>107</v>
      </c>
      <c r="D88" s="119" t="e">
        <f>_xll.qlECBNextCode(_xll.qlECBdate(D87))</f>
        <v>#NUM!</v>
      </c>
      <c r="E88" s="118" t="e">
        <f t="shared" si="6"/>
        <v>#NUM!</v>
      </c>
      <c r="F88" s="118" t="e">
        <f>_xll.qlSimpleQuote(Currency&amp;$B88&amp;$C88&amp;$D88&amp;QuoteSuffix,,RateTickValue,Permanent,Trigger,ObjectOverwrite)</f>
        <v>#VALUE!</v>
      </c>
      <c r="G88" s="117" t="str">
        <f ca="1">_xll.ohRangeRetrieveError(F88)</f>
        <v/>
      </c>
      <c r="H88" s="116"/>
    </row>
    <row r="89" spans="1:8" x14ac:dyDescent="0.25">
      <c r="A89" s="121"/>
      <c r="B89" s="120" t="s">
        <v>108</v>
      </c>
      <c r="C89" s="120" t="s">
        <v>107</v>
      </c>
      <c r="D89" s="119" t="e">
        <f>_xll.qlECBNextCode(_xll.qlECBdate(D88))</f>
        <v>#NUM!</v>
      </c>
      <c r="E89" s="118" t="e">
        <f t="shared" si="6"/>
        <v>#NUM!</v>
      </c>
      <c r="F89" s="118" t="e">
        <f>_xll.qlSimpleQuote(Currency&amp;$B89&amp;$C89&amp;$D89&amp;QuoteSuffix,,RateTickValue,Permanent,Trigger,ObjectOverwrite)</f>
        <v>#VALUE!</v>
      </c>
      <c r="G89" s="117" t="str">
        <f ca="1">_xll.ohRangeRetrieveError(F89)</f>
        <v/>
      </c>
      <c r="H89" s="116"/>
    </row>
    <row r="90" spans="1:8" x14ac:dyDescent="0.25">
      <c r="A90" s="121"/>
      <c r="B90" s="120" t="s">
        <v>108</v>
      </c>
      <c r="C90" s="120" t="s">
        <v>107</v>
      </c>
      <c r="D90" s="119" t="e">
        <f>_xll.qlECBNextCode(_xll.qlECBdate(D89))</f>
        <v>#NUM!</v>
      </c>
      <c r="E90" s="118" t="e">
        <f t="shared" si="6"/>
        <v>#NUM!</v>
      </c>
      <c r="F90" s="118" t="e">
        <f>_xll.qlSimpleQuote(Currency&amp;$B90&amp;$C90&amp;$D90&amp;QuoteSuffix,,RateTickValue,Permanent,Trigger,ObjectOverwrite)</f>
        <v>#VALUE!</v>
      </c>
      <c r="G90" s="117" t="str">
        <f ca="1">_xll.ohRangeRetrieveError(F90)</f>
        <v/>
      </c>
      <c r="H90" s="116"/>
    </row>
    <row r="91" spans="1:8" x14ac:dyDescent="0.25">
      <c r="A91" s="121"/>
      <c r="B91" s="120" t="s">
        <v>108</v>
      </c>
      <c r="C91" s="120" t="s">
        <v>107</v>
      </c>
      <c r="D91" s="119" t="e">
        <f>_xll.qlECBNextCode(_xll.qlECBdate(D90))</f>
        <v>#NUM!</v>
      </c>
      <c r="E91" s="118" t="e">
        <f t="shared" si="6"/>
        <v>#NUM!</v>
      </c>
      <c r="F91" s="118" t="e">
        <f>_xll.qlSimpleQuote(Currency&amp;$B91&amp;$C91&amp;$D91&amp;QuoteSuffix,,RateTickValue,Permanent,Trigger,ObjectOverwrite)</f>
        <v>#VALUE!</v>
      </c>
      <c r="G91" s="117" t="str">
        <f ca="1">_xll.ohRangeRetrieveError(F91)</f>
        <v/>
      </c>
      <c r="H91" s="116"/>
    </row>
    <row r="92" spans="1:8" x14ac:dyDescent="0.25">
      <c r="A92" s="121"/>
      <c r="B92" s="120" t="s">
        <v>108</v>
      </c>
      <c r="C92" s="120" t="s">
        <v>107</v>
      </c>
      <c r="D92" s="119" t="e">
        <f>_xll.qlECBNextCode(_xll.qlECBdate(D91))</f>
        <v>#NUM!</v>
      </c>
      <c r="E92" s="118" t="e">
        <f t="shared" si="6"/>
        <v>#NUM!</v>
      </c>
      <c r="F92" s="118" t="e">
        <f>_xll.qlSimpleQuote(Currency&amp;$B92&amp;$C92&amp;$D92&amp;QuoteSuffix,,RateTickValue,Permanent,Trigger,ObjectOverwrite)</f>
        <v>#VALUE!</v>
      </c>
      <c r="G92" s="117" t="str">
        <f ca="1">_xll.ohRangeRetrieveError(F92)</f>
        <v/>
      </c>
      <c r="H92" s="116"/>
    </row>
    <row r="93" spans="1:8" x14ac:dyDescent="0.25">
      <c r="A93" s="121"/>
      <c r="B93" s="120" t="s">
        <v>108</v>
      </c>
      <c r="C93" s="120" t="s">
        <v>107</v>
      </c>
      <c r="D93" s="119" t="e">
        <f>_xll.qlECBNextCode(_xll.qlECBdate(D92))</f>
        <v>#NUM!</v>
      </c>
      <c r="E93" s="118" t="e">
        <f t="shared" si="6"/>
        <v>#NUM!</v>
      </c>
      <c r="F93" s="118" t="e">
        <f>_xll.qlSimpleQuote(Currency&amp;$B93&amp;$C93&amp;$D93&amp;QuoteSuffix,,RateTickValue,Permanent,Trigger,ObjectOverwrite)</f>
        <v>#VALUE!</v>
      </c>
      <c r="G93" s="117" t="str">
        <f ca="1">_xll.ohRangeRetrieveError(F93)</f>
        <v/>
      </c>
      <c r="H93" s="116"/>
    </row>
    <row r="94" spans="1:8" x14ac:dyDescent="0.25">
      <c r="A94" s="121"/>
      <c r="B94" s="120" t="s">
        <v>108</v>
      </c>
      <c r="C94" s="120" t="s">
        <v>107</v>
      </c>
      <c r="D94" s="119" t="e">
        <f>_xll.qlECBNextCode(_xll.qlECBdate(D93))</f>
        <v>#NUM!</v>
      </c>
      <c r="E94" s="118" t="e">
        <f t="shared" si="6"/>
        <v>#NUM!</v>
      </c>
      <c r="F94" s="118" t="e">
        <f>_xll.qlSimpleQuote(Currency&amp;$B94&amp;$C94&amp;$D94&amp;QuoteSuffix,,RateTickValue,Permanent,Trigger,ObjectOverwrite)</f>
        <v>#VALUE!</v>
      </c>
      <c r="G94" s="117" t="str">
        <f ca="1">_xll.ohRangeRetrieveError(F94)</f>
        <v/>
      </c>
      <c r="H94" s="116"/>
    </row>
    <row r="95" spans="1:8" x14ac:dyDescent="0.25">
      <c r="A95" s="121"/>
      <c r="B95" s="120" t="s">
        <v>108</v>
      </c>
      <c r="C95" s="120" t="s">
        <v>107</v>
      </c>
      <c r="D95" s="119" t="e">
        <f>_xll.qlECBNextCode(_xll.qlECBdate(D94))</f>
        <v>#NUM!</v>
      </c>
      <c r="E95" s="118" t="e">
        <f t="shared" si="6"/>
        <v>#NUM!</v>
      </c>
      <c r="F95" s="118" t="e">
        <f>_xll.qlSimpleQuote(Currency&amp;$B95&amp;$C95&amp;$D95&amp;QuoteSuffix,,RateTickValue,Permanent,Trigger,ObjectOverwrite)</f>
        <v>#VALUE!</v>
      </c>
      <c r="G95" s="117" t="str">
        <f ca="1">_xll.ohRangeRetrieveError(F95)</f>
        <v/>
      </c>
      <c r="H95" s="116"/>
    </row>
    <row r="96" spans="1:8" ht="14.25" thickBot="1" x14ac:dyDescent="0.3">
      <c r="A96" s="115"/>
      <c r="B96" s="114"/>
      <c r="C96" s="114"/>
      <c r="D96" s="114"/>
      <c r="E96" s="114"/>
      <c r="F96" s="113"/>
      <c r="G96" s="113"/>
      <c r="H96" s="112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H17"/>
  <sheetViews>
    <sheetView workbookViewId="0"/>
  </sheetViews>
  <sheetFormatPr defaultRowHeight="12.75" x14ac:dyDescent="0.2"/>
  <cols>
    <col min="1" max="1" width="3.7109375" style="40" customWidth="1"/>
    <col min="2" max="2" width="4.85546875" style="62" bestFit="1" customWidth="1"/>
    <col min="3" max="3" width="5.140625" style="40" bestFit="1" customWidth="1"/>
    <col min="4" max="4" width="3.85546875" style="40" bestFit="1" customWidth="1"/>
    <col min="5" max="5" width="16.140625" style="40" bestFit="1" customWidth="1"/>
    <col min="6" max="6" width="20.5703125" style="61" bestFit="1" customWidth="1"/>
    <col min="7" max="7" width="38.28515625" style="40" customWidth="1"/>
    <col min="8" max="8" width="4.42578125" style="40" customWidth="1"/>
    <col min="9" max="13" width="9.140625" style="40"/>
    <col min="14" max="14" width="11" style="40" bestFit="1" customWidth="1"/>
    <col min="15" max="15" width="15.85546875" style="40" bestFit="1" customWidth="1"/>
    <col min="16" max="16384" width="9.140625" style="40"/>
  </cols>
  <sheetData>
    <row r="1" spans="1:34" ht="15.75" thickBot="1" x14ac:dyDescent="0.3">
      <c r="J1" s="27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0"/>
      <c r="AB1"/>
      <c r="AC1"/>
      <c r="AD1"/>
      <c r="AE1"/>
      <c r="AF1"/>
      <c r="AG1"/>
      <c r="AH1"/>
    </row>
    <row r="2" spans="1:34" ht="15.75" thickBot="1" x14ac:dyDescent="0.3">
      <c r="J2" s="219"/>
      <c r="K2" s="190"/>
      <c r="L2" s="190"/>
      <c r="M2" s="190"/>
      <c r="N2" s="190"/>
      <c r="O2" s="217" t="s">
        <v>217</v>
      </c>
      <c r="P2" s="190"/>
      <c r="Q2" s="190"/>
      <c r="R2" s="190"/>
      <c r="S2" s="190"/>
      <c r="T2" s="268"/>
      <c r="U2" s="190"/>
      <c r="V2" s="190"/>
      <c r="W2" s="190"/>
      <c r="X2" s="341" t="s">
        <v>195</v>
      </c>
      <c r="Y2" s="340" t="s">
        <v>2</v>
      </c>
      <c r="Z2" s="268"/>
      <c r="AA2" s="214"/>
      <c r="AB2"/>
      <c r="AC2"/>
      <c r="AD2"/>
      <c r="AE2"/>
      <c r="AF2"/>
      <c r="AG2"/>
      <c r="AH2"/>
    </row>
    <row r="3" spans="1:34" ht="15" x14ac:dyDescent="0.25">
      <c r="A3" s="149"/>
      <c r="B3" s="148"/>
      <c r="C3" s="148"/>
      <c r="D3" s="148"/>
      <c r="E3" s="146"/>
      <c r="F3" s="147"/>
      <c r="G3" s="146"/>
      <c r="H3" s="145"/>
      <c r="J3" s="195"/>
      <c r="K3" s="190"/>
      <c r="L3" s="268"/>
      <c r="M3" s="268"/>
      <c r="N3" s="268"/>
      <c r="O3" s="268"/>
      <c r="P3" s="268"/>
      <c r="Q3" s="268"/>
      <c r="R3" s="268"/>
      <c r="S3" s="268"/>
      <c r="T3" s="268"/>
      <c r="U3" s="190"/>
      <c r="V3" s="190"/>
      <c r="W3" s="190"/>
      <c r="X3" s="268"/>
      <c r="Y3" s="268"/>
      <c r="Z3" s="212">
        <f>_xll.ohTrigger(Z5:Z15)</f>
        <v>3</v>
      </c>
      <c r="AA3" s="186"/>
      <c r="AB3"/>
      <c r="AC3"/>
      <c r="AD3"/>
      <c r="AE3"/>
      <c r="AF3"/>
      <c r="AG3"/>
      <c r="AH3"/>
    </row>
    <row r="4" spans="1:34" ht="22.5" x14ac:dyDescent="0.25">
      <c r="A4" s="73"/>
      <c r="B4" s="144"/>
      <c r="C4" s="143"/>
      <c r="D4" s="44"/>
      <c r="E4" s="43" t="str">
        <f>Currency&amp;"_010_Sw"&amp;"1M.xml"</f>
        <v>HKD_010_Sw1M.xml</v>
      </c>
      <c r="F4" s="42" t="e">
        <f ca="1">IF(Serialize,_xll.ohObjectSave(F5:F15,SerializationPath&amp;E4,FileOverwrite,,Serialize),"---")</f>
        <v>#NUM!</v>
      </c>
      <c r="G4" s="25" t="str">
        <f ca="1">_xll.ohRangeRetrieveError(F4)</f>
        <v>ohObjectSave - ObjectHandler error: attempt to retrieve object with unknown ID 'HKDAM1H2M_Quote'</v>
      </c>
      <c r="H4" s="67"/>
      <c r="J4" s="195"/>
      <c r="K4" s="339"/>
      <c r="L4" s="265"/>
      <c r="M4" s="265"/>
      <c r="N4" s="265"/>
      <c r="O4" s="211" t="str">
        <f>_xll.RData(O5:O15,P4:S4,,ReutersRtMode,,P5)</f>
        <v>Updated at 16:19:59</v>
      </c>
      <c r="P4" s="264" t="s">
        <v>233</v>
      </c>
      <c r="Q4" s="264" t="s">
        <v>208</v>
      </c>
      <c r="R4" s="264" t="s">
        <v>204</v>
      </c>
      <c r="S4" s="264" t="s">
        <v>232</v>
      </c>
      <c r="T4" s="206" t="s">
        <v>231</v>
      </c>
      <c r="U4" s="190"/>
      <c r="V4" s="209" t="s">
        <v>192</v>
      </c>
      <c r="W4" s="190"/>
      <c r="X4" s="208" t="s">
        <v>191</v>
      </c>
      <c r="Y4" s="338" t="s">
        <v>190</v>
      </c>
      <c r="Z4" s="337" t="s">
        <v>189</v>
      </c>
      <c r="AA4" s="186"/>
      <c r="AB4"/>
      <c r="AC4"/>
      <c r="AD4"/>
      <c r="AE4"/>
      <c r="AF4"/>
      <c r="AG4" s="260" t="s">
        <v>230</v>
      </c>
      <c r="AH4"/>
    </row>
    <row r="5" spans="1:34" ht="15" x14ac:dyDescent="0.25">
      <c r="A5" s="73"/>
      <c r="B5" s="142" t="s">
        <v>140</v>
      </c>
      <c r="C5" s="28" t="s">
        <v>138</v>
      </c>
      <c r="D5" s="27">
        <v>2</v>
      </c>
      <c r="E5" s="26" t="str">
        <f t="shared" ref="E5:E15" si="0">Currency&amp;$C5&amp;$D5&amp;$B5&amp;QuoteSuffix</f>
        <v>HKDAM1H2M_Quote</v>
      </c>
      <c r="F5" s="26" t="str">
        <f>_xll.qlSimpleQuote(Currency&amp;$C5&amp;$D5&amp;$B5&amp;QuoteSuffix,,RateTickValue,Permanent,Trigger,ObjectOverwrite)</f>
        <v>HKDAM1H2M_Quote#0001</v>
      </c>
      <c r="G5" s="141" t="str">
        <f>_xll.ohRangeRetrieveError(F5)</f>
        <v/>
      </c>
      <c r="H5" s="67"/>
      <c r="J5" s="195"/>
      <c r="K5" s="198" t="s">
        <v>134</v>
      </c>
      <c r="L5" s="244" t="s">
        <v>138</v>
      </c>
      <c r="M5" s="244"/>
      <c r="N5" s="193" t="str">
        <f t="shared" ref="N5:N15" si="1">Currency&amp;$L5&amp;$M5&amp;$K5</f>
        <v>HKDAM1H2M</v>
      </c>
      <c r="O5" s="193" t="str">
        <f t="array" ref="O5:O15">Instruments&amp;"="&amp;VLOOKUP(Contributor,ContributorTable,2,FALSE)</f>
        <v>HKDAM1H2M=PREA</v>
      </c>
      <c r="P5" s="245" t="s">
        <v>188</v>
      </c>
      <c r="Q5" s="245" t="s">
        <v>188</v>
      </c>
      <c r="R5" s="245" t="s">
        <v>188</v>
      </c>
      <c r="S5" s="245" t="s">
        <v>188</v>
      </c>
      <c r="T5" s="336" t="e">
        <f>_xll.qlMidSafe($P5,$Q5)</f>
        <v>#NUM!</v>
      </c>
      <c r="U5" s="190"/>
      <c r="V5" s="199" t="e">
        <v>#NUM!</v>
      </c>
      <c r="W5" s="190"/>
      <c r="X5" s="198" t="str">
        <f t="shared" ref="X5:X15" si="2">$N5&amp;$Y$2</f>
        <v>HKDAM1H2M_Quote</v>
      </c>
      <c r="Y5" s="197" t="e">
        <f t="array" ref="Y5:Y15">QuoteLive</f>
        <v>#NUM!</v>
      </c>
      <c r="Z5" s="196" t="e">
        <f>_xll.qlSimpleQuoteSetValue($X5,$Y5/100,Trigger)</f>
        <v>#NUM!</v>
      </c>
      <c r="AA5" s="186"/>
      <c r="AB5"/>
      <c r="AC5" s="333"/>
      <c r="AD5"/>
      <c r="AE5"/>
      <c r="AF5"/>
      <c r="AG5" s="233" t="e">
        <f t="shared" ref="AG5:AG15" si="3">(Q5-T5)/50</f>
        <v>#VALUE!</v>
      </c>
      <c r="AH5"/>
    </row>
    <row r="6" spans="1:34" ht="15" x14ac:dyDescent="0.25">
      <c r="A6" s="73"/>
      <c r="B6" s="140" t="s">
        <v>140</v>
      </c>
      <c r="C6" s="139" t="s">
        <v>138</v>
      </c>
      <c r="D6" s="138">
        <v>3</v>
      </c>
      <c r="E6" s="26" t="str">
        <f t="shared" si="0"/>
        <v>HKDAM1H3M_Quote</v>
      </c>
      <c r="F6" s="26" t="str">
        <f>_xll.qlSimpleQuote(Currency&amp;$C6&amp;$D6&amp;$B6&amp;QuoteSuffix,,RateTickValue,Permanent,Trigger,ObjectOverwrite)</f>
        <v>HKDAM1H3M_Quote#0001</v>
      </c>
      <c r="G6" s="137" t="str">
        <f>_xll.ohRangeRetrieveError(F6)</f>
        <v/>
      </c>
      <c r="H6" s="67"/>
      <c r="J6" s="195"/>
      <c r="K6" s="198" t="s">
        <v>106</v>
      </c>
      <c r="L6" s="244" t="s">
        <v>138</v>
      </c>
      <c r="M6" s="244"/>
      <c r="N6" s="193" t="str">
        <f t="shared" si="1"/>
        <v>HKDAM1H3M</v>
      </c>
      <c r="O6" s="193" t="str">
        <v>HKDAM1H3M=PREA</v>
      </c>
      <c r="P6" s="245">
        <v>0.16</v>
      </c>
      <c r="Q6" s="245">
        <v>0.26</v>
      </c>
      <c r="R6" s="245">
        <v>0</v>
      </c>
      <c r="S6" s="245">
        <v>0</v>
      </c>
      <c r="T6" s="336">
        <f>_xll.qlMidSafe($P6,$Q6)</f>
        <v>0.21000000000000002</v>
      </c>
      <c r="U6" s="190"/>
      <c r="V6" s="199">
        <v>0.21000000000000002</v>
      </c>
      <c r="W6" s="190"/>
      <c r="X6" s="198" t="str">
        <f t="shared" si="2"/>
        <v>HKDAM1H3M_Quote</v>
      </c>
      <c r="Y6" s="197">
        <v>0.21000000000000002</v>
      </c>
      <c r="Z6" s="196" t="e">
        <f>_xll.qlSimpleQuoteSetValue($X6,$Y6/100,Trigger)</f>
        <v>#NUM!</v>
      </c>
      <c r="AA6" s="186"/>
      <c r="AB6"/>
      <c r="AC6" s="333"/>
      <c r="AD6"/>
      <c r="AE6"/>
      <c r="AF6"/>
      <c r="AG6" s="233">
        <f t="shared" si="3"/>
        <v>9.999999999999998E-4</v>
      </c>
      <c r="AH6"/>
    </row>
    <row r="7" spans="1:34" ht="15" x14ac:dyDescent="0.25">
      <c r="A7" s="73"/>
      <c r="B7" s="140" t="s">
        <v>140</v>
      </c>
      <c r="C7" s="139" t="s">
        <v>138</v>
      </c>
      <c r="D7" s="138">
        <v>4</v>
      </c>
      <c r="E7" s="26" t="str">
        <f t="shared" si="0"/>
        <v>HKDAM1H4M_Quote</v>
      </c>
      <c r="F7" s="26" t="str">
        <f>_xll.qlSimpleQuote(Currency&amp;$C7&amp;$D7&amp;$B7&amp;QuoteSuffix,,RateTickValue,Permanent,Trigger,ObjectOverwrite)</f>
        <v>HKDAM1H4M_Quote#0001</v>
      </c>
      <c r="G7" s="137" t="str">
        <f>_xll.ohRangeRetrieveError(F7)</f>
        <v/>
      </c>
      <c r="H7" s="67"/>
      <c r="J7" s="195"/>
      <c r="K7" s="198" t="s">
        <v>133</v>
      </c>
      <c r="L7" s="244" t="s">
        <v>138</v>
      </c>
      <c r="M7" s="244"/>
      <c r="N7" s="193" t="str">
        <f t="shared" si="1"/>
        <v>HKDAM1H4M</v>
      </c>
      <c r="O7" s="193" t="str">
        <v>HKDAM1H4M=PREA</v>
      </c>
      <c r="P7" s="245" t="s">
        <v>188</v>
      </c>
      <c r="Q7" s="245" t="s">
        <v>188</v>
      </c>
      <c r="R7" s="245" t="s">
        <v>188</v>
      </c>
      <c r="S7" s="245" t="s">
        <v>188</v>
      </c>
      <c r="T7" s="336" t="e">
        <f>_xll.qlMidSafe($P7,$Q7)</f>
        <v>#NUM!</v>
      </c>
      <c r="U7" s="190"/>
      <c r="V7" s="199" t="e">
        <v>#NUM!</v>
      </c>
      <c r="W7" s="190"/>
      <c r="X7" s="198" t="str">
        <f t="shared" si="2"/>
        <v>HKDAM1H4M_Quote</v>
      </c>
      <c r="Y7" s="197" t="e">
        <v>#NUM!</v>
      </c>
      <c r="Z7" s="196" t="e">
        <f>_xll.qlSimpleQuoteSetValue($X7,$Y7/100,Trigger)</f>
        <v>#NUM!</v>
      </c>
      <c r="AA7" s="186"/>
      <c r="AB7"/>
      <c r="AC7" s="333"/>
      <c r="AD7"/>
      <c r="AE7"/>
      <c r="AF7"/>
      <c r="AG7" s="233" t="e">
        <f t="shared" si="3"/>
        <v>#VALUE!</v>
      </c>
      <c r="AH7"/>
    </row>
    <row r="8" spans="1:34" ht="15" x14ac:dyDescent="0.25">
      <c r="A8" s="73"/>
      <c r="B8" s="140" t="s">
        <v>140</v>
      </c>
      <c r="C8" s="139" t="s">
        <v>138</v>
      </c>
      <c r="D8" s="138">
        <v>5</v>
      </c>
      <c r="E8" s="26" t="str">
        <f t="shared" si="0"/>
        <v>HKDAM1H5M_Quote</v>
      </c>
      <c r="F8" s="26" t="str">
        <f>_xll.qlSimpleQuote(Currency&amp;$C8&amp;$D8&amp;$B8&amp;QuoteSuffix,,RateTickValue,Permanent,Trigger,ObjectOverwrite)</f>
        <v>HKDAM1H5M_Quote#0001</v>
      </c>
      <c r="G8" s="137" t="str">
        <f>_xll.ohRangeRetrieveError(F8)</f>
        <v/>
      </c>
      <c r="H8" s="67"/>
      <c r="J8" s="195"/>
      <c r="K8" s="198" t="s">
        <v>132</v>
      </c>
      <c r="L8" s="244" t="s">
        <v>138</v>
      </c>
      <c r="M8" s="244"/>
      <c r="N8" s="193" t="str">
        <f t="shared" si="1"/>
        <v>HKDAM1H5M</v>
      </c>
      <c r="O8" s="193" t="str">
        <v>HKDAM1H5M=PREA</v>
      </c>
      <c r="P8" s="245" t="s">
        <v>188</v>
      </c>
      <c r="Q8" s="245" t="s">
        <v>188</v>
      </c>
      <c r="R8" s="245" t="s">
        <v>188</v>
      </c>
      <c r="S8" s="245" t="s">
        <v>188</v>
      </c>
      <c r="T8" s="336" t="e">
        <f>_xll.qlMidSafe($P8,$Q8)</f>
        <v>#NUM!</v>
      </c>
      <c r="U8" s="190"/>
      <c r="V8" s="199" t="e">
        <v>#NUM!</v>
      </c>
      <c r="W8" s="190"/>
      <c r="X8" s="198" t="str">
        <f t="shared" si="2"/>
        <v>HKDAM1H5M_Quote</v>
      </c>
      <c r="Y8" s="197" t="e">
        <v>#NUM!</v>
      </c>
      <c r="Z8" s="196" t="e">
        <f>_xll.qlSimpleQuoteSetValue($X8,$Y8/100,Trigger)</f>
        <v>#NUM!</v>
      </c>
      <c r="AA8" s="186"/>
      <c r="AB8"/>
      <c r="AC8" s="333"/>
      <c r="AD8"/>
      <c r="AE8"/>
      <c r="AF8"/>
      <c r="AG8" s="233" t="e">
        <f t="shared" si="3"/>
        <v>#VALUE!</v>
      </c>
      <c r="AH8"/>
    </row>
    <row r="9" spans="1:34" ht="15" x14ac:dyDescent="0.25">
      <c r="A9" s="73"/>
      <c r="B9" s="140" t="s">
        <v>140</v>
      </c>
      <c r="C9" s="139" t="s">
        <v>138</v>
      </c>
      <c r="D9" s="138">
        <v>6</v>
      </c>
      <c r="E9" s="26" t="str">
        <f t="shared" si="0"/>
        <v>HKDAM1H6M_Quote</v>
      </c>
      <c r="F9" s="26" t="str">
        <f>_xll.qlSimpleQuote(Currency&amp;$C9&amp;$D9&amp;$B9&amp;QuoteSuffix,,RateTickValue,Permanent,Trigger,ObjectOverwrite)</f>
        <v>HKDAM1H6M_Quote#0001</v>
      </c>
      <c r="G9" s="137" t="str">
        <f>_xll.ohRangeRetrieveError(F9)</f>
        <v/>
      </c>
      <c r="H9" s="67"/>
      <c r="J9" s="195"/>
      <c r="K9" s="198" t="s">
        <v>61</v>
      </c>
      <c r="L9" s="244" t="s">
        <v>138</v>
      </c>
      <c r="M9" s="244"/>
      <c r="N9" s="193" t="str">
        <f t="shared" si="1"/>
        <v>HKDAM1H6M</v>
      </c>
      <c r="O9" s="193" t="str">
        <v>HKDAM1H6M=PREA</v>
      </c>
      <c r="P9" s="245">
        <v>0.18</v>
      </c>
      <c r="Q9" s="245">
        <v>0.28000000000000003</v>
      </c>
      <c r="R9" s="245">
        <v>0</v>
      </c>
      <c r="S9" s="245">
        <v>0</v>
      </c>
      <c r="T9" s="336">
        <f>_xll.qlMidSafe($P9,$Q9)</f>
        <v>0.23</v>
      </c>
      <c r="U9" s="190"/>
      <c r="V9" s="199">
        <v>0.24</v>
      </c>
      <c r="W9" s="190"/>
      <c r="X9" s="198" t="str">
        <f t="shared" si="2"/>
        <v>HKDAM1H6M_Quote</v>
      </c>
      <c r="Y9" s="197">
        <v>0.23</v>
      </c>
      <c r="Z9" s="196" t="e">
        <f>_xll.qlSimpleQuoteSetValue($X9,$Y9/100,Trigger)</f>
        <v>#NUM!</v>
      </c>
      <c r="AA9" s="186"/>
      <c r="AB9"/>
      <c r="AC9" s="333"/>
      <c r="AD9"/>
      <c r="AE9"/>
      <c r="AF9"/>
      <c r="AG9" s="233">
        <f t="shared" si="3"/>
        <v>1.0000000000000002E-3</v>
      </c>
      <c r="AH9"/>
    </row>
    <row r="10" spans="1:34" ht="15" x14ac:dyDescent="0.25">
      <c r="A10" s="73"/>
      <c r="B10" s="140" t="s">
        <v>140</v>
      </c>
      <c r="C10" s="139" t="s">
        <v>138</v>
      </c>
      <c r="D10" s="138">
        <v>7</v>
      </c>
      <c r="E10" s="26" t="str">
        <f t="shared" si="0"/>
        <v>HKDAM1H7M_Quote</v>
      </c>
      <c r="F10" s="26" t="str">
        <f>_xll.qlSimpleQuote(Currency&amp;$C10&amp;$D10&amp;$B10&amp;QuoteSuffix,,RateTickValue,Permanent,Trigger,ObjectOverwrite)</f>
        <v>HKDAM1H7M_Quote#0001</v>
      </c>
      <c r="G10" s="137" t="str">
        <f>_xll.ohRangeRetrieveError(F10)</f>
        <v/>
      </c>
      <c r="H10" s="67"/>
      <c r="J10" s="195"/>
      <c r="K10" s="198" t="s">
        <v>131</v>
      </c>
      <c r="L10" s="244" t="s">
        <v>138</v>
      </c>
      <c r="M10" s="244"/>
      <c r="N10" s="193" t="str">
        <f t="shared" si="1"/>
        <v>HKDAM1H7M</v>
      </c>
      <c r="O10" s="193" t="str">
        <v>HKDAM1H7M=PREA</v>
      </c>
      <c r="P10" s="245" t="s">
        <v>188</v>
      </c>
      <c r="Q10" s="245" t="s">
        <v>188</v>
      </c>
      <c r="R10" s="245" t="s">
        <v>188</v>
      </c>
      <c r="S10" s="245" t="s">
        <v>188</v>
      </c>
      <c r="T10" s="336" t="e">
        <f>_xll.qlMidSafe($P10,$Q10)</f>
        <v>#NUM!</v>
      </c>
      <c r="U10" s="190"/>
      <c r="V10" s="199" t="e">
        <v>#NUM!</v>
      </c>
      <c r="W10" s="190"/>
      <c r="X10" s="198" t="str">
        <f t="shared" si="2"/>
        <v>HKDAM1H7M_Quote</v>
      </c>
      <c r="Y10" s="197" t="e">
        <v>#NUM!</v>
      </c>
      <c r="Z10" s="196" t="e">
        <f>_xll.qlSimpleQuoteSetValue($X10,$Y10/100,Trigger)</f>
        <v>#NUM!</v>
      </c>
      <c r="AA10" s="186"/>
      <c r="AB10"/>
      <c r="AC10" s="333"/>
      <c r="AD10"/>
      <c r="AE10"/>
      <c r="AF10"/>
      <c r="AG10" s="233" t="e">
        <f t="shared" si="3"/>
        <v>#VALUE!</v>
      </c>
      <c r="AH10"/>
    </row>
    <row r="11" spans="1:34" ht="15" x14ac:dyDescent="0.25">
      <c r="A11" s="73"/>
      <c r="B11" s="140" t="s">
        <v>140</v>
      </c>
      <c r="C11" s="139" t="s">
        <v>138</v>
      </c>
      <c r="D11" s="138">
        <v>8</v>
      </c>
      <c r="E11" s="26" t="str">
        <f t="shared" si="0"/>
        <v>HKDAM1H8M_Quote</v>
      </c>
      <c r="F11" s="26" t="str">
        <f>_xll.qlSimpleQuote(Currency&amp;$C11&amp;$D11&amp;$B11&amp;QuoteSuffix,,RateTickValue,Permanent,Trigger,ObjectOverwrite)</f>
        <v>HKDAM1H8M_Quote#0001</v>
      </c>
      <c r="G11" s="137" t="str">
        <f>_xll.ohRangeRetrieveError(F11)</f>
        <v/>
      </c>
      <c r="H11" s="67"/>
      <c r="J11" s="195"/>
      <c r="K11" s="198" t="s">
        <v>130</v>
      </c>
      <c r="L11" s="244" t="s">
        <v>138</v>
      </c>
      <c r="M11" s="244"/>
      <c r="N11" s="193" t="str">
        <f t="shared" si="1"/>
        <v>HKDAM1H8M</v>
      </c>
      <c r="O11" s="193" t="str">
        <v>HKDAM1H8M=PREA</v>
      </c>
      <c r="P11" s="245" t="s">
        <v>188</v>
      </c>
      <c r="Q11" s="245" t="s">
        <v>188</v>
      </c>
      <c r="R11" s="245" t="s">
        <v>188</v>
      </c>
      <c r="S11" s="245" t="s">
        <v>188</v>
      </c>
      <c r="T11" s="336" t="e">
        <f>_xll.qlMidSafe($P11,$Q11)</f>
        <v>#NUM!</v>
      </c>
      <c r="U11" s="190"/>
      <c r="V11" s="199" t="e">
        <v>#NUM!</v>
      </c>
      <c r="W11" s="190"/>
      <c r="X11" s="198" t="str">
        <f t="shared" si="2"/>
        <v>HKDAM1H8M_Quote</v>
      </c>
      <c r="Y11" s="197" t="e">
        <v>#NUM!</v>
      </c>
      <c r="Z11" s="196" t="e">
        <f>_xll.qlSimpleQuoteSetValue($X11,$Y11/100,Trigger)</f>
        <v>#NUM!</v>
      </c>
      <c r="AA11" s="186"/>
      <c r="AB11"/>
      <c r="AC11" s="333"/>
      <c r="AD11"/>
      <c r="AE11"/>
      <c r="AF11"/>
      <c r="AG11" s="233" t="e">
        <f t="shared" si="3"/>
        <v>#VALUE!</v>
      </c>
      <c r="AH11"/>
    </row>
    <row r="12" spans="1:34" ht="15" x14ac:dyDescent="0.25">
      <c r="A12" s="73"/>
      <c r="B12" s="140" t="s">
        <v>140</v>
      </c>
      <c r="C12" s="139" t="s">
        <v>138</v>
      </c>
      <c r="D12" s="138">
        <v>9</v>
      </c>
      <c r="E12" s="26" t="str">
        <f t="shared" si="0"/>
        <v>HKDAM1H9M_Quote</v>
      </c>
      <c r="F12" s="26" t="str">
        <f>_xll.qlSimpleQuote(Currency&amp;$C12&amp;$D12&amp;$B12&amp;QuoteSuffix,,RateTickValue,Permanent,Trigger,ObjectOverwrite)</f>
        <v>HKDAM1H9M_Quote#0001</v>
      </c>
      <c r="G12" s="137" t="str">
        <f>_xll.ohRangeRetrieveError(F12)</f>
        <v/>
      </c>
      <c r="H12" s="67"/>
      <c r="J12" s="195"/>
      <c r="K12" s="198" t="s">
        <v>129</v>
      </c>
      <c r="L12" s="244" t="s">
        <v>138</v>
      </c>
      <c r="M12" s="244"/>
      <c r="N12" s="193" t="str">
        <f t="shared" si="1"/>
        <v>HKDAM1H9M</v>
      </c>
      <c r="O12" s="193" t="str">
        <v>HKDAM1H9M=PREA</v>
      </c>
      <c r="P12" s="245">
        <v>0.23</v>
      </c>
      <c r="Q12" s="245">
        <v>0.33</v>
      </c>
      <c r="R12" s="245">
        <v>0</v>
      </c>
      <c r="S12" s="245">
        <v>0</v>
      </c>
      <c r="T12" s="336">
        <f>_xll.qlMidSafe($P12,$Q12)</f>
        <v>0.28000000000000003</v>
      </c>
      <c r="U12" s="190"/>
      <c r="V12" s="199">
        <v>0.26</v>
      </c>
      <c r="W12" s="190"/>
      <c r="X12" s="198" t="str">
        <f t="shared" si="2"/>
        <v>HKDAM1H9M_Quote</v>
      </c>
      <c r="Y12" s="197">
        <v>0.28000000000000003</v>
      </c>
      <c r="Z12" s="196" t="e">
        <f>_xll.qlSimpleQuoteSetValue($X12,$Y12/100,Trigger)</f>
        <v>#NUM!</v>
      </c>
      <c r="AA12" s="186"/>
      <c r="AB12"/>
      <c r="AC12" s="333"/>
      <c r="AD12"/>
      <c r="AE12"/>
      <c r="AF12"/>
      <c r="AG12" s="233">
        <f t="shared" si="3"/>
        <v>9.999999999999998E-4</v>
      </c>
      <c r="AH12"/>
    </row>
    <row r="13" spans="1:34" ht="15" x14ac:dyDescent="0.25">
      <c r="A13" s="73"/>
      <c r="B13" s="140" t="s">
        <v>140</v>
      </c>
      <c r="C13" s="139" t="s">
        <v>138</v>
      </c>
      <c r="D13" s="138">
        <v>10</v>
      </c>
      <c r="E13" s="26" t="str">
        <f t="shared" si="0"/>
        <v>HKDAM1H10M_Quote</v>
      </c>
      <c r="F13" s="26" t="str">
        <f>_xll.qlSimpleQuote(Currency&amp;$C13&amp;$D13&amp;$B13&amp;QuoteSuffix,,RateTickValue,Permanent,Trigger,ObjectOverwrite)</f>
        <v>HKDAM1H10M_Quote#0001</v>
      </c>
      <c r="G13" s="137" t="str">
        <f>_xll.ohRangeRetrieveError(F13)</f>
        <v/>
      </c>
      <c r="H13" s="67"/>
      <c r="J13" s="195"/>
      <c r="K13" s="198" t="s">
        <v>128</v>
      </c>
      <c r="L13" s="244" t="s">
        <v>138</v>
      </c>
      <c r="M13" s="244"/>
      <c r="N13" s="193" t="str">
        <f t="shared" si="1"/>
        <v>HKDAM1H10M</v>
      </c>
      <c r="O13" s="193" t="str">
        <v>HKDAM1H10M=PREA</v>
      </c>
      <c r="P13" s="245" t="s">
        <v>188</v>
      </c>
      <c r="Q13" s="245" t="s">
        <v>188</v>
      </c>
      <c r="R13" s="245" t="s">
        <v>188</v>
      </c>
      <c r="S13" s="245" t="s">
        <v>188</v>
      </c>
      <c r="T13" s="336" t="e">
        <f>_xll.qlMidSafe($P13,$Q13)</f>
        <v>#NUM!</v>
      </c>
      <c r="U13" s="190"/>
      <c r="V13" s="199" t="e">
        <v>#NUM!</v>
      </c>
      <c r="W13" s="190"/>
      <c r="X13" s="198" t="str">
        <f t="shared" si="2"/>
        <v>HKDAM1H10M_Quote</v>
      </c>
      <c r="Y13" s="197" t="e">
        <v>#NUM!</v>
      </c>
      <c r="Z13" s="196" t="e">
        <f>_xll.qlSimpleQuoteSetValue($X13,$Y13/100,Trigger)</f>
        <v>#NUM!</v>
      </c>
      <c r="AA13" s="186"/>
      <c r="AB13"/>
      <c r="AC13" s="333"/>
      <c r="AD13"/>
      <c r="AE13"/>
      <c r="AF13"/>
      <c r="AG13" s="233" t="e">
        <f t="shared" si="3"/>
        <v>#VALUE!</v>
      </c>
      <c r="AH13"/>
    </row>
    <row r="14" spans="1:34" ht="15" x14ac:dyDescent="0.25">
      <c r="A14" s="73"/>
      <c r="B14" s="140" t="s">
        <v>140</v>
      </c>
      <c r="C14" s="139" t="s">
        <v>138</v>
      </c>
      <c r="D14" s="138">
        <v>11</v>
      </c>
      <c r="E14" s="26" t="str">
        <f t="shared" si="0"/>
        <v>HKDAM1H11M_Quote</v>
      </c>
      <c r="F14" s="26" t="str">
        <f>_xll.qlSimpleQuote(Currency&amp;$C14&amp;$D14&amp;$B14&amp;QuoteSuffix,,RateTickValue,Permanent,Trigger,ObjectOverwrite)</f>
        <v>HKDAM1H11M_Quote#0001</v>
      </c>
      <c r="G14" s="137" t="str">
        <f>_xll.ohRangeRetrieveError(F14)</f>
        <v/>
      </c>
      <c r="H14" s="67"/>
      <c r="J14" s="195"/>
      <c r="K14" s="198" t="s">
        <v>127</v>
      </c>
      <c r="L14" s="244" t="s">
        <v>138</v>
      </c>
      <c r="M14" s="244"/>
      <c r="N14" s="193" t="str">
        <f t="shared" si="1"/>
        <v>HKDAM1H11M</v>
      </c>
      <c r="O14" s="193" t="str">
        <v>HKDAM1H11M=PREA</v>
      </c>
      <c r="P14" s="245" t="s">
        <v>188</v>
      </c>
      <c r="Q14" s="245" t="s">
        <v>188</v>
      </c>
      <c r="R14" s="245" t="s">
        <v>188</v>
      </c>
      <c r="S14" s="245" t="s">
        <v>188</v>
      </c>
      <c r="T14" s="336" t="e">
        <f>_xll.qlMidSafe($P14,$Q14)</f>
        <v>#NUM!</v>
      </c>
      <c r="U14" s="190"/>
      <c r="V14" s="199" t="e">
        <v>#NUM!</v>
      </c>
      <c r="W14" s="190"/>
      <c r="X14" s="198" t="str">
        <f t="shared" si="2"/>
        <v>HKDAM1H11M_Quote</v>
      </c>
      <c r="Y14" s="197" t="e">
        <v>#NUM!</v>
      </c>
      <c r="Z14" s="196" t="e">
        <f>_xll.qlSimpleQuoteSetValue($X14,$Y14/100,Trigger)</f>
        <v>#NUM!</v>
      </c>
      <c r="AA14" s="186"/>
      <c r="AB14"/>
      <c r="AC14" s="333"/>
      <c r="AD14"/>
      <c r="AE14"/>
      <c r="AF14"/>
      <c r="AG14" s="233" t="e">
        <f t="shared" si="3"/>
        <v>#VALUE!</v>
      </c>
      <c r="AH14"/>
    </row>
    <row r="15" spans="1:34" ht="15" x14ac:dyDescent="0.25">
      <c r="A15" s="73"/>
      <c r="B15" s="140" t="s">
        <v>139</v>
      </c>
      <c r="C15" s="139" t="s">
        <v>138</v>
      </c>
      <c r="D15" s="138">
        <v>1</v>
      </c>
      <c r="E15" s="26" t="str">
        <f t="shared" si="0"/>
        <v>HKDAM1H1Y_Quote</v>
      </c>
      <c r="F15" s="26" t="str">
        <f>_xll.qlSimpleQuote(Currency&amp;$C15&amp;$D15&amp;$B15&amp;QuoteSuffix,,RateTickValue,Permanent,Trigger,ObjectOverwrite)</f>
        <v>HKDAM1H1Y_Quote#0001</v>
      </c>
      <c r="G15" s="137" t="str">
        <f>_xll.ohRangeRetrieveError(F15)</f>
        <v/>
      </c>
      <c r="H15" s="67"/>
      <c r="J15" s="195"/>
      <c r="K15" s="189" t="s">
        <v>60</v>
      </c>
      <c r="L15" s="251" t="s">
        <v>138</v>
      </c>
      <c r="M15" s="251"/>
      <c r="N15" s="335" t="str">
        <f t="shared" si="1"/>
        <v>HKDAM1H1Y</v>
      </c>
      <c r="O15" s="335" t="str">
        <v>HKDAM1H1Y=PREA</v>
      </c>
      <c r="P15" s="252">
        <v>0.24</v>
      </c>
      <c r="Q15" s="252">
        <v>0.34</v>
      </c>
      <c r="R15" s="252">
        <v>0</v>
      </c>
      <c r="S15" s="252">
        <v>0</v>
      </c>
      <c r="T15" s="334">
        <f>_xll.qlMidSafe($P15,$Q15)</f>
        <v>0.29000000000000004</v>
      </c>
      <c r="U15" s="190"/>
      <c r="V15" s="191">
        <v>0.28000000000000003</v>
      </c>
      <c r="W15" s="190"/>
      <c r="X15" s="189" t="str">
        <f t="shared" si="2"/>
        <v>HKDAM1H1Y_Quote</v>
      </c>
      <c r="Y15" s="188">
        <v>0.29000000000000004</v>
      </c>
      <c r="Z15" s="187" t="e">
        <f>_xll.qlSimpleQuoteSetValue($X15,$Y15/100,Trigger)</f>
        <v>#NUM!</v>
      </c>
      <c r="AA15" s="186"/>
      <c r="AB15"/>
      <c r="AC15" s="333"/>
      <c r="AD15"/>
      <c r="AE15"/>
      <c r="AF15"/>
      <c r="AG15" s="233">
        <f t="shared" si="3"/>
        <v>9.999999999999998E-4</v>
      </c>
      <c r="AH15"/>
    </row>
    <row r="16" spans="1:34" ht="15.75" thickBot="1" x14ac:dyDescent="0.3">
      <c r="A16" s="66"/>
      <c r="B16" s="65"/>
      <c r="C16" s="65"/>
      <c r="D16" s="65"/>
      <c r="E16" s="65"/>
      <c r="F16" s="64"/>
      <c r="G16" s="64"/>
      <c r="H16" s="63"/>
      <c r="J16" s="185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332"/>
      <c r="AB16"/>
      <c r="AC16"/>
      <c r="AD16"/>
      <c r="AE16"/>
      <c r="AF16"/>
      <c r="AG16"/>
      <c r="AH16"/>
    </row>
    <row r="17" spans="10:34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L44"/>
  <sheetViews>
    <sheetView workbookViewId="0"/>
  </sheetViews>
  <sheetFormatPr defaultRowHeight="12.75" x14ac:dyDescent="0.2"/>
  <cols>
    <col min="1" max="1" width="3.7109375" style="40" customWidth="1"/>
    <col min="2" max="2" width="6.5703125" style="62" bestFit="1" customWidth="1"/>
    <col min="3" max="3" width="3.140625" style="40" bestFit="1" customWidth="1"/>
    <col min="4" max="4" width="2.7109375" style="40" bestFit="1" customWidth="1"/>
    <col min="5" max="5" width="18" style="40" bestFit="1" customWidth="1"/>
    <col min="6" max="6" width="20.140625" style="61" bestFit="1" customWidth="1"/>
    <col min="7" max="7" width="38.28515625" style="40" customWidth="1"/>
    <col min="8" max="9" width="4.42578125" style="40" customWidth="1"/>
    <col min="10" max="10" width="4.140625" style="40" bestFit="1" customWidth="1"/>
    <col min="11" max="11" width="3.28515625" style="40" bestFit="1" customWidth="1"/>
    <col min="12" max="12" width="9.5703125" style="40" bestFit="1" customWidth="1"/>
    <col min="13" max="22" width="9.140625" style="40"/>
    <col min="23" max="23" width="11.7109375" style="40" customWidth="1"/>
    <col min="24" max="27" width="9.140625" style="40"/>
    <col min="28" max="28" width="16.140625" style="40" bestFit="1" customWidth="1"/>
    <col min="29" max="16384" width="9.140625" style="40"/>
  </cols>
  <sheetData>
    <row r="1" spans="1:38" ht="13.5" thickBot="1" x14ac:dyDescent="0.25">
      <c r="N1" s="27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221"/>
      <c r="AD1" s="221"/>
      <c r="AE1" s="220"/>
      <c r="AF1" s="232"/>
      <c r="AG1" s="232"/>
      <c r="AH1" s="232"/>
      <c r="AI1" s="232"/>
      <c r="AJ1" s="232"/>
      <c r="AK1" s="232"/>
      <c r="AL1" s="232"/>
    </row>
    <row r="2" spans="1:38" ht="13.5" thickBot="1" x14ac:dyDescent="0.25">
      <c r="N2" s="219"/>
      <c r="O2" s="268"/>
      <c r="P2" s="190"/>
      <c r="Q2" s="190"/>
      <c r="R2" s="190"/>
      <c r="S2" s="217" t="s">
        <v>217</v>
      </c>
      <c r="T2" s="190"/>
      <c r="U2" s="190"/>
      <c r="V2" s="190"/>
      <c r="W2" s="190"/>
      <c r="X2" s="268"/>
      <c r="Y2" s="190"/>
      <c r="Z2" s="190"/>
      <c r="AA2" s="190"/>
      <c r="AB2" s="341" t="s">
        <v>195</v>
      </c>
      <c r="AC2" s="340" t="s">
        <v>2</v>
      </c>
      <c r="AD2" s="268"/>
      <c r="AE2" s="214"/>
      <c r="AF2" s="232"/>
      <c r="AG2" s="232"/>
      <c r="AH2" s="232"/>
      <c r="AI2" s="232"/>
      <c r="AJ2" s="232"/>
      <c r="AK2" s="232"/>
      <c r="AL2" s="232"/>
    </row>
    <row r="3" spans="1:38" ht="13.5" thickBot="1" x14ac:dyDescent="0.25">
      <c r="A3" s="149"/>
      <c r="B3" s="148"/>
      <c r="C3" s="148"/>
      <c r="D3" s="148"/>
      <c r="E3" s="146"/>
      <c r="F3" s="147"/>
      <c r="G3" s="146"/>
      <c r="H3" s="145"/>
      <c r="N3" s="195"/>
      <c r="O3" s="190"/>
      <c r="P3" s="268"/>
      <c r="Q3" s="268"/>
      <c r="R3" s="268"/>
      <c r="S3" s="268"/>
      <c r="T3" s="268"/>
      <c r="U3" s="268"/>
      <c r="V3" s="268"/>
      <c r="W3" s="268"/>
      <c r="X3" s="268"/>
      <c r="Y3" s="190"/>
      <c r="Z3" s="190"/>
      <c r="AA3" s="190"/>
      <c r="AB3" s="268"/>
      <c r="AC3" s="268"/>
      <c r="AD3" s="212">
        <f>_xll.ohTrigger(AD5:AD42)</f>
        <v>6</v>
      </c>
      <c r="AE3" s="186"/>
      <c r="AF3" s="232"/>
      <c r="AG3" s="232"/>
      <c r="AH3" s="232"/>
      <c r="AI3" s="232"/>
      <c r="AJ3" s="232"/>
      <c r="AK3" s="232"/>
      <c r="AL3" s="232"/>
    </row>
    <row r="4" spans="1:38" ht="23.25" thickBot="1" x14ac:dyDescent="0.25">
      <c r="A4" s="73"/>
      <c r="B4" s="44" t="s">
        <v>62</v>
      </c>
      <c r="C4" s="44"/>
      <c r="D4" s="44"/>
      <c r="E4" s="43" t="str">
        <f>Currency&amp;"_010_Sw"&amp;$C$5&amp;$D$5&amp;".xml"</f>
        <v>HKD_010_SwQM3H.xml</v>
      </c>
      <c r="F4" s="42" t="e">
        <f ca="1">IF(Serialize,_xll.ohObjectSave(F5:F42,SerializationPath&amp;E4,FileOverwrite,,Serialize),"---")</f>
        <v>#NUM!</v>
      </c>
      <c r="G4" s="25" t="str">
        <f ca="1">_xll.ohRangeRetrieveError(F4)</f>
        <v>ohObjectSave - ObjectHandler error: attempt to retrieve object with unknown ID 'HKDQM3H6M_Quote'</v>
      </c>
      <c r="H4" s="67"/>
      <c r="J4" s="154" t="s">
        <v>148</v>
      </c>
      <c r="K4" s="153" t="s">
        <v>147</v>
      </c>
      <c r="L4" s="152" t="s">
        <v>146</v>
      </c>
      <c r="N4" s="195"/>
      <c r="O4" s="339"/>
      <c r="P4" s="265"/>
      <c r="Q4" s="265"/>
      <c r="R4" s="265"/>
      <c r="S4" s="211" t="str">
        <f>_xll.RData(S5:S42,T4:W4,,ReutersRtMode,,T5)</f>
        <v>Updated at 16:19:59</v>
      </c>
      <c r="T4" s="264" t="s">
        <v>233</v>
      </c>
      <c r="U4" s="264" t="s">
        <v>208</v>
      </c>
      <c r="V4" s="264" t="s">
        <v>204</v>
      </c>
      <c r="W4" s="264" t="s">
        <v>232</v>
      </c>
      <c r="X4" s="206" t="s">
        <v>231</v>
      </c>
      <c r="Y4" s="190"/>
      <c r="Z4" s="209" t="s">
        <v>192</v>
      </c>
      <c r="AA4" s="190"/>
      <c r="AB4" s="208" t="s">
        <v>191</v>
      </c>
      <c r="AC4" s="338" t="s">
        <v>190</v>
      </c>
      <c r="AD4" s="337" t="s">
        <v>189</v>
      </c>
      <c r="AE4" s="186"/>
      <c r="AF4" s="232"/>
      <c r="AG4" s="232"/>
      <c r="AH4" s="232"/>
      <c r="AI4" s="232"/>
      <c r="AJ4" s="232"/>
      <c r="AK4" s="260" t="s">
        <v>230</v>
      </c>
      <c r="AL4" s="232"/>
    </row>
    <row r="5" spans="1:38" x14ac:dyDescent="0.2">
      <c r="A5" s="73"/>
      <c r="B5" s="142" t="s">
        <v>61</v>
      </c>
      <c r="C5" s="28" t="str">
        <f t="array" ref="C5:C42">VLOOKUP(Currency,SwapMainSetConventions,2,FALSE)</f>
        <v>QM</v>
      </c>
      <c r="D5" s="28" t="str">
        <f t="array" ref="D5:D42">VLOOKUP(Currency,SwapMainSetConventions,3,FALSE)</f>
        <v>3H</v>
      </c>
      <c r="E5" s="26" t="str">
        <f t="shared" ref="E5:E42" si="0">Currency&amp;$C5&amp;$D5&amp;$B5&amp;QuoteSuffix</f>
        <v>HKDQM3H6M_Quote</v>
      </c>
      <c r="F5" s="26" t="str">
        <f>_xll.qlSimpleQuote(Currency&amp;$C5&amp;$D5&amp;$B5&amp;QuoteSuffix,,RateTickValue,Permanent,Trigger,ObjectOverwrite)</f>
        <v>HKDQM3H6M_Quote#0001</v>
      </c>
      <c r="G5" s="141" t="str">
        <f>_xll.ohRangeRetrieveError(F5)</f>
        <v/>
      </c>
      <c r="H5" s="67"/>
      <c r="J5" s="151" t="s">
        <v>55</v>
      </c>
      <c r="K5" s="35" t="s">
        <v>145</v>
      </c>
      <c r="L5" s="34" t="s">
        <v>43</v>
      </c>
      <c r="N5" s="195"/>
      <c r="O5" s="194" t="s">
        <v>61</v>
      </c>
      <c r="P5" s="244" t="str">
        <f t="array" ref="P5:P42">VLOOKUP(Currency,Conventions,2)</f>
        <v>QM</v>
      </c>
      <c r="Q5" s="244" t="str">
        <f t="array" ref="Q5:Q42">VLOOKUP(Currency,Conventions,3)</f>
        <v>3H</v>
      </c>
      <c r="R5" s="244" t="str">
        <f t="shared" ref="R5:R42" si="1">Currency&amp;$P5&amp;$Q5&amp;$O5</f>
        <v>HKDQM3H6M</v>
      </c>
      <c r="S5" s="244" t="str">
        <f t="array" ref="S5:S42">Instruments&amp;"="&amp;VLOOKUP(Contributor,ContributorTable,2,FALSE)</f>
        <v>HKDQM3H6M=PREA</v>
      </c>
      <c r="T5" s="245">
        <v>0.34</v>
      </c>
      <c r="U5" s="245">
        <v>0.44</v>
      </c>
      <c r="V5" s="245">
        <v>0</v>
      </c>
      <c r="W5" s="245">
        <v>0</v>
      </c>
      <c r="X5" s="192">
        <f>_xll.qlMidSafe($T5,$U5)</f>
        <v>0.39</v>
      </c>
      <c r="Y5" s="190"/>
      <c r="Z5" s="199">
        <v>0.4</v>
      </c>
      <c r="AA5" s="190"/>
      <c r="AB5" s="198" t="str">
        <f t="shared" ref="AB5:AB42" si="2">$R5&amp;$AC$2</f>
        <v>HKDQM3H6M_Quote</v>
      </c>
      <c r="AC5" s="197">
        <f t="array" ref="AC5:AC42">QuoteLive</f>
        <v>0.39</v>
      </c>
      <c r="AD5" s="196" t="e">
        <f>_xll.qlSimpleQuoteSetValue($AB5,$AC5/100,Trigger)</f>
        <v>#NUM!</v>
      </c>
      <c r="AE5" s="186"/>
      <c r="AF5" s="232"/>
      <c r="AG5" s="353" t="s">
        <v>55</v>
      </c>
      <c r="AH5" s="352" t="s">
        <v>145</v>
      </c>
      <c r="AI5" s="351" t="s">
        <v>43</v>
      </c>
      <c r="AJ5" s="232"/>
      <c r="AK5" s="233">
        <f t="shared" ref="AK5:AK42" si="3">(U5-X5)/50</f>
        <v>9.999999999999998E-4</v>
      </c>
      <c r="AL5" s="232"/>
    </row>
    <row r="6" spans="1:38" x14ac:dyDescent="0.2">
      <c r="A6" s="73"/>
      <c r="B6" s="142" t="s">
        <v>60</v>
      </c>
      <c r="C6" s="28" t="str">
        <v>QM</v>
      </c>
      <c r="D6" s="28" t="str">
        <v>3H</v>
      </c>
      <c r="E6" s="26" t="str">
        <f t="shared" si="0"/>
        <v>HKDQM3H1Y_Quote</v>
      </c>
      <c r="F6" s="26" t="str">
        <f>_xll.qlSimpleQuote(Currency&amp;$C6&amp;$D6&amp;$B6&amp;QuoteSuffix,,RateTickValue,Permanent,Trigger,ObjectOverwrite)</f>
        <v>HKDQM3H1Y_Quote#0001</v>
      </c>
      <c r="G6" s="141" t="str">
        <f>_xll.ohRangeRetrieveError(F6)</f>
        <v/>
      </c>
      <c r="H6" s="67"/>
      <c r="J6" s="151" t="s">
        <v>53</v>
      </c>
      <c r="K6" s="35" t="s">
        <v>145</v>
      </c>
      <c r="L6" s="34" t="s">
        <v>63</v>
      </c>
      <c r="N6" s="195"/>
      <c r="O6" s="194" t="s">
        <v>60</v>
      </c>
      <c r="P6" s="244" t="str">
        <v>QM</v>
      </c>
      <c r="Q6" s="244" t="str">
        <v>3H</v>
      </c>
      <c r="R6" s="244" t="str">
        <f t="shared" si="1"/>
        <v>HKDQM3H1Y</v>
      </c>
      <c r="S6" s="244" t="str">
        <v>HKDQM3H1Y=PREA</v>
      </c>
      <c r="T6" s="245">
        <v>0.38</v>
      </c>
      <c r="U6" s="245">
        <v>0.48</v>
      </c>
      <c r="V6" s="245">
        <v>0</v>
      </c>
      <c r="W6" s="245">
        <v>0</v>
      </c>
      <c r="X6" s="192">
        <f>_xll.qlMidSafe($T6,$U6)</f>
        <v>0.43</v>
      </c>
      <c r="Y6" s="190"/>
      <c r="Z6" s="199">
        <v>0.44</v>
      </c>
      <c r="AA6" s="190"/>
      <c r="AB6" s="198" t="str">
        <f t="shared" si="2"/>
        <v>HKDQM3H1Y_Quote</v>
      </c>
      <c r="AC6" s="197">
        <v>0.43</v>
      </c>
      <c r="AD6" s="196" t="e">
        <f>_xll.qlSimpleQuoteSetValue($AB6,$AC6/100,Trigger)</f>
        <v>#NUM!</v>
      </c>
      <c r="AE6" s="186"/>
      <c r="AF6" s="232"/>
      <c r="AG6" s="350" t="s">
        <v>53</v>
      </c>
      <c r="AH6" s="227" t="s">
        <v>145</v>
      </c>
      <c r="AI6" s="288" t="s">
        <v>63</v>
      </c>
      <c r="AJ6" s="232"/>
      <c r="AK6" s="233">
        <f t="shared" si="3"/>
        <v>9.999999999999998E-4</v>
      </c>
      <c r="AL6" s="232"/>
    </row>
    <row r="7" spans="1:38" x14ac:dyDescent="0.2">
      <c r="A7" s="73"/>
      <c r="B7" s="140" t="s">
        <v>59</v>
      </c>
      <c r="C7" s="28" t="str">
        <v>QM</v>
      </c>
      <c r="D7" s="28" t="str">
        <v>3H</v>
      </c>
      <c r="E7" s="26" t="str">
        <f t="shared" si="0"/>
        <v>HKDQM3H15M_Quote</v>
      </c>
      <c r="F7" s="26" t="str">
        <f>_xll.qlSimpleQuote(Currency&amp;$C7&amp;$D7&amp;$B7&amp;QuoteSuffix,,RateTickValue,Permanent,Trigger,ObjectOverwrite)</f>
        <v>HKDQM3H15M_Quote#0001</v>
      </c>
      <c r="G7" s="141" t="str">
        <f>_xll.ohRangeRetrieveError(F7)</f>
        <v/>
      </c>
      <c r="H7" s="67"/>
      <c r="J7" s="151" t="s">
        <v>4</v>
      </c>
      <c r="K7" s="35" t="s">
        <v>144</v>
      </c>
      <c r="L7" s="34" t="s">
        <v>143</v>
      </c>
      <c r="N7" s="195"/>
      <c r="O7" s="194" t="s">
        <v>59</v>
      </c>
      <c r="P7" s="244" t="str">
        <v>QM</v>
      </c>
      <c r="Q7" s="244" t="str">
        <v>3H</v>
      </c>
      <c r="R7" s="244" t="str">
        <f t="shared" si="1"/>
        <v>HKDQM3H15M</v>
      </c>
      <c r="S7" s="244" t="str">
        <v>HKDQM3H15M=PREA</v>
      </c>
      <c r="T7" s="245" t="s">
        <v>188</v>
      </c>
      <c r="U7" s="245" t="s">
        <v>188</v>
      </c>
      <c r="V7" s="245" t="s">
        <v>188</v>
      </c>
      <c r="W7" s="245" t="s">
        <v>188</v>
      </c>
      <c r="X7" s="192" t="e">
        <f>_xll.qlMidSafe($T7,$U7)</f>
        <v>#NUM!</v>
      </c>
      <c r="Y7" s="190"/>
      <c r="Z7" s="199" t="e">
        <v>#NUM!</v>
      </c>
      <c r="AA7" s="190"/>
      <c r="AB7" s="198" t="str">
        <f t="shared" si="2"/>
        <v>HKDQM3H15M_Quote</v>
      </c>
      <c r="AC7" s="197" t="e">
        <v>#NUM!</v>
      </c>
      <c r="AD7" s="196" t="e">
        <f>_xll.qlSimpleQuoteSetValue($AB7,$AC7/100,Trigger)</f>
        <v>#NUM!</v>
      </c>
      <c r="AE7" s="186"/>
      <c r="AF7" s="232"/>
      <c r="AG7" s="350" t="s">
        <v>49</v>
      </c>
      <c r="AH7" s="227" t="s">
        <v>141</v>
      </c>
      <c r="AI7" s="288" t="s">
        <v>43</v>
      </c>
      <c r="AJ7" s="232"/>
      <c r="AK7" s="233" t="e">
        <f t="shared" si="3"/>
        <v>#VALUE!</v>
      </c>
      <c r="AL7" s="232"/>
    </row>
    <row r="8" spans="1:38" x14ac:dyDescent="0.2">
      <c r="A8" s="73"/>
      <c r="B8" s="140" t="s">
        <v>58</v>
      </c>
      <c r="C8" s="28" t="str">
        <v>QM</v>
      </c>
      <c r="D8" s="28" t="str">
        <v>3H</v>
      </c>
      <c r="E8" s="26" t="str">
        <f t="shared" si="0"/>
        <v>HKDQM3H18M_Quote</v>
      </c>
      <c r="F8" s="26" t="str">
        <f>_xll.qlSimpleQuote(Currency&amp;$C8&amp;$D8&amp;$B8&amp;QuoteSuffix,,RateTickValue,Permanent,Trigger,ObjectOverwrite)</f>
        <v>HKDQM3H18M_Quote#0001</v>
      </c>
      <c r="G8" s="137" t="str">
        <f>_xll.ohRangeRetrieveError(F8)</f>
        <v/>
      </c>
      <c r="H8" s="67"/>
      <c r="J8" s="151"/>
      <c r="K8" s="35"/>
      <c r="L8" s="34"/>
      <c r="N8" s="195"/>
      <c r="O8" s="194" t="s">
        <v>58</v>
      </c>
      <c r="P8" s="244" t="str">
        <v>QM</v>
      </c>
      <c r="Q8" s="244" t="str">
        <v>3H</v>
      </c>
      <c r="R8" s="244" t="str">
        <f t="shared" si="1"/>
        <v>HKDQM3H18M</v>
      </c>
      <c r="S8" s="244" t="str">
        <v>HKDQM3H18M=PREA</v>
      </c>
      <c r="T8" s="245">
        <v>0.42</v>
      </c>
      <c r="U8" s="245">
        <v>0.52</v>
      </c>
      <c r="V8" s="245">
        <v>0</v>
      </c>
      <c r="W8" s="245">
        <v>0</v>
      </c>
      <c r="X8" s="192">
        <f>_xll.qlMidSafe($T8,$U8)</f>
        <v>0.47</v>
      </c>
      <c r="Y8" s="190"/>
      <c r="Z8" s="199">
        <v>0.48</v>
      </c>
      <c r="AA8" s="190"/>
      <c r="AB8" s="198" t="str">
        <f t="shared" si="2"/>
        <v>HKDQM3H18M_Quote</v>
      </c>
      <c r="AC8" s="197">
        <v>0.47</v>
      </c>
      <c r="AD8" s="196" t="e">
        <f>_xll.qlSimpleQuoteSetValue($AB8,$AC8/100,Trigger)</f>
        <v>#NUM!</v>
      </c>
      <c r="AE8" s="186"/>
      <c r="AF8" s="232"/>
      <c r="AG8" s="350" t="s">
        <v>4</v>
      </c>
      <c r="AH8" s="227" t="s">
        <v>144</v>
      </c>
      <c r="AI8" s="288" t="s">
        <v>143</v>
      </c>
      <c r="AJ8" s="232"/>
      <c r="AK8" s="233">
        <f t="shared" si="3"/>
        <v>1.0000000000000009E-3</v>
      </c>
      <c r="AL8" s="232"/>
    </row>
    <row r="9" spans="1:38" x14ac:dyDescent="0.2">
      <c r="A9" s="73"/>
      <c r="B9" s="140" t="s">
        <v>57</v>
      </c>
      <c r="C9" s="28" t="str">
        <v>QM</v>
      </c>
      <c r="D9" s="28" t="str">
        <v>3H</v>
      </c>
      <c r="E9" s="26" t="str">
        <f t="shared" si="0"/>
        <v>HKDQM3H21M_Quote</v>
      </c>
      <c r="F9" s="26" t="str">
        <f>_xll.qlSimpleQuote(Currency&amp;$C9&amp;$D9&amp;$B9&amp;QuoteSuffix,,RateTickValue,Permanent,Trigger,ObjectOverwrite)</f>
        <v>HKDQM3H21M_Quote#0001</v>
      </c>
      <c r="G9" s="137" t="str">
        <f>_xll.ohRangeRetrieveError(F9)</f>
        <v/>
      </c>
      <c r="H9" s="67"/>
      <c r="J9" s="151"/>
      <c r="K9" s="35"/>
      <c r="L9" s="34"/>
      <c r="N9" s="195"/>
      <c r="O9" s="194" t="s">
        <v>57</v>
      </c>
      <c r="P9" s="244" t="str">
        <v>QM</v>
      </c>
      <c r="Q9" s="244" t="str">
        <v>3H</v>
      </c>
      <c r="R9" s="244" t="str">
        <f t="shared" si="1"/>
        <v>HKDQM3H21M</v>
      </c>
      <c r="S9" s="244" t="str">
        <v>HKDQM3H21M=PREA</v>
      </c>
      <c r="T9" s="245" t="s">
        <v>188</v>
      </c>
      <c r="U9" s="245" t="s">
        <v>188</v>
      </c>
      <c r="V9" s="245" t="s">
        <v>188</v>
      </c>
      <c r="W9" s="245" t="s">
        <v>188</v>
      </c>
      <c r="X9" s="192" t="e">
        <f>_xll.qlMidSafe($T9,$U9)</f>
        <v>#NUM!</v>
      </c>
      <c r="Y9" s="190"/>
      <c r="Z9" s="199" t="e">
        <v>#NUM!</v>
      </c>
      <c r="AA9" s="190"/>
      <c r="AB9" s="198" t="str">
        <f t="shared" si="2"/>
        <v>HKDQM3H21M_Quote</v>
      </c>
      <c r="AC9" s="197" t="e">
        <v>#NUM!</v>
      </c>
      <c r="AD9" s="196" t="e">
        <f>_xll.qlSimpleQuoteSetValue($AB9,$AC9/100,Trigger)</f>
        <v>#NUM!</v>
      </c>
      <c r="AE9" s="186"/>
      <c r="AF9" s="232"/>
      <c r="AG9" s="350" t="s">
        <v>47</v>
      </c>
      <c r="AH9" s="227" t="s">
        <v>142</v>
      </c>
      <c r="AI9" s="288" t="s">
        <v>43</v>
      </c>
      <c r="AJ9" s="232"/>
      <c r="AK9" s="233" t="e">
        <f t="shared" si="3"/>
        <v>#VALUE!</v>
      </c>
      <c r="AL9" s="232"/>
    </row>
    <row r="10" spans="1:38" ht="13.5" thickBot="1" x14ac:dyDescent="0.25">
      <c r="A10" s="73"/>
      <c r="B10" s="140" t="s">
        <v>56</v>
      </c>
      <c r="C10" s="28" t="str">
        <v>QM</v>
      </c>
      <c r="D10" s="28" t="str">
        <v>3H</v>
      </c>
      <c r="E10" s="26" t="str">
        <f t="shared" si="0"/>
        <v>HKDQM3H2Y_Quote</v>
      </c>
      <c r="F10" s="26" t="str">
        <f>_xll.qlSimpleQuote(Currency&amp;$C10&amp;$D10&amp;$B10&amp;QuoteSuffix,,RateTickValue,Permanent,Trigger,ObjectOverwrite)</f>
        <v>HKDQM3H2Y_Quote#0001</v>
      </c>
      <c r="G10" s="137" t="str">
        <f>_xll.ohRangeRetrieveError(F10)</f>
        <v/>
      </c>
      <c r="H10" s="67"/>
      <c r="J10" s="151" t="s">
        <v>49</v>
      </c>
      <c r="K10" s="35" t="s">
        <v>141</v>
      </c>
      <c r="L10" s="34" t="s">
        <v>43</v>
      </c>
      <c r="N10" s="195"/>
      <c r="O10" s="194" t="s">
        <v>56</v>
      </c>
      <c r="P10" s="244" t="str">
        <v>QM</v>
      </c>
      <c r="Q10" s="244" t="str">
        <v>3H</v>
      </c>
      <c r="R10" s="244" t="str">
        <f t="shared" si="1"/>
        <v>HKDQM3H2Y</v>
      </c>
      <c r="S10" s="244" t="str">
        <v>HKDQM3H2Y=PREA</v>
      </c>
      <c r="T10" s="245">
        <v>0.48</v>
      </c>
      <c r="U10" s="245">
        <v>0.57999999999999996</v>
      </c>
      <c r="V10" s="245">
        <v>0</v>
      </c>
      <c r="W10" s="245">
        <v>0</v>
      </c>
      <c r="X10" s="192">
        <f>_xll.qlMidSafe($T10,$U10)</f>
        <v>0.53</v>
      </c>
      <c r="Y10" s="190"/>
      <c r="Z10" s="199">
        <v>0.54</v>
      </c>
      <c r="AA10" s="190"/>
      <c r="AB10" s="198" t="str">
        <f t="shared" si="2"/>
        <v>HKDQM3H2Y_Quote</v>
      </c>
      <c r="AC10" s="197">
        <v>0.53</v>
      </c>
      <c r="AD10" s="196" t="e">
        <f>_xll.qlSimpleQuoteSetValue($AB10,$AC10/100,Trigger)</f>
        <v>#NUM!</v>
      </c>
      <c r="AE10" s="186"/>
      <c r="AF10" s="232"/>
      <c r="AG10" s="349" t="s">
        <v>44</v>
      </c>
      <c r="AH10" s="348" t="s">
        <v>141</v>
      </c>
      <c r="AI10" s="286" t="s">
        <v>43</v>
      </c>
      <c r="AJ10" s="232"/>
      <c r="AK10" s="233">
        <f t="shared" si="3"/>
        <v>9.9999999999999872E-4</v>
      </c>
      <c r="AL10" s="232"/>
    </row>
    <row r="11" spans="1:38" x14ac:dyDescent="0.2">
      <c r="A11" s="73"/>
      <c r="B11" s="140" t="s">
        <v>54</v>
      </c>
      <c r="C11" s="28" t="str">
        <v>QM</v>
      </c>
      <c r="D11" s="28" t="str">
        <v>3H</v>
      </c>
      <c r="E11" s="26" t="str">
        <f t="shared" si="0"/>
        <v>HKDQM3H3Y_Quote</v>
      </c>
      <c r="F11" s="26" t="str">
        <f>_xll.qlSimpleQuote(Currency&amp;$C11&amp;$D11&amp;$B11&amp;QuoteSuffix,,RateTickValue,Permanent,Trigger,ObjectOverwrite)</f>
        <v>HKDQM3H3Y_Quote#0001</v>
      </c>
      <c r="G11" s="137" t="str">
        <f>_xll.ohRangeRetrieveError(F11)</f>
        <v/>
      </c>
      <c r="H11" s="67"/>
      <c r="J11" s="151" t="s">
        <v>47</v>
      </c>
      <c r="K11" s="35" t="s">
        <v>142</v>
      </c>
      <c r="L11" s="34" t="s">
        <v>43</v>
      </c>
      <c r="N11" s="195"/>
      <c r="O11" s="194" t="s">
        <v>54</v>
      </c>
      <c r="P11" s="346" t="str">
        <v>QM</v>
      </c>
      <c r="Q11" s="346" t="str">
        <v>3H</v>
      </c>
      <c r="R11" s="244" t="str">
        <f t="shared" si="1"/>
        <v>HKDQM3H3Y</v>
      </c>
      <c r="S11" s="244" t="str">
        <v>HKDQM3H3Y=PREA</v>
      </c>
      <c r="T11" s="245">
        <v>0.71</v>
      </c>
      <c r="U11" s="245">
        <v>0.81</v>
      </c>
      <c r="V11" s="245">
        <v>0</v>
      </c>
      <c r="W11" s="245">
        <v>0</v>
      </c>
      <c r="X11" s="192">
        <f>_xll.qlMidSafe($T11,$U11)</f>
        <v>0.76</v>
      </c>
      <c r="Y11" s="190"/>
      <c r="Z11" s="199">
        <v>0.77</v>
      </c>
      <c r="AA11" s="190"/>
      <c r="AB11" s="198" t="str">
        <f t="shared" si="2"/>
        <v>HKDQM3H3Y_Quote</v>
      </c>
      <c r="AC11" s="197">
        <v>0.76</v>
      </c>
      <c r="AD11" s="196" t="e">
        <f>_xll.qlSimpleQuoteSetValue($AB11,$AC11/100,Trigger)</f>
        <v>#NUM!</v>
      </c>
      <c r="AE11" s="186"/>
      <c r="AF11" s="232"/>
      <c r="AG11" s="232"/>
      <c r="AH11" s="232"/>
      <c r="AI11" s="232"/>
      <c r="AJ11" s="232"/>
      <c r="AK11" s="233">
        <f t="shared" si="3"/>
        <v>1.0000000000000009E-3</v>
      </c>
      <c r="AL11" s="232"/>
    </row>
    <row r="12" spans="1:38" ht="13.5" thickBot="1" x14ac:dyDescent="0.25">
      <c r="A12" s="73"/>
      <c r="B12" s="140" t="s">
        <v>50</v>
      </c>
      <c r="C12" s="28" t="str">
        <v>QM</v>
      </c>
      <c r="D12" s="28" t="str">
        <v>3H</v>
      </c>
      <c r="E12" s="26" t="str">
        <f t="shared" si="0"/>
        <v>HKDQM3H4Y_Quote</v>
      </c>
      <c r="F12" s="26" t="str">
        <f>_xll.qlSimpleQuote(Currency&amp;$C12&amp;$D12&amp;$B12&amp;QuoteSuffix,,RateTickValue,Permanent,Trigger,ObjectOverwrite)</f>
        <v>HKDQM3H4Y_Quote#0001</v>
      </c>
      <c r="G12" s="137" t="str">
        <f>_xll.ohRangeRetrieveError(F12)</f>
        <v/>
      </c>
      <c r="H12" s="67"/>
      <c r="J12" s="150" t="s">
        <v>44</v>
      </c>
      <c r="K12" s="32" t="s">
        <v>141</v>
      </c>
      <c r="L12" s="31" t="s">
        <v>43</v>
      </c>
      <c r="N12" s="195"/>
      <c r="O12" s="194" t="s">
        <v>50</v>
      </c>
      <c r="P12" s="346" t="str">
        <v>QM</v>
      </c>
      <c r="Q12" s="346" t="str">
        <v>3H</v>
      </c>
      <c r="R12" s="244" t="str">
        <f t="shared" si="1"/>
        <v>HKDQM3H4Y</v>
      </c>
      <c r="S12" s="244" t="str">
        <v>HKDQM3H4Y=PREA</v>
      </c>
      <c r="T12" s="245">
        <v>1.06</v>
      </c>
      <c r="U12" s="245">
        <v>1.1599999999999999</v>
      </c>
      <c r="V12" s="245">
        <v>0</v>
      </c>
      <c r="W12" s="245">
        <v>0</v>
      </c>
      <c r="X12" s="192">
        <f>_xll.qlMidSafe($T12,$U12)</f>
        <v>1.1099999999999999</v>
      </c>
      <c r="Y12" s="190"/>
      <c r="Z12" s="199">
        <v>1.0899999999999999</v>
      </c>
      <c r="AA12" s="190"/>
      <c r="AB12" s="198" t="str">
        <f t="shared" si="2"/>
        <v>HKDQM3H4Y_Quote</v>
      </c>
      <c r="AC12" s="197">
        <v>1.1099999999999999</v>
      </c>
      <c r="AD12" s="196" t="e">
        <f>_xll.qlSimpleQuoteSetValue($AB12,$AC12/100,Trigger)</f>
        <v>#NUM!</v>
      </c>
      <c r="AE12" s="186"/>
      <c r="AF12" s="232"/>
      <c r="AG12" s="232"/>
      <c r="AH12" s="232"/>
      <c r="AI12" s="232"/>
      <c r="AJ12" s="232"/>
      <c r="AK12" s="233">
        <f t="shared" si="3"/>
        <v>1.0000000000000009E-3</v>
      </c>
      <c r="AL12" s="232"/>
    </row>
    <row r="13" spans="1:38" x14ac:dyDescent="0.2">
      <c r="A13" s="73"/>
      <c r="B13" s="140" t="s">
        <v>48</v>
      </c>
      <c r="C13" s="28" t="str">
        <v>QM</v>
      </c>
      <c r="D13" s="28" t="str">
        <v>3H</v>
      </c>
      <c r="E13" s="26" t="str">
        <f t="shared" si="0"/>
        <v>HKDQM3H5Y_Quote</v>
      </c>
      <c r="F13" s="26" t="str">
        <f>_xll.qlSimpleQuote(Currency&amp;$C13&amp;$D13&amp;$B13&amp;QuoteSuffix,,RateTickValue,Permanent,Trigger,ObjectOverwrite)</f>
        <v>HKDQM3H5Y_Quote#0001</v>
      </c>
      <c r="G13" s="137" t="str">
        <f>_xll.ohRangeRetrieveError(F13)</f>
        <v/>
      </c>
      <c r="H13" s="67"/>
      <c r="N13" s="195"/>
      <c r="O13" s="194" t="s">
        <v>48</v>
      </c>
      <c r="P13" s="346" t="str">
        <v>QM</v>
      </c>
      <c r="Q13" s="346" t="str">
        <v>3H</v>
      </c>
      <c r="R13" s="244" t="str">
        <f t="shared" si="1"/>
        <v>HKDQM3H5Y</v>
      </c>
      <c r="S13" s="244" t="str">
        <v>HKDQM3H5Y=PREA</v>
      </c>
      <c r="T13" s="245">
        <v>1.42</v>
      </c>
      <c r="U13" s="245">
        <v>1.52</v>
      </c>
      <c r="V13" s="245">
        <v>0</v>
      </c>
      <c r="W13" s="245">
        <v>0</v>
      </c>
      <c r="X13" s="192">
        <f>_xll.qlMidSafe($T13,$U13)</f>
        <v>1.47</v>
      </c>
      <c r="Y13" s="190"/>
      <c r="Z13" s="199">
        <v>1.4100000000000001</v>
      </c>
      <c r="AA13" s="190"/>
      <c r="AB13" s="198" t="str">
        <f t="shared" si="2"/>
        <v>HKDQM3H5Y_Quote</v>
      </c>
      <c r="AC13" s="197">
        <v>1.47</v>
      </c>
      <c r="AD13" s="196" t="e">
        <f>_xll.qlSimpleQuoteSetValue($AB13,$AC13/100,Trigger)</f>
        <v>#NUM!</v>
      </c>
      <c r="AE13" s="186"/>
      <c r="AF13" s="232"/>
      <c r="AG13" s="232"/>
      <c r="AH13" s="232"/>
      <c r="AI13" s="232"/>
      <c r="AJ13" s="232"/>
      <c r="AK13" s="233">
        <f t="shared" si="3"/>
        <v>1.0000000000000009E-3</v>
      </c>
      <c r="AL13" s="232"/>
    </row>
    <row r="14" spans="1:38" x14ac:dyDescent="0.2">
      <c r="A14" s="73"/>
      <c r="B14" s="140" t="s">
        <v>45</v>
      </c>
      <c r="C14" s="28" t="str">
        <v>QM</v>
      </c>
      <c r="D14" s="28" t="str">
        <v>3H</v>
      </c>
      <c r="E14" s="26" t="str">
        <f t="shared" si="0"/>
        <v>HKDQM3H6Y_Quote</v>
      </c>
      <c r="F14" s="26" t="str">
        <f>_xll.qlSimpleQuote(Currency&amp;$C14&amp;$D14&amp;$B14&amp;QuoteSuffix,,RateTickValue,Permanent,Trigger,ObjectOverwrite)</f>
        <v>HKDQM3H6Y_Quote#0001</v>
      </c>
      <c r="G14" s="137" t="str">
        <f>_xll.ohRangeRetrieveError(F14)</f>
        <v/>
      </c>
      <c r="H14" s="67"/>
      <c r="N14" s="195"/>
      <c r="O14" s="194" t="s">
        <v>45</v>
      </c>
      <c r="P14" s="346" t="str">
        <v>QM</v>
      </c>
      <c r="Q14" s="346" t="str">
        <v>3H</v>
      </c>
      <c r="R14" s="244" t="str">
        <f t="shared" si="1"/>
        <v>HKDQM3H6Y</v>
      </c>
      <c r="S14" s="244" t="str">
        <v>HKDQM3H6Y=PREA</v>
      </c>
      <c r="T14" s="245" t="s">
        <v>188</v>
      </c>
      <c r="U14" s="245" t="s">
        <v>188</v>
      </c>
      <c r="V14" s="245" t="s">
        <v>188</v>
      </c>
      <c r="W14" s="245" t="s">
        <v>188</v>
      </c>
      <c r="X14" s="192" t="e">
        <f>_xll.qlMidSafe($T14,$U14)</f>
        <v>#NUM!</v>
      </c>
      <c r="Y14" s="190"/>
      <c r="Z14" s="199" t="e">
        <v>#NUM!</v>
      </c>
      <c r="AA14" s="190"/>
      <c r="AB14" s="198" t="str">
        <f t="shared" si="2"/>
        <v>HKDQM3H6Y_Quote</v>
      </c>
      <c r="AC14" s="197" t="e">
        <v>#NUM!</v>
      </c>
      <c r="AD14" s="196" t="e">
        <f>_xll.qlSimpleQuoteSetValue($AB14,$AC14/100,Trigger)</f>
        <v>#NUM!</v>
      </c>
      <c r="AE14" s="186"/>
      <c r="AF14" s="232"/>
      <c r="AG14" s="232"/>
      <c r="AH14" s="232"/>
      <c r="AI14" s="232"/>
      <c r="AJ14" s="232"/>
      <c r="AK14" s="233" t="e">
        <f t="shared" si="3"/>
        <v>#VALUE!</v>
      </c>
      <c r="AL14" s="232"/>
    </row>
    <row r="15" spans="1:38" x14ac:dyDescent="0.2">
      <c r="A15" s="73"/>
      <c r="B15" s="140" t="s">
        <v>41</v>
      </c>
      <c r="C15" s="28" t="str">
        <v>QM</v>
      </c>
      <c r="D15" s="28" t="str">
        <v>3H</v>
      </c>
      <c r="E15" s="26" t="str">
        <f t="shared" si="0"/>
        <v>HKDQM3H7Y_Quote</v>
      </c>
      <c r="F15" s="26" t="str">
        <f>_xll.qlSimpleQuote(Currency&amp;$C15&amp;$D15&amp;$B15&amp;QuoteSuffix,,RateTickValue,Permanent,Trigger,ObjectOverwrite)</f>
        <v>HKDQM3H7Y_Quote#0001</v>
      </c>
      <c r="G15" s="137" t="str">
        <f>_xll.ohRangeRetrieveError(F15)</f>
        <v/>
      </c>
      <c r="H15" s="67"/>
      <c r="N15" s="195"/>
      <c r="O15" s="194" t="s">
        <v>41</v>
      </c>
      <c r="P15" s="346" t="str">
        <v>QM</v>
      </c>
      <c r="Q15" s="346" t="str">
        <v>3H</v>
      </c>
      <c r="R15" s="244" t="str">
        <f t="shared" si="1"/>
        <v>HKDQM3H7Y</v>
      </c>
      <c r="S15" s="244" t="str">
        <v>HKDQM3H7Y=PREA</v>
      </c>
      <c r="T15" s="245">
        <v>1.98</v>
      </c>
      <c r="U15" s="245">
        <v>2.08</v>
      </c>
      <c r="V15" s="245">
        <v>0</v>
      </c>
      <c r="W15" s="245">
        <v>0</v>
      </c>
      <c r="X15" s="192">
        <f>_xll.qlMidSafe($T15,$U15)</f>
        <v>2.0300000000000002</v>
      </c>
      <c r="Y15" s="190"/>
      <c r="Z15" s="199">
        <v>1.95</v>
      </c>
      <c r="AA15" s="190"/>
      <c r="AB15" s="198" t="str">
        <f t="shared" si="2"/>
        <v>HKDQM3H7Y_Quote</v>
      </c>
      <c r="AC15" s="197">
        <v>2.0300000000000002</v>
      </c>
      <c r="AD15" s="196" t="e">
        <f>_xll.qlSimpleQuoteSetValue($AB15,$AC15/100,Trigger)</f>
        <v>#NUM!</v>
      </c>
      <c r="AE15" s="186"/>
      <c r="AF15" s="232"/>
      <c r="AG15" s="232"/>
      <c r="AH15" s="232"/>
      <c r="AI15" s="232"/>
      <c r="AJ15" s="232"/>
      <c r="AK15" s="233">
        <f t="shared" si="3"/>
        <v>9.9999999999999655E-4</v>
      </c>
      <c r="AL15" s="232"/>
    </row>
    <row r="16" spans="1:38" x14ac:dyDescent="0.2">
      <c r="A16" s="73"/>
      <c r="B16" s="140" t="s">
        <v>40</v>
      </c>
      <c r="C16" s="28" t="str">
        <v>QM</v>
      </c>
      <c r="D16" s="28" t="str">
        <v>3H</v>
      </c>
      <c r="E16" s="26" t="str">
        <f t="shared" si="0"/>
        <v>HKDQM3H8Y_Quote</v>
      </c>
      <c r="F16" s="26" t="str">
        <f>_xll.qlSimpleQuote(Currency&amp;$C16&amp;$D16&amp;$B16&amp;QuoteSuffix,,RateTickValue,Permanent,Trigger,ObjectOverwrite)</f>
        <v>HKDQM3H8Y_Quote#0001</v>
      </c>
      <c r="G16" s="137" t="str">
        <f>_xll.ohRangeRetrieveError(F16)</f>
        <v/>
      </c>
      <c r="H16" s="67"/>
      <c r="N16" s="195"/>
      <c r="O16" s="194" t="s">
        <v>40</v>
      </c>
      <c r="P16" s="346" t="str">
        <v>QM</v>
      </c>
      <c r="Q16" s="346" t="str">
        <v>3H</v>
      </c>
      <c r="R16" s="244" t="str">
        <f t="shared" si="1"/>
        <v>HKDQM3H8Y</v>
      </c>
      <c r="S16" s="244" t="str">
        <v>HKDQM3H8Y=PREA</v>
      </c>
      <c r="T16" s="245" t="s">
        <v>188</v>
      </c>
      <c r="U16" s="245" t="s">
        <v>188</v>
      </c>
      <c r="V16" s="245" t="s">
        <v>188</v>
      </c>
      <c r="W16" s="245" t="s">
        <v>188</v>
      </c>
      <c r="X16" s="192" t="e">
        <f>_xll.qlMidSafe($T16,$U16)</f>
        <v>#NUM!</v>
      </c>
      <c r="Y16" s="190"/>
      <c r="Z16" s="199" t="e">
        <v>#NUM!</v>
      </c>
      <c r="AA16" s="190"/>
      <c r="AB16" s="198" t="str">
        <f t="shared" si="2"/>
        <v>HKDQM3H8Y_Quote</v>
      </c>
      <c r="AC16" s="197" t="e">
        <v>#NUM!</v>
      </c>
      <c r="AD16" s="196" t="e">
        <f>_xll.qlSimpleQuoteSetValue($AB16,$AC16/100,Trigger)</f>
        <v>#NUM!</v>
      </c>
      <c r="AE16" s="186"/>
      <c r="AF16" s="232"/>
      <c r="AG16" s="232"/>
      <c r="AH16" s="232"/>
      <c r="AI16" s="232"/>
      <c r="AJ16" s="232"/>
      <c r="AK16" s="233" t="e">
        <f t="shared" si="3"/>
        <v>#VALUE!</v>
      </c>
      <c r="AL16" s="232"/>
    </row>
    <row r="17" spans="1:38" x14ac:dyDescent="0.2">
      <c r="A17" s="73"/>
      <c r="B17" s="140" t="s">
        <v>39</v>
      </c>
      <c r="C17" s="28" t="str">
        <v>QM</v>
      </c>
      <c r="D17" s="28" t="str">
        <v>3H</v>
      </c>
      <c r="E17" s="26" t="str">
        <f t="shared" si="0"/>
        <v>HKDQM3H9Y_Quote</v>
      </c>
      <c r="F17" s="26" t="str">
        <f>_xll.qlSimpleQuote(Currency&amp;$C17&amp;$D17&amp;$B17&amp;QuoteSuffix,,RateTickValue,Permanent,Trigger,ObjectOverwrite)</f>
        <v>HKDQM3H9Y_Quote#0001</v>
      </c>
      <c r="G17" s="137" t="str">
        <f>_xll.ohRangeRetrieveError(F17)</f>
        <v/>
      </c>
      <c r="H17" s="67"/>
      <c r="N17" s="195"/>
      <c r="O17" s="194" t="s">
        <v>39</v>
      </c>
      <c r="P17" s="346" t="str">
        <v>QM</v>
      </c>
      <c r="Q17" s="346" t="str">
        <v>3H</v>
      </c>
      <c r="R17" s="244" t="str">
        <f t="shared" si="1"/>
        <v>HKDQM3H9Y</v>
      </c>
      <c r="S17" s="244" t="str">
        <v>HKDQM3H9Y=PREA</v>
      </c>
      <c r="T17" s="245" t="s">
        <v>188</v>
      </c>
      <c r="U17" s="245" t="s">
        <v>188</v>
      </c>
      <c r="V17" s="245" t="s">
        <v>188</v>
      </c>
      <c r="W17" s="245" t="s">
        <v>188</v>
      </c>
      <c r="X17" s="192" t="e">
        <f>_xll.qlMidSafe($T17,$U17)</f>
        <v>#NUM!</v>
      </c>
      <c r="Y17" s="190"/>
      <c r="Z17" s="199" t="e">
        <v>#NUM!</v>
      </c>
      <c r="AA17" s="190"/>
      <c r="AB17" s="198" t="str">
        <f t="shared" si="2"/>
        <v>HKDQM3H9Y_Quote</v>
      </c>
      <c r="AC17" s="197" t="e">
        <v>#NUM!</v>
      </c>
      <c r="AD17" s="196" t="e">
        <f>_xll.qlSimpleQuoteSetValue($AB17,$AC17/100,Trigger)</f>
        <v>#NUM!</v>
      </c>
      <c r="AE17" s="186"/>
      <c r="AF17" s="232"/>
      <c r="AG17" s="232"/>
      <c r="AH17" s="232"/>
      <c r="AI17" s="232"/>
      <c r="AJ17" s="232"/>
      <c r="AK17" s="233" t="e">
        <f t="shared" si="3"/>
        <v>#VALUE!</v>
      </c>
      <c r="AL17" s="232"/>
    </row>
    <row r="18" spans="1:38" x14ac:dyDescent="0.2">
      <c r="A18" s="73"/>
      <c r="B18" s="140" t="s">
        <v>38</v>
      </c>
      <c r="C18" s="28" t="str">
        <v>QM</v>
      </c>
      <c r="D18" s="28" t="str">
        <v>3H</v>
      </c>
      <c r="E18" s="26" t="str">
        <f t="shared" si="0"/>
        <v>HKDQM3H10Y_Quote</v>
      </c>
      <c r="F18" s="26" t="str">
        <f>_xll.qlSimpleQuote(Currency&amp;$C18&amp;$D18&amp;$B18&amp;QuoteSuffix,,RateTickValue,Permanent,Trigger,ObjectOverwrite)</f>
        <v>HKDQM3H10Y_Quote#0001</v>
      </c>
      <c r="G18" s="137" t="str">
        <f>_xll.ohRangeRetrieveError(F18)</f>
        <v/>
      </c>
      <c r="H18" s="67"/>
      <c r="N18" s="195"/>
      <c r="O18" s="194" t="s">
        <v>38</v>
      </c>
      <c r="P18" s="346" t="str">
        <v>QM</v>
      </c>
      <c r="Q18" s="346" t="str">
        <v>3H</v>
      </c>
      <c r="R18" s="244" t="str">
        <f t="shared" si="1"/>
        <v>HKDQM3H10Y</v>
      </c>
      <c r="S18" s="244" t="str">
        <v>HKDQM3H10Y=PREA</v>
      </c>
      <c r="T18" s="245">
        <v>2.5099999999999998</v>
      </c>
      <c r="U18" s="245">
        <v>2.61</v>
      </c>
      <c r="V18" s="245">
        <v>0</v>
      </c>
      <c r="W18" s="245">
        <v>0</v>
      </c>
      <c r="X18" s="192">
        <f>_xll.qlMidSafe($T18,$U18)</f>
        <v>2.5599999999999996</v>
      </c>
      <c r="Y18" s="190"/>
      <c r="Z18" s="199">
        <v>2.4500000000000002</v>
      </c>
      <c r="AA18" s="190"/>
      <c r="AB18" s="198" t="str">
        <f t="shared" si="2"/>
        <v>HKDQM3H10Y_Quote</v>
      </c>
      <c r="AC18" s="197">
        <v>2.5599999999999996</v>
      </c>
      <c r="AD18" s="196" t="e">
        <f>_xll.qlSimpleQuoteSetValue($AB18,$AC18/100,Trigger)</f>
        <v>#NUM!</v>
      </c>
      <c r="AE18" s="186"/>
      <c r="AF18" s="232"/>
      <c r="AG18" s="232"/>
      <c r="AH18" s="232"/>
      <c r="AI18" s="232"/>
      <c r="AJ18" s="232"/>
      <c r="AK18" s="233">
        <f t="shared" si="3"/>
        <v>1.0000000000000052E-3</v>
      </c>
      <c r="AL18" s="232"/>
    </row>
    <row r="19" spans="1:38" x14ac:dyDescent="0.2">
      <c r="A19" s="73"/>
      <c r="B19" s="140" t="s">
        <v>37</v>
      </c>
      <c r="C19" s="28" t="str">
        <v>QM</v>
      </c>
      <c r="D19" s="28" t="str">
        <v>3H</v>
      </c>
      <c r="E19" s="26" t="str">
        <f t="shared" si="0"/>
        <v>HKDQM3H11Y_Quote</v>
      </c>
      <c r="F19" s="26" t="str">
        <f>_xll.qlSimpleQuote(Currency&amp;$C19&amp;$D19&amp;$B19&amp;QuoteSuffix,,RateTickValue,Permanent,Trigger,ObjectOverwrite)</f>
        <v>HKDQM3H11Y_Quote#0001</v>
      </c>
      <c r="G19" s="137" t="str">
        <f>_xll.ohRangeRetrieveError(F19)</f>
        <v/>
      </c>
      <c r="H19" s="67"/>
      <c r="N19" s="195"/>
      <c r="O19" s="194" t="s">
        <v>37</v>
      </c>
      <c r="P19" s="346" t="str">
        <v>QM</v>
      </c>
      <c r="Q19" s="346" t="str">
        <v>3H</v>
      </c>
      <c r="R19" s="244" t="str">
        <f t="shared" si="1"/>
        <v>HKDQM3H11Y</v>
      </c>
      <c r="S19" s="244" t="str">
        <v>HKDQM3H11Y=PREA</v>
      </c>
      <c r="T19" s="245" t="s">
        <v>188</v>
      </c>
      <c r="U19" s="245" t="s">
        <v>188</v>
      </c>
      <c r="V19" s="245" t="s">
        <v>188</v>
      </c>
      <c r="W19" s="245" t="s">
        <v>188</v>
      </c>
      <c r="X19" s="192" t="e">
        <f>_xll.qlMidSafe($T19,$U19)</f>
        <v>#NUM!</v>
      </c>
      <c r="Y19" s="190"/>
      <c r="Z19" s="199" t="e">
        <v>#NUM!</v>
      </c>
      <c r="AA19" s="190"/>
      <c r="AB19" s="198" t="str">
        <f t="shared" si="2"/>
        <v>HKDQM3H11Y_Quote</v>
      </c>
      <c r="AC19" s="197" t="e">
        <v>#NUM!</v>
      </c>
      <c r="AD19" s="196" t="e">
        <f>_xll.qlSimpleQuoteSetValue($AB19,$AC19/100,Trigger)</f>
        <v>#NUM!</v>
      </c>
      <c r="AE19" s="186"/>
      <c r="AF19" s="232"/>
      <c r="AG19" s="232"/>
      <c r="AH19" s="232"/>
      <c r="AI19" s="232"/>
      <c r="AJ19" s="232"/>
      <c r="AK19" s="233" t="e">
        <f t="shared" si="3"/>
        <v>#VALUE!</v>
      </c>
      <c r="AL19" s="232"/>
    </row>
    <row r="20" spans="1:38" x14ac:dyDescent="0.2">
      <c r="A20" s="73"/>
      <c r="B20" s="140" t="s">
        <v>36</v>
      </c>
      <c r="C20" s="28" t="str">
        <v>QM</v>
      </c>
      <c r="D20" s="28" t="str">
        <v>3H</v>
      </c>
      <c r="E20" s="26" t="str">
        <f t="shared" si="0"/>
        <v>HKDQM3H12Y_Quote</v>
      </c>
      <c r="F20" s="26" t="str">
        <f>_xll.qlSimpleQuote(Currency&amp;$C20&amp;$D20&amp;$B20&amp;QuoteSuffix,,RateTickValue,Permanent,Trigger,ObjectOverwrite)</f>
        <v>HKDQM3H12Y_Quote#0001</v>
      </c>
      <c r="G20" s="137" t="str">
        <f>_xll.ohRangeRetrieveError(F20)</f>
        <v/>
      </c>
      <c r="H20" s="67"/>
      <c r="N20" s="195"/>
      <c r="O20" s="194" t="s">
        <v>36</v>
      </c>
      <c r="P20" s="346" t="str">
        <v>QM</v>
      </c>
      <c r="Q20" s="346" t="str">
        <v>3H</v>
      </c>
      <c r="R20" s="244" t="str">
        <f t="shared" si="1"/>
        <v>HKDQM3H12Y</v>
      </c>
      <c r="S20" s="244" t="str">
        <v>HKDQM3H12Y=PREA</v>
      </c>
      <c r="T20" s="245">
        <v>2.71</v>
      </c>
      <c r="U20" s="245">
        <v>2.81</v>
      </c>
      <c r="V20" s="245">
        <v>0</v>
      </c>
      <c r="W20" s="245">
        <v>0</v>
      </c>
      <c r="X20" s="192">
        <f>_xll.qlMidSafe($T20,$U20)</f>
        <v>2.76</v>
      </c>
      <c r="Y20" s="190"/>
      <c r="Z20" s="199">
        <v>2.6100000000000003</v>
      </c>
      <c r="AA20" s="190"/>
      <c r="AB20" s="198" t="str">
        <f t="shared" si="2"/>
        <v>HKDQM3H12Y_Quote</v>
      </c>
      <c r="AC20" s="197">
        <v>2.76</v>
      </c>
      <c r="AD20" s="196" t="e">
        <f>_xll.qlSimpleQuoteSetValue($AB20,$AC20/100,Trigger)</f>
        <v>#NUM!</v>
      </c>
      <c r="AE20" s="186"/>
      <c r="AF20" s="232"/>
      <c r="AG20" s="232"/>
      <c r="AH20" s="232"/>
      <c r="AI20" s="232"/>
      <c r="AJ20" s="232"/>
      <c r="AK20" s="233">
        <f t="shared" si="3"/>
        <v>1.0000000000000052E-3</v>
      </c>
      <c r="AL20" s="232"/>
    </row>
    <row r="21" spans="1:38" x14ac:dyDescent="0.2">
      <c r="A21" s="73"/>
      <c r="B21" s="140" t="s">
        <v>35</v>
      </c>
      <c r="C21" s="28" t="str">
        <v>QM</v>
      </c>
      <c r="D21" s="28" t="str">
        <v>3H</v>
      </c>
      <c r="E21" s="26" t="str">
        <f t="shared" si="0"/>
        <v>HKDQM3H13Y_Quote</v>
      </c>
      <c r="F21" s="26" t="str">
        <f>_xll.qlSimpleQuote(Currency&amp;$C21&amp;$D21&amp;$B21&amp;QuoteSuffix,,RateTickValue,Permanent,Trigger,ObjectOverwrite)</f>
        <v>HKDQM3H13Y_Quote#0001</v>
      </c>
      <c r="G21" s="137" t="str">
        <f>_xll.ohRangeRetrieveError(F21)</f>
        <v/>
      </c>
      <c r="H21" s="67"/>
      <c r="N21" s="195"/>
      <c r="O21" s="194" t="s">
        <v>35</v>
      </c>
      <c r="P21" s="346" t="str">
        <v>QM</v>
      </c>
      <c r="Q21" s="346" t="str">
        <v>3H</v>
      </c>
      <c r="R21" s="244" t="str">
        <f t="shared" si="1"/>
        <v>HKDQM3H13Y</v>
      </c>
      <c r="S21" s="244" t="str">
        <v>HKDQM3H13Y=PREA</v>
      </c>
      <c r="T21" s="245" t="s">
        <v>188</v>
      </c>
      <c r="U21" s="245" t="s">
        <v>188</v>
      </c>
      <c r="V21" s="245" t="s">
        <v>188</v>
      </c>
      <c r="W21" s="245" t="s">
        <v>188</v>
      </c>
      <c r="X21" s="192" t="e">
        <f>_xll.qlMidSafe($T21,$U21)</f>
        <v>#NUM!</v>
      </c>
      <c r="Y21" s="190"/>
      <c r="Z21" s="199" t="e">
        <v>#NUM!</v>
      </c>
      <c r="AA21" s="190"/>
      <c r="AB21" s="198" t="str">
        <f t="shared" si="2"/>
        <v>HKDQM3H13Y_Quote</v>
      </c>
      <c r="AC21" s="197" t="e">
        <v>#NUM!</v>
      </c>
      <c r="AD21" s="196" t="e">
        <f>_xll.qlSimpleQuoteSetValue($AB21,$AC21/100,Trigger)</f>
        <v>#NUM!</v>
      </c>
      <c r="AE21" s="186"/>
      <c r="AF21" s="232"/>
      <c r="AG21" s="232"/>
      <c r="AH21" s="232"/>
      <c r="AI21" s="232"/>
      <c r="AJ21" s="232"/>
      <c r="AK21" s="233" t="e">
        <f t="shared" si="3"/>
        <v>#VALUE!</v>
      </c>
      <c r="AL21" s="232"/>
    </row>
    <row r="22" spans="1:38" x14ac:dyDescent="0.2">
      <c r="A22" s="73"/>
      <c r="B22" s="140" t="s">
        <v>34</v>
      </c>
      <c r="C22" s="28" t="str">
        <v>QM</v>
      </c>
      <c r="D22" s="28" t="str">
        <v>3H</v>
      </c>
      <c r="E22" s="26" t="str">
        <f t="shared" si="0"/>
        <v>HKDQM3H14Y_Quote</v>
      </c>
      <c r="F22" s="26" t="str">
        <f>_xll.qlSimpleQuote(Currency&amp;$C22&amp;$D22&amp;$B22&amp;QuoteSuffix,,RateTickValue,Permanent,Trigger,ObjectOverwrite)</f>
        <v>HKDQM3H14Y_Quote#0001</v>
      </c>
      <c r="G22" s="137" t="str">
        <f>_xll.ohRangeRetrieveError(F22)</f>
        <v/>
      </c>
      <c r="H22" s="67"/>
      <c r="N22" s="195"/>
      <c r="O22" s="194" t="s">
        <v>34</v>
      </c>
      <c r="P22" s="346" t="str">
        <v>QM</v>
      </c>
      <c r="Q22" s="346" t="str">
        <v>3H</v>
      </c>
      <c r="R22" s="244" t="str">
        <f t="shared" si="1"/>
        <v>HKDQM3H14Y</v>
      </c>
      <c r="S22" s="244" t="str">
        <v>HKDQM3H14Y=PREA</v>
      </c>
      <c r="T22" s="245" t="s">
        <v>188</v>
      </c>
      <c r="U22" s="245" t="s">
        <v>188</v>
      </c>
      <c r="V22" s="245" t="s">
        <v>188</v>
      </c>
      <c r="W22" s="245" t="s">
        <v>188</v>
      </c>
      <c r="X22" s="192" t="e">
        <f>_xll.qlMidSafe($T22,$U22)</f>
        <v>#NUM!</v>
      </c>
      <c r="Y22" s="190"/>
      <c r="Z22" s="199" t="e">
        <v>#NUM!</v>
      </c>
      <c r="AA22" s="190"/>
      <c r="AB22" s="198" t="str">
        <f t="shared" si="2"/>
        <v>HKDQM3H14Y_Quote</v>
      </c>
      <c r="AC22" s="197" t="e">
        <v>#NUM!</v>
      </c>
      <c r="AD22" s="196" t="e">
        <f>_xll.qlSimpleQuoteSetValue($AB22,$AC22/100,Trigger)</f>
        <v>#NUM!</v>
      </c>
      <c r="AE22" s="186"/>
      <c r="AF22" s="232"/>
      <c r="AG22" s="232"/>
      <c r="AH22" s="232"/>
      <c r="AI22" s="232"/>
      <c r="AJ22" s="232"/>
      <c r="AK22" s="233" t="e">
        <f t="shared" si="3"/>
        <v>#VALUE!</v>
      </c>
      <c r="AL22" s="232"/>
    </row>
    <row r="23" spans="1:38" x14ac:dyDescent="0.2">
      <c r="A23" s="73"/>
      <c r="B23" s="140" t="s">
        <v>33</v>
      </c>
      <c r="C23" s="28" t="str">
        <v>QM</v>
      </c>
      <c r="D23" s="28" t="str">
        <v>3H</v>
      </c>
      <c r="E23" s="26" t="str">
        <f t="shared" si="0"/>
        <v>HKDQM3H15Y_Quote</v>
      </c>
      <c r="F23" s="26" t="str">
        <f>_xll.qlSimpleQuote(Currency&amp;$C23&amp;$D23&amp;$B23&amp;QuoteSuffix,,RateTickValue,Permanent,Trigger,ObjectOverwrite)</f>
        <v>HKDQM3H15Y_Quote#0001</v>
      </c>
      <c r="G23" s="137" t="str">
        <f>_xll.ohRangeRetrieveError(F23)</f>
        <v/>
      </c>
      <c r="H23" s="67"/>
      <c r="N23" s="195"/>
      <c r="O23" s="194" t="s">
        <v>33</v>
      </c>
      <c r="P23" s="346" t="str">
        <v>QM</v>
      </c>
      <c r="Q23" s="346" t="str">
        <v>3H</v>
      </c>
      <c r="R23" s="244" t="str">
        <f t="shared" si="1"/>
        <v>HKDQM3H15Y</v>
      </c>
      <c r="S23" s="244" t="str">
        <v>HKDQM3H15Y=PREA</v>
      </c>
      <c r="T23" s="245">
        <v>2.83</v>
      </c>
      <c r="U23" s="245">
        <v>2.93</v>
      </c>
      <c r="V23" s="245">
        <v>0</v>
      </c>
      <c r="W23" s="245">
        <v>0</v>
      </c>
      <c r="X23" s="192">
        <f>_xll.qlMidSafe($T23,$U23)</f>
        <v>2.88</v>
      </c>
      <c r="Y23" s="190"/>
      <c r="Z23" s="199">
        <v>2.7199999999999998</v>
      </c>
      <c r="AA23" s="190"/>
      <c r="AB23" s="198" t="str">
        <f t="shared" si="2"/>
        <v>HKDQM3H15Y_Quote</v>
      </c>
      <c r="AC23" s="197">
        <v>2.88</v>
      </c>
      <c r="AD23" s="196" t="e">
        <f>_xll.qlSimpleQuoteSetValue($AB23,$AC23/100,Trigger)</f>
        <v>#NUM!</v>
      </c>
      <c r="AE23" s="186"/>
      <c r="AF23" s="232"/>
      <c r="AG23" s="232"/>
      <c r="AH23" s="232"/>
      <c r="AI23" s="232"/>
      <c r="AJ23" s="232"/>
      <c r="AK23" s="233">
        <f t="shared" si="3"/>
        <v>1.0000000000000052E-3</v>
      </c>
      <c r="AL23" s="232"/>
    </row>
    <row r="24" spans="1:38" x14ac:dyDescent="0.2">
      <c r="A24" s="73"/>
      <c r="B24" s="140" t="s">
        <v>32</v>
      </c>
      <c r="C24" s="28" t="str">
        <v>QM</v>
      </c>
      <c r="D24" s="28" t="str">
        <v>3H</v>
      </c>
      <c r="E24" s="26" t="str">
        <f t="shared" si="0"/>
        <v>HKDQM3H16Y_Quote</v>
      </c>
      <c r="F24" s="26" t="str">
        <f>_xll.qlSimpleQuote(Currency&amp;$C24&amp;$D24&amp;$B24&amp;QuoteSuffix,,RateTickValue,Permanent,Trigger,ObjectOverwrite)</f>
        <v>HKDQM3H16Y_Quote#0001</v>
      </c>
      <c r="G24" s="137" t="str">
        <f>_xll.ohRangeRetrieveError(F24)</f>
        <v/>
      </c>
      <c r="H24" s="67"/>
      <c r="N24" s="195"/>
      <c r="O24" s="194" t="s">
        <v>32</v>
      </c>
      <c r="P24" s="346" t="str">
        <v>QM</v>
      </c>
      <c r="Q24" s="346" t="str">
        <v>3H</v>
      </c>
      <c r="R24" s="244" t="str">
        <f t="shared" si="1"/>
        <v>HKDQM3H16Y</v>
      </c>
      <c r="S24" s="244" t="str">
        <v>HKDQM3H16Y=PREA</v>
      </c>
      <c r="T24" s="245" t="s">
        <v>188</v>
      </c>
      <c r="U24" s="245" t="s">
        <v>188</v>
      </c>
      <c r="V24" s="245" t="s">
        <v>188</v>
      </c>
      <c r="W24" s="245" t="s">
        <v>188</v>
      </c>
      <c r="X24" s="192" t="e">
        <f>_xll.qlMidSafe($T24,$U24)</f>
        <v>#NUM!</v>
      </c>
      <c r="Y24" s="190"/>
      <c r="Z24" s="199" t="e">
        <v>#NUM!</v>
      </c>
      <c r="AA24" s="190"/>
      <c r="AB24" s="198" t="str">
        <f t="shared" si="2"/>
        <v>HKDQM3H16Y_Quote</v>
      </c>
      <c r="AC24" s="197" t="e">
        <v>#NUM!</v>
      </c>
      <c r="AD24" s="196" t="e">
        <f>_xll.qlSimpleQuoteSetValue($AB24,$AC24/100,Trigger)</f>
        <v>#NUM!</v>
      </c>
      <c r="AE24" s="186"/>
      <c r="AF24" s="232"/>
      <c r="AG24" s="232"/>
      <c r="AH24" s="232"/>
      <c r="AI24" s="232"/>
      <c r="AJ24" s="232"/>
      <c r="AK24" s="233" t="e">
        <f t="shared" si="3"/>
        <v>#VALUE!</v>
      </c>
      <c r="AL24" s="232"/>
    </row>
    <row r="25" spans="1:38" x14ac:dyDescent="0.2">
      <c r="A25" s="73"/>
      <c r="B25" s="140" t="s">
        <v>31</v>
      </c>
      <c r="C25" s="28" t="str">
        <v>QM</v>
      </c>
      <c r="D25" s="28" t="str">
        <v>3H</v>
      </c>
      <c r="E25" s="26" t="str">
        <f t="shared" si="0"/>
        <v>HKDQM3H17Y_Quote</v>
      </c>
      <c r="F25" s="26" t="str">
        <f>_xll.qlSimpleQuote(Currency&amp;$C25&amp;$D25&amp;$B25&amp;QuoteSuffix,,RateTickValue,Permanent,Trigger,ObjectOverwrite)</f>
        <v>HKDQM3H17Y_Quote#0001</v>
      </c>
      <c r="G25" s="137" t="str">
        <f>_xll.ohRangeRetrieveError(F25)</f>
        <v/>
      </c>
      <c r="H25" s="67"/>
      <c r="N25" s="195"/>
      <c r="O25" s="194" t="s">
        <v>31</v>
      </c>
      <c r="P25" s="346" t="str">
        <v>QM</v>
      </c>
      <c r="Q25" s="346" t="str">
        <v>3H</v>
      </c>
      <c r="R25" s="244" t="str">
        <f t="shared" si="1"/>
        <v>HKDQM3H17Y</v>
      </c>
      <c r="S25" s="244" t="str">
        <v>HKDQM3H17Y=PREA</v>
      </c>
      <c r="T25" s="245" t="s">
        <v>188</v>
      </c>
      <c r="U25" s="245" t="s">
        <v>188</v>
      </c>
      <c r="V25" s="245" t="s">
        <v>188</v>
      </c>
      <c r="W25" s="245" t="s">
        <v>188</v>
      </c>
      <c r="X25" s="192" t="e">
        <f>_xll.qlMidSafe($T25,$U25)</f>
        <v>#NUM!</v>
      </c>
      <c r="Y25" s="190"/>
      <c r="Z25" s="199" t="e">
        <v>#NUM!</v>
      </c>
      <c r="AA25" s="190"/>
      <c r="AB25" s="198" t="str">
        <f t="shared" si="2"/>
        <v>HKDQM3H17Y_Quote</v>
      </c>
      <c r="AC25" s="197" t="e">
        <v>#NUM!</v>
      </c>
      <c r="AD25" s="196" t="e">
        <f>_xll.qlSimpleQuoteSetValue($AB25,$AC25/100,Trigger)</f>
        <v>#NUM!</v>
      </c>
      <c r="AE25" s="186"/>
      <c r="AF25" s="232"/>
      <c r="AG25" s="232"/>
      <c r="AH25" s="232"/>
      <c r="AI25" s="232"/>
      <c r="AJ25" s="232"/>
      <c r="AK25" s="233" t="e">
        <f t="shared" si="3"/>
        <v>#VALUE!</v>
      </c>
      <c r="AL25" s="232"/>
    </row>
    <row r="26" spans="1:38" x14ac:dyDescent="0.2">
      <c r="A26" s="73"/>
      <c r="B26" s="140" t="s">
        <v>30</v>
      </c>
      <c r="C26" s="28" t="str">
        <v>QM</v>
      </c>
      <c r="D26" s="28" t="str">
        <v>3H</v>
      </c>
      <c r="E26" s="26" t="str">
        <f t="shared" si="0"/>
        <v>HKDQM3H18Y_Quote</v>
      </c>
      <c r="F26" s="26" t="str">
        <f>_xll.qlSimpleQuote(Currency&amp;$C26&amp;$D26&amp;$B26&amp;QuoteSuffix,,RateTickValue,Permanent,Trigger,ObjectOverwrite)</f>
        <v>HKDQM3H18Y_Quote#0001</v>
      </c>
      <c r="G26" s="137" t="str">
        <f>_xll.ohRangeRetrieveError(F26)</f>
        <v/>
      </c>
      <c r="H26" s="67"/>
      <c r="N26" s="195"/>
      <c r="O26" s="194" t="s">
        <v>30</v>
      </c>
      <c r="P26" s="346" t="str">
        <v>QM</v>
      </c>
      <c r="Q26" s="346" t="str">
        <v>3H</v>
      </c>
      <c r="R26" s="244" t="str">
        <f t="shared" si="1"/>
        <v>HKDQM3H18Y</v>
      </c>
      <c r="S26" s="244" t="str">
        <v>HKDQM3H18Y=PREA</v>
      </c>
      <c r="T26" s="245" t="s">
        <v>188</v>
      </c>
      <c r="U26" s="245" t="s">
        <v>188</v>
      </c>
      <c r="V26" s="245" t="s">
        <v>188</v>
      </c>
      <c r="W26" s="245" t="s">
        <v>188</v>
      </c>
      <c r="X26" s="192" t="e">
        <f>_xll.qlMidSafe($T26,$U26)</f>
        <v>#NUM!</v>
      </c>
      <c r="Y26" s="190"/>
      <c r="Z26" s="199" t="e">
        <v>#NUM!</v>
      </c>
      <c r="AA26" s="190"/>
      <c r="AB26" s="198" t="str">
        <f t="shared" si="2"/>
        <v>HKDQM3H18Y_Quote</v>
      </c>
      <c r="AC26" s="197" t="e">
        <v>#NUM!</v>
      </c>
      <c r="AD26" s="196" t="e">
        <f>_xll.qlSimpleQuoteSetValue($AB26,$AC26/100,Trigger)</f>
        <v>#NUM!</v>
      </c>
      <c r="AE26" s="186"/>
      <c r="AF26" s="232"/>
      <c r="AG26" s="232"/>
      <c r="AH26" s="232"/>
      <c r="AI26" s="232"/>
      <c r="AJ26" s="232"/>
      <c r="AK26" s="233" t="e">
        <f t="shared" si="3"/>
        <v>#VALUE!</v>
      </c>
      <c r="AL26" s="232"/>
    </row>
    <row r="27" spans="1:38" x14ac:dyDescent="0.2">
      <c r="A27" s="73"/>
      <c r="B27" s="140" t="s">
        <v>29</v>
      </c>
      <c r="C27" s="28" t="str">
        <v>QM</v>
      </c>
      <c r="D27" s="28" t="str">
        <v>3H</v>
      </c>
      <c r="E27" s="26" t="str">
        <f t="shared" si="0"/>
        <v>HKDQM3H19Y_Quote</v>
      </c>
      <c r="F27" s="26" t="str">
        <f>_xll.qlSimpleQuote(Currency&amp;$C27&amp;$D27&amp;$B27&amp;QuoteSuffix,,RateTickValue,Permanent,Trigger,ObjectOverwrite)</f>
        <v>HKDQM3H19Y_Quote#0001</v>
      </c>
      <c r="G27" s="137" t="str">
        <f>_xll.ohRangeRetrieveError(F27)</f>
        <v/>
      </c>
      <c r="H27" s="67"/>
      <c r="N27" s="195"/>
      <c r="O27" s="194" t="s">
        <v>29</v>
      </c>
      <c r="P27" s="346" t="str">
        <v>QM</v>
      </c>
      <c r="Q27" s="346" t="str">
        <v>3H</v>
      </c>
      <c r="R27" s="244" t="str">
        <f t="shared" si="1"/>
        <v>HKDQM3H19Y</v>
      </c>
      <c r="S27" s="244" t="str">
        <v>HKDQM3H19Y=PREA</v>
      </c>
      <c r="T27" s="245" t="s">
        <v>188</v>
      </c>
      <c r="U27" s="245" t="s">
        <v>188</v>
      </c>
      <c r="V27" s="245" t="s">
        <v>188</v>
      </c>
      <c r="W27" s="245" t="s">
        <v>188</v>
      </c>
      <c r="X27" s="192" t="e">
        <f>_xll.qlMidSafe($T27,$U27)</f>
        <v>#NUM!</v>
      </c>
      <c r="Y27" s="190"/>
      <c r="Z27" s="199" t="e">
        <v>#NUM!</v>
      </c>
      <c r="AA27" s="190"/>
      <c r="AB27" s="198" t="str">
        <f t="shared" si="2"/>
        <v>HKDQM3H19Y_Quote</v>
      </c>
      <c r="AC27" s="197" t="e">
        <v>#NUM!</v>
      </c>
      <c r="AD27" s="196" t="e">
        <f>_xll.qlSimpleQuoteSetValue($AB27,$AC27/100,Trigger)</f>
        <v>#NUM!</v>
      </c>
      <c r="AE27" s="186"/>
      <c r="AF27" s="232"/>
      <c r="AG27" s="232"/>
      <c r="AH27" s="232"/>
      <c r="AI27" s="232"/>
      <c r="AJ27" s="232"/>
      <c r="AK27" s="233" t="e">
        <f t="shared" si="3"/>
        <v>#VALUE!</v>
      </c>
      <c r="AL27" s="232"/>
    </row>
    <row r="28" spans="1:38" x14ac:dyDescent="0.2">
      <c r="A28" s="73"/>
      <c r="B28" s="140" t="s">
        <v>28</v>
      </c>
      <c r="C28" s="28" t="str">
        <v>QM</v>
      </c>
      <c r="D28" s="28" t="str">
        <v>3H</v>
      </c>
      <c r="E28" s="26" t="str">
        <f t="shared" si="0"/>
        <v>HKDQM3H20Y_Quote</v>
      </c>
      <c r="F28" s="26" t="str">
        <f>_xll.qlSimpleQuote(Currency&amp;$C28&amp;$D28&amp;$B28&amp;QuoteSuffix,,RateTickValue,Permanent,Trigger,ObjectOverwrite)</f>
        <v>HKDQM3H20Y_Quote#0001</v>
      </c>
      <c r="G28" s="137" t="str">
        <f>_xll.ohRangeRetrieveError(F28)</f>
        <v/>
      </c>
      <c r="H28" s="67"/>
      <c r="N28" s="195"/>
      <c r="O28" s="194" t="s">
        <v>28</v>
      </c>
      <c r="P28" s="346" t="str">
        <v>QM</v>
      </c>
      <c r="Q28" s="346" t="str">
        <v>3H</v>
      </c>
      <c r="R28" s="244" t="str">
        <f t="shared" si="1"/>
        <v>HKDQM3H20Y</v>
      </c>
      <c r="S28" s="244" t="str">
        <v>HKDQM3H20Y=PREA</v>
      </c>
      <c r="T28" s="245" t="s">
        <v>188</v>
      </c>
      <c r="U28" s="245" t="s">
        <v>188</v>
      </c>
      <c r="V28" s="245" t="s">
        <v>188</v>
      </c>
      <c r="W28" s="245" t="s">
        <v>188</v>
      </c>
      <c r="X28" s="192" t="e">
        <f>_xll.qlMidSafe($T28,$U28)</f>
        <v>#NUM!</v>
      </c>
      <c r="Y28" s="190"/>
      <c r="Z28" s="199" t="e">
        <v>#NUM!</v>
      </c>
      <c r="AA28" s="190"/>
      <c r="AB28" s="198" t="str">
        <f t="shared" si="2"/>
        <v>HKDQM3H20Y_Quote</v>
      </c>
      <c r="AC28" s="197" t="e">
        <v>#NUM!</v>
      </c>
      <c r="AD28" s="196" t="e">
        <f>_xll.qlSimpleQuoteSetValue($AB28,$AC28/100,Trigger)</f>
        <v>#NUM!</v>
      </c>
      <c r="AE28" s="186"/>
      <c r="AF28" s="232"/>
      <c r="AG28" s="232"/>
      <c r="AH28" s="232"/>
      <c r="AI28" s="232"/>
      <c r="AJ28" s="232"/>
      <c r="AK28" s="233" t="e">
        <f t="shared" si="3"/>
        <v>#VALUE!</v>
      </c>
      <c r="AL28" s="232"/>
    </row>
    <row r="29" spans="1:38" x14ac:dyDescent="0.2">
      <c r="A29" s="73"/>
      <c r="B29" s="140" t="s">
        <v>27</v>
      </c>
      <c r="C29" s="28" t="str">
        <v>QM</v>
      </c>
      <c r="D29" s="28" t="str">
        <v>3H</v>
      </c>
      <c r="E29" s="26" t="str">
        <f t="shared" si="0"/>
        <v>HKDQM3H21Y_Quote</v>
      </c>
      <c r="F29" s="26" t="str">
        <f>_xll.qlSimpleQuote(Currency&amp;$C29&amp;$D29&amp;$B29&amp;QuoteSuffix,,RateTickValue,Permanent,Trigger,ObjectOverwrite)</f>
        <v>HKDQM3H21Y_Quote#0001</v>
      </c>
      <c r="G29" s="137" t="str">
        <f>_xll.ohRangeRetrieveError(F29)</f>
        <v/>
      </c>
      <c r="H29" s="67"/>
      <c r="N29" s="195"/>
      <c r="O29" s="194" t="s">
        <v>27</v>
      </c>
      <c r="P29" s="347" t="str">
        <v>QM</v>
      </c>
      <c r="Q29" s="347" t="str">
        <v>3H</v>
      </c>
      <c r="R29" s="244" t="str">
        <f t="shared" si="1"/>
        <v>HKDQM3H21Y</v>
      </c>
      <c r="S29" s="244" t="str">
        <v>HKDQM3H21Y=PREA</v>
      </c>
      <c r="T29" s="245" t="s">
        <v>188</v>
      </c>
      <c r="U29" s="245" t="s">
        <v>188</v>
      </c>
      <c r="V29" s="245" t="s">
        <v>188</v>
      </c>
      <c r="W29" s="245" t="s">
        <v>188</v>
      </c>
      <c r="X29" s="192" t="e">
        <f>_xll.qlMidSafe($T29,$U29)</f>
        <v>#NUM!</v>
      </c>
      <c r="Y29" s="190"/>
      <c r="Z29" s="199" t="e">
        <v>#NUM!</v>
      </c>
      <c r="AA29" s="190"/>
      <c r="AB29" s="198" t="str">
        <f t="shared" si="2"/>
        <v>HKDQM3H21Y_Quote</v>
      </c>
      <c r="AC29" s="197" t="e">
        <v>#NUM!</v>
      </c>
      <c r="AD29" s="196" t="e">
        <f>_xll.qlSimpleQuoteSetValue($AB29,$AC29/100,Trigger)</f>
        <v>#NUM!</v>
      </c>
      <c r="AE29" s="186"/>
      <c r="AF29" s="232"/>
      <c r="AG29" s="232"/>
      <c r="AH29" s="232"/>
      <c r="AI29" s="232"/>
      <c r="AJ29" s="232"/>
      <c r="AK29" s="233" t="e">
        <f t="shared" si="3"/>
        <v>#VALUE!</v>
      </c>
      <c r="AL29" s="232"/>
    </row>
    <row r="30" spans="1:38" x14ac:dyDescent="0.2">
      <c r="A30" s="73"/>
      <c r="B30" s="140" t="s">
        <v>26</v>
      </c>
      <c r="C30" s="28" t="str">
        <v>QM</v>
      </c>
      <c r="D30" s="28" t="str">
        <v>3H</v>
      </c>
      <c r="E30" s="26" t="str">
        <f t="shared" si="0"/>
        <v>HKDQM3H22Y_Quote</v>
      </c>
      <c r="F30" s="26" t="str">
        <f>_xll.qlSimpleQuote(Currency&amp;$C30&amp;$D30&amp;$B30&amp;QuoteSuffix,,RateTickValue,Permanent,Trigger,ObjectOverwrite)</f>
        <v>HKDQM3H22Y_Quote#0001</v>
      </c>
      <c r="G30" s="137" t="str">
        <f>_xll.ohRangeRetrieveError(F30)</f>
        <v/>
      </c>
      <c r="H30" s="67"/>
      <c r="N30" s="195"/>
      <c r="O30" s="194" t="s">
        <v>26</v>
      </c>
      <c r="P30" s="346" t="str">
        <v>QM</v>
      </c>
      <c r="Q30" s="346" t="str">
        <v>3H</v>
      </c>
      <c r="R30" s="244" t="str">
        <f t="shared" si="1"/>
        <v>HKDQM3H22Y</v>
      </c>
      <c r="S30" s="244" t="str">
        <v>HKDQM3H22Y=PREA</v>
      </c>
      <c r="T30" s="245" t="s">
        <v>188</v>
      </c>
      <c r="U30" s="245" t="s">
        <v>188</v>
      </c>
      <c r="V30" s="245" t="s">
        <v>188</v>
      </c>
      <c r="W30" s="245" t="s">
        <v>188</v>
      </c>
      <c r="X30" s="192" t="e">
        <f>_xll.qlMidSafe($T30,$U30)</f>
        <v>#NUM!</v>
      </c>
      <c r="Y30" s="190"/>
      <c r="Z30" s="199" t="e">
        <v>#NUM!</v>
      </c>
      <c r="AA30" s="190"/>
      <c r="AB30" s="198" t="str">
        <f t="shared" si="2"/>
        <v>HKDQM3H22Y_Quote</v>
      </c>
      <c r="AC30" s="197" t="e">
        <v>#NUM!</v>
      </c>
      <c r="AD30" s="196" t="e">
        <f>_xll.qlSimpleQuoteSetValue($AB30,$AC30/100,Trigger)</f>
        <v>#NUM!</v>
      </c>
      <c r="AE30" s="186"/>
      <c r="AF30" s="232"/>
      <c r="AG30" s="232"/>
      <c r="AH30" s="232"/>
      <c r="AI30" s="232"/>
      <c r="AJ30" s="232"/>
      <c r="AK30" s="233" t="e">
        <f t="shared" si="3"/>
        <v>#VALUE!</v>
      </c>
      <c r="AL30" s="232"/>
    </row>
    <row r="31" spans="1:38" x14ac:dyDescent="0.2">
      <c r="A31" s="73"/>
      <c r="B31" s="140" t="s">
        <v>25</v>
      </c>
      <c r="C31" s="28" t="str">
        <v>QM</v>
      </c>
      <c r="D31" s="28" t="str">
        <v>3H</v>
      </c>
      <c r="E31" s="26" t="str">
        <f t="shared" si="0"/>
        <v>HKDQM3H23Y_Quote</v>
      </c>
      <c r="F31" s="26" t="str">
        <f>_xll.qlSimpleQuote(Currency&amp;$C31&amp;$D31&amp;$B31&amp;QuoteSuffix,,RateTickValue,Permanent,Trigger,ObjectOverwrite)</f>
        <v>HKDQM3H23Y_Quote#0001</v>
      </c>
      <c r="G31" s="137" t="str">
        <f>_xll.ohRangeRetrieveError(F31)</f>
        <v/>
      </c>
      <c r="H31" s="67"/>
      <c r="N31" s="195"/>
      <c r="O31" s="194" t="s">
        <v>25</v>
      </c>
      <c r="P31" s="346" t="str">
        <v>QM</v>
      </c>
      <c r="Q31" s="346" t="str">
        <v>3H</v>
      </c>
      <c r="R31" s="244" t="str">
        <f t="shared" si="1"/>
        <v>HKDQM3H23Y</v>
      </c>
      <c r="S31" s="244" t="str">
        <v>HKDQM3H23Y=PREA</v>
      </c>
      <c r="T31" s="245" t="s">
        <v>188</v>
      </c>
      <c r="U31" s="245" t="s">
        <v>188</v>
      </c>
      <c r="V31" s="245" t="s">
        <v>188</v>
      </c>
      <c r="W31" s="245" t="s">
        <v>188</v>
      </c>
      <c r="X31" s="192" t="e">
        <f>_xll.qlMidSafe($T31,$U31)</f>
        <v>#NUM!</v>
      </c>
      <c r="Y31" s="190"/>
      <c r="Z31" s="199" t="e">
        <v>#NUM!</v>
      </c>
      <c r="AA31" s="190"/>
      <c r="AB31" s="198" t="str">
        <f t="shared" si="2"/>
        <v>HKDQM3H23Y_Quote</v>
      </c>
      <c r="AC31" s="197" t="e">
        <v>#NUM!</v>
      </c>
      <c r="AD31" s="196" t="e">
        <f>_xll.qlSimpleQuoteSetValue($AB31,$AC31/100,Trigger)</f>
        <v>#NUM!</v>
      </c>
      <c r="AE31" s="186"/>
      <c r="AF31" s="232"/>
      <c r="AG31" s="232"/>
      <c r="AH31" s="232"/>
      <c r="AI31" s="232"/>
      <c r="AJ31" s="232"/>
      <c r="AK31" s="233" t="e">
        <f t="shared" si="3"/>
        <v>#VALUE!</v>
      </c>
      <c r="AL31" s="232"/>
    </row>
    <row r="32" spans="1:38" x14ac:dyDescent="0.2">
      <c r="A32" s="73"/>
      <c r="B32" s="140" t="s">
        <v>24</v>
      </c>
      <c r="C32" s="28" t="str">
        <v>QM</v>
      </c>
      <c r="D32" s="28" t="str">
        <v>3H</v>
      </c>
      <c r="E32" s="26" t="str">
        <f t="shared" si="0"/>
        <v>HKDQM3H24Y_Quote</v>
      </c>
      <c r="F32" s="26" t="str">
        <f>_xll.qlSimpleQuote(Currency&amp;$C32&amp;$D32&amp;$B32&amp;QuoteSuffix,,RateTickValue,Permanent,Trigger,ObjectOverwrite)</f>
        <v>HKDQM3H24Y_Quote#0001</v>
      </c>
      <c r="G32" s="137" t="str">
        <f>_xll.ohRangeRetrieveError(F32)</f>
        <v/>
      </c>
      <c r="H32" s="67"/>
      <c r="N32" s="195"/>
      <c r="O32" s="194" t="s">
        <v>24</v>
      </c>
      <c r="P32" s="346" t="str">
        <v>QM</v>
      </c>
      <c r="Q32" s="346" t="str">
        <v>3H</v>
      </c>
      <c r="R32" s="244" t="str">
        <f t="shared" si="1"/>
        <v>HKDQM3H24Y</v>
      </c>
      <c r="S32" s="244" t="str">
        <v>HKDQM3H24Y=PREA</v>
      </c>
      <c r="T32" s="245" t="s">
        <v>188</v>
      </c>
      <c r="U32" s="245" t="s">
        <v>188</v>
      </c>
      <c r="V32" s="245" t="s">
        <v>188</v>
      </c>
      <c r="W32" s="245" t="s">
        <v>188</v>
      </c>
      <c r="X32" s="192" t="e">
        <f>_xll.qlMidSafe($T32,$U32)</f>
        <v>#NUM!</v>
      </c>
      <c r="Y32" s="190"/>
      <c r="Z32" s="199" t="e">
        <v>#NUM!</v>
      </c>
      <c r="AA32" s="190"/>
      <c r="AB32" s="198" t="str">
        <f t="shared" si="2"/>
        <v>HKDQM3H24Y_Quote</v>
      </c>
      <c r="AC32" s="197" t="e">
        <v>#NUM!</v>
      </c>
      <c r="AD32" s="196" t="e">
        <f>_xll.qlSimpleQuoteSetValue($AB32,$AC32/100,Trigger)</f>
        <v>#NUM!</v>
      </c>
      <c r="AE32" s="186"/>
      <c r="AF32" s="232"/>
      <c r="AG32" s="232"/>
      <c r="AH32" s="232"/>
      <c r="AI32" s="232"/>
      <c r="AJ32" s="232"/>
      <c r="AK32" s="233" t="e">
        <f t="shared" si="3"/>
        <v>#VALUE!</v>
      </c>
      <c r="AL32" s="232"/>
    </row>
    <row r="33" spans="1:38" x14ac:dyDescent="0.2">
      <c r="A33" s="73"/>
      <c r="B33" s="140" t="s">
        <v>23</v>
      </c>
      <c r="C33" s="28" t="str">
        <v>QM</v>
      </c>
      <c r="D33" s="28" t="str">
        <v>3H</v>
      </c>
      <c r="E33" s="26" t="str">
        <f t="shared" si="0"/>
        <v>HKDQM3H25Y_Quote</v>
      </c>
      <c r="F33" s="26" t="str">
        <f>_xll.qlSimpleQuote(Currency&amp;$C33&amp;$D33&amp;$B33&amp;QuoteSuffix,,RateTickValue,Permanent,Trigger,ObjectOverwrite)</f>
        <v>HKDQM3H25Y_Quote#0001</v>
      </c>
      <c r="G33" s="137" t="str">
        <f>_xll.ohRangeRetrieveError(F33)</f>
        <v/>
      </c>
      <c r="H33" s="67"/>
      <c r="N33" s="195"/>
      <c r="O33" s="194" t="s">
        <v>23</v>
      </c>
      <c r="P33" s="346" t="str">
        <v>QM</v>
      </c>
      <c r="Q33" s="346" t="str">
        <v>3H</v>
      </c>
      <c r="R33" s="244" t="str">
        <f t="shared" si="1"/>
        <v>HKDQM3H25Y</v>
      </c>
      <c r="S33" s="244" t="str">
        <v>HKDQM3H25Y=PREA</v>
      </c>
      <c r="T33" s="245" t="s">
        <v>188</v>
      </c>
      <c r="U33" s="245" t="s">
        <v>188</v>
      </c>
      <c r="V33" s="245" t="s">
        <v>188</v>
      </c>
      <c r="W33" s="245" t="s">
        <v>188</v>
      </c>
      <c r="X33" s="192" t="e">
        <f>_xll.qlMidSafe($T33,$U33)</f>
        <v>#NUM!</v>
      </c>
      <c r="Y33" s="190"/>
      <c r="Z33" s="199" t="e">
        <v>#NUM!</v>
      </c>
      <c r="AA33" s="190"/>
      <c r="AB33" s="198" t="str">
        <f t="shared" si="2"/>
        <v>HKDQM3H25Y_Quote</v>
      </c>
      <c r="AC33" s="197" t="e">
        <v>#NUM!</v>
      </c>
      <c r="AD33" s="196" t="e">
        <f>_xll.qlSimpleQuoteSetValue($AB33,$AC33/100,Trigger)</f>
        <v>#NUM!</v>
      </c>
      <c r="AE33" s="186"/>
      <c r="AF33" s="232"/>
      <c r="AG33" s="232"/>
      <c r="AH33" s="232"/>
      <c r="AI33" s="232"/>
      <c r="AJ33" s="232"/>
      <c r="AK33" s="233" t="e">
        <f t="shared" si="3"/>
        <v>#VALUE!</v>
      </c>
      <c r="AL33" s="232"/>
    </row>
    <row r="34" spans="1:38" x14ac:dyDescent="0.2">
      <c r="A34" s="73"/>
      <c r="B34" s="140" t="s">
        <v>22</v>
      </c>
      <c r="C34" s="28" t="str">
        <v>QM</v>
      </c>
      <c r="D34" s="28" t="str">
        <v>3H</v>
      </c>
      <c r="E34" s="26" t="str">
        <f t="shared" si="0"/>
        <v>HKDQM3H26Y_Quote</v>
      </c>
      <c r="F34" s="26" t="str">
        <f>_xll.qlSimpleQuote(Currency&amp;$C34&amp;$D34&amp;$B34&amp;QuoteSuffix,,RateTickValue,Permanent,Trigger,ObjectOverwrite)</f>
        <v>HKDQM3H26Y_Quote#0001</v>
      </c>
      <c r="G34" s="137" t="str">
        <f>_xll.ohRangeRetrieveError(F34)</f>
        <v/>
      </c>
      <c r="H34" s="67"/>
      <c r="N34" s="195"/>
      <c r="O34" s="194" t="s">
        <v>22</v>
      </c>
      <c r="P34" s="346" t="str">
        <v>QM</v>
      </c>
      <c r="Q34" s="346" t="str">
        <v>3H</v>
      </c>
      <c r="R34" s="244" t="str">
        <f t="shared" si="1"/>
        <v>HKDQM3H26Y</v>
      </c>
      <c r="S34" s="244" t="str">
        <v>HKDQM3H26Y=PREA</v>
      </c>
      <c r="T34" s="245" t="s">
        <v>188</v>
      </c>
      <c r="U34" s="245" t="s">
        <v>188</v>
      </c>
      <c r="V34" s="245" t="s">
        <v>188</v>
      </c>
      <c r="W34" s="245" t="s">
        <v>188</v>
      </c>
      <c r="X34" s="192" t="e">
        <f>_xll.qlMidSafe($T34,$U34)</f>
        <v>#NUM!</v>
      </c>
      <c r="Y34" s="190"/>
      <c r="Z34" s="199" t="e">
        <v>#NUM!</v>
      </c>
      <c r="AA34" s="190"/>
      <c r="AB34" s="198" t="str">
        <f t="shared" si="2"/>
        <v>HKDQM3H26Y_Quote</v>
      </c>
      <c r="AC34" s="197" t="e">
        <v>#NUM!</v>
      </c>
      <c r="AD34" s="196" t="e">
        <f>_xll.qlSimpleQuoteSetValue($AB34,$AC34/100,Trigger)</f>
        <v>#NUM!</v>
      </c>
      <c r="AE34" s="186"/>
      <c r="AF34" s="232"/>
      <c r="AG34" s="232"/>
      <c r="AH34" s="232"/>
      <c r="AI34" s="232"/>
      <c r="AJ34" s="232"/>
      <c r="AK34" s="233" t="e">
        <f t="shared" si="3"/>
        <v>#VALUE!</v>
      </c>
      <c r="AL34" s="232"/>
    </row>
    <row r="35" spans="1:38" x14ac:dyDescent="0.2">
      <c r="A35" s="73"/>
      <c r="B35" s="140" t="s">
        <v>21</v>
      </c>
      <c r="C35" s="28" t="str">
        <v>QM</v>
      </c>
      <c r="D35" s="28" t="str">
        <v>3H</v>
      </c>
      <c r="E35" s="26" t="str">
        <f t="shared" si="0"/>
        <v>HKDQM3H27Y_Quote</v>
      </c>
      <c r="F35" s="26" t="str">
        <f>_xll.qlSimpleQuote(Currency&amp;$C35&amp;$D35&amp;$B35&amp;QuoteSuffix,,RateTickValue,Permanent,Trigger,ObjectOverwrite)</f>
        <v>HKDQM3H27Y_Quote#0001</v>
      </c>
      <c r="G35" s="137" t="str">
        <f>_xll.ohRangeRetrieveError(F35)</f>
        <v/>
      </c>
      <c r="H35" s="67"/>
      <c r="N35" s="195"/>
      <c r="O35" s="194" t="s">
        <v>21</v>
      </c>
      <c r="P35" s="346" t="str">
        <v>QM</v>
      </c>
      <c r="Q35" s="346" t="str">
        <v>3H</v>
      </c>
      <c r="R35" s="244" t="str">
        <f t="shared" si="1"/>
        <v>HKDQM3H27Y</v>
      </c>
      <c r="S35" s="244" t="str">
        <v>HKDQM3H27Y=PREA</v>
      </c>
      <c r="T35" s="245" t="s">
        <v>188</v>
      </c>
      <c r="U35" s="245" t="s">
        <v>188</v>
      </c>
      <c r="V35" s="245" t="s">
        <v>188</v>
      </c>
      <c r="W35" s="245" t="s">
        <v>188</v>
      </c>
      <c r="X35" s="192" t="e">
        <f>_xll.qlMidSafe($T35,$U35)</f>
        <v>#NUM!</v>
      </c>
      <c r="Y35" s="190"/>
      <c r="Z35" s="199" t="e">
        <v>#NUM!</v>
      </c>
      <c r="AA35" s="190"/>
      <c r="AB35" s="198" t="str">
        <f t="shared" si="2"/>
        <v>HKDQM3H27Y_Quote</v>
      </c>
      <c r="AC35" s="197" t="e">
        <v>#NUM!</v>
      </c>
      <c r="AD35" s="196" t="e">
        <f>_xll.qlSimpleQuoteSetValue($AB35,$AC35/100,Trigger)</f>
        <v>#NUM!</v>
      </c>
      <c r="AE35" s="186"/>
      <c r="AF35" s="232"/>
      <c r="AG35" s="232"/>
      <c r="AH35" s="232"/>
      <c r="AI35" s="232"/>
      <c r="AJ35" s="232"/>
      <c r="AK35" s="233" t="e">
        <f t="shared" si="3"/>
        <v>#VALUE!</v>
      </c>
      <c r="AL35" s="232"/>
    </row>
    <row r="36" spans="1:38" x14ac:dyDescent="0.2">
      <c r="A36" s="73"/>
      <c r="B36" s="140" t="s">
        <v>20</v>
      </c>
      <c r="C36" s="28" t="str">
        <v>QM</v>
      </c>
      <c r="D36" s="28" t="str">
        <v>3H</v>
      </c>
      <c r="E36" s="26" t="str">
        <f t="shared" si="0"/>
        <v>HKDQM3H28Y_Quote</v>
      </c>
      <c r="F36" s="26" t="str">
        <f>_xll.qlSimpleQuote(Currency&amp;$C36&amp;$D36&amp;$B36&amp;QuoteSuffix,,RateTickValue,Permanent,Trigger,ObjectOverwrite)</f>
        <v>HKDQM3H28Y_Quote#0001</v>
      </c>
      <c r="G36" s="137" t="str">
        <f>_xll.ohRangeRetrieveError(F36)</f>
        <v/>
      </c>
      <c r="H36" s="67"/>
      <c r="N36" s="195"/>
      <c r="O36" s="194" t="s">
        <v>20</v>
      </c>
      <c r="P36" s="346" t="str">
        <v>QM</v>
      </c>
      <c r="Q36" s="346" t="str">
        <v>3H</v>
      </c>
      <c r="R36" s="244" t="str">
        <f t="shared" si="1"/>
        <v>HKDQM3H28Y</v>
      </c>
      <c r="S36" s="244" t="str">
        <v>HKDQM3H28Y=PREA</v>
      </c>
      <c r="T36" s="245" t="s">
        <v>188</v>
      </c>
      <c r="U36" s="245" t="s">
        <v>188</v>
      </c>
      <c r="V36" s="245" t="s">
        <v>188</v>
      </c>
      <c r="W36" s="245" t="s">
        <v>188</v>
      </c>
      <c r="X36" s="192" t="e">
        <f>_xll.qlMidSafe($T36,$U36)</f>
        <v>#NUM!</v>
      </c>
      <c r="Y36" s="190"/>
      <c r="Z36" s="199" t="e">
        <v>#NUM!</v>
      </c>
      <c r="AA36" s="190"/>
      <c r="AB36" s="198" t="str">
        <f t="shared" si="2"/>
        <v>HKDQM3H28Y_Quote</v>
      </c>
      <c r="AC36" s="197" t="e">
        <v>#NUM!</v>
      </c>
      <c r="AD36" s="196" t="e">
        <f>_xll.qlSimpleQuoteSetValue($AB36,$AC36/100,Trigger)</f>
        <v>#NUM!</v>
      </c>
      <c r="AE36" s="186"/>
      <c r="AF36" s="232"/>
      <c r="AG36" s="232"/>
      <c r="AH36" s="232"/>
      <c r="AI36" s="232"/>
      <c r="AJ36" s="232"/>
      <c r="AK36" s="233" t="e">
        <f t="shared" si="3"/>
        <v>#VALUE!</v>
      </c>
      <c r="AL36" s="232"/>
    </row>
    <row r="37" spans="1:38" x14ac:dyDescent="0.2">
      <c r="A37" s="73"/>
      <c r="B37" s="140" t="s">
        <v>19</v>
      </c>
      <c r="C37" s="28" t="str">
        <v>QM</v>
      </c>
      <c r="D37" s="28" t="str">
        <v>3H</v>
      </c>
      <c r="E37" s="26" t="str">
        <f t="shared" si="0"/>
        <v>HKDQM3H29Y_Quote</v>
      </c>
      <c r="F37" s="26" t="str">
        <f>_xll.qlSimpleQuote(Currency&amp;$C37&amp;$D37&amp;$B37&amp;QuoteSuffix,,RateTickValue,Permanent,Trigger,ObjectOverwrite)</f>
        <v>HKDQM3H29Y_Quote#0001</v>
      </c>
      <c r="G37" s="137" t="str">
        <f>_xll.ohRangeRetrieveError(F37)</f>
        <v/>
      </c>
      <c r="H37" s="67"/>
      <c r="N37" s="195"/>
      <c r="O37" s="194" t="s">
        <v>19</v>
      </c>
      <c r="P37" s="346" t="str">
        <v>QM</v>
      </c>
      <c r="Q37" s="346" t="str">
        <v>3H</v>
      </c>
      <c r="R37" s="244" t="str">
        <f t="shared" si="1"/>
        <v>HKDQM3H29Y</v>
      </c>
      <c r="S37" s="244" t="str">
        <v>HKDQM3H29Y=PREA</v>
      </c>
      <c r="T37" s="245" t="s">
        <v>188</v>
      </c>
      <c r="U37" s="245" t="s">
        <v>188</v>
      </c>
      <c r="V37" s="245" t="s">
        <v>188</v>
      </c>
      <c r="W37" s="245" t="s">
        <v>188</v>
      </c>
      <c r="X37" s="192" t="e">
        <f>_xll.qlMidSafe($T37,$U37)</f>
        <v>#NUM!</v>
      </c>
      <c r="Y37" s="190"/>
      <c r="Z37" s="199" t="e">
        <v>#NUM!</v>
      </c>
      <c r="AA37" s="190"/>
      <c r="AB37" s="198" t="str">
        <f t="shared" si="2"/>
        <v>HKDQM3H29Y_Quote</v>
      </c>
      <c r="AC37" s="197" t="e">
        <v>#NUM!</v>
      </c>
      <c r="AD37" s="196" t="e">
        <f>_xll.qlSimpleQuoteSetValue($AB37,$AC37/100,Trigger)</f>
        <v>#NUM!</v>
      </c>
      <c r="AE37" s="186"/>
      <c r="AF37" s="232"/>
      <c r="AG37" s="232"/>
      <c r="AH37" s="232"/>
      <c r="AI37" s="232"/>
      <c r="AJ37" s="232"/>
      <c r="AK37" s="233" t="e">
        <f t="shared" si="3"/>
        <v>#VALUE!</v>
      </c>
      <c r="AL37" s="232"/>
    </row>
    <row r="38" spans="1:38" x14ac:dyDescent="0.2">
      <c r="A38" s="73"/>
      <c r="B38" s="140" t="s">
        <v>18</v>
      </c>
      <c r="C38" s="28" t="str">
        <v>QM</v>
      </c>
      <c r="D38" s="28" t="str">
        <v>3H</v>
      </c>
      <c r="E38" s="26" t="str">
        <f t="shared" si="0"/>
        <v>HKDQM3H30Y_Quote</v>
      </c>
      <c r="F38" s="26" t="str">
        <f>_xll.qlSimpleQuote(Currency&amp;$C38&amp;$D38&amp;$B38&amp;QuoteSuffix,,RateTickValue,Permanent,Trigger,ObjectOverwrite)</f>
        <v>HKDQM3H30Y_Quote#0001</v>
      </c>
      <c r="G38" s="137" t="str">
        <f>_xll.ohRangeRetrieveError(F38)</f>
        <v/>
      </c>
      <c r="H38" s="67"/>
      <c r="N38" s="195"/>
      <c r="O38" s="194" t="s">
        <v>18</v>
      </c>
      <c r="P38" s="346" t="str">
        <v>QM</v>
      </c>
      <c r="Q38" s="346" t="str">
        <v>3H</v>
      </c>
      <c r="R38" s="244" t="str">
        <f t="shared" si="1"/>
        <v>HKDQM3H30Y</v>
      </c>
      <c r="S38" s="244" t="str">
        <v>HKDQM3H30Y=PREA</v>
      </c>
      <c r="T38" s="245" t="s">
        <v>188</v>
      </c>
      <c r="U38" s="245" t="s">
        <v>188</v>
      </c>
      <c r="V38" s="245" t="s">
        <v>188</v>
      </c>
      <c r="W38" s="245" t="s">
        <v>188</v>
      </c>
      <c r="X38" s="192" t="e">
        <f>_xll.qlMidSafe($T38,$U38)</f>
        <v>#NUM!</v>
      </c>
      <c r="Y38" s="190"/>
      <c r="Z38" s="199" t="e">
        <v>#NUM!</v>
      </c>
      <c r="AA38" s="190"/>
      <c r="AB38" s="198" t="str">
        <f t="shared" si="2"/>
        <v>HKDQM3H30Y_Quote</v>
      </c>
      <c r="AC38" s="197" t="e">
        <v>#NUM!</v>
      </c>
      <c r="AD38" s="196" t="e">
        <f>_xll.qlSimpleQuoteSetValue($AB38,$AC38/100,Trigger)</f>
        <v>#NUM!</v>
      </c>
      <c r="AE38" s="186"/>
      <c r="AF38" s="232"/>
      <c r="AG38" s="232"/>
      <c r="AH38" s="232"/>
      <c r="AI38" s="232"/>
      <c r="AJ38" s="232"/>
      <c r="AK38" s="233" t="e">
        <f t="shared" si="3"/>
        <v>#VALUE!</v>
      </c>
      <c r="AL38" s="232"/>
    </row>
    <row r="39" spans="1:38" x14ac:dyDescent="0.2">
      <c r="A39" s="73"/>
      <c r="B39" s="140" t="s">
        <v>17</v>
      </c>
      <c r="C39" s="28" t="str">
        <v>QM</v>
      </c>
      <c r="D39" s="28" t="str">
        <v>3H</v>
      </c>
      <c r="E39" s="26" t="str">
        <f t="shared" si="0"/>
        <v>HKDQM3H35Y_Quote</v>
      </c>
      <c r="F39" s="26" t="str">
        <f>_xll.qlSimpleQuote(Currency&amp;$C39&amp;$D39&amp;$B39&amp;QuoteSuffix,,RateTickValue,Permanent,Trigger,ObjectOverwrite)</f>
        <v>HKDQM3H35Y_Quote#0001</v>
      </c>
      <c r="G39" s="137" t="str">
        <f>_xll.ohRangeRetrieveError(F39)</f>
        <v/>
      </c>
      <c r="H39" s="67"/>
      <c r="N39" s="195"/>
      <c r="O39" s="194" t="s">
        <v>17</v>
      </c>
      <c r="P39" s="346" t="str">
        <v>QM</v>
      </c>
      <c r="Q39" s="346" t="str">
        <v>3H</v>
      </c>
      <c r="R39" s="244" t="str">
        <f t="shared" si="1"/>
        <v>HKDQM3H35Y</v>
      </c>
      <c r="S39" s="244" t="str">
        <v>HKDQM3H35Y=PREA</v>
      </c>
      <c r="T39" s="245" t="s">
        <v>188</v>
      </c>
      <c r="U39" s="245" t="s">
        <v>188</v>
      </c>
      <c r="V39" s="245" t="s">
        <v>188</v>
      </c>
      <c r="W39" s="245" t="s">
        <v>188</v>
      </c>
      <c r="X39" s="192" t="e">
        <f>_xll.qlMidSafe($T39,$U39)</f>
        <v>#NUM!</v>
      </c>
      <c r="Y39" s="190"/>
      <c r="Z39" s="199" t="e">
        <v>#NUM!</v>
      </c>
      <c r="AA39" s="190"/>
      <c r="AB39" s="198" t="str">
        <f t="shared" si="2"/>
        <v>HKDQM3H35Y_Quote</v>
      </c>
      <c r="AC39" s="197" t="e">
        <v>#NUM!</v>
      </c>
      <c r="AD39" s="196" t="e">
        <f>_xll.qlSimpleQuoteSetValue($AB39,$AC39/100,Trigger)</f>
        <v>#NUM!</v>
      </c>
      <c r="AE39" s="186"/>
      <c r="AF39" s="232"/>
      <c r="AG39" s="232"/>
      <c r="AH39" s="232"/>
      <c r="AI39" s="232"/>
      <c r="AJ39" s="232"/>
      <c r="AK39" s="233" t="e">
        <f t="shared" si="3"/>
        <v>#VALUE!</v>
      </c>
      <c r="AL39" s="232"/>
    </row>
    <row r="40" spans="1:38" x14ac:dyDescent="0.2">
      <c r="A40" s="73"/>
      <c r="B40" s="140" t="s">
        <v>16</v>
      </c>
      <c r="C40" s="28" t="str">
        <v>QM</v>
      </c>
      <c r="D40" s="28" t="str">
        <v>3H</v>
      </c>
      <c r="E40" s="26" t="str">
        <f t="shared" si="0"/>
        <v>HKDQM3H40Y_Quote</v>
      </c>
      <c r="F40" s="26" t="str">
        <f>_xll.qlSimpleQuote(Currency&amp;$C40&amp;$D40&amp;$B40&amp;QuoteSuffix,,RateTickValue,Permanent,Trigger,ObjectOverwrite)</f>
        <v>HKDQM3H40Y_Quote#0001</v>
      </c>
      <c r="G40" s="137" t="str">
        <f>_xll.ohRangeRetrieveError(F40)</f>
        <v/>
      </c>
      <c r="H40" s="67"/>
      <c r="N40" s="195"/>
      <c r="O40" s="194" t="s">
        <v>16</v>
      </c>
      <c r="P40" s="346" t="str">
        <v>QM</v>
      </c>
      <c r="Q40" s="346" t="str">
        <v>3H</v>
      </c>
      <c r="R40" s="244" t="str">
        <f t="shared" si="1"/>
        <v>HKDQM3H40Y</v>
      </c>
      <c r="S40" s="244" t="str">
        <v>HKDQM3H40Y=PREA</v>
      </c>
      <c r="T40" s="245" t="s">
        <v>188</v>
      </c>
      <c r="U40" s="245" t="s">
        <v>188</v>
      </c>
      <c r="V40" s="245" t="s">
        <v>188</v>
      </c>
      <c r="W40" s="245" t="s">
        <v>188</v>
      </c>
      <c r="X40" s="192" t="e">
        <f>_xll.qlMidSafe($T40,$U40)</f>
        <v>#NUM!</v>
      </c>
      <c r="Y40" s="190"/>
      <c r="Z40" s="199" t="e">
        <v>#NUM!</v>
      </c>
      <c r="AA40" s="190"/>
      <c r="AB40" s="198" t="str">
        <f t="shared" si="2"/>
        <v>HKDQM3H40Y_Quote</v>
      </c>
      <c r="AC40" s="197" t="e">
        <v>#NUM!</v>
      </c>
      <c r="AD40" s="196" t="e">
        <f>_xll.qlSimpleQuoteSetValue($AB40,$AC40/100,Trigger)</f>
        <v>#NUM!</v>
      </c>
      <c r="AE40" s="186"/>
      <c r="AF40" s="232"/>
      <c r="AG40" s="232"/>
      <c r="AH40" s="232"/>
      <c r="AI40" s="232"/>
      <c r="AJ40" s="232"/>
      <c r="AK40" s="233" t="e">
        <f t="shared" si="3"/>
        <v>#VALUE!</v>
      </c>
      <c r="AL40" s="232"/>
    </row>
    <row r="41" spans="1:38" x14ac:dyDescent="0.2">
      <c r="A41" s="73"/>
      <c r="B41" s="140" t="s">
        <v>15</v>
      </c>
      <c r="C41" s="28" t="str">
        <v>QM</v>
      </c>
      <c r="D41" s="28" t="str">
        <v>3H</v>
      </c>
      <c r="E41" s="26" t="str">
        <f t="shared" si="0"/>
        <v>HKDQM3H50Y_Quote</v>
      </c>
      <c r="F41" s="26" t="str">
        <f>_xll.qlSimpleQuote(Currency&amp;$C41&amp;$D41&amp;$B41&amp;QuoteSuffix,,RateTickValue,Permanent,Trigger,ObjectOverwrite)</f>
        <v>HKDQM3H50Y_Quote#0001</v>
      </c>
      <c r="G41" s="137" t="str">
        <f>_xll.ohRangeRetrieveError(F41)</f>
        <v/>
      </c>
      <c r="H41" s="67"/>
      <c r="N41" s="195"/>
      <c r="O41" s="194" t="s">
        <v>15</v>
      </c>
      <c r="P41" s="346" t="str">
        <v>QM</v>
      </c>
      <c r="Q41" s="346" t="str">
        <v>3H</v>
      </c>
      <c r="R41" s="244" t="str">
        <f t="shared" si="1"/>
        <v>HKDQM3H50Y</v>
      </c>
      <c r="S41" s="244" t="str">
        <v>HKDQM3H50Y=PREA</v>
      </c>
      <c r="T41" s="245" t="s">
        <v>188</v>
      </c>
      <c r="U41" s="245" t="s">
        <v>188</v>
      </c>
      <c r="V41" s="245" t="s">
        <v>188</v>
      </c>
      <c r="W41" s="245" t="s">
        <v>188</v>
      </c>
      <c r="X41" s="192" t="e">
        <f>_xll.qlMidSafe($T41,$U41)</f>
        <v>#NUM!</v>
      </c>
      <c r="Y41" s="190"/>
      <c r="Z41" s="199" t="e">
        <v>#NUM!</v>
      </c>
      <c r="AA41" s="190"/>
      <c r="AB41" s="198" t="str">
        <f t="shared" si="2"/>
        <v>HKDQM3H50Y_Quote</v>
      </c>
      <c r="AC41" s="197" t="e">
        <v>#NUM!</v>
      </c>
      <c r="AD41" s="196" t="e">
        <f>_xll.qlSimpleQuoteSetValue($AB41,$AC41/100,Trigger)</f>
        <v>#NUM!</v>
      </c>
      <c r="AE41" s="186"/>
      <c r="AF41" s="232"/>
      <c r="AG41" s="232"/>
      <c r="AH41" s="232"/>
      <c r="AI41" s="232"/>
      <c r="AJ41" s="232"/>
      <c r="AK41" s="233" t="e">
        <f t="shared" si="3"/>
        <v>#VALUE!</v>
      </c>
      <c r="AL41" s="232"/>
    </row>
    <row r="42" spans="1:38" x14ac:dyDescent="0.2">
      <c r="A42" s="73"/>
      <c r="B42" s="140" t="s">
        <v>14</v>
      </c>
      <c r="C42" s="28" t="str">
        <v>QM</v>
      </c>
      <c r="D42" s="28" t="str">
        <v>3H</v>
      </c>
      <c r="E42" s="26" t="str">
        <f t="shared" si="0"/>
        <v>HKDQM3H60Y_Quote</v>
      </c>
      <c r="F42" s="26" t="str">
        <f>_xll.qlSimpleQuote(Currency&amp;$C42&amp;$D42&amp;$B42&amp;QuoteSuffix,,RateTickValue,Permanent,Trigger,ObjectOverwrite)</f>
        <v>HKDQM3H60Y_Quote#0001</v>
      </c>
      <c r="G42" s="137" t="str">
        <f>_xll.ohRangeRetrieveError(F42)</f>
        <v/>
      </c>
      <c r="H42" s="67"/>
      <c r="N42" s="195"/>
      <c r="O42" s="345" t="s">
        <v>14</v>
      </c>
      <c r="P42" s="344" t="str">
        <v>QM</v>
      </c>
      <c r="Q42" s="344" t="str">
        <v>3H</v>
      </c>
      <c r="R42" s="251" t="str">
        <f t="shared" si="1"/>
        <v>HKDQM3H60Y</v>
      </c>
      <c r="S42" s="251" t="str">
        <v>HKDQM3H60Y=PREA</v>
      </c>
      <c r="T42" s="252" t="s">
        <v>188</v>
      </c>
      <c r="U42" s="252" t="s">
        <v>188</v>
      </c>
      <c r="V42" s="252" t="s">
        <v>188</v>
      </c>
      <c r="W42" s="252" t="s">
        <v>188</v>
      </c>
      <c r="X42" s="250" t="e">
        <f>_xll.qlMidSafe($T42,$U42)</f>
        <v>#NUM!</v>
      </c>
      <c r="Y42" s="190"/>
      <c r="Z42" s="191" t="e">
        <v>#NUM!</v>
      </c>
      <c r="AA42" s="190"/>
      <c r="AB42" s="189" t="str">
        <f t="shared" si="2"/>
        <v>HKDQM3H60Y_Quote</v>
      </c>
      <c r="AC42" s="188" t="e">
        <v>#NUM!</v>
      </c>
      <c r="AD42" s="187" t="e">
        <f>_xll.qlSimpleQuoteSetValue($AB42,$AC42/100,Trigger)</f>
        <v>#NUM!</v>
      </c>
      <c r="AE42" s="186"/>
      <c r="AF42" s="232"/>
      <c r="AG42" s="232"/>
      <c r="AH42" s="232"/>
      <c r="AI42" s="232"/>
      <c r="AJ42" s="232"/>
      <c r="AK42" s="233" t="e">
        <f t="shared" si="3"/>
        <v>#VALUE!</v>
      </c>
      <c r="AL42" s="232"/>
    </row>
    <row r="43" spans="1:38" ht="13.5" thickBot="1" x14ac:dyDescent="0.25">
      <c r="A43" s="66"/>
      <c r="B43" s="65"/>
      <c r="C43" s="65"/>
      <c r="D43" s="65"/>
      <c r="E43" s="65"/>
      <c r="F43" s="64"/>
      <c r="G43" s="64"/>
      <c r="H43" s="63"/>
      <c r="N43" s="343"/>
      <c r="O43" s="342"/>
      <c r="P43" s="183"/>
      <c r="Q43" s="183"/>
      <c r="R43" s="183"/>
      <c r="S43" s="183"/>
      <c r="T43" s="183"/>
      <c r="U43" s="183"/>
      <c r="V43" s="183"/>
      <c r="W43" s="183"/>
      <c r="X43" s="183"/>
      <c r="Y43" s="342"/>
      <c r="Z43" s="342"/>
      <c r="AA43" s="342"/>
      <c r="AB43" s="342"/>
      <c r="AC43" s="342"/>
      <c r="AD43" s="342"/>
      <c r="AE43" s="332"/>
      <c r="AF43" s="232"/>
      <c r="AG43" s="232"/>
      <c r="AH43" s="232"/>
      <c r="AI43" s="232"/>
      <c r="AJ43" s="232"/>
      <c r="AK43" s="232"/>
      <c r="AL43" s="232"/>
    </row>
    <row r="44" spans="1:38" ht="15" x14ac:dyDescent="0.25">
      <c r="N44" s="232"/>
      <c r="O44" s="232"/>
      <c r="P44" s="232"/>
      <c r="Q44" s="232"/>
      <c r="R44" s="232"/>
      <c r="S44" s="232"/>
      <c r="T44" s="232"/>
      <c r="U44" s="232"/>
      <c r="V44" s="232"/>
      <c r="W44" s="232"/>
      <c r="X44" s="232"/>
      <c r="Y44" s="232"/>
      <c r="Z44" s="232"/>
      <c r="AA44" s="232"/>
      <c r="AB44" s="232"/>
      <c r="AC44" s="232"/>
      <c r="AD44"/>
      <c r="AE44" s="232"/>
      <c r="AF44" s="232"/>
      <c r="AG44" s="232"/>
      <c r="AH44" s="232"/>
      <c r="AI44" s="232"/>
      <c r="AJ44" s="232"/>
      <c r="AK44" s="232"/>
      <c r="AL44" s="232"/>
    </row>
  </sheetData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57" t="s">
        <v>13</v>
      </c>
      <c r="C2" s="458"/>
      <c r="D2" s="458"/>
      <c r="E2" s="459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57" t="s">
        <v>6</v>
      </c>
      <c r="C12" s="458"/>
      <c r="D12" s="458"/>
      <c r="E12" s="459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B1:G30"/>
  <sheetViews>
    <sheetView workbookViewId="0"/>
  </sheetViews>
  <sheetFormatPr defaultRowHeight="12.75" x14ac:dyDescent="0.2"/>
  <cols>
    <col min="1" max="2" width="7.140625" style="14" customWidth="1"/>
    <col min="3" max="3" width="13.7109375" style="14" bestFit="1" customWidth="1"/>
    <col min="4" max="4" width="30" style="14" bestFit="1" customWidth="1"/>
    <col min="5" max="5" width="21.7109375" style="14" bestFit="1" customWidth="1"/>
    <col min="6" max="6" width="51.5703125" style="14" bestFit="1" customWidth="1"/>
    <col min="7" max="7" width="7.140625" style="14" customWidth="1"/>
    <col min="8" max="16384" width="9.140625" style="14"/>
  </cols>
  <sheetData>
    <row r="1" spans="2:7" ht="13.5" thickBot="1" x14ac:dyDescent="0.25"/>
    <row r="2" spans="2:7" x14ac:dyDescent="0.2">
      <c r="B2" s="181"/>
      <c r="C2" s="180"/>
      <c r="D2" s="180"/>
      <c r="E2" s="180"/>
      <c r="F2" s="180"/>
      <c r="G2" s="179"/>
    </row>
    <row r="3" spans="2:7" x14ac:dyDescent="0.2">
      <c r="B3" s="8"/>
      <c r="C3" s="13"/>
      <c r="D3" s="7" t="s">
        <v>5</v>
      </c>
      <c r="E3" s="11" t="s">
        <v>187</v>
      </c>
      <c r="F3" s="13"/>
      <c r="G3" s="12"/>
    </row>
    <row r="4" spans="2:7" x14ac:dyDescent="0.2">
      <c r="B4" s="8"/>
      <c r="C4" s="13"/>
      <c r="D4" s="13"/>
      <c r="E4" s="13"/>
      <c r="F4" s="13"/>
      <c r="G4" s="12"/>
    </row>
    <row r="5" spans="2:7" x14ac:dyDescent="0.2">
      <c r="B5" s="8"/>
      <c r="C5" s="13"/>
      <c r="D5" s="177" t="str">
        <f>UPPER(Currency)&amp;"_RH_YieldTermStructure.xml"</f>
        <v>HKD_RH_YieldTermStructure.xml</v>
      </c>
      <c r="E5" s="108" t="e">
        <f ca="1">IF(Serialize,_xll.ohObjectSave(E6:E13,SerializationPath&amp;D5,FileOverwrite,,Serialize),"---")</f>
        <v>#NUM!</v>
      </c>
      <c r="F5" s="175" t="str">
        <f ca="1">_xll.ohRangeRetrieveError(E5)</f>
        <v>ohObjectSave - ObjectHandler error: attempt to retrieve object with unknown ID 'HkdYC'</v>
      </c>
      <c r="G5" s="5"/>
    </row>
    <row r="6" spans="2:7" x14ac:dyDescent="0.2">
      <c r="B6" s="8"/>
      <c r="C6" s="176" t="s">
        <v>186</v>
      </c>
      <c r="D6" s="176" t="str">
        <f t="shared" ref="D6:D13" si="0">Currency&amp;C6</f>
        <v>HkdYC</v>
      </c>
      <c r="E6" s="155" t="str">
        <f>_xll.qlRelinkableHandleYieldTermStructure(D6,,Permanent,Trigger,ObjectOverwrite)</f>
        <v>HkdYC#0001</v>
      </c>
      <c r="F6" s="175" t="str">
        <f>_xll.ohRangeRetrieveError(E6)</f>
        <v/>
      </c>
      <c r="G6" s="12"/>
    </row>
    <row r="7" spans="2:7" x14ac:dyDescent="0.2">
      <c r="B7" s="8"/>
      <c r="C7" s="176" t="s">
        <v>185</v>
      </c>
      <c r="D7" s="176" t="str">
        <f t="shared" si="0"/>
        <v>HkdYCSTD</v>
      </c>
      <c r="E7" s="155" t="str">
        <f>_xll.qlRelinkableHandleYieldTermStructure(D7,,Permanent,Trigger,ObjectOverwrite)</f>
        <v>HkdYCSTD#0001</v>
      </c>
      <c r="F7" s="175" t="str">
        <f>_xll.ohRangeRetrieveError(E7)</f>
        <v/>
      </c>
      <c r="G7" s="12"/>
    </row>
    <row r="8" spans="2:7" x14ac:dyDescent="0.2">
      <c r="B8" s="8"/>
      <c r="C8" s="176" t="s">
        <v>184</v>
      </c>
      <c r="D8" s="176" t="str">
        <f t="shared" si="0"/>
        <v>HkdYCCCSBasis</v>
      </c>
      <c r="E8" s="155" t="str">
        <f>_xll.qlRelinkableHandleYieldTermStructure(D8,,Permanent,Trigger,ObjectOverwrite)</f>
        <v>HkdYCCCSBasis#0001</v>
      </c>
      <c r="F8" s="175" t="str">
        <f>_xll.ohRangeRetrieveError(E8)</f>
        <v/>
      </c>
      <c r="G8" s="12"/>
    </row>
    <row r="9" spans="2:7" x14ac:dyDescent="0.2">
      <c r="B9" s="8"/>
      <c r="C9" s="176" t="s">
        <v>183</v>
      </c>
      <c r="D9" s="176" t="str">
        <f t="shared" si="0"/>
        <v>HkdHiborYCON</v>
      </c>
      <c r="E9" s="155" t="str">
        <f>_xll.qlRelinkableHandleYieldTermStructure(D9,,Permanent,Trigger,ObjectOverwrite)</f>
        <v>HkdHiborYCON#0001</v>
      </c>
      <c r="F9" s="175" t="str">
        <f>_xll.ohRangeRetrieveError(E9)</f>
        <v/>
      </c>
      <c r="G9" s="12"/>
    </row>
    <row r="10" spans="2:7" x14ac:dyDescent="0.2">
      <c r="B10" s="8"/>
      <c r="C10" s="176" t="s">
        <v>182</v>
      </c>
      <c r="D10" s="176" t="str">
        <f t="shared" si="0"/>
        <v>HkdHiborYC1M</v>
      </c>
      <c r="E10" s="155" t="str">
        <f>_xll.qlRelinkableHandleYieldTermStructure(D10,,Permanent,Trigger,ObjectOverwrite)</f>
        <v>HkdHiborYC1M#0001</v>
      </c>
      <c r="F10" s="175" t="str">
        <f>_xll.ohRangeRetrieveError(E10)</f>
        <v/>
      </c>
      <c r="G10" s="12"/>
    </row>
    <row r="11" spans="2:7" x14ac:dyDescent="0.2">
      <c r="B11" s="8"/>
      <c r="C11" s="176" t="s">
        <v>181</v>
      </c>
      <c r="D11" s="176" t="str">
        <f t="shared" si="0"/>
        <v>HkdHiborYC3M</v>
      </c>
      <c r="E11" s="155" t="str">
        <f>_xll.qlRelinkableHandleYieldTermStructure(D11,,Permanent,Trigger,ObjectOverwrite)</f>
        <v>HkdHiborYC3M#0001</v>
      </c>
      <c r="F11" s="175" t="str">
        <f>_xll.ohRangeRetrieveError(E11)</f>
        <v/>
      </c>
      <c r="G11" s="12"/>
    </row>
    <row r="12" spans="2:7" x14ac:dyDescent="0.2">
      <c r="B12" s="8"/>
      <c r="C12" s="176" t="s">
        <v>180</v>
      </c>
      <c r="D12" s="176" t="str">
        <f t="shared" si="0"/>
        <v>HkdHiborYC6M</v>
      </c>
      <c r="E12" s="155" t="str">
        <f>_xll.qlRelinkableHandleYieldTermStructure(D12,,Permanent,Trigger,ObjectOverwrite)</f>
        <v>HkdHiborYC6M#0001</v>
      </c>
      <c r="F12" s="175" t="str">
        <f>_xll.ohRangeRetrieveError(E12)</f>
        <v/>
      </c>
      <c r="G12" s="12"/>
    </row>
    <row r="13" spans="2:7" x14ac:dyDescent="0.2">
      <c r="B13" s="8"/>
      <c r="C13" s="176" t="s">
        <v>179</v>
      </c>
      <c r="D13" s="176" t="str">
        <f t="shared" si="0"/>
        <v>HkdHiborYC1Y</v>
      </c>
      <c r="E13" s="155" t="str">
        <f>_xll.qlRelinkableHandleYieldTermStructure(D13,,Permanent,Trigger,ObjectOverwrite)</f>
        <v>HkdHiborYC1Y#0001</v>
      </c>
      <c r="F13" s="175" t="str">
        <f>_xll.ohRangeRetrieveError(E13)</f>
        <v/>
      </c>
      <c r="G13" s="12"/>
    </row>
    <row r="14" spans="2:7" x14ac:dyDescent="0.2">
      <c r="B14" s="8"/>
      <c r="C14" s="178"/>
      <c r="D14" s="13"/>
      <c r="E14" s="13"/>
      <c r="F14" s="13"/>
      <c r="G14" s="12"/>
    </row>
    <row r="15" spans="2:7" x14ac:dyDescent="0.2">
      <c r="B15" s="8"/>
      <c r="C15" s="178"/>
      <c r="D15" s="177" t="str">
        <f>UPPER(Currency)&amp;"_RH_SwaptionVolatilityStructure.xml"</f>
        <v>HKD_RH_SwaptionVolatilityStructure.xml</v>
      </c>
      <c r="E15" s="108" t="e">
        <f ca="1">IF(Serialize,_xll.ohObjectSave(E16:E17,SerializationPath&amp;D15,FileOverwrite,,Serialize),"---")</f>
        <v>#NUM!</v>
      </c>
      <c r="F15" s="175" t="str">
        <f ca="1">_xll.ohRangeRetrieveError(E15)</f>
        <v>ohObjectSave - ObjectHandler error: attempt to retrieve object with unknown ID 'HkdSwaptionATMVol'</v>
      </c>
      <c r="G15" s="12"/>
    </row>
    <row r="16" spans="2:7" x14ac:dyDescent="0.2">
      <c r="B16" s="8"/>
      <c r="C16" s="176" t="s">
        <v>178</v>
      </c>
      <c r="D16" s="176" t="str">
        <f>Currency&amp;C16</f>
        <v>HkdSwaptionATMVol</v>
      </c>
      <c r="E16" s="155" t="str">
        <f>_xll.qlRelinkableHandleSwaptionVolatilityStructure(D16,,Permanent,Trigger,ObjectOverwrite)</f>
        <v>HkdSwaptionATMVol#0001</v>
      </c>
      <c r="F16" s="175" t="str">
        <f>_xll.ohRangeRetrieveError(E16)</f>
        <v/>
      </c>
      <c r="G16" s="12"/>
    </row>
    <row r="17" spans="2:7" x14ac:dyDescent="0.2">
      <c r="B17" s="8"/>
      <c r="C17" s="176" t="s">
        <v>177</v>
      </c>
      <c r="D17" s="176" t="str">
        <f>Currency&amp;C17</f>
        <v>HkdSwaptionVol</v>
      </c>
      <c r="E17" s="155" t="str">
        <f>_xll.qlRelinkableHandleSwaptionVolatilityStructure(D17,,Permanent,Trigger,ObjectOverwrite)</f>
        <v>HkdSwaptionVol#0001</v>
      </c>
      <c r="F17" s="175" t="str">
        <f>_xll.ohRangeRetrieveError(E17)</f>
        <v/>
      </c>
      <c r="G17" s="12"/>
    </row>
    <row r="18" spans="2:7" x14ac:dyDescent="0.2">
      <c r="B18" s="8"/>
      <c r="C18" s="178"/>
      <c r="D18" s="13"/>
      <c r="E18" s="13"/>
      <c r="F18" s="13"/>
      <c r="G18" s="12"/>
    </row>
    <row r="19" spans="2:7" x14ac:dyDescent="0.2">
      <c r="B19" s="8"/>
      <c r="C19" s="178"/>
      <c r="D19" s="177" t="str">
        <f>UPPER(Currency)&amp;"_RH_OptionletVolatilityStructure.xml"</f>
        <v>HKD_RH_OptionletVolatilityStructure.xml</v>
      </c>
      <c r="E19" s="108" t="e">
        <f ca="1">IF(Serialize,_xll.ohObjectSave(E20:E29,SerializationPath&amp;D19,FileOverwrite,,Serialize),"---")</f>
        <v>#NUM!</v>
      </c>
      <c r="F19" s="175" t="str">
        <f ca="1">_xll.ohRangeRetrieveError(E19)</f>
        <v>ohObjectSave - ObjectHandler error: attempt to retrieve object with unknown ID 'Hkd3MFutOptionVol'</v>
      </c>
      <c r="G19" s="12"/>
    </row>
    <row r="20" spans="2:7" x14ac:dyDescent="0.2">
      <c r="B20" s="8"/>
      <c r="C20" s="176" t="s">
        <v>176</v>
      </c>
      <c r="D20" s="176" t="str">
        <f t="shared" ref="D20:D29" si="1">Currency&amp;C20</f>
        <v>Hkd3MFutOptionVol</v>
      </c>
      <c r="E20" s="155" t="str">
        <f>_xll.qlRelinkableHandleOptionletVolatilityStructure(D20,,Permanent,Trigger,ObjectOverwrite)</f>
        <v>Hkd3MFutOptionVol#0001</v>
      </c>
      <c r="F20" s="175" t="str">
        <f>_xll.ohRangeRetrieveError(E20)</f>
        <v/>
      </c>
      <c r="G20" s="12"/>
    </row>
    <row r="21" spans="2:7" x14ac:dyDescent="0.2">
      <c r="B21" s="8"/>
      <c r="C21" s="176" t="s">
        <v>175</v>
      </c>
      <c r="D21" s="176" t="str">
        <f t="shared" si="1"/>
        <v>Hkd1MCapletVol</v>
      </c>
      <c r="E21" s="155" t="str">
        <f>_xll.qlRelinkableHandleOptionletVolatilityStructure(D21,,Permanent,Trigger,ObjectOverwrite)</f>
        <v>Hkd1MCapletVol#0001</v>
      </c>
      <c r="F21" s="175" t="str">
        <f>_xll.ohRangeRetrieveError(E21)</f>
        <v/>
      </c>
      <c r="G21" s="12"/>
    </row>
    <row r="22" spans="2:7" x14ac:dyDescent="0.2">
      <c r="B22" s="8"/>
      <c r="C22" s="176" t="s">
        <v>174</v>
      </c>
      <c r="D22" s="176" t="str">
        <f t="shared" si="1"/>
        <v>Hkd3MCapletVol</v>
      </c>
      <c r="E22" s="155" t="str">
        <f>_xll.qlRelinkableHandleOptionletVolatilityStructure(D22,,Permanent,Trigger,ObjectOverwrite)</f>
        <v>Hkd3MCapletVol#0001</v>
      </c>
      <c r="F22" s="175" t="str">
        <f>_xll.ohRangeRetrieveError(E22)</f>
        <v/>
      </c>
      <c r="G22" s="12"/>
    </row>
    <row r="23" spans="2:7" x14ac:dyDescent="0.2">
      <c r="B23" s="8"/>
      <c r="C23" s="176" t="s">
        <v>173</v>
      </c>
      <c r="D23" s="176" t="str">
        <f t="shared" si="1"/>
        <v>Hkd6MCapletVol</v>
      </c>
      <c r="E23" s="155" t="str">
        <f>_xll.qlRelinkableHandleOptionletVolatilityStructure(D23,,Permanent,Trigger,ObjectOverwrite)</f>
        <v>Hkd6MCapletVol#0001</v>
      </c>
      <c r="F23" s="175" t="str">
        <f>_xll.ohRangeRetrieveError(E23)</f>
        <v/>
      </c>
      <c r="G23" s="12"/>
    </row>
    <row r="24" spans="2:7" x14ac:dyDescent="0.2">
      <c r="B24" s="8"/>
      <c r="C24" s="176" t="s">
        <v>172</v>
      </c>
      <c r="D24" s="176" t="str">
        <f t="shared" si="1"/>
        <v>Hkd1YCapletVol</v>
      </c>
      <c r="E24" s="155" t="str">
        <f>_xll.qlRelinkableHandleOptionletVolatilityStructure(D24,,Permanent,Trigger,ObjectOverwrite)</f>
        <v>Hkd1YCapletVol#0001</v>
      </c>
      <c r="F24" s="175" t="str">
        <f>_xll.ohRangeRetrieveError(E24)</f>
        <v/>
      </c>
      <c r="G24" s="12"/>
    </row>
    <row r="25" spans="2:7" x14ac:dyDescent="0.2">
      <c r="B25" s="8"/>
      <c r="C25" s="176" t="s">
        <v>171</v>
      </c>
      <c r="D25" s="176" t="str">
        <f t="shared" si="1"/>
        <v>Hkd3MFutOptionVolEx</v>
      </c>
      <c r="E25" s="155" t="str">
        <f>_xll.qlRelinkableHandleOptionletVolatilityStructure(D25,,Permanent,Trigger,ObjectOverwrite)</f>
        <v>Hkd3MFutOptionVolEx#0001</v>
      </c>
      <c r="F25" s="175" t="str">
        <f>_xll.ohRangeRetrieveError(E25)</f>
        <v/>
      </c>
      <c r="G25" s="12"/>
    </row>
    <row r="26" spans="2:7" x14ac:dyDescent="0.2">
      <c r="B26" s="8"/>
      <c r="C26" s="176" t="s">
        <v>170</v>
      </c>
      <c r="D26" s="176" t="str">
        <f t="shared" si="1"/>
        <v>Hkd1MCapletVolEx</v>
      </c>
      <c r="E26" s="155" t="str">
        <f>_xll.qlRelinkableHandleOptionletVolatilityStructure(D26,,Permanent,Trigger,ObjectOverwrite)</f>
        <v>Hkd1MCapletVolEx#0001</v>
      </c>
      <c r="F26" s="175" t="str">
        <f>_xll.ohRangeRetrieveError(E26)</f>
        <v/>
      </c>
      <c r="G26" s="12"/>
    </row>
    <row r="27" spans="2:7" x14ac:dyDescent="0.2">
      <c r="B27" s="8"/>
      <c r="C27" s="176" t="s">
        <v>169</v>
      </c>
      <c r="D27" s="176" t="str">
        <f t="shared" si="1"/>
        <v>Hkd3MCapletVolEx</v>
      </c>
      <c r="E27" s="155" t="str">
        <f>_xll.qlRelinkableHandleOptionletVolatilityStructure(D27,,Permanent,Trigger,ObjectOverwrite)</f>
        <v>Hkd3MCapletVolEx#0001</v>
      </c>
      <c r="F27" s="175" t="str">
        <f>_xll.ohRangeRetrieveError(E27)</f>
        <v/>
      </c>
      <c r="G27" s="12"/>
    </row>
    <row r="28" spans="2:7" x14ac:dyDescent="0.2">
      <c r="B28" s="8"/>
      <c r="C28" s="176" t="s">
        <v>168</v>
      </c>
      <c r="D28" s="176" t="str">
        <f t="shared" si="1"/>
        <v>Hkd6MCapletVolEx</v>
      </c>
      <c r="E28" s="155" t="str">
        <f>_xll.qlRelinkableHandleOptionletVolatilityStructure(D28,,Permanent,Trigger,ObjectOverwrite)</f>
        <v>Hkd6MCapletVolEx#0001</v>
      </c>
      <c r="F28" s="175" t="str">
        <f>_xll.ohRangeRetrieveError(E28)</f>
        <v/>
      </c>
      <c r="G28" s="12"/>
    </row>
    <row r="29" spans="2:7" x14ac:dyDescent="0.2">
      <c r="B29" s="8"/>
      <c r="C29" s="176" t="s">
        <v>167</v>
      </c>
      <c r="D29" s="176" t="str">
        <f t="shared" si="1"/>
        <v>Hkd1YCapletVolEx</v>
      </c>
      <c r="E29" s="155" t="str">
        <f>_xll.qlRelinkableHandleOptionletVolatilityStructure(D29,,Permanent,Trigger,ObjectOverwrite)</f>
        <v>Hkd1YCapletVolEx#0001</v>
      </c>
      <c r="F29" s="175" t="str">
        <f>_xll.ohRangeRetrieveError(E29)</f>
        <v/>
      </c>
      <c r="G29" s="12"/>
    </row>
    <row r="30" spans="2:7" ht="13.5" thickBot="1" x14ac:dyDescent="0.25">
      <c r="B30" s="4"/>
      <c r="C30" s="3"/>
      <c r="D30" s="3"/>
      <c r="E30" s="3"/>
      <c r="F30" s="3"/>
      <c r="G30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C50"/>
  <sheetViews>
    <sheetView workbookViewId="0"/>
  </sheetViews>
  <sheetFormatPr defaultRowHeight="12.75" x14ac:dyDescent="0.2"/>
  <cols>
    <col min="1" max="1" width="2.85546875" style="40" customWidth="1"/>
    <col min="2" max="2" width="6.5703125" style="40" customWidth="1"/>
    <col min="3" max="3" width="15.5703125" style="40" bestFit="1" customWidth="1"/>
    <col min="4" max="4" width="79.140625" style="40" bestFit="1" customWidth="1"/>
    <col min="5" max="5" width="5" style="40" customWidth="1"/>
    <col min="6" max="6" width="50.42578125" style="40" customWidth="1"/>
    <col min="7" max="7" width="5.7109375" style="40" customWidth="1"/>
    <col min="8" max="16384" width="9.140625" style="40"/>
  </cols>
  <sheetData>
    <row r="1" spans="1:29" ht="13.5" thickBot="1" x14ac:dyDescent="0.25">
      <c r="A1" s="15"/>
      <c r="B1" s="15" t="str">
        <f>_xll.qlxlVersion(TRUE,Trigger)</f>
        <v>QuantLibXL 1.3.0 - MS VC++ 9.0 - Multithreaded Static Runtime library - Release Configuration - Nov 12 2013 12:02:30</v>
      </c>
      <c r="C1" s="15"/>
      <c r="D1" s="15"/>
      <c r="E1" s="15"/>
      <c r="F1" s="15"/>
      <c r="G1" s="15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5.75" x14ac:dyDescent="0.25">
      <c r="A2" s="15"/>
      <c r="B2" s="462" t="s">
        <v>149</v>
      </c>
      <c r="C2" s="463"/>
      <c r="D2" s="463"/>
      <c r="E2" s="46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x14ac:dyDescent="0.2">
      <c r="A3" s="15"/>
      <c r="B3" s="8"/>
      <c r="C3" s="13"/>
      <c r="D3" s="13"/>
      <c r="E3" s="12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x14ac:dyDescent="0.2">
      <c r="A4" s="15"/>
      <c r="B4" s="8"/>
      <c r="C4" s="7" t="s">
        <v>12</v>
      </c>
      <c r="D4" s="11"/>
      <c r="E4" s="5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x14ac:dyDescent="0.2">
      <c r="A5" s="15"/>
      <c r="B5" s="8"/>
      <c r="C5" s="7" t="s">
        <v>11</v>
      </c>
      <c r="D5" s="11" t="b">
        <v>1</v>
      </c>
      <c r="E5" s="5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x14ac:dyDescent="0.2">
      <c r="A6" s="15"/>
      <c r="B6" s="8"/>
      <c r="C6" s="7" t="s">
        <v>10</v>
      </c>
      <c r="D6" s="11" t="b">
        <v>0</v>
      </c>
      <c r="E6" s="5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x14ac:dyDescent="0.2">
      <c r="A7" s="15"/>
      <c r="B7" s="8"/>
      <c r="C7" s="7" t="s">
        <v>9</v>
      </c>
      <c r="D7" s="11" t="b">
        <v>1</v>
      </c>
      <c r="E7" s="5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x14ac:dyDescent="0.2">
      <c r="A9" s="15"/>
      <c r="B9" s="8"/>
      <c r="C9" s="7" t="s">
        <v>7</v>
      </c>
      <c r="D9" s="10" t="b">
        <v>1</v>
      </c>
      <c r="E9" s="5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3.5" thickBot="1" x14ac:dyDescent="0.25">
      <c r="A10" s="15"/>
      <c r="B10" s="4"/>
      <c r="C10" s="3"/>
      <c r="D10" s="3"/>
      <c r="E10" s="2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x14ac:dyDescent="0.2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</row>
    <row r="12" spans="1:29" x14ac:dyDescent="0.2">
      <c r="A12" s="14"/>
      <c r="B12" s="14"/>
      <c r="C12" s="174"/>
      <c r="D12" s="174"/>
      <c r="E12" s="174"/>
      <c r="F12" s="17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</row>
    <row r="13" spans="1:29" x14ac:dyDescent="0.2">
      <c r="A13" s="14"/>
      <c r="B13" s="14"/>
      <c r="C13" s="174"/>
      <c r="D13" s="174"/>
      <c r="E13" s="174"/>
      <c r="F13" s="17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</row>
    <row r="14" spans="1:29" x14ac:dyDescent="0.2">
      <c r="A14" s="14"/>
      <c r="B14" s="14"/>
      <c r="C14" s="174"/>
      <c r="D14" s="174"/>
      <c r="E14" s="174"/>
      <c r="F14" s="17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</row>
    <row r="15" spans="1:29" x14ac:dyDescent="0.2">
      <c r="A15" s="14"/>
      <c r="B15" s="14"/>
      <c r="C15" s="174"/>
      <c r="D15" s="174"/>
      <c r="E15" s="174"/>
      <c r="F15" s="17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</row>
    <row r="16" spans="1:29" x14ac:dyDescent="0.2">
      <c r="A16" s="14"/>
      <c r="B16" s="14"/>
      <c r="C16" s="174"/>
      <c r="D16" s="174"/>
      <c r="E16" s="174"/>
      <c r="F16" s="17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</row>
    <row r="17" spans="1:29" x14ac:dyDescent="0.2">
      <c r="A17" s="14"/>
      <c r="B17" s="14"/>
      <c r="C17" s="174"/>
      <c r="D17" s="174"/>
      <c r="E17" s="174"/>
      <c r="F17" s="17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</row>
    <row r="18" spans="1:29" x14ac:dyDescent="0.2">
      <c r="A18" s="14"/>
      <c r="B18" s="14"/>
      <c r="C18" s="174"/>
      <c r="D18" s="174"/>
      <c r="E18" s="174"/>
      <c r="F18" s="17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</row>
    <row r="19" spans="1:29" x14ac:dyDescent="0.2">
      <c r="A19" s="14"/>
      <c r="B19" s="14"/>
      <c r="C19" s="174"/>
      <c r="D19" s="174"/>
      <c r="E19" s="174"/>
      <c r="F19" s="17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</row>
    <row r="20" spans="1:29" x14ac:dyDescent="0.2">
      <c r="A20" s="14"/>
      <c r="B20" s="14"/>
      <c r="C20" s="174"/>
      <c r="D20" s="174"/>
      <c r="E20" s="174"/>
      <c r="F20" s="17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</row>
    <row r="21" spans="1:29" x14ac:dyDescent="0.2">
      <c r="A21" s="14"/>
      <c r="B21" s="14"/>
      <c r="C21" s="174"/>
      <c r="D21" s="174"/>
      <c r="E21" s="174"/>
      <c r="F21" s="17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</row>
    <row r="22" spans="1:29" x14ac:dyDescent="0.2">
      <c r="A22" s="14"/>
      <c r="B22" s="14"/>
      <c r="C22" s="174"/>
      <c r="D22" s="174"/>
      <c r="E22" s="174"/>
      <c r="F22" s="17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</row>
    <row r="23" spans="1:29" x14ac:dyDescent="0.2">
      <c r="A23" s="14"/>
      <c r="B23" s="14"/>
      <c r="C23" s="174"/>
      <c r="D23" s="174"/>
      <c r="E23" s="174"/>
      <c r="F23" s="17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</row>
    <row r="24" spans="1:29" x14ac:dyDescent="0.2">
      <c r="A24" s="14"/>
      <c r="B24" s="14"/>
      <c r="C24" s="174"/>
      <c r="D24" s="174"/>
      <c r="E24" s="174"/>
      <c r="F24" s="17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</row>
    <row r="25" spans="1:29" x14ac:dyDescent="0.2">
      <c r="A25" s="14"/>
      <c r="B25" s="14"/>
      <c r="C25" s="174"/>
      <c r="D25" s="174"/>
      <c r="E25" s="174"/>
      <c r="F25" s="17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</row>
    <row r="26" spans="1:29" x14ac:dyDescent="0.2">
      <c r="A26" s="14"/>
      <c r="B26" s="14"/>
      <c r="C26" s="174"/>
      <c r="D26" s="174"/>
      <c r="E26" s="174"/>
      <c r="F26" s="17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</row>
    <row r="27" spans="1:29" x14ac:dyDescent="0.2">
      <c r="A27" s="14"/>
      <c r="B27" s="14"/>
      <c r="C27" s="174"/>
      <c r="D27" s="174"/>
      <c r="E27" s="174"/>
      <c r="F27" s="17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</row>
    <row r="28" spans="1:29" x14ac:dyDescent="0.2">
      <c r="A28" s="14"/>
      <c r="B28" s="14"/>
      <c r="C28" s="174"/>
      <c r="D28" s="174"/>
      <c r="E28" s="174"/>
      <c r="F28" s="17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</row>
    <row r="29" spans="1:29" x14ac:dyDescent="0.2">
      <c r="A29" s="14"/>
      <c r="B29" s="14"/>
      <c r="C29" s="174"/>
      <c r="D29" s="174"/>
      <c r="E29" s="174"/>
      <c r="F29" s="17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</row>
    <row r="30" spans="1:29" x14ac:dyDescent="0.2">
      <c r="A30" s="14"/>
      <c r="B30" s="14"/>
      <c r="C30" s="174"/>
      <c r="D30" s="174"/>
      <c r="E30" s="174"/>
      <c r="F30" s="17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</row>
    <row r="31" spans="1:29" x14ac:dyDescent="0.2">
      <c r="A31" s="14"/>
      <c r="B31" s="14"/>
      <c r="C31" s="174"/>
      <c r="D31" s="174"/>
      <c r="E31" s="174"/>
      <c r="F31" s="17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</row>
    <row r="32" spans="1:29" x14ac:dyDescent="0.2">
      <c r="A32" s="14"/>
      <c r="B32" s="14"/>
      <c r="C32" s="174"/>
      <c r="D32" s="174"/>
      <c r="E32" s="174"/>
      <c r="F32" s="17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</row>
    <row r="33" spans="1:29" x14ac:dyDescent="0.2">
      <c r="A33" s="14"/>
      <c r="B33" s="14"/>
      <c r="C33" s="174"/>
      <c r="D33" s="174"/>
      <c r="E33" s="174"/>
      <c r="F33" s="17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</row>
    <row r="34" spans="1:29" x14ac:dyDescent="0.2">
      <c r="A34" s="14"/>
      <c r="B34" s="14"/>
      <c r="C34" s="174"/>
      <c r="D34" s="174"/>
      <c r="E34" s="174"/>
      <c r="F34" s="17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</row>
    <row r="35" spans="1:29" x14ac:dyDescent="0.2">
      <c r="A35" s="14"/>
      <c r="B35" s="14"/>
      <c r="C35" s="174"/>
      <c r="D35" s="174"/>
      <c r="E35" s="174"/>
      <c r="F35" s="17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</row>
    <row r="36" spans="1:29" x14ac:dyDescent="0.2">
      <c r="A36" s="14"/>
      <c r="B36" s="14"/>
      <c r="C36" s="174"/>
      <c r="D36" s="174"/>
      <c r="E36" s="174"/>
      <c r="F36" s="17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</row>
    <row r="37" spans="1:29" x14ac:dyDescent="0.2">
      <c r="A37" s="14"/>
      <c r="B37" s="14"/>
      <c r="C37" s="174"/>
      <c r="D37" s="174"/>
      <c r="E37" s="174"/>
      <c r="F37" s="17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</row>
    <row r="38" spans="1:29" x14ac:dyDescent="0.2">
      <c r="A38" s="14"/>
      <c r="B38" s="14"/>
      <c r="C38" s="174"/>
      <c r="D38" s="174"/>
      <c r="E38" s="174"/>
      <c r="F38" s="17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</row>
    <row r="39" spans="1:29" x14ac:dyDescent="0.2">
      <c r="A39" s="14"/>
      <c r="B39" s="14"/>
      <c r="C39" s="174"/>
      <c r="D39" s="174"/>
      <c r="E39" s="174"/>
      <c r="F39" s="17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</row>
    <row r="40" spans="1:29" x14ac:dyDescent="0.2">
      <c r="A40" s="14"/>
      <c r="B40" s="14"/>
      <c r="C40" s="174"/>
      <c r="D40" s="174"/>
      <c r="E40" s="174"/>
      <c r="F40" s="17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</row>
    <row r="41" spans="1:29" x14ac:dyDescent="0.2">
      <c r="A41" s="14"/>
      <c r="B41" s="14"/>
      <c r="C41" s="174"/>
      <c r="D41" s="174"/>
      <c r="E41" s="174"/>
      <c r="F41" s="17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</row>
    <row r="42" spans="1:29" x14ac:dyDescent="0.2">
      <c r="A42" s="14"/>
      <c r="B42" s="14"/>
      <c r="C42" s="174"/>
      <c r="D42" s="174"/>
      <c r="E42" s="174"/>
      <c r="F42" s="17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x14ac:dyDescent="0.2">
      <c r="A43" s="14"/>
      <c r="B43" s="14"/>
      <c r="C43" s="174"/>
      <c r="D43" s="174"/>
      <c r="E43" s="174"/>
      <c r="F43" s="17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x14ac:dyDescent="0.2">
      <c r="A44" s="14"/>
      <c r="B44" s="14"/>
      <c r="C44" s="174"/>
      <c r="D44" s="174"/>
      <c r="E44" s="174"/>
      <c r="F44" s="17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x14ac:dyDescent="0.2">
      <c r="A45" s="14"/>
      <c r="B45" s="14"/>
      <c r="C45" s="174"/>
      <c r="D45" s="174"/>
      <c r="E45" s="174"/>
      <c r="F45" s="17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x14ac:dyDescent="0.2">
      <c r="A46" s="14"/>
      <c r="B46" s="14"/>
      <c r="C46" s="174"/>
      <c r="D46" s="174"/>
      <c r="E46" s="174"/>
      <c r="F46" s="17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x14ac:dyDescent="0.2">
      <c r="A47" s="14"/>
      <c r="B47" s="14"/>
      <c r="C47" s="174"/>
      <c r="D47" s="174"/>
      <c r="E47" s="174"/>
      <c r="F47" s="17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x14ac:dyDescent="0.2">
      <c r="A48" s="14"/>
      <c r="B48" s="14"/>
      <c r="C48" s="174"/>
      <c r="D48" s="174"/>
      <c r="E48" s="174"/>
      <c r="F48" s="17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x14ac:dyDescent="0.2">
      <c r="A49" s="14"/>
      <c r="B49" s="14"/>
      <c r="C49" s="174"/>
      <c r="D49" s="174"/>
      <c r="E49" s="174"/>
      <c r="F49" s="17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x14ac:dyDescent="0.2">
      <c r="C50" s="156"/>
      <c r="D50" s="156"/>
      <c r="E50" s="156"/>
      <c r="F50" s="156"/>
    </row>
  </sheetData>
  <dataConsolidate/>
  <mergeCells count="1">
    <mergeCell ref="B2:E2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AG33"/>
  <sheetViews>
    <sheetView zoomScale="75" zoomScaleNormal="75" workbookViewId="0"/>
  </sheetViews>
  <sheetFormatPr defaultRowHeight="12.75" outlineLevelCol="1" x14ac:dyDescent="0.2"/>
  <cols>
    <col min="1" max="1" width="3.140625" style="14" customWidth="1"/>
    <col min="2" max="2" width="4" style="14" bestFit="1" customWidth="1"/>
    <col min="3" max="3" width="5.5703125" style="14" bestFit="1" customWidth="1"/>
    <col min="4" max="4" width="5.5703125" style="14" customWidth="1"/>
    <col min="5" max="5" width="6.5703125" style="14" customWidth="1" outlineLevel="1"/>
    <col min="6" max="6" width="19.28515625" style="14" customWidth="1" outlineLevel="1"/>
    <col min="7" max="7" width="7.28515625" style="14" customWidth="1" outlineLevel="1"/>
    <col min="8" max="8" width="5.5703125" style="14" customWidth="1" outlineLevel="1"/>
    <col min="9" max="9" width="15.28515625" style="14" customWidth="1" outlineLevel="1"/>
    <col min="10" max="10" width="9.28515625" style="14" customWidth="1" outlineLevel="1"/>
    <col min="11" max="11" width="10.28515625" style="14" bestFit="1" customWidth="1"/>
    <col min="12" max="12" width="14.7109375" style="14" bestFit="1" customWidth="1"/>
    <col min="13" max="13" width="26.7109375" style="14" bestFit="1" customWidth="1"/>
    <col min="14" max="14" width="54.7109375" style="14" customWidth="1"/>
    <col min="15" max="20" width="9.140625" style="14"/>
    <col min="21" max="21" width="14.140625" style="14" customWidth="1"/>
    <col min="22" max="23" width="9.140625" style="14"/>
    <col min="24" max="24" width="11.140625" style="14" bestFit="1" customWidth="1"/>
    <col min="25" max="25" width="9.140625" style="14"/>
    <col min="26" max="26" width="10.85546875" style="14" bestFit="1" customWidth="1"/>
    <col min="27" max="27" width="11.42578125" style="14" bestFit="1" customWidth="1"/>
    <col min="28" max="28" width="9.85546875" style="14" bestFit="1" customWidth="1"/>
    <col min="29" max="16384" width="9.140625" style="14"/>
  </cols>
  <sheetData>
    <row r="1" spans="2:33" s="1" customFormat="1" ht="12" thickBot="1" x14ac:dyDescent="0.25"/>
    <row r="2" spans="2:33" s="1" customFormat="1" x14ac:dyDescent="0.2">
      <c r="B2" s="173"/>
      <c r="C2" s="172"/>
      <c r="D2" s="172"/>
      <c r="E2" s="172"/>
      <c r="F2" s="172"/>
      <c r="G2" s="172"/>
      <c r="H2" s="172"/>
      <c r="I2" s="172"/>
      <c r="J2" s="172"/>
      <c r="K2" s="171"/>
      <c r="L2" s="170"/>
      <c r="M2" s="170"/>
      <c r="N2" s="170"/>
      <c r="O2" s="169"/>
    </row>
    <row r="3" spans="2:33" s="1" customFormat="1" ht="15.75" thickBot="1" x14ac:dyDescent="0.3">
      <c r="B3" s="162"/>
      <c r="C3" s="167"/>
      <c r="D3" s="167"/>
      <c r="E3" s="167"/>
      <c r="F3" s="167"/>
      <c r="G3" s="167"/>
      <c r="H3" s="167"/>
      <c r="I3" s="167"/>
      <c r="J3" s="167"/>
      <c r="K3" s="7" t="s">
        <v>153</v>
      </c>
      <c r="L3" s="157" t="s">
        <v>152</v>
      </c>
      <c r="M3" s="168"/>
      <c r="N3" s="166"/>
      <c r="O3" s="163"/>
      <c r="Q3" s="397"/>
      <c r="R3" s="397"/>
      <c r="S3" s="397"/>
      <c r="T3" s="402"/>
      <c r="U3" s="410"/>
      <c r="V3" s="456"/>
      <c r="W3" s="456"/>
      <c r="X3" s="397"/>
      <c r="Y3" s="402"/>
      <c r="Z3" s="397"/>
      <c r="AA3" s="397"/>
      <c r="AB3" s="397"/>
      <c r="AC3" s="397"/>
      <c r="AD3" s="397"/>
      <c r="AE3" s="397"/>
      <c r="AF3" s="397"/>
      <c r="AG3" s="397"/>
    </row>
    <row r="4" spans="2:33" s="1" customFormat="1" ht="19.5" x14ac:dyDescent="0.4">
      <c r="B4" s="162"/>
      <c r="C4" s="167"/>
      <c r="D4" s="167"/>
      <c r="E4" s="167"/>
      <c r="F4" s="167"/>
      <c r="G4" s="167"/>
      <c r="H4" s="167"/>
      <c r="I4" s="167"/>
      <c r="J4" s="167"/>
      <c r="K4" s="166"/>
      <c r="L4" s="166"/>
      <c r="M4" s="166"/>
      <c r="N4" s="166"/>
      <c r="O4" s="163"/>
      <c r="Q4" s="397"/>
      <c r="R4" s="455"/>
      <c r="S4" s="449"/>
      <c r="T4" s="454" t="str">
        <f>VLOOKUP(Currency,Traits,2,FALSE)</f>
        <v>D</v>
      </c>
      <c r="U4" s="453"/>
      <c r="V4" s="452"/>
      <c r="W4" s="452"/>
      <c r="X4" s="449"/>
      <c r="Y4" s="449"/>
      <c r="Z4" s="451" t="str">
        <f>VLOOKUP(Currency,Traits,3,FALSE)</f>
        <v>Hibor</v>
      </c>
      <c r="AA4" s="449"/>
      <c r="AB4" s="449"/>
      <c r="AC4" s="450">
        <f>MAX(AE6:AE23)</f>
        <v>0</v>
      </c>
      <c r="AD4" s="449"/>
      <c r="AE4" s="449"/>
      <c r="AF4" s="448"/>
      <c r="AG4" s="397"/>
    </row>
    <row r="5" spans="2:33" s="1" customFormat="1" ht="33.75" x14ac:dyDescent="0.25">
      <c r="B5" s="162"/>
      <c r="C5" s="165" t="s">
        <v>166</v>
      </c>
      <c r="D5" s="165"/>
      <c r="E5" s="165" t="s">
        <v>165</v>
      </c>
      <c r="F5" s="165" t="s">
        <v>164</v>
      </c>
      <c r="G5" s="165" t="s">
        <v>163</v>
      </c>
      <c r="H5" s="165" t="s">
        <v>162</v>
      </c>
      <c r="I5" s="165" t="s">
        <v>161</v>
      </c>
      <c r="J5" s="109" t="s">
        <v>160</v>
      </c>
      <c r="K5" s="164" t="str">
        <f>PROPER(Currency)&amp;FamilyName&amp;".xml"</f>
        <v>HkdHibor.xml</v>
      </c>
      <c r="L5" s="108" t="e">
        <f ca="1">IF(Serialize,_xll.ohObjectSave(L6:M23,SerializationPath&amp;FileName,FileOverwrite,,Serialize),"---")</f>
        <v>#NUM!</v>
      </c>
      <c r="M5" s="157"/>
      <c r="N5" s="155" t="str">
        <f ca="1">_xll.ohRangeRetrieveError(L5)</f>
        <v>ohObjectSave - ObjectHandler error: attempt to retrieve object with unknown ID 'HkdHiborON'</v>
      </c>
      <c r="O5" s="163"/>
      <c r="Q5" s="397"/>
      <c r="R5" s="426"/>
      <c r="S5" s="446" t="s">
        <v>166</v>
      </c>
      <c r="T5" s="445" t="str">
        <f>_xll.RData(T6:T23,U5:V5,"RTFEED:IDN",,,U6)</f>
        <v>Retrieving...</v>
      </c>
      <c r="U5" s="445" t="s">
        <v>276</v>
      </c>
      <c r="V5" s="445" t="s">
        <v>204</v>
      </c>
      <c r="W5" s="445" t="s">
        <v>275</v>
      </c>
      <c r="X5" s="444" t="s">
        <v>274</v>
      </c>
      <c r="Y5" s="447"/>
      <c r="Z5" s="446" t="s">
        <v>191</v>
      </c>
      <c r="AA5" s="445" t="s">
        <v>273</v>
      </c>
      <c r="AB5" s="445" t="s">
        <v>272</v>
      </c>
      <c r="AC5" s="445" t="s">
        <v>271</v>
      </c>
      <c r="AD5" s="444" t="s">
        <v>270</v>
      </c>
      <c r="AE5" s="443"/>
      <c r="AF5" s="416"/>
      <c r="AG5" s="397"/>
    </row>
    <row r="6" spans="2:33" s="1" customFormat="1" ht="15" x14ac:dyDescent="0.25">
      <c r="B6" s="162"/>
      <c r="C6" s="161" t="s">
        <v>151</v>
      </c>
      <c r="D6" s="161" t="str">
        <f>C6</f>
        <v>ON</v>
      </c>
      <c r="E6" s="161">
        <v>0</v>
      </c>
      <c r="F6" s="161" t="s">
        <v>156</v>
      </c>
      <c r="G6" s="161" t="s">
        <v>155</v>
      </c>
      <c r="H6" s="161" t="b">
        <v>1</v>
      </c>
      <c r="I6" s="161" t="s">
        <v>154</v>
      </c>
      <c r="J6" s="160" t="str">
        <f>FamilyName&amp;"YCON"</f>
        <v>HiborYCON</v>
      </c>
      <c r="K6" s="159" t="str">
        <f t="shared" ref="K6:K23" si="0">PROPER(Currency)&amp;FamilyName&amp;$C6</f>
        <v>HkdHiborON</v>
      </c>
      <c r="L6" s="141" t="str">
        <f>_xll.qlOvernightIndex(K6,FamilyName,E6,Currency,F6,I6,Currency&amp;J6,Permanent,Trigger,FileOverwrite)</f>
        <v>HkdHiborON#0001</v>
      </c>
      <c r="M6" s="158" t="str">
        <f>_xll.qlLastFixingQuote(K6&amp;"LastFixing_Quote",L6,Permanent,Trigger,ObjectOverwrite)</f>
        <v>HkdHiborONLastFixing_Quote#0001</v>
      </c>
      <c r="N6" s="155" t="str">
        <f>_xll.ohRangeRetrieveError(L6)</f>
        <v/>
      </c>
      <c r="O6" s="12"/>
      <c r="Q6" s="397"/>
      <c r="R6" s="426"/>
      <c r="S6" s="442" t="s">
        <v>151</v>
      </c>
      <c r="T6" s="437" t="str">
        <f t="shared" ref="T6:T23" si="1">"HI"&amp;Currency&amp;$S6&amp;$T$4&amp;"="</f>
        <v>HIHKDOND=</v>
      </c>
      <c r="U6" s="441">
        <v>41582</v>
      </c>
      <c r="V6" s="440">
        <v>8.548E-2</v>
      </c>
      <c r="W6" s="440" t="b">
        <f t="shared" ref="W6:W23" si="2">IF(AND(ISNUMBER($V6),$V6&lt;&gt;0%),TRUE,FALSE)</f>
        <v>1</v>
      </c>
      <c r="X6" s="439" t="b">
        <f>IF($W6,_xll.qlIndexAddFixings($Z6,$U6,$V6/100,TRUE,ISERROR($AA6)),NA())</f>
        <v>1</v>
      </c>
      <c r="Y6" s="421"/>
      <c r="Z6" s="438" t="str">
        <f>PROPER(Currency)&amp;$Z$4&amp;$S6</f>
        <v>HkdHiborON</v>
      </c>
      <c r="AA6" s="437" t="e">
        <f>_xll.qlIndexFixing($Z6,$U6,TRUE,$W6)</f>
        <v>#NUM!</v>
      </c>
      <c r="AB6" s="437">
        <f>IF($X6,_xll.qlIndexFixing($Z6,$U6,FALSE,$W6),"-")</f>
        <v>8.5479999999999996E-4</v>
      </c>
      <c r="AC6" s="437" t="e">
        <f t="shared" ref="AC6:AC23" si="3">AA6-AB6</f>
        <v>#NUM!</v>
      </c>
      <c r="AD6" s="436">
        <f>_xll.qlIndexFixing($Z6,$U6,TRUE,$AB6)</f>
        <v>8.5479999999999996E-4</v>
      </c>
      <c r="AE6" s="435">
        <f>IF(ISERROR(AC6),0,ABS(AC6))</f>
        <v>0</v>
      </c>
      <c r="AF6" s="416"/>
      <c r="AG6" s="397"/>
    </row>
    <row r="7" spans="2:33" s="1" customFormat="1" ht="15" x14ac:dyDescent="0.25">
      <c r="B7" s="162"/>
      <c r="C7" s="161" t="s">
        <v>159</v>
      </c>
      <c r="D7" s="161" t="str">
        <f>C7</f>
        <v>TN</v>
      </c>
      <c r="E7" s="161">
        <v>0</v>
      </c>
      <c r="F7" s="161" t="s">
        <v>156</v>
      </c>
      <c r="G7" s="161" t="s">
        <v>155</v>
      </c>
      <c r="H7" s="161" t="b">
        <v>1</v>
      </c>
      <c r="I7" s="161" t="s">
        <v>154</v>
      </c>
      <c r="J7" s="160" t="str">
        <f t="shared" ref="J7:J12" si="4">FamilyName&amp;"YC1M"</f>
        <v>HiborYC1M</v>
      </c>
      <c r="K7" s="159" t="str">
        <f t="shared" si="0"/>
        <v>HkdHiborTN</v>
      </c>
      <c r="L7" s="141"/>
      <c r="M7" s="158"/>
      <c r="N7" s="155"/>
      <c r="O7" s="12"/>
      <c r="Q7" s="397"/>
      <c r="R7" s="426"/>
      <c r="S7" s="434" t="s">
        <v>159</v>
      </c>
      <c r="T7" s="429" t="str">
        <f t="shared" si="1"/>
        <v>HIHKDTND=</v>
      </c>
      <c r="U7" s="433" t="s">
        <v>188</v>
      </c>
      <c r="V7" s="432" t="s">
        <v>188</v>
      </c>
      <c r="W7" s="432" t="b">
        <f t="shared" si="2"/>
        <v>0</v>
      </c>
      <c r="X7" s="431" t="e">
        <f>IF($W7,_xll.qlIndexAddFixings($Z7,$U7,$V7/100,TRUE,ISERROR($AA7)),NA())</f>
        <v>#N/A</v>
      </c>
      <c r="Y7" s="421"/>
      <c r="Z7" s="430" t="str">
        <f>PROPER(Currency)&amp;$Z$4&amp;$S7</f>
        <v>HkdHiborTN</v>
      </c>
      <c r="AA7" s="429" t="e">
        <f>_xll.qlIndexFixing($Z7,$U7,TRUE,$W7)</f>
        <v>#NUM!</v>
      </c>
      <c r="AB7" s="429" t="e">
        <f>IF($X7,_xll.qlIndexFixing($Z7,$U7,FALSE,$W7),"-")</f>
        <v>#N/A</v>
      </c>
      <c r="AC7" s="429" t="e">
        <f t="shared" si="3"/>
        <v>#NUM!</v>
      </c>
      <c r="AD7" s="428" t="e">
        <f>_xll.qlIndexFixing($Z7,$U7,TRUE,$AB7)</f>
        <v>#NUM!</v>
      </c>
      <c r="AE7" s="427"/>
      <c r="AF7" s="416"/>
      <c r="AG7" s="397"/>
    </row>
    <row r="8" spans="2:33" s="1" customFormat="1" ht="15" x14ac:dyDescent="0.25">
      <c r="B8" s="162"/>
      <c r="C8" s="161" t="s">
        <v>158</v>
      </c>
      <c r="D8" s="161" t="str">
        <f>C8</f>
        <v>SN</v>
      </c>
      <c r="E8" s="161">
        <v>0</v>
      </c>
      <c r="F8" s="161" t="s">
        <v>156</v>
      </c>
      <c r="G8" s="161" t="s">
        <v>155</v>
      </c>
      <c r="H8" s="161" t="b">
        <v>1</v>
      </c>
      <c r="I8" s="161" t="s">
        <v>154</v>
      </c>
      <c r="J8" s="160" t="str">
        <f t="shared" si="4"/>
        <v>HiborYC1M</v>
      </c>
      <c r="K8" s="159" t="str">
        <f t="shared" si="0"/>
        <v>HkdHiborSN</v>
      </c>
      <c r="L8" s="141"/>
      <c r="M8" s="158"/>
      <c r="N8" s="155"/>
      <c r="O8" s="12"/>
      <c r="Q8" s="397"/>
      <c r="R8" s="426"/>
      <c r="S8" s="434" t="s">
        <v>158</v>
      </c>
      <c r="T8" s="429" t="str">
        <f t="shared" si="1"/>
        <v>HIHKDSND=</v>
      </c>
      <c r="U8" s="433" t="s">
        <v>188</v>
      </c>
      <c r="V8" s="432" t="s">
        <v>188</v>
      </c>
      <c r="W8" s="432" t="b">
        <f t="shared" si="2"/>
        <v>0</v>
      </c>
      <c r="X8" s="431" t="e">
        <f>IF($W8,_xll.qlIndexAddFixings($Z8,$U8,$V8/100,TRUE,ISERROR($AA8)),NA())</f>
        <v>#N/A</v>
      </c>
      <c r="Y8" s="421"/>
      <c r="Z8" s="430" t="str">
        <f>PROPER(Currency)&amp;$Z$4&amp;$S8</f>
        <v>HkdHiborSN</v>
      </c>
      <c r="AA8" s="429" t="e">
        <f>_xll.qlIndexFixing($Z8,$U8,TRUE,$W8)</f>
        <v>#NUM!</v>
      </c>
      <c r="AB8" s="429" t="e">
        <f>IF($X8,_xll.qlIndexFixing($Z8,$U8,FALSE,$W8),"-")</f>
        <v>#N/A</v>
      </c>
      <c r="AC8" s="429" t="e">
        <f t="shared" si="3"/>
        <v>#NUM!</v>
      </c>
      <c r="AD8" s="428" t="e">
        <f>_xll.qlIndexFixing($Z8,$U8,TRUE,$AB8)</f>
        <v>#NUM!</v>
      </c>
      <c r="AE8" s="427"/>
      <c r="AF8" s="416"/>
      <c r="AG8" s="397"/>
    </row>
    <row r="9" spans="2:33" s="1" customFormat="1" ht="15" x14ac:dyDescent="0.25">
      <c r="B9" s="162"/>
      <c r="C9" s="161" t="s">
        <v>137</v>
      </c>
      <c r="D9" s="161" t="s">
        <v>157</v>
      </c>
      <c r="E9" s="161">
        <v>0</v>
      </c>
      <c r="F9" s="161" t="s">
        <v>156</v>
      </c>
      <c r="G9" s="161" t="s">
        <v>155</v>
      </c>
      <c r="H9" s="161" t="b">
        <v>1</v>
      </c>
      <c r="I9" s="161" t="s">
        <v>154</v>
      </c>
      <c r="J9" s="160" t="str">
        <f t="shared" si="4"/>
        <v>HiborYC1M</v>
      </c>
      <c r="K9" s="159" t="str">
        <f t="shared" si="0"/>
        <v>HkdHiborSW</v>
      </c>
      <c r="L9" s="141" t="str">
        <f>_xll.qlIborIndex($K9,FamilyName,$D9,E9,Currency,F9,G9,H9,I9,Currency&amp;$J9,Permanent,Trigger,ObjectOverwrite)</f>
        <v>HkdHiborSW#0001</v>
      </c>
      <c r="M9" s="158" t="str">
        <f>_xll.qlLastFixingQuote(K9&amp;"LastFixing_Quote",L9,Permanent,Trigger,ObjectOverwrite)</f>
        <v>HkdHiborSWLastFixing_Quote#0001</v>
      </c>
      <c r="N9" s="155" t="str">
        <f>_xll.ohRangeRetrieveError(L9)</f>
        <v/>
      </c>
      <c r="O9" s="12"/>
      <c r="Q9" s="397"/>
      <c r="R9" s="426"/>
      <c r="S9" s="434" t="s">
        <v>157</v>
      </c>
      <c r="T9" s="429" t="str">
        <f t="shared" si="1"/>
        <v>HIHKD1WD=</v>
      </c>
      <c r="U9" s="433">
        <v>41582</v>
      </c>
      <c r="V9" s="432">
        <v>0.13786000000000001</v>
      </c>
      <c r="W9" s="432" t="b">
        <f t="shared" si="2"/>
        <v>1</v>
      </c>
      <c r="X9" s="431" t="b">
        <f>IF($W9,_xll.qlIndexAddFixings($Z9,$U9,$V9/100,TRUE,ISERROR($AA9)),NA())</f>
        <v>1</v>
      </c>
      <c r="Y9" s="421"/>
      <c r="Z9" s="430" t="str">
        <f>PROPER(Currency)&amp;$Z$4&amp;"SW"</f>
        <v>HkdHiborSW</v>
      </c>
      <c r="AA9" s="429" t="e">
        <f>_xll.qlIndexFixing($Z9,$U9,TRUE,$W9)</f>
        <v>#NUM!</v>
      </c>
      <c r="AB9" s="429">
        <f>IF($X9,_xll.qlIndexFixing($Z9,$U9,FALSE,$W9),"-")</f>
        <v>1.3786E-3</v>
      </c>
      <c r="AC9" s="429" t="e">
        <f t="shared" si="3"/>
        <v>#NUM!</v>
      </c>
      <c r="AD9" s="428">
        <f>_xll.qlIndexFixing($Z9,$U9,TRUE,$AB9)</f>
        <v>1.3786E-3</v>
      </c>
      <c r="AE9" s="427">
        <f t="shared" ref="AE9:AE23" si="5">IF(ISERROR(AC9),0,ABS(AC9))</f>
        <v>0</v>
      </c>
      <c r="AF9" s="416"/>
      <c r="AG9" s="397"/>
    </row>
    <row r="10" spans="2:33" s="1" customFormat="1" ht="15" x14ac:dyDescent="0.25">
      <c r="B10" s="162"/>
      <c r="C10" s="161" t="s">
        <v>136</v>
      </c>
      <c r="D10" s="161" t="str">
        <f t="shared" ref="D10:D23" si="6">C10</f>
        <v>2W</v>
      </c>
      <c r="E10" s="161">
        <v>0</v>
      </c>
      <c r="F10" s="161" t="s">
        <v>156</v>
      </c>
      <c r="G10" s="161" t="s">
        <v>155</v>
      </c>
      <c r="H10" s="161" t="b">
        <v>1</v>
      </c>
      <c r="I10" s="161" t="s">
        <v>154</v>
      </c>
      <c r="J10" s="160" t="str">
        <f t="shared" si="4"/>
        <v>HiborYC1M</v>
      </c>
      <c r="K10" s="159" t="str">
        <f t="shared" si="0"/>
        <v>HkdHibor2W</v>
      </c>
      <c r="L10" s="141" t="str">
        <f>_xll.qlIborIndex($K10,FamilyName,$D10,E10,Currency,F10,G10,H10,I10,Currency&amp;$J10,Permanent,Trigger,ObjectOverwrite)</f>
        <v>HkdHibor2W#0001</v>
      </c>
      <c r="M10" s="158" t="str">
        <f>_xll.qlLastFixingQuote(K10&amp;"LastFixing_Quote",L10,Permanent,Trigger,ObjectOverwrite)</f>
        <v>HkdHibor2WLastFixing_Quote#0001</v>
      </c>
      <c r="N10" s="155" t="str">
        <f>_xll.ohRangeRetrieveError(L10)</f>
        <v/>
      </c>
      <c r="O10" s="12"/>
      <c r="Q10" s="397"/>
      <c r="R10" s="426"/>
      <c r="S10" s="434" t="s">
        <v>136</v>
      </c>
      <c r="T10" s="429" t="str">
        <f t="shared" si="1"/>
        <v>HIHKD2WD=</v>
      </c>
      <c r="U10" s="433">
        <v>41582</v>
      </c>
      <c r="V10" s="432">
        <v>0.16483999999999999</v>
      </c>
      <c r="W10" s="432" t="b">
        <f t="shared" si="2"/>
        <v>1</v>
      </c>
      <c r="X10" s="431" t="b">
        <f>IF($W10,_xll.qlIndexAddFixings($Z10,$U10,$V10/100,TRUE,ISERROR($AA10)),NA())</f>
        <v>1</v>
      </c>
      <c r="Y10" s="421"/>
      <c r="Z10" s="430" t="str">
        <f t="shared" ref="Z10:Z23" si="7">PROPER(Currency)&amp;$Z$4&amp;$S10</f>
        <v>HkdHibor2W</v>
      </c>
      <c r="AA10" s="429" t="e">
        <f>_xll.qlIndexFixing($Z10,$U10,TRUE,$W10)</f>
        <v>#NUM!</v>
      </c>
      <c r="AB10" s="429">
        <f>IF($X10,_xll.qlIndexFixing($Z10,$U10,FALSE,$W10),"-")</f>
        <v>1.6484E-3</v>
      </c>
      <c r="AC10" s="429" t="e">
        <f t="shared" si="3"/>
        <v>#NUM!</v>
      </c>
      <c r="AD10" s="428">
        <f>_xll.qlIndexFixing($Z10,$U10,TRUE,$AB10)</f>
        <v>1.6484E-3</v>
      </c>
      <c r="AE10" s="427">
        <f t="shared" si="5"/>
        <v>0</v>
      </c>
      <c r="AF10" s="416"/>
      <c r="AG10" s="397"/>
    </row>
    <row r="11" spans="2:33" s="1" customFormat="1" ht="15" x14ac:dyDescent="0.25">
      <c r="B11" s="162"/>
      <c r="C11" s="161" t="s">
        <v>135</v>
      </c>
      <c r="D11" s="161" t="str">
        <f t="shared" si="6"/>
        <v>3W</v>
      </c>
      <c r="E11" s="161">
        <v>0</v>
      </c>
      <c r="F11" s="161" t="s">
        <v>156</v>
      </c>
      <c r="G11" s="161" t="s">
        <v>155</v>
      </c>
      <c r="H11" s="161" t="b">
        <v>1</v>
      </c>
      <c r="I11" s="161" t="s">
        <v>154</v>
      </c>
      <c r="J11" s="160" t="str">
        <f t="shared" si="4"/>
        <v>HiborYC1M</v>
      </c>
      <c r="K11" s="159" t="str">
        <f t="shared" si="0"/>
        <v>HkdHibor3W</v>
      </c>
      <c r="L11" s="141" t="str">
        <f>_xll.qlIborIndex($K11,FamilyName,$D11,E11,Currency,F11,G11,H11,I11,Currency&amp;$J11,Permanent,Trigger,ObjectOverwrite)</f>
        <v>HkdHibor3W#0001</v>
      </c>
      <c r="M11" s="158" t="str">
        <f>_xll.qlLastFixingQuote(K11&amp;"LastFixing_Quote",L11,Permanent,Trigger,ObjectOverwrite)</f>
        <v>HkdHibor3WLastFixing_Quote#0001</v>
      </c>
      <c r="N11" s="155" t="str">
        <f>_xll.ohRangeRetrieveError(L11)</f>
        <v/>
      </c>
      <c r="O11" s="12"/>
      <c r="Q11" s="397"/>
      <c r="R11" s="426"/>
      <c r="S11" s="434" t="s">
        <v>135</v>
      </c>
      <c r="T11" s="429" t="str">
        <f t="shared" si="1"/>
        <v>HIHKD3WD=</v>
      </c>
      <c r="U11" s="433" t="s">
        <v>188</v>
      </c>
      <c r="V11" s="432" t="s">
        <v>188</v>
      </c>
      <c r="W11" s="432" t="b">
        <f t="shared" si="2"/>
        <v>0</v>
      </c>
      <c r="X11" s="431" t="e">
        <f>IF($W11,_xll.qlIndexAddFixings($Z11,$U11,$V11/100,TRUE,ISERROR($AA11)),NA())</f>
        <v>#N/A</v>
      </c>
      <c r="Y11" s="421"/>
      <c r="Z11" s="430" t="str">
        <f t="shared" si="7"/>
        <v>HkdHibor3W</v>
      </c>
      <c r="AA11" s="429" t="e">
        <f>_xll.qlIndexFixing($Z11,$U11,TRUE,$W11)</f>
        <v>#NUM!</v>
      </c>
      <c r="AB11" s="429" t="e">
        <f>IF($X11,_xll.qlIndexFixing($Z11,$U11,FALSE,$W11),"-")</f>
        <v>#N/A</v>
      </c>
      <c r="AC11" s="429" t="e">
        <f t="shared" si="3"/>
        <v>#NUM!</v>
      </c>
      <c r="AD11" s="428" t="e">
        <f>_xll.qlIndexFixing($Z11,$U11,TRUE,$AB11)</f>
        <v>#NUM!</v>
      </c>
      <c r="AE11" s="427">
        <f t="shared" si="5"/>
        <v>0</v>
      </c>
      <c r="AF11" s="416"/>
      <c r="AG11" s="397"/>
    </row>
    <row r="12" spans="2:33" s="1" customFormat="1" ht="15" x14ac:dyDescent="0.25">
      <c r="B12" s="162"/>
      <c r="C12" s="161" t="s">
        <v>104</v>
      </c>
      <c r="D12" s="161" t="str">
        <f t="shared" si="6"/>
        <v>1M</v>
      </c>
      <c r="E12" s="161">
        <v>0</v>
      </c>
      <c r="F12" s="161" t="s">
        <v>156</v>
      </c>
      <c r="G12" s="161" t="s">
        <v>155</v>
      </c>
      <c r="H12" s="161" t="b">
        <v>1</v>
      </c>
      <c r="I12" s="161" t="s">
        <v>154</v>
      </c>
      <c r="J12" s="160" t="str">
        <f t="shared" si="4"/>
        <v>HiborYC1M</v>
      </c>
      <c r="K12" s="159" t="str">
        <f t="shared" si="0"/>
        <v>HkdHibor1M</v>
      </c>
      <c r="L12" s="141" t="str">
        <f>_xll.qlIborIndex($K12,FamilyName,$D12,E12,Currency,F12,G12,H12,I12,Currency&amp;$J12,Permanent,Trigger,ObjectOverwrite)</f>
        <v>HkdHibor1M#0001</v>
      </c>
      <c r="M12" s="158" t="str">
        <f>_xll.qlLastFixingQuote(K12&amp;"LastFixing_Quote",L12,Permanent,Trigger,ObjectOverwrite)</f>
        <v>HkdHibor1MLastFixing_Quote#0001</v>
      </c>
      <c r="N12" s="155" t="str">
        <f>_xll.ohRangeRetrieveError(L12)</f>
        <v/>
      </c>
      <c r="O12" s="12"/>
      <c r="Q12" s="397"/>
      <c r="R12" s="426"/>
      <c r="S12" s="434" t="s">
        <v>104</v>
      </c>
      <c r="T12" s="429" t="str">
        <f t="shared" si="1"/>
        <v>HIHKD1MD=</v>
      </c>
      <c r="U12" s="433">
        <v>41582</v>
      </c>
      <c r="V12" s="432">
        <v>0.21856999999999999</v>
      </c>
      <c r="W12" s="432" t="b">
        <f t="shared" si="2"/>
        <v>1</v>
      </c>
      <c r="X12" s="431" t="b">
        <f>IF($W12,_xll.qlIndexAddFixings($Z12,$U12,$V12/100,TRUE,ISERROR($AA12)),NA())</f>
        <v>1</v>
      </c>
      <c r="Y12" s="421"/>
      <c r="Z12" s="430" t="str">
        <f t="shared" si="7"/>
        <v>HkdHibor1M</v>
      </c>
      <c r="AA12" s="429" t="e">
        <f>_xll.qlIndexFixing($Z12,$U12,TRUE,$W12)</f>
        <v>#NUM!</v>
      </c>
      <c r="AB12" s="429">
        <f>IF($X12,_xll.qlIndexFixing($Z12,$U12,FALSE,$W12),"-")</f>
        <v>2.1857000000000001E-3</v>
      </c>
      <c r="AC12" s="429" t="e">
        <f t="shared" si="3"/>
        <v>#NUM!</v>
      </c>
      <c r="AD12" s="428">
        <f>_xll.qlIndexFixing($Z12,$U12,TRUE,$AB12)</f>
        <v>2.1857000000000001E-3</v>
      </c>
      <c r="AE12" s="427">
        <f t="shared" si="5"/>
        <v>0</v>
      </c>
      <c r="AF12" s="416"/>
      <c r="AG12" s="397"/>
    </row>
    <row r="13" spans="2:33" s="1" customFormat="1" ht="15" x14ac:dyDescent="0.25">
      <c r="B13" s="162"/>
      <c r="C13" s="161" t="s">
        <v>134</v>
      </c>
      <c r="D13" s="161" t="str">
        <f t="shared" si="6"/>
        <v>2M</v>
      </c>
      <c r="E13" s="161">
        <v>0</v>
      </c>
      <c r="F13" s="161" t="s">
        <v>156</v>
      </c>
      <c r="G13" s="161" t="s">
        <v>155</v>
      </c>
      <c r="H13" s="161" t="b">
        <v>1</v>
      </c>
      <c r="I13" s="161" t="s">
        <v>154</v>
      </c>
      <c r="J13" s="160" t="str">
        <f>FamilyName&amp;"YC3M"</f>
        <v>HiborYC3M</v>
      </c>
      <c r="K13" s="159" t="str">
        <f t="shared" si="0"/>
        <v>HkdHibor2M</v>
      </c>
      <c r="L13" s="141" t="str">
        <f>_xll.qlIborIndex($K13,FamilyName,$D13,E13,Currency,F13,G13,H13,I13,Currency&amp;$J13,Permanent,Trigger,ObjectOverwrite)</f>
        <v>HkdHibor2M#0001</v>
      </c>
      <c r="M13" s="158" t="str">
        <f>_xll.qlLastFixingQuote(K13&amp;"LastFixing_Quote",L13,Permanent,Trigger,ObjectOverwrite)</f>
        <v>HkdHibor2MLastFixing_Quote#0001</v>
      </c>
      <c r="N13" s="155" t="str">
        <f>_xll.ohRangeRetrieveError(L13)</f>
        <v/>
      </c>
      <c r="O13" s="12"/>
      <c r="Q13" s="397"/>
      <c r="R13" s="426"/>
      <c r="S13" s="434" t="s">
        <v>134</v>
      </c>
      <c r="T13" s="429" t="str">
        <f t="shared" si="1"/>
        <v>HIHKD2MD=</v>
      </c>
      <c r="U13" s="433">
        <v>41582</v>
      </c>
      <c r="V13" s="432">
        <v>0.32142999999999999</v>
      </c>
      <c r="W13" s="432" t="b">
        <f t="shared" si="2"/>
        <v>1</v>
      </c>
      <c r="X13" s="431" t="b">
        <f>IF($W13,_xll.qlIndexAddFixings($Z13,$U13,$V13/100,TRUE,ISERROR($AA13)),NA())</f>
        <v>1</v>
      </c>
      <c r="Y13" s="421"/>
      <c r="Z13" s="430" t="str">
        <f t="shared" si="7"/>
        <v>HkdHibor2M</v>
      </c>
      <c r="AA13" s="429" t="e">
        <f>_xll.qlIndexFixing($Z13,$U13,TRUE,$W13)</f>
        <v>#NUM!</v>
      </c>
      <c r="AB13" s="429">
        <f>IF($X13,_xll.qlIndexFixing($Z13,$U13,FALSE,$W13),"-")</f>
        <v>3.2142999999999998E-3</v>
      </c>
      <c r="AC13" s="429" t="e">
        <f t="shared" si="3"/>
        <v>#NUM!</v>
      </c>
      <c r="AD13" s="428">
        <f>_xll.qlIndexFixing($Z13,$U13,TRUE,$AB13)</f>
        <v>3.2142999999999998E-3</v>
      </c>
      <c r="AE13" s="427">
        <f t="shared" si="5"/>
        <v>0</v>
      </c>
      <c r="AF13" s="416"/>
      <c r="AG13" s="397"/>
    </row>
    <row r="14" spans="2:33" s="1" customFormat="1" ht="15" x14ac:dyDescent="0.25">
      <c r="B14" s="162"/>
      <c r="C14" s="161" t="s">
        <v>106</v>
      </c>
      <c r="D14" s="161" t="str">
        <f t="shared" si="6"/>
        <v>3M</v>
      </c>
      <c r="E14" s="161">
        <v>0</v>
      </c>
      <c r="F14" s="161" t="s">
        <v>156</v>
      </c>
      <c r="G14" s="161" t="s">
        <v>155</v>
      </c>
      <c r="H14" s="161" t="b">
        <v>1</v>
      </c>
      <c r="I14" s="161" t="s">
        <v>154</v>
      </c>
      <c r="J14" s="160" t="str">
        <f>FamilyName&amp;"YC3M"</f>
        <v>HiborYC3M</v>
      </c>
      <c r="K14" s="159" t="str">
        <f t="shared" si="0"/>
        <v>HkdHibor3M</v>
      </c>
      <c r="L14" s="141" t="str">
        <f>_xll.qlIborIndex($K14,FamilyName,$D14,E14,Currency,F14,G14,H14,I14,Currency&amp;$J14,Permanent,Trigger,ObjectOverwrite)</f>
        <v>HkdHibor3M#0001</v>
      </c>
      <c r="M14" s="158" t="str">
        <f>_xll.qlLastFixingQuote(K14&amp;"LastFixing_Quote",L14,Permanent,Trigger,ObjectOverwrite)</f>
        <v>HkdHibor3MLastFixing_Quote#0001</v>
      </c>
      <c r="N14" s="155" t="str">
        <f>_xll.ohRangeRetrieveError(L14)</f>
        <v/>
      </c>
      <c r="O14" s="12"/>
      <c r="Q14" s="397"/>
      <c r="R14" s="426"/>
      <c r="S14" s="434" t="s">
        <v>106</v>
      </c>
      <c r="T14" s="429" t="str">
        <f t="shared" si="1"/>
        <v>HIHKD3MD=</v>
      </c>
      <c r="U14" s="433">
        <v>41582</v>
      </c>
      <c r="V14" s="432">
        <v>0.38070999999999999</v>
      </c>
      <c r="W14" s="432" t="b">
        <f t="shared" si="2"/>
        <v>1</v>
      </c>
      <c r="X14" s="431" t="b">
        <f>IF($W14,_xll.qlIndexAddFixings($Z14,$U14,$V14/100,TRUE,ISERROR($AA14)),NA())</f>
        <v>1</v>
      </c>
      <c r="Y14" s="421"/>
      <c r="Z14" s="430" t="str">
        <f t="shared" si="7"/>
        <v>HkdHibor3M</v>
      </c>
      <c r="AA14" s="429" t="e">
        <f>_xll.qlIndexFixing($Z14,$U14,TRUE,$W14)</f>
        <v>#NUM!</v>
      </c>
      <c r="AB14" s="429">
        <f>IF($X14,_xll.qlIndexFixing($Z14,$U14,FALSE,$W14),"-")</f>
        <v>3.8070999999999999E-3</v>
      </c>
      <c r="AC14" s="429" t="e">
        <f t="shared" si="3"/>
        <v>#NUM!</v>
      </c>
      <c r="AD14" s="428">
        <f>_xll.qlIndexFixing($Z14,$U14,TRUE,$AB14)</f>
        <v>3.8070999999999999E-3</v>
      </c>
      <c r="AE14" s="427">
        <f t="shared" si="5"/>
        <v>0</v>
      </c>
      <c r="AF14" s="416"/>
      <c r="AG14" s="397"/>
    </row>
    <row r="15" spans="2:33" s="1" customFormat="1" ht="15" x14ac:dyDescent="0.25">
      <c r="B15" s="162"/>
      <c r="C15" s="161" t="s">
        <v>133</v>
      </c>
      <c r="D15" s="161" t="str">
        <f t="shared" si="6"/>
        <v>4M</v>
      </c>
      <c r="E15" s="161">
        <v>0</v>
      </c>
      <c r="F15" s="161" t="s">
        <v>156</v>
      </c>
      <c r="G15" s="161" t="s">
        <v>155</v>
      </c>
      <c r="H15" s="161" t="b">
        <v>1</v>
      </c>
      <c r="I15" s="161" t="s">
        <v>154</v>
      </c>
      <c r="J15" s="160" t="str">
        <f>FamilyName&amp;"YC3M"</f>
        <v>HiborYC3M</v>
      </c>
      <c r="K15" s="159" t="str">
        <f t="shared" si="0"/>
        <v>HkdHibor4M</v>
      </c>
      <c r="L15" s="141" t="str">
        <f>_xll.qlIborIndex($K15,FamilyName,$D15,E15,Currency,F15,G15,H15,I15,Currency&amp;$J15,Permanent,Trigger,ObjectOverwrite)</f>
        <v>HkdHibor4M#0001</v>
      </c>
      <c r="M15" s="158" t="str">
        <f>_xll.qlLastFixingQuote(K15&amp;"LastFixing_Quote",L15,Permanent,Trigger,ObjectOverwrite)</f>
        <v>HkdHibor4MLastFixing_Quote#0001</v>
      </c>
      <c r="N15" s="155" t="str">
        <f>_xll.ohRangeRetrieveError(L15)</f>
        <v/>
      </c>
      <c r="O15" s="12"/>
      <c r="Q15" s="397"/>
      <c r="R15" s="426"/>
      <c r="S15" s="434" t="s">
        <v>133</v>
      </c>
      <c r="T15" s="429" t="str">
        <f t="shared" si="1"/>
        <v>HIHKD4MD=</v>
      </c>
      <c r="U15" s="433">
        <v>41582</v>
      </c>
      <c r="V15" s="432">
        <v>0.41247</v>
      </c>
      <c r="W15" s="432" t="b">
        <f t="shared" si="2"/>
        <v>1</v>
      </c>
      <c r="X15" s="431" t="b">
        <f>IF($W15,_xll.qlIndexAddFixings($Z15,$U15,$V15/100,TRUE,ISERROR($AA15)),NA())</f>
        <v>1</v>
      </c>
      <c r="Y15" s="421"/>
      <c r="Z15" s="430" t="str">
        <f t="shared" si="7"/>
        <v>HkdHibor4M</v>
      </c>
      <c r="AA15" s="429" t="e">
        <f>_xll.qlIndexFixing($Z15,$U15,TRUE,$W15)</f>
        <v>#NUM!</v>
      </c>
      <c r="AB15" s="429">
        <f>IF($X15,_xll.qlIndexFixing($Z15,$U15,FALSE,$W15),"-")</f>
        <v>4.1247000000000002E-3</v>
      </c>
      <c r="AC15" s="429" t="e">
        <f t="shared" si="3"/>
        <v>#NUM!</v>
      </c>
      <c r="AD15" s="428">
        <f>_xll.qlIndexFixing($Z15,$U15,TRUE,$AB15)</f>
        <v>4.1247000000000002E-3</v>
      </c>
      <c r="AE15" s="427">
        <f t="shared" si="5"/>
        <v>0</v>
      </c>
      <c r="AF15" s="416"/>
      <c r="AG15" s="397"/>
    </row>
    <row r="16" spans="2:33" s="1" customFormat="1" ht="15" x14ac:dyDescent="0.25">
      <c r="B16" s="162"/>
      <c r="C16" s="161" t="s">
        <v>132</v>
      </c>
      <c r="D16" s="161" t="str">
        <f t="shared" si="6"/>
        <v>5M</v>
      </c>
      <c r="E16" s="161">
        <v>0</v>
      </c>
      <c r="F16" s="161" t="s">
        <v>156</v>
      </c>
      <c r="G16" s="161" t="s">
        <v>155</v>
      </c>
      <c r="H16" s="161" t="b">
        <v>1</v>
      </c>
      <c r="I16" s="161" t="s">
        <v>154</v>
      </c>
      <c r="J16" s="160" t="str">
        <f>FamilyName&amp;"YC6M"</f>
        <v>HiborYC6M</v>
      </c>
      <c r="K16" s="159" t="str">
        <f t="shared" si="0"/>
        <v>HkdHibor5M</v>
      </c>
      <c r="L16" s="141" t="str">
        <f>_xll.qlIborIndex($K16,FamilyName,$D16,E16,Currency,F16,G16,H16,I16,Currency&amp;$J16,Permanent,Trigger,ObjectOverwrite)</f>
        <v>HkdHibor5M#0001</v>
      </c>
      <c r="M16" s="158" t="str">
        <f>_xll.qlLastFixingQuote(K16&amp;"LastFixing_Quote",L16,Permanent,Trigger,ObjectOverwrite)</f>
        <v>HkdHibor5MLastFixing_Quote#0001</v>
      </c>
      <c r="N16" s="155" t="str">
        <f>_xll.ohRangeRetrieveError(L16)</f>
        <v/>
      </c>
      <c r="O16" s="12"/>
      <c r="Q16" s="397"/>
      <c r="R16" s="426"/>
      <c r="S16" s="434" t="s">
        <v>132</v>
      </c>
      <c r="T16" s="429" t="str">
        <f t="shared" si="1"/>
        <v>HIHKD5MD=</v>
      </c>
      <c r="U16" s="433">
        <v>41582</v>
      </c>
      <c r="V16" s="432">
        <v>0.45571</v>
      </c>
      <c r="W16" s="432" t="b">
        <f t="shared" si="2"/>
        <v>1</v>
      </c>
      <c r="X16" s="431" t="b">
        <f>IF($W16,_xll.qlIndexAddFixings($Z16,$U16,$V16/100,TRUE,ISERROR($AA16)),NA())</f>
        <v>1</v>
      </c>
      <c r="Y16" s="421"/>
      <c r="Z16" s="430" t="str">
        <f t="shared" si="7"/>
        <v>HkdHibor5M</v>
      </c>
      <c r="AA16" s="429" t="e">
        <f>_xll.qlIndexFixing($Z16,$U16,TRUE,$W16)</f>
        <v>#NUM!</v>
      </c>
      <c r="AB16" s="429">
        <f>IF($X16,_xll.qlIndexFixing($Z16,$U16,FALSE,$W16),"-")</f>
        <v>4.5570999999999997E-3</v>
      </c>
      <c r="AC16" s="429" t="e">
        <f t="shared" si="3"/>
        <v>#NUM!</v>
      </c>
      <c r="AD16" s="428">
        <f>_xll.qlIndexFixing($Z16,$U16,TRUE,$AB16)</f>
        <v>4.5570999999999997E-3</v>
      </c>
      <c r="AE16" s="427">
        <f t="shared" si="5"/>
        <v>0</v>
      </c>
      <c r="AF16" s="416"/>
      <c r="AG16" s="397"/>
    </row>
    <row r="17" spans="2:33" s="1" customFormat="1" ht="15" x14ac:dyDescent="0.25">
      <c r="B17" s="162"/>
      <c r="C17" s="161" t="s">
        <v>61</v>
      </c>
      <c r="D17" s="161" t="str">
        <f t="shared" si="6"/>
        <v>6M</v>
      </c>
      <c r="E17" s="161">
        <v>0</v>
      </c>
      <c r="F17" s="161" t="s">
        <v>156</v>
      </c>
      <c r="G17" s="161" t="s">
        <v>155</v>
      </c>
      <c r="H17" s="161" t="b">
        <v>1</v>
      </c>
      <c r="I17" s="161" t="s">
        <v>154</v>
      </c>
      <c r="J17" s="160" t="str">
        <f>FamilyName&amp;"YC6M"</f>
        <v>HiborYC6M</v>
      </c>
      <c r="K17" s="159" t="str">
        <f t="shared" si="0"/>
        <v>HkdHibor6M</v>
      </c>
      <c r="L17" s="141" t="str">
        <f>_xll.qlIborIndex($K17,FamilyName,$D17,E17,Currency,F17,G17,H17,I17,Currency&amp;$J17,Permanent,Trigger,ObjectOverwrite)</f>
        <v>HkdHibor6M#0001</v>
      </c>
      <c r="M17" s="158" t="str">
        <f>_xll.qlLastFixingQuote(K17&amp;"LastFixing_Quote",L17,Permanent,Trigger,ObjectOverwrite)</f>
        <v>HkdHibor6MLastFixing_Quote#0001</v>
      </c>
      <c r="N17" s="155" t="str">
        <f>_xll.ohRangeRetrieveError(L17)</f>
        <v/>
      </c>
      <c r="O17" s="12"/>
      <c r="Q17" s="397"/>
      <c r="R17" s="426"/>
      <c r="S17" s="434" t="s">
        <v>61</v>
      </c>
      <c r="T17" s="429" t="str">
        <f t="shared" si="1"/>
        <v>HIHKD6MD=</v>
      </c>
      <c r="U17" s="433">
        <v>41582</v>
      </c>
      <c r="V17" s="432">
        <v>0.55000000000000004</v>
      </c>
      <c r="W17" s="432" t="b">
        <f t="shared" si="2"/>
        <v>1</v>
      </c>
      <c r="X17" s="431" t="b">
        <f>IF($W17,_xll.qlIndexAddFixings($Z17,$U17,$V17/100,TRUE,ISERROR($AA17)),NA())</f>
        <v>1</v>
      </c>
      <c r="Y17" s="421"/>
      <c r="Z17" s="430" t="str">
        <f t="shared" si="7"/>
        <v>HkdHibor6M</v>
      </c>
      <c r="AA17" s="429" t="e">
        <f>_xll.qlIndexFixing($Z17,$U17,TRUE,$W17)</f>
        <v>#NUM!</v>
      </c>
      <c r="AB17" s="429">
        <f>IF($X17,_xll.qlIndexFixing($Z17,$U17,FALSE,$W17),"-")</f>
        <v>5.5000000000000005E-3</v>
      </c>
      <c r="AC17" s="429" t="e">
        <f t="shared" si="3"/>
        <v>#NUM!</v>
      </c>
      <c r="AD17" s="428">
        <f>_xll.qlIndexFixing($Z17,$U17,TRUE,$AB17)</f>
        <v>5.5000000000000005E-3</v>
      </c>
      <c r="AE17" s="427">
        <f t="shared" si="5"/>
        <v>0</v>
      </c>
      <c r="AF17" s="416"/>
      <c r="AG17" s="397"/>
    </row>
    <row r="18" spans="2:33" s="1" customFormat="1" ht="15" x14ac:dyDescent="0.25">
      <c r="B18" s="162"/>
      <c r="C18" s="161" t="s">
        <v>131</v>
      </c>
      <c r="D18" s="161" t="str">
        <f t="shared" si="6"/>
        <v>7M</v>
      </c>
      <c r="E18" s="161">
        <v>0</v>
      </c>
      <c r="F18" s="161" t="s">
        <v>156</v>
      </c>
      <c r="G18" s="161" t="s">
        <v>155</v>
      </c>
      <c r="H18" s="161" t="b">
        <v>1</v>
      </c>
      <c r="I18" s="161" t="s">
        <v>154</v>
      </c>
      <c r="J18" s="160" t="str">
        <f>FamilyName&amp;"YC6M"</f>
        <v>HiborYC6M</v>
      </c>
      <c r="K18" s="159" t="str">
        <f t="shared" si="0"/>
        <v>HkdHibor7M</v>
      </c>
      <c r="L18" s="141" t="str">
        <f>_xll.qlIborIndex($K18,FamilyName,$D18,E18,Currency,F18,G18,H18,I18,Currency&amp;$J18,Permanent,Trigger,ObjectOverwrite)</f>
        <v>HkdHibor7M#0001</v>
      </c>
      <c r="M18" s="158" t="str">
        <f>_xll.qlLastFixingQuote(K18&amp;"LastFixing_Quote",L18,Permanent,Trigger,ObjectOverwrite)</f>
        <v>HkdHibor7MLastFixing_Quote#0001</v>
      </c>
      <c r="N18" s="155" t="str">
        <f>_xll.ohRangeRetrieveError(L18)</f>
        <v/>
      </c>
      <c r="O18" s="12"/>
      <c r="Q18" s="397"/>
      <c r="R18" s="426"/>
      <c r="S18" s="434" t="s">
        <v>131</v>
      </c>
      <c r="T18" s="429" t="str">
        <f t="shared" si="1"/>
        <v>HIHKD7MD=</v>
      </c>
      <c r="U18" s="433">
        <v>41582</v>
      </c>
      <c r="V18" s="432">
        <v>0.57428999999999997</v>
      </c>
      <c r="W18" s="432" t="b">
        <f t="shared" si="2"/>
        <v>1</v>
      </c>
      <c r="X18" s="431" t="b">
        <f>IF($W18,_xll.qlIndexAddFixings($Z18,$U18,$V18/100,TRUE,ISERROR($AA18)),NA())</f>
        <v>1</v>
      </c>
      <c r="Y18" s="421"/>
      <c r="Z18" s="430" t="str">
        <f t="shared" si="7"/>
        <v>HkdHibor7M</v>
      </c>
      <c r="AA18" s="429" t="e">
        <f>_xll.qlIndexFixing($Z18,$U18,TRUE,$W18)</f>
        <v>#NUM!</v>
      </c>
      <c r="AB18" s="429">
        <f>IF($X18,_xll.qlIndexFixing($Z18,$U18,FALSE,$W18),"-")</f>
        <v>5.7428999999999996E-3</v>
      </c>
      <c r="AC18" s="429" t="e">
        <f t="shared" si="3"/>
        <v>#NUM!</v>
      </c>
      <c r="AD18" s="428">
        <f>_xll.qlIndexFixing($Z18,$U18,TRUE,$AB18)</f>
        <v>5.7428999999999996E-3</v>
      </c>
      <c r="AE18" s="427">
        <f t="shared" si="5"/>
        <v>0</v>
      </c>
      <c r="AF18" s="416"/>
      <c r="AG18" s="397"/>
    </row>
    <row r="19" spans="2:33" s="1" customFormat="1" ht="15" x14ac:dyDescent="0.25">
      <c r="B19" s="162"/>
      <c r="C19" s="161" t="s">
        <v>130</v>
      </c>
      <c r="D19" s="161" t="str">
        <f t="shared" si="6"/>
        <v>8M</v>
      </c>
      <c r="E19" s="161">
        <v>0</v>
      </c>
      <c r="F19" s="161" t="s">
        <v>156</v>
      </c>
      <c r="G19" s="161" t="s">
        <v>155</v>
      </c>
      <c r="H19" s="161" t="b">
        <v>1</v>
      </c>
      <c r="I19" s="161" t="s">
        <v>154</v>
      </c>
      <c r="J19" s="160" t="str">
        <f>FamilyName&amp;"YC6M"</f>
        <v>HiborYC6M</v>
      </c>
      <c r="K19" s="159" t="str">
        <f t="shared" si="0"/>
        <v>HkdHibor8M</v>
      </c>
      <c r="L19" s="141" t="str">
        <f>_xll.qlIborIndex($K19,FamilyName,$D19,E19,Currency,F19,G19,H19,I19,Currency&amp;$J19,Permanent,Trigger,ObjectOverwrite)</f>
        <v>HkdHibor8M#0001</v>
      </c>
      <c r="M19" s="158" t="str">
        <f>_xll.qlLastFixingQuote(K19&amp;"LastFixing_Quote",L19,Permanent,Trigger,ObjectOverwrite)</f>
        <v>HkdHibor8MLastFixing_Quote#0001</v>
      </c>
      <c r="N19" s="155" t="str">
        <f>_xll.ohRangeRetrieveError(L19)</f>
        <v/>
      </c>
      <c r="O19" s="12"/>
      <c r="Q19" s="397"/>
      <c r="R19" s="426"/>
      <c r="S19" s="434" t="s">
        <v>130</v>
      </c>
      <c r="T19" s="429" t="str">
        <f t="shared" si="1"/>
        <v>HIHKD8MD=</v>
      </c>
      <c r="U19" s="433">
        <v>41582</v>
      </c>
      <c r="V19" s="432">
        <v>0.60070999999999997</v>
      </c>
      <c r="W19" s="432" t="b">
        <f t="shared" si="2"/>
        <v>1</v>
      </c>
      <c r="X19" s="431" t="b">
        <f>IF($W19,_xll.qlIndexAddFixings($Z19,$U19,$V19/100,TRUE,ISERROR($AA19)),NA())</f>
        <v>1</v>
      </c>
      <c r="Y19" s="421"/>
      <c r="Z19" s="430" t="str">
        <f t="shared" si="7"/>
        <v>HkdHibor8M</v>
      </c>
      <c r="AA19" s="429" t="e">
        <f>_xll.qlIndexFixing($Z19,$U19,TRUE,$W19)</f>
        <v>#NUM!</v>
      </c>
      <c r="AB19" s="429">
        <f>IF($X19,_xll.qlIndexFixing($Z19,$U19,FALSE,$W19),"-")</f>
        <v>6.0070999999999996E-3</v>
      </c>
      <c r="AC19" s="429" t="e">
        <f t="shared" si="3"/>
        <v>#NUM!</v>
      </c>
      <c r="AD19" s="428">
        <f>_xll.qlIndexFixing($Z19,$U19,TRUE,$AB19)</f>
        <v>6.0070999999999996E-3</v>
      </c>
      <c r="AE19" s="427">
        <f t="shared" si="5"/>
        <v>0</v>
      </c>
      <c r="AF19" s="416"/>
      <c r="AG19" s="397"/>
    </row>
    <row r="20" spans="2:33" s="1" customFormat="1" ht="15" x14ac:dyDescent="0.25">
      <c r="B20" s="162"/>
      <c r="C20" s="161" t="s">
        <v>129</v>
      </c>
      <c r="D20" s="161" t="str">
        <f t="shared" si="6"/>
        <v>9M</v>
      </c>
      <c r="E20" s="161">
        <v>0</v>
      </c>
      <c r="F20" s="161" t="s">
        <v>156</v>
      </c>
      <c r="G20" s="161" t="s">
        <v>155</v>
      </c>
      <c r="H20" s="161" t="b">
        <v>1</v>
      </c>
      <c r="I20" s="161" t="s">
        <v>154</v>
      </c>
      <c r="J20" s="160" t="str">
        <f>FamilyName&amp;"YC1Y"</f>
        <v>HiborYC1Y</v>
      </c>
      <c r="K20" s="159" t="str">
        <f t="shared" si="0"/>
        <v>HkdHibor9M</v>
      </c>
      <c r="L20" s="141" t="str">
        <f>_xll.qlIborIndex($K20,FamilyName,$D20,E20,Currency,F20,G20,H20,I20,Currency&amp;$J20,Permanent,Trigger,ObjectOverwrite)</f>
        <v>HkdHibor9M#0001</v>
      </c>
      <c r="M20" s="158" t="str">
        <f>_xll.qlLastFixingQuote(K20&amp;"LastFixing_Quote",L20,Permanent,Trigger,ObjectOverwrite)</f>
        <v>HkdHibor9MLastFixing_Quote#0001</v>
      </c>
      <c r="N20" s="155" t="str">
        <f>_xll.ohRangeRetrieveError(L20)</f>
        <v/>
      </c>
      <c r="O20" s="12"/>
      <c r="Q20" s="397"/>
      <c r="R20" s="426"/>
      <c r="S20" s="434" t="s">
        <v>129</v>
      </c>
      <c r="T20" s="429" t="str">
        <f t="shared" si="1"/>
        <v>HIHKD9MD=</v>
      </c>
      <c r="U20" s="433">
        <v>41582</v>
      </c>
      <c r="V20" s="432">
        <v>0.63214000000000004</v>
      </c>
      <c r="W20" s="432" t="b">
        <f t="shared" si="2"/>
        <v>1</v>
      </c>
      <c r="X20" s="431" t="b">
        <f>IF($W20,_xll.qlIndexAddFixings($Z20,$U20,$V20/100,TRUE,ISERROR($AA20)),NA())</f>
        <v>1</v>
      </c>
      <c r="Y20" s="421"/>
      <c r="Z20" s="430" t="str">
        <f t="shared" si="7"/>
        <v>HkdHibor9M</v>
      </c>
      <c r="AA20" s="429" t="e">
        <f>_xll.qlIndexFixing($Z20,$U20,TRUE,$W20)</f>
        <v>#NUM!</v>
      </c>
      <c r="AB20" s="429">
        <f>IF($X20,_xll.qlIndexFixing($Z20,$U20,FALSE,$W20),"-")</f>
        <v>6.3214000000000005E-3</v>
      </c>
      <c r="AC20" s="429" t="e">
        <f t="shared" si="3"/>
        <v>#NUM!</v>
      </c>
      <c r="AD20" s="428">
        <f>_xll.qlIndexFixing($Z20,$U20,TRUE,$AB20)</f>
        <v>6.3214000000000005E-3</v>
      </c>
      <c r="AE20" s="427">
        <f t="shared" si="5"/>
        <v>0</v>
      </c>
      <c r="AF20" s="416"/>
      <c r="AG20" s="397"/>
    </row>
    <row r="21" spans="2:33" s="1" customFormat="1" ht="15" x14ac:dyDescent="0.25">
      <c r="B21" s="162"/>
      <c r="C21" s="161" t="s">
        <v>128</v>
      </c>
      <c r="D21" s="161" t="str">
        <f t="shared" si="6"/>
        <v>10M</v>
      </c>
      <c r="E21" s="161">
        <v>0</v>
      </c>
      <c r="F21" s="161" t="s">
        <v>156</v>
      </c>
      <c r="G21" s="161" t="s">
        <v>155</v>
      </c>
      <c r="H21" s="161" t="b">
        <v>1</v>
      </c>
      <c r="I21" s="161" t="s">
        <v>154</v>
      </c>
      <c r="J21" s="160" t="str">
        <f>FamilyName&amp;"YC1Y"</f>
        <v>HiborYC1Y</v>
      </c>
      <c r="K21" s="159" t="str">
        <f t="shared" si="0"/>
        <v>HkdHibor10M</v>
      </c>
      <c r="L21" s="141" t="str">
        <f>_xll.qlIborIndex($K21,FamilyName,$D21,E21,Currency,F21,G21,H21,I21,Currency&amp;$J21,Permanent,Trigger,ObjectOverwrite)</f>
        <v>HkdHibor10M#0001</v>
      </c>
      <c r="M21" s="158" t="str">
        <f>_xll.qlLastFixingQuote(K21&amp;"LastFixing_Quote",L21,Permanent,Trigger,ObjectOverwrite)</f>
        <v>HkdHibor10MLastFixing_Quote#0001</v>
      </c>
      <c r="N21" s="155" t="str">
        <f>_xll.ohRangeRetrieveError(L21)</f>
        <v/>
      </c>
      <c r="O21" s="12"/>
      <c r="Q21" s="397"/>
      <c r="R21" s="426"/>
      <c r="S21" s="434" t="s">
        <v>128</v>
      </c>
      <c r="T21" s="429" t="str">
        <f t="shared" si="1"/>
        <v>HIHKD10MD=</v>
      </c>
      <c r="U21" s="433">
        <v>41582</v>
      </c>
      <c r="V21" s="432">
        <v>0.70992999999999995</v>
      </c>
      <c r="W21" s="432" t="b">
        <f t="shared" si="2"/>
        <v>1</v>
      </c>
      <c r="X21" s="431" t="b">
        <f>IF($W21,_xll.qlIndexAddFixings($Z21,$U21,$V21/100,TRUE,ISERROR($AA21)),NA())</f>
        <v>1</v>
      </c>
      <c r="Y21" s="421"/>
      <c r="Z21" s="430" t="str">
        <f t="shared" si="7"/>
        <v>HkdHibor10M</v>
      </c>
      <c r="AA21" s="429" t="e">
        <f>_xll.qlIndexFixing($Z21,$U21,TRUE,$W21)</f>
        <v>#NUM!</v>
      </c>
      <c r="AB21" s="429">
        <f>IF($X21,_xll.qlIndexFixing($Z21,$U21,FALSE,$W21),"-")</f>
        <v>7.0992999999999994E-3</v>
      </c>
      <c r="AC21" s="429" t="e">
        <f t="shared" si="3"/>
        <v>#NUM!</v>
      </c>
      <c r="AD21" s="428">
        <f>_xll.qlIndexFixing($Z21,$U21,TRUE,$AB21)</f>
        <v>7.0992999999999994E-3</v>
      </c>
      <c r="AE21" s="427">
        <f t="shared" si="5"/>
        <v>0</v>
      </c>
      <c r="AF21" s="416"/>
      <c r="AG21" s="397"/>
    </row>
    <row r="22" spans="2:33" s="1" customFormat="1" ht="15" x14ac:dyDescent="0.25">
      <c r="B22" s="162"/>
      <c r="C22" s="161" t="s">
        <v>127</v>
      </c>
      <c r="D22" s="161" t="str">
        <f t="shared" si="6"/>
        <v>11M</v>
      </c>
      <c r="E22" s="161">
        <v>0</v>
      </c>
      <c r="F22" s="161" t="s">
        <v>156</v>
      </c>
      <c r="G22" s="161" t="s">
        <v>155</v>
      </c>
      <c r="H22" s="161" t="b">
        <v>1</v>
      </c>
      <c r="I22" s="161" t="s">
        <v>154</v>
      </c>
      <c r="J22" s="160" t="str">
        <f>FamilyName&amp;"YC1Y"</f>
        <v>HiborYC1Y</v>
      </c>
      <c r="K22" s="159" t="str">
        <f t="shared" si="0"/>
        <v>HkdHibor11M</v>
      </c>
      <c r="L22" s="141" t="str">
        <f>_xll.qlIborIndex($K22,FamilyName,$D22,E22,Currency,F22,G22,H22,I22,Currency&amp;$J22,Permanent,Trigger,ObjectOverwrite)</f>
        <v>HkdHibor11M#0001</v>
      </c>
      <c r="M22" s="158" t="str">
        <f>_xll.qlLastFixingQuote(K22&amp;"LastFixing_Quote",L22,Permanent,Trigger,ObjectOverwrite)</f>
        <v>HkdHibor11MLastFixing_Quote#0001</v>
      </c>
      <c r="N22" s="155" t="str">
        <f>_xll.ohRangeRetrieveError(L22)</f>
        <v/>
      </c>
      <c r="O22" s="12"/>
      <c r="Q22" s="397"/>
      <c r="R22" s="426"/>
      <c r="S22" s="434" t="s">
        <v>127</v>
      </c>
      <c r="T22" s="429" t="str">
        <f t="shared" si="1"/>
        <v>HIHKD11MD=</v>
      </c>
      <c r="U22" s="433">
        <v>41582</v>
      </c>
      <c r="V22" s="432">
        <v>0.78786</v>
      </c>
      <c r="W22" s="432" t="b">
        <f t="shared" si="2"/>
        <v>1</v>
      </c>
      <c r="X22" s="431" t="b">
        <f>IF($W22,_xll.qlIndexAddFixings($Z22,$U22,$V22/100,TRUE,ISERROR($AA22)),NA())</f>
        <v>1</v>
      </c>
      <c r="Y22" s="421"/>
      <c r="Z22" s="430" t="str">
        <f t="shared" si="7"/>
        <v>HkdHibor11M</v>
      </c>
      <c r="AA22" s="429" t="e">
        <f>_xll.qlIndexFixing($Z22,$U22,TRUE,$W22)</f>
        <v>#NUM!</v>
      </c>
      <c r="AB22" s="429">
        <f>IF($X22,_xll.qlIndexFixing($Z22,$U22,FALSE,$W22),"-")</f>
        <v>7.8785999999999995E-3</v>
      </c>
      <c r="AC22" s="429" t="e">
        <f t="shared" si="3"/>
        <v>#NUM!</v>
      </c>
      <c r="AD22" s="428">
        <f>_xll.qlIndexFixing($Z22,$U22,TRUE,$AB22)</f>
        <v>7.8785999999999995E-3</v>
      </c>
      <c r="AE22" s="427">
        <f t="shared" si="5"/>
        <v>0</v>
      </c>
      <c r="AF22" s="416"/>
      <c r="AG22" s="397"/>
    </row>
    <row r="23" spans="2:33" s="1" customFormat="1" ht="15" x14ac:dyDescent="0.25">
      <c r="B23" s="162"/>
      <c r="C23" s="161" t="s">
        <v>60</v>
      </c>
      <c r="D23" s="161" t="str">
        <f t="shared" si="6"/>
        <v>1Y</v>
      </c>
      <c r="E23" s="161">
        <v>0</v>
      </c>
      <c r="F23" s="161" t="s">
        <v>156</v>
      </c>
      <c r="G23" s="161" t="s">
        <v>155</v>
      </c>
      <c r="H23" s="161" t="b">
        <v>1</v>
      </c>
      <c r="I23" s="161" t="s">
        <v>154</v>
      </c>
      <c r="J23" s="160" t="str">
        <f>FamilyName&amp;"YC1Y"</f>
        <v>HiborYC1Y</v>
      </c>
      <c r="K23" s="159" t="str">
        <f t="shared" si="0"/>
        <v>HkdHibor1Y</v>
      </c>
      <c r="L23" s="141" t="str">
        <f>_xll.qlIborIndex($K23,FamilyName,$D23,E23,Currency,F23,G23,H23,I23,Currency&amp;$J23,Permanent,Trigger,ObjectOverwrite)</f>
        <v>HkdHibor1Y#0001</v>
      </c>
      <c r="M23" s="158" t="str">
        <f>_xll.qlLastFixingQuote(K23&amp;"LastFixing_Quote",L23,Permanent,Trigger,ObjectOverwrite)</f>
        <v>HkdHibor1YLastFixing_Quote#0001</v>
      </c>
      <c r="N23" s="155" t="str">
        <f>_xll.ohRangeRetrieveError(L23)</f>
        <v/>
      </c>
      <c r="O23" s="12"/>
      <c r="Q23" s="397"/>
      <c r="R23" s="426"/>
      <c r="S23" s="425" t="s">
        <v>60</v>
      </c>
      <c r="T23" s="419" t="str">
        <f t="shared" si="1"/>
        <v>HIHKD1YD=</v>
      </c>
      <c r="U23" s="424">
        <v>41582</v>
      </c>
      <c r="V23" s="423">
        <v>0.87143000000000004</v>
      </c>
      <c r="W23" s="423" t="b">
        <f t="shared" si="2"/>
        <v>1</v>
      </c>
      <c r="X23" s="422" t="b">
        <f>IF($W23,_xll.qlIndexAddFixings($Z23,$U23,$V23/100,TRUE,ISERROR($AA23)),NA())</f>
        <v>1</v>
      </c>
      <c r="Y23" s="421"/>
      <c r="Z23" s="420" t="str">
        <f t="shared" si="7"/>
        <v>HkdHibor1Y</v>
      </c>
      <c r="AA23" s="419" t="e">
        <f>_xll.qlIndexFixing($Z23,$U23,TRUE,$W23)</f>
        <v>#NUM!</v>
      </c>
      <c r="AB23" s="419">
        <f>IF($X23,_xll.qlIndexFixing($Z23,$U23,FALSE,$W23),"-")</f>
        <v>8.7143000000000012E-3</v>
      </c>
      <c r="AC23" s="419" t="e">
        <f t="shared" si="3"/>
        <v>#NUM!</v>
      </c>
      <c r="AD23" s="418">
        <f>_xll.qlIndexFixing($Z23,$U23,TRUE,$AB23)</f>
        <v>8.7143000000000012E-3</v>
      </c>
      <c r="AE23" s="417">
        <f t="shared" si="5"/>
        <v>0</v>
      </c>
      <c r="AF23" s="416"/>
      <c r="AG23" s="397"/>
    </row>
    <row r="24" spans="2:33" s="1" customFormat="1" ht="15.75" thickBot="1" x14ac:dyDescent="0.3">
      <c r="B24" s="4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2"/>
      <c r="Q24" s="397"/>
      <c r="R24" s="415"/>
      <c r="S24" s="412"/>
      <c r="T24" s="412"/>
      <c r="U24" s="414"/>
      <c r="V24" s="413"/>
      <c r="W24" s="413"/>
      <c r="X24" s="412"/>
      <c r="Y24" s="412"/>
      <c r="Z24" s="412"/>
      <c r="AA24" s="412"/>
      <c r="AB24" s="412"/>
      <c r="AC24" s="412"/>
      <c r="AD24" s="412"/>
      <c r="AE24" s="412"/>
      <c r="AF24" s="411"/>
      <c r="AG24" s="397"/>
    </row>
    <row r="25" spans="2:33" s="1" customFormat="1" ht="15.75" thickBot="1" x14ac:dyDescent="0.3">
      <c r="Q25" s="397"/>
      <c r="R25" s="397"/>
      <c r="S25" s="397"/>
      <c r="T25" s="397"/>
      <c r="U25" s="410"/>
      <c r="V25" s="409"/>
      <c r="W25" s="409"/>
      <c r="X25" s="397"/>
      <c r="Y25" s="397"/>
      <c r="Z25" s="397"/>
      <c r="AA25" s="397"/>
      <c r="AB25" s="397"/>
      <c r="AC25" s="397"/>
      <c r="AD25" s="397"/>
      <c r="AE25" s="397"/>
      <c r="AF25" s="397"/>
      <c r="AG25" s="397"/>
    </row>
    <row r="26" spans="2:33" ht="15" x14ac:dyDescent="0.25">
      <c r="Q26" s="397"/>
      <c r="R26" s="397"/>
      <c r="S26" s="408" t="s">
        <v>55</v>
      </c>
      <c r="T26" s="407" t="s">
        <v>206</v>
      </c>
      <c r="U26" s="406" t="s">
        <v>205</v>
      </c>
      <c r="V26" s="405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</row>
    <row r="27" spans="2:33" ht="15" x14ac:dyDescent="0.25">
      <c r="Q27" s="397"/>
      <c r="R27" s="397"/>
      <c r="S27" s="403" t="s">
        <v>53</v>
      </c>
      <c r="T27" s="402" t="s">
        <v>206</v>
      </c>
      <c r="U27" s="401" t="s">
        <v>205</v>
      </c>
      <c r="V27" s="397"/>
      <c r="W27" s="397"/>
      <c r="X27" s="397"/>
      <c r="Y27" s="397"/>
      <c r="Z27" s="404"/>
      <c r="AA27" s="397"/>
      <c r="AB27" s="397"/>
      <c r="AC27" s="397"/>
      <c r="AD27" s="397"/>
      <c r="AE27" s="397"/>
      <c r="AF27" s="397"/>
      <c r="AG27" s="397"/>
    </row>
    <row r="28" spans="2:33" ht="15" x14ac:dyDescent="0.25">
      <c r="Q28" s="397"/>
      <c r="R28" s="397"/>
      <c r="S28" s="403" t="s">
        <v>4</v>
      </c>
      <c r="T28" s="268" t="s">
        <v>203</v>
      </c>
      <c r="U28" s="214" t="s">
        <v>152</v>
      </c>
      <c r="V28" s="397"/>
      <c r="W28" s="397"/>
      <c r="X28" s="397"/>
      <c r="Y28" s="397"/>
      <c r="Z28" s="404"/>
      <c r="AA28" s="397"/>
      <c r="AB28" s="397"/>
      <c r="AC28" s="397"/>
      <c r="AD28" s="397"/>
      <c r="AE28" s="397"/>
      <c r="AF28" s="397"/>
      <c r="AG28" s="397"/>
    </row>
    <row r="29" spans="2:33" ht="15" x14ac:dyDescent="0.25">
      <c r="Q29" s="397"/>
      <c r="R29" s="397"/>
      <c r="S29" s="403" t="s">
        <v>269</v>
      </c>
      <c r="T29" s="402" t="s">
        <v>206</v>
      </c>
      <c r="U29" s="401" t="s">
        <v>205</v>
      </c>
      <c r="V29" s="397"/>
      <c r="W29" s="397"/>
      <c r="X29" s="397"/>
      <c r="Y29" s="397"/>
      <c r="Z29" s="404"/>
      <c r="AA29" s="397"/>
      <c r="AB29" s="397"/>
      <c r="AC29" s="397"/>
      <c r="AD29" s="397"/>
      <c r="AE29" s="397"/>
      <c r="AF29" s="397"/>
      <c r="AG29" s="397"/>
    </row>
    <row r="30" spans="2:33" ht="15" x14ac:dyDescent="0.25">
      <c r="Q30" s="397"/>
      <c r="R30" s="397"/>
      <c r="S30" s="403" t="s">
        <v>49</v>
      </c>
      <c r="T30" s="402" t="s">
        <v>206</v>
      </c>
      <c r="U30" s="401" t="s">
        <v>205</v>
      </c>
      <c r="V30" s="397"/>
      <c r="W30" s="397"/>
      <c r="X30" s="397"/>
      <c r="Y30" s="397"/>
      <c r="Z30" s="397"/>
      <c r="AA30" s="397"/>
      <c r="AB30" s="397"/>
      <c r="AC30" s="397"/>
      <c r="AD30" s="397"/>
      <c r="AE30" s="397"/>
      <c r="AF30" s="397"/>
      <c r="AG30" s="397"/>
    </row>
    <row r="31" spans="2:33" ht="15" x14ac:dyDescent="0.25">
      <c r="Q31" s="397"/>
      <c r="R31" s="397"/>
      <c r="S31" s="403" t="s">
        <v>47</v>
      </c>
      <c r="T31" s="402" t="s">
        <v>206</v>
      </c>
      <c r="U31" s="401" t="s">
        <v>205</v>
      </c>
      <c r="V31" s="397"/>
      <c r="W31" s="397"/>
      <c r="X31" s="397"/>
      <c r="Y31" s="397"/>
      <c r="Z31" s="397"/>
      <c r="AA31" s="397"/>
      <c r="AB31" s="397"/>
      <c r="AC31" s="397"/>
      <c r="AD31" s="397"/>
      <c r="AE31" s="397"/>
      <c r="AF31" s="397"/>
      <c r="AG31" s="397"/>
    </row>
    <row r="32" spans="2:33" ht="15.75" thickBot="1" x14ac:dyDescent="0.3">
      <c r="Q32" s="397"/>
      <c r="R32" s="397"/>
      <c r="S32" s="400" t="s">
        <v>44</v>
      </c>
      <c r="T32" s="399" t="s">
        <v>206</v>
      </c>
      <c r="U32" s="398" t="s">
        <v>205</v>
      </c>
      <c r="V32" s="397"/>
      <c r="W32" s="397"/>
      <c r="X32" s="397"/>
      <c r="Y32" s="397"/>
      <c r="Z32" s="397"/>
      <c r="AA32" s="397"/>
      <c r="AB32" s="397"/>
      <c r="AC32" s="397"/>
      <c r="AD32" s="397"/>
      <c r="AE32" s="397"/>
      <c r="AF32" s="397"/>
      <c r="AG32" s="397"/>
    </row>
    <row r="33" spans="17:33" ht="15" x14ac:dyDescent="0.25">
      <c r="Q33" s="397"/>
      <c r="R33" s="397"/>
      <c r="S33" s="397"/>
      <c r="T33" s="397"/>
      <c r="U33" s="397"/>
      <c r="V33" s="397"/>
      <c r="W33" s="397"/>
      <c r="X33" s="397"/>
      <c r="Y33" s="397"/>
      <c r="Z33" s="397"/>
      <c r="AA33" s="397"/>
      <c r="AB33" s="397"/>
      <c r="AC33" s="397"/>
      <c r="AD33" s="397"/>
      <c r="AE33" s="397"/>
      <c r="AF33" s="397"/>
      <c r="AG33" s="397"/>
    </row>
  </sheetData>
  <conditionalFormatting sqref="AC6:AC23">
    <cfRule type="cellIs" dxfId="2" priority="1" stopIfTrue="1" operator="greaterThan">
      <formula>0</formula>
    </cfRule>
    <cfRule type="cellIs" dxfId="1" priority="2" stopIfTrue="1" operator="lessThan">
      <formula>0</formula>
    </cfRule>
  </conditionalFormatting>
  <dataValidations count="2">
    <dataValidation type="list" allowBlank="1" showInputMessage="1" showErrorMessage="1" sqref="G6:G23">
      <formula1>"Following,Modified Following,Preceding,Modified Preceding,Unadjusted"</formula1>
    </dataValidation>
    <dataValidation type="list" allowBlank="1" showInputMessage="1" showErrorMessage="1" sqref="I6:I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E11"/>
  <sheetViews>
    <sheetView workbookViewId="0"/>
  </sheetViews>
  <sheetFormatPr defaultColWidth="8" defaultRowHeight="11.25" x14ac:dyDescent="0.2"/>
  <cols>
    <col min="1" max="1" width="6.140625" style="1" customWidth="1"/>
    <col min="2" max="2" width="4.28515625" style="1" customWidth="1"/>
    <col min="3" max="3" width="15.5703125" style="1" bestFit="1" customWidth="1"/>
    <col min="4" max="4" width="83" style="1" bestFit="1" customWidth="1"/>
    <col min="5" max="5" width="4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62" t="s">
        <v>149</v>
      </c>
      <c r="C2" s="463"/>
      <c r="D2" s="463"/>
      <c r="E2" s="464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5</v>
      </c>
      <c r="D5" s="157" t="s">
        <v>4</v>
      </c>
      <c r="E5" s="5"/>
    </row>
    <row r="6" spans="1:5" s="14" customFormat="1" ht="12.75" x14ac:dyDescent="0.2">
      <c r="A6" s="15"/>
      <c r="B6" s="8"/>
      <c r="C6" s="7" t="s">
        <v>11</v>
      </c>
      <c r="D6" s="11" t="b">
        <v>1</v>
      </c>
      <c r="E6" s="5"/>
    </row>
    <row r="7" spans="1:5" s="14" customFormat="1" ht="12.75" x14ac:dyDescent="0.2">
      <c r="A7" s="15"/>
      <c r="B7" s="8"/>
      <c r="C7" s="7" t="s">
        <v>10</v>
      </c>
      <c r="D7" s="11" t="b">
        <v>0</v>
      </c>
      <c r="E7" s="5"/>
    </row>
    <row r="8" spans="1:5" s="14" customFormat="1" ht="12.75" x14ac:dyDescent="0.2">
      <c r="A8" s="15"/>
      <c r="B8" s="8"/>
      <c r="C8" s="7" t="s">
        <v>9</v>
      </c>
      <c r="D8" s="11" t="b">
        <v>1</v>
      </c>
      <c r="E8" s="5"/>
    </row>
    <row r="9" spans="1:5" s="14" customFormat="1" ht="12.75" x14ac:dyDescent="0.2">
      <c r="A9" s="15"/>
      <c r="B9" s="8"/>
      <c r="C9" s="7" t="s">
        <v>8</v>
      </c>
      <c r="D9" s="16" t="str">
        <f ca="1">SUBSTITUTE(LEFT(CELL("filename",A1),FIND("[",CELL("filename",A1),1)-1),"\XLS\","\XML\")</f>
        <v>C:\Projects\quantlib\QuantLibXL\Data2\</v>
      </c>
      <c r="E9" s="5"/>
    </row>
    <row r="10" spans="1:5" s="14" customFormat="1" ht="12.75" x14ac:dyDescent="0.2">
      <c r="A10" s="15"/>
      <c r="B10" s="8"/>
      <c r="C10" s="7" t="s">
        <v>7</v>
      </c>
      <c r="D10" s="10" t="b">
        <v>1</v>
      </c>
      <c r="E10" s="5"/>
    </row>
    <row r="11" spans="1:5" s="14" customFormat="1" ht="13.5" thickBot="1" x14ac:dyDescent="0.25">
      <c r="A11" s="15"/>
      <c r="B11" s="4"/>
      <c r="C11" s="3"/>
      <c r="D11" s="3"/>
      <c r="E11" s="2"/>
    </row>
  </sheetData>
  <mergeCells count="1">
    <mergeCell ref="B2:E2"/>
  </mergeCells>
  <dataValidations count="1">
    <dataValidation type="list" allowBlank="1" showInputMessage="1" showErrorMessage="1" sqref="D5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C5"/>
  <sheetViews>
    <sheetView workbookViewId="0"/>
  </sheetViews>
  <sheetFormatPr defaultRowHeight="12.75" x14ac:dyDescent="0.2"/>
  <cols>
    <col min="1" max="16384" width="9.140625" style="40"/>
  </cols>
  <sheetData>
    <row r="2" spans="2:3" x14ac:dyDescent="0.2">
      <c r="B2" s="40" t="s">
        <v>150</v>
      </c>
    </row>
    <row r="3" spans="2:3" x14ac:dyDescent="0.2">
      <c r="B3" s="40" t="s">
        <v>104</v>
      </c>
      <c r="C3" s="396" t="s">
        <v>266</v>
      </c>
    </row>
    <row r="4" spans="2:3" x14ac:dyDescent="0.2">
      <c r="B4" s="40" t="s">
        <v>106</v>
      </c>
      <c r="C4" s="396" t="s">
        <v>267</v>
      </c>
    </row>
    <row r="5" spans="2:3" x14ac:dyDescent="0.2">
      <c r="B5" s="40" t="s">
        <v>61</v>
      </c>
      <c r="C5" s="396" t="s">
        <v>268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J57"/>
  <sheetViews>
    <sheetView tabSelected="1" workbookViewId="0">
      <selection activeCell="M15" sqref="M15"/>
    </sheetView>
  </sheetViews>
  <sheetFormatPr defaultRowHeight="12.75" x14ac:dyDescent="0.2"/>
  <cols>
    <col min="1" max="1" width="3" style="395" customWidth="1"/>
    <col min="2" max="2" width="5.140625" style="395" customWidth="1"/>
    <col min="3" max="3" width="14.85546875" style="395" bestFit="1" customWidth="1"/>
    <col min="4" max="4" width="21.42578125" style="395" bestFit="1" customWidth="1"/>
    <col min="5" max="5" width="20.7109375" style="395" bestFit="1" customWidth="1"/>
    <col min="6" max="6" width="5.42578125" style="395" customWidth="1"/>
    <col min="7" max="16384" width="9.140625" style="395"/>
  </cols>
  <sheetData>
    <row r="1" spans="1:36" s="365" customFormat="1" ht="13.5" thickBot="1" x14ac:dyDescent="0.25">
      <c r="B1" s="365" t="str">
        <f>_xll.qlxlVersion(TRUE,Trigger)</f>
        <v>QuantLibXL 1.3.0 - MS VC++ 9.0 - Multithreaded Static Runtime library - Release Configuration - Nov 12 2013 12:02:30</v>
      </c>
    </row>
    <row r="2" spans="1:36" s="365" customFormat="1" ht="15.75" x14ac:dyDescent="0.25">
      <c r="B2" s="457" t="s">
        <v>256</v>
      </c>
      <c r="C2" s="458"/>
      <c r="D2" s="458"/>
      <c r="E2" s="458"/>
      <c r="F2" s="459"/>
    </row>
    <row r="3" spans="1:36" s="40" customFormat="1" x14ac:dyDescent="0.2">
      <c r="A3" s="365"/>
      <c r="B3" s="366"/>
      <c r="C3" s="367"/>
      <c r="D3" s="367"/>
      <c r="E3" s="367"/>
      <c r="F3" s="368"/>
      <c r="G3" s="365"/>
      <c r="H3" s="365"/>
      <c r="I3" s="365"/>
      <c r="J3" s="365"/>
      <c r="K3" s="365"/>
      <c r="L3" s="365"/>
      <c r="M3" s="365"/>
      <c r="N3" s="365"/>
      <c r="O3" s="365"/>
      <c r="P3" s="365"/>
      <c r="Q3" s="365"/>
      <c r="R3" s="365"/>
      <c r="S3" s="365"/>
      <c r="T3" s="365"/>
      <c r="U3" s="365"/>
      <c r="V3" s="365"/>
      <c r="W3" s="365"/>
      <c r="X3" s="365"/>
      <c r="Y3" s="365"/>
      <c r="Z3" s="365"/>
      <c r="AA3" s="365"/>
      <c r="AB3" s="365"/>
      <c r="AC3" s="365"/>
      <c r="AD3" s="365"/>
      <c r="AE3" s="365"/>
      <c r="AF3" s="365"/>
      <c r="AG3" s="365"/>
      <c r="AH3" s="365"/>
      <c r="AI3" s="365"/>
      <c r="AJ3" s="365"/>
    </row>
    <row r="4" spans="1:36" s="40" customFormat="1" x14ac:dyDescent="0.2">
      <c r="A4" s="365"/>
      <c r="B4" s="366"/>
      <c r="C4" s="369" t="s">
        <v>5</v>
      </c>
      <c r="D4" s="370" t="s">
        <v>4</v>
      </c>
      <c r="E4" s="371"/>
      <c r="F4" s="372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</row>
    <row r="5" spans="1:36" s="40" customFormat="1" x14ac:dyDescent="0.2">
      <c r="A5" s="365"/>
      <c r="B5" s="366"/>
      <c r="C5" s="373" t="s">
        <v>12</v>
      </c>
      <c r="D5" s="374"/>
      <c r="E5" s="371"/>
      <c r="F5" s="372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</row>
    <row r="6" spans="1:36" s="40" customFormat="1" x14ac:dyDescent="0.2">
      <c r="A6" s="365"/>
      <c r="B6" s="366"/>
      <c r="C6" s="373" t="s">
        <v>257</v>
      </c>
      <c r="D6" s="375" t="s">
        <v>258</v>
      </c>
      <c r="E6" s="371"/>
      <c r="F6" s="372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</row>
    <row r="7" spans="1:36" s="40" customFormat="1" x14ac:dyDescent="0.2">
      <c r="A7" s="365"/>
      <c r="B7" s="366"/>
      <c r="C7" s="373" t="s">
        <v>259</v>
      </c>
      <c r="D7" s="376" t="e">
        <f>_xll.ohTrigger(Deposits!Q3,FRA!X3,Futures3M!AA4,FuturesHWConvAdj!R3,Swaps1M!Z3,Swap3M!AD3,#REF!,#REF!,BasisSwap1M3M!AD3,BasisSwap3M6M!AD3,#REF!,OIS!Z3)</f>
        <v>#NUM!</v>
      </c>
      <c r="E7" s="371"/>
      <c r="F7" s="372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</row>
    <row r="8" spans="1:36" s="40" customFormat="1" x14ac:dyDescent="0.2">
      <c r="A8" s="365"/>
      <c r="B8" s="366"/>
      <c r="C8" s="377" t="s">
        <v>260</v>
      </c>
      <c r="D8" s="378" t="s">
        <v>261</v>
      </c>
      <c r="E8" s="371"/>
      <c r="F8" s="372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  <c r="AD8" s="365"/>
      <c r="AE8" s="365"/>
      <c r="AF8" s="365"/>
      <c r="AG8" s="365"/>
      <c r="AH8" s="365"/>
      <c r="AI8" s="365"/>
      <c r="AJ8" s="365"/>
    </row>
    <row r="9" spans="1:36" s="40" customFormat="1" x14ac:dyDescent="0.2">
      <c r="A9" s="365"/>
      <c r="B9" s="366"/>
      <c r="C9" s="371"/>
      <c r="D9" s="379"/>
      <c r="E9" s="371"/>
      <c r="F9" s="372"/>
      <c r="G9" s="365"/>
      <c r="H9" s="365"/>
      <c r="I9" s="365"/>
      <c r="J9" s="365"/>
      <c r="K9" s="365"/>
      <c r="L9" s="365"/>
      <c r="M9" s="365"/>
      <c r="N9" s="365"/>
      <c r="O9" s="365"/>
      <c r="P9" s="365"/>
      <c r="Q9" s="365"/>
      <c r="R9" s="365"/>
      <c r="S9" s="365"/>
      <c r="T9" s="365"/>
      <c r="U9" s="365"/>
      <c r="V9" s="365"/>
      <c r="W9" s="365"/>
      <c r="X9" s="365"/>
      <c r="Y9" s="365"/>
      <c r="Z9" s="365"/>
      <c r="AA9" s="365"/>
      <c r="AB9" s="365"/>
      <c r="AC9" s="365"/>
      <c r="AD9" s="365"/>
      <c r="AE9" s="365"/>
      <c r="AF9" s="365"/>
      <c r="AG9" s="365"/>
      <c r="AH9" s="365"/>
      <c r="AI9" s="365"/>
      <c r="AJ9" s="365"/>
    </row>
    <row r="10" spans="1:36" s="40" customFormat="1" x14ac:dyDescent="0.2">
      <c r="A10" s="365"/>
      <c r="B10" s="366"/>
      <c r="C10" s="380" t="s">
        <v>196</v>
      </c>
      <c r="D10" s="381" t="s">
        <v>262</v>
      </c>
      <c r="E10" s="371"/>
      <c r="F10" s="372"/>
      <c r="G10" s="365"/>
      <c r="H10" s="365"/>
      <c r="I10" s="365"/>
      <c r="J10" s="365"/>
      <c r="K10" s="365"/>
      <c r="L10" s="365"/>
      <c r="M10" s="365"/>
      <c r="N10" s="365"/>
      <c r="O10" s="365"/>
      <c r="P10" s="365"/>
      <c r="Q10" s="365"/>
      <c r="R10" s="365"/>
      <c r="S10" s="365"/>
      <c r="T10" s="365"/>
      <c r="U10" s="365"/>
      <c r="V10" s="365"/>
      <c r="W10" s="365"/>
      <c r="X10" s="365"/>
      <c r="Y10" s="365"/>
      <c r="Z10" s="365"/>
      <c r="AA10" s="365"/>
      <c r="AB10" s="365"/>
      <c r="AC10" s="365"/>
      <c r="AD10" s="365"/>
      <c r="AE10" s="365"/>
      <c r="AF10" s="365"/>
      <c r="AG10" s="365"/>
      <c r="AH10" s="365"/>
      <c r="AI10" s="365"/>
      <c r="AJ10" s="365"/>
    </row>
    <row r="11" spans="1:36" s="40" customFormat="1" x14ac:dyDescent="0.2">
      <c r="A11" s="365"/>
      <c r="B11" s="366"/>
      <c r="C11" s="382" t="s">
        <v>209</v>
      </c>
      <c r="D11" s="383" t="str">
        <f>""</f>
        <v/>
      </c>
      <c r="E11" s="371"/>
      <c r="F11" s="372"/>
      <c r="G11" s="365"/>
      <c r="H11" s="365"/>
      <c r="I11" s="365"/>
      <c r="J11" s="365"/>
      <c r="K11" s="365"/>
      <c r="L11" s="365"/>
      <c r="M11" s="365"/>
      <c r="N11" s="365"/>
      <c r="O11" s="365"/>
      <c r="P11" s="365"/>
      <c r="Q11" s="365"/>
      <c r="R11" s="365"/>
      <c r="S11" s="365"/>
      <c r="T11" s="365"/>
      <c r="U11" s="365"/>
      <c r="V11" s="365"/>
      <c r="W11" s="365"/>
      <c r="X11" s="365"/>
      <c r="Y11" s="365"/>
      <c r="Z11" s="365"/>
      <c r="AA11" s="365"/>
      <c r="AB11" s="365"/>
      <c r="AC11" s="365"/>
      <c r="AD11" s="365"/>
      <c r="AE11" s="365"/>
      <c r="AF11" s="365"/>
      <c r="AG11" s="365"/>
      <c r="AH11" s="365"/>
      <c r="AI11" s="365"/>
      <c r="AJ11" s="365"/>
    </row>
    <row r="12" spans="1:36" s="40" customFormat="1" x14ac:dyDescent="0.2">
      <c r="A12" s="365"/>
      <c r="B12" s="366"/>
      <c r="C12" s="382" t="s">
        <v>210</v>
      </c>
      <c r="D12" s="383" t="s">
        <v>211</v>
      </c>
      <c r="E12" s="384"/>
      <c r="F12" s="372"/>
      <c r="G12" s="365"/>
      <c r="H12" s="365"/>
      <c r="I12" s="365"/>
      <c r="J12" s="365"/>
      <c r="K12" s="365"/>
      <c r="L12" s="365"/>
      <c r="M12" s="365"/>
      <c r="N12" s="365"/>
      <c r="O12" s="365"/>
      <c r="P12" s="365"/>
      <c r="Q12" s="365"/>
      <c r="R12" s="365"/>
      <c r="S12" s="365"/>
      <c r="T12" s="365"/>
      <c r="U12" s="365"/>
      <c r="V12" s="365"/>
      <c r="W12" s="365"/>
      <c r="X12" s="365"/>
      <c r="Y12" s="365"/>
      <c r="Z12" s="365"/>
      <c r="AA12" s="365"/>
      <c r="AB12" s="365"/>
      <c r="AC12" s="365"/>
      <c r="AD12" s="365"/>
      <c r="AE12" s="365"/>
      <c r="AF12" s="365"/>
      <c r="AG12" s="365"/>
      <c r="AH12" s="365"/>
      <c r="AI12" s="365"/>
      <c r="AJ12" s="365"/>
    </row>
    <row r="13" spans="1:36" s="40" customFormat="1" x14ac:dyDescent="0.2">
      <c r="A13" s="365"/>
      <c r="B13" s="366"/>
      <c r="C13" s="382" t="s">
        <v>212</v>
      </c>
      <c r="D13" s="383" t="s">
        <v>212</v>
      </c>
      <c r="E13" s="384"/>
      <c r="F13" s="372"/>
      <c r="G13" s="365"/>
      <c r="H13" s="365"/>
      <c r="I13" s="365"/>
      <c r="J13" s="365"/>
      <c r="K13" s="365"/>
      <c r="L13" s="365"/>
      <c r="M13" s="365"/>
      <c r="N13" s="365"/>
      <c r="O13" s="365"/>
      <c r="P13" s="365"/>
      <c r="Q13" s="365"/>
      <c r="R13" s="365"/>
      <c r="S13" s="365"/>
      <c r="T13" s="365"/>
      <c r="U13" s="365"/>
      <c r="V13" s="365"/>
      <c r="W13" s="365"/>
      <c r="X13" s="365"/>
      <c r="Y13" s="365"/>
      <c r="Z13" s="365"/>
      <c r="AA13" s="365"/>
      <c r="AB13" s="365"/>
      <c r="AC13" s="365"/>
      <c r="AD13" s="365"/>
      <c r="AE13" s="365"/>
      <c r="AF13" s="365"/>
      <c r="AG13" s="365"/>
      <c r="AH13" s="365"/>
      <c r="AI13" s="365"/>
      <c r="AJ13" s="365"/>
    </row>
    <row r="14" spans="1:36" s="40" customFormat="1" x14ac:dyDescent="0.2">
      <c r="A14" s="365"/>
      <c r="B14" s="366"/>
      <c r="C14" s="382" t="s">
        <v>255</v>
      </c>
      <c r="D14" s="383" t="s">
        <v>255</v>
      </c>
      <c r="E14" s="384"/>
      <c r="F14" s="372"/>
      <c r="G14" s="365"/>
      <c r="H14" s="365"/>
      <c r="I14" s="365"/>
      <c r="J14" s="365"/>
      <c r="K14" s="365"/>
      <c r="L14" s="365"/>
      <c r="M14" s="365"/>
      <c r="N14" s="365"/>
      <c r="O14" s="365"/>
      <c r="P14" s="365"/>
      <c r="Q14" s="365"/>
      <c r="R14" s="365"/>
      <c r="S14" s="365"/>
      <c r="T14" s="365"/>
      <c r="U14" s="365"/>
      <c r="V14" s="365"/>
      <c r="W14" s="365"/>
      <c r="X14" s="365"/>
      <c r="Y14" s="365"/>
      <c r="Z14" s="365"/>
      <c r="AA14" s="365"/>
      <c r="AB14" s="365"/>
      <c r="AC14" s="365"/>
      <c r="AD14" s="365"/>
      <c r="AE14" s="365"/>
      <c r="AF14" s="365"/>
      <c r="AG14" s="365"/>
      <c r="AH14" s="365"/>
      <c r="AI14" s="365"/>
      <c r="AJ14" s="365"/>
    </row>
    <row r="15" spans="1:36" s="40" customFormat="1" x14ac:dyDescent="0.2">
      <c r="A15" s="365"/>
      <c r="B15" s="366"/>
      <c r="C15" s="382" t="s">
        <v>213</v>
      </c>
      <c r="D15" s="383" t="s">
        <v>214</v>
      </c>
      <c r="E15" s="384"/>
      <c r="F15" s="372"/>
      <c r="G15" s="365"/>
      <c r="H15" s="365"/>
      <c r="I15" s="365"/>
      <c r="J15" s="365"/>
      <c r="K15" s="365"/>
      <c r="L15" s="365"/>
      <c r="M15" s="365"/>
      <c r="N15" s="365"/>
      <c r="O15" s="365"/>
      <c r="P15" s="365"/>
      <c r="Q15" s="365"/>
      <c r="R15" s="365"/>
      <c r="S15" s="365"/>
      <c r="T15" s="365"/>
      <c r="U15" s="365"/>
      <c r="V15" s="365"/>
      <c r="W15" s="365"/>
      <c r="X15" s="365"/>
      <c r="Y15" s="365"/>
      <c r="Z15" s="365"/>
      <c r="AA15" s="365"/>
      <c r="AB15" s="365"/>
      <c r="AC15" s="365"/>
      <c r="AD15" s="365"/>
      <c r="AE15" s="365"/>
      <c r="AF15" s="365"/>
      <c r="AG15" s="365"/>
      <c r="AH15" s="365"/>
      <c r="AI15" s="365"/>
      <c r="AJ15" s="365"/>
    </row>
    <row r="16" spans="1:36" s="40" customFormat="1" x14ac:dyDescent="0.2">
      <c r="A16" s="365"/>
      <c r="B16" s="366"/>
      <c r="C16" s="382" t="s">
        <v>215</v>
      </c>
      <c r="D16" s="383" t="s">
        <v>216</v>
      </c>
      <c r="E16" s="384"/>
      <c r="F16" s="372"/>
      <c r="G16" s="365"/>
      <c r="H16" s="365"/>
      <c r="I16" s="365"/>
      <c r="J16" s="365"/>
      <c r="K16" s="365"/>
      <c r="L16" s="365"/>
      <c r="M16" s="365"/>
      <c r="N16" s="365"/>
      <c r="O16" s="365"/>
      <c r="P16" s="365"/>
      <c r="Q16" s="365"/>
      <c r="R16" s="365"/>
      <c r="S16" s="365"/>
      <c r="T16" s="365"/>
      <c r="U16" s="365"/>
      <c r="V16" s="365"/>
      <c r="W16" s="365"/>
      <c r="X16" s="365"/>
      <c r="Y16" s="365"/>
      <c r="Z16" s="365"/>
      <c r="AA16" s="365"/>
      <c r="AB16" s="365"/>
      <c r="AC16" s="365"/>
      <c r="AD16" s="365"/>
      <c r="AE16" s="365"/>
      <c r="AF16" s="365"/>
      <c r="AG16" s="365"/>
      <c r="AH16" s="365"/>
      <c r="AI16" s="365"/>
      <c r="AJ16" s="365"/>
    </row>
    <row r="17" spans="1:36" s="40" customFormat="1" x14ac:dyDescent="0.2">
      <c r="A17" s="365"/>
      <c r="B17" s="366"/>
      <c r="C17" s="382" t="s">
        <v>217</v>
      </c>
      <c r="D17" s="383" t="s">
        <v>263</v>
      </c>
      <c r="E17" s="384"/>
      <c r="F17" s="372"/>
      <c r="G17" s="365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65"/>
      <c r="AC17" s="365"/>
      <c r="AD17" s="365"/>
      <c r="AE17" s="365"/>
      <c r="AF17" s="365"/>
      <c r="AG17" s="365"/>
      <c r="AH17" s="365"/>
      <c r="AI17" s="365"/>
      <c r="AJ17" s="365"/>
    </row>
    <row r="18" spans="1:36" s="40" customFormat="1" x14ac:dyDescent="0.2">
      <c r="A18" s="365"/>
      <c r="B18" s="366"/>
      <c r="C18" s="385" t="s">
        <v>219</v>
      </c>
      <c r="D18" s="386" t="s">
        <v>220</v>
      </c>
      <c r="E18" s="384"/>
      <c r="F18" s="372"/>
      <c r="G18" s="365"/>
      <c r="H18" s="365"/>
      <c r="I18" s="365"/>
      <c r="J18" s="365"/>
      <c r="K18" s="365"/>
      <c r="L18" s="365"/>
      <c r="M18" s="365"/>
      <c r="N18" s="365"/>
      <c r="O18" s="365"/>
      <c r="P18" s="365"/>
      <c r="Q18" s="365"/>
      <c r="R18" s="365"/>
      <c r="S18" s="365"/>
      <c r="T18" s="365"/>
      <c r="U18" s="365"/>
      <c r="V18" s="365"/>
      <c r="W18" s="365"/>
      <c r="X18" s="365"/>
      <c r="Y18" s="365"/>
      <c r="Z18" s="365"/>
      <c r="AA18" s="365"/>
      <c r="AB18" s="365"/>
      <c r="AC18" s="365"/>
      <c r="AD18" s="365"/>
      <c r="AE18" s="365"/>
      <c r="AF18" s="365"/>
      <c r="AG18" s="365"/>
      <c r="AH18" s="365"/>
      <c r="AI18" s="365"/>
      <c r="AJ18" s="365"/>
    </row>
    <row r="19" spans="1:36" s="40" customFormat="1" x14ac:dyDescent="0.2">
      <c r="A19" s="365"/>
      <c r="B19" s="366"/>
      <c r="C19" s="387"/>
      <c r="D19" s="387"/>
      <c r="E19" s="387"/>
      <c r="F19" s="372"/>
      <c r="G19" s="365"/>
      <c r="H19" s="365"/>
      <c r="I19" s="365"/>
      <c r="J19" s="365"/>
      <c r="K19" s="365"/>
      <c r="L19" s="365"/>
      <c r="M19" s="365"/>
      <c r="N19" s="365"/>
      <c r="O19" s="365"/>
      <c r="P19" s="365"/>
      <c r="Q19" s="365"/>
      <c r="R19" s="365"/>
      <c r="S19" s="365"/>
      <c r="T19" s="365"/>
      <c r="U19" s="365"/>
      <c r="V19" s="365"/>
      <c r="W19" s="365"/>
      <c r="X19" s="365"/>
      <c r="Y19" s="365"/>
      <c r="Z19" s="365"/>
      <c r="AA19" s="365"/>
      <c r="AB19" s="365"/>
      <c r="AC19" s="365"/>
      <c r="AD19" s="365"/>
      <c r="AE19" s="365"/>
      <c r="AF19" s="365"/>
      <c r="AG19" s="365"/>
      <c r="AH19" s="365"/>
      <c r="AI19" s="365"/>
      <c r="AJ19" s="365"/>
    </row>
    <row r="20" spans="1:36" s="40" customFormat="1" x14ac:dyDescent="0.2">
      <c r="A20" s="365"/>
      <c r="B20" s="366"/>
      <c r="C20" s="387"/>
      <c r="D20" s="387"/>
      <c r="E20" s="387"/>
      <c r="F20" s="372"/>
      <c r="G20" s="365"/>
      <c r="H20" s="365"/>
      <c r="I20" s="365"/>
      <c r="J20" s="365"/>
      <c r="K20" s="365"/>
      <c r="L20" s="365"/>
      <c r="M20" s="365"/>
      <c r="N20" s="365"/>
      <c r="O20" s="365"/>
      <c r="P20" s="365"/>
      <c r="Q20" s="365"/>
      <c r="R20" s="365"/>
      <c r="S20" s="365"/>
      <c r="T20" s="365"/>
      <c r="U20" s="365"/>
      <c r="V20" s="365"/>
      <c r="W20" s="365"/>
      <c r="X20" s="365"/>
      <c r="Y20" s="365"/>
      <c r="Z20" s="365"/>
      <c r="AA20" s="365"/>
      <c r="AB20" s="365"/>
      <c r="AC20" s="365"/>
      <c r="AD20" s="365"/>
      <c r="AE20" s="365"/>
      <c r="AF20" s="365"/>
      <c r="AG20" s="365"/>
      <c r="AH20" s="365"/>
      <c r="AI20" s="365"/>
      <c r="AJ20" s="365"/>
    </row>
    <row r="21" spans="1:36" s="40" customFormat="1" x14ac:dyDescent="0.2">
      <c r="A21" s="365"/>
      <c r="B21" s="366"/>
      <c r="C21" s="387"/>
      <c r="D21" s="388" t="s">
        <v>264</v>
      </c>
      <c r="E21" s="389">
        <v>41597.660462962966</v>
      </c>
      <c r="F21" s="67"/>
      <c r="G21" s="365"/>
      <c r="H21" s="365"/>
      <c r="I21" s="365"/>
      <c r="J21" s="365"/>
      <c r="K21" s="365"/>
      <c r="L21" s="365"/>
      <c r="M21" s="365"/>
      <c r="N21" s="365"/>
      <c r="O21" s="365"/>
      <c r="P21" s="365"/>
      <c r="Q21" s="365"/>
      <c r="R21" s="365"/>
      <c r="S21" s="365"/>
      <c r="T21" s="365"/>
      <c r="U21" s="365"/>
      <c r="V21" s="365"/>
      <c r="W21" s="365"/>
      <c r="X21" s="365"/>
      <c r="Y21" s="365"/>
      <c r="Z21" s="365"/>
      <c r="AA21" s="365"/>
      <c r="AB21" s="365"/>
      <c r="AC21" s="365"/>
      <c r="AD21" s="365"/>
      <c r="AE21" s="365"/>
      <c r="AF21" s="365"/>
      <c r="AG21" s="365"/>
      <c r="AH21" s="365"/>
      <c r="AI21" s="365"/>
      <c r="AJ21" s="365"/>
    </row>
    <row r="22" spans="1:36" s="40" customFormat="1" x14ac:dyDescent="0.2">
      <c r="A22" s="365"/>
      <c r="B22" s="366"/>
      <c r="C22" s="387"/>
      <c r="D22" s="390"/>
      <c r="E22" s="391"/>
      <c r="F22" s="372"/>
      <c r="G22" s="365"/>
      <c r="H22" s="365"/>
      <c r="I22" s="365"/>
      <c r="J22" s="365"/>
      <c r="K22" s="365"/>
      <c r="L22" s="365"/>
      <c r="M22" s="365"/>
      <c r="N22" s="365"/>
      <c r="O22" s="365"/>
      <c r="P22" s="365"/>
      <c r="Q22" s="365"/>
      <c r="R22" s="365"/>
      <c r="S22" s="365"/>
      <c r="T22" s="365"/>
      <c r="U22" s="365"/>
      <c r="V22" s="365"/>
      <c r="W22" s="365"/>
      <c r="X22" s="365"/>
      <c r="Y22" s="365"/>
      <c r="Z22" s="365"/>
      <c r="AA22" s="365"/>
      <c r="AB22" s="365"/>
      <c r="AC22" s="365"/>
      <c r="AD22" s="365"/>
      <c r="AE22" s="365"/>
      <c r="AF22" s="365"/>
      <c r="AG22" s="365"/>
      <c r="AH22" s="365"/>
      <c r="AI22" s="365"/>
      <c r="AJ22" s="365"/>
    </row>
    <row r="23" spans="1:36" s="40" customFormat="1" x14ac:dyDescent="0.2">
      <c r="A23" s="365"/>
      <c r="B23" s="366"/>
      <c r="C23" s="387"/>
      <c r="D23" s="388"/>
      <c r="E23" s="391"/>
      <c r="F23" s="67"/>
      <c r="G23" s="365"/>
      <c r="H23" s="365"/>
      <c r="I23" s="365"/>
      <c r="J23" s="365"/>
      <c r="K23" s="365"/>
      <c r="L23" s="365"/>
      <c r="M23" s="365"/>
      <c r="N23" s="365"/>
      <c r="O23" s="365"/>
      <c r="P23" s="365"/>
      <c r="Q23" s="365"/>
      <c r="R23" s="365"/>
      <c r="S23" s="365"/>
      <c r="T23" s="365"/>
      <c r="U23" s="365"/>
      <c r="V23" s="365"/>
      <c r="W23" s="365"/>
      <c r="X23" s="365"/>
      <c r="Y23" s="365"/>
      <c r="Z23" s="365"/>
      <c r="AA23" s="365"/>
      <c r="AB23" s="365"/>
      <c r="AC23" s="365"/>
      <c r="AD23" s="365"/>
      <c r="AE23" s="365"/>
      <c r="AF23" s="365"/>
      <c r="AG23" s="365"/>
      <c r="AH23" s="365"/>
      <c r="AI23" s="365"/>
      <c r="AJ23" s="365"/>
    </row>
    <row r="24" spans="1:36" s="40" customFormat="1" x14ac:dyDescent="0.2">
      <c r="A24" s="365"/>
      <c r="B24" s="366"/>
      <c r="C24" s="387"/>
      <c r="D24" s="388" t="s">
        <v>265</v>
      </c>
      <c r="E24" s="392" t="b">
        <v>1</v>
      </c>
      <c r="F24" s="67"/>
      <c r="G24" s="365"/>
      <c r="H24" s="365"/>
      <c r="I24" s="365"/>
      <c r="J24" s="365"/>
      <c r="K24" s="365"/>
      <c r="L24" s="365"/>
      <c r="M24" s="365"/>
      <c r="N24" s="365"/>
      <c r="O24" s="365"/>
      <c r="P24" s="365"/>
      <c r="Q24" s="365"/>
      <c r="R24" s="365"/>
      <c r="S24" s="365"/>
      <c r="T24" s="365"/>
      <c r="U24" s="365"/>
      <c r="V24" s="365"/>
      <c r="W24" s="365"/>
      <c r="X24" s="365"/>
      <c r="Y24" s="365"/>
      <c r="Z24" s="365"/>
      <c r="AA24" s="365"/>
      <c r="AB24" s="365"/>
      <c r="AC24" s="365"/>
      <c r="AD24" s="365"/>
      <c r="AE24" s="365"/>
      <c r="AF24" s="365"/>
      <c r="AG24" s="365"/>
      <c r="AH24" s="365"/>
      <c r="AI24" s="365"/>
      <c r="AJ24" s="365"/>
    </row>
    <row r="25" spans="1:36" s="40" customFormat="1" ht="11.25" customHeight="1" thickBot="1" x14ac:dyDescent="0.25">
      <c r="A25" s="365"/>
      <c r="B25" s="393"/>
      <c r="C25" s="65"/>
      <c r="D25" s="65"/>
      <c r="E25" s="65"/>
      <c r="F25" s="63"/>
      <c r="G25" s="365"/>
      <c r="H25" s="365"/>
      <c r="I25" s="365"/>
      <c r="J25" s="365"/>
      <c r="K25" s="365"/>
      <c r="L25" s="365"/>
      <c r="M25" s="365"/>
      <c r="N25" s="365"/>
      <c r="O25" s="365"/>
      <c r="P25" s="365"/>
      <c r="Q25" s="365"/>
      <c r="R25" s="365"/>
      <c r="S25" s="365"/>
      <c r="T25" s="365"/>
      <c r="U25" s="365"/>
      <c r="V25" s="365"/>
      <c r="W25" s="365"/>
      <c r="X25" s="365"/>
      <c r="Y25" s="365"/>
      <c r="Z25" s="365"/>
      <c r="AA25" s="365"/>
      <c r="AB25" s="365"/>
      <c r="AC25" s="365"/>
      <c r="AD25" s="365"/>
      <c r="AE25" s="365"/>
      <c r="AF25" s="365"/>
      <c r="AG25" s="365"/>
      <c r="AH25" s="365"/>
      <c r="AI25" s="365"/>
      <c r="AJ25" s="365"/>
    </row>
    <row r="26" spans="1:36" s="365" customFormat="1" x14ac:dyDescent="0.2">
      <c r="C26" s="394"/>
      <c r="D26" s="394"/>
      <c r="E26" s="394"/>
      <c r="F26" s="394"/>
    </row>
    <row r="27" spans="1:36" s="365" customFormat="1" x14ac:dyDescent="0.2">
      <c r="C27" s="394"/>
      <c r="D27" s="394"/>
      <c r="E27" s="394"/>
      <c r="F27" s="394"/>
    </row>
    <row r="28" spans="1:36" s="365" customFormat="1" x14ac:dyDescent="0.2">
      <c r="C28" s="394"/>
      <c r="D28" s="394"/>
      <c r="E28" s="394"/>
      <c r="F28" s="394"/>
    </row>
    <row r="29" spans="1:36" s="365" customFormat="1" x14ac:dyDescent="0.2">
      <c r="C29" s="394"/>
      <c r="D29" s="394"/>
      <c r="E29" s="394"/>
      <c r="F29" s="394"/>
    </row>
    <row r="30" spans="1:36" s="365" customFormat="1" x14ac:dyDescent="0.2">
      <c r="C30" s="394"/>
      <c r="D30" s="394"/>
      <c r="E30" s="394"/>
      <c r="F30" s="394"/>
    </row>
    <row r="31" spans="1:36" s="365" customFormat="1" x14ac:dyDescent="0.2">
      <c r="C31" s="394"/>
      <c r="D31" s="394"/>
      <c r="E31" s="394"/>
      <c r="F31" s="394"/>
    </row>
    <row r="32" spans="1:36" s="365" customFormat="1" x14ac:dyDescent="0.2"/>
    <row r="33" s="365" customFormat="1" x14ac:dyDescent="0.2"/>
    <row r="34" s="365" customFormat="1" x14ac:dyDescent="0.2"/>
    <row r="35" s="365" customFormat="1" x14ac:dyDescent="0.2"/>
    <row r="36" s="365" customFormat="1" x14ac:dyDescent="0.2"/>
    <row r="37" s="365" customFormat="1" x14ac:dyDescent="0.2"/>
    <row r="38" s="365" customFormat="1" x14ac:dyDescent="0.2"/>
    <row r="39" s="365" customFormat="1" x14ac:dyDescent="0.2"/>
    <row r="40" s="365" customFormat="1" x14ac:dyDescent="0.2"/>
    <row r="41" s="365" customFormat="1" x14ac:dyDescent="0.2"/>
    <row r="42" s="365" customFormat="1" x14ac:dyDescent="0.2"/>
    <row r="43" s="365" customFormat="1" x14ac:dyDescent="0.2"/>
    <row r="44" s="365" customFormat="1" x14ac:dyDescent="0.2"/>
    <row r="45" s="365" customFormat="1" x14ac:dyDescent="0.2"/>
    <row r="46" s="365" customFormat="1" x14ac:dyDescent="0.2"/>
    <row r="47" s="365" customFormat="1" x14ac:dyDescent="0.2"/>
    <row r="48" s="365" customFormat="1" x14ac:dyDescent="0.2"/>
    <row r="49" s="365" customFormat="1" x14ac:dyDescent="0.2"/>
    <row r="50" s="365" customFormat="1" x14ac:dyDescent="0.2"/>
    <row r="51" s="365" customFormat="1" x14ac:dyDescent="0.2"/>
    <row r="52" s="365" customFormat="1" x14ac:dyDescent="0.2"/>
    <row r="53" s="365" customFormat="1" x14ac:dyDescent="0.2"/>
    <row r="54" s="365" customFormat="1" x14ac:dyDescent="0.2"/>
    <row r="55" s="365" customFormat="1" x14ac:dyDescent="0.2"/>
    <row r="56" s="365" customFormat="1" x14ac:dyDescent="0.2"/>
    <row r="57" s="365" customFormat="1" x14ac:dyDescent="0.2"/>
  </sheetData>
  <mergeCells count="1">
    <mergeCell ref="B2:F2"/>
  </mergeCells>
  <conditionalFormatting sqref="E24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2</xdr:col>
                <xdr:colOff>0</xdr:colOff>
                <xdr:row>21</xdr:row>
                <xdr:rowOff>123825</xdr:rowOff>
              </from>
              <to>
                <xdr:col>3</xdr:col>
                <xdr:colOff>390525</xdr:colOff>
                <xdr:row>23</xdr:row>
                <xdr:rowOff>114300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333375</xdr:colOff>
                <xdr:row>19</xdr:row>
                <xdr:rowOff>57150</xdr:rowOff>
              </from>
              <to>
                <xdr:col>3</xdr:col>
                <xdr:colOff>381000</xdr:colOff>
                <xdr:row>21</xdr:row>
                <xdr:rowOff>47625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197</vt:i4>
      </vt:variant>
    </vt:vector>
  </HeadingPairs>
  <TitlesOfParts>
    <vt:vector size="215" baseType="lpstr">
      <vt:lpstr>BasisSwap1M3M</vt:lpstr>
      <vt:lpstr>BasisSwap3M6M</vt:lpstr>
      <vt:lpstr>HKD_010_BasisSwapQuotes</vt:lpstr>
      <vt:lpstr>Deposits</vt:lpstr>
      <vt:lpstr>FRA</vt:lpstr>
      <vt:lpstr>Futures3M</vt:lpstr>
      <vt:lpstr>FuturesHWConvAdj</vt:lpstr>
      <vt:lpstr>HKD_010_DepoFRAFuturesQuotes</vt:lpstr>
      <vt:lpstr>OIS</vt:lpstr>
      <vt:lpstr>Swaps1M</vt:lpstr>
      <vt:lpstr>Swap3M</vt:lpstr>
      <vt:lpstr>HKD_010_SwapQuotes</vt:lpstr>
      <vt:lpstr>HKD</vt:lpstr>
      <vt:lpstr>RelinkableHandles</vt:lpstr>
      <vt:lpstr>Hibor</vt:lpstr>
      <vt:lpstr>HkdLibor</vt:lpstr>
      <vt:lpstr>SpecialTriggers</vt:lpstr>
      <vt:lpstr>HKD_InterestRateQuotesFeed</vt:lpstr>
      <vt:lpstr>BasisSwap1M3M!Contributor</vt:lpstr>
      <vt:lpstr>BasisSwap3M6M!Contributor</vt:lpstr>
      <vt:lpstr>FRA!Contributor</vt:lpstr>
      <vt:lpstr>FuturesHWConvAdj!Contributor</vt:lpstr>
      <vt:lpstr>OIS!Contributor</vt:lpstr>
      <vt:lpstr>Swap3M!Contributor</vt:lpstr>
      <vt:lpstr>Swaps1M!Contributor</vt:lpstr>
      <vt:lpstr>Deposits!Contributors</vt:lpstr>
      <vt:lpstr>SpecialTriggers!Contributors</vt:lpstr>
      <vt:lpstr>Contributors</vt:lpstr>
      <vt:lpstr>SpecialTriggers!ContributorTable</vt:lpstr>
      <vt:lpstr>ContributorTable</vt:lpstr>
      <vt:lpstr>BasisSwap1M3M!Conventions</vt:lpstr>
      <vt:lpstr>BasisSwap3M6M!Conventions</vt:lpstr>
      <vt:lpstr>Swap3M!Conventions</vt:lpstr>
      <vt:lpstr>Deposits!Currency</vt:lpstr>
      <vt:lpstr>FRA!Currency</vt:lpstr>
      <vt:lpstr>Futures3M!Currency</vt:lpstr>
      <vt:lpstr>FuturesHWConvAdj!Currency</vt:lpstr>
      <vt:lpstr>Hibor!Currency</vt:lpstr>
      <vt:lpstr>HKD!Currency</vt:lpstr>
      <vt:lpstr>HKD_010_DepoFRAFuturesQuotes!Currency</vt:lpstr>
      <vt:lpstr>HKD_010_SwapQuotes!Currency</vt:lpstr>
      <vt:lpstr>HKD_InterestRateQuotesFeed!Currency</vt:lpstr>
      <vt:lpstr>HkdLibor!Currency</vt:lpstr>
      <vt:lpstr>OIS!Currency</vt:lpstr>
      <vt:lpstr>SpecialTriggers!Currency</vt:lpstr>
      <vt:lpstr>Swap3M!Currency</vt:lpstr>
      <vt:lpstr>Swaps1M!Currency</vt:lpstr>
      <vt:lpstr>Currency</vt:lpstr>
      <vt:lpstr>Hibor!FamilyName</vt:lpstr>
      <vt:lpstr>Hibor!FileName</vt:lpstr>
      <vt:lpstr>Deposits!FileOverwrite</vt:lpstr>
      <vt:lpstr>FRA!FileOverwrite</vt:lpstr>
      <vt:lpstr>Futures3M!FileOverwrite</vt:lpstr>
      <vt:lpstr>FuturesHWConvAdj!FileOverwrite</vt:lpstr>
      <vt:lpstr>Hibor!FileOverwrite</vt:lpstr>
      <vt:lpstr>HKD!FileOverwrite</vt:lpstr>
      <vt:lpstr>HKD_010_DepoFRAFuturesQuotes!FileOverwrite</vt:lpstr>
      <vt:lpstr>HKD_010_SwapQuotes!FileOverwrite</vt:lpstr>
      <vt:lpstr>HkdLibor!FileOverwrite</vt:lpstr>
      <vt:lpstr>OIS!FileOverwrite</vt:lpstr>
      <vt:lpstr>RelinkableHandles!FileOverwrite</vt:lpstr>
      <vt:lpstr>Swap3M!FileOverwrite</vt:lpstr>
      <vt:lpstr>Swaps1M!FileOverwrite</vt:lpstr>
      <vt:lpstr>FileOverwrite</vt:lpstr>
      <vt:lpstr>Futures3M!FuturesCodes</vt:lpstr>
      <vt:lpstr>Futures3M!FuturesDates</vt:lpstr>
      <vt:lpstr>GENERAL_SETTINGS</vt:lpstr>
      <vt:lpstr>BasisSwap1M3M!Instruments</vt:lpstr>
      <vt:lpstr>BasisSwap3M6M!Instruments</vt:lpstr>
      <vt:lpstr>FRA!Instruments</vt:lpstr>
      <vt:lpstr>Swap3M!Instruments</vt:lpstr>
      <vt:lpstr>Swaps1M!Instruments</vt:lpstr>
      <vt:lpstr>SpecialTriggers!InterpolationType</vt:lpstr>
      <vt:lpstr>InterpolationType</vt:lpstr>
      <vt:lpstr>LastUpdate</vt:lpstr>
      <vt:lpstr>Futures3M!LiffeCodes</vt:lpstr>
      <vt:lpstr>LiveDataFeed</vt:lpstr>
      <vt:lpstr>Deposits!ObjectOverwrite</vt:lpstr>
      <vt:lpstr>FRA!ObjectOverwrite</vt:lpstr>
      <vt:lpstr>Futures3M!ObjectOverwrite</vt:lpstr>
      <vt:lpstr>FuturesHWConvAdj!ObjectOverwrite</vt:lpstr>
      <vt:lpstr>Hibor!ObjectOverwrite</vt:lpstr>
      <vt:lpstr>HKD!ObjectOverwrite</vt:lpstr>
      <vt:lpstr>HKD_010_DepoFRAFuturesQuotes!ObjectOverwrite</vt:lpstr>
      <vt:lpstr>HKD_010_SwapQuotes!ObjectOverwrite</vt:lpstr>
      <vt:lpstr>HkdLibor!ObjectOverwrite</vt:lpstr>
      <vt:lpstr>OIS!ObjectOverwrite</vt:lpstr>
      <vt:lpstr>RelinkableHandles!ObjectOverwrite</vt:lpstr>
      <vt:lpstr>Swap3M!ObjectOverwrite</vt:lpstr>
      <vt:lpstr>Swaps1M!ObjectOverwrite</vt:lpstr>
      <vt:lpstr>ObjectOverwrite</vt:lpstr>
      <vt:lpstr>Deposits!Permanent</vt:lpstr>
      <vt:lpstr>FRA!Permanent</vt:lpstr>
      <vt:lpstr>Futures3M!Permanent</vt:lpstr>
      <vt:lpstr>FuturesHWConvAdj!Permanent</vt:lpstr>
      <vt:lpstr>Hibor!Permanent</vt:lpstr>
      <vt:lpstr>HKD!Permanent</vt:lpstr>
      <vt:lpstr>HKD_010_DepoFRAFuturesQuotes!Permanent</vt:lpstr>
      <vt:lpstr>HKD_010_SwapQuotes!Permanent</vt:lpstr>
      <vt:lpstr>HkdLibor!Permanent</vt:lpstr>
      <vt:lpstr>OIS!Permanent</vt:lpstr>
      <vt:lpstr>RelinkableHandles!Permanent</vt:lpstr>
      <vt:lpstr>Swap3M!Permanent</vt:lpstr>
      <vt:lpstr>Swaps1M!Permanent</vt:lpstr>
      <vt:lpstr>Permanent</vt:lpstr>
      <vt:lpstr>Deposits!PriceTickValue</vt:lpstr>
      <vt:lpstr>FRA!PriceTickValue</vt:lpstr>
      <vt:lpstr>Futures3M!PriceTickValue</vt:lpstr>
      <vt:lpstr>FuturesHWConvAdj!PriceTickValue</vt:lpstr>
      <vt:lpstr>HKD_010_DepoFRAFuturesQuotes!PriceTickValue</vt:lpstr>
      <vt:lpstr>HKD_010_SwapQuotes!PriceTickValue</vt:lpstr>
      <vt:lpstr>OIS!PriceTickValue</vt:lpstr>
      <vt:lpstr>Swap3M!PriceTickValue</vt:lpstr>
      <vt:lpstr>Swaps1M!PriceTickValue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FuturesHWConvAdj!Quote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FuturesHWConvAdj!QuoteLive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FuturesHWConvAdj!QuoteStatic</vt:lpstr>
      <vt:lpstr>OIS!QuoteStatic</vt:lpstr>
      <vt:lpstr>Swap3M!QuoteStatic</vt:lpstr>
      <vt:lpstr>Swaps1M!QuoteStatic</vt:lpstr>
      <vt:lpstr>Deposits!QuoteSuffix</vt:lpstr>
      <vt:lpstr>FRA!QuoteSuffix</vt:lpstr>
      <vt:lpstr>Futures3M!QuoteSuffix</vt:lpstr>
      <vt:lpstr>FuturesHWConvAdj!QuoteSuffix</vt:lpstr>
      <vt:lpstr>HKD_010_DepoFRAFuturesQuotes!QuoteSuffix</vt:lpstr>
      <vt:lpstr>HKD_010_SwapQuotes!QuoteSuffix</vt:lpstr>
      <vt:lpstr>OIS!QuoteSuffix</vt:lpstr>
      <vt:lpstr>Swap3M!QuoteSuffix</vt:lpstr>
      <vt:lpstr>Swaps1M!QuoteSuffix</vt:lpstr>
      <vt:lpstr>QuoteSuffix</vt:lpstr>
      <vt:lpstr>Deposits!RateTickValue</vt:lpstr>
      <vt:lpstr>FRA!RateTickValue</vt:lpstr>
      <vt:lpstr>Futures3M!RateTickValue</vt:lpstr>
      <vt:lpstr>FuturesHWConvAdj!RateTickValue</vt:lpstr>
      <vt:lpstr>HKD_010_DepoFRAFuturesQuotes!RateTickValue</vt:lpstr>
      <vt:lpstr>HKD_010_SwapQuotes!RateTickValue</vt:lpstr>
      <vt:lpstr>OIS!RateTickValue</vt:lpstr>
      <vt:lpstr>Swap3M!RateTickValue</vt:lpstr>
      <vt:lpstr>Swaps1M!RateTickValue</vt:lpstr>
      <vt:lpstr>RateTickValue</vt:lpstr>
      <vt:lpstr>SpecialTriggers!ReutersRtMode</vt:lpstr>
      <vt:lpstr>ReutersRtMode</vt:lpstr>
      <vt:lpstr>Deposits!SerializationPath</vt:lpstr>
      <vt:lpstr>FRA!SerializationPath</vt:lpstr>
      <vt:lpstr>Futures3M!SerializationPath</vt:lpstr>
      <vt:lpstr>FuturesHWConvAdj!SerializationPath</vt:lpstr>
      <vt:lpstr>Hibor!SerializationPath</vt:lpstr>
      <vt:lpstr>HKD!SerializationPath</vt:lpstr>
      <vt:lpstr>HKD_010_DepoFRAFuturesQuotes!SerializationPath</vt:lpstr>
      <vt:lpstr>HKD_010_SwapQuotes!SerializationPath</vt:lpstr>
      <vt:lpstr>HkdLibor!SerializationPath</vt:lpstr>
      <vt:lpstr>OIS!SerializationPath</vt:lpstr>
      <vt:lpstr>RelinkableHandles!SerializationPath</vt:lpstr>
      <vt:lpstr>Swap3M!SerializationPath</vt:lpstr>
      <vt:lpstr>Swaps1M!SerializationPath</vt:lpstr>
      <vt:lpstr>SerializationPath</vt:lpstr>
      <vt:lpstr>Deposits!Serialize</vt:lpstr>
      <vt:lpstr>FRA!Serialize</vt:lpstr>
      <vt:lpstr>Futures3M!Serialize</vt:lpstr>
      <vt:lpstr>FuturesHWConvAdj!Serialize</vt:lpstr>
      <vt:lpstr>Hibor!Serialize</vt:lpstr>
      <vt:lpstr>HKD!Serialize</vt:lpstr>
      <vt:lpstr>HKD_010_DepoFRAFuturesQuotes!Serialize</vt:lpstr>
      <vt:lpstr>HKD_010_SwapQuotes!Serialize</vt:lpstr>
      <vt:lpstr>HkdLibor!Serialize</vt:lpstr>
      <vt:lpstr>OIS!Serialize</vt:lpstr>
      <vt:lpstr>RelinkableHandles!Serialize</vt:lpstr>
      <vt:lpstr>Swap3M!Serialize</vt:lpstr>
      <vt:lpstr>Swaps1M!Serialize</vt:lpstr>
      <vt:lpstr>Serialize</vt:lpstr>
      <vt:lpstr>Swap3M4Y</vt:lpstr>
      <vt:lpstr>SwapMainSetConventions</vt:lpstr>
      <vt:lpstr>Hibor!Traits</vt:lpstr>
      <vt:lpstr>Deposits!Trigger</vt:lpstr>
      <vt:lpstr>FRA!Trigger</vt:lpstr>
      <vt:lpstr>Futures3M!Trigger</vt:lpstr>
      <vt:lpstr>FuturesHWConvAdj!Trigger</vt:lpstr>
      <vt:lpstr>Hibor!Trigger</vt:lpstr>
      <vt:lpstr>HKD!Trigger</vt:lpstr>
      <vt:lpstr>HKD_010_DepoFRAFuturesQuotes!Trigger</vt:lpstr>
      <vt:lpstr>HKD_010_SwapQuotes!Trigger</vt:lpstr>
      <vt:lpstr>HKD_InterestRateQuotesFeed!Trigger</vt:lpstr>
      <vt:lpstr>HkdLibor!Trigger</vt:lpstr>
      <vt:lpstr>OIS!Trigger</vt:lpstr>
      <vt:lpstr>RelinkableHandles!Trigger</vt:lpstr>
      <vt:lpstr>SpecialTriggers!Trigger</vt:lpstr>
      <vt:lpstr>Swap3M!Trigger</vt:lpstr>
      <vt:lpstr>Swaps1M!Trigger</vt:lpstr>
      <vt:lpstr>Trigger</vt:lpstr>
      <vt:lpstr>TriggerCounter</vt:lpstr>
      <vt:lpstr>TriggerTOY1M</vt:lpstr>
      <vt:lpstr>TriggerTOY3M</vt:lpstr>
      <vt:lpstr>TriggerTOY6M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2013-11-19T15:29:03Z</dcterms:modified>
</cp:coreProperties>
</file>
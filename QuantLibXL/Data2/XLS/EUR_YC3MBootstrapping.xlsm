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405" windowWidth="19440" windowHeight="12300" firstSheet="2" activeTab="2"/>
  </bookViews>
  <sheets>
    <sheet name="General Settings" sheetId="6" r:id="rId1"/>
    <sheet name="RateHelpers" sheetId="5" r:id="rId2"/>
    <sheet name="Selected" sheetId="4" r:id="rId3"/>
    <sheet name="Deposits_3M" sheetId="7" r:id="rId4"/>
    <sheet name="FRAs_3M" sheetId="9" r:id="rId5"/>
    <sheet name="Futures_3M" sheetId="11" r:id="rId6"/>
    <sheet name="Swaps_3M" sheetId="13" r:id="rId7"/>
    <sheet name="SwapsFromBasis_3M" sheetId="15" r:id="rId8"/>
    <sheet name="Monitor" sheetId="16" r:id="rId9"/>
  </sheets>
  <definedNames>
    <definedName name="_xlnm._FilterDatabase" localSheetId="8" hidden="1">Monitor!$B$4:$F$15381</definedName>
    <definedName name="Accuracy">'General Settings'!$D$23</definedName>
    <definedName name="BondBasisDayCounter">'General Settings'!$M$13</definedName>
    <definedName name="Calendar">'General Settings'!$D$18</definedName>
    <definedName name="CheckFRA">Monitor!$B$38</definedName>
    <definedName name="CheckIMMFut">Monitor!$D$38</definedName>
    <definedName name="CheckSerialFut">Monitor!$F$38</definedName>
    <definedName name="Conventions" localSheetId="6">Swaps_3M!$P$6:$R$10</definedName>
    <definedName name="Currency">'General Settings'!$D$4</definedName>
    <definedName name="DataTable">Monitor!$B$7:$I$14</definedName>
    <definedName name="DayCounter">'General Settings'!$D$19</definedName>
    <definedName name="DepoInclusionCriteria">Selected!$B$5</definedName>
    <definedName name="Discounting">'General Settings'!$M$15</definedName>
    <definedName name="DiscountingCurve" localSheetId="6">Swaps_3M!$L$2</definedName>
    <definedName name="DiscountingCurve" localSheetId="7">SwapsFromBasis_3M!$L$2</definedName>
    <definedName name="FamilyName">'General Settings'!$M$11</definedName>
    <definedName name="FileOverwrite">'General Settings'!$M$6</definedName>
    <definedName name="FixingDays">Monitor!$I$2</definedName>
    <definedName name="FRADates">Monitor!$L$16:$L$33</definedName>
    <definedName name="FRANull">Monitor!$N$16:$N$33</definedName>
    <definedName name="FRAQuotes">Monitor!$M$16:$M$33</definedName>
    <definedName name="FRASeries">IF(CheckFRA=FALSE,FRANull,FRAQuotes)</definedName>
    <definedName name="FrontFuturesRollingDays">Selected!$B$4</definedName>
    <definedName name="IborIndex">Monitor!$W$14</definedName>
    <definedName name="IborType">'General Settings'!$D$7</definedName>
    <definedName name="IMMFutDates">Monitor!$L$36:$L$69</definedName>
    <definedName name="IMMFutNull">Monitor!$N$36:$N$69</definedName>
    <definedName name="IMMFutQuotes">Monitor!$M$36:$M$69</definedName>
    <definedName name="IMMFutSeries">IF(CheckIMMFut=FALSE,IMMFutNull,IMMFutQuotes)</definedName>
    <definedName name="IndexCalendar" localSheetId="8">Monitor!$H$2</definedName>
    <definedName name="IndexTenor">'General Settings'!$D$6</definedName>
    <definedName name="InterpolatorID">'General Settings'!$D$25</definedName>
    <definedName name="MinDistance">RateHelpers!$J$2:$J$162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Monitor!$X$16:$X$360</definedName>
    <definedName name="ONValueDates">Monitor!$V$16:$V$360</definedName>
    <definedName name="OverNightIndex">Monitor!$X$14</definedName>
    <definedName name="Permanent">'General Settings'!$D$10</definedName>
    <definedName name="pippuzzo">Monitor!$B$6:$I$13</definedName>
    <definedName name="QuoteSuffix">'General Settings'!$M$12</definedName>
    <definedName name="RateAxisMajorUnit">Monitor!$I$7:$I$14</definedName>
    <definedName name="RateAxisMaximum">Monitor!$H$7:$H$14</definedName>
    <definedName name="RateAxisMinimum">Monitor!$G$7:$G$14</definedName>
    <definedName name="RateHelperPrefix">'General Settings'!$D$9</definedName>
    <definedName name="RateHelpers">RateHelpers!$E$2:$E$162</definedName>
    <definedName name="RateHelpersIncluded">RateHelpers!$H$2:$H$162</definedName>
    <definedName name="RateHelpersPriority">RateHelpers!$I$2:$I$162</definedName>
    <definedName name="RateHelpersSelected">Selected!$A$7</definedName>
    <definedName name="RecalcTrigger">Monitor!$A$3</definedName>
    <definedName name="SamplingFrequency">Monitor!$U$13</definedName>
    <definedName name="SerialFutDates">Monitor!$L$70:$L$77</definedName>
    <definedName name="SerialFutNull">Monitor!$N$70:$N$77</definedName>
    <definedName name="SerialFutQuotes">Monitor!$M$70:$M$77</definedName>
    <definedName name="SerialFutSeries">IF(CheckSerialFut=FALSE,SerialFutNull,SerialFutQuotes)</definedName>
    <definedName name="SerializationPath">'General Settings'!$M$5</definedName>
    <definedName name="Serialize">'General Settings'!$M$4</definedName>
    <definedName name="Swap3MConventions">SwapsFromBasis_3M!$P$10:$R$14</definedName>
    <definedName name="SwapFixedFreq">'General Settings'!$D$8</definedName>
    <definedName name="TimeAxisMajorUnit">Monitor!$F$7:$F$14</definedName>
    <definedName name="TimeAxisMaximum">Monitor!$E$7:$E$14</definedName>
    <definedName name="TimeAxisMinimum">Monitor!$C$7:$C$14</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8" i="16" l="1"/>
  <c r="C9" i="16" s="1"/>
  <c r="C10" i="16" s="1"/>
  <c r="C11" i="16" s="1"/>
  <c r="C12" i="16" s="1"/>
  <c r="C13" i="16" s="1"/>
  <c r="C14" i="16" s="1"/>
  <c r="N17" i="16" l="1"/>
  <c r="N18" i="16"/>
  <c r="N19" i="16"/>
  <c r="N20" i="16"/>
  <c r="N21" i="16"/>
  <c r="N22" i="16"/>
  <c r="N23" i="16"/>
  <c r="N24" i="16"/>
  <c r="N25" i="16"/>
  <c r="N26" i="16"/>
  <c r="N27" i="16"/>
  <c r="N28" i="16"/>
  <c r="N29" i="16"/>
  <c r="N30" i="16"/>
  <c r="N31" i="16"/>
  <c r="N32" i="16"/>
  <c r="N33" i="16"/>
  <c r="N16" i="16"/>
  <c r="N62" i="16"/>
  <c r="N63" i="16"/>
  <c r="N64" i="16"/>
  <c r="N65" i="16"/>
  <c r="N66" i="16"/>
  <c r="N67" i="16"/>
  <c r="N68" i="16"/>
  <c r="N69" i="16"/>
  <c r="N70" i="16"/>
  <c r="N71" i="16"/>
  <c r="N72" i="16"/>
  <c r="N73" i="16"/>
  <c r="N74" i="16"/>
  <c r="N75" i="16"/>
  <c r="N76" i="16"/>
  <c r="N77" i="16"/>
  <c r="B11" i="16"/>
  <c r="B12" i="16"/>
  <c r="B9" i="16"/>
  <c r="B7" i="16"/>
  <c r="C7" i="16"/>
  <c r="N54" i="16" l="1"/>
  <c r="N55" i="16"/>
  <c r="N56" i="16"/>
  <c r="N57" i="16"/>
  <c r="N58" i="16"/>
  <c r="N59" i="16"/>
  <c r="N60" i="16"/>
  <c r="N61" i="16"/>
  <c r="T535" i="16" l="1"/>
  <c r="T536" i="16" s="1"/>
  <c r="T537" i="16" s="1"/>
  <c r="T538" i="16" s="1"/>
  <c r="T539" i="16" s="1"/>
  <c r="T540" i="16" s="1"/>
  <c r="T541" i="16" s="1"/>
  <c r="T542" i="16" s="1"/>
  <c r="T543" i="16" s="1"/>
  <c r="T544" i="16" s="1"/>
  <c r="T545" i="16" s="1"/>
  <c r="T546" i="16" s="1"/>
  <c r="T547" i="16" s="1"/>
  <c r="T548" i="16" s="1"/>
  <c r="T549" i="16" s="1"/>
  <c r="T550" i="16" s="1"/>
  <c r="T551" i="16" s="1"/>
  <c r="T552" i="16" s="1"/>
  <c r="T553" i="16" s="1"/>
  <c r="T554" i="16" s="1"/>
  <c r="T555" i="16" s="1"/>
  <c r="T556" i="16" s="1"/>
  <c r="T557" i="16" s="1"/>
  <c r="T558" i="16" s="1"/>
  <c r="T559" i="16" s="1"/>
  <c r="T560" i="16" s="1"/>
  <c r="T561" i="16" s="1"/>
  <c r="T562" i="16" s="1"/>
  <c r="T563" i="16" s="1"/>
  <c r="T564" i="16" s="1"/>
  <c r="T565" i="16" s="1"/>
  <c r="T566" i="16" s="1"/>
  <c r="T567" i="16" s="1"/>
  <c r="T568" i="16" s="1"/>
  <c r="T569" i="16" s="1"/>
  <c r="T570" i="16" s="1"/>
  <c r="T571" i="16" s="1"/>
  <c r="T572" i="16" s="1"/>
  <c r="T573" i="16" s="1"/>
  <c r="T574" i="16" s="1"/>
  <c r="T575" i="16" s="1"/>
  <c r="T576" i="16" s="1"/>
  <c r="T577" i="16" s="1"/>
  <c r="T578" i="16" s="1"/>
  <c r="T579" i="16" s="1"/>
  <c r="T580" i="16" s="1"/>
  <c r="T581" i="16" s="1"/>
  <c r="T582" i="16" s="1"/>
  <c r="T583" i="16" s="1"/>
  <c r="T584" i="16" s="1"/>
  <c r="T585" i="16" s="1"/>
  <c r="T586" i="16" s="1"/>
  <c r="T587" i="16" s="1"/>
  <c r="T588" i="16" s="1"/>
  <c r="T589" i="16" s="1"/>
  <c r="T590" i="16" s="1"/>
  <c r="T591" i="16" s="1"/>
  <c r="T592" i="16" s="1"/>
  <c r="T593" i="16" s="1"/>
  <c r="T594" i="16" s="1"/>
  <c r="T595" i="16" s="1"/>
  <c r="T596" i="16" s="1"/>
  <c r="T597" i="16" s="1"/>
  <c r="T598" i="16" s="1"/>
  <c r="T599" i="16" s="1"/>
  <c r="T600" i="16" s="1"/>
  <c r="T601" i="16" s="1"/>
  <c r="T602" i="16" s="1"/>
  <c r="T603" i="16" s="1"/>
  <c r="T604" i="16" s="1"/>
  <c r="T605" i="16" s="1"/>
  <c r="T606" i="16" s="1"/>
  <c r="T607" i="16" s="1"/>
  <c r="T608" i="16" s="1"/>
  <c r="T609" i="16" s="1"/>
  <c r="T610" i="16" s="1"/>
  <c r="T611" i="16" s="1"/>
  <c r="T612" i="16" s="1"/>
  <c r="T613" i="16" s="1"/>
  <c r="T614" i="16" s="1"/>
  <c r="T615" i="16" s="1"/>
  <c r="T616" i="16" s="1"/>
  <c r="T617" i="16" s="1"/>
  <c r="T618" i="16" s="1"/>
  <c r="T619" i="16" s="1"/>
  <c r="T620" i="16" s="1"/>
  <c r="T621" i="16" s="1"/>
  <c r="T622" i="16" s="1"/>
  <c r="T623" i="16" s="1"/>
  <c r="T624" i="16" s="1"/>
  <c r="T625" i="16" s="1"/>
  <c r="T626" i="16" s="1"/>
  <c r="T627" i="16" s="1"/>
  <c r="T628" i="16" s="1"/>
  <c r="T629" i="16" s="1"/>
  <c r="T630" i="16" s="1"/>
  <c r="T631" i="16" s="1"/>
  <c r="T632" i="16" s="1"/>
  <c r="T633" i="16" s="1"/>
  <c r="T634" i="16" s="1"/>
  <c r="T635" i="16" s="1"/>
  <c r="T636" i="16" s="1"/>
  <c r="T637" i="16" s="1"/>
  <c r="T638" i="16" s="1"/>
  <c r="T639" i="16" s="1"/>
  <c r="T640" i="16" s="1"/>
  <c r="T641" i="16" s="1"/>
  <c r="T642" i="16" s="1"/>
  <c r="T643" i="16" s="1"/>
  <c r="T644" i="16" s="1"/>
  <c r="T645" i="16" s="1"/>
  <c r="T646" i="16" s="1"/>
  <c r="T647" i="16" s="1"/>
  <c r="T648" i="16" s="1"/>
  <c r="T649" i="16" s="1"/>
  <c r="T650" i="16" s="1"/>
  <c r="T651" i="16" s="1"/>
  <c r="T652" i="16" s="1"/>
  <c r="T653" i="16" s="1"/>
  <c r="T654" i="16" s="1"/>
  <c r="T655" i="16" s="1"/>
  <c r="T656" i="16" s="1"/>
  <c r="T657" i="16" s="1"/>
  <c r="T658" i="16" s="1"/>
  <c r="T659" i="16" s="1"/>
  <c r="T660" i="16" s="1"/>
  <c r="T661" i="16" s="1"/>
  <c r="T662" i="16" s="1"/>
  <c r="T663" i="16" s="1"/>
  <c r="T664" i="16" s="1"/>
  <c r="T665" i="16" s="1"/>
  <c r="T666" i="16" s="1"/>
  <c r="T667" i="16" s="1"/>
  <c r="T668" i="16" s="1"/>
  <c r="T669" i="16" s="1"/>
  <c r="T670" i="16" s="1"/>
  <c r="T671" i="16" s="1"/>
  <c r="T672" i="16" s="1"/>
  <c r="T673" i="16" s="1"/>
  <c r="T674" i="16" s="1"/>
  <c r="T675" i="16" s="1"/>
  <c r="T676" i="16" s="1"/>
  <c r="T677" i="16" s="1"/>
  <c r="T678" i="16" s="1"/>
  <c r="T679" i="16" s="1"/>
  <c r="T680" i="16" s="1"/>
  <c r="T681" i="16" s="1"/>
  <c r="T682" i="16" s="1"/>
  <c r="T683" i="16" s="1"/>
  <c r="T684" i="16" s="1"/>
  <c r="T685" i="16" s="1"/>
  <c r="T686" i="16" s="1"/>
  <c r="T687" i="16" s="1"/>
  <c r="T688" i="16" s="1"/>
  <c r="T689" i="16" s="1"/>
  <c r="T690" i="16" s="1"/>
  <c r="T691" i="16" s="1"/>
  <c r="T692" i="16" s="1"/>
  <c r="T693" i="16" s="1"/>
  <c r="T694" i="16" s="1"/>
  <c r="T695" i="16" s="1"/>
  <c r="T696" i="16" s="1"/>
  <c r="T697" i="16" s="1"/>
  <c r="T698" i="16" s="1"/>
  <c r="T699" i="16" s="1"/>
  <c r="T700" i="16" s="1"/>
  <c r="T701" i="16" s="1"/>
  <c r="T702" i="16" s="1"/>
  <c r="T703" i="16" s="1"/>
  <c r="T704" i="16" s="1"/>
  <c r="T705" i="16" s="1"/>
  <c r="T706" i="16" s="1"/>
  <c r="T707" i="16" s="1"/>
  <c r="T708" i="16" s="1"/>
  <c r="T709" i="16" s="1"/>
  <c r="T710" i="16" s="1"/>
  <c r="T711" i="16" s="1"/>
  <c r="T712" i="16" s="1"/>
  <c r="T713" i="16" s="1"/>
  <c r="T714" i="16" s="1"/>
  <c r="T715" i="16" s="1"/>
  <c r="T716" i="16" s="1"/>
  <c r="T717" i="16" s="1"/>
  <c r="T718" i="16" s="1"/>
  <c r="T719" i="16" s="1"/>
  <c r="T720" i="16" s="1"/>
  <c r="T721" i="16" s="1"/>
  <c r="T722" i="16" s="1"/>
  <c r="T723" i="16" s="1"/>
  <c r="T724" i="16" s="1"/>
  <c r="T725" i="16" s="1"/>
  <c r="T726" i="16" s="1"/>
  <c r="T727" i="16" s="1"/>
  <c r="T728" i="16" s="1"/>
  <c r="T729" i="16" s="1"/>
  <c r="T730" i="16" s="1"/>
  <c r="T731" i="16" s="1"/>
  <c r="T732" i="16" s="1"/>
  <c r="T733" i="16" s="1"/>
  <c r="T734" i="16" s="1"/>
  <c r="T735" i="16" s="1"/>
  <c r="T736" i="16" s="1"/>
  <c r="T737" i="16" s="1"/>
  <c r="T738" i="16" s="1"/>
  <c r="T739" i="16" s="1"/>
  <c r="T740" i="16" s="1"/>
  <c r="T741" i="16" s="1"/>
  <c r="T742" i="16" s="1"/>
  <c r="T743" i="16" s="1"/>
  <c r="T744" i="16" s="1"/>
  <c r="T745" i="16" s="1"/>
  <c r="T746" i="16" s="1"/>
  <c r="T747" i="16" s="1"/>
  <c r="T748" i="16" s="1"/>
  <c r="T749" i="16" s="1"/>
  <c r="T750" i="16" s="1"/>
  <c r="T751" i="16" s="1"/>
  <c r="T752" i="16" s="1"/>
  <c r="T753" i="16" s="1"/>
  <c r="T754" i="16" s="1"/>
  <c r="T755" i="16" s="1"/>
  <c r="T756" i="16" s="1"/>
  <c r="T757" i="16" s="1"/>
  <c r="T758" i="16" s="1"/>
  <c r="T759" i="16" s="1"/>
  <c r="T760" i="16" s="1"/>
  <c r="T761" i="16" s="1"/>
  <c r="T762" i="16" s="1"/>
  <c r="T763" i="16" s="1"/>
  <c r="T764" i="16" s="1"/>
  <c r="T765" i="16" s="1"/>
  <c r="T766" i="16" s="1"/>
  <c r="T767" i="16" s="1"/>
  <c r="T768" i="16" s="1"/>
  <c r="T769" i="16" s="1"/>
  <c r="T770" i="16" s="1"/>
  <c r="T771" i="16" s="1"/>
  <c r="T772" i="16" s="1"/>
  <c r="T773" i="16" s="1"/>
  <c r="T774" i="16" s="1"/>
  <c r="T775" i="16" s="1"/>
  <c r="T776" i="16" s="1"/>
  <c r="T777" i="16" s="1"/>
  <c r="T778" i="16" s="1"/>
  <c r="T779" i="16" s="1"/>
  <c r="T780" i="16" s="1"/>
  <c r="T781" i="16" s="1"/>
  <c r="T782" i="16" s="1"/>
  <c r="T783" i="16" s="1"/>
  <c r="T784" i="16" s="1"/>
  <c r="T785" i="16" s="1"/>
  <c r="T786" i="16" s="1"/>
  <c r="T787" i="16" s="1"/>
  <c r="T788" i="16" s="1"/>
  <c r="T789" i="16" s="1"/>
  <c r="T790" i="16" s="1"/>
  <c r="T791" i="16" s="1"/>
  <c r="T792" i="16" s="1"/>
  <c r="T793" i="16" s="1"/>
  <c r="T794" i="16" s="1"/>
  <c r="T795" i="16" s="1"/>
  <c r="T796" i="16" s="1"/>
  <c r="T797" i="16" s="1"/>
  <c r="T798" i="16" s="1"/>
  <c r="T799" i="16" s="1"/>
  <c r="T800" i="16" s="1"/>
  <c r="T801" i="16" s="1"/>
  <c r="T802" i="16" s="1"/>
  <c r="T803" i="16" s="1"/>
  <c r="T804" i="16" s="1"/>
  <c r="T805" i="16" s="1"/>
  <c r="T806" i="16" s="1"/>
  <c r="T807" i="16" s="1"/>
  <c r="T808" i="16" s="1"/>
  <c r="T809" i="16" s="1"/>
  <c r="T810" i="16" s="1"/>
  <c r="T811" i="16" s="1"/>
  <c r="T812" i="16" s="1"/>
  <c r="T813" i="16" s="1"/>
  <c r="T814" i="16" s="1"/>
  <c r="T815" i="16" s="1"/>
  <c r="T816" i="16" s="1"/>
  <c r="T817" i="16" s="1"/>
  <c r="T818" i="16" s="1"/>
  <c r="T819" i="16" s="1"/>
  <c r="T820" i="16" s="1"/>
  <c r="T821" i="16" s="1"/>
  <c r="T822" i="16" s="1"/>
  <c r="T823" i="16" s="1"/>
  <c r="T824" i="16" s="1"/>
  <c r="T825" i="16" s="1"/>
  <c r="T826" i="16" s="1"/>
  <c r="T827" i="16" s="1"/>
  <c r="T828" i="16" s="1"/>
  <c r="T829" i="16" s="1"/>
  <c r="T830" i="16" s="1"/>
  <c r="T831" i="16" s="1"/>
  <c r="T832" i="16" s="1"/>
  <c r="T833" i="16" s="1"/>
  <c r="T834" i="16" s="1"/>
  <c r="T835" i="16" s="1"/>
  <c r="T836" i="16" s="1"/>
  <c r="T837" i="16" s="1"/>
  <c r="T838" i="16" s="1"/>
  <c r="T839" i="16" s="1"/>
  <c r="T840" i="16" s="1"/>
  <c r="T841" i="16" s="1"/>
  <c r="T842" i="16" s="1"/>
  <c r="T843" i="16" s="1"/>
  <c r="T844" i="16" s="1"/>
  <c r="T845" i="16" s="1"/>
  <c r="T846" i="16" s="1"/>
  <c r="T847" i="16" s="1"/>
  <c r="T848" i="16" s="1"/>
  <c r="T849" i="16" s="1"/>
  <c r="T850" i="16" s="1"/>
  <c r="T851" i="16" s="1"/>
  <c r="T852" i="16" s="1"/>
  <c r="T853" i="16" s="1"/>
  <c r="T854" i="16" s="1"/>
  <c r="T855" i="16" s="1"/>
  <c r="T856" i="16" s="1"/>
  <c r="T857" i="16" s="1"/>
  <c r="T858" i="16" s="1"/>
  <c r="T859" i="16" s="1"/>
  <c r="T860" i="16" s="1"/>
  <c r="T861" i="16" s="1"/>
  <c r="T862" i="16" s="1"/>
  <c r="T863" i="16" s="1"/>
  <c r="T864" i="16" s="1"/>
  <c r="T865" i="16" s="1"/>
  <c r="T866" i="16" s="1"/>
  <c r="T867" i="16" s="1"/>
  <c r="T868" i="16" s="1"/>
  <c r="T869" i="16" s="1"/>
  <c r="T870" i="16" s="1"/>
  <c r="T871" i="16" s="1"/>
  <c r="T872" i="16" s="1"/>
  <c r="T873" i="16" s="1"/>
  <c r="T874" i="16" s="1"/>
  <c r="T875" i="16" s="1"/>
  <c r="T876" i="16" s="1"/>
  <c r="T877" i="16" s="1"/>
  <c r="T878" i="16" s="1"/>
  <c r="T879" i="16" s="1"/>
  <c r="T880" i="16" s="1"/>
  <c r="T881" i="16" s="1"/>
  <c r="T882" i="16" s="1"/>
  <c r="T883" i="16" s="1"/>
  <c r="T884" i="16" s="1"/>
  <c r="T885" i="16" s="1"/>
  <c r="T886" i="16" s="1"/>
  <c r="T887" i="16" s="1"/>
  <c r="T888" i="16" s="1"/>
  <c r="T889" i="16" s="1"/>
  <c r="T890" i="16" s="1"/>
  <c r="T891" i="16" s="1"/>
  <c r="T892" i="16" s="1"/>
  <c r="T893" i="16" s="1"/>
  <c r="T894" i="16" s="1"/>
  <c r="T895" i="16" s="1"/>
  <c r="T896" i="16" s="1"/>
  <c r="T897" i="16" s="1"/>
  <c r="T898" i="16" s="1"/>
  <c r="T899" i="16" s="1"/>
  <c r="T900" i="16" s="1"/>
  <c r="T901" i="16" s="1"/>
  <c r="T902" i="16" s="1"/>
  <c r="T903" i="16" s="1"/>
  <c r="T904" i="16" s="1"/>
  <c r="T905" i="16" s="1"/>
  <c r="T906" i="16" s="1"/>
  <c r="T907" i="16" s="1"/>
  <c r="T908" i="16" s="1"/>
  <c r="T909" i="16" s="1"/>
  <c r="T910" i="16" s="1"/>
  <c r="T911" i="16" s="1"/>
  <c r="T912" i="16" s="1"/>
  <c r="T913" i="16" s="1"/>
  <c r="T914" i="16" s="1"/>
  <c r="T915" i="16" s="1"/>
  <c r="T916" i="16" s="1"/>
  <c r="T917" i="16" s="1"/>
  <c r="T918" i="16" s="1"/>
  <c r="T919" i="16" s="1"/>
  <c r="T920" i="16" s="1"/>
  <c r="T921" i="16" s="1"/>
  <c r="T922" i="16" s="1"/>
  <c r="T923" i="16" s="1"/>
  <c r="T924" i="16" s="1"/>
  <c r="T925" i="16" s="1"/>
  <c r="T926" i="16" s="1"/>
  <c r="T927" i="16" s="1"/>
  <c r="T928" i="16" s="1"/>
  <c r="T929" i="16" s="1"/>
  <c r="T930" i="16" s="1"/>
  <c r="T931" i="16" s="1"/>
  <c r="T932" i="16" s="1"/>
  <c r="T933" i="16" s="1"/>
  <c r="T934" i="16" s="1"/>
  <c r="T935" i="16" s="1"/>
  <c r="T936" i="16" s="1"/>
  <c r="T937" i="16" s="1"/>
  <c r="T938" i="16" s="1"/>
  <c r="T939" i="16" s="1"/>
  <c r="T940" i="16" s="1"/>
  <c r="T941" i="16" s="1"/>
  <c r="T942" i="16" s="1"/>
  <c r="T943" i="16" s="1"/>
  <c r="T944" i="16" s="1"/>
  <c r="T945" i="16" s="1"/>
  <c r="T946" i="16" s="1"/>
  <c r="T947" i="16" s="1"/>
  <c r="T948" i="16" s="1"/>
  <c r="T949" i="16" s="1"/>
  <c r="T950" i="16" s="1"/>
  <c r="T951" i="16" s="1"/>
  <c r="T952" i="16" s="1"/>
  <c r="T953" i="16" s="1"/>
  <c r="T954" i="16" s="1"/>
  <c r="T955" i="16" s="1"/>
  <c r="T956" i="16" s="1"/>
  <c r="T957" i="16" s="1"/>
  <c r="T958" i="16" s="1"/>
  <c r="T959" i="16" s="1"/>
  <c r="T960" i="16" s="1"/>
  <c r="T961" i="16" s="1"/>
  <c r="T962" i="16" s="1"/>
  <c r="T963" i="16" s="1"/>
  <c r="T964" i="16" s="1"/>
  <c r="T965" i="16" s="1"/>
  <c r="T966" i="16" s="1"/>
  <c r="T967" i="16" s="1"/>
  <c r="T968" i="16" s="1"/>
  <c r="T969" i="16" s="1"/>
  <c r="T970" i="16" s="1"/>
  <c r="T971" i="16" s="1"/>
  <c r="T972" i="16" s="1"/>
  <c r="T973" i="16" s="1"/>
  <c r="T974" i="16" s="1"/>
  <c r="T975" i="16" s="1"/>
  <c r="T976" i="16" s="1"/>
  <c r="T977" i="16" s="1"/>
  <c r="T978" i="16" s="1"/>
  <c r="T979" i="16" s="1"/>
  <c r="T980" i="16" s="1"/>
  <c r="T981" i="16" s="1"/>
  <c r="T982" i="16" s="1"/>
  <c r="T983" i="16" s="1"/>
  <c r="T984" i="16" s="1"/>
  <c r="T985" i="16" s="1"/>
  <c r="T986" i="16" s="1"/>
  <c r="T987" i="16" s="1"/>
  <c r="T988" i="16" s="1"/>
  <c r="T989" i="16" s="1"/>
  <c r="T990" i="16" s="1"/>
  <c r="T991" i="16" s="1"/>
  <c r="T992" i="16" s="1"/>
  <c r="T993" i="16" s="1"/>
  <c r="T994" i="16" s="1"/>
  <c r="T995" i="16" s="1"/>
  <c r="T996" i="16" s="1"/>
  <c r="T997" i="16" s="1"/>
  <c r="T998" i="16" s="1"/>
  <c r="T999" i="16" s="1"/>
  <c r="T1000" i="16" s="1"/>
  <c r="T1001" i="16" s="1"/>
  <c r="T1002" i="16" s="1"/>
  <c r="T1003" i="16" s="1"/>
  <c r="T1004" i="16" s="1"/>
  <c r="T1005" i="16" s="1"/>
  <c r="T1006" i="16" s="1"/>
  <c r="T1007" i="16" s="1"/>
  <c r="T1008" i="16" s="1"/>
  <c r="T1009" i="16" s="1"/>
  <c r="T1010" i="16" s="1"/>
  <c r="T1011" i="16" s="1"/>
  <c r="T1012" i="16" s="1"/>
  <c r="T1013" i="16" s="1"/>
  <c r="T1014" i="16" s="1"/>
  <c r="T1015" i="16" s="1"/>
  <c r="T1016" i="16" s="1"/>
  <c r="T1017" i="16" s="1"/>
  <c r="T1018" i="16" s="1"/>
  <c r="T1019" i="16" s="1"/>
  <c r="T1020" i="16" s="1"/>
  <c r="T1021" i="16" s="1"/>
  <c r="T1022" i="16" s="1"/>
  <c r="T1023" i="16" s="1"/>
  <c r="T1024" i="16" s="1"/>
  <c r="T1025" i="16" s="1"/>
  <c r="T1026" i="16" s="1"/>
  <c r="T1027" i="16" s="1"/>
  <c r="T1028" i="16" s="1"/>
  <c r="T1029" i="16" s="1"/>
  <c r="T1030" i="16" s="1"/>
  <c r="T1031" i="16" s="1"/>
  <c r="T1032" i="16" s="1"/>
  <c r="T1033" i="16" s="1"/>
  <c r="T1034" i="16" s="1"/>
  <c r="T1035" i="16" s="1"/>
  <c r="T1036" i="16" s="1"/>
  <c r="T1037" i="16" s="1"/>
  <c r="T1038" i="16" s="1"/>
  <c r="T1039" i="16" s="1"/>
  <c r="T1040" i="16" s="1"/>
  <c r="T1041" i="16" s="1"/>
  <c r="T1042" i="16" s="1"/>
  <c r="T1043" i="16" s="1"/>
  <c r="T1044" i="16" s="1"/>
  <c r="T1045" i="16" s="1"/>
  <c r="T1046" i="16" s="1"/>
  <c r="T1047" i="16" s="1"/>
  <c r="T1048" i="16" s="1"/>
  <c r="T1049" i="16" s="1"/>
  <c r="T1050" i="16" s="1"/>
  <c r="T1051" i="16" s="1"/>
  <c r="T1052" i="16" s="1"/>
  <c r="T1053" i="16" s="1"/>
  <c r="T1054" i="16" s="1"/>
  <c r="T1055" i="16" s="1"/>
  <c r="T1056" i="16" s="1"/>
  <c r="T1057" i="16" s="1"/>
  <c r="T1058" i="16" s="1"/>
  <c r="T1059" i="16" s="1"/>
  <c r="T1060" i="16" s="1"/>
  <c r="T1061" i="16" s="1"/>
  <c r="T1062" i="16" s="1"/>
  <c r="T1063" i="16" s="1"/>
  <c r="T1064" i="16" s="1"/>
  <c r="T1065" i="16" s="1"/>
  <c r="T1066" i="16" s="1"/>
  <c r="T1067" i="16" s="1"/>
  <c r="T1068" i="16" s="1"/>
  <c r="T1069" i="16" s="1"/>
  <c r="T1070" i="16" s="1"/>
  <c r="T1071" i="16" s="1"/>
  <c r="T1072" i="16" s="1"/>
  <c r="T1073" i="16" s="1"/>
  <c r="T1074" i="16" s="1"/>
  <c r="T1075" i="16" s="1"/>
  <c r="T1076" i="16" s="1"/>
  <c r="T1077" i="16" s="1"/>
  <c r="T1078" i="16" s="1"/>
  <c r="T1079" i="16" s="1"/>
  <c r="T1080" i="16" s="1"/>
  <c r="T1081" i="16" s="1"/>
  <c r="T1082" i="16" s="1"/>
  <c r="T1083" i="16" s="1"/>
  <c r="T1084" i="16" s="1"/>
  <c r="T1085" i="16" s="1"/>
  <c r="T1086" i="16" s="1"/>
  <c r="T1087" i="16" s="1"/>
  <c r="T1088" i="16" s="1"/>
  <c r="T1089" i="16" s="1"/>
  <c r="T1090" i="16" s="1"/>
  <c r="T1091" i="16" s="1"/>
  <c r="T1092" i="16" s="1"/>
  <c r="T1093" i="16" s="1"/>
  <c r="T1094" i="16" s="1"/>
  <c r="T1095" i="16" s="1"/>
  <c r="T1096" i="16" s="1"/>
  <c r="T1097" i="16" s="1"/>
  <c r="T1098" i="16" s="1"/>
  <c r="T1099" i="16" s="1"/>
  <c r="T1100" i="16" s="1"/>
  <c r="T1101" i="16" s="1"/>
  <c r="T1102" i="16" s="1"/>
  <c r="T1103" i="16" s="1"/>
  <c r="T1104" i="16" s="1"/>
  <c r="T1105" i="16" s="1"/>
  <c r="T1106" i="16" s="1"/>
  <c r="T1107" i="16" s="1"/>
  <c r="T1108" i="16" s="1"/>
  <c r="T1109" i="16" s="1"/>
  <c r="T1110" i="16" s="1"/>
  <c r="T1111" i="16" s="1"/>
  <c r="T1112" i="16" s="1"/>
  <c r="T1113" i="16" s="1"/>
  <c r="T1114" i="16" s="1"/>
  <c r="T1115" i="16" s="1"/>
  <c r="T1116" i="16" s="1"/>
  <c r="T1117" i="16" s="1"/>
  <c r="T1118" i="16" s="1"/>
  <c r="T1119" i="16" s="1"/>
  <c r="T1120" i="16" s="1"/>
  <c r="T1121" i="16" s="1"/>
  <c r="T1122" i="16" s="1"/>
  <c r="T1123" i="16" s="1"/>
  <c r="T1124" i="16" s="1"/>
  <c r="T1125" i="16" s="1"/>
  <c r="T1126" i="16" s="1"/>
  <c r="T1127" i="16" s="1"/>
  <c r="T1128" i="16" s="1"/>
  <c r="T1129" i="16" s="1"/>
  <c r="T1130" i="16" s="1"/>
  <c r="T1131" i="16" s="1"/>
  <c r="T1132" i="16" s="1"/>
  <c r="T1133" i="16" s="1"/>
  <c r="T1134" i="16" s="1"/>
  <c r="T1135" i="16" s="1"/>
  <c r="T1136" i="16" s="1"/>
  <c r="T1137" i="16" s="1"/>
  <c r="T1138" i="16" s="1"/>
  <c r="T1139" i="16" s="1"/>
  <c r="T1140" i="16" s="1"/>
  <c r="T1141" i="16" s="1"/>
  <c r="T1142" i="16" s="1"/>
  <c r="T1143" i="16" s="1"/>
  <c r="T1144" i="16" s="1"/>
  <c r="T1145" i="16" s="1"/>
  <c r="T1146" i="16" s="1"/>
  <c r="T1147" i="16" s="1"/>
  <c r="T1148" i="16" s="1"/>
  <c r="T1149" i="16" s="1"/>
  <c r="T1150" i="16" s="1"/>
  <c r="T1151" i="16" s="1"/>
  <c r="T1152" i="16" s="1"/>
  <c r="T1153" i="16" s="1"/>
  <c r="T1154" i="16" s="1"/>
  <c r="T1155" i="16" s="1"/>
  <c r="T1156" i="16" s="1"/>
  <c r="T1157" i="16" s="1"/>
  <c r="T1158" i="16" s="1"/>
  <c r="T1159" i="16" s="1"/>
  <c r="T1160" i="16" s="1"/>
  <c r="T1161" i="16" s="1"/>
  <c r="T1162" i="16" s="1"/>
  <c r="T1163" i="16" s="1"/>
  <c r="T1164" i="16" s="1"/>
  <c r="T1165" i="16" s="1"/>
  <c r="T1166" i="16" s="1"/>
  <c r="T1167" i="16" s="1"/>
  <c r="T1168" i="16" s="1"/>
  <c r="T1169" i="16" s="1"/>
  <c r="T1170" i="16" s="1"/>
  <c r="T1171" i="16" s="1"/>
  <c r="T1172" i="16" s="1"/>
  <c r="T1173" i="16" s="1"/>
  <c r="T1174" i="16" s="1"/>
  <c r="T1175" i="16" s="1"/>
  <c r="T1176" i="16" s="1"/>
  <c r="T1177" i="16" s="1"/>
  <c r="T1178" i="16" s="1"/>
  <c r="T1179" i="16" s="1"/>
  <c r="T1180" i="16" s="1"/>
  <c r="T1181" i="16" s="1"/>
  <c r="T1182" i="16" s="1"/>
  <c r="T1183" i="16" s="1"/>
  <c r="T1184" i="16" s="1"/>
  <c r="T1185" i="16" s="1"/>
  <c r="T1186" i="16" s="1"/>
  <c r="T1187" i="16" s="1"/>
  <c r="T1188" i="16" s="1"/>
  <c r="T1189" i="16" s="1"/>
  <c r="T1190" i="16" s="1"/>
  <c r="T1191" i="16" s="1"/>
  <c r="T1192" i="16" s="1"/>
  <c r="T1193" i="16" s="1"/>
  <c r="T1194" i="16" s="1"/>
  <c r="T1195" i="16" s="1"/>
  <c r="T1196" i="16" s="1"/>
  <c r="T1197" i="16" s="1"/>
  <c r="T1198" i="16" s="1"/>
  <c r="T1199" i="16" s="1"/>
  <c r="T1200" i="16" s="1"/>
  <c r="T1201" i="16" s="1"/>
  <c r="T1202" i="16" s="1"/>
  <c r="T1203" i="16" s="1"/>
  <c r="T1204" i="16" s="1"/>
  <c r="T1205" i="16" s="1"/>
  <c r="T1206" i="16" s="1"/>
  <c r="T1207" i="16" s="1"/>
  <c r="T1208" i="16" s="1"/>
  <c r="T1209" i="16" s="1"/>
  <c r="T1210" i="16" s="1"/>
  <c r="T1211" i="16" s="1"/>
  <c r="T1212" i="16" s="1"/>
  <c r="T1213" i="16" s="1"/>
  <c r="T1214" i="16" s="1"/>
  <c r="T1215" i="16" s="1"/>
  <c r="T1216" i="16" s="1"/>
  <c r="T1217" i="16" s="1"/>
  <c r="T1218" i="16" s="1"/>
  <c r="T1219" i="16" s="1"/>
  <c r="T1220" i="16" s="1"/>
  <c r="T1221" i="16" s="1"/>
  <c r="T1222" i="16" s="1"/>
  <c r="T1223" i="16" s="1"/>
  <c r="T1224" i="16" s="1"/>
  <c r="T1225" i="16" s="1"/>
  <c r="T1226" i="16" s="1"/>
  <c r="T1227" i="16" s="1"/>
  <c r="T1228" i="16" s="1"/>
  <c r="T1229" i="16" s="1"/>
  <c r="T1230" i="16" s="1"/>
  <c r="T1231" i="16" s="1"/>
  <c r="T1232" i="16" s="1"/>
  <c r="T1233" i="16" s="1"/>
  <c r="T1234" i="16" s="1"/>
  <c r="T1235" i="16" s="1"/>
  <c r="T1236" i="16" s="1"/>
  <c r="T1237" i="16" s="1"/>
  <c r="T1238" i="16" s="1"/>
  <c r="T1239" i="16" s="1"/>
  <c r="T1240" i="16" s="1"/>
  <c r="T1241" i="16" s="1"/>
  <c r="T1242" i="16" s="1"/>
  <c r="T1243" i="16" s="1"/>
  <c r="T1244" i="16" s="1"/>
  <c r="T1245" i="16" s="1"/>
  <c r="T1246" i="16" s="1"/>
  <c r="T1247" i="16" s="1"/>
  <c r="T1248" i="16" s="1"/>
  <c r="T1249" i="16" s="1"/>
  <c r="T1250" i="16" s="1"/>
  <c r="T1251" i="16" s="1"/>
  <c r="T1252" i="16" s="1"/>
  <c r="T1253" i="16" s="1"/>
  <c r="T1254" i="16" s="1"/>
  <c r="T1255" i="16" s="1"/>
  <c r="T1256" i="16" s="1"/>
  <c r="T1257" i="16" s="1"/>
  <c r="T1258" i="16" s="1"/>
  <c r="T1259" i="16" s="1"/>
  <c r="T1260" i="16" s="1"/>
  <c r="T1261" i="16" s="1"/>
  <c r="T1262" i="16" s="1"/>
  <c r="T1263" i="16" s="1"/>
  <c r="T1264" i="16" s="1"/>
  <c r="T1265" i="16" s="1"/>
  <c r="T1266" i="16" s="1"/>
  <c r="T1267" i="16" s="1"/>
  <c r="T1268" i="16" s="1"/>
  <c r="T1269" i="16" s="1"/>
  <c r="T1270" i="16" s="1"/>
  <c r="T1271" i="16" s="1"/>
  <c r="T1272" i="16" s="1"/>
  <c r="T1273" i="16" s="1"/>
  <c r="T1274" i="16" s="1"/>
  <c r="T1275" i="16" s="1"/>
  <c r="T1276" i="16" s="1"/>
  <c r="T1277" i="16" s="1"/>
  <c r="T1278" i="16" s="1"/>
  <c r="T1279" i="16" s="1"/>
  <c r="T1280" i="16" s="1"/>
  <c r="T1281" i="16" s="1"/>
  <c r="T1282" i="16" s="1"/>
  <c r="T1283" i="16" s="1"/>
  <c r="T1284" i="16" s="1"/>
  <c r="T1285" i="16" s="1"/>
  <c r="T1286" i="16" s="1"/>
  <c r="T1287" i="16" s="1"/>
  <c r="T1288" i="16" s="1"/>
  <c r="T1289" i="16" s="1"/>
  <c r="T1290" i="16" s="1"/>
  <c r="T1291" i="16" s="1"/>
  <c r="T1292" i="16" s="1"/>
  <c r="T1293" i="16" s="1"/>
  <c r="T1294" i="16" s="1"/>
  <c r="T1295" i="16" s="1"/>
  <c r="T1296" i="16" s="1"/>
  <c r="T1297" i="16" s="1"/>
  <c r="T1298" i="16" s="1"/>
  <c r="T1299" i="16" s="1"/>
  <c r="T1300" i="16" s="1"/>
  <c r="T1301" i="16" s="1"/>
  <c r="T1302" i="16" s="1"/>
  <c r="T1303" i="16" s="1"/>
  <c r="T1304" i="16" s="1"/>
  <c r="T1305" i="16" s="1"/>
  <c r="T1306" i="16" s="1"/>
  <c r="T1307" i="16" s="1"/>
  <c r="T1308" i="16" s="1"/>
  <c r="T1309" i="16" s="1"/>
  <c r="T1310" i="16" s="1"/>
  <c r="T1311" i="16" s="1"/>
  <c r="T1312" i="16" s="1"/>
  <c r="T1313" i="16" s="1"/>
  <c r="T1314" i="16" s="1"/>
  <c r="T1315" i="16" s="1"/>
  <c r="T1316" i="16" s="1"/>
  <c r="T1317" i="16" s="1"/>
  <c r="T1318" i="16" s="1"/>
  <c r="T1319" i="16" s="1"/>
  <c r="T1320" i="16" s="1"/>
  <c r="T1321" i="16" s="1"/>
  <c r="T1322" i="16" s="1"/>
  <c r="T1323" i="16" s="1"/>
  <c r="T1324" i="16" s="1"/>
  <c r="T1325" i="16" s="1"/>
  <c r="T1326" i="16" s="1"/>
  <c r="T1327" i="16" s="1"/>
  <c r="T1328" i="16" s="1"/>
  <c r="T1329" i="16" s="1"/>
  <c r="T1330" i="16" s="1"/>
  <c r="T1331" i="16" s="1"/>
  <c r="T1332" i="16" s="1"/>
  <c r="T1333" i="16" s="1"/>
  <c r="T1334" i="16" s="1"/>
  <c r="T1335" i="16" s="1"/>
  <c r="T1336" i="16" s="1"/>
  <c r="T1337" i="16" s="1"/>
  <c r="T1338" i="16" s="1"/>
  <c r="T1339" i="16" s="1"/>
  <c r="T1340" i="16" s="1"/>
  <c r="T1341" i="16" s="1"/>
  <c r="T1342" i="16" s="1"/>
  <c r="T1343" i="16" s="1"/>
  <c r="T1344" i="16" s="1"/>
  <c r="T1345" i="16" s="1"/>
  <c r="T1346" i="16" s="1"/>
  <c r="T1347" i="16" s="1"/>
  <c r="T1348" i="16" s="1"/>
  <c r="T1349" i="16" s="1"/>
  <c r="T1350" i="16" s="1"/>
  <c r="T1351" i="16" s="1"/>
  <c r="T1352" i="16" s="1"/>
  <c r="T1353" i="16" s="1"/>
  <c r="T1354" i="16" s="1"/>
  <c r="T1355" i="16" s="1"/>
  <c r="T1356" i="16" s="1"/>
  <c r="T1357" i="16" s="1"/>
  <c r="T1358" i="16" s="1"/>
  <c r="T1359" i="16" s="1"/>
  <c r="T1360" i="16" s="1"/>
  <c r="T1361" i="16" s="1"/>
  <c r="T1362" i="16" s="1"/>
  <c r="T1363" i="16" s="1"/>
  <c r="T1364" i="16" s="1"/>
  <c r="T1365" i="16" s="1"/>
  <c r="T1366" i="16" s="1"/>
  <c r="T1367" i="16" s="1"/>
  <c r="T1368" i="16" s="1"/>
  <c r="T1369" i="16" s="1"/>
  <c r="T1370" i="16" s="1"/>
  <c r="T1371" i="16" s="1"/>
  <c r="T1372" i="16" s="1"/>
  <c r="T1373" i="16" s="1"/>
  <c r="T1374" i="16" s="1"/>
  <c r="T1375" i="16" s="1"/>
  <c r="T1376" i="16" s="1"/>
  <c r="T1377" i="16" s="1"/>
  <c r="T1378" i="16" s="1"/>
  <c r="T1379" i="16" s="1"/>
  <c r="T1380" i="16" s="1"/>
  <c r="T1381" i="16" s="1"/>
  <c r="T1382" i="16" s="1"/>
  <c r="T1383" i="16" s="1"/>
  <c r="T1384" i="16" s="1"/>
  <c r="T1385" i="16" s="1"/>
  <c r="T1386" i="16" s="1"/>
  <c r="T1387" i="16" s="1"/>
  <c r="T1388" i="16" s="1"/>
  <c r="T1389" i="16" s="1"/>
  <c r="T1390" i="16" s="1"/>
  <c r="T1391" i="16" s="1"/>
  <c r="T1392" i="16" s="1"/>
  <c r="T1393" i="16" s="1"/>
  <c r="T1394" i="16" s="1"/>
  <c r="T1395" i="16" s="1"/>
  <c r="T1396" i="16" s="1"/>
  <c r="T1397" i="16" s="1"/>
  <c r="T1398" i="16" s="1"/>
  <c r="T1399" i="16" s="1"/>
  <c r="T1400" i="16" s="1"/>
  <c r="T1401" i="16" s="1"/>
  <c r="T1402" i="16" s="1"/>
  <c r="T1403" i="16" s="1"/>
  <c r="T1404" i="16" s="1"/>
  <c r="T1405" i="16" s="1"/>
  <c r="T1406" i="16" s="1"/>
  <c r="T1407" i="16" s="1"/>
  <c r="T1408" i="16" s="1"/>
  <c r="T1409" i="16" s="1"/>
  <c r="T1410" i="16" s="1"/>
  <c r="T1411" i="16" s="1"/>
  <c r="T1412" i="16" s="1"/>
  <c r="T1413" i="16" s="1"/>
  <c r="T1414" i="16" s="1"/>
  <c r="T1415" i="16" s="1"/>
  <c r="T1416" i="16" s="1"/>
  <c r="T1417" i="16" s="1"/>
  <c r="T1418" i="16" s="1"/>
  <c r="T1419" i="16" s="1"/>
  <c r="T1420" i="16" s="1"/>
  <c r="T1421" i="16" s="1"/>
  <c r="T1422" i="16" s="1"/>
  <c r="T1423" i="16" s="1"/>
  <c r="T1424" i="16" s="1"/>
  <c r="T1425" i="16" s="1"/>
  <c r="T1426" i="16" s="1"/>
  <c r="T1427" i="16" s="1"/>
  <c r="T1428" i="16" s="1"/>
  <c r="T1429" i="16" s="1"/>
  <c r="T1430" i="16" s="1"/>
  <c r="T1431" i="16" s="1"/>
  <c r="T1432" i="16" s="1"/>
  <c r="T1433" i="16" s="1"/>
  <c r="T1434" i="16" s="1"/>
  <c r="T1435" i="16" s="1"/>
  <c r="T1436" i="16" s="1"/>
  <c r="T1437" i="16" s="1"/>
  <c r="T1438" i="16" s="1"/>
  <c r="T1439" i="16" s="1"/>
  <c r="T1440" i="16" s="1"/>
  <c r="T1441" i="16" s="1"/>
  <c r="T1442" i="16" s="1"/>
  <c r="T1443" i="16" s="1"/>
  <c r="T1444" i="16" s="1"/>
  <c r="T1445" i="16" s="1"/>
  <c r="T1446" i="16" s="1"/>
  <c r="T1447" i="16" s="1"/>
  <c r="T1448" i="16" s="1"/>
  <c r="T1449" i="16" s="1"/>
  <c r="T1450" i="16" s="1"/>
  <c r="T1451" i="16" s="1"/>
  <c r="T1452" i="16" s="1"/>
  <c r="T1453" i="16" s="1"/>
  <c r="T1454" i="16" s="1"/>
  <c r="T1455" i="16" s="1"/>
  <c r="T1456" i="16" s="1"/>
  <c r="T1457" i="16" s="1"/>
  <c r="T1458" i="16" s="1"/>
  <c r="T1459" i="16" s="1"/>
  <c r="T1460" i="16" s="1"/>
  <c r="T1461" i="16" s="1"/>
  <c r="T1462" i="16" s="1"/>
  <c r="T1463" i="16" s="1"/>
  <c r="T1464" i="16" s="1"/>
  <c r="T1465" i="16" s="1"/>
  <c r="T1466" i="16" s="1"/>
  <c r="T1467" i="16" s="1"/>
  <c r="T1468" i="16" s="1"/>
  <c r="T1469" i="16" s="1"/>
  <c r="T1470" i="16" s="1"/>
  <c r="T1471" i="16" s="1"/>
  <c r="T1472" i="16" s="1"/>
  <c r="T1473" i="16" s="1"/>
  <c r="T1474" i="16" s="1"/>
  <c r="T1475" i="16" s="1"/>
  <c r="T1476" i="16" s="1"/>
  <c r="T1477" i="16" s="1"/>
  <c r="T1478" i="16" s="1"/>
  <c r="T1479" i="16" s="1"/>
  <c r="T1480" i="16" s="1"/>
  <c r="T1481" i="16" s="1"/>
  <c r="T1482" i="16" s="1"/>
  <c r="T1483" i="16" s="1"/>
  <c r="T1484" i="16" s="1"/>
  <c r="T1485" i="16" s="1"/>
  <c r="T1486" i="16" s="1"/>
  <c r="T1487" i="16" s="1"/>
  <c r="T1488" i="16" s="1"/>
  <c r="T1489" i="16" s="1"/>
  <c r="T1490" i="16" s="1"/>
  <c r="T1491" i="16" s="1"/>
  <c r="T1492" i="16" s="1"/>
  <c r="T1493" i="16" s="1"/>
  <c r="T1494" i="16" s="1"/>
  <c r="T1495" i="16" s="1"/>
  <c r="T1496" i="16" s="1"/>
  <c r="T1497" i="16" s="1"/>
  <c r="T1498" i="16" s="1"/>
  <c r="T1499" i="16" s="1"/>
  <c r="T1500" i="16" s="1"/>
  <c r="T1501" i="16" s="1"/>
  <c r="T1502" i="16" s="1"/>
  <c r="T1503" i="16" s="1"/>
  <c r="T1504" i="16" s="1"/>
  <c r="T1505" i="16" s="1"/>
  <c r="T1506" i="16" s="1"/>
  <c r="T1507" i="16" s="1"/>
  <c r="T1508" i="16" s="1"/>
  <c r="T1509" i="16" s="1"/>
  <c r="T1510" i="16" s="1"/>
  <c r="T1511" i="16" s="1"/>
  <c r="T1512" i="16" s="1"/>
  <c r="T1513" i="16" s="1"/>
  <c r="T1514" i="16" s="1"/>
  <c r="T1515" i="16" s="1"/>
  <c r="T1516" i="16" s="1"/>
  <c r="T1517" i="16" s="1"/>
  <c r="T1518" i="16" s="1"/>
  <c r="T1519" i="16" s="1"/>
  <c r="T1520" i="16" s="1"/>
  <c r="T1521" i="16" s="1"/>
  <c r="T1522" i="16" s="1"/>
  <c r="T1523" i="16" s="1"/>
  <c r="T1524" i="16" s="1"/>
  <c r="T1525" i="16" s="1"/>
  <c r="T1526" i="16" s="1"/>
  <c r="T1527" i="16" s="1"/>
  <c r="T1528" i="16" s="1"/>
  <c r="T1529" i="16" s="1"/>
  <c r="T1530" i="16" s="1"/>
  <c r="T1531" i="16" s="1"/>
  <c r="T1532" i="16" s="1"/>
  <c r="T1533" i="16" s="1"/>
  <c r="T1534" i="16" s="1"/>
  <c r="T1535" i="16" s="1"/>
  <c r="T1536" i="16" s="1"/>
  <c r="T1537" i="16" s="1"/>
  <c r="T1538" i="16" s="1"/>
  <c r="T1539" i="16" s="1"/>
  <c r="T1540" i="16" s="1"/>
  <c r="T1541" i="16" s="1"/>
  <c r="T1542" i="16" s="1"/>
  <c r="T1543" i="16" s="1"/>
  <c r="T1544" i="16" s="1"/>
  <c r="T1545" i="16" s="1"/>
  <c r="T1546" i="16" s="1"/>
  <c r="T1547" i="16" s="1"/>
  <c r="T1548" i="16" s="1"/>
  <c r="T1549" i="16" s="1"/>
  <c r="T1550" i="16" s="1"/>
  <c r="T1551" i="16" s="1"/>
  <c r="T1552" i="16" s="1"/>
  <c r="T1553" i="16" s="1"/>
  <c r="T1554" i="16" s="1"/>
  <c r="T1555" i="16" s="1"/>
  <c r="T1556" i="16" s="1"/>
  <c r="T1557" i="16" s="1"/>
  <c r="T1558" i="16" s="1"/>
  <c r="T1559" i="16" s="1"/>
  <c r="T1560" i="16" s="1"/>
  <c r="T1561" i="16" s="1"/>
  <c r="T1562" i="16" s="1"/>
  <c r="T1563" i="16" s="1"/>
  <c r="T1564" i="16" s="1"/>
  <c r="T1565" i="16" s="1"/>
  <c r="T1566" i="16" s="1"/>
  <c r="T1567" i="16" s="1"/>
  <c r="T1568" i="16" s="1"/>
  <c r="T1569" i="16" s="1"/>
  <c r="T1570" i="16" s="1"/>
  <c r="T1571" i="16" s="1"/>
  <c r="T1572" i="16" s="1"/>
  <c r="T1573" i="16" s="1"/>
  <c r="T1574" i="16" s="1"/>
  <c r="T1575" i="16" s="1"/>
  <c r="T1576" i="16" s="1"/>
  <c r="T1577" i="16" s="1"/>
  <c r="T1578" i="16" s="1"/>
  <c r="T1579" i="16" s="1"/>
  <c r="T1580" i="16" s="1"/>
  <c r="T1581" i="16" s="1"/>
  <c r="T1582" i="16" s="1"/>
  <c r="T1583" i="16" s="1"/>
  <c r="T1584" i="16" s="1"/>
  <c r="T1585" i="16" s="1"/>
  <c r="T1586" i="16" s="1"/>
  <c r="T1587" i="16" s="1"/>
  <c r="T1588" i="16" s="1"/>
  <c r="T1589" i="16" s="1"/>
  <c r="T1590" i="16" s="1"/>
  <c r="T1591" i="16" s="1"/>
  <c r="T1592" i="16" s="1"/>
  <c r="T1593" i="16" s="1"/>
  <c r="T1594" i="16" s="1"/>
  <c r="T1595" i="16" s="1"/>
  <c r="T1596" i="16" s="1"/>
  <c r="T1597" i="16" s="1"/>
  <c r="T1598" i="16" s="1"/>
  <c r="T1599" i="16" s="1"/>
  <c r="T1600" i="16" s="1"/>
  <c r="T1601" i="16" s="1"/>
  <c r="T1602" i="16" s="1"/>
  <c r="T1603" i="16" s="1"/>
  <c r="T1604" i="16" s="1"/>
  <c r="T1605" i="16" s="1"/>
  <c r="T1606" i="16" s="1"/>
  <c r="T1607" i="16" s="1"/>
  <c r="T1608" i="16" s="1"/>
  <c r="T1609" i="16" s="1"/>
  <c r="T1610" i="16" s="1"/>
  <c r="T1611" i="16" s="1"/>
  <c r="T1612" i="16" s="1"/>
  <c r="T1613" i="16" s="1"/>
  <c r="T1614" i="16" s="1"/>
  <c r="T1615" i="16" s="1"/>
  <c r="T1616" i="16" s="1"/>
  <c r="T1617" i="16" s="1"/>
  <c r="T1618" i="16" s="1"/>
  <c r="T1619" i="16" s="1"/>
  <c r="T1620" i="16" s="1"/>
  <c r="T1621" i="16" s="1"/>
  <c r="T1622" i="16" s="1"/>
  <c r="T1623" i="16" s="1"/>
  <c r="T1624" i="16" s="1"/>
  <c r="T1625" i="16" s="1"/>
  <c r="T1626" i="16" s="1"/>
  <c r="T1627" i="16" s="1"/>
  <c r="T1628" i="16" s="1"/>
  <c r="T1629" i="16" s="1"/>
  <c r="T1630" i="16" s="1"/>
  <c r="T1631" i="16" s="1"/>
  <c r="T1632" i="16" s="1"/>
  <c r="T1633" i="16" s="1"/>
  <c r="T1634" i="16" s="1"/>
  <c r="T1635" i="16" s="1"/>
  <c r="T1636" i="16" s="1"/>
  <c r="T1637" i="16" s="1"/>
  <c r="T1638" i="16" s="1"/>
  <c r="T1639" i="16" s="1"/>
  <c r="T1640" i="16" s="1"/>
  <c r="T1641" i="16" s="1"/>
  <c r="T1642" i="16" s="1"/>
  <c r="T1643" i="16" s="1"/>
  <c r="T1644" i="16" s="1"/>
  <c r="T1645" i="16" s="1"/>
  <c r="T1646" i="16" s="1"/>
  <c r="T1647" i="16" s="1"/>
  <c r="T1648" i="16" s="1"/>
  <c r="T1649" i="16" s="1"/>
  <c r="T1650" i="16" s="1"/>
  <c r="T1651" i="16" s="1"/>
  <c r="T1652" i="16" s="1"/>
  <c r="T1653" i="16" s="1"/>
  <c r="T1654" i="16" s="1"/>
  <c r="T1655" i="16" s="1"/>
  <c r="T1656" i="16" s="1"/>
  <c r="T1657" i="16" s="1"/>
  <c r="T1658" i="16" s="1"/>
  <c r="T1659" i="16" s="1"/>
  <c r="T1660" i="16" s="1"/>
  <c r="T1661" i="16" s="1"/>
  <c r="T1662" i="16" s="1"/>
  <c r="T1663" i="16" s="1"/>
  <c r="T1664" i="16" s="1"/>
  <c r="T1665" i="16" s="1"/>
  <c r="T1666" i="16" s="1"/>
  <c r="T1667" i="16" s="1"/>
  <c r="T1668" i="16" s="1"/>
  <c r="T1669" i="16" s="1"/>
  <c r="T1670" i="16" s="1"/>
  <c r="T1671" i="16" s="1"/>
  <c r="T1672" i="16" s="1"/>
  <c r="T1673" i="16" s="1"/>
  <c r="T1674" i="16" s="1"/>
  <c r="T1675" i="16" s="1"/>
  <c r="T1676" i="16" s="1"/>
  <c r="T1677" i="16" s="1"/>
  <c r="T1678" i="16" s="1"/>
  <c r="T1679" i="16" s="1"/>
  <c r="T1680" i="16" s="1"/>
  <c r="T1681" i="16" s="1"/>
  <c r="T1682" i="16" s="1"/>
  <c r="T1683" i="16" s="1"/>
  <c r="T1684" i="16" s="1"/>
  <c r="T1685" i="16" s="1"/>
  <c r="T1686" i="16" s="1"/>
  <c r="T1687" i="16" s="1"/>
  <c r="T1688" i="16" s="1"/>
  <c r="T1689" i="16" s="1"/>
  <c r="T1690" i="16" s="1"/>
  <c r="T1691" i="16" s="1"/>
  <c r="T1692" i="16" s="1"/>
  <c r="T1693" i="16" s="1"/>
  <c r="T1694" i="16" s="1"/>
  <c r="T1695" i="16" s="1"/>
  <c r="T1696" i="16" s="1"/>
  <c r="T1697" i="16" s="1"/>
  <c r="T1698" i="16" s="1"/>
  <c r="T1699" i="16" s="1"/>
  <c r="T1700" i="16" s="1"/>
  <c r="T1701" i="16" s="1"/>
  <c r="T1702" i="16" s="1"/>
  <c r="T1703" i="16" s="1"/>
  <c r="T1704" i="16" s="1"/>
  <c r="T1705" i="16" s="1"/>
  <c r="T1706" i="16" s="1"/>
  <c r="T1707" i="16" s="1"/>
  <c r="T1708" i="16" s="1"/>
  <c r="T1709" i="16" s="1"/>
  <c r="T1710" i="16" s="1"/>
  <c r="T1711" i="16" s="1"/>
  <c r="T1712" i="16" s="1"/>
  <c r="T1713" i="16" s="1"/>
  <c r="T1714" i="16" s="1"/>
  <c r="T1715" i="16" s="1"/>
  <c r="T1716" i="16" s="1"/>
  <c r="T1717" i="16" s="1"/>
  <c r="T1718" i="16" s="1"/>
  <c r="T1719" i="16" s="1"/>
  <c r="T1720" i="16" s="1"/>
  <c r="T1721" i="16" s="1"/>
  <c r="T1722" i="16" s="1"/>
  <c r="T1723" i="16" s="1"/>
  <c r="T1724" i="16" s="1"/>
  <c r="T1725" i="16" s="1"/>
  <c r="T1726" i="16" s="1"/>
  <c r="T1727" i="16" s="1"/>
  <c r="T1728" i="16" s="1"/>
  <c r="T1729" i="16" s="1"/>
  <c r="T1730" i="16" s="1"/>
  <c r="T1731" i="16" s="1"/>
  <c r="T1732" i="16" s="1"/>
  <c r="T1733" i="16" s="1"/>
  <c r="T1734" i="16" s="1"/>
  <c r="T1735" i="16" s="1"/>
  <c r="T1736" i="16" s="1"/>
  <c r="T1737" i="16" s="1"/>
  <c r="T1738" i="16" s="1"/>
  <c r="T1739" i="16" s="1"/>
  <c r="T1740" i="16" s="1"/>
  <c r="T1741" i="16" s="1"/>
  <c r="T1742" i="16" s="1"/>
  <c r="T1743" i="16" s="1"/>
  <c r="T1744" i="16" s="1"/>
  <c r="T1745" i="16" s="1"/>
  <c r="T1746" i="16" s="1"/>
  <c r="T1747" i="16" s="1"/>
  <c r="T1748" i="16" s="1"/>
  <c r="T1749" i="16" s="1"/>
  <c r="T1750" i="16" s="1"/>
  <c r="T1751" i="16" s="1"/>
  <c r="T1752" i="16" s="1"/>
  <c r="T1753" i="16" s="1"/>
  <c r="T1754" i="16" s="1"/>
  <c r="T1755" i="16" s="1"/>
  <c r="T1756" i="16" s="1"/>
  <c r="T1757" i="16" s="1"/>
  <c r="T1758" i="16" s="1"/>
  <c r="T1759" i="16" s="1"/>
  <c r="T1760" i="16" s="1"/>
  <c r="T1761" i="16" s="1"/>
  <c r="T1762" i="16" s="1"/>
  <c r="T1763" i="16" s="1"/>
  <c r="T1764" i="16" s="1"/>
  <c r="T1765" i="16" s="1"/>
  <c r="T1766" i="16" s="1"/>
  <c r="T1767" i="16" s="1"/>
  <c r="T1768" i="16" s="1"/>
  <c r="T1769" i="16" s="1"/>
  <c r="T1770" i="16" s="1"/>
  <c r="T1771" i="16" s="1"/>
  <c r="T1772" i="16" s="1"/>
  <c r="T1773" i="16" s="1"/>
  <c r="T1774" i="16" s="1"/>
  <c r="T1775" i="16" s="1"/>
  <c r="T1776" i="16" s="1"/>
  <c r="T1777" i="16" s="1"/>
  <c r="T1778" i="16" s="1"/>
  <c r="T1779" i="16" s="1"/>
  <c r="T1780" i="16" s="1"/>
  <c r="T1781" i="16" s="1"/>
  <c r="T1782" i="16" s="1"/>
  <c r="T1783" i="16" s="1"/>
  <c r="T1784" i="16" s="1"/>
  <c r="T1785" i="16" s="1"/>
  <c r="T1786" i="16" s="1"/>
  <c r="T1787" i="16" s="1"/>
  <c r="T1788" i="16" s="1"/>
  <c r="T1789" i="16" s="1"/>
  <c r="T1790" i="16" s="1"/>
  <c r="T1791" i="16" s="1"/>
  <c r="T1792" i="16" s="1"/>
  <c r="T1793" i="16" s="1"/>
  <c r="T1794" i="16" s="1"/>
  <c r="T1795" i="16" s="1"/>
  <c r="T1796" i="16" s="1"/>
  <c r="T1797" i="16" s="1"/>
  <c r="T1798" i="16" s="1"/>
  <c r="T1799" i="16" s="1"/>
  <c r="T1800" i="16" s="1"/>
  <c r="T1801" i="16" s="1"/>
  <c r="T1802" i="16" s="1"/>
  <c r="T1803" i="16" s="1"/>
  <c r="T1804" i="16" s="1"/>
  <c r="T1805" i="16" s="1"/>
  <c r="T1806" i="16" s="1"/>
  <c r="T1807" i="16" s="1"/>
  <c r="T1808" i="16" s="1"/>
  <c r="T1809" i="16" s="1"/>
  <c r="T1810" i="16" s="1"/>
  <c r="T1811" i="16" s="1"/>
  <c r="T1812" i="16" s="1"/>
  <c r="T1813" i="16" s="1"/>
  <c r="T1814" i="16" s="1"/>
  <c r="T1815" i="16" s="1"/>
  <c r="T1816" i="16" s="1"/>
  <c r="T1817" i="16" s="1"/>
  <c r="T1818" i="16" s="1"/>
  <c r="T1819" i="16" s="1"/>
  <c r="T1820" i="16" s="1"/>
  <c r="T1821" i="16" s="1"/>
  <c r="T1822" i="16" s="1"/>
  <c r="T1823" i="16" s="1"/>
  <c r="T1824" i="16" s="1"/>
  <c r="T1825" i="16" s="1"/>
  <c r="T1826" i="16" s="1"/>
  <c r="T1827" i="16" s="1"/>
  <c r="T1828" i="16" s="1"/>
  <c r="T1829" i="16" s="1"/>
  <c r="T1830" i="16" s="1"/>
  <c r="T1831" i="16" s="1"/>
  <c r="T1832" i="16" s="1"/>
  <c r="T1833" i="16" s="1"/>
  <c r="T1834" i="16" s="1"/>
  <c r="T1835" i="16" s="1"/>
  <c r="T1836" i="16" s="1"/>
  <c r="T1837" i="16" s="1"/>
  <c r="T1838" i="16" s="1"/>
  <c r="T1839" i="16" s="1"/>
  <c r="T1840" i="16" s="1"/>
  <c r="T1841" i="16" s="1"/>
  <c r="T1842" i="16" s="1"/>
  <c r="T1843" i="16" s="1"/>
  <c r="T1844" i="16" s="1"/>
  <c r="T1845" i="16" s="1"/>
  <c r="T1846" i="16" s="1"/>
  <c r="T1847" i="16" s="1"/>
  <c r="T1848" i="16" s="1"/>
  <c r="T1849" i="16" s="1"/>
  <c r="T1850" i="16" s="1"/>
  <c r="T1851" i="16" s="1"/>
  <c r="T1852" i="16" s="1"/>
  <c r="T1853" i="16" s="1"/>
  <c r="T1854" i="16" s="1"/>
  <c r="T1855" i="16" s="1"/>
  <c r="T1856" i="16" s="1"/>
  <c r="T1857" i="16" s="1"/>
  <c r="T1858" i="16" s="1"/>
  <c r="T1859" i="16" s="1"/>
  <c r="T1860" i="16" s="1"/>
  <c r="T1861" i="16" s="1"/>
  <c r="T1862" i="16" s="1"/>
  <c r="T1863" i="16" s="1"/>
  <c r="T1864" i="16" s="1"/>
  <c r="T1865" i="16" s="1"/>
  <c r="T1866" i="16" s="1"/>
  <c r="T1867" i="16" s="1"/>
  <c r="T1868" i="16" s="1"/>
  <c r="T1869" i="16" s="1"/>
  <c r="T1870" i="16" s="1"/>
  <c r="T1871" i="16" s="1"/>
  <c r="T1872" i="16" s="1"/>
  <c r="T1873" i="16" s="1"/>
  <c r="T1874" i="16" s="1"/>
  <c r="T1875" i="16" s="1"/>
  <c r="T1876" i="16" s="1"/>
  <c r="T1877" i="16" s="1"/>
  <c r="T1878" i="16" s="1"/>
  <c r="T1879" i="16" s="1"/>
  <c r="T1880" i="16" s="1"/>
  <c r="T1881" i="16" s="1"/>
  <c r="T1882" i="16" s="1"/>
  <c r="T1883" i="16" s="1"/>
  <c r="T1884" i="16" s="1"/>
  <c r="T1885" i="16" s="1"/>
  <c r="T1886" i="16" s="1"/>
  <c r="T1887" i="16" s="1"/>
  <c r="T1888" i="16" s="1"/>
  <c r="T1889" i="16" s="1"/>
  <c r="T1890" i="16" s="1"/>
  <c r="T1891" i="16" s="1"/>
  <c r="T1892" i="16" s="1"/>
  <c r="T1893" i="16" s="1"/>
  <c r="T1894" i="16" s="1"/>
  <c r="T1895" i="16" s="1"/>
  <c r="T1896" i="16" s="1"/>
  <c r="T1897" i="16" s="1"/>
  <c r="T1898" i="16" s="1"/>
  <c r="T1899" i="16" s="1"/>
  <c r="T1900" i="16" s="1"/>
  <c r="T1901" i="16" s="1"/>
  <c r="T1902" i="16" s="1"/>
  <c r="T1903" i="16" s="1"/>
  <c r="T1904" i="16" s="1"/>
  <c r="T1905" i="16" s="1"/>
  <c r="T1906" i="16" s="1"/>
  <c r="T1907" i="16" s="1"/>
  <c r="T1908" i="16" s="1"/>
  <c r="T1909" i="16" s="1"/>
  <c r="T1910" i="16" s="1"/>
  <c r="T1911" i="16" s="1"/>
  <c r="T1912" i="16" s="1"/>
  <c r="T1913" i="16" s="1"/>
  <c r="T1914" i="16" s="1"/>
  <c r="T1915" i="16" s="1"/>
  <c r="T1916" i="16" s="1"/>
  <c r="T1917" i="16" s="1"/>
  <c r="T1918" i="16" s="1"/>
  <c r="T1919" i="16" s="1"/>
  <c r="T1920" i="16" s="1"/>
  <c r="T1921" i="16" s="1"/>
  <c r="T1922" i="16" s="1"/>
  <c r="T1923" i="16" s="1"/>
  <c r="T1924" i="16" s="1"/>
  <c r="T1925" i="16" s="1"/>
  <c r="T1926" i="16" s="1"/>
  <c r="T1927" i="16" s="1"/>
  <c r="T1928" i="16" s="1"/>
  <c r="T1929" i="16" s="1"/>
  <c r="T1930" i="16" s="1"/>
  <c r="T1931" i="16" s="1"/>
  <c r="T1932" i="16" s="1"/>
  <c r="T1933" i="16" s="1"/>
  <c r="T1934" i="16" s="1"/>
  <c r="T1935" i="16" s="1"/>
  <c r="T1936" i="16" s="1"/>
  <c r="T1937" i="16" s="1"/>
  <c r="T1938" i="16" s="1"/>
  <c r="T1939" i="16" s="1"/>
  <c r="T1940" i="16" s="1"/>
  <c r="T1941" i="16" s="1"/>
  <c r="T1942" i="16" s="1"/>
  <c r="T1943" i="16" s="1"/>
  <c r="T1944" i="16" s="1"/>
  <c r="T1945" i="16" s="1"/>
  <c r="T1946" i="16" s="1"/>
  <c r="T1947" i="16" s="1"/>
  <c r="T1948" i="16" s="1"/>
  <c r="T1949" i="16" s="1"/>
  <c r="T1950" i="16" s="1"/>
  <c r="T1951" i="16" s="1"/>
  <c r="T1952" i="16" s="1"/>
  <c r="T1953" i="16" s="1"/>
  <c r="T1954" i="16" s="1"/>
  <c r="T1955" i="16" s="1"/>
  <c r="T1956" i="16" s="1"/>
  <c r="T1957" i="16" s="1"/>
  <c r="T1958" i="16" s="1"/>
  <c r="T1959" i="16" s="1"/>
  <c r="T1960" i="16" s="1"/>
  <c r="T1961" i="16" s="1"/>
  <c r="T1962" i="16" s="1"/>
  <c r="T1963" i="16" s="1"/>
  <c r="T1964" i="16" s="1"/>
  <c r="T1965" i="16" s="1"/>
  <c r="T1966" i="16" s="1"/>
  <c r="T1967" i="16" s="1"/>
  <c r="T1968" i="16" s="1"/>
  <c r="T1969" i="16" s="1"/>
  <c r="T1970" i="16" s="1"/>
  <c r="T1971" i="16" s="1"/>
  <c r="T1972" i="16" s="1"/>
  <c r="T1973" i="16" s="1"/>
  <c r="T1974" i="16" s="1"/>
  <c r="T1975" i="16" s="1"/>
  <c r="T1976" i="16" s="1"/>
  <c r="T1977" i="16" s="1"/>
  <c r="T1978" i="16" s="1"/>
  <c r="T1979" i="16" s="1"/>
  <c r="T1980" i="16" s="1"/>
  <c r="T1981" i="16" s="1"/>
  <c r="T1982" i="16" s="1"/>
  <c r="T1983" i="16" s="1"/>
  <c r="T1984" i="16" s="1"/>
  <c r="T1985" i="16" s="1"/>
  <c r="T1986" i="16" s="1"/>
  <c r="T1987" i="16" s="1"/>
  <c r="T1988" i="16" s="1"/>
  <c r="T1989" i="16" s="1"/>
  <c r="T1990" i="16" s="1"/>
  <c r="T1991" i="16" s="1"/>
  <c r="T1992" i="16" s="1"/>
  <c r="T1993" i="16" s="1"/>
  <c r="T1994" i="16" s="1"/>
  <c r="T1995" i="16" s="1"/>
  <c r="T1996" i="16" s="1"/>
  <c r="T1997" i="16" s="1"/>
  <c r="T1998" i="16" s="1"/>
  <c r="T1999" i="16" s="1"/>
  <c r="T2000" i="16" s="1"/>
  <c r="T2001" i="16" s="1"/>
  <c r="T2002" i="16" s="1"/>
  <c r="T2003" i="16" s="1"/>
  <c r="T2004" i="16" s="1"/>
  <c r="T2005" i="16" s="1"/>
  <c r="T2006" i="16" s="1"/>
  <c r="T2007" i="16" s="1"/>
  <c r="T2008" i="16" s="1"/>
  <c r="T2009" i="16" s="1"/>
  <c r="T2010" i="16" s="1"/>
  <c r="T2011" i="16" s="1"/>
  <c r="T2012" i="16" s="1"/>
  <c r="T2013" i="16" s="1"/>
  <c r="T2014" i="16" s="1"/>
  <c r="T2015" i="16" s="1"/>
  <c r="T2016" i="16" s="1"/>
  <c r="T2017" i="16" s="1"/>
  <c r="T2018" i="16" s="1"/>
  <c r="T2019" i="16" s="1"/>
  <c r="T2020" i="16" s="1"/>
  <c r="T2021" i="16" s="1"/>
  <c r="T2022" i="16" s="1"/>
  <c r="T2023" i="16" s="1"/>
  <c r="T2024" i="16" s="1"/>
  <c r="T2025" i="16" s="1"/>
  <c r="T2026" i="16" s="1"/>
  <c r="T2027" i="16" s="1"/>
  <c r="T2028" i="16" s="1"/>
  <c r="T2029" i="16" s="1"/>
  <c r="T2030" i="16" s="1"/>
  <c r="T2031" i="16" s="1"/>
  <c r="T2032" i="16" s="1"/>
  <c r="T2033" i="16" s="1"/>
  <c r="T2034" i="16" s="1"/>
  <c r="T2035" i="16" s="1"/>
  <c r="T2036" i="16" s="1"/>
  <c r="T2037" i="16" s="1"/>
  <c r="T2038" i="16" s="1"/>
  <c r="T2039" i="16" s="1"/>
  <c r="T2040" i="16" s="1"/>
  <c r="T2041" i="16" s="1"/>
  <c r="T2042" i="16" s="1"/>
  <c r="T2043" i="16" s="1"/>
  <c r="T2044" i="16" s="1"/>
  <c r="T2045" i="16" s="1"/>
  <c r="T2046" i="16" s="1"/>
  <c r="T2047" i="16" s="1"/>
  <c r="T2048" i="16" s="1"/>
  <c r="T2049" i="16" s="1"/>
  <c r="T2050" i="16" s="1"/>
  <c r="T2051" i="16" s="1"/>
  <c r="T2052" i="16" s="1"/>
  <c r="T2053" i="16" s="1"/>
  <c r="T2054" i="16" s="1"/>
  <c r="T2055" i="16" s="1"/>
  <c r="T2056" i="16" s="1"/>
  <c r="T2057" i="16" s="1"/>
  <c r="T2058" i="16" s="1"/>
  <c r="T2059" i="16" s="1"/>
  <c r="T2060" i="16" s="1"/>
  <c r="T2061" i="16" s="1"/>
  <c r="T2062" i="16" s="1"/>
  <c r="T2063" i="16" s="1"/>
  <c r="T2064" i="16" s="1"/>
  <c r="T2065" i="16" s="1"/>
  <c r="T2066" i="16" s="1"/>
  <c r="T2067" i="16" s="1"/>
  <c r="T2068" i="16" s="1"/>
  <c r="T2069" i="16" s="1"/>
  <c r="T2070" i="16" s="1"/>
  <c r="T2071" i="16" s="1"/>
  <c r="T2072" i="16" s="1"/>
  <c r="T2073" i="16" s="1"/>
  <c r="T2074" i="16" s="1"/>
  <c r="T2075" i="16" s="1"/>
  <c r="T2076" i="16" s="1"/>
  <c r="T2077" i="16" s="1"/>
  <c r="T2078" i="16" s="1"/>
  <c r="T2079" i="16" s="1"/>
  <c r="T2080" i="16" s="1"/>
  <c r="T2081" i="16" s="1"/>
  <c r="T2082" i="16" s="1"/>
  <c r="T2083" i="16" s="1"/>
  <c r="T2084" i="16" s="1"/>
  <c r="T2085" i="16" s="1"/>
  <c r="T2086" i="16" s="1"/>
  <c r="T2087" i="16" s="1"/>
  <c r="T2088" i="16" s="1"/>
  <c r="T2089" i="16" s="1"/>
  <c r="T2090" i="16" s="1"/>
  <c r="T2091" i="16" s="1"/>
  <c r="T2092" i="16" s="1"/>
  <c r="T2093" i="16" s="1"/>
  <c r="T2094" i="16" s="1"/>
  <c r="T2095" i="16" s="1"/>
  <c r="T2096" i="16" s="1"/>
  <c r="T2097" i="16" s="1"/>
  <c r="T2098" i="16" s="1"/>
  <c r="T2099" i="16" s="1"/>
  <c r="T2100" i="16" s="1"/>
  <c r="T2101" i="16" s="1"/>
  <c r="T2102" i="16" s="1"/>
  <c r="T2103" i="16" s="1"/>
  <c r="T2104" i="16" s="1"/>
  <c r="T2105" i="16" s="1"/>
  <c r="T2106" i="16" s="1"/>
  <c r="T2107" i="16" s="1"/>
  <c r="T2108" i="16" s="1"/>
  <c r="T2109" i="16" s="1"/>
  <c r="T2110" i="16" s="1"/>
  <c r="T2111" i="16" s="1"/>
  <c r="T2112" i="16" s="1"/>
  <c r="T2113" i="16" s="1"/>
  <c r="T2114" i="16" s="1"/>
  <c r="T2115" i="16" s="1"/>
  <c r="T2116" i="16" s="1"/>
  <c r="T2117" i="16" s="1"/>
  <c r="T2118" i="16" s="1"/>
  <c r="T2119" i="16" s="1"/>
  <c r="T2120" i="16" s="1"/>
  <c r="T2121" i="16" s="1"/>
  <c r="T2122" i="16" s="1"/>
  <c r="T2123" i="16" s="1"/>
  <c r="T2124" i="16" s="1"/>
  <c r="T2125" i="16" s="1"/>
  <c r="T2126" i="16" s="1"/>
  <c r="T2127" i="16" s="1"/>
  <c r="T2128" i="16" s="1"/>
  <c r="T2129" i="16" s="1"/>
  <c r="T2130" i="16" s="1"/>
  <c r="T2131" i="16" s="1"/>
  <c r="T2132" i="16" s="1"/>
  <c r="T2133" i="16" s="1"/>
  <c r="T2134" i="16" s="1"/>
  <c r="T2135" i="16" s="1"/>
  <c r="T2136" i="16" s="1"/>
  <c r="T2137" i="16" s="1"/>
  <c r="T2138" i="16" s="1"/>
  <c r="T2139" i="16" s="1"/>
  <c r="T2140" i="16" s="1"/>
  <c r="T2141" i="16" s="1"/>
  <c r="T2142" i="16" s="1"/>
  <c r="T2143" i="16" s="1"/>
  <c r="T2144" i="16" s="1"/>
  <c r="T2145" i="16" s="1"/>
  <c r="T2146" i="16" s="1"/>
  <c r="T2147" i="16" s="1"/>
  <c r="T2148" i="16" s="1"/>
  <c r="T2149" i="16" s="1"/>
  <c r="T2150" i="16" s="1"/>
  <c r="T2151" i="16" s="1"/>
  <c r="T2152" i="16" s="1"/>
  <c r="T2153" i="16" s="1"/>
  <c r="T2154" i="16" s="1"/>
  <c r="T2155" i="16" s="1"/>
  <c r="T2156" i="16" s="1"/>
  <c r="T2157" i="16" s="1"/>
  <c r="T2158" i="16" s="1"/>
  <c r="T2159" i="16" s="1"/>
  <c r="T2160" i="16" s="1"/>
  <c r="T2161" i="16" s="1"/>
  <c r="T2162" i="16" s="1"/>
  <c r="T2163" i="16" s="1"/>
  <c r="T2164" i="16" s="1"/>
  <c r="T2165" i="16" s="1"/>
  <c r="T2166" i="16" s="1"/>
  <c r="T2167" i="16" s="1"/>
  <c r="T2168" i="16" s="1"/>
  <c r="T2169" i="16" s="1"/>
  <c r="T2170" i="16" s="1"/>
  <c r="T2171" i="16" s="1"/>
  <c r="T2172" i="16" s="1"/>
  <c r="T2173" i="16" s="1"/>
  <c r="T2174" i="16" s="1"/>
  <c r="T2175" i="16" s="1"/>
  <c r="T2176" i="16" s="1"/>
  <c r="T2177" i="16" s="1"/>
  <c r="T2178" i="16" s="1"/>
  <c r="T2179" i="16" s="1"/>
  <c r="T2180" i="16" s="1"/>
  <c r="T2181" i="16" s="1"/>
  <c r="T2182" i="16" s="1"/>
  <c r="T2183" i="16" s="1"/>
  <c r="T2184" i="16" s="1"/>
  <c r="T2185" i="16" s="1"/>
  <c r="T2186" i="16" s="1"/>
  <c r="T2187" i="16" s="1"/>
  <c r="T2188" i="16" s="1"/>
  <c r="T2189" i="16" s="1"/>
  <c r="T2190" i="16" s="1"/>
  <c r="T2191" i="16" s="1"/>
  <c r="T2192" i="16" s="1"/>
  <c r="T2193" i="16" s="1"/>
  <c r="T2194" i="16" s="1"/>
  <c r="T2195" i="16" s="1"/>
  <c r="T2196" i="16" s="1"/>
  <c r="T2197" i="16" s="1"/>
  <c r="T2198" i="16" s="1"/>
  <c r="T2199" i="16" s="1"/>
  <c r="T2200" i="16" s="1"/>
  <c r="T2201" i="16" s="1"/>
  <c r="T2202" i="16" s="1"/>
  <c r="T2203" i="16" s="1"/>
  <c r="T2204" i="16" s="1"/>
  <c r="T2205" i="16" s="1"/>
  <c r="T2206" i="16" s="1"/>
  <c r="T2207" i="16" s="1"/>
  <c r="T2208" i="16" s="1"/>
  <c r="T2209" i="16" s="1"/>
  <c r="T2210" i="16" s="1"/>
  <c r="T2211" i="16" s="1"/>
  <c r="T2212" i="16" s="1"/>
  <c r="T2213" i="16" s="1"/>
  <c r="T2214" i="16" s="1"/>
  <c r="T2215" i="16" s="1"/>
  <c r="T2216" i="16" s="1"/>
  <c r="T2217" i="16" s="1"/>
  <c r="T2218" i="16" s="1"/>
  <c r="T2219" i="16" s="1"/>
  <c r="T2220" i="16" s="1"/>
  <c r="T2221" i="16" s="1"/>
  <c r="T2222" i="16" s="1"/>
  <c r="T2223" i="16" s="1"/>
  <c r="T2224" i="16" s="1"/>
  <c r="T2225" i="16" s="1"/>
  <c r="T2226" i="16" s="1"/>
  <c r="T2227" i="16" s="1"/>
  <c r="T2228" i="16" s="1"/>
  <c r="T2229" i="16" s="1"/>
  <c r="T2230" i="16" s="1"/>
  <c r="T2231" i="16" s="1"/>
  <c r="T2232" i="16" s="1"/>
  <c r="T2233" i="16" s="1"/>
  <c r="T2234" i="16" s="1"/>
  <c r="T2235" i="16" s="1"/>
  <c r="T2236" i="16" s="1"/>
  <c r="T2237" i="16" s="1"/>
  <c r="T2238" i="16" s="1"/>
  <c r="T2239" i="16" s="1"/>
  <c r="T2240" i="16" s="1"/>
  <c r="T2241" i="16" s="1"/>
  <c r="T2242" i="16" s="1"/>
  <c r="T2243" i="16" s="1"/>
  <c r="T2244" i="16" s="1"/>
  <c r="T2245" i="16" s="1"/>
  <c r="T2246" i="16" s="1"/>
  <c r="T2247" i="16" s="1"/>
  <c r="T2248" i="16" s="1"/>
  <c r="T2249" i="16" s="1"/>
  <c r="T2250" i="16" s="1"/>
  <c r="T2251" i="16" s="1"/>
  <c r="T2252" i="16" s="1"/>
  <c r="T2253" i="16" s="1"/>
  <c r="T2254" i="16" s="1"/>
  <c r="T2255" i="16" s="1"/>
  <c r="T2256" i="16" s="1"/>
  <c r="T2257" i="16" s="1"/>
  <c r="T2258" i="16" s="1"/>
  <c r="T2259" i="16" s="1"/>
  <c r="T2260" i="16" s="1"/>
  <c r="T2261" i="16" s="1"/>
  <c r="T2262" i="16" s="1"/>
  <c r="T2263" i="16" s="1"/>
  <c r="T2264" i="16" s="1"/>
  <c r="T2265" i="16" s="1"/>
  <c r="T2266" i="16" s="1"/>
  <c r="T2267" i="16" s="1"/>
  <c r="T2268" i="16" s="1"/>
  <c r="T2269" i="16" s="1"/>
  <c r="T2270" i="16" s="1"/>
  <c r="T2271" i="16" s="1"/>
  <c r="T2272" i="16" s="1"/>
  <c r="T2273" i="16" s="1"/>
  <c r="T2274" i="16" s="1"/>
  <c r="T2275" i="16" s="1"/>
  <c r="T2276" i="16" s="1"/>
  <c r="T2277" i="16" s="1"/>
  <c r="T2278" i="16" s="1"/>
  <c r="T2279" i="16" s="1"/>
  <c r="T2280" i="16" s="1"/>
  <c r="T2281" i="16" s="1"/>
  <c r="T2282" i="16" s="1"/>
  <c r="T2283" i="16" s="1"/>
  <c r="T2284" i="16" s="1"/>
  <c r="T2285" i="16" s="1"/>
  <c r="T2286" i="16" s="1"/>
  <c r="T2287" i="16" s="1"/>
  <c r="T2288" i="16" s="1"/>
  <c r="T2289" i="16" s="1"/>
  <c r="T2290" i="16" s="1"/>
  <c r="T2291" i="16" s="1"/>
  <c r="T2292" i="16" s="1"/>
  <c r="T2293" i="16" s="1"/>
  <c r="T2294" i="16" s="1"/>
  <c r="T2295" i="16" s="1"/>
  <c r="T2296" i="16" s="1"/>
  <c r="T2297" i="16" s="1"/>
  <c r="T2298" i="16" s="1"/>
  <c r="T2299" i="16" s="1"/>
  <c r="T2300" i="16" s="1"/>
  <c r="T2301" i="16" s="1"/>
  <c r="T2302" i="16" s="1"/>
  <c r="T2303" i="16" s="1"/>
  <c r="T2304" i="16" s="1"/>
  <c r="T2305" i="16" s="1"/>
  <c r="T2306" i="16" s="1"/>
  <c r="T2307" i="16" s="1"/>
  <c r="T2308" i="16" s="1"/>
  <c r="T2309" i="16" s="1"/>
  <c r="T2310" i="16" s="1"/>
  <c r="T2311" i="16" s="1"/>
  <c r="T2312" i="16" s="1"/>
  <c r="T2313" i="16" s="1"/>
  <c r="T2314" i="16" s="1"/>
  <c r="T2315" i="16" s="1"/>
  <c r="T2316" i="16" s="1"/>
  <c r="T2317" i="16" s="1"/>
  <c r="T2318" i="16" s="1"/>
  <c r="T2319" i="16" s="1"/>
  <c r="T2320" i="16" s="1"/>
  <c r="T2321" i="16" s="1"/>
  <c r="T2322" i="16" s="1"/>
  <c r="T2323" i="16" s="1"/>
  <c r="T2324" i="16" s="1"/>
  <c r="T2325" i="16" s="1"/>
  <c r="T2326" i="16" s="1"/>
  <c r="T2327" i="16" s="1"/>
  <c r="T2328" i="16" s="1"/>
  <c r="T2329" i="16" s="1"/>
  <c r="T2330" i="16" s="1"/>
  <c r="T2331" i="16" s="1"/>
  <c r="T2332" i="16" s="1"/>
  <c r="T2333" i="16" s="1"/>
  <c r="T2334" i="16" s="1"/>
  <c r="T2335" i="16" s="1"/>
  <c r="T2336" i="16" s="1"/>
  <c r="T2337" i="16" s="1"/>
  <c r="T2338" i="16" s="1"/>
  <c r="T2339" i="16" s="1"/>
  <c r="T2340" i="16" s="1"/>
  <c r="T2341" i="16" s="1"/>
  <c r="T2342" i="16" s="1"/>
  <c r="T2343" i="16" s="1"/>
  <c r="T2344" i="16" s="1"/>
  <c r="T2345" i="16" s="1"/>
  <c r="T2346" i="16" s="1"/>
  <c r="T2347" i="16" s="1"/>
  <c r="T2348" i="16" s="1"/>
  <c r="T2349" i="16" s="1"/>
  <c r="T2350" i="16" s="1"/>
  <c r="T2351" i="16" s="1"/>
  <c r="T2352" i="16" s="1"/>
  <c r="T2353" i="16" s="1"/>
  <c r="T2354" i="16" s="1"/>
  <c r="T2355" i="16" s="1"/>
  <c r="T2356" i="16" s="1"/>
  <c r="T2357" i="16" s="1"/>
  <c r="T2358" i="16" s="1"/>
  <c r="T2359" i="16" s="1"/>
  <c r="T2360" i="16" s="1"/>
  <c r="T2361" i="16" s="1"/>
  <c r="T2362" i="16" s="1"/>
  <c r="T2363" i="16" s="1"/>
  <c r="T2364" i="16" s="1"/>
  <c r="T2365" i="16" s="1"/>
  <c r="T2366" i="16" s="1"/>
  <c r="T2367" i="16" s="1"/>
  <c r="T2368" i="16" s="1"/>
  <c r="T2369" i="16" s="1"/>
  <c r="T2370" i="16" s="1"/>
  <c r="T2371" i="16" s="1"/>
  <c r="T2372" i="16" s="1"/>
  <c r="T2373" i="16" s="1"/>
  <c r="T2374" i="16" s="1"/>
  <c r="T2375" i="16" s="1"/>
  <c r="T2376" i="16" s="1"/>
  <c r="T2377" i="16" s="1"/>
  <c r="T2378" i="16" s="1"/>
  <c r="T2379" i="16" s="1"/>
  <c r="T2380" i="16" s="1"/>
  <c r="T2381" i="16" s="1"/>
  <c r="T2382" i="16" s="1"/>
  <c r="T2383" i="16" s="1"/>
  <c r="T2384" i="16" s="1"/>
  <c r="T2385" i="16" s="1"/>
  <c r="T2386" i="16" s="1"/>
  <c r="T2387" i="16" s="1"/>
  <c r="T2388" i="16" s="1"/>
  <c r="T2389" i="16" s="1"/>
  <c r="T2390" i="16" s="1"/>
  <c r="T2391" i="16" s="1"/>
  <c r="T2392" i="16" s="1"/>
  <c r="T2393" i="16" s="1"/>
  <c r="T2394" i="16" s="1"/>
  <c r="T2395" i="16" s="1"/>
  <c r="T2396" i="16" s="1"/>
  <c r="T2397" i="16" s="1"/>
  <c r="T2398" i="16" s="1"/>
  <c r="T2399" i="16" s="1"/>
  <c r="T2400" i="16" s="1"/>
  <c r="T2401" i="16" s="1"/>
  <c r="T2402" i="16" s="1"/>
  <c r="T2403" i="16" s="1"/>
  <c r="T2404" i="16" s="1"/>
  <c r="T2405" i="16" s="1"/>
  <c r="T2406" i="16" s="1"/>
  <c r="T2407" i="16" s="1"/>
  <c r="T2408" i="16" s="1"/>
  <c r="T2409" i="16" s="1"/>
  <c r="T2410" i="16" s="1"/>
  <c r="T2411" i="16" s="1"/>
  <c r="T2412" i="16" s="1"/>
  <c r="T2413" i="16" s="1"/>
  <c r="T2414" i="16" s="1"/>
  <c r="T2415" i="16" s="1"/>
  <c r="T2416" i="16" s="1"/>
  <c r="T2417" i="16" s="1"/>
  <c r="T2418" i="16" s="1"/>
  <c r="T2419" i="16" s="1"/>
  <c r="T2420" i="16" s="1"/>
  <c r="T2421" i="16" s="1"/>
  <c r="T2422" i="16" s="1"/>
  <c r="T2423" i="16" s="1"/>
  <c r="T2424" i="16" s="1"/>
  <c r="T2425" i="16" s="1"/>
  <c r="T2426" i="16" s="1"/>
  <c r="T2427" i="16" s="1"/>
  <c r="T2428" i="16" s="1"/>
  <c r="T2429" i="16" s="1"/>
  <c r="T2430" i="16" s="1"/>
  <c r="T2431" i="16" s="1"/>
  <c r="T2432" i="16" s="1"/>
  <c r="T2433" i="16" s="1"/>
  <c r="T2434" i="16" s="1"/>
  <c r="T2435" i="16" s="1"/>
  <c r="T2436" i="16" s="1"/>
  <c r="T2437" i="16" s="1"/>
  <c r="T2438" i="16" s="1"/>
  <c r="T2439" i="16" s="1"/>
  <c r="T2440" i="16" s="1"/>
  <c r="T2441" i="16" s="1"/>
  <c r="T2442" i="16" s="1"/>
  <c r="T2443" i="16" s="1"/>
  <c r="T2444" i="16" s="1"/>
  <c r="T2445" i="16" s="1"/>
  <c r="T2446" i="16" s="1"/>
  <c r="T2447" i="16" s="1"/>
  <c r="T2448" i="16" s="1"/>
  <c r="T2449" i="16" s="1"/>
  <c r="T2450" i="16" s="1"/>
  <c r="T2451" i="16" s="1"/>
  <c r="T2452" i="16" s="1"/>
  <c r="T2453" i="16" s="1"/>
  <c r="T2454" i="16" s="1"/>
  <c r="T2455" i="16" s="1"/>
  <c r="T2456" i="16" s="1"/>
  <c r="T2457" i="16" s="1"/>
  <c r="T2458" i="16" s="1"/>
  <c r="T2459" i="16" s="1"/>
  <c r="T2460" i="16" s="1"/>
  <c r="T2461" i="16" s="1"/>
  <c r="T2462" i="16" s="1"/>
  <c r="T2463" i="16" s="1"/>
  <c r="T2464" i="16" s="1"/>
  <c r="T2465" i="16" s="1"/>
  <c r="T2466" i="16" s="1"/>
  <c r="T2467" i="16" s="1"/>
  <c r="T2468" i="16" s="1"/>
  <c r="T2469" i="16" s="1"/>
  <c r="T2470" i="16" s="1"/>
  <c r="T2471" i="16" s="1"/>
  <c r="T2472" i="16" s="1"/>
  <c r="T2473" i="16" s="1"/>
  <c r="T2474" i="16" s="1"/>
  <c r="T2475" i="16" s="1"/>
  <c r="T2476" i="16" s="1"/>
  <c r="T2477" i="16" s="1"/>
  <c r="T2478" i="16" s="1"/>
  <c r="T2479" i="16" s="1"/>
  <c r="T2480" i="16" s="1"/>
  <c r="T2481" i="16" s="1"/>
  <c r="T2482" i="16" s="1"/>
  <c r="T2483" i="16" s="1"/>
  <c r="T2484" i="16" s="1"/>
  <c r="T2485" i="16" s="1"/>
  <c r="T2486" i="16" s="1"/>
  <c r="T2487" i="16" s="1"/>
  <c r="T2488" i="16" s="1"/>
  <c r="T2489" i="16" s="1"/>
  <c r="T2490" i="16" s="1"/>
  <c r="T2491" i="16" s="1"/>
  <c r="T2492" i="16" s="1"/>
  <c r="T2493" i="16" s="1"/>
  <c r="T2494" i="16" s="1"/>
  <c r="T2495" i="16" s="1"/>
  <c r="T2496" i="16" s="1"/>
  <c r="T2497" i="16" s="1"/>
  <c r="T2498" i="16" s="1"/>
  <c r="T2499" i="16" s="1"/>
  <c r="T2500" i="16" s="1"/>
  <c r="T2501" i="16" s="1"/>
  <c r="T2502" i="16" s="1"/>
  <c r="T2503" i="16" s="1"/>
  <c r="T2504" i="16" s="1"/>
  <c r="T2505" i="16" s="1"/>
  <c r="T2506" i="16" s="1"/>
  <c r="T2507" i="16" s="1"/>
  <c r="T2508" i="16" s="1"/>
  <c r="T2509" i="16" s="1"/>
  <c r="T2510" i="16" s="1"/>
  <c r="T2511" i="16" s="1"/>
  <c r="T2512" i="16" s="1"/>
  <c r="T2513" i="16" s="1"/>
  <c r="T2514" i="16" s="1"/>
  <c r="T2515" i="16" s="1"/>
  <c r="T2516" i="16" s="1"/>
  <c r="T2517" i="16" s="1"/>
  <c r="T2518" i="16" s="1"/>
  <c r="T2519" i="16" s="1"/>
  <c r="T2520" i="16" s="1"/>
  <c r="T2521" i="16" s="1"/>
  <c r="T2522" i="16" s="1"/>
  <c r="T2523" i="16" s="1"/>
  <c r="T2524" i="16" s="1"/>
  <c r="T2525" i="16" s="1"/>
  <c r="T2526" i="16" s="1"/>
  <c r="T2527" i="16" s="1"/>
  <c r="T2528" i="16" s="1"/>
  <c r="T2529" i="16" s="1"/>
  <c r="T2530" i="16" s="1"/>
  <c r="T2531" i="16" s="1"/>
  <c r="T2532" i="16" s="1"/>
  <c r="T2533" i="16" s="1"/>
  <c r="T2534" i="16" s="1"/>
  <c r="T2535" i="16" s="1"/>
  <c r="T2536" i="16" s="1"/>
  <c r="T2537" i="16" s="1"/>
  <c r="T2538" i="16" s="1"/>
  <c r="T2539" i="16" s="1"/>
  <c r="T2540" i="16" s="1"/>
  <c r="T2541" i="16" s="1"/>
  <c r="T2542" i="16" s="1"/>
  <c r="T2543" i="16" s="1"/>
  <c r="T2544" i="16" s="1"/>
  <c r="T2545" i="16" s="1"/>
  <c r="T2546" i="16" s="1"/>
  <c r="T2547" i="16" s="1"/>
  <c r="T2548" i="16" s="1"/>
  <c r="T2549" i="16" s="1"/>
  <c r="T2550" i="16" s="1"/>
  <c r="T2551" i="16" s="1"/>
  <c r="T2552" i="16" s="1"/>
  <c r="T2553" i="16" s="1"/>
  <c r="T2554" i="16" s="1"/>
  <c r="T2555" i="16" s="1"/>
  <c r="T2556" i="16" s="1"/>
  <c r="T2557" i="16" s="1"/>
  <c r="T2558" i="16" s="1"/>
  <c r="T2559" i="16" s="1"/>
  <c r="T2560" i="16" s="1"/>
  <c r="T2561" i="16" s="1"/>
  <c r="T2562" i="16" s="1"/>
  <c r="T2563" i="16" s="1"/>
  <c r="T2564" i="16" s="1"/>
  <c r="T2565" i="16" s="1"/>
  <c r="T2566" i="16" s="1"/>
  <c r="T2567" i="16" s="1"/>
  <c r="T2568" i="16" s="1"/>
  <c r="T2569" i="16" s="1"/>
  <c r="T2570" i="16" s="1"/>
  <c r="T2571" i="16" s="1"/>
  <c r="T2572" i="16" s="1"/>
  <c r="T2573" i="16" s="1"/>
  <c r="T2574" i="16" s="1"/>
  <c r="T2575" i="16" s="1"/>
  <c r="T2576" i="16" s="1"/>
  <c r="T2577" i="16" s="1"/>
  <c r="T2578" i="16" s="1"/>
  <c r="T2579" i="16" s="1"/>
  <c r="T2580" i="16" s="1"/>
  <c r="T2581" i="16" s="1"/>
  <c r="T2582" i="16" s="1"/>
  <c r="T2583" i="16" s="1"/>
  <c r="T2584" i="16" s="1"/>
  <c r="T2585" i="16" s="1"/>
  <c r="T2586" i="16" s="1"/>
  <c r="T2587" i="16" s="1"/>
  <c r="T2588" i="16" s="1"/>
  <c r="T2589" i="16" s="1"/>
  <c r="T2590" i="16" s="1"/>
  <c r="T2591" i="16" s="1"/>
  <c r="T2592" i="16" s="1"/>
  <c r="T2593" i="16" s="1"/>
  <c r="T2594" i="16" s="1"/>
  <c r="T2595" i="16" s="1"/>
  <c r="T2596" i="16" s="1"/>
  <c r="T2597" i="16" s="1"/>
  <c r="T2598" i="16" s="1"/>
  <c r="T2599" i="16" s="1"/>
  <c r="T2600" i="16" s="1"/>
  <c r="T2601" i="16" s="1"/>
  <c r="T2602" i="16" s="1"/>
  <c r="T2603" i="16" s="1"/>
  <c r="T2604" i="16" s="1"/>
  <c r="T2605" i="16" s="1"/>
  <c r="T2606" i="16" s="1"/>
  <c r="T2607" i="16" s="1"/>
  <c r="T2608" i="16" s="1"/>
  <c r="T2609" i="16" s="1"/>
  <c r="T2610" i="16" s="1"/>
  <c r="T2611" i="16" s="1"/>
  <c r="T2612" i="16" s="1"/>
  <c r="T2613" i="16" s="1"/>
  <c r="T2614" i="16" s="1"/>
  <c r="T2615" i="16" s="1"/>
  <c r="T2616" i="16" s="1"/>
  <c r="T2617" i="16" s="1"/>
  <c r="T2618" i="16" s="1"/>
  <c r="T2619" i="16" s="1"/>
  <c r="T2620" i="16" s="1"/>
  <c r="T2621" i="16" s="1"/>
  <c r="T2622" i="16" s="1"/>
  <c r="T2623" i="16" s="1"/>
  <c r="T2624" i="16" s="1"/>
  <c r="T2625" i="16" s="1"/>
  <c r="T2626" i="16" s="1"/>
  <c r="T2627" i="16" s="1"/>
  <c r="T2628" i="16" s="1"/>
  <c r="T2629" i="16" s="1"/>
  <c r="T2630" i="16" s="1"/>
  <c r="T2631" i="16" s="1"/>
  <c r="T2632" i="16" s="1"/>
  <c r="T2633" i="16" s="1"/>
  <c r="T2634" i="16" s="1"/>
  <c r="T2635" i="16" s="1"/>
  <c r="T2636" i="16" s="1"/>
  <c r="T2637" i="16" s="1"/>
  <c r="T2638" i="16" s="1"/>
  <c r="T2639" i="16" s="1"/>
  <c r="T2640" i="16" s="1"/>
  <c r="T2641" i="16" s="1"/>
  <c r="T2642" i="16" s="1"/>
  <c r="T2643" i="16" s="1"/>
  <c r="T2644" i="16" s="1"/>
  <c r="T2645" i="16" s="1"/>
  <c r="T2646" i="16" s="1"/>
  <c r="T2647" i="16" s="1"/>
  <c r="T2648" i="16" s="1"/>
  <c r="T2649" i="16" s="1"/>
  <c r="T2650" i="16" s="1"/>
  <c r="T2651" i="16" s="1"/>
  <c r="T2652" i="16" s="1"/>
  <c r="T2653" i="16" s="1"/>
  <c r="T2654" i="16" s="1"/>
  <c r="T2655" i="16" s="1"/>
  <c r="T2656" i="16" s="1"/>
  <c r="T2657" i="16" s="1"/>
  <c r="T2658" i="16" s="1"/>
  <c r="T2659" i="16" s="1"/>
  <c r="T2660" i="16" s="1"/>
  <c r="T2661" i="16" s="1"/>
  <c r="T2662" i="16" s="1"/>
  <c r="T2663" i="16" s="1"/>
  <c r="T2664" i="16" s="1"/>
  <c r="T2665" i="16" s="1"/>
  <c r="T2666" i="16" s="1"/>
  <c r="T2667" i="16" s="1"/>
  <c r="T2668" i="16" s="1"/>
  <c r="T2669" i="16" s="1"/>
  <c r="T2670" i="16" s="1"/>
  <c r="T2671" i="16" s="1"/>
  <c r="T2672" i="16" s="1"/>
  <c r="T2673" i="16" s="1"/>
  <c r="T2674" i="16" s="1"/>
  <c r="T2675" i="16" s="1"/>
  <c r="T2676" i="16" s="1"/>
  <c r="T2677" i="16" s="1"/>
  <c r="T2678" i="16" s="1"/>
  <c r="T2679" i="16" s="1"/>
  <c r="T2680" i="16" s="1"/>
  <c r="T2681" i="16" s="1"/>
  <c r="T2682" i="16" s="1"/>
  <c r="T2683" i="16" s="1"/>
  <c r="T2684" i="16" s="1"/>
  <c r="T2685" i="16" s="1"/>
  <c r="T2686" i="16" s="1"/>
  <c r="T2687" i="16" s="1"/>
  <c r="T2688" i="16" s="1"/>
  <c r="T2689" i="16" s="1"/>
  <c r="T2690" i="16" s="1"/>
  <c r="T2691" i="16" s="1"/>
  <c r="T2692" i="16" s="1"/>
  <c r="T2693" i="16" s="1"/>
  <c r="T2694" i="16" s="1"/>
  <c r="T2695" i="16" s="1"/>
  <c r="T2696" i="16" s="1"/>
  <c r="T2697" i="16" s="1"/>
  <c r="T2698" i="16" s="1"/>
  <c r="T2699" i="16" s="1"/>
  <c r="T2700" i="16" s="1"/>
  <c r="T2701" i="16" s="1"/>
  <c r="T2702" i="16" s="1"/>
  <c r="T2703" i="16" s="1"/>
  <c r="T2704" i="16" s="1"/>
  <c r="T2705" i="16" s="1"/>
  <c r="T2706" i="16" s="1"/>
  <c r="T2707" i="16" s="1"/>
  <c r="T2708" i="16" s="1"/>
  <c r="T2709" i="16" s="1"/>
  <c r="T2710" i="16" s="1"/>
  <c r="T2711" i="16" s="1"/>
  <c r="T2712" i="16" s="1"/>
  <c r="T2713" i="16" s="1"/>
  <c r="T2714" i="16" s="1"/>
  <c r="T2715" i="16" s="1"/>
  <c r="T2716" i="16" s="1"/>
  <c r="T2717" i="16" s="1"/>
  <c r="T2718" i="16" s="1"/>
  <c r="T2719" i="16" s="1"/>
  <c r="T2720" i="16" s="1"/>
  <c r="T2721" i="16" s="1"/>
  <c r="T2722" i="16" s="1"/>
  <c r="T2723" i="16" s="1"/>
  <c r="T2724" i="16" s="1"/>
  <c r="T2725" i="16" s="1"/>
  <c r="T2726" i="16" s="1"/>
  <c r="T2727" i="16" s="1"/>
  <c r="T2728" i="16" s="1"/>
  <c r="T2729" i="16" s="1"/>
  <c r="T2730" i="16" s="1"/>
  <c r="T2731" i="16" s="1"/>
  <c r="T2732" i="16" s="1"/>
  <c r="T2733" i="16" s="1"/>
  <c r="T2734" i="16" s="1"/>
  <c r="T2735" i="16" s="1"/>
  <c r="T2736" i="16" s="1"/>
  <c r="T2737" i="16" s="1"/>
  <c r="T2738" i="16" s="1"/>
  <c r="T2739" i="16" s="1"/>
  <c r="T2740" i="16" s="1"/>
  <c r="T2741" i="16" s="1"/>
  <c r="T2742" i="16" s="1"/>
  <c r="T2743" i="16" s="1"/>
  <c r="T2744" i="16" s="1"/>
  <c r="T2745" i="16" s="1"/>
  <c r="T2746" i="16" s="1"/>
  <c r="T2747" i="16" s="1"/>
  <c r="T2748" i="16" s="1"/>
  <c r="T2749" i="16" s="1"/>
  <c r="T2750" i="16" s="1"/>
  <c r="T2751" i="16" s="1"/>
  <c r="T2752" i="16" s="1"/>
  <c r="T2753" i="16" s="1"/>
  <c r="T2754" i="16" s="1"/>
  <c r="T2755" i="16" s="1"/>
  <c r="T2756" i="16" s="1"/>
  <c r="T2757" i="16" s="1"/>
  <c r="T2758" i="16" s="1"/>
  <c r="T2759" i="16" s="1"/>
  <c r="T2760" i="16" s="1"/>
  <c r="T2761" i="16" s="1"/>
  <c r="T2762" i="16" s="1"/>
  <c r="T2763" i="16" s="1"/>
  <c r="T2764" i="16" s="1"/>
  <c r="T2765" i="16" s="1"/>
  <c r="T2766" i="16" s="1"/>
  <c r="T2767" i="16" s="1"/>
  <c r="T2768" i="16" s="1"/>
  <c r="T2769" i="16" s="1"/>
  <c r="T2770" i="16" s="1"/>
  <c r="T2771" i="16" s="1"/>
  <c r="T2772" i="16" s="1"/>
  <c r="T2773" i="16" s="1"/>
  <c r="T2774" i="16" s="1"/>
  <c r="T2775" i="16" s="1"/>
  <c r="T2776" i="16" s="1"/>
  <c r="T2777" i="16" s="1"/>
  <c r="T2778" i="16" s="1"/>
  <c r="T2779" i="16" s="1"/>
  <c r="T2780" i="16" s="1"/>
  <c r="T2781" i="16" s="1"/>
  <c r="T2782" i="16" s="1"/>
  <c r="T2783" i="16" s="1"/>
  <c r="T2784" i="16" s="1"/>
  <c r="T2785" i="16" s="1"/>
  <c r="T2786" i="16" s="1"/>
  <c r="T2787" i="16" s="1"/>
  <c r="T2788" i="16" s="1"/>
  <c r="T2789" i="16" s="1"/>
  <c r="T2790" i="16" s="1"/>
  <c r="T2791" i="16" s="1"/>
  <c r="T2792" i="16" s="1"/>
  <c r="T2793" i="16" s="1"/>
  <c r="T2794" i="16" s="1"/>
  <c r="T2795" i="16" s="1"/>
  <c r="T2796" i="16" s="1"/>
  <c r="T2797" i="16" s="1"/>
  <c r="T2798" i="16" s="1"/>
  <c r="T2799" i="16" s="1"/>
  <c r="T2800" i="16" s="1"/>
  <c r="T2801" i="16" s="1"/>
  <c r="T2802" i="16" s="1"/>
  <c r="T2803" i="16" s="1"/>
  <c r="T2804" i="16" s="1"/>
  <c r="T2805" i="16" s="1"/>
  <c r="T2806" i="16" s="1"/>
  <c r="T2807" i="16" s="1"/>
  <c r="T2808" i="16" s="1"/>
  <c r="T2809" i="16" s="1"/>
  <c r="T2810" i="16" s="1"/>
  <c r="T2811" i="16" s="1"/>
  <c r="T2812" i="16" s="1"/>
  <c r="T2813" i="16" s="1"/>
  <c r="T2814" i="16" s="1"/>
  <c r="T2815" i="16" s="1"/>
  <c r="T2816" i="16" s="1"/>
  <c r="T2817" i="16" s="1"/>
  <c r="T2818" i="16" s="1"/>
  <c r="T2819" i="16" s="1"/>
  <c r="T2820" i="16" s="1"/>
  <c r="T2821" i="16" s="1"/>
  <c r="T2822" i="16" s="1"/>
  <c r="T2823" i="16" s="1"/>
  <c r="T2824" i="16" s="1"/>
  <c r="T2825" i="16" s="1"/>
  <c r="T2826" i="16" s="1"/>
  <c r="T2827" i="16" s="1"/>
  <c r="T2828" i="16" s="1"/>
  <c r="T2829" i="16" s="1"/>
  <c r="T2830" i="16" s="1"/>
  <c r="T2831" i="16" s="1"/>
  <c r="T2832" i="16" s="1"/>
  <c r="T2833" i="16" s="1"/>
  <c r="T2834" i="16" s="1"/>
  <c r="T2835" i="16" s="1"/>
  <c r="T2836" i="16" s="1"/>
  <c r="T2837" i="16" s="1"/>
  <c r="T2838" i="16" s="1"/>
  <c r="T2839" i="16" s="1"/>
  <c r="T2840" i="16" s="1"/>
  <c r="T2841" i="16" s="1"/>
  <c r="T2842" i="16" s="1"/>
  <c r="T2843" i="16" s="1"/>
  <c r="T2844" i="16" s="1"/>
  <c r="T2845" i="16" s="1"/>
  <c r="T2846" i="16" s="1"/>
  <c r="T2847" i="16" s="1"/>
  <c r="T2848" i="16" s="1"/>
  <c r="T2849" i="16" s="1"/>
  <c r="T2850" i="16" s="1"/>
  <c r="T2851" i="16" s="1"/>
  <c r="T2852" i="16" s="1"/>
  <c r="T2853" i="16" s="1"/>
  <c r="T2854" i="16" s="1"/>
  <c r="T2855" i="16" s="1"/>
  <c r="T2856" i="16" s="1"/>
  <c r="T2857" i="16" s="1"/>
  <c r="T2858" i="16" s="1"/>
  <c r="T2859" i="16" s="1"/>
  <c r="T2860" i="16" s="1"/>
  <c r="T2861" i="16" s="1"/>
  <c r="T2862" i="16" s="1"/>
  <c r="T2863" i="16" s="1"/>
  <c r="T2864" i="16" s="1"/>
  <c r="T2865" i="16" s="1"/>
  <c r="T2866" i="16" s="1"/>
  <c r="T2867" i="16" s="1"/>
  <c r="T2868" i="16" s="1"/>
  <c r="T2869" i="16" s="1"/>
  <c r="T2870" i="16" s="1"/>
  <c r="T2871" i="16" s="1"/>
  <c r="T2872" i="16" s="1"/>
  <c r="T2873" i="16" s="1"/>
  <c r="T2874" i="16" s="1"/>
  <c r="T2875" i="16" s="1"/>
  <c r="T2876" i="16" s="1"/>
  <c r="T2877" i="16" s="1"/>
  <c r="T2878" i="16" s="1"/>
  <c r="T2879" i="16" s="1"/>
  <c r="T2880" i="16" s="1"/>
  <c r="T2881" i="16" s="1"/>
  <c r="T2882" i="16" s="1"/>
  <c r="T2883" i="16" s="1"/>
  <c r="T2884" i="16" s="1"/>
  <c r="T2885" i="16" s="1"/>
  <c r="T2886" i="16" s="1"/>
  <c r="T2887" i="16" s="1"/>
  <c r="T2888" i="16" s="1"/>
  <c r="T2889" i="16" s="1"/>
  <c r="T2890" i="16" s="1"/>
  <c r="T2891" i="16" s="1"/>
  <c r="T2892" i="16" s="1"/>
  <c r="T2893" i="16" s="1"/>
  <c r="T2894" i="16" s="1"/>
  <c r="T2895" i="16" s="1"/>
  <c r="T2896" i="16" s="1"/>
  <c r="T2897" i="16" s="1"/>
  <c r="T2898" i="16" s="1"/>
  <c r="T2899" i="16" s="1"/>
  <c r="T2900" i="16" s="1"/>
  <c r="T2901" i="16" s="1"/>
  <c r="T2902" i="16" s="1"/>
  <c r="T2903" i="16" s="1"/>
  <c r="T2904" i="16" s="1"/>
  <c r="T2905" i="16" s="1"/>
  <c r="T2906" i="16" s="1"/>
  <c r="T2907" i="16" s="1"/>
  <c r="T2908" i="16" s="1"/>
  <c r="T2909" i="16" s="1"/>
  <c r="T2910" i="16" s="1"/>
  <c r="T2911" i="16" s="1"/>
  <c r="T2912" i="16" s="1"/>
  <c r="T2913" i="16" s="1"/>
  <c r="T2914" i="16" s="1"/>
  <c r="T2915" i="16" s="1"/>
  <c r="T2916" i="16" s="1"/>
  <c r="T2917" i="16" s="1"/>
  <c r="T2918" i="16" s="1"/>
  <c r="T2919" i="16" s="1"/>
  <c r="T2920" i="16" s="1"/>
  <c r="T2921" i="16" s="1"/>
  <c r="T2922" i="16" s="1"/>
  <c r="T2923" i="16" s="1"/>
  <c r="T2924" i="16" s="1"/>
  <c r="T2925" i="16" s="1"/>
  <c r="T2926" i="16" s="1"/>
  <c r="T2927" i="16" s="1"/>
  <c r="T2928" i="16" s="1"/>
  <c r="T2929" i="16" s="1"/>
  <c r="T2930" i="16" s="1"/>
  <c r="T2931" i="16" s="1"/>
  <c r="T2932" i="16" s="1"/>
  <c r="T2933" i="16" s="1"/>
  <c r="T2934" i="16" s="1"/>
  <c r="T2935" i="16" s="1"/>
  <c r="T2936" i="16" s="1"/>
  <c r="T2937" i="16" s="1"/>
  <c r="T2938" i="16" s="1"/>
  <c r="T2939" i="16" s="1"/>
  <c r="T2940" i="16" s="1"/>
  <c r="T2941" i="16" s="1"/>
  <c r="T2942" i="16" s="1"/>
  <c r="T2943" i="16" s="1"/>
  <c r="T2944" i="16" s="1"/>
  <c r="T2945" i="16" s="1"/>
  <c r="T2946" i="16" s="1"/>
  <c r="T2947" i="16" s="1"/>
  <c r="T2948" i="16" s="1"/>
  <c r="T2949" i="16" s="1"/>
  <c r="T2950" i="16" s="1"/>
  <c r="T2951" i="16" s="1"/>
  <c r="T2952" i="16" s="1"/>
  <c r="T2953" i="16" s="1"/>
  <c r="T2954" i="16" s="1"/>
  <c r="T2955" i="16" s="1"/>
  <c r="T2956" i="16" s="1"/>
  <c r="T2957" i="16" s="1"/>
  <c r="T2958" i="16" s="1"/>
  <c r="T2959" i="16" s="1"/>
  <c r="T2960" i="16" s="1"/>
  <c r="T2961" i="16" s="1"/>
  <c r="T2962" i="16" s="1"/>
  <c r="T2963" i="16" s="1"/>
  <c r="T2964" i="16" s="1"/>
  <c r="T2965" i="16" s="1"/>
  <c r="T2966" i="16" s="1"/>
  <c r="T2967" i="16" s="1"/>
  <c r="T2968" i="16" s="1"/>
  <c r="T2969" i="16" s="1"/>
  <c r="T2970" i="16" s="1"/>
  <c r="T2971" i="16" s="1"/>
  <c r="T2972" i="16" s="1"/>
  <c r="T2973" i="16" s="1"/>
  <c r="T2974" i="16" s="1"/>
  <c r="T2975" i="16" s="1"/>
  <c r="T2976" i="16" s="1"/>
  <c r="T2977" i="16" s="1"/>
  <c r="T2978" i="16" s="1"/>
  <c r="T2979" i="16" s="1"/>
  <c r="T2980" i="16" s="1"/>
  <c r="T2981" i="16" s="1"/>
  <c r="T2982" i="16" s="1"/>
  <c r="T2983" i="16" s="1"/>
  <c r="T2984" i="16" s="1"/>
  <c r="T2985" i="16" s="1"/>
  <c r="T2986" i="16" s="1"/>
  <c r="T2987" i="16" s="1"/>
  <c r="T2988" i="16" s="1"/>
  <c r="T2989" i="16" s="1"/>
  <c r="T2990" i="16" s="1"/>
  <c r="T2991" i="16" s="1"/>
  <c r="T2992" i="16" s="1"/>
  <c r="T2993" i="16" s="1"/>
  <c r="T2994" i="16" s="1"/>
  <c r="T2995" i="16" s="1"/>
  <c r="T2996" i="16" s="1"/>
  <c r="T2997" i="16" s="1"/>
  <c r="T2998" i="16" s="1"/>
  <c r="T2999" i="16" s="1"/>
  <c r="T3000" i="16" s="1"/>
  <c r="T3001" i="16" s="1"/>
  <c r="T3002" i="16" s="1"/>
  <c r="T3003" i="16" s="1"/>
  <c r="T3004" i="16" s="1"/>
  <c r="T3005" i="16" s="1"/>
  <c r="T3006" i="16" s="1"/>
  <c r="T3007" i="16" s="1"/>
  <c r="T3008" i="16" s="1"/>
  <c r="T3009" i="16" s="1"/>
  <c r="T3010" i="16" s="1"/>
  <c r="T3011" i="16" s="1"/>
  <c r="T3012" i="16" s="1"/>
  <c r="T3013" i="16" s="1"/>
  <c r="T3014" i="16" s="1"/>
  <c r="T3015" i="16" s="1"/>
  <c r="T3016" i="16" s="1"/>
  <c r="T3017" i="16" s="1"/>
  <c r="T3018" i="16" s="1"/>
  <c r="T3019" i="16" s="1"/>
  <c r="T3020" i="16" s="1"/>
  <c r="T3021" i="16" s="1"/>
  <c r="T3022" i="16" s="1"/>
  <c r="T3023" i="16" s="1"/>
  <c r="T3024" i="16" s="1"/>
  <c r="T3025" i="16" s="1"/>
  <c r="T3026" i="16" s="1"/>
  <c r="T3027" i="16" s="1"/>
  <c r="T3028" i="16" s="1"/>
  <c r="T3029" i="16" s="1"/>
  <c r="T3030" i="16" s="1"/>
  <c r="T3031" i="16" s="1"/>
  <c r="T3032" i="16" s="1"/>
  <c r="T3033" i="16" s="1"/>
  <c r="T3034" i="16" s="1"/>
  <c r="T3035" i="16" s="1"/>
  <c r="T3036" i="16" s="1"/>
  <c r="T3037" i="16" s="1"/>
  <c r="T3038" i="16" s="1"/>
  <c r="T3039" i="16" s="1"/>
  <c r="T3040" i="16" s="1"/>
  <c r="T3041" i="16" s="1"/>
  <c r="T3042" i="16" s="1"/>
  <c r="T3043" i="16" s="1"/>
  <c r="T3044" i="16" s="1"/>
  <c r="T3045" i="16" s="1"/>
  <c r="T3046" i="16" s="1"/>
  <c r="T3047" i="16" s="1"/>
  <c r="T3048" i="16" s="1"/>
  <c r="T3049" i="16" s="1"/>
  <c r="T3050" i="16" s="1"/>
  <c r="T3051" i="16" s="1"/>
  <c r="T3052" i="16" s="1"/>
  <c r="T3053" i="16" s="1"/>
  <c r="T3054" i="16" s="1"/>
  <c r="T3055" i="16" s="1"/>
  <c r="T3056" i="16" s="1"/>
  <c r="T3057" i="16" s="1"/>
  <c r="T3058" i="16" s="1"/>
  <c r="T3059" i="16" s="1"/>
  <c r="T3060" i="16" s="1"/>
  <c r="T3061" i="16" s="1"/>
  <c r="T3062" i="16" s="1"/>
  <c r="T3063" i="16" s="1"/>
  <c r="T3064" i="16" s="1"/>
  <c r="T3065" i="16" s="1"/>
  <c r="T3066" i="16" s="1"/>
  <c r="T3067" i="16" s="1"/>
  <c r="T3068" i="16" s="1"/>
  <c r="T3069" i="16" s="1"/>
  <c r="T3070" i="16" s="1"/>
  <c r="T3071" i="16" s="1"/>
  <c r="T3072" i="16" s="1"/>
  <c r="T3073" i="16" s="1"/>
  <c r="T3074" i="16" s="1"/>
  <c r="T3075" i="16" s="1"/>
  <c r="T3076" i="16" s="1"/>
  <c r="T3077" i="16" s="1"/>
  <c r="T3078" i="16" s="1"/>
  <c r="T3079" i="16" s="1"/>
  <c r="T3080" i="16" s="1"/>
  <c r="T3081" i="16" s="1"/>
  <c r="T3082" i="16" s="1"/>
  <c r="T3083" i="16" s="1"/>
  <c r="T3084" i="16" s="1"/>
  <c r="T3085" i="16" s="1"/>
  <c r="T3086" i="16" s="1"/>
  <c r="T3087" i="16" s="1"/>
  <c r="T3088" i="16" s="1"/>
  <c r="T3089" i="16" s="1"/>
  <c r="T3090" i="16" s="1"/>
  <c r="T3091" i="16" s="1"/>
  <c r="T3092" i="16" s="1"/>
  <c r="T3093" i="16" s="1"/>
  <c r="T3094" i="16" s="1"/>
  <c r="T3095" i="16" s="1"/>
  <c r="T3096" i="16" s="1"/>
  <c r="T3097" i="16" s="1"/>
  <c r="T3098" i="16" s="1"/>
  <c r="T3099" i="16" s="1"/>
  <c r="T3100" i="16" s="1"/>
  <c r="T3101" i="16" s="1"/>
  <c r="T3102" i="16" s="1"/>
  <c r="T3103" i="16" s="1"/>
  <c r="T3104" i="16" s="1"/>
  <c r="T3105" i="16" s="1"/>
  <c r="T3106" i="16" s="1"/>
  <c r="T3107" i="16" s="1"/>
  <c r="T3108" i="16" s="1"/>
  <c r="T3109" i="16" s="1"/>
  <c r="T3110" i="16" s="1"/>
  <c r="T3111" i="16" s="1"/>
  <c r="T3112" i="16" s="1"/>
  <c r="T3113" i="16" s="1"/>
  <c r="T3114" i="16" s="1"/>
  <c r="T3115" i="16" s="1"/>
  <c r="T3116" i="16" s="1"/>
  <c r="T3117" i="16" s="1"/>
  <c r="T3118" i="16" s="1"/>
  <c r="T3119" i="16" s="1"/>
  <c r="T3120" i="16" s="1"/>
  <c r="T3121" i="16" s="1"/>
  <c r="T3122" i="16" s="1"/>
  <c r="T3123" i="16" s="1"/>
  <c r="T3124" i="16" s="1"/>
  <c r="T3125" i="16" s="1"/>
  <c r="T3126" i="16" s="1"/>
  <c r="T3127" i="16" s="1"/>
  <c r="T3128" i="16" s="1"/>
  <c r="T3129" i="16" s="1"/>
  <c r="T3130" i="16" s="1"/>
  <c r="T3131" i="16" s="1"/>
  <c r="T3132" i="16" s="1"/>
  <c r="T3133" i="16" s="1"/>
  <c r="T3134" i="16" s="1"/>
  <c r="T3135" i="16" s="1"/>
  <c r="T3136" i="16" s="1"/>
  <c r="T3137" i="16" s="1"/>
  <c r="T3138" i="16" s="1"/>
  <c r="T3139" i="16" s="1"/>
  <c r="T3140" i="16" s="1"/>
  <c r="T3141" i="16" s="1"/>
  <c r="T3142" i="16" s="1"/>
  <c r="T3143" i="16" s="1"/>
  <c r="T3144" i="16" s="1"/>
  <c r="T3145" i="16" s="1"/>
  <c r="T3146" i="16" s="1"/>
  <c r="T3147" i="16" s="1"/>
  <c r="T3148" i="16" s="1"/>
  <c r="T3149" i="16" s="1"/>
  <c r="T3150" i="16" s="1"/>
  <c r="T3151" i="16" s="1"/>
  <c r="T3152" i="16" s="1"/>
  <c r="T3153" i="16" s="1"/>
  <c r="T3154" i="16" s="1"/>
  <c r="T3155" i="16" s="1"/>
  <c r="T3156" i="16" s="1"/>
  <c r="T3157" i="16" s="1"/>
  <c r="T3158" i="16" s="1"/>
  <c r="T3159" i="16" s="1"/>
  <c r="T3160" i="16" s="1"/>
  <c r="T3161" i="16" s="1"/>
  <c r="T3162" i="16" s="1"/>
  <c r="T3163" i="16" s="1"/>
  <c r="T3164" i="16" s="1"/>
  <c r="T3165" i="16" s="1"/>
  <c r="T3166" i="16" s="1"/>
  <c r="T3167" i="16" s="1"/>
  <c r="T3168" i="16" s="1"/>
  <c r="T3169" i="16" s="1"/>
  <c r="T3170" i="16" s="1"/>
  <c r="T3171" i="16" s="1"/>
  <c r="T3172" i="16" s="1"/>
  <c r="T3173" i="16" s="1"/>
  <c r="T3174" i="16" s="1"/>
  <c r="T3175" i="16" s="1"/>
  <c r="T3176" i="16" s="1"/>
  <c r="T3177" i="16" s="1"/>
  <c r="T3178" i="16" s="1"/>
  <c r="T3179" i="16" s="1"/>
  <c r="T3180" i="16" s="1"/>
  <c r="T3181" i="16" s="1"/>
  <c r="T3182" i="16" s="1"/>
  <c r="T3183" i="16" s="1"/>
  <c r="T3184" i="16" s="1"/>
  <c r="T3185" i="16" s="1"/>
  <c r="T3186" i="16" s="1"/>
  <c r="T3187" i="16" s="1"/>
  <c r="T3188" i="16" s="1"/>
  <c r="T3189" i="16" s="1"/>
  <c r="T3190" i="16" s="1"/>
  <c r="T3191" i="16" s="1"/>
  <c r="T3192" i="16" s="1"/>
  <c r="T3193" i="16" s="1"/>
  <c r="T3194" i="16" s="1"/>
  <c r="T3195" i="16" s="1"/>
  <c r="T3196" i="16" s="1"/>
  <c r="T3197" i="16" s="1"/>
  <c r="T3198" i="16" s="1"/>
  <c r="T3199" i="16" s="1"/>
  <c r="T3200" i="16" s="1"/>
  <c r="T3201" i="16" s="1"/>
  <c r="T3202" i="16" s="1"/>
  <c r="T3203" i="16" s="1"/>
  <c r="T3204" i="16" s="1"/>
  <c r="T3205" i="16" s="1"/>
  <c r="T3206" i="16" s="1"/>
  <c r="T3207" i="16" s="1"/>
  <c r="T3208" i="16" s="1"/>
  <c r="T3209" i="16" s="1"/>
  <c r="T3210" i="16" s="1"/>
  <c r="T3211" i="16" s="1"/>
  <c r="T3212" i="16" s="1"/>
  <c r="T3213" i="16" s="1"/>
  <c r="T3214" i="16" s="1"/>
  <c r="T3215" i="16" s="1"/>
  <c r="T3216" i="16" s="1"/>
  <c r="T3217" i="16" s="1"/>
  <c r="T3218" i="16" s="1"/>
  <c r="T3219" i="16" s="1"/>
  <c r="T3220" i="16" s="1"/>
  <c r="T3221" i="16" s="1"/>
  <c r="T3222" i="16" s="1"/>
  <c r="T3223" i="16" s="1"/>
  <c r="T3224" i="16" s="1"/>
  <c r="T3225" i="16" s="1"/>
  <c r="T3226" i="16" s="1"/>
  <c r="T3227" i="16" s="1"/>
  <c r="T3228" i="16" s="1"/>
  <c r="T3229" i="16" s="1"/>
  <c r="T3230" i="16" s="1"/>
  <c r="T3231" i="16" s="1"/>
  <c r="T3232" i="16" s="1"/>
  <c r="T3233" i="16" s="1"/>
  <c r="T3234" i="16" s="1"/>
  <c r="T3235" i="16" s="1"/>
  <c r="T3236" i="16" s="1"/>
  <c r="T3237" i="16" s="1"/>
  <c r="T3238" i="16" s="1"/>
  <c r="T3239" i="16" s="1"/>
  <c r="T3240" i="16" s="1"/>
  <c r="T3241" i="16" s="1"/>
  <c r="T3242" i="16" s="1"/>
  <c r="T3243" i="16" s="1"/>
  <c r="T3244" i="16" s="1"/>
  <c r="T3245" i="16" s="1"/>
  <c r="T3246" i="16" s="1"/>
  <c r="T3247" i="16" s="1"/>
  <c r="T3248" i="16" s="1"/>
  <c r="T3249" i="16" s="1"/>
  <c r="T3250" i="16" s="1"/>
  <c r="T3251" i="16" s="1"/>
  <c r="T3252" i="16" s="1"/>
  <c r="T3253" i="16" s="1"/>
  <c r="T3254" i="16" s="1"/>
  <c r="T3255" i="16" s="1"/>
  <c r="T3256" i="16" s="1"/>
  <c r="T3257" i="16" s="1"/>
  <c r="T3258" i="16" s="1"/>
  <c r="T3259" i="16" s="1"/>
  <c r="T3260" i="16" s="1"/>
  <c r="T3261" i="16" s="1"/>
  <c r="T3262" i="16" s="1"/>
  <c r="T3263" i="16" s="1"/>
  <c r="T3264" i="16" s="1"/>
  <c r="T3265" i="16" s="1"/>
  <c r="T3266" i="16" s="1"/>
  <c r="T3267" i="16" s="1"/>
  <c r="T3268" i="16" s="1"/>
  <c r="T3269" i="16" s="1"/>
  <c r="T3270" i="16" s="1"/>
  <c r="T3271" i="16" s="1"/>
  <c r="T3272" i="16" s="1"/>
  <c r="T3273" i="16" s="1"/>
  <c r="T3274" i="16" s="1"/>
  <c r="T3275" i="16" s="1"/>
  <c r="T3276" i="16" s="1"/>
  <c r="T3277" i="16" s="1"/>
  <c r="T3278" i="16" s="1"/>
  <c r="T3279" i="16" s="1"/>
  <c r="T3280" i="16" s="1"/>
  <c r="T3281" i="16" s="1"/>
  <c r="T3282" i="16" s="1"/>
  <c r="T3283" i="16" s="1"/>
  <c r="T3284" i="16" s="1"/>
  <c r="T3285" i="16" s="1"/>
  <c r="T3286" i="16" s="1"/>
  <c r="T3287" i="16" s="1"/>
  <c r="T3288" i="16" s="1"/>
  <c r="T3289" i="16" s="1"/>
  <c r="T3290" i="16" s="1"/>
  <c r="T3291" i="16" s="1"/>
  <c r="T3292" i="16" s="1"/>
  <c r="T3293" i="16" s="1"/>
  <c r="T3294" i="16" s="1"/>
  <c r="T3295" i="16" s="1"/>
  <c r="T3296" i="16" s="1"/>
  <c r="T3297" i="16" s="1"/>
  <c r="T3298" i="16" s="1"/>
  <c r="T3299" i="16" s="1"/>
  <c r="T3300" i="16" s="1"/>
  <c r="T3301" i="16" s="1"/>
  <c r="T3302" i="16" s="1"/>
  <c r="T3303" i="16" s="1"/>
  <c r="T3304" i="16" s="1"/>
  <c r="T3305" i="16" s="1"/>
  <c r="T3306" i="16" s="1"/>
  <c r="T3307" i="16" s="1"/>
  <c r="T3308" i="16" s="1"/>
  <c r="T3309" i="16" s="1"/>
  <c r="T3310" i="16" s="1"/>
  <c r="T3311" i="16" s="1"/>
  <c r="T3312" i="16" s="1"/>
  <c r="T3313" i="16" s="1"/>
  <c r="T3314" i="16" s="1"/>
  <c r="T3315" i="16" s="1"/>
  <c r="T3316" i="16" s="1"/>
  <c r="T3317" i="16" s="1"/>
  <c r="T3318" i="16" s="1"/>
  <c r="T3319" i="16" s="1"/>
  <c r="T3320" i="16" s="1"/>
  <c r="T3321" i="16" s="1"/>
  <c r="T3322" i="16" s="1"/>
  <c r="T3323" i="16" s="1"/>
  <c r="T3324" i="16" s="1"/>
  <c r="T3325" i="16" s="1"/>
  <c r="T3326" i="16" s="1"/>
  <c r="T3327" i="16" s="1"/>
  <c r="T3328" i="16" s="1"/>
  <c r="T3329" i="16" s="1"/>
  <c r="T3330" i="16" s="1"/>
  <c r="T3331" i="16" s="1"/>
  <c r="T3332" i="16" s="1"/>
  <c r="T3333" i="16" s="1"/>
  <c r="T3334" i="16" s="1"/>
  <c r="T3335" i="16" s="1"/>
  <c r="T3336" i="16" s="1"/>
  <c r="T3337" i="16" s="1"/>
  <c r="T3338" i="16" s="1"/>
  <c r="T3339" i="16" s="1"/>
  <c r="T3340" i="16" s="1"/>
  <c r="T3341" i="16" s="1"/>
  <c r="T3342" i="16" s="1"/>
  <c r="T3343" i="16" s="1"/>
  <c r="T3344" i="16" s="1"/>
  <c r="T3345" i="16" s="1"/>
  <c r="T3346" i="16" s="1"/>
  <c r="T3347" i="16" s="1"/>
  <c r="T3348" i="16" s="1"/>
  <c r="T3349" i="16" s="1"/>
  <c r="T3350" i="16" s="1"/>
  <c r="T3351" i="16" s="1"/>
  <c r="T3352" i="16" s="1"/>
  <c r="T3353" i="16" s="1"/>
  <c r="T3354" i="16" s="1"/>
  <c r="T3355" i="16" s="1"/>
  <c r="T3356" i="16" s="1"/>
  <c r="T3357" i="16" s="1"/>
  <c r="T3358" i="16" s="1"/>
  <c r="T3359" i="16" s="1"/>
  <c r="T3360" i="16" s="1"/>
  <c r="T3361" i="16" s="1"/>
  <c r="T3362" i="16" s="1"/>
  <c r="T3363" i="16" s="1"/>
  <c r="T3364" i="16" s="1"/>
  <c r="T3365" i="16" s="1"/>
  <c r="T3366" i="16" s="1"/>
  <c r="T3367" i="16" s="1"/>
  <c r="T3368" i="16" s="1"/>
  <c r="T3369" i="16" s="1"/>
  <c r="T3370" i="16" s="1"/>
  <c r="T3371" i="16" s="1"/>
  <c r="T3372" i="16" s="1"/>
  <c r="T3373" i="16" s="1"/>
  <c r="T3374" i="16" s="1"/>
  <c r="T3375" i="16" s="1"/>
  <c r="T3376" i="16" s="1"/>
  <c r="T3377" i="16" s="1"/>
  <c r="T3378" i="16" s="1"/>
  <c r="T3379" i="16" s="1"/>
  <c r="T3380" i="16" s="1"/>
  <c r="T3381" i="16" s="1"/>
  <c r="T3382" i="16" s="1"/>
  <c r="T3383" i="16" s="1"/>
  <c r="T3384" i="16" s="1"/>
  <c r="T3385" i="16" s="1"/>
  <c r="T3386" i="16" s="1"/>
  <c r="T3387" i="16" s="1"/>
  <c r="T3388" i="16" s="1"/>
  <c r="T3389" i="16" s="1"/>
  <c r="T3390" i="16" s="1"/>
  <c r="T3391" i="16" s="1"/>
  <c r="T3392" i="16" s="1"/>
  <c r="T3393" i="16" s="1"/>
  <c r="T3394" i="16" s="1"/>
  <c r="T3395" i="16" s="1"/>
  <c r="T3396" i="16" s="1"/>
  <c r="T3397" i="16" s="1"/>
  <c r="T3398" i="16" s="1"/>
  <c r="T3399" i="16" s="1"/>
  <c r="T3400" i="16" s="1"/>
  <c r="T3401" i="16" s="1"/>
  <c r="T3402" i="16" s="1"/>
  <c r="T3403" i="16" s="1"/>
  <c r="T3404" i="16" s="1"/>
  <c r="T3405" i="16" s="1"/>
  <c r="T3406" i="16" s="1"/>
  <c r="T3407" i="16" s="1"/>
  <c r="T3408" i="16" s="1"/>
  <c r="T3409" i="16" s="1"/>
  <c r="T3410" i="16" s="1"/>
  <c r="T3411" i="16" s="1"/>
  <c r="T3412" i="16" s="1"/>
  <c r="T3413" i="16" s="1"/>
  <c r="T3414" i="16" s="1"/>
  <c r="T3415" i="16" s="1"/>
  <c r="T3416" i="16" s="1"/>
  <c r="T3417" i="16" s="1"/>
  <c r="T3418" i="16" s="1"/>
  <c r="T3419" i="16" s="1"/>
  <c r="T3420" i="16" s="1"/>
  <c r="T3421" i="16" s="1"/>
  <c r="T3422" i="16" s="1"/>
  <c r="T3423" i="16" s="1"/>
  <c r="T3424" i="16" s="1"/>
  <c r="T3425" i="16" s="1"/>
  <c r="T3426" i="16" s="1"/>
  <c r="T3427" i="16" s="1"/>
  <c r="T3428" i="16" s="1"/>
  <c r="T3429" i="16" s="1"/>
  <c r="T3430" i="16" s="1"/>
  <c r="T3431" i="16" s="1"/>
  <c r="T3432" i="16" s="1"/>
  <c r="T3433" i="16" s="1"/>
  <c r="T3434" i="16" s="1"/>
  <c r="T3435" i="16" s="1"/>
  <c r="T3436" i="16" s="1"/>
  <c r="T3437" i="16" s="1"/>
  <c r="T3438" i="16" s="1"/>
  <c r="T3439" i="16" s="1"/>
  <c r="T3440" i="16" s="1"/>
  <c r="T3441" i="16" s="1"/>
  <c r="T3442" i="16" s="1"/>
  <c r="T3443" i="16" s="1"/>
  <c r="T3444" i="16" s="1"/>
  <c r="T3445" i="16" s="1"/>
  <c r="T3446" i="16" s="1"/>
  <c r="T3447" i="16" s="1"/>
  <c r="T3448" i="16" s="1"/>
  <c r="T3449" i="16" s="1"/>
  <c r="T3450" i="16" s="1"/>
  <c r="T3451" i="16" s="1"/>
  <c r="T3452" i="16" s="1"/>
  <c r="T3453" i="16" s="1"/>
  <c r="T3454" i="16" s="1"/>
  <c r="T3455" i="16" s="1"/>
  <c r="T3456" i="16" s="1"/>
  <c r="T3457" i="16" s="1"/>
  <c r="T3458" i="16" s="1"/>
  <c r="T3459" i="16" s="1"/>
  <c r="T3460" i="16" s="1"/>
  <c r="T3461" i="16" s="1"/>
  <c r="T3462" i="16" s="1"/>
  <c r="T3463" i="16" s="1"/>
  <c r="T3464" i="16" s="1"/>
  <c r="T3465" i="16" s="1"/>
  <c r="T3466" i="16" s="1"/>
  <c r="T3467" i="16" s="1"/>
  <c r="T3468" i="16" s="1"/>
  <c r="T3469" i="16" s="1"/>
  <c r="T3470" i="16" s="1"/>
  <c r="T3471" i="16" s="1"/>
  <c r="T3472" i="16" s="1"/>
  <c r="T3473" i="16" s="1"/>
  <c r="T3474" i="16" s="1"/>
  <c r="T3475" i="16" s="1"/>
  <c r="T3476" i="16" s="1"/>
  <c r="T3477" i="16" s="1"/>
  <c r="T3478" i="16" s="1"/>
  <c r="T3479" i="16" s="1"/>
  <c r="T3480" i="16" s="1"/>
  <c r="T3481" i="16" s="1"/>
  <c r="T3482" i="16" s="1"/>
  <c r="T3483" i="16" s="1"/>
  <c r="T3484" i="16" s="1"/>
  <c r="T3485" i="16" s="1"/>
  <c r="T3486" i="16" s="1"/>
  <c r="T3487" i="16" s="1"/>
  <c r="T3488" i="16" s="1"/>
  <c r="T3489" i="16" s="1"/>
  <c r="T3490" i="16" s="1"/>
  <c r="T3491" i="16" s="1"/>
  <c r="T3492" i="16" s="1"/>
  <c r="T3493" i="16" s="1"/>
  <c r="T3494" i="16" s="1"/>
  <c r="T3495" i="16" s="1"/>
  <c r="T3496" i="16" s="1"/>
  <c r="T3497" i="16" s="1"/>
  <c r="T3498" i="16" s="1"/>
  <c r="T3499" i="16" s="1"/>
  <c r="T3500" i="16" s="1"/>
  <c r="T3501" i="16" s="1"/>
  <c r="T3502" i="16" s="1"/>
  <c r="T3503" i="16" s="1"/>
  <c r="T3504" i="16" s="1"/>
  <c r="T3505" i="16" s="1"/>
  <c r="T3506" i="16" s="1"/>
  <c r="T3507" i="16" s="1"/>
  <c r="T3508" i="16" s="1"/>
  <c r="T3509" i="16" s="1"/>
  <c r="T3510" i="16" s="1"/>
  <c r="T3511" i="16" s="1"/>
  <c r="T3512" i="16" s="1"/>
  <c r="T3513" i="16" s="1"/>
  <c r="T3514" i="16" s="1"/>
  <c r="T3515" i="16" s="1"/>
  <c r="T3516" i="16" s="1"/>
  <c r="T3517" i="16" s="1"/>
  <c r="T3518" i="16" s="1"/>
  <c r="T3519" i="16" s="1"/>
  <c r="T3520" i="16" s="1"/>
  <c r="T3521" i="16" s="1"/>
  <c r="T3522" i="16" s="1"/>
  <c r="T3523" i="16" s="1"/>
  <c r="T3524" i="16" s="1"/>
  <c r="T3525" i="16" s="1"/>
  <c r="T3526" i="16" s="1"/>
  <c r="T3527" i="16" s="1"/>
  <c r="T3528" i="16" s="1"/>
  <c r="T3529" i="16" s="1"/>
  <c r="T3530" i="16" s="1"/>
  <c r="T3531" i="16" s="1"/>
  <c r="T3532" i="16" s="1"/>
  <c r="T3533" i="16" s="1"/>
  <c r="T3534" i="16" s="1"/>
  <c r="T3535" i="16" s="1"/>
  <c r="T3536" i="16" s="1"/>
  <c r="T3537" i="16" s="1"/>
  <c r="T3538" i="16" s="1"/>
  <c r="T3539" i="16" s="1"/>
  <c r="T3540" i="16" s="1"/>
  <c r="T3541" i="16" s="1"/>
  <c r="T3542" i="16" s="1"/>
  <c r="T3543" i="16" s="1"/>
  <c r="T3544" i="16" s="1"/>
  <c r="T3545" i="16" s="1"/>
  <c r="T3546" i="16" s="1"/>
  <c r="T3547" i="16" s="1"/>
  <c r="T3548" i="16" s="1"/>
  <c r="T3549" i="16" s="1"/>
  <c r="N53" i="16"/>
  <c r="N52" i="16"/>
  <c r="N51" i="16"/>
  <c r="N50" i="16"/>
  <c r="N49" i="16"/>
  <c r="N48" i="16"/>
  <c r="N47" i="16"/>
  <c r="N46" i="16"/>
  <c r="N45" i="16"/>
  <c r="N44" i="16"/>
  <c r="N43" i="16"/>
  <c r="N42" i="16"/>
  <c r="N41" i="16"/>
  <c r="N40" i="16"/>
  <c r="N39" i="16"/>
  <c r="T17" i="16"/>
  <c r="T18" i="16" s="1"/>
  <c r="T19" i="16" s="1"/>
  <c r="T20" i="16" s="1"/>
  <c r="T21" i="16" s="1"/>
  <c r="T22" i="16" s="1"/>
  <c r="T23" i="16" s="1"/>
  <c r="T24" i="16" s="1"/>
  <c r="T25" i="16" s="1"/>
  <c r="T26" i="16" s="1"/>
  <c r="T27" i="16" s="1"/>
  <c r="T28" i="16" s="1"/>
  <c r="T29" i="16" s="1"/>
  <c r="T30" i="16" s="1"/>
  <c r="T31" i="16" s="1"/>
  <c r="T32" i="16" s="1"/>
  <c r="T33" i="16" s="1"/>
  <c r="T34" i="16" s="1"/>
  <c r="T35" i="16" s="1"/>
  <c r="T36" i="16" s="1"/>
  <c r="T37" i="16" s="1"/>
  <c r="T38" i="16" s="1"/>
  <c r="T39" i="16" s="1"/>
  <c r="T40" i="16" s="1"/>
  <c r="T41" i="16" s="1"/>
  <c r="T42" i="16" s="1"/>
  <c r="T43" i="16" s="1"/>
  <c r="T44" i="16" s="1"/>
  <c r="T45" i="16" s="1"/>
  <c r="T46" i="16" s="1"/>
  <c r="T47" i="16" s="1"/>
  <c r="T48" i="16" s="1"/>
  <c r="T49" i="16" s="1"/>
  <c r="T50" i="16" s="1"/>
  <c r="T51" i="16" s="1"/>
  <c r="T52" i="16" s="1"/>
  <c r="T53" i="16" s="1"/>
  <c r="T54" i="16" s="1"/>
  <c r="T55" i="16" s="1"/>
  <c r="T56" i="16" s="1"/>
  <c r="T57" i="16" s="1"/>
  <c r="T58" i="16" s="1"/>
  <c r="T59" i="16" s="1"/>
  <c r="T60" i="16" s="1"/>
  <c r="T61" i="16" s="1"/>
  <c r="T62" i="16" s="1"/>
  <c r="T63" i="16" s="1"/>
  <c r="T64" i="16" s="1"/>
  <c r="T65" i="16" s="1"/>
  <c r="T66" i="16" s="1"/>
  <c r="T67" i="16" s="1"/>
  <c r="T68" i="16" s="1"/>
  <c r="T69" i="16" s="1"/>
  <c r="T70" i="16" s="1"/>
  <c r="T71" i="16" s="1"/>
  <c r="T72" i="16" s="1"/>
  <c r="T73" i="16" s="1"/>
  <c r="T74" i="16" s="1"/>
  <c r="T75" i="16" s="1"/>
  <c r="T76" i="16" s="1"/>
  <c r="T77" i="16" s="1"/>
  <c r="T78" i="16" s="1"/>
  <c r="T79" i="16" s="1"/>
  <c r="T80" i="16" s="1"/>
  <c r="T81" i="16" s="1"/>
  <c r="T82" i="16" s="1"/>
  <c r="T83" i="16" s="1"/>
  <c r="T84" i="16" s="1"/>
  <c r="T85" i="16" s="1"/>
  <c r="T86" i="16" s="1"/>
  <c r="T87" i="16" s="1"/>
  <c r="T88" i="16" s="1"/>
  <c r="T89" i="16" s="1"/>
  <c r="T90" i="16" s="1"/>
  <c r="T91" i="16" s="1"/>
  <c r="T92" i="16" s="1"/>
  <c r="T93" i="16" s="1"/>
  <c r="T94" i="16" s="1"/>
  <c r="T95" i="16" s="1"/>
  <c r="T96" i="16" s="1"/>
  <c r="T97" i="16" s="1"/>
  <c r="T98" i="16" s="1"/>
  <c r="T99" i="16" s="1"/>
  <c r="T100" i="16" s="1"/>
  <c r="T101" i="16" s="1"/>
  <c r="T102" i="16" s="1"/>
  <c r="T103" i="16" s="1"/>
  <c r="T104" i="16" s="1"/>
  <c r="T105" i="16" s="1"/>
  <c r="T106" i="16" s="1"/>
  <c r="T107" i="16" s="1"/>
  <c r="T108" i="16" s="1"/>
  <c r="T109" i="16" s="1"/>
  <c r="T110" i="16" s="1"/>
  <c r="T111" i="16" s="1"/>
  <c r="T112" i="16" s="1"/>
  <c r="T113" i="16" s="1"/>
  <c r="T114" i="16" s="1"/>
  <c r="T115" i="16" s="1"/>
  <c r="T116" i="16" s="1"/>
  <c r="T117" i="16" s="1"/>
  <c r="T118" i="16" s="1"/>
  <c r="T119" i="16" s="1"/>
  <c r="T120" i="16" s="1"/>
  <c r="T121" i="16" s="1"/>
  <c r="T122" i="16" s="1"/>
  <c r="T123" i="16" s="1"/>
  <c r="T124" i="16" s="1"/>
  <c r="T125" i="16" s="1"/>
  <c r="T126" i="16" s="1"/>
  <c r="T127" i="16" s="1"/>
  <c r="T128" i="16" s="1"/>
  <c r="T129" i="16" s="1"/>
  <c r="T130" i="16" s="1"/>
  <c r="T131" i="16" s="1"/>
  <c r="T132" i="16" s="1"/>
  <c r="T133" i="16" s="1"/>
  <c r="T134" i="16" s="1"/>
  <c r="T135" i="16" s="1"/>
  <c r="T136" i="16" s="1"/>
  <c r="T137" i="16" s="1"/>
  <c r="T138" i="16" s="1"/>
  <c r="T139" i="16" s="1"/>
  <c r="T140" i="16" s="1"/>
  <c r="T141" i="16" s="1"/>
  <c r="T142" i="16" s="1"/>
  <c r="T143" i="16" s="1"/>
  <c r="T144" i="16" s="1"/>
  <c r="T145" i="16" s="1"/>
  <c r="T146" i="16" s="1"/>
  <c r="T147" i="16" s="1"/>
  <c r="T148" i="16" s="1"/>
  <c r="T149" i="16" s="1"/>
  <c r="T150" i="16" s="1"/>
  <c r="T151" i="16" s="1"/>
  <c r="T152" i="16" s="1"/>
  <c r="T153" i="16" s="1"/>
  <c r="T154" i="16" s="1"/>
  <c r="T155" i="16" s="1"/>
  <c r="T156" i="16" s="1"/>
  <c r="T157" i="16" s="1"/>
  <c r="T158" i="16" s="1"/>
  <c r="T159" i="16" s="1"/>
  <c r="T160" i="16" s="1"/>
  <c r="T161" i="16" s="1"/>
  <c r="T162" i="16" s="1"/>
  <c r="T163" i="16" s="1"/>
  <c r="T164" i="16" s="1"/>
  <c r="T165" i="16" s="1"/>
  <c r="T166" i="16" s="1"/>
  <c r="T167" i="16" s="1"/>
  <c r="T168" i="16" s="1"/>
  <c r="T169" i="16" s="1"/>
  <c r="T170" i="16" s="1"/>
  <c r="T171" i="16" s="1"/>
  <c r="T172" i="16" s="1"/>
  <c r="T173" i="16" s="1"/>
  <c r="T174" i="16" s="1"/>
  <c r="T175" i="16" s="1"/>
  <c r="T176" i="16" s="1"/>
  <c r="T177" i="16" s="1"/>
  <c r="T178" i="16" s="1"/>
  <c r="T179" i="16" s="1"/>
  <c r="T180" i="16" s="1"/>
  <c r="T181" i="16" s="1"/>
  <c r="T182" i="16" s="1"/>
  <c r="T183" i="16" s="1"/>
  <c r="T184" i="16" s="1"/>
  <c r="T185" i="16" s="1"/>
  <c r="T186" i="16" s="1"/>
  <c r="T187" i="16" s="1"/>
  <c r="T188" i="16" s="1"/>
  <c r="T189" i="16" s="1"/>
  <c r="T190" i="16" s="1"/>
  <c r="T191" i="16" s="1"/>
  <c r="T192" i="16" s="1"/>
  <c r="T193" i="16" s="1"/>
  <c r="T194" i="16" s="1"/>
  <c r="T195" i="16" s="1"/>
  <c r="T196" i="16" s="1"/>
  <c r="T197" i="16" s="1"/>
  <c r="T198" i="16" s="1"/>
  <c r="T199" i="16" s="1"/>
  <c r="T200" i="16" s="1"/>
  <c r="T201" i="16" s="1"/>
  <c r="T202" i="16" s="1"/>
  <c r="T203" i="16" s="1"/>
  <c r="T204" i="16" s="1"/>
  <c r="T205" i="16" s="1"/>
  <c r="T206" i="16" s="1"/>
  <c r="T207" i="16" s="1"/>
  <c r="T208" i="16" s="1"/>
  <c r="T209" i="16" s="1"/>
  <c r="T210" i="16" s="1"/>
  <c r="T211" i="16" s="1"/>
  <c r="T212" i="16" s="1"/>
  <c r="T213" i="16" s="1"/>
  <c r="T214" i="16" s="1"/>
  <c r="T215" i="16" s="1"/>
  <c r="T216" i="16" s="1"/>
  <c r="T217" i="16" s="1"/>
  <c r="T218" i="16" s="1"/>
  <c r="T219" i="16" s="1"/>
  <c r="T220" i="16" s="1"/>
  <c r="T221" i="16" s="1"/>
  <c r="T222" i="16" s="1"/>
  <c r="T223" i="16" s="1"/>
  <c r="T224" i="16" s="1"/>
  <c r="T225" i="16" s="1"/>
  <c r="T226" i="16" s="1"/>
  <c r="T227" i="16" s="1"/>
  <c r="T228" i="16" s="1"/>
  <c r="T229" i="16" s="1"/>
  <c r="T230" i="16" s="1"/>
  <c r="T231" i="16" s="1"/>
  <c r="T232" i="16" s="1"/>
  <c r="T233" i="16" s="1"/>
  <c r="T234" i="16" s="1"/>
  <c r="T235" i="16" s="1"/>
  <c r="T236" i="16" s="1"/>
  <c r="T237" i="16" s="1"/>
  <c r="T238" i="16" s="1"/>
  <c r="T239" i="16" s="1"/>
  <c r="T240" i="16" s="1"/>
  <c r="T241" i="16" s="1"/>
  <c r="T242" i="16" s="1"/>
  <c r="T243" i="16" s="1"/>
  <c r="T244" i="16" s="1"/>
  <c r="T245" i="16" s="1"/>
  <c r="T246" i="16" s="1"/>
  <c r="T247" i="16" s="1"/>
  <c r="T248" i="16" s="1"/>
  <c r="T249" i="16" s="1"/>
  <c r="T250" i="16" s="1"/>
  <c r="T251" i="16" s="1"/>
  <c r="T252" i="16" s="1"/>
  <c r="T253" i="16" s="1"/>
  <c r="T254" i="16" s="1"/>
  <c r="T255" i="16" s="1"/>
  <c r="T256" i="16" s="1"/>
  <c r="T257" i="16" s="1"/>
  <c r="T258" i="16" s="1"/>
  <c r="T259" i="16" s="1"/>
  <c r="T260" i="16" s="1"/>
  <c r="T261" i="16" s="1"/>
  <c r="T262" i="16" s="1"/>
  <c r="T263" i="16" s="1"/>
  <c r="T264" i="16" s="1"/>
  <c r="T265" i="16" s="1"/>
  <c r="T266" i="16" s="1"/>
  <c r="T267" i="16" s="1"/>
  <c r="T268" i="16" s="1"/>
  <c r="T269" i="16" s="1"/>
  <c r="T270" i="16" s="1"/>
  <c r="T271" i="16" s="1"/>
  <c r="T272" i="16" s="1"/>
  <c r="T273" i="16" s="1"/>
  <c r="T274" i="16" s="1"/>
  <c r="T275" i="16" s="1"/>
  <c r="T276" i="16" s="1"/>
  <c r="T277" i="16" s="1"/>
  <c r="T278" i="16" s="1"/>
  <c r="T279" i="16" s="1"/>
  <c r="T280" i="16" s="1"/>
  <c r="T281" i="16" s="1"/>
  <c r="T282" i="16" s="1"/>
  <c r="T283" i="16" s="1"/>
  <c r="T284" i="16" s="1"/>
  <c r="T285" i="16" s="1"/>
  <c r="T286" i="16" s="1"/>
  <c r="T287" i="16" s="1"/>
  <c r="T288" i="16" s="1"/>
  <c r="T289" i="16" s="1"/>
  <c r="T290" i="16" s="1"/>
  <c r="T291" i="16" s="1"/>
  <c r="T292" i="16" s="1"/>
  <c r="T293" i="16" s="1"/>
  <c r="T294" i="16" s="1"/>
  <c r="T295" i="16" s="1"/>
  <c r="T296" i="16" s="1"/>
  <c r="T297" i="16" s="1"/>
  <c r="T298" i="16" s="1"/>
  <c r="T299" i="16" s="1"/>
  <c r="T300" i="16" s="1"/>
  <c r="T301" i="16" s="1"/>
  <c r="T302" i="16" s="1"/>
  <c r="T303" i="16" s="1"/>
  <c r="T304" i="16" s="1"/>
  <c r="T305" i="16" s="1"/>
  <c r="T306" i="16" s="1"/>
  <c r="T307" i="16" s="1"/>
  <c r="T308" i="16" s="1"/>
  <c r="T309" i="16" s="1"/>
  <c r="T310" i="16" s="1"/>
  <c r="T311" i="16" s="1"/>
  <c r="T312" i="16" s="1"/>
  <c r="T313" i="16" s="1"/>
  <c r="T314" i="16" s="1"/>
  <c r="T315" i="16" s="1"/>
  <c r="T316" i="16" s="1"/>
  <c r="T317" i="16" s="1"/>
  <c r="T318" i="16" s="1"/>
  <c r="T319" i="16" s="1"/>
  <c r="T320" i="16" s="1"/>
  <c r="T321" i="16" s="1"/>
  <c r="T322" i="16" s="1"/>
  <c r="T323" i="16" s="1"/>
  <c r="T324" i="16" s="1"/>
  <c r="T325" i="16" s="1"/>
  <c r="T326" i="16" s="1"/>
  <c r="T327" i="16" s="1"/>
  <c r="T328" i="16" s="1"/>
  <c r="T329" i="16" s="1"/>
  <c r="T330" i="16" s="1"/>
  <c r="T331" i="16" s="1"/>
  <c r="T332" i="16" s="1"/>
  <c r="T333" i="16" s="1"/>
  <c r="T334" i="16" s="1"/>
  <c r="T335" i="16" s="1"/>
  <c r="T336" i="16" s="1"/>
  <c r="T337" i="16" s="1"/>
  <c r="T338" i="16" s="1"/>
  <c r="T339" i="16" s="1"/>
  <c r="T340" i="16" s="1"/>
  <c r="T341" i="16" s="1"/>
  <c r="T342" i="16" s="1"/>
  <c r="T343" i="16" s="1"/>
  <c r="T344" i="16" s="1"/>
  <c r="T345" i="16" s="1"/>
  <c r="T346" i="16" s="1"/>
  <c r="T347" i="16" s="1"/>
  <c r="T348" i="16" s="1"/>
  <c r="T349" i="16" s="1"/>
  <c r="T350" i="16" s="1"/>
  <c r="T351" i="16" s="1"/>
  <c r="T352" i="16" s="1"/>
  <c r="T353" i="16" s="1"/>
  <c r="T354" i="16" s="1"/>
  <c r="T355" i="16" s="1"/>
  <c r="T356" i="16" s="1"/>
  <c r="T357" i="16" s="1"/>
  <c r="T358" i="16" s="1"/>
  <c r="T359" i="16" s="1"/>
  <c r="T360" i="16" s="1"/>
  <c r="T361" i="16" s="1"/>
  <c r="T362" i="16" s="1"/>
  <c r="T363" i="16" s="1"/>
  <c r="T364" i="16" s="1"/>
  <c r="T365" i="16" s="1"/>
  <c r="T366" i="16" s="1"/>
  <c r="T367" i="16" s="1"/>
  <c r="T368" i="16" s="1"/>
  <c r="T369" i="16" s="1"/>
  <c r="T370" i="16" s="1"/>
  <c r="T371" i="16" s="1"/>
  <c r="T372" i="16" s="1"/>
  <c r="T373" i="16" s="1"/>
  <c r="T374" i="16" s="1"/>
  <c r="T375" i="16" s="1"/>
  <c r="T376" i="16" s="1"/>
  <c r="T377" i="16" s="1"/>
  <c r="T378" i="16" s="1"/>
  <c r="T379" i="16" s="1"/>
  <c r="T380" i="16" s="1"/>
  <c r="T381" i="16" s="1"/>
  <c r="T382" i="16" s="1"/>
  <c r="T383" i="16" s="1"/>
  <c r="T384" i="16" s="1"/>
  <c r="T385" i="16" s="1"/>
  <c r="T386" i="16" s="1"/>
  <c r="T387" i="16" s="1"/>
  <c r="T388" i="16" s="1"/>
  <c r="T389" i="16" s="1"/>
  <c r="T390" i="16" s="1"/>
  <c r="T391" i="16" s="1"/>
  <c r="T392" i="16" s="1"/>
  <c r="T393" i="16" s="1"/>
  <c r="T394" i="16" s="1"/>
  <c r="T395" i="16" s="1"/>
  <c r="T396" i="16" s="1"/>
  <c r="T397" i="16" s="1"/>
  <c r="T398" i="16" s="1"/>
  <c r="T399" i="16" s="1"/>
  <c r="T400" i="16" s="1"/>
  <c r="T401" i="16" s="1"/>
  <c r="T402" i="16" s="1"/>
  <c r="T403" i="16" s="1"/>
  <c r="T404" i="16" s="1"/>
  <c r="T405" i="16" s="1"/>
  <c r="T406" i="16" s="1"/>
  <c r="T407" i="16" s="1"/>
  <c r="T408" i="16" s="1"/>
  <c r="T409" i="16" s="1"/>
  <c r="T410" i="16" s="1"/>
  <c r="T411" i="16" s="1"/>
  <c r="T412" i="16" s="1"/>
  <c r="T413" i="16" s="1"/>
  <c r="T414" i="16" s="1"/>
  <c r="T415" i="16" s="1"/>
  <c r="T416" i="16" s="1"/>
  <c r="T417" i="16" s="1"/>
  <c r="T418" i="16" s="1"/>
  <c r="T419" i="16" s="1"/>
  <c r="T420" i="16" s="1"/>
  <c r="T421" i="16" s="1"/>
  <c r="T422" i="16" s="1"/>
  <c r="T423" i="16" s="1"/>
  <c r="T424" i="16" s="1"/>
  <c r="T425" i="16" s="1"/>
  <c r="T426" i="16" s="1"/>
  <c r="T427" i="16" s="1"/>
  <c r="T428" i="16" s="1"/>
  <c r="T429" i="16" s="1"/>
  <c r="T430" i="16" s="1"/>
  <c r="T431" i="16" s="1"/>
  <c r="T432" i="16" s="1"/>
  <c r="T433" i="16" s="1"/>
  <c r="T434" i="16" s="1"/>
  <c r="T435" i="16" s="1"/>
  <c r="T436" i="16" s="1"/>
  <c r="T437" i="16" s="1"/>
  <c r="T438" i="16" s="1"/>
  <c r="T439" i="16" s="1"/>
  <c r="T440" i="16" s="1"/>
  <c r="T441" i="16" s="1"/>
  <c r="T442" i="16" s="1"/>
  <c r="T443" i="16" s="1"/>
  <c r="T444" i="16" s="1"/>
  <c r="T445" i="16" s="1"/>
  <c r="T446" i="16" s="1"/>
  <c r="T447" i="16" s="1"/>
  <c r="T448" i="16" s="1"/>
  <c r="T449" i="16" s="1"/>
  <c r="T450" i="16" s="1"/>
  <c r="T451" i="16" s="1"/>
  <c r="T452" i="16" s="1"/>
  <c r="T453" i="16" s="1"/>
  <c r="T454" i="16" s="1"/>
  <c r="T455" i="16" s="1"/>
  <c r="T456" i="16" s="1"/>
  <c r="T457" i="16" s="1"/>
  <c r="T458" i="16" s="1"/>
  <c r="T459" i="16" s="1"/>
  <c r="T460" i="16" s="1"/>
  <c r="T461" i="16" s="1"/>
  <c r="T462" i="16" s="1"/>
  <c r="T463" i="16" s="1"/>
  <c r="T464" i="16" s="1"/>
  <c r="T465" i="16" s="1"/>
  <c r="T466" i="16" s="1"/>
  <c r="T467" i="16" s="1"/>
  <c r="T468" i="16" s="1"/>
  <c r="T469" i="16" s="1"/>
  <c r="T470" i="16" s="1"/>
  <c r="T471" i="16" s="1"/>
  <c r="T472" i="16" s="1"/>
  <c r="T473" i="16" s="1"/>
  <c r="T474" i="16" s="1"/>
  <c r="T475" i="16" s="1"/>
  <c r="T476" i="16" s="1"/>
  <c r="T477" i="16" s="1"/>
  <c r="T478" i="16" s="1"/>
  <c r="T479" i="16" s="1"/>
  <c r="T480" i="16" s="1"/>
  <c r="T481" i="16" s="1"/>
  <c r="T482" i="16" s="1"/>
  <c r="T483" i="16" s="1"/>
  <c r="T484" i="16" s="1"/>
  <c r="T485" i="16" s="1"/>
  <c r="T486" i="16" s="1"/>
  <c r="T487" i="16" s="1"/>
  <c r="T488" i="16" s="1"/>
  <c r="T489" i="16" s="1"/>
  <c r="T490" i="16" s="1"/>
  <c r="T491" i="16" s="1"/>
  <c r="T492" i="16" s="1"/>
  <c r="T493" i="16" s="1"/>
  <c r="T494" i="16" s="1"/>
  <c r="T495" i="16" s="1"/>
  <c r="T496" i="16" s="1"/>
  <c r="T497" i="16" s="1"/>
  <c r="T498" i="16" s="1"/>
  <c r="T499" i="16" s="1"/>
  <c r="T500" i="16" s="1"/>
  <c r="T501" i="16" s="1"/>
  <c r="T502" i="16" s="1"/>
  <c r="T503" i="16" s="1"/>
  <c r="T504" i="16" s="1"/>
  <c r="T505" i="16" s="1"/>
  <c r="T506" i="16" s="1"/>
  <c r="T507" i="16" s="1"/>
  <c r="T508" i="16" s="1"/>
  <c r="T509" i="16" s="1"/>
  <c r="T510" i="16" s="1"/>
  <c r="T511" i="16" s="1"/>
  <c r="T512" i="16" s="1"/>
  <c r="T513" i="16" s="1"/>
  <c r="T514" i="16" s="1"/>
  <c r="T515" i="16" s="1"/>
  <c r="T516" i="16" s="1"/>
  <c r="T517" i="16" s="1"/>
  <c r="T518" i="16" s="1"/>
  <c r="T519" i="16" s="1"/>
  <c r="T520" i="16" s="1"/>
  <c r="T521" i="16" s="1"/>
  <c r="T522" i="16" s="1"/>
  <c r="T523" i="16" s="1"/>
  <c r="T524" i="16" s="1"/>
  <c r="T525" i="16" s="1"/>
  <c r="T526" i="16" s="1"/>
  <c r="T527" i="16" s="1"/>
  <c r="T528" i="16" s="1"/>
  <c r="T529" i="16" s="1"/>
  <c r="T530" i="16" s="1"/>
  <c r="T531" i="16" s="1"/>
  <c r="T532" i="16" s="1"/>
  <c r="T533" i="16" s="1"/>
  <c r="N38" i="16"/>
  <c r="N37" i="16"/>
  <c r="N36" i="16"/>
  <c r="D13" i="16"/>
  <c r="B14" i="16"/>
  <c r="B10" i="16"/>
  <c r="B8" i="16"/>
  <c r="B13" i="16"/>
  <c r="M15" i="6" l="1"/>
  <c r="L2" i="15" l="1"/>
  <c r="K2" i="15"/>
  <c r="K3"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K4" i="15"/>
  <c r="K6" i="15"/>
  <c r="D7" i="15"/>
  <c r="F6" i="15"/>
  <c r="H6" i="15"/>
  <c r="T6" i="15"/>
  <c r="L4" i="15"/>
  <c r="D3" i="11" a="1"/>
  <c r="U16" i="16"/>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E12" i="16"/>
  <c r="E11" i="16"/>
  <c r="E9" i="16"/>
  <c r="E13" i="16"/>
  <c r="E10" i="16"/>
  <c r="E7" i="16"/>
  <c r="E8" i="16"/>
  <c r="E14" i="16"/>
  <c r="J7" i="15"/>
  <c r="K7" i="15"/>
  <c r="D8" i="15"/>
  <c r="F7" i="15"/>
  <c r="H7" i="15"/>
  <c r="V16" i="16"/>
  <c r="H8" i="15" l="1"/>
  <c r="J8" i="15"/>
  <c r="D9" i="15"/>
  <c r="F8" i="15"/>
  <c r="K8" i="15"/>
  <c r="F9" i="15" l="1"/>
  <c r="H9" i="15"/>
  <c r="K9" i="15"/>
  <c r="D10" i="15"/>
  <c r="J9" i="15"/>
  <c r="D11" i="15" l="1"/>
  <c r="F10" i="15"/>
  <c r="K10" i="15"/>
  <c r="H10" i="15"/>
  <c r="J10" i="15"/>
  <c r="D12" i="15" l="1"/>
  <c r="J11" i="15"/>
  <c r="K11" i="15"/>
  <c r="F11" i="15"/>
  <c r="H11" i="15"/>
  <c r="L8" i="15"/>
  <c r="L9" i="15"/>
  <c r="L11" i="15"/>
  <c r="L7" i="15"/>
  <c r="M7" i="15"/>
  <c r="L10" i="15"/>
  <c r="M9" i="15"/>
  <c r="M10" i="15"/>
  <c r="L6" i="15"/>
  <c r="M6" i="15" s="1"/>
  <c r="M4" i="15"/>
  <c r="U17" i="16"/>
  <c r="U18" i="16"/>
  <c r="E128" i="5" l="1"/>
  <c r="E126" i="5"/>
  <c r="E127" i="5"/>
  <c r="E129" i="5"/>
  <c r="E130" i="5"/>
  <c r="E131" i="5"/>
  <c r="H12" i="15"/>
  <c r="J12" i="15"/>
  <c r="K12" i="15"/>
  <c r="D13" i="15"/>
  <c r="F12" i="15"/>
  <c r="V18" i="16"/>
  <c r="V17" i="16"/>
  <c r="M8" i="15"/>
  <c r="F13" i="15" l="1"/>
  <c r="H13" i="15"/>
  <c r="J13" i="15"/>
  <c r="K13" i="15"/>
  <c r="D14" i="15"/>
  <c r="K14" i="15" l="1"/>
  <c r="D15" i="15"/>
  <c r="F14" i="15"/>
  <c r="H14" i="15"/>
  <c r="J14" i="15"/>
  <c r="L13" i="15"/>
  <c r="M11" i="15"/>
  <c r="U19" i="16"/>
  <c r="L12" i="15"/>
  <c r="L14" i="15"/>
  <c r="M13" i="15"/>
  <c r="V19" i="16"/>
  <c r="U20" i="16"/>
  <c r="M12" i="15"/>
  <c r="V20" i="16"/>
  <c r="U21" i="16"/>
  <c r="U22" i="16"/>
  <c r="V21" i="16"/>
  <c r="V22" i="16"/>
  <c r="U23" i="16"/>
  <c r="U24" i="16"/>
  <c r="V23" i="16"/>
  <c r="U25" i="16"/>
  <c r="V24" i="16"/>
  <c r="U26" i="16"/>
  <c r="V25" i="16"/>
  <c r="U27" i="16"/>
  <c r="V26" i="16"/>
  <c r="V27" i="16"/>
  <c r="U28" i="16"/>
  <c r="V28" i="16"/>
  <c r="U29" i="16"/>
  <c r="V29" i="16"/>
  <c r="U30" i="16"/>
  <c r="U31" i="16"/>
  <c r="V30" i="16"/>
  <c r="V31" i="16"/>
  <c r="U32" i="16"/>
  <c r="V32" i="16"/>
  <c r="U33" i="16"/>
  <c r="U34" i="16"/>
  <c r="V33" i="16"/>
  <c r="U35" i="16"/>
  <c r="V34" i="16"/>
  <c r="U36" i="16"/>
  <c r="V35" i="16"/>
  <c r="U37" i="16"/>
  <c r="V36" i="16"/>
  <c r="U38" i="16"/>
  <c r="V37" i="16"/>
  <c r="V38" i="16"/>
  <c r="U39" i="16"/>
  <c r="V39" i="16"/>
  <c r="U40" i="16"/>
  <c r="V40" i="16"/>
  <c r="U41" i="16"/>
  <c r="U42" i="16"/>
  <c r="V41" i="16"/>
  <c r="V42" i="16"/>
  <c r="U43" i="16"/>
  <c r="U44" i="16"/>
  <c r="V43" i="16"/>
  <c r="U45" i="16"/>
  <c r="V44" i="16"/>
  <c r="U46" i="16"/>
  <c r="V45" i="16"/>
  <c r="V46" i="16"/>
  <c r="U47" i="16"/>
  <c r="U48" i="16"/>
  <c r="V47" i="16"/>
  <c r="U49" i="16"/>
  <c r="V48" i="16"/>
  <c r="U50" i="16"/>
  <c r="V49" i="16"/>
  <c r="U51" i="16"/>
  <c r="V50" i="16"/>
  <c r="U52" i="16"/>
  <c r="V51" i="16"/>
  <c r="U53" i="16"/>
  <c r="V52" i="16"/>
  <c r="V53" i="16"/>
  <c r="U54" i="16"/>
  <c r="U55" i="16"/>
  <c r="V54" i="16"/>
  <c r="V55" i="16"/>
  <c r="U56" i="16"/>
  <c r="V56" i="16"/>
  <c r="U57" i="16"/>
  <c r="U58" i="16"/>
  <c r="V57" i="16"/>
  <c r="V58" i="16"/>
  <c r="U59" i="16"/>
  <c r="U60" i="16"/>
  <c r="V59" i="16"/>
  <c r="U61" i="16"/>
  <c r="V60" i="16"/>
  <c r="U62" i="16"/>
  <c r="V61" i="16"/>
  <c r="U63" i="16"/>
  <c r="V62" i="16"/>
  <c r="U64" i="16"/>
  <c r="V63" i="16"/>
  <c r="U65" i="16"/>
  <c r="V64" i="16"/>
  <c r="U66" i="16"/>
  <c r="V65" i="16"/>
  <c r="V66" i="16"/>
  <c r="U67" i="16"/>
  <c r="V67" i="16"/>
  <c r="U68" i="16"/>
  <c r="V68" i="16"/>
  <c r="U69" i="16"/>
  <c r="V69" i="16"/>
  <c r="U70" i="16"/>
  <c r="U71" i="16"/>
  <c r="V70" i="16"/>
  <c r="V71" i="16"/>
  <c r="U72" i="16"/>
  <c r="U73" i="16"/>
  <c r="V72" i="16"/>
  <c r="U74" i="16"/>
  <c r="V73" i="16"/>
  <c r="U75" i="16"/>
  <c r="V74" i="16"/>
  <c r="U76" i="16"/>
  <c r="V75" i="16"/>
  <c r="V76" i="16"/>
  <c r="U77" i="16"/>
  <c r="U78" i="16"/>
  <c r="V77" i="16"/>
  <c r="U79" i="16"/>
  <c r="V78" i="16"/>
  <c r="U80" i="16"/>
  <c r="V79" i="16"/>
  <c r="V80" i="16"/>
  <c r="U81" i="16"/>
  <c r="U82" i="16"/>
  <c r="V81" i="16"/>
  <c r="U83" i="16"/>
  <c r="V82" i="16"/>
  <c r="U84" i="16"/>
  <c r="V83" i="16"/>
  <c r="V84" i="16"/>
  <c r="U85" i="16"/>
  <c r="U86" i="16"/>
  <c r="V85" i="16"/>
  <c r="U87" i="16"/>
  <c r="V86" i="16"/>
  <c r="V87" i="16"/>
  <c r="U88" i="16"/>
  <c r="V88" i="16"/>
  <c r="U89" i="16"/>
  <c r="V89" i="16"/>
  <c r="U90" i="16"/>
  <c r="V90" i="16"/>
  <c r="U91" i="16"/>
  <c r="V91" i="16"/>
  <c r="U92" i="16"/>
  <c r="V92" i="16"/>
  <c r="U93" i="16"/>
  <c r="U94" i="16"/>
  <c r="V93" i="16"/>
  <c r="U95" i="16"/>
  <c r="V94" i="16"/>
  <c r="U96" i="16"/>
  <c r="V95" i="16"/>
  <c r="V96" i="16"/>
  <c r="U97" i="16"/>
  <c r="U98" i="16"/>
  <c r="V97" i="16"/>
  <c r="V98" i="16"/>
  <c r="U99" i="16"/>
  <c r="U100" i="16"/>
  <c r="V99" i="16"/>
  <c r="U101" i="16"/>
  <c r="V100" i="16"/>
  <c r="V101" i="16"/>
  <c r="U102" i="16"/>
  <c r="V102" i="16"/>
  <c r="U103" i="16"/>
  <c r="V103" i="16"/>
  <c r="U104" i="16"/>
  <c r="U105" i="16"/>
  <c r="V104" i="16"/>
  <c r="U106" i="16"/>
  <c r="V105" i="16"/>
  <c r="U107" i="16"/>
  <c r="V106" i="16"/>
  <c r="V107" i="16"/>
  <c r="U108" i="16"/>
  <c r="V108" i="16"/>
  <c r="U109" i="16"/>
  <c r="U110" i="16"/>
  <c r="V109" i="16"/>
  <c r="U111" i="16"/>
  <c r="V110" i="16"/>
  <c r="V111" i="16"/>
  <c r="U112" i="16"/>
  <c r="U113" i="16"/>
  <c r="V112" i="16"/>
  <c r="V113" i="16"/>
  <c r="U114" i="16"/>
  <c r="V114" i="16"/>
  <c r="U115" i="16"/>
  <c r="U116" i="16"/>
  <c r="V115" i="16"/>
  <c r="U117" i="16"/>
  <c r="V116" i="16"/>
  <c r="V117" i="16"/>
  <c r="U118" i="16"/>
  <c r="V118" i="16"/>
  <c r="U119" i="16"/>
  <c r="U120" i="16"/>
  <c r="V119" i="16"/>
  <c r="V120" i="16"/>
  <c r="U121" i="16"/>
  <c r="U122" i="16"/>
  <c r="V121" i="16"/>
  <c r="V122" i="16"/>
  <c r="U123" i="16"/>
  <c r="U124" i="16"/>
  <c r="V123" i="16"/>
  <c r="V124" i="16"/>
  <c r="U125" i="16"/>
  <c r="U126" i="16"/>
  <c r="V125" i="16"/>
  <c r="U127" i="16"/>
  <c r="V126" i="16"/>
  <c r="U128" i="16"/>
  <c r="V127" i="16"/>
  <c r="U129" i="16"/>
  <c r="V128" i="16"/>
  <c r="V129" i="16"/>
  <c r="U130" i="16"/>
  <c r="U131" i="16"/>
  <c r="V130" i="16"/>
  <c r="V131" i="16"/>
  <c r="U132" i="16"/>
  <c r="U133" i="16"/>
  <c r="V132" i="16"/>
  <c r="V133" i="16"/>
  <c r="U134" i="16"/>
  <c r="V134" i="16"/>
  <c r="U135" i="16"/>
  <c r="U136" i="16"/>
  <c r="V135" i="16"/>
  <c r="U137" i="16"/>
  <c r="V136" i="16"/>
  <c r="U138" i="16"/>
  <c r="V137" i="16"/>
  <c r="U139" i="16"/>
  <c r="V138" i="16"/>
  <c r="U140" i="16"/>
  <c r="V139" i="16"/>
  <c r="U141" i="16"/>
  <c r="V140" i="16"/>
  <c r="V141" i="16"/>
  <c r="U142" i="16"/>
  <c r="V142" i="16"/>
  <c r="U143" i="16"/>
  <c r="U144" i="16"/>
  <c r="V143" i="16"/>
  <c r="U145" i="16"/>
  <c r="V144" i="16"/>
  <c r="V145" i="16"/>
  <c r="U146" i="16"/>
  <c r="V146" i="16"/>
  <c r="U147" i="16"/>
  <c r="U148" i="16"/>
  <c r="V147" i="16"/>
  <c r="V148" i="16"/>
  <c r="U149" i="16"/>
  <c r="U150" i="16"/>
  <c r="V149" i="16"/>
  <c r="V150" i="16"/>
  <c r="U151" i="16"/>
  <c r="U152" i="16"/>
  <c r="V151" i="16"/>
  <c r="V152" i="16"/>
  <c r="U153" i="16"/>
  <c r="U154" i="16"/>
  <c r="V153" i="16"/>
  <c r="V154" i="16"/>
  <c r="U155" i="16"/>
  <c r="U156" i="16"/>
  <c r="V155" i="16"/>
  <c r="V156" i="16"/>
  <c r="U157" i="16"/>
  <c r="V157" i="16"/>
  <c r="U158" i="16"/>
  <c r="U159" i="16"/>
  <c r="V158" i="16"/>
  <c r="U160" i="16"/>
  <c r="V159" i="16"/>
  <c r="U161" i="16"/>
  <c r="V160" i="16"/>
  <c r="U162" i="16"/>
  <c r="V161" i="16"/>
  <c r="U163" i="16"/>
  <c r="V162" i="16"/>
  <c r="V163" i="16"/>
  <c r="U164" i="16"/>
  <c r="V164" i="16"/>
  <c r="U165" i="16"/>
  <c r="U166" i="16"/>
  <c r="V165" i="16"/>
  <c r="U167" i="16"/>
  <c r="V166" i="16"/>
  <c r="V167" i="16"/>
  <c r="U168" i="16"/>
  <c r="V168" i="16"/>
  <c r="U169" i="16"/>
  <c r="U170" i="16"/>
  <c r="V169" i="16"/>
  <c r="U171" i="16"/>
  <c r="V170" i="16"/>
  <c r="V171" i="16"/>
  <c r="U172" i="16"/>
  <c r="V172" i="16"/>
  <c r="U173" i="16"/>
  <c r="U174" i="16"/>
  <c r="V173" i="16"/>
  <c r="V174" i="16"/>
  <c r="U175" i="16"/>
  <c r="V175" i="16"/>
  <c r="U176" i="16"/>
  <c r="U177" i="16"/>
  <c r="V176" i="16"/>
  <c r="V177" i="16"/>
  <c r="U178" i="16"/>
  <c r="V178" i="16"/>
  <c r="U179" i="16"/>
  <c r="V179" i="16"/>
  <c r="U180" i="16"/>
  <c r="U181" i="16"/>
  <c r="V180" i="16"/>
  <c r="V181" i="16"/>
  <c r="U182" i="16"/>
  <c r="V182" i="16"/>
  <c r="U183" i="16"/>
  <c r="U184" i="16"/>
  <c r="V183" i="16"/>
  <c r="V184" i="16"/>
  <c r="U185" i="16"/>
  <c r="V185" i="16"/>
  <c r="U186" i="16"/>
  <c r="V186" i="16"/>
  <c r="U187" i="16"/>
  <c r="U188" i="16"/>
  <c r="V187" i="16"/>
  <c r="V188" i="16"/>
  <c r="U189" i="16"/>
  <c r="V189" i="16"/>
  <c r="U190" i="16"/>
  <c r="U191" i="16"/>
  <c r="V190" i="16"/>
  <c r="V191" i="16"/>
  <c r="U192" i="16"/>
  <c r="U193" i="16"/>
  <c r="V192" i="16"/>
  <c r="U194" i="16"/>
  <c r="V193" i="16"/>
  <c r="V194" i="16"/>
  <c r="U195" i="16"/>
  <c r="V195" i="16"/>
  <c r="U196" i="16"/>
  <c r="V196" i="16"/>
  <c r="U197" i="16"/>
  <c r="V197" i="16"/>
  <c r="U198" i="16"/>
  <c r="V198" i="16"/>
  <c r="U199" i="16"/>
  <c r="V199" i="16"/>
  <c r="U200" i="16"/>
  <c r="U201" i="16"/>
  <c r="V200" i="16"/>
  <c r="V201" i="16"/>
  <c r="U202" i="16"/>
  <c r="U203" i="16"/>
  <c r="V202" i="16"/>
  <c r="V203" i="16"/>
  <c r="U204" i="16"/>
  <c r="U205" i="16"/>
  <c r="V204" i="16"/>
  <c r="U206" i="16"/>
  <c r="V205" i="16"/>
  <c r="U207" i="16"/>
  <c r="V206" i="16"/>
  <c r="V207" i="16"/>
  <c r="U208" i="16"/>
  <c r="U209" i="16"/>
  <c r="V208" i="16"/>
  <c r="V209" i="16"/>
  <c r="U210" i="16"/>
  <c r="U211" i="16"/>
  <c r="V210" i="16"/>
  <c r="V211" i="16"/>
  <c r="U212" i="16"/>
  <c r="U213" i="16"/>
  <c r="V212" i="16"/>
  <c r="U214" i="16"/>
  <c r="V213" i="16"/>
  <c r="V214" i="16"/>
  <c r="U215" i="16"/>
  <c r="U216" i="16"/>
  <c r="V215" i="16"/>
  <c r="V216" i="16"/>
  <c r="U217" i="16"/>
  <c r="V217" i="16"/>
  <c r="U218" i="16"/>
  <c r="V218" i="16"/>
  <c r="U219" i="16"/>
  <c r="U220" i="16"/>
  <c r="V219" i="16"/>
  <c r="V220" i="16"/>
  <c r="U221" i="16"/>
  <c r="V221" i="16"/>
  <c r="U222" i="16"/>
  <c r="U223" i="16"/>
  <c r="V222" i="16"/>
  <c r="U224" i="16"/>
  <c r="V223" i="16"/>
  <c r="V224" i="16"/>
  <c r="U225" i="16"/>
  <c r="V225" i="16"/>
  <c r="U226" i="16"/>
  <c r="U227" i="16"/>
  <c r="V226" i="16"/>
  <c r="V227" i="16"/>
  <c r="U228" i="16"/>
  <c r="U229" i="16"/>
  <c r="V228" i="16"/>
  <c r="V229" i="16"/>
  <c r="U230" i="16"/>
  <c r="V230" i="16"/>
  <c r="U231" i="16"/>
  <c r="V231" i="16"/>
  <c r="U232" i="16"/>
  <c r="U233" i="16"/>
  <c r="V232" i="16"/>
  <c r="U234" i="16"/>
  <c r="V233" i="16"/>
  <c r="U235" i="16"/>
  <c r="V234" i="16"/>
  <c r="U236" i="16"/>
  <c r="V235" i="16"/>
  <c r="U237" i="16"/>
  <c r="V236" i="16"/>
  <c r="U238" i="16"/>
  <c r="V237" i="16"/>
  <c r="U239" i="16"/>
  <c r="V238" i="16"/>
  <c r="V239" i="16"/>
  <c r="U240" i="16"/>
  <c r="U241" i="16"/>
  <c r="V240" i="16"/>
  <c r="V241" i="16"/>
  <c r="U242" i="16"/>
  <c r="V242" i="16"/>
  <c r="U243" i="16"/>
  <c r="U244" i="16"/>
  <c r="V243" i="16"/>
  <c r="V244" i="16"/>
  <c r="U245" i="16"/>
  <c r="V245" i="16"/>
  <c r="U246" i="16"/>
  <c r="U247" i="16"/>
  <c r="V246" i="16"/>
  <c r="V247" i="16"/>
  <c r="U248" i="16"/>
  <c r="V248" i="16"/>
  <c r="U249" i="16"/>
  <c r="U250" i="16"/>
  <c r="V249" i="16"/>
  <c r="V250" i="16"/>
  <c r="U251" i="16"/>
  <c r="U252" i="16"/>
  <c r="V251" i="16"/>
  <c r="U253" i="16"/>
  <c r="V252" i="16"/>
  <c r="U254" i="16"/>
  <c r="V253" i="16"/>
  <c r="U255" i="16"/>
  <c r="V254" i="16"/>
  <c r="U256" i="16"/>
  <c r="V255" i="16"/>
  <c r="V256" i="16"/>
  <c r="U257" i="16"/>
  <c r="U258" i="16"/>
  <c r="V257" i="16"/>
  <c r="V258" i="16"/>
  <c r="U259" i="16"/>
  <c r="U260" i="16"/>
  <c r="V259" i="16"/>
  <c r="V260" i="16"/>
  <c r="U261" i="16"/>
  <c r="U262" i="16"/>
  <c r="V261" i="16"/>
  <c r="V262" i="16"/>
  <c r="U263" i="16"/>
  <c r="V263" i="16"/>
  <c r="U264" i="16"/>
  <c r="V264" i="16"/>
  <c r="U265" i="16"/>
  <c r="U266" i="16"/>
  <c r="V265" i="16"/>
  <c r="V266" i="16"/>
  <c r="U267" i="16"/>
  <c r="U268" i="16"/>
  <c r="V267" i="16"/>
  <c r="V268" i="16"/>
  <c r="U269" i="16"/>
  <c r="U270" i="16"/>
  <c r="V269" i="16"/>
  <c r="U271" i="16"/>
  <c r="V270" i="16"/>
  <c r="V271" i="16"/>
  <c r="U272" i="16"/>
  <c r="V272" i="16"/>
  <c r="U273" i="16"/>
  <c r="U274" i="16"/>
  <c r="V273" i="16"/>
  <c r="U275" i="16"/>
  <c r="V274" i="16"/>
  <c r="U276" i="16"/>
  <c r="V275" i="16"/>
  <c r="V276" i="16"/>
  <c r="U277" i="16"/>
  <c r="V277" i="16"/>
  <c r="U278" i="16"/>
  <c r="V278" i="16"/>
  <c r="U279" i="16"/>
  <c r="V279" i="16"/>
  <c r="U280" i="16"/>
  <c r="V280" i="16"/>
  <c r="U281" i="16"/>
  <c r="U282" i="16"/>
  <c r="V281" i="16"/>
  <c r="U283" i="16"/>
  <c r="V282" i="16"/>
  <c r="U284" i="16"/>
  <c r="V283" i="16"/>
  <c r="V284" i="16"/>
  <c r="U285" i="16"/>
  <c r="U286" i="16"/>
  <c r="V285" i="16"/>
  <c r="V286" i="16"/>
  <c r="U287" i="16"/>
  <c r="V287" i="16"/>
  <c r="U288" i="16"/>
  <c r="U289" i="16"/>
  <c r="V288" i="16"/>
  <c r="V289" i="16"/>
  <c r="U290" i="16"/>
  <c r="U291" i="16"/>
  <c r="V290" i="16"/>
  <c r="V291" i="16"/>
  <c r="U292" i="16"/>
  <c r="V292" i="16"/>
  <c r="U293" i="16"/>
  <c r="V293" i="16"/>
  <c r="U294" i="16"/>
  <c r="V294" i="16"/>
  <c r="U295" i="16"/>
  <c r="U296" i="16"/>
  <c r="V295" i="16"/>
  <c r="U297" i="16"/>
  <c r="V296" i="16"/>
  <c r="V297" i="16"/>
  <c r="U298" i="16"/>
  <c r="U299" i="16"/>
  <c r="V298" i="16"/>
  <c r="U300" i="16"/>
  <c r="V299" i="16"/>
  <c r="V300" i="16"/>
  <c r="U301" i="16"/>
  <c r="U302" i="16"/>
  <c r="V301" i="16"/>
  <c r="V302" i="16"/>
  <c r="U303" i="16"/>
  <c r="V303" i="16"/>
  <c r="U304" i="16"/>
  <c r="V304" i="16"/>
  <c r="U305" i="16"/>
  <c r="U306" i="16"/>
  <c r="V305" i="16"/>
  <c r="V306" i="16"/>
  <c r="U307" i="16"/>
  <c r="V307" i="16"/>
  <c r="U308" i="16"/>
  <c r="U309" i="16"/>
  <c r="V308" i="16"/>
  <c r="U310" i="16"/>
  <c r="V309" i="16"/>
  <c r="U311" i="16"/>
  <c r="V310" i="16"/>
  <c r="V311" i="16"/>
  <c r="U312" i="16"/>
  <c r="V312" i="16"/>
  <c r="U313" i="16"/>
  <c r="V313" i="16"/>
  <c r="U314" i="16"/>
  <c r="U315" i="16"/>
  <c r="V314" i="16"/>
  <c r="V315" i="16"/>
  <c r="U316" i="16"/>
  <c r="U317" i="16"/>
  <c r="V316" i="16"/>
  <c r="V317" i="16"/>
  <c r="U318" i="16"/>
  <c r="V318" i="16"/>
  <c r="U319" i="16"/>
  <c r="V319" i="16"/>
  <c r="U320" i="16"/>
  <c r="U321" i="16"/>
  <c r="V320" i="16"/>
  <c r="U322" i="16"/>
  <c r="V321" i="16"/>
  <c r="U323" i="16"/>
  <c r="V322" i="16"/>
  <c r="U324" i="16"/>
  <c r="V323" i="16"/>
  <c r="V324" i="16"/>
  <c r="U325" i="16"/>
  <c r="U326" i="16"/>
  <c r="V325" i="16"/>
  <c r="U327" i="16"/>
  <c r="V326" i="16"/>
  <c r="V327" i="16"/>
  <c r="U328" i="16"/>
  <c r="V328" i="16"/>
  <c r="U329" i="16"/>
  <c r="U330" i="16"/>
  <c r="V329" i="16"/>
  <c r="U331" i="16"/>
  <c r="V330" i="16"/>
  <c r="V331" i="16"/>
  <c r="U332" i="16"/>
  <c r="V332" i="16"/>
  <c r="U333" i="16"/>
  <c r="V333" i="16"/>
  <c r="U334" i="16"/>
  <c r="V334" i="16"/>
  <c r="U335" i="16"/>
  <c r="V335" i="16"/>
  <c r="U336" i="16"/>
  <c r="V336" i="16"/>
  <c r="U337" i="16"/>
  <c r="U338" i="16"/>
  <c r="V337" i="16"/>
  <c r="U339" i="16"/>
  <c r="V338" i="16"/>
  <c r="U340" i="16"/>
  <c r="V339" i="16"/>
  <c r="V340" i="16"/>
  <c r="U341" i="16"/>
  <c r="U342" i="16"/>
  <c r="V341" i="16"/>
  <c r="V342" i="16"/>
  <c r="U343" i="16"/>
  <c r="U344" i="16"/>
  <c r="V343" i="16"/>
  <c r="V344" i="16"/>
  <c r="U345" i="16"/>
  <c r="U346" i="16"/>
  <c r="V345" i="16"/>
  <c r="U347" i="16"/>
  <c r="V346" i="16"/>
  <c r="V347" i="16"/>
  <c r="U348" i="16"/>
  <c r="V348" i="16"/>
  <c r="U349" i="16"/>
  <c r="V349" i="16"/>
  <c r="U350" i="16"/>
  <c r="V350" i="16"/>
  <c r="U351" i="16"/>
  <c r="U352" i="16"/>
  <c r="V351" i="16"/>
  <c r="U353" i="16"/>
  <c r="V352" i="16"/>
  <c r="U354" i="16"/>
  <c r="V353" i="16"/>
  <c r="V354" i="16"/>
  <c r="U355" i="16"/>
  <c r="U356" i="16"/>
  <c r="V355" i="16"/>
  <c r="U357" i="16"/>
  <c r="V356" i="16"/>
  <c r="U358" i="16"/>
  <c r="V357" i="16"/>
  <c r="V358" i="16"/>
  <c r="U359" i="16"/>
  <c r="U360" i="16"/>
  <c r="V359" i="16"/>
  <c r="U361" i="16"/>
  <c r="V360" i="16"/>
  <c r="U362" i="16"/>
  <c r="V361" i="16"/>
  <c r="U363" i="16"/>
  <c r="V362" i="16"/>
  <c r="U364" i="16"/>
  <c r="V363" i="16"/>
  <c r="V364" i="16"/>
  <c r="U365" i="16"/>
  <c r="U366" i="16"/>
  <c r="V365" i="16"/>
  <c r="V366" i="16"/>
  <c r="U367" i="16"/>
  <c r="U368" i="16"/>
  <c r="V367" i="16"/>
  <c r="U369" i="16"/>
  <c r="V368" i="16"/>
  <c r="U370" i="16"/>
  <c r="V369" i="16"/>
  <c r="U371" i="16"/>
  <c r="V370" i="16"/>
  <c r="V371" i="16"/>
  <c r="U372" i="16"/>
  <c r="V372" i="16"/>
  <c r="U373" i="16"/>
  <c r="V373" i="16"/>
  <c r="U374" i="16"/>
  <c r="V374" i="16"/>
  <c r="U375" i="16"/>
  <c r="V375" i="16"/>
  <c r="U376" i="16"/>
  <c r="V376" i="16"/>
  <c r="U377" i="16"/>
  <c r="U378" i="16"/>
  <c r="V377" i="16"/>
  <c r="U379" i="16"/>
  <c r="V378" i="16"/>
  <c r="U380" i="16"/>
  <c r="V379" i="16"/>
  <c r="U381" i="16"/>
  <c r="V380" i="16"/>
  <c r="V381" i="16"/>
  <c r="U382" i="16"/>
  <c r="U383" i="16"/>
  <c r="V382" i="16"/>
  <c r="V383" i="16"/>
  <c r="U384" i="16"/>
  <c r="U385" i="16"/>
  <c r="V384" i="16"/>
  <c r="U386" i="16"/>
  <c r="V385" i="16"/>
  <c r="V386" i="16"/>
  <c r="U387" i="16"/>
  <c r="V387" i="16"/>
  <c r="U388" i="16"/>
  <c r="V388" i="16"/>
  <c r="U389" i="16"/>
  <c r="U390" i="16"/>
  <c r="V389" i="16"/>
  <c r="U391" i="16"/>
  <c r="V390" i="16"/>
  <c r="U392" i="16"/>
  <c r="V391" i="16"/>
  <c r="U393" i="16"/>
  <c r="V392" i="16"/>
  <c r="U394" i="16"/>
  <c r="V393" i="16"/>
  <c r="U395" i="16"/>
  <c r="V394" i="16"/>
  <c r="V395" i="16"/>
  <c r="U396" i="16"/>
  <c r="V396" i="16"/>
  <c r="U397" i="16"/>
  <c r="V397" i="16"/>
  <c r="U398" i="16"/>
  <c r="V398" i="16"/>
  <c r="U399" i="16"/>
  <c r="V399" i="16"/>
  <c r="U400" i="16"/>
  <c r="U401" i="16"/>
  <c r="V400" i="16"/>
  <c r="V401" i="16"/>
  <c r="U402" i="16"/>
  <c r="U403" i="16"/>
  <c r="V402" i="16"/>
  <c r="U404" i="16"/>
  <c r="V403" i="16"/>
  <c r="U405" i="16"/>
  <c r="V404" i="16"/>
  <c r="U406" i="16"/>
  <c r="V405" i="16"/>
  <c r="V406" i="16"/>
  <c r="U407" i="16"/>
  <c r="V407" i="16"/>
  <c r="U408" i="16"/>
  <c r="V408" i="16"/>
  <c r="U409" i="16"/>
  <c r="V409" i="16"/>
  <c r="U410" i="16"/>
  <c r="U411" i="16"/>
  <c r="V410" i="16"/>
  <c r="U412" i="16"/>
  <c r="V411" i="16"/>
  <c r="V412" i="16"/>
  <c r="U413" i="16"/>
  <c r="U414" i="16"/>
  <c r="V413" i="16"/>
  <c r="V414" i="16"/>
  <c r="U415" i="16"/>
  <c r="V415" i="16"/>
  <c r="U416" i="16"/>
  <c r="U417" i="16"/>
  <c r="V416" i="16"/>
  <c r="V417" i="16"/>
  <c r="U418" i="16"/>
  <c r="V418" i="16"/>
  <c r="U419" i="16"/>
  <c r="V419" i="16"/>
  <c r="U420" i="16"/>
  <c r="U421" i="16"/>
  <c r="V420" i="16"/>
  <c r="V421" i="16"/>
  <c r="U422" i="16"/>
  <c r="V422" i="16"/>
  <c r="U423" i="16"/>
  <c r="U424" i="16"/>
  <c r="V423" i="16"/>
  <c r="U425" i="16"/>
  <c r="V424" i="16"/>
  <c r="U426" i="16"/>
  <c r="V425" i="16"/>
  <c r="U427" i="16"/>
  <c r="V426" i="16"/>
  <c r="V427" i="16"/>
  <c r="U428" i="16"/>
  <c r="U429" i="16"/>
  <c r="V428" i="16"/>
  <c r="U430" i="16"/>
  <c r="V429" i="16"/>
  <c r="U431" i="16"/>
  <c r="V430" i="16"/>
  <c r="V431" i="16"/>
  <c r="U432" i="16"/>
  <c r="U433" i="16"/>
  <c r="V432" i="16"/>
  <c r="U434" i="16"/>
  <c r="V433" i="16"/>
  <c r="V434" i="16"/>
  <c r="U435" i="16"/>
  <c r="V435" i="16"/>
  <c r="U436" i="16"/>
  <c r="U437" i="16"/>
  <c r="V436" i="16"/>
  <c r="U438" i="16"/>
  <c r="V437" i="16"/>
  <c r="V438" i="16"/>
  <c r="U439" i="16"/>
  <c r="U440" i="16"/>
  <c r="V439" i="16"/>
  <c r="V440" i="16"/>
  <c r="U441" i="16"/>
  <c r="U442" i="16"/>
  <c r="V441" i="16"/>
  <c r="V442" i="16"/>
  <c r="U443" i="16"/>
  <c r="V443" i="16"/>
  <c r="U444" i="16"/>
  <c r="U445" i="16"/>
  <c r="V444" i="16"/>
  <c r="U446" i="16"/>
  <c r="V445" i="16"/>
  <c r="U447" i="16"/>
  <c r="V446" i="16"/>
  <c r="U448" i="16"/>
  <c r="V447" i="16"/>
  <c r="V448" i="16"/>
  <c r="U449" i="16"/>
  <c r="U450" i="16"/>
  <c r="V449" i="16"/>
  <c r="U451" i="16"/>
  <c r="V450" i="16"/>
  <c r="U452" i="16"/>
  <c r="V451" i="16"/>
  <c r="U453" i="16"/>
  <c r="V452" i="16"/>
  <c r="U454" i="16"/>
  <c r="V453" i="16"/>
  <c r="V454" i="16"/>
  <c r="U455" i="16"/>
  <c r="U456" i="16"/>
  <c r="V455" i="16"/>
  <c r="U457" i="16"/>
  <c r="V456" i="16"/>
  <c r="V457" i="16"/>
  <c r="U458" i="16"/>
  <c r="U459" i="16"/>
  <c r="V458" i="16"/>
  <c r="V459" i="16"/>
  <c r="U460" i="16"/>
  <c r="V460" i="16"/>
  <c r="U461" i="16"/>
  <c r="U462" i="16"/>
  <c r="V461" i="16"/>
  <c r="U463" i="16"/>
  <c r="V462" i="16"/>
  <c r="U464" i="16"/>
  <c r="V463" i="16"/>
  <c r="V464" i="16"/>
  <c r="U465" i="16"/>
  <c r="U466" i="16"/>
  <c r="V465" i="16"/>
  <c r="U467" i="16"/>
  <c r="V466" i="16"/>
  <c r="U468" i="16"/>
  <c r="V467" i="16"/>
  <c r="V468" i="16"/>
  <c r="U469" i="16"/>
  <c r="U470" i="16"/>
  <c r="V469" i="16"/>
  <c r="U471" i="16"/>
  <c r="V470" i="16"/>
  <c r="U472" i="16"/>
  <c r="V471" i="16"/>
  <c r="V472" i="16"/>
  <c r="U473" i="16"/>
  <c r="U474" i="16"/>
  <c r="V473" i="16"/>
  <c r="U475" i="16"/>
  <c r="V474" i="16"/>
  <c r="U476" i="16"/>
  <c r="V475" i="16"/>
  <c r="V476" i="16"/>
  <c r="U477" i="16"/>
  <c r="U478" i="16"/>
  <c r="V477" i="16"/>
  <c r="U479" i="16"/>
  <c r="V478" i="16"/>
  <c r="V479" i="16"/>
  <c r="U480" i="16"/>
  <c r="V480" i="16"/>
  <c r="U481" i="16"/>
  <c r="U482" i="16"/>
  <c r="V481" i="16"/>
  <c r="U483" i="16"/>
  <c r="V482" i="16"/>
  <c r="U484" i="16"/>
  <c r="V483" i="16"/>
  <c r="U485" i="16"/>
  <c r="V484" i="16"/>
  <c r="V485" i="16"/>
  <c r="U486" i="16"/>
  <c r="V486" i="16"/>
  <c r="U487" i="16"/>
  <c r="U488" i="16"/>
  <c r="V487" i="16"/>
  <c r="U489" i="16"/>
  <c r="V488" i="16"/>
  <c r="U490" i="16"/>
  <c r="V489" i="16"/>
  <c r="V490" i="16"/>
  <c r="U491" i="16"/>
  <c r="V491" i="16"/>
  <c r="U492" i="16"/>
  <c r="V492" i="16"/>
  <c r="U493" i="16"/>
  <c r="V493" i="16"/>
  <c r="U494" i="16"/>
  <c r="U495" i="16"/>
  <c r="V494" i="16"/>
  <c r="U496" i="16"/>
  <c r="V495" i="16"/>
  <c r="V496" i="16"/>
  <c r="U497" i="16"/>
  <c r="U498" i="16"/>
  <c r="V497" i="16"/>
  <c r="V498" i="16"/>
  <c r="U499" i="16"/>
  <c r="U500" i="16"/>
  <c r="V499" i="16"/>
  <c r="V500" i="16"/>
  <c r="U501" i="16"/>
  <c r="U502" i="16"/>
  <c r="V501" i="16"/>
  <c r="U503" i="16"/>
  <c r="V502" i="16"/>
  <c r="V503" i="16"/>
  <c r="U504" i="16"/>
  <c r="V504" i="16"/>
  <c r="U505" i="16"/>
  <c r="V505" i="16"/>
  <c r="U506" i="16"/>
  <c r="U507" i="16"/>
  <c r="V506" i="16"/>
  <c r="V507" i="16"/>
  <c r="U508" i="16"/>
  <c r="U509" i="16"/>
  <c r="V508" i="16"/>
  <c r="U510" i="16"/>
  <c r="V509" i="16"/>
  <c r="U511" i="16"/>
  <c r="V510" i="16"/>
  <c r="U512" i="16"/>
  <c r="V511" i="16"/>
  <c r="U513" i="16"/>
  <c r="V512" i="16"/>
  <c r="V513" i="16"/>
  <c r="U514" i="16"/>
  <c r="U515" i="16"/>
  <c r="V514" i="16"/>
  <c r="V515" i="16"/>
  <c r="U516" i="16"/>
  <c r="U517" i="16"/>
  <c r="V516" i="16"/>
  <c r="U518" i="16"/>
  <c r="V517" i="16"/>
  <c r="U519" i="16"/>
  <c r="V518" i="16"/>
  <c r="U520" i="16"/>
  <c r="V519" i="16"/>
  <c r="U521" i="16"/>
  <c r="V520" i="16"/>
  <c r="V521" i="16"/>
  <c r="U522" i="16"/>
  <c r="U523" i="16"/>
  <c r="V522" i="16"/>
  <c r="V523" i="16"/>
  <c r="U524" i="16"/>
  <c r="U525" i="16"/>
  <c r="V524" i="16"/>
  <c r="U526" i="16"/>
  <c r="V525" i="16"/>
  <c r="U527" i="16"/>
  <c r="V526" i="16"/>
  <c r="U528" i="16"/>
  <c r="V527" i="16"/>
  <c r="U529" i="16"/>
  <c r="V528" i="16"/>
  <c r="V529" i="16"/>
  <c r="U530" i="16"/>
  <c r="U531" i="16"/>
  <c r="V530" i="16"/>
  <c r="U532" i="16"/>
  <c r="V531" i="16"/>
  <c r="U533" i="16"/>
  <c r="V532" i="16"/>
  <c r="V533" i="16"/>
  <c r="U534" i="16"/>
  <c r="V534" i="16"/>
  <c r="U535" i="16"/>
  <c r="U536" i="16"/>
  <c r="V535" i="16"/>
  <c r="U537" i="16"/>
  <c r="V536" i="16"/>
  <c r="V537" i="16"/>
  <c r="U538" i="16"/>
  <c r="U539" i="16"/>
  <c r="V538" i="16"/>
  <c r="U540" i="16"/>
  <c r="V539" i="16"/>
  <c r="V540" i="16"/>
  <c r="U541" i="16"/>
  <c r="U542" i="16"/>
  <c r="V541" i="16"/>
  <c r="U543" i="16"/>
  <c r="V542" i="16"/>
  <c r="U544" i="16"/>
  <c r="V543" i="16"/>
  <c r="V544" i="16"/>
  <c r="U545" i="16"/>
  <c r="U546" i="16"/>
  <c r="V545" i="16"/>
  <c r="U547" i="16"/>
  <c r="V546" i="16"/>
  <c r="V547" i="16"/>
  <c r="U548" i="16"/>
  <c r="U549" i="16"/>
  <c r="V548" i="16"/>
  <c r="V549" i="16"/>
  <c r="U550" i="16"/>
  <c r="U551" i="16"/>
  <c r="V550" i="16"/>
  <c r="U552" i="16"/>
  <c r="V551" i="16"/>
  <c r="U553" i="16"/>
  <c r="V552" i="16"/>
  <c r="V553" i="16"/>
  <c r="U554" i="16"/>
  <c r="U555" i="16"/>
  <c r="V554" i="16"/>
  <c r="V555" i="16"/>
  <c r="U556" i="16"/>
  <c r="V556" i="16"/>
  <c r="U557" i="16"/>
  <c r="V557" i="16"/>
  <c r="U558" i="16"/>
  <c r="V558" i="16"/>
  <c r="U559" i="16"/>
  <c r="V559" i="16"/>
  <c r="U560" i="16"/>
  <c r="U561" i="16"/>
  <c r="V560" i="16"/>
  <c r="V561" i="16"/>
  <c r="U562" i="16"/>
  <c r="U563" i="16"/>
  <c r="V562" i="16"/>
  <c r="V563" i="16"/>
  <c r="U564" i="16"/>
  <c r="U565" i="16"/>
  <c r="V564" i="16"/>
  <c r="V565" i="16"/>
  <c r="U566" i="16"/>
  <c r="V566" i="16"/>
  <c r="U567" i="16"/>
  <c r="U568" i="16"/>
  <c r="V567" i="16"/>
  <c r="V568" i="16"/>
  <c r="U569" i="16"/>
  <c r="V569" i="16"/>
  <c r="U570" i="16"/>
  <c r="V570" i="16"/>
  <c r="U571" i="16"/>
  <c r="U572" i="16"/>
  <c r="V571" i="16"/>
  <c r="V572" i="16"/>
  <c r="U573" i="16"/>
  <c r="V573" i="16"/>
  <c r="U574" i="16"/>
  <c r="U575" i="16"/>
  <c r="V574" i="16"/>
  <c r="U576" i="16"/>
  <c r="V575" i="16"/>
  <c r="U577" i="16"/>
  <c r="V576" i="16"/>
  <c r="U578" i="16"/>
  <c r="V577" i="16"/>
  <c r="V578" i="16"/>
  <c r="U579" i="16"/>
  <c r="V579" i="16"/>
  <c r="U580" i="16"/>
  <c r="V580" i="16"/>
  <c r="U581" i="16"/>
  <c r="U582" i="16"/>
  <c r="V581" i="16"/>
  <c r="V582" i="16"/>
  <c r="U583" i="16"/>
  <c r="V583" i="16"/>
  <c r="U584" i="16"/>
  <c r="U585" i="16"/>
  <c r="V584" i="16"/>
  <c r="U586" i="16"/>
  <c r="V585" i="16"/>
  <c r="V586" i="16"/>
  <c r="U587" i="16"/>
  <c r="V587" i="16"/>
  <c r="U588" i="16"/>
  <c r="V588" i="16"/>
  <c r="U589" i="16"/>
  <c r="V589" i="16"/>
  <c r="U590" i="16"/>
  <c r="U591" i="16"/>
  <c r="V590" i="16"/>
  <c r="V591" i="16"/>
  <c r="U592" i="16"/>
  <c r="V592" i="16"/>
  <c r="U593" i="16"/>
  <c r="V593" i="16"/>
  <c r="U594" i="16"/>
  <c r="V594" i="16"/>
  <c r="U595" i="16"/>
  <c r="V595" i="16"/>
  <c r="U596" i="16"/>
  <c r="V596" i="16"/>
  <c r="U597" i="16"/>
  <c r="U598" i="16"/>
  <c r="V597" i="16"/>
  <c r="V598" i="16"/>
  <c r="U599" i="16"/>
  <c r="V599" i="16"/>
  <c r="U600" i="16"/>
  <c r="V600" i="16"/>
  <c r="U601" i="16"/>
  <c r="U602" i="16"/>
  <c r="V601" i="16"/>
  <c r="U603" i="16"/>
  <c r="V602" i="16"/>
  <c r="U604" i="16"/>
  <c r="V603" i="16"/>
  <c r="V604" i="16"/>
  <c r="U605" i="16"/>
  <c r="V605" i="16"/>
  <c r="U606" i="16"/>
  <c r="V606" i="16"/>
  <c r="U607" i="16"/>
  <c r="V607" i="16"/>
  <c r="U608" i="16"/>
  <c r="U609" i="16"/>
  <c r="V608" i="16"/>
  <c r="U610" i="16"/>
  <c r="V609" i="16"/>
  <c r="V610" i="16"/>
  <c r="U611" i="16"/>
  <c r="V611" i="16"/>
  <c r="U612" i="16"/>
  <c r="U613" i="16"/>
  <c r="V612" i="16"/>
  <c r="V613" i="16"/>
  <c r="U614" i="16"/>
  <c r="U615" i="16"/>
  <c r="V614" i="16"/>
  <c r="U616" i="16"/>
  <c r="V615" i="16"/>
  <c r="V616" i="16"/>
  <c r="U617" i="16"/>
  <c r="V617" i="16"/>
  <c r="U618" i="16"/>
  <c r="V618" i="16"/>
  <c r="U619" i="16"/>
  <c r="U620" i="16"/>
  <c r="V619" i="16"/>
  <c r="V620" i="16"/>
  <c r="U621" i="16"/>
  <c r="V621" i="16"/>
  <c r="U622" i="16"/>
  <c r="U623" i="16"/>
  <c r="V622" i="16"/>
  <c r="V623" i="16"/>
  <c r="U624" i="16"/>
  <c r="V624" i="16"/>
  <c r="U625" i="16"/>
  <c r="U626" i="16"/>
  <c r="V625" i="16"/>
  <c r="U627" i="16"/>
  <c r="V626" i="16"/>
  <c r="U628" i="16"/>
  <c r="V627" i="16"/>
  <c r="V628" i="16"/>
  <c r="U629" i="16"/>
  <c r="V629" i="16"/>
  <c r="U630" i="16"/>
  <c r="V630" i="16"/>
  <c r="U631" i="16"/>
  <c r="V631" i="16"/>
  <c r="U632" i="16"/>
  <c r="V632" i="16"/>
  <c r="U633" i="16"/>
  <c r="U634" i="16"/>
  <c r="V633" i="16"/>
  <c r="V634" i="16"/>
  <c r="U635" i="16"/>
  <c r="U636" i="16"/>
  <c r="V635" i="16"/>
  <c r="U637" i="16"/>
  <c r="V636" i="16"/>
  <c r="V637" i="16"/>
  <c r="U638" i="16"/>
  <c r="V638" i="16"/>
  <c r="U639" i="16"/>
  <c r="U640" i="16"/>
  <c r="V639" i="16"/>
  <c r="V640" i="16"/>
  <c r="U641" i="16"/>
  <c r="U642" i="16"/>
  <c r="V641" i="16"/>
  <c r="V642" i="16"/>
  <c r="U643" i="16"/>
  <c r="V643" i="16"/>
  <c r="U644" i="16"/>
  <c r="V644" i="16"/>
  <c r="U645" i="16"/>
  <c r="V645" i="16"/>
  <c r="U646" i="16"/>
  <c r="U647" i="16"/>
  <c r="V646" i="16"/>
  <c r="V647" i="16"/>
  <c r="U648" i="16"/>
  <c r="U649" i="16"/>
  <c r="V648" i="16"/>
  <c r="U650" i="16"/>
  <c r="V649" i="16"/>
  <c r="V650" i="16"/>
  <c r="U651" i="16"/>
  <c r="U652" i="16"/>
  <c r="V651" i="16"/>
  <c r="V652" i="16"/>
  <c r="U653" i="16"/>
  <c r="V653" i="16"/>
  <c r="U654" i="16"/>
  <c r="U655" i="16"/>
  <c r="V654" i="16"/>
  <c r="V655" i="16"/>
  <c r="U656" i="16"/>
  <c r="V656" i="16"/>
  <c r="U657" i="16"/>
  <c r="V657" i="16"/>
  <c r="U658" i="16"/>
  <c r="V658" i="16"/>
  <c r="U659" i="16"/>
  <c r="V659" i="16"/>
  <c r="U660" i="16"/>
  <c r="U661" i="16"/>
  <c r="V660" i="16"/>
  <c r="U662" i="16"/>
  <c r="V661" i="16"/>
  <c r="U663" i="16"/>
  <c r="V662" i="16"/>
  <c r="V663" i="16"/>
  <c r="U664" i="16"/>
  <c r="U665" i="16"/>
  <c r="V664" i="16"/>
  <c r="U666" i="16"/>
  <c r="V665" i="16"/>
  <c r="V666" i="16"/>
  <c r="U667" i="16"/>
  <c r="U668" i="16"/>
  <c r="V667" i="16"/>
  <c r="U669" i="16"/>
  <c r="V668" i="16"/>
  <c r="U670" i="16"/>
  <c r="V669" i="16"/>
  <c r="V670" i="16"/>
  <c r="U671" i="16"/>
  <c r="V671" i="16"/>
  <c r="U672" i="16"/>
  <c r="V672" i="16"/>
  <c r="U673" i="16"/>
  <c r="V673" i="16"/>
  <c r="U674" i="16"/>
  <c r="V674" i="16"/>
  <c r="U675" i="16"/>
  <c r="V675" i="16"/>
  <c r="U676" i="16"/>
  <c r="U677" i="16"/>
  <c r="V676" i="16"/>
  <c r="V677" i="16"/>
  <c r="U678" i="16"/>
  <c r="U679" i="16"/>
  <c r="V678" i="16"/>
  <c r="V679" i="16"/>
  <c r="U680" i="16"/>
  <c r="V680" i="16"/>
  <c r="U681" i="16"/>
  <c r="U682" i="16"/>
  <c r="V681" i="16"/>
  <c r="U683" i="16"/>
  <c r="V682" i="16"/>
  <c r="U684" i="16"/>
  <c r="V683" i="16"/>
  <c r="U685" i="16"/>
  <c r="V684" i="16"/>
  <c r="U686" i="16"/>
  <c r="V685" i="16"/>
  <c r="V686" i="16"/>
  <c r="U687" i="16"/>
  <c r="V687" i="16"/>
  <c r="U688" i="16"/>
  <c r="U689" i="16"/>
  <c r="V688" i="16"/>
  <c r="V689" i="16"/>
  <c r="U690" i="16"/>
  <c r="V690" i="16"/>
  <c r="U691" i="16"/>
  <c r="V691" i="16"/>
  <c r="U692" i="16"/>
  <c r="U693" i="16"/>
  <c r="V692" i="16"/>
  <c r="U694" i="16"/>
  <c r="V693" i="16"/>
  <c r="U695" i="16"/>
  <c r="V694" i="16"/>
  <c r="U696" i="16"/>
  <c r="V695" i="16"/>
  <c r="V696" i="16"/>
  <c r="U697" i="16"/>
  <c r="U698" i="16"/>
  <c r="V697" i="16"/>
  <c r="U699" i="16"/>
  <c r="V698" i="16"/>
  <c r="V699" i="16"/>
  <c r="U700" i="16"/>
  <c r="V700" i="16"/>
  <c r="U701" i="16"/>
  <c r="V701" i="16"/>
  <c r="U702" i="16"/>
  <c r="U703" i="16"/>
  <c r="V702" i="16"/>
  <c r="V703" i="16"/>
  <c r="U704" i="16"/>
  <c r="U705" i="16"/>
  <c r="V704" i="16"/>
  <c r="U706" i="16"/>
  <c r="V705" i="16"/>
  <c r="U707" i="16"/>
  <c r="V706" i="16"/>
  <c r="V707" i="16"/>
  <c r="U708" i="16"/>
  <c r="V708" i="16"/>
  <c r="U709" i="16"/>
  <c r="U710" i="16"/>
  <c r="V709" i="16"/>
  <c r="V710" i="16"/>
  <c r="U711" i="16"/>
  <c r="V711" i="16"/>
  <c r="U712" i="16"/>
  <c r="V712" i="16"/>
  <c r="U713" i="16"/>
  <c r="U714" i="16"/>
  <c r="V713" i="16"/>
  <c r="V714" i="16"/>
  <c r="U715" i="16"/>
  <c r="U716" i="16"/>
  <c r="V715" i="16"/>
  <c r="U717" i="16"/>
  <c r="V716" i="16"/>
  <c r="U718" i="16"/>
  <c r="V717" i="16"/>
  <c r="V718" i="16"/>
  <c r="U719" i="16"/>
  <c r="V719" i="16"/>
  <c r="U720" i="16"/>
  <c r="U721" i="16"/>
  <c r="V720" i="16"/>
  <c r="V721" i="16"/>
  <c r="U722" i="16"/>
  <c r="U723" i="16"/>
  <c r="V722" i="16"/>
  <c r="U724" i="16"/>
  <c r="V723" i="16"/>
  <c r="V724" i="16"/>
  <c r="U725" i="16"/>
  <c r="V725" i="16"/>
  <c r="U726" i="16"/>
  <c r="V726" i="16"/>
  <c r="U727" i="16"/>
  <c r="V727" i="16"/>
  <c r="U728" i="16"/>
  <c r="V728" i="16"/>
  <c r="U729" i="16"/>
  <c r="U730" i="16"/>
  <c r="V729" i="16"/>
  <c r="U731" i="16"/>
  <c r="V730" i="16"/>
  <c r="V731" i="16"/>
  <c r="U732" i="16"/>
  <c r="U733" i="16"/>
  <c r="V732" i="16"/>
  <c r="V733" i="16"/>
  <c r="U734" i="16"/>
  <c r="U735" i="16"/>
  <c r="V734" i="16"/>
  <c r="V735" i="16"/>
  <c r="U736" i="16"/>
  <c r="V736" i="16"/>
  <c r="U737" i="16"/>
  <c r="U738" i="16"/>
  <c r="V737" i="16"/>
  <c r="U739" i="16"/>
  <c r="V738" i="16"/>
  <c r="V739" i="16"/>
  <c r="U740" i="16"/>
  <c r="V740" i="16"/>
  <c r="U741" i="16"/>
  <c r="V741" i="16"/>
  <c r="U742" i="16"/>
  <c r="U743" i="16"/>
  <c r="V742" i="16"/>
  <c r="V743" i="16"/>
  <c r="U744" i="16"/>
  <c r="V744" i="16"/>
  <c r="U745" i="16"/>
  <c r="V745" i="16"/>
  <c r="U746" i="16"/>
  <c r="U747" i="16"/>
  <c r="V746" i="16"/>
  <c r="U748" i="16"/>
  <c r="V747" i="16"/>
  <c r="U749" i="16"/>
  <c r="V748" i="16"/>
  <c r="U750" i="16"/>
  <c r="V749" i="16"/>
  <c r="V750" i="16"/>
  <c r="U751" i="16"/>
  <c r="V751" i="16"/>
  <c r="U752" i="16"/>
  <c r="V752" i="16"/>
  <c r="U753" i="16"/>
  <c r="V753" i="16"/>
  <c r="U754" i="16"/>
  <c r="V754" i="16"/>
  <c r="U755" i="16"/>
  <c r="V755" i="16"/>
  <c r="U756" i="16"/>
  <c r="U757" i="16"/>
  <c r="V756" i="16"/>
  <c r="U758" i="16"/>
  <c r="V757" i="16"/>
  <c r="V758" i="16"/>
  <c r="U759" i="16"/>
  <c r="U760" i="16"/>
  <c r="V759" i="16"/>
  <c r="V760" i="16"/>
  <c r="U761" i="16"/>
  <c r="V761" i="16"/>
  <c r="U762" i="16"/>
  <c r="V762" i="16"/>
  <c r="U763" i="16"/>
  <c r="V763" i="16"/>
  <c r="U764" i="16"/>
  <c r="V764" i="16"/>
  <c r="U765" i="16"/>
  <c r="U766" i="16"/>
  <c r="V765" i="16"/>
  <c r="U767" i="16"/>
  <c r="V766" i="16"/>
  <c r="V767" i="16"/>
  <c r="U768" i="16"/>
  <c r="V768" i="16"/>
  <c r="U769" i="16"/>
  <c r="V769" i="16"/>
  <c r="U770" i="16"/>
  <c r="U771" i="16"/>
  <c r="V770" i="16"/>
  <c r="U772" i="16"/>
  <c r="V771" i="16"/>
  <c r="V772" i="16"/>
  <c r="U773" i="16"/>
  <c r="U774" i="16"/>
  <c r="V773" i="16"/>
  <c r="U775" i="16"/>
  <c r="V774" i="16"/>
  <c r="U776" i="16"/>
  <c r="V775" i="16"/>
  <c r="V776" i="16"/>
  <c r="U777" i="16"/>
  <c r="V777" i="16"/>
  <c r="U778" i="16"/>
  <c r="V778" i="16"/>
  <c r="U779" i="16"/>
  <c r="V779" i="16"/>
  <c r="U780" i="16"/>
  <c r="U781" i="16"/>
  <c r="V780" i="16"/>
  <c r="V781" i="16"/>
  <c r="U782" i="16"/>
  <c r="V782" i="16"/>
  <c r="U783" i="16"/>
  <c r="U784" i="16"/>
  <c r="V783" i="16"/>
  <c r="V784" i="16"/>
  <c r="U785" i="16"/>
  <c r="V785" i="16"/>
  <c r="U786" i="16"/>
  <c r="V786" i="16"/>
  <c r="U787" i="16"/>
  <c r="U788" i="16"/>
  <c r="V787" i="16"/>
  <c r="U789" i="16"/>
  <c r="V788" i="16"/>
  <c r="V789" i="16"/>
  <c r="U790" i="16"/>
  <c r="U791" i="16"/>
  <c r="V790" i="16"/>
  <c r="U792" i="16"/>
  <c r="V791" i="16"/>
  <c r="U793" i="16"/>
  <c r="V792" i="16"/>
  <c r="V793" i="16"/>
  <c r="U794" i="16"/>
  <c r="V794" i="16"/>
  <c r="U795" i="16"/>
  <c r="V795" i="16"/>
  <c r="U796" i="16"/>
  <c r="V796" i="16"/>
  <c r="U797" i="16"/>
  <c r="U798" i="16"/>
  <c r="V797" i="16"/>
  <c r="V798" i="16"/>
  <c r="U799" i="16"/>
  <c r="U800" i="16"/>
  <c r="V799" i="16"/>
  <c r="U801" i="16"/>
  <c r="V800" i="16"/>
  <c r="U802" i="16"/>
  <c r="V801" i="16"/>
  <c r="V802" i="16"/>
  <c r="U803" i="16"/>
  <c r="U804" i="16"/>
  <c r="V803" i="16"/>
  <c r="V804" i="16"/>
  <c r="U805" i="16"/>
  <c r="U806" i="16"/>
  <c r="V805" i="16"/>
  <c r="U807" i="16"/>
  <c r="V806" i="16"/>
  <c r="U808" i="16"/>
  <c r="V807" i="16"/>
  <c r="U809" i="16"/>
  <c r="V808" i="16"/>
  <c r="V809" i="16"/>
  <c r="U810" i="16"/>
  <c r="V810" i="16"/>
  <c r="U811" i="16"/>
  <c r="V811" i="16"/>
  <c r="U812" i="16"/>
  <c r="U813" i="16"/>
  <c r="V812" i="16"/>
  <c r="V813" i="16"/>
  <c r="U814" i="16"/>
  <c r="U815" i="16"/>
  <c r="V814" i="16"/>
  <c r="V815" i="16"/>
  <c r="U816" i="16"/>
  <c r="U817" i="16"/>
  <c r="V816" i="16"/>
  <c r="V817" i="16"/>
  <c r="U818" i="16"/>
  <c r="U819" i="16"/>
  <c r="V818" i="16"/>
  <c r="V819" i="16"/>
  <c r="U820" i="16"/>
  <c r="U821" i="16"/>
  <c r="V820" i="16"/>
  <c r="U822" i="16"/>
  <c r="V821" i="16"/>
  <c r="U823" i="16"/>
  <c r="V822" i="16"/>
  <c r="V823" i="16"/>
  <c r="U824" i="16"/>
  <c r="U825" i="16"/>
  <c r="V824" i="16"/>
  <c r="V825" i="16"/>
  <c r="U826" i="16"/>
  <c r="U827" i="16"/>
  <c r="V826" i="16"/>
  <c r="V827" i="16"/>
  <c r="U828" i="16"/>
  <c r="V828" i="16"/>
  <c r="U829" i="16"/>
  <c r="V829" i="16"/>
  <c r="U830" i="16"/>
  <c r="U831" i="16"/>
  <c r="V830" i="16"/>
  <c r="U832" i="16"/>
  <c r="V831" i="16"/>
  <c r="U833" i="16"/>
  <c r="V832" i="16"/>
  <c r="U834" i="16"/>
  <c r="V833" i="16"/>
  <c r="U835" i="16"/>
  <c r="V834" i="16"/>
  <c r="U836" i="16"/>
  <c r="V835" i="16"/>
  <c r="U837" i="16"/>
  <c r="V836" i="16"/>
  <c r="U838" i="16"/>
  <c r="V837" i="16"/>
  <c r="U839" i="16"/>
  <c r="V838" i="16"/>
  <c r="U840" i="16"/>
  <c r="V839" i="16"/>
  <c r="V840" i="16"/>
  <c r="U841" i="16"/>
  <c r="V841" i="16"/>
  <c r="U842" i="16"/>
  <c r="U843" i="16"/>
  <c r="V842" i="16"/>
  <c r="V843" i="16"/>
  <c r="U844" i="16"/>
  <c r="V844" i="16"/>
  <c r="U845" i="16"/>
  <c r="V845" i="16"/>
  <c r="U846" i="16"/>
  <c r="V846" i="16"/>
  <c r="U847" i="16"/>
  <c r="U848" i="16"/>
  <c r="V847" i="16"/>
  <c r="U849" i="16"/>
  <c r="V848" i="16"/>
  <c r="V849" i="16"/>
  <c r="U850" i="16"/>
  <c r="V850" i="16"/>
  <c r="U851" i="16"/>
  <c r="U852" i="16"/>
  <c r="V851" i="16"/>
  <c r="V852" i="16"/>
  <c r="U853" i="16"/>
  <c r="U854" i="16"/>
  <c r="V853" i="16"/>
  <c r="V854" i="16"/>
  <c r="U855" i="16"/>
  <c r="U856" i="16"/>
  <c r="V855" i="16"/>
  <c r="V856" i="16"/>
  <c r="U857" i="16"/>
  <c r="V857" i="16"/>
  <c r="U858" i="16"/>
  <c r="V858" i="16"/>
  <c r="U859" i="16"/>
  <c r="V859" i="16"/>
  <c r="U860" i="16"/>
  <c r="U861" i="16"/>
  <c r="V860" i="16"/>
  <c r="V861" i="16"/>
  <c r="U862" i="16"/>
  <c r="U863" i="16"/>
  <c r="V862" i="16"/>
  <c r="U864" i="16"/>
  <c r="V863" i="16"/>
  <c r="U865" i="16"/>
  <c r="V864" i="16"/>
  <c r="U866" i="16"/>
  <c r="V865" i="16"/>
  <c r="U867" i="16"/>
  <c r="V866" i="16"/>
  <c r="V867" i="16"/>
  <c r="U868" i="16"/>
  <c r="U869" i="16"/>
  <c r="V868" i="16"/>
  <c r="U870" i="16"/>
  <c r="V869" i="16"/>
  <c r="U871" i="16"/>
  <c r="V870" i="16"/>
  <c r="V871" i="16"/>
  <c r="U872" i="16"/>
  <c r="U873" i="16"/>
  <c r="V872" i="16"/>
  <c r="V873" i="16"/>
  <c r="U874" i="16"/>
  <c r="V874" i="16"/>
  <c r="U875" i="16"/>
  <c r="V875" i="16"/>
  <c r="U876" i="16"/>
  <c r="V876" i="16"/>
  <c r="U877" i="16"/>
  <c r="U878" i="16"/>
  <c r="V877" i="16"/>
  <c r="V878" i="16"/>
  <c r="U879" i="16"/>
  <c r="V879" i="16"/>
  <c r="U880" i="16"/>
  <c r="V880" i="16"/>
  <c r="U881" i="16"/>
  <c r="U882" i="16"/>
  <c r="V881" i="16"/>
  <c r="U883" i="16"/>
  <c r="V882" i="16"/>
  <c r="V883" i="16"/>
  <c r="U884" i="16"/>
  <c r="V884" i="16"/>
  <c r="U885" i="16"/>
  <c r="U886" i="16"/>
  <c r="V885" i="16"/>
  <c r="V886" i="16"/>
  <c r="U887" i="16"/>
  <c r="U888" i="16"/>
  <c r="V887" i="16"/>
  <c r="V888" i="16"/>
  <c r="U889" i="16"/>
  <c r="U890" i="16"/>
  <c r="V889" i="16"/>
  <c r="U891" i="16"/>
  <c r="V890" i="16"/>
  <c r="U892" i="16"/>
  <c r="V891" i="16"/>
  <c r="U893" i="16"/>
  <c r="V892" i="16"/>
  <c r="U894" i="16"/>
  <c r="V893" i="16"/>
  <c r="V894" i="16"/>
  <c r="U895" i="16"/>
  <c r="V895" i="16"/>
  <c r="U896" i="16"/>
  <c r="U897" i="16"/>
  <c r="V896" i="16"/>
  <c r="U898" i="16"/>
  <c r="V897" i="16"/>
  <c r="V898" i="16"/>
  <c r="U899" i="16"/>
  <c r="V899" i="16"/>
  <c r="U900" i="16"/>
  <c r="U901" i="16"/>
  <c r="V900" i="16"/>
  <c r="V901" i="16"/>
  <c r="U902" i="16"/>
  <c r="U903" i="16"/>
  <c r="V902" i="16"/>
  <c r="U904" i="16"/>
  <c r="V903" i="16"/>
  <c r="V904" i="16"/>
  <c r="U905" i="16"/>
  <c r="V905" i="16"/>
  <c r="U906" i="16"/>
  <c r="U907" i="16"/>
  <c r="V906" i="16"/>
  <c r="U908" i="16"/>
  <c r="V907" i="16"/>
  <c r="U909" i="16"/>
  <c r="V908" i="16"/>
  <c r="V909" i="16"/>
  <c r="U910" i="16"/>
  <c r="V910" i="16"/>
  <c r="U911" i="16"/>
  <c r="V911" i="16"/>
  <c r="U912" i="16"/>
  <c r="U913" i="16"/>
  <c r="V912" i="16"/>
  <c r="V913" i="16"/>
  <c r="U914" i="16"/>
  <c r="V914" i="16"/>
  <c r="U915" i="16"/>
  <c r="U916" i="16"/>
  <c r="V915" i="16"/>
  <c r="U917" i="16"/>
  <c r="V916" i="16"/>
  <c r="U918" i="16"/>
  <c r="V917" i="16"/>
  <c r="U919" i="16"/>
  <c r="V918" i="16"/>
  <c r="U920" i="16"/>
  <c r="V919" i="16"/>
  <c r="V920" i="16"/>
  <c r="U921" i="16"/>
  <c r="V921" i="16"/>
  <c r="U922" i="16"/>
  <c r="V922" i="16"/>
  <c r="U923" i="16"/>
  <c r="V923" i="16"/>
  <c r="U924" i="16"/>
  <c r="U925" i="16"/>
  <c r="V924" i="16"/>
  <c r="U926" i="16"/>
  <c r="V925" i="16"/>
  <c r="V926" i="16"/>
  <c r="U927" i="16"/>
  <c r="U928" i="16"/>
  <c r="V927" i="16"/>
  <c r="U929" i="16"/>
  <c r="V928" i="16"/>
  <c r="U930" i="16"/>
  <c r="V929" i="16"/>
  <c r="U931" i="16"/>
  <c r="V930" i="16"/>
  <c r="U932" i="16"/>
  <c r="V931" i="16"/>
  <c r="U933" i="16"/>
  <c r="V932" i="16"/>
  <c r="U934" i="16"/>
  <c r="V933" i="16"/>
  <c r="U935" i="16"/>
  <c r="V934" i="16"/>
  <c r="V935" i="16"/>
  <c r="U936" i="16"/>
  <c r="U937" i="16"/>
  <c r="V936" i="16"/>
  <c r="U938" i="16"/>
  <c r="V937" i="16"/>
  <c r="V938" i="16"/>
  <c r="U939" i="16"/>
  <c r="U940" i="16"/>
  <c r="V939" i="16"/>
  <c r="U941" i="16"/>
  <c r="V940" i="16"/>
  <c r="U942" i="16"/>
  <c r="V941" i="16"/>
  <c r="V942" i="16"/>
  <c r="U943" i="16"/>
  <c r="U944" i="16"/>
  <c r="V943" i="16"/>
  <c r="U945" i="16"/>
  <c r="V944" i="16"/>
  <c r="U946" i="16"/>
  <c r="V945" i="16"/>
  <c r="V946" i="16"/>
  <c r="U947" i="16"/>
  <c r="V947" i="16"/>
  <c r="U948" i="16"/>
  <c r="U949" i="16"/>
  <c r="V948" i="16"/>
  <c r="V949" i="16"/>
  <c r="U950" i="16"/>
  <c r="U951" i="16"/>
  <c r="V950" i="16"/>
  <c r="U952" i="16"/>
  <c r="V951" i="16"/>
  <c r="U953" i="16"/>
  <c r="V952" i="16"/>
  <c r="V953" i="16"/>
  <c r="U954" i="16"/>
  <c r="U955" i="16"/>
  <c r="V954" i="16"/>
  <c r="U956" i="16"/>
  <c r="V955" i="16"/>
  <c r="V956" i="16"/>
  <c r="U957" i="16"/>
  <c r="U958" i="16"/>
  <c r="V957" i="16"/>
  <c r="U959" i="16"/>
  <c r="V958" i="16"/>
  <c r="U960" i="16"/>
  <c r="V959" i="16"/>
  <c r="U961" i="16"/>
  <c r="V960" i="16"/>
  <c r="V961" i="16"/>
  <c r="U962" i="16"/>
  <c r="V962" i="16"/>
  <c r="U963" i="16"/>
  <c r="U964" i="16"/>
  <c r="V963" i="16"/>
  <c r="V964" i="16"/>
  <c r="U965" i="16"/>
  <c r="V965" i="16"/>
  <c r="U966" i="16"/>
  <c r="U967" i="16"/>
  <c r="V966" i="16"/>
  <c r="U968" i="16"/>
  <c r="V967" i="16"/>
  <c r="U969" i="16"/>
  <c r="V968" i="16"/>
  <c r="V969" i="16"/>
  <c r="U970" i="16"/>
  <c r="V970" i="16"/>
  <c r="U971" i="16"/>
  <c r="U972" i="16"/>
  <c r="V971" i="16"/>
  <c r="U973" i="16"/>
  <c r="V972" i="16"/>
  <c r="V973" i="16"/>
  <c r="U974" i="16"/>
  <c r="U975" i="16"/>
  <c r="V974" i="16"/>
  <c r="U976" i="16"/>
  <c r="V975" i="16"/>
  <c r="V976" i="16"/>
  <c r="U977" i="16"/>
  <c r="V977" i="16"/>
  <c r="U978" i="16"/>
  <c r="V978" i="16"/>
  <c r="U979" i="16"/>
  <c r="U980" i="16"/>
  <c r="V979" i="16"/>
  <c r="V980" i="16"/>
  <c r="U981" i="16"/>
  <c r="U982" i="16"/>
  <c r="V981" i="16"/>
  <c r="V982" i="16"/>
  <c r="U983" i="16"/>
  <c r="U984" i="16"/>
  <c r="V983" i="16"/>
  <c r="V984" i="16"/>
  <c r="U985" i="16"/>
  <c r="V985" i="16"/>
  <c r="U986" i="16"/>
  <c r="V986" i="16"/>
  <c r="U987" i="16"/>
  <c r="V987" i="16"/>
  <c r="U988" i="16"/>
  <c r="U989" i="16"/>
  <c r="V988" i="16"/>
  <c r="V989" i="16"/>
  <c r="U990" i="16"/>
  <c r="U991" i="16"/>
  <c r="V990" i="16"/>
  <c r="U992" i="16"/>
  <c r="V991" i="16"/>
  <c r="U993" i="16"/>
  <c r="V992" i="16"/>
  <c r="V993" i="16"/>
  <c r="U994" i="16"/>
  <c r="V994" i="16"/>
  <c r="U995" i="16"/>
  <c r="V995" i="16"/>
  <c r="U996" i="16"/>
  <c r="U997" i="16"/>
  <c r="V996" i="16"/>
  <c r="V997" i="16"/>
  <c r="U998" i="16"/>
  <c r="U999" i="16"/>
  <c r="V998" i="16"/>
  <c r="U1000" i="16"/>
  <c r="V999" i="16"/>
  <c r="V1000" i="16"/>
  <c r="U1001" i="16"/>
  <c r="V1001" i="16"/>
  <c r="U1002" i="16"/>
  <c r="V1002" i="16"/>
  <c r="U1003" i="16"/>
  <c r="V1003" i="16"/>
  <c r="U1004" i="16"/>
  <c r="V1004" i="16"/>
  <c r="U1005" i="16"/>
  <c r="U1006" i="16"/>
  <c r="V1005" i="16"/>
  <c r="U1007" i="16"/>
  <c r="V1006" i="16"/>
  <c r="V1007" i="16"/>
  <c r="U1008" i="16"/>
  <c r="V1008" i="16"/>
  <c r="U1009" i="16"/>
  <c r="V1009" i="16"/>
  <c r="U1010" i="16"/>
  <c r="U1011" i="16"/>
  <c r="V1010" i="16"/>
  <c r="V1011" i="16"/>
  <c r="U1012" i="16"/>
  <c r="V1012" i="16"/>
  <c r="U1013" i="16"/>
  <c r="U1014" i="16"/>
  <c r="V1013" i="16"/>
  <c r="U1015" i="16"/>
  <c r="V1014" i="16"/>
  <c r="V1015" i="16"/>
  <c r="U1016" i="16"/>
  <c r="V1016" i="16"/>
  <c r="U1017" i="16"/>
  <c r="U1018" i="16"/>
  <c r="V1017" i="16"/>
  <c r="V1018" i="16"/>
  <c r="U1019" i="16"/>
  <c r="V1019" i="16"/>
  <c r="U1020" i="16"/>
  <c r="U1021" i="16"/>
  <c r="V1020" i="16"/>
  <c r="V1021" i="16"/>
  <c r="U1022" i="16"/>
  <c r="V1022" i="16"/>
  <c r="U1023" i="16"/>
  <c r="U1024" i="16"/>
  <c r="V1023" i="16"/>
  <c r="U1025" i="16"/>
  <c r="V1024" i="16"/>
  <c r="V1025" i="16"/>
  <c r="U1026" i="16"/>
  <c r="U1027" i="16"/>
  <c r="V1026" i="16"/>
  <c r="V1027" i="16"/>
  <c r="U1028" i="16"/>
  <c r="V1028" i="16"/>
  <c r="U1029" i="16"/>
  <c r="U1030" i="16"/>
  <c r="V1029" i="16"/>
  <c r="U1031" i="16"/>
  <c r="V1030" i="16"/>
  <c r="V1031" i="16"/>
  <c r="U1032" i="16"/>
  <c r="V1032" i="16"/>
  <c r="U1033" i="16"/>
  <c r="U1034" i="16"/>
  <c r="V1033" i="16"/>
  <c r="U1035" i="16"/>
  <c r="V1034" i="16"/>
  <c r="U1036" i="16"/>
  <c r="V1035" i="16"/>
  <c r="U1037" i="16"/>
  <c r="V1036" i="16"/>
  <c r="V1037" i="16"/>
  <c r="U1038" i="16"/>
  <c r="V1038" i="16"/>
  <c r="U1039" i="16"/>
  <c r="U1040" i="16"/>
  <c r="V1039" i="16"/>
  <c r="U1041" i="16"/>
  <c r="V1040" i="16"/>
  <c r="U1042" i="16"/>
  <c r="V1041" i="16"/>
  <c r="U1043" i="16"/>
  <c r="V1042" i="16"/>
  <c r="U1044" i="16"/>
  <c r="V1043" i="16"/>
  <c r="U1045" i="16"/>
  <c r="V1044" i="16"/>
  <c r="U1046" i="16"/>
  <c r="V1045" i="16"/>
  <c r="U1047" i="16"/>
  <c r="V1046" i="16"/>
  <c r="U1048" i="16"/>
  <c r="V1047" i="16"/>
  <c r="U1049" i="16"/>
  <c r="V1048" i="16"/>
  <c r="U1050" i="16"/>
  <c r="V1049" i="16"/>
  <c r="V1050" i="16"/>
  <c r="U1051" i="16"/>
  <c r="U1052" i="16"/>
  <c r="V1051" i="16"/>
  <c r="V1052" i="16"/>
  <c r="U1053" i="16"/>
  <c r="U1054" i="16"/>
  <c r="V1053" i="16"/>
  <c r="V1054" i="16"/>
  <c r="U1055" i="16"/>
  <c r="V1055" i="16"/>
  <c r="U1056" i="16"/>
  <c r="V1056" i="16"/>
  <c r="U1057" i="16"/>
  <c r="U1058" i="16"/>
  <c r="V1057" i="16"/>
  <c r="U1059" i="16"/>
  <c r="V1058" i="16"/>
  <c r="V1059" i="16"/>
  <c r="U1060" i="16"/>
  <c r="V1060" i="16"/>
  <c r="U1061" i="16"/>
  <c r="V1061" i="16"/>
  <c r="U1062" i="16"/>
  <c r="U1063" i="16"/>
  <c r="V1062" i="16"/>
  <c r="V1063" i="16"/>
  <c r="U1064" i="16"/>
  <c r="V1064" i="16"/>
  <c r="U1065" i="16"/>
  <c r="U1066" i="16"/>
  <c r="V1065" i="16"/>
  <c r="U1067" i="16"/>
  <c r="V1066" i="16"/>
  <c r="U1068" i="16"/>
  <c r="V1067" i="16"/>
  <c r="U1069" i="16"/>
  <c r="V1068" i="16"/>
  <c r="U1070" i="16"/>
  <c r="V1069" i="16"/>
  <c r="U1071" i="16"/>
  <c r="V1070" i="16"/>
  <c r="U1072" i="16"/>
  <c r="V1071" i="16"/>
  <c r="U1073" i="16"/>
  <c r="V1072" i="16"/>
  <c r="U1074" i="16"/>
  <c r="V1073" i="16"/>
  <c r="V1074" i="16"/>
  <c r="U1075" i="16"/>
  <c r="U1076" i="16"/>
  <c r="V1075" i="16"/>
  <c r="V1076" i="16"/>
  <c r="U1077" i="16"/>
  <c r="U1078" i="16"/>
  <c r="V1077" i="16"/>
  <c r="V1078" i="16"/>
  <c r="U1079" i="16"/>
  <c r="V1079" i="16"/>
  <c r="U1080" i="16"/>
  <c r="U1081" i="16"/>
  <c r="V1080" i="16"/>
  <c r="V1081" i="16"/>
  <c r="U1082" i="16"/>
  <c r="U1083" i="16"/>
  <c r="V1082" i="16"/>
  <c r="V1083" i="16"/>
  <c r="U1084" i="16"/>
  <c r="V1084" i="16"/>
  <c r="U1085" i="16"/>
  <c r="V1085" i="16"/>
  <c r="U1086" i="16"/>
  <c r="V1086" i="16"/>
  <c r="U1087" i="16"/>
  <c r="U1088" i="16"/>
  <c r="V1087" i="16"/>
  <c r="U1089" i="16"/>
  <c r="V1088" i="16"/>
  <c r="V1089" i="16"/>
  <c r="U1090" i="16"/>
  <c r="U1091" i="16"/>
  <c r="V1090" i="16"/>
  <c r="V1091" i="16"/>
  <c r="U1092" i="16"/>
  <c r="V1092" i="16"/>
  <c r="U1093" i="16"/>
  <c r="V1093" i="16"/>
  <c r="U1094" i="16"/>
  <c r="V1094" i="16"/>
  <c r="U1095" i="16"/>
  <c r="U1096" i="16"/>
  <c r="V1095" i="16"/>
  <c r="V1096" i="16"/>
  <c r="U1097" i="16"/>
  <c r="U1098" i="16"/>
  <c r="V1097" i="16"/>
  <c r="U1099" i="16"/>
  <c r="V1098" i="16"/>
  <c r="U1100" i="16"/>
  <c r="V1099" i="16"/>
  <c r="V1100" i="16"/>
  <c r="U1101" i="16"/>
  <c r="U1102" i="16"/>
  <c r="V1101" i="16"/>
  <c r="V1102" i="16"/>
  <c r="U1103" i="16"/>
  <c r="V1103" i="16"/>
  <c r="U1104" i="16"/>
  <c r="V1104" i="16"/>
  <c r="U1105" i="16"/>
  <c r="U1106" i="16"/>
  <c r="V1105" i="16"/>
  <c r="V1106" i="16"/>
  <c r="U1107" i="16"/>
  <c r="U1108" i="16"/>
  <c r="V1107" i="16"/>
  <c r="V1108" i="16"/>
  <c r="U1109" i="16"/>
  <c r="V1109" i="16"/>
  <c r="U1110" i="16"/>
  <c r="U1111" i="16"/>
  <c r="V1110" i="16"/>
  <c r="U1112" i="16"/>
  <c r="V1111" i="16"/>
  <c r="V1112" i="16"/>
  <c r="U1113" i="16"/>
  <c r="U1114" i="16"/>
  <c r="V1113" i="16"/>
  <c r="U1115" i="16"/>
  <c r="V1114" i="16"/>
  <c r="U1116" i="16"/>
  <c r="V1115" i="16"/>
  <c r="V1116" i="16"/>
  <c r="U1117" i="16"/>
  <c r="V1117" i="16"/>
  <c r="U1118" i="16"/>
  <c r="V1118" i="16"/>
  <c r="U1119" i="16"/>
  <c r="U1120" i="16"/>
  <c r="V1119" i="16"/>
  <c r="U1121" i="16"/>
  <c r="V1120" i="16"/>
  <c r="V1121" i="16"/>
  <c r="U1122" i="16"/>
  <c r="V1122" i="16"/>
  <c r="U1123" i="16"/>
  <c r="V1123" i="16"/>
  <c r="U1124" i="16"/>
  <c r="V1124" i="16"/>
  <c r="U1125" i="16"/>
  <c r="V1125" i="16"/>
  <c r="U1126" i="16"/>
  <c r="V1126" i="16"/>
  <c r="U1127" i="16"/>
  <c r="V1127" i="16"/>
  <c r="U1128" i="16"/>
  <c r="U1129" i="16"/>
  <c r="V1128" i="16"/>
  <c r="V1129" i="16"/>
  <c r="U1130" i="16"/>
  <c r="U1131" i="16"/>
  <c r="V1130" i="16"/>
  <c r="U1132" i="16"/>
  <c r="V1131" i="16"/>
  <c r="U1133" i="16"/>
  <c r="V1132" i="16"/>
  <c r="U1134" i="16"/>
  <c r="V1133" i="16"/>
  <c r="U1135" i="16"/>
  <c r="V1134" i="16"/>
  <c r="V1135" i="16"/>
  <c r="U1136" i="16"/>
  <c r="U1137" i="16"/>
  <c r="V1136" i="16"/>
  <c r="U1138" i="16"/>
  <c r="V1137" i="16"/>
  <c r="V1138" i="16"/>
  <c r="U1139" i="16"/>
  <c r="V1139" i="16"/>
  <c r="U1140" i="16"/>
  <c r="V1140" i="16"/>
  <c r="U1141" i="16"/>
  <c r="V1141" i="16"/>
  <c r="U1142" i="16"/>
  <c r="U1143" i="16"/>
  <c r="V1142" i="16"/>
  <c r="V1143" i="16"/>
  <c r="U1144" i="16"/>
  <c r="V1144" i="16"/>
  <c r="U1145" i="16"/>
  <c r="V1145" i="16"/>
  <c r="U1146" i="16"/>
  <c r="V1146" i="16"/>
  <c r="U1147" i="16"/>
  <c r="U1148" i="16"/>
  <c r="V1147" i="16"/>
  <c r="V1148" i="16"/>
  <c r="U1149" i="16"/>
  <c r="U1150" i="16"/>
  <c r="V1149" i="16"/>
  <c r="V1150" i="16"/>
  <c r="U1151" i="16"/>
  <c r="V1151" i="16"/>
  <c r="U1152" i="16"/>
  <c r="U1153" i="16"/>
  <c r="V1152" i="16"/>
  <c r="V1153" i="16"/>
  <c r="U1154" i="16"/>
  <c r="V1154" i="16"/>
  <c r="U1155" i="16"/>
  <c r="V1155" i="16"/>
  <c r="U1156" i="16"/>
  <c r="U1157" i="16"/>
  <c r="V1156" i="16"/>
  <c r="V1157" i="16"/>
  <c r="U1158" i="16"/>
  <c r="U1159" i="16"/>
  <c r="V1158" i="16"/>
  <c r="U1160" i="16"/>
  <c r="V1159" i="16"/>
  <c r="V1160" i="16"/>
  <c r="U1161" i="16"/>
  <c r="V1161" i="16"/>
  <c r="U1162" i="16"/>
  <c r="U1163" i="16"/>
  <c r="V1162" i="16"/>
  <c r="U1164" i="16"/>
  <c r="V1163" i="16"/>
  <c r="U1165" i="16"/>
  <c r="V1164" i="16"/>
  <c r="V1165" i="16"/>
  <c r="U1166" i="16"/>
  <c r="V1166" i="16"/>
  <c r="U1167" i="16"/>
  <c r="U1168" i="16"/>
  <c r="V1167" i="16"/>
  <c r="V1168" i="16"/>
  <c r="U1169" i="16"/>
  <c r="U1170" i="16"/>
  <c r="V1169" i="16"/>
  <c r="U1171" i="16"/>
  <c r="V1170" i="16"/>
  <c r="V1171" i="16"/>
  <c r="U1172" i="16"/>
  <c r="V1172" i="16"/>
  <c r="U1173" i="16"/>
  <c r="V1173" i="16"/>
  <c r="U1174" i="16"/>
  <c r="V1174" i="16"/>
  <c r="U1175" i="16"/>
  <c r="V1175" i="16"/>
  <c r="U1176" i="16"/>
  <c r="V1176" i="16"/>
  <c r="U1177" i="16"/>
  <c r="U1178" i="16"/>
  <c r="V1177" i="16"/>
  <c r="V1178" i="16"/>
  <c r="U1179" i="16"/>
  <c r="U1180" i="16"/>
  <c r="V1179" i="16"/>
  <c r="U1181" i="16"/>
  <c r="V1180" i="16"/>
  <c r="V1181" i="16"/>
  <c r="U1182" i="16"/>
  <c r="U1183" i="16"/>
  <c r="V1182" i="16"/>
  <c r="V1183" i="16"/>
  <c r="U1184" i="16"/>
  <c r="U1185" i="16"/>
  <c r="V1184" i="16"/>
  <c r="V1185" i="16"/>
  <c r="U1186" i="16"/>
  <c r="V1186" i="16"/>
  <c r="U1187" i="16"/>
  <c r="V1187" i="16"/>
  <c r="U1188" i="16"/>
  <c r="U1189" i="16"/>
  <c r="V1188" i="16"/>
  <c r="V1189" i="16"/>
  <c r="U1190" i="16"/>
  <c r="V1190" i="16"/>
  <c r="U1191" i="16"/>
  <c r="V1191" i="16"/>
  <c r="U1192" i="16"/>
  <c r="V1192" i="16"/>
  <c r="U1193" i="16"/>
  <c r="U1194" i="16"/>
  <c r="V1193" i="16"/>
  <c r="V1194" i="16"/>
  <c r="U1195" i="16"/>
  <c r="V1195" i="16"/>
  <c r="U1196" i="16"/>
  <c r="U1197" i="16"/>
  <c r="V1196" i="16"/>
  <c r="V1197" i="16"/>
  <c r="U1198" i="16"/>
  <c r="V1198" i="16"/>
  <c r="U1199" i="16"/>
  <c r="U1200" i="16"/>
  <c r="V1199" i="16"/>
  <c r="V1200" i="16"/>
  <c r="U1201" i="16"/>
  <c r="U1202" i="16"/>
  <c r="V1201" i="16"/>
  <c r="V1202" i="16"/>
  <c r="U1203" i="16"/>
  <c r="U1204" i="16"/>
  <c r="V1203" i="16"/>
  <c r="U1205" i="16"/>
  <c r="V1204" i="16"/>
  <c r="U1206" i="16"/>
  <c r="V1205" i="16"/>
  <c r="U1207" i="16"/>
  <c r="V1206" i="16"/>
  <c r="U1208" i="16"/>
  <c r="V1207" i="16"/>
  <c r="V1208" i="16"/>
  <c r="U1209" i="16"/>
  <c r="U1210" i="16"/>
  <c r="V1209" i="16"/>
  <c r="U1211" i="16"/>
  <c r="V1210" i="16"/>
  <c r="U1212" i="16"/>
  <c r="V1211" i="16"/>
  <c r="V1212" i="16"/>
  <c r="U1213" i="16"/>
  <c r="V1213" i="16"/>
  <c r="U1214" i="16"/>
  <c r="V1214" i="16"/>
  <c r="U1215" i="16"/>
  <c r="V1215" i="16"/>
  <c r="U1216" i="16"/>
  <c r="V1216" i="16"/>
  <c r="U1217" i="16"/>
  <c r="V1217" i="16"/>
  <c r="U1218" i="16"/>
  <c r="U1219" i="16"/>
  <c r="V1218" i="16"/>
  <c r="V1219" i="16"/>
  <c r="U1220" i="16"/>
  <c r="U1221" i="16"/>
  <c r="V1220" i="16"/>
  <c r="V1221" i="16"/>
  <c r="U1222" i="16"/>
  <c r="V1222" i="16"/>
  <c r="U1223" i="16"/>
  <c r="V1223" i="16"/>
  <c r="U1224" i="16"/>
  <c r="U1225" i="16"/>
  <c r="V1224" i="16"/>
  <c r="U1226" i="16"/>
  <c r="V1225" i="16"/>
  <c r="U1227" i="16"/>
  <c r="V1226" i="16"/>
  <c r="U1228" i="16"/>
  <c r="V1227" i="16"/>
  <c r="V1228" i="16"/>
  <c r="U1229" i="16"/>
  <c r="V1229" i="16"/>
  <c r="U1230" i="16"/>
  <c r="V1230" i="16"/>
  <c r="U1231" i="16"/>
  <c r="U1232" i="16"/>
  <c r="V1231" i="16"/>
  <c r="V1232" i="16"/>
  <c r="U1233" i="16"/>
  <c r="V1233" i="16"/>
  <c r="U1234" i="16"/>
  <c r="V1234" i="16"/>
  <c r="U1235" i="16"/>
  <c r="U1236" i="16"/>
  <c r="V1235" i="16"/>
  <c r="U1237" i="16"/>
  <c r="V1236" i="16"/>
  <c r="U1238" i="16"/>
  <c r="V1237" i="16"/>
  <c r="V1238" i="16"/>
  <c r="U1239" i="16"/>
  <c r="V1239" i="16"/>
  <c r="U1240" i="16"/>
  <c r="U1241" i="16"/>
  <c r="V1240" i="16"/>
  <c r="U1242" i="16"/>
  <c r="V1241" i="16"/>
  <c r="V1242" i="16"/>
  <c r="U1243" i="16"/>
  <c r="V1243" i="16"/>
  <c r="U1244" i="16"/>
  <c r="V1244" i="16"/>
  <c r="U1245" i="16"/>
  <c r="U1246" i="16"/>
  <c r="V1245" i="16"/>
  <c r="V1246" i="16"/>
  <c r="U1247" i="16"/>
  <c r="V1247" i="16"/>
  <c r="U1248" i="16"/>
  <c r="U1249" i="16"/>
  <c r="V1248" i="16"/>
  <c r="V1249" i="16"/>
  <c r="U1250" i="16"/>
  <c r="V1250" i="16"/>
  <c r="U1251" i="16"/>
  <c r="U1252" i="16"/>
  <c r="V1251" i="16"/>
  <c r="V1252" i="16"/>
  <c r="U1253" i="16"/>
  <c r="V1253" i="16"/>
  <c r="U1254" i="16"/>
  <c r="V1254" i="16"/>
  <c r="U1255" i="16"/>
  <c r="U1256" i="16"/>
  <c r="V1255" i="16"/>
  <c r="V1256" i="16"/>
  <c r="U1257" i="16"/>
  <c r="U1258" i="16"/>
  <c r="V1257" i="16"/>
  <c r="U1259" i="16"/>
  <c r="V1258" i="16"/>
  <c r="U1260" i="16"/>
  <c r="V1259" i="16"/>
  <c r="U1261" i="16"/>
  <c r="V1260" i="16"/>
  <c r="V1261" i="16"/>
  <c r="U1262" i="16"/>
  <c r="V1262" i="16"/>
  <c r="U1263" i="16"/>
  <c r="V1263" i="16"/>
  <c r="U1264" i="16"/>
  <c r="V1264" i="16"/>
  <c r="U1265" i="16"/>
  <c r="U1266" i="16"/>
  <c r="V1265" i="16"/>
  <c r="V1266" i="16"/>
  <c r="U1267" i="16"/>
  <c r="V1267" i="16"/>
  <c r="U1268" i="16"/>
  <c r="U1269" i="16"/>
  <c r="V1268" i="16"/>
  <c r="V1269" i="16"/>
  <c r="U1270" i="16"/>
  <c r="V1270" i="16"/>
  <c r="U1271" i="16"/>
  <c r="U1272" i="16"/>
  <c r="V1271" i="16"/>
  <c r="V1272" i="16"/>
  <c r="U1273" i="16"/>
  <c r="U1274" i="16"/>
  <c r="V1273" i="16"/>
  <c r="V1274" i="16"/>
  <c r="U1275" i="16"/>
  <c r="V1275" i="16"/>
  <c r="U1276" i="16"/>
  <c r="U1277" i="16"/>
  <c r="V1276" i="16"/>
  <c r="V1277" i="16"/>
  <c r="U1278" i="16"/>
  <c r="U1279" i="16"/>
  <c r="V1278" i="16"/>
  <c r="U1280" i="16"/>
  <c r="V1279" i="16"/>
  <c r="U1281" i="16"/>
  <c r="V1280" i="16"/>
  <c r="V1281" i="16"/>
  <c r="U1282" i="16"/>
  <c r="V1282" i="16"/>
  <c r="U1283" i="16"/>
  <c r="V1283" i="16"/>
  <c r="U1284" i="16"/>
  <c r="V1284" i="16"/>
  <c r="U1285" i="16"/>
  <c r="V1285" i="16"/>
  <c r="U1286" i="16"/>
  <c r="U1287" i="16"/>
  <c r="V1286" i="16"/>
  <c r="U1288" i="16"/>
  <c r="V1287" i="16"/>
  <c r="U1289" i="16"/>
  <c r="V1288" i="16"/>
  <c r="V1289" i="16"/>
  <c r="U1290" i="16"/>
  <c r="V1290" i="16"/>
  <c r="U1291" i="16"/>
  <c r="U1292" i="16"/>
  <c r="V1291" i="16"/>
  <c r="V1292" i="16"/>
  <c r="U1293" i="16"/>
  <c r="U1294" i="16"/>
  <c r="V1293" i="16"/>
  <c r="U1295" i="16"/>
  <c r="V1294" i="16"/>
  <c r="V1295" i="16"/>
  <c r="U1296" i="16"/>
  <c r="V1296" i="16"/>
  <c r="U1297" i="16"/>
  <c r="V1297" i="16"/>
  <c r="U1298" i="16"/>
  <c r="V1298" i="16"/>
  <c r="U1299" i="16"/>
  <c r="V1299" i="16"/>
  <c r="U1300" i="16"/>
  <c r="U1301" i="16"/>
  <c r="V1300" i="16"/>
  <c r="U1302" i="16"/>
  <c r="V1301" i="16"/>
  <c r="V1302" i="16"/>
  <c r="U1303" i="16"/>
  <c r="U1304" i="16"/>
  <c r="V1303" i="16"/>
  <c r="V1304" i="16"/>
  <c r="U1305" i="16"/>
  <c r="V1305" i="16"/>
  <c r="U1306" i="16"/>
  <c r="U1307" i="16"/>
  <c r="V1306" i="16"/>
  <c r="V1307" i="16"/>
  <c r="U1308" i="16"/>
  <c r="V1308" i="16"/>
  <c r="U1309" i="16"/>
  <c r="U1310" i="16"/>
  <c r="V1309" i="16"/>
  <c r="U1311" i="16"/>
  <c r="V1310" i="16"/>
  <c r="V1311" i="16"/>
  <c r="U1312" i="16"/>
  <c r="V1312" i="16"/>
  <c r="U1313" i="16"/>
  <c r="U1314" i="16"/>
  <c r="V1313" i="16"/>
  <c r="V1314" i="16"/>
  <c r="U1315" i="16"/>
  <c r="V1315" i="16"/>
  <c r="U1316" i="16"/>
  <c r="V1316" i="16"/>
  <c r="U1317" i="16"/>
  <c r="V1317" i="16"/>
  <c r="U1318" i="16"/>
  <c r="U1319" i="16"/>
  <c r="V1318" i="16"/>
  <c r="U1320" i="16"/>
  <c r="V1319" i="16"/>
  <c r="V1320" i="16"/>
  <c r="U1321" i="16"/>
  <c r="U1322" i="16"/>
  <c r="V1321" i="16"/>
  <c r="V1322" i="16"/>
  <c r="U1323" i="16"/>
  <c r="U1324" i="16"/>
  <c r="V1323" i="16"/>
  <c r="U1325" i="16"/>
  <c r="V1324" i="16"/>
  <c r="V1325" i="16"/>
  <c r="U1326" i="16"/>
  <c r="U1327" i="16"/>
  <c r="V1326" i="16"/>
  <c r="V1327" i="16"/>
  <c r="U1328" i="16"/>
  <c r="U1329" i="16"/>
  <c r="V1328" i="16"/>
  <c r="V1329" i="16"/>
  <c r="U1330" i="16"/>
  <c r="U1331" i="16"/>
  <c r="V1330" i="16"/>
  <c r="U1332" i="16"/>
  <c r="V1331" i="16"/>
  <c r="V1332" i="16"/>
  <c r="U1333" i="16"/>
  <c r="U1334" i="16"/>
  <c r="V1333" i="16"/>
  <c r="U1335" i="16"/>
  <c r="V1334" i="16"/>
  <c r="V1335" i="16"/>
  <c r="U1336" i="16"/>
  <c r="U1337" i="16"/>
  <c r="V1336" i="16"/>
  <c r="V1337" i="16"/>
  <c r="U1338" i="16"/>
  <c r="V1338" i="16"/>
  <c r="U1339" i="16"/>
  <c r="U1340" i="16"/>
  <c r="V1339" i="16"/>
  <c r="U1341" i="16"/>
  <c r="V1340" i="16"/>
  <c r="V1341" i="16"/>
  <c r="U1342" i="16"/>
  <c r="V1342" i="16"/>
  <c r="U1343" i="16"/>
  <c r="U1344" i="16"/>
  <c r="V1343" i="16"/>
  <c r="V1344" i="16"/>
  <c r="U1345" i="16"/>
  <c r="U1346" i="16"/>
  <c r="V1345" i="16"/>
  <c r="V1346" i="16"/>
  <c r="U1347" i="16"/>
  <c r="U1348" i="16"/>
  <c r="V1347" i="16"/>
  <c r="V1348" i="16"/>
  <c r="U1349" i="16"/>
  <c r="V1349" i="16"/>
  <c r="U1350" i="16"/>
  <c r="U1351" i="16"/>
  <c r="V1350" i="16"/>
  <c r="V1351" i="16"/>
  <c r="U1352" i="16"/>
  <c r="U1353" i="16"/>
  <c r="V1352" i="16"/>
  <c r="U1354" i="16"/>
  <c r="V1353" i="16"/>
  <c r="V1354" i="16"/>
  <c r="U1355" i="16"/>
  <c r="U1356" i="16"/>
  <c r="V1355" i="16"/>
  <c r="V1356" i="16"/>
  <c r="U1357" i="16"/>
  <c r="U1358" i="16"/>
  <c r="V1357" i="16"/>
  <c r="V1358" i="16"/>
  <c r="U1359" i="16"/>
  <c r="V1359" i="16"/>
  <c r="U1360" i="16"/>
  <c r="V1360" i="16"/>
  <c r="U1361" i="16"/>
  <c r="U1362" i="16"/>
  <c r="V1361" i="16"/>
  <c r="V1362" i="16"/>
  <c r="U1363" i="16"/>
  <c r="V1363" i="16"/>
  <c r="U1364" i="16"/>
  <c r="U1365" i="16"/>
  <c r="V1364" i="16"/>
  <c r="U1366" i="16"/>
  <c r="V1365" i="16"/>
  <c r="U1367" i="16"/>
  <c r="V1366" i="16"/>
  <c r="V1367" i="16"/>
  <c r="U1368" i="16"/>
  <c r="U1369" i="16"/>
  <c r="V1368" i="16"/>
  <c r="V1369" i="16"/>
  <c r="U1370" i="16"/>
  <c r="U1371" i="16"/>
  <c r="V1370" i="16"/>
  <c r="V1371" i="16"/>
  <c r="U1372" i="16"/>
  <c r="V1372" i="16"/>
  <c r="U1373" i="16"/>
  <c r="V1373" i="16"/>
  <c r="U1374" i="16"/>
  <c r="U1375" i="16"/>
  <c r="V1374" i="16"/>
  <c r="U1376" i="16"/>
  <c r="V1375" i="16"/>
  <c r="V1376" i="16"/>
  <c r="U1377" i="16"/>
  <c r="U1378" i="16"/>
  <c r="V1377" i="16"/>
  <c r="U1379" i="16"/>
  <c r="V1378" i="16"/>
  <c r="V1379" i="16"/>
  <c r="U1380" i="16"/>
  <c r="U1381" i="16"/>
  <c r="V1380" i="16"/>
  <c r="V1381" i="16"/>
  <c r="U1382" i="16"/>
  <c r="U1383" i="16"/>
  <c r="V1382" i="16"/>
  <c r="U1384" i="16"/>
  <c r="V1383" i="16"/>
  <c r="U1385" i="16"/>
  <c r="V1384" i="16"/>
  <c r="V1385" i="16"/>
  <c r="U1386" i="16"/>
  <c r="V1386" i="16"/>
  <c r="U1387" i="16"/>
  <c r="V1387" i="16"/>
  <c r="U1388" i="16"/>
  <c r="U1389" i="16"/>
  <c r="V1388" i="16"/>
  <c r="U1390" i="16"/>
  <c r="V1389" i="16"/>
  <c r="U1391" i="16"/>
  <c r="V1390" i="16"/>
  <c r="U1392" i="16"/>
  <c r="V1391" i="16"/>
  <c r="V1392" i="16"/>
  <c r="U1393" i="16"/>
  <c r="V1393" i="16"/>
  <c r="U1394" i="16"/>
  <c r="U1395" i="16"/>
  <c r="V1394" i="16"/>
  <c r="V1395" i="16"/>
  <c r="U1396" i="16"/>
  <c r="U1397" i="16"/>
  <c r="V1396" i="16"/>
  <c r="V1397" i="16"/>
  <c r="U1398" i="16"/>
  <c r="V1398" i="16"/>
  <c r="U1399" i="16"/>
  <c r="U1400" i="16"/>
  <c r="V1399" i="16"/>
  <c r="V1400" i="16"/>
  <c r="U1401" i="16"/>
  <c r="V1401" i="16"/>
  <c r="U1402" i="16"/>
  <c r="V1402" i="16"/>
  <c r="U1403" i="16"/>
  <c r="U1404" i="16"/>
  <c r="V1403" i="16"/>
  <c r="U1405" i="16"/>
  <c r="V1404" i="16"/>
  <c r="U1406" i="16"/>
  <c r="V1405" i="16"/>
  <c r="U1407" i="16"/>
  <c r="V1406" i="16"/>
  <c r="V1407" i="16"/>
  <c r="U1408" i="16"/>
  <c r="U1409" i="16"/>
  <c r="V1408" i="16"/>
  <c r="V1409" i="16"/>
  <c r="U1410" i="16"/>
  <c r="V1410" i="16"/>
  <c r="U1411" i="16"/>
  <c r="U1412" i="16"/>
  <c r="V1411" i="16"/>
  <c r="V1412" i="16"/>
  <c r="U1413" i="16"/>
  <c r="V1413" i="16"/>
  <c r="U1414" i="16"/>
  <c r="V1414" i="16"/>
  <c r="U1415" i="16"/>
  <c r="U1416" i="16"/>
  <c r="V1415" i="16"/>
  <c r="V1416" i="16"/>
  <c r="U1417" i="16"/>
  <c r="V1417" i="16"/>
  <c r="U1418" i="16"/>
  <c r="V1418" i="16"/>
  <c r="U1419" i="16"/>
  <c r="V1419" i="16"/>
  <c r="U1420" i="16"/>
  <c r="V1420" i="16"/>
  <c r="U1421" i="16"/>
  <c r="V1421" i="16"/>
  <c r="U1422" i="16"/>
  <c r="V1422" i="16"/>
  <c r="U1423" i="16"/>
  <c r="V1423" i="16"/>
  <c r="U1424" i="16"/>
  <c r="U1425" i="16"/>
  <c r="V1424" i="16"/>
  <c r="V1425" i="16"/>
  <c r="U1426" i="16"/>
  <c r="U1427" i="16"/>
  <c r="V1426" i="16"/>
  <c r="V1427" i="16"/>
  <c r="U1428" i="16"/>
  <c r="V1428" i="16"/>
  <c r="U1429" i="16"/>
  <c r="V1429" i="16"/>
  <c r="U1430" i="16"/>
  <c r="V1430" i="16"/>
  <c r="U1431" i="16"/>
  <c r="U1432" i="16"/>
  <c r="V1431" i="16"/>
  <c r="U1433" i="16"/>
  <c r="V1432" i="16"/>
  <c r="V1433" i="16"/>
  <c r="U1434" i="16"/>
  <c r="U1435" i="16"/>
  <c r="V1434" i="16"/>
  <c r="V1435" i="16"/>
  <c r="U1436" i="16"/>
  <c r="U1437" i="16"/>
  <c r="V1436" i="16"/>
  <c r="V1437" i="16"/>
  <c r="U1438" i="16"/>
  <c r="U1439" i="16"/>
  <c r="V1438" i="16"/>
  <c r="U1440" i="16"/>
  <c r="V1439" i="16"/>
  <c r="V1440" i="16"/>
  <c r="U1441" i="16"/>
  <c r="U1442" i="16"/>
  <c r="V1441" i="16"/>
  <c r="V1442" i="16"/>
  <c r="U1443" i="16"/>
  <c r="U1444" i="16"/>
  <c r="V1443" i="16"/>
  <c r="V1444" i="16"/>
  <c r="U1445" i="16"/>
  <c r="V1445" i="16"/>
  <c r="U1446" i="16"/>
  <c r="U1447" i="16"/>
  <c r="V1446" i="16"/>
  <c r="U1448" i="16"/>
  <c r="V1447" i="16"/>
  <c r="V1448" i="16"/>
  <c r="U1449" i="16"/>
  <c r="V1449" i="16"/>
  <c r="U1450" i="16"/>
  <c r="V1450" i="16"/>
  <c r="U1451" i="16"/>
  <c r="V1451" i="16"/>
  <c r="U1452" i="16"/>
  <c r="V1452" i="16"/>
  <c r="U1453" i="16"/>
  <c r="V1453" i="16"/>
  <c r="U1454" i="16"/>
  <c r="V1454" i="16"/>
  <c r="U1455" i="16"/>
  <c r="V1455" i="16"/>
  <c r="U1456" i="16"/>
  <c r="V1456" i="16"/>
  <c r="U1457" i="16"/>
  <c r="V1457" i="16"/>
  <c r="U1458" i="16"/>
  <c r="V1458" i="16"/>
  <c r="U1459" i="16"/>
  <c r="V1459" i="16"/>
  <c r="U1460" i="16"/>
  <c r="V1460" i="16"/>
  <c r="U1461" i="16"/>
  <c r="U1462" i="16"/>
  <c r="V1461" i="16"/>
  <c r="V1462" i="16"/>
  <c r="U1463" i="16"/>
  <c r="U1464" i="16"/>
  <c r="V1463" i="16"/>
  <c r="V1464" i="16"/>
  <c r="U1465" i="16"/>
  <c r="V1465" i="16"/>
  <c r="U1466" i="16"/>
  <c r="U1467" i="16"/>
  <c r="V1466" i="16"/>
  <c r="V1467" i="16"/>
  <c r="U1468" i="16"/>
  <c r="V1468" i="16"/>
  <c r="U1469" i="16"/>
  <c r="U1470" i="16"/>
  <c r="V1469" i="16"/>
  <c r="V1470" i="16"/>
  <c r="U1471" i="16"/>
  <c r="V1471" i="16"/>
  <c r="U1472" i="16"/>
  <c r="U1473" i="16"/>
  <c r="V1472" i="16"/>
  <c r="V1473" i="16"/>
  <c r="U1474" i="16"/>
  <c r="V1474" i="16"/>
  <c r="U1475" i="16"/>
  <c r="V1475" i="16"/>
  <c r="U1476" i="16"/>
  <c r="U1477" i="16"/>
  <c r="V1476" i="16"/>
  <c r="V1477" i="16"/>
  <c r="U1478" i="16"/>
  <c r="V1478" i="16"/>
  <c r="U1479" i="16"/>
  <c r="U1480" i="16"/>
  <c r="V1479" i="16"/>
  <c r="V1480" i="16"/>
  <c r="U1481" i="16"/>
  <c r="V1481" i="16"/>
  <c r="U1482" i="16"/>
  <c r="U1483" i="16"/>
  <c r="V1482" i="16"/>
  <c r="V1483" i="16"/>
  <c r="U1484" i="16"/>
  <c r="V1484" i="16"/>
  <c r="U1485" i="16"/>
  <c r="U1486" i="16"/>
  <c r="V1485" i="16"/>
  <c r="V1486" i="16"/>
  <c r="U1487" i="16"/>
  <c r="U1488" i="16"/>
  <c r="V1487" i="16"/>
  <c r="U1489" i="16"/>
  <c r="V1488" i="16"/>
  <c r="V1489" i="16"/>
  <c r="U1490" i="16"/>
  <c r="V1490" i="16"/>
  <c r="U1491" i="16"/>
  <c r="U1492" i="16"/>
  <c r="V1491" i="16"/>
  <c r="V1492" i="16"/>
  <c r="U1493" i="16"/>
  <c r="V1493" i="16"/>
  <c r="U1494" i="16"/>
  <c r="V1494" i="16"/>
  <c r="U1495" i="16"/>
  <c r="U1496" i="16"/>
  <c r="V1495" i="16"/>
  <c r="U1497" i="16"/>
  <c r="V1496" i="16"/>
  <c r="V1497" i="16"/>
  <c r="U1498" i="16"/>
  <c r="U1499" i="16"/>
  <c r="V1498" i="16"/>
  <c r="U1500" i="16"/>
  <c r="V1499" i="16"/>
  <c r="V1500" i="16"/>
  <c r="U1501" i="16"/>
  <c r="V1501" i="16"/>
  <c r="U1502" i="16"/>
  <c r="U1503" i="16"/>
  <c r="V1502" i="16"/>
  <c r="V1503" i="16"/>
  <c r="U1504" i="16"/>
  <c r="U1505" i="16"/>
  <c r="V1504" i="16"/>
  <c r="V1505" i="16"/>
  <c r="U1506" i="16"/>
  <c r="V1506" i="16"/>
  <c r="U1507" i="16"/>
  <c r="V1507" i="16"/>
  <c r="U1508" i="16"/>
  <c r="V1508" i="16"/>
  <c r="U1509" i="16"/>
  <c r="U1510" i="16"/>
  <c r="V1509" i="16"/>
  <c r="V1510" i="16"/>
  <c r="U1511" i="16"/>
  <c r="U1512" i="16"/>
  <c r="V1511" i="16"/>
  <c r="U1513" i="16"/>
  <c r="V1512" i="16"/>
  <c r="U1514" i="16"/>
  <c r="V1513" i="16"/>
  <c r="V1514" i="16"/>
  <c r="U1515" i="16"/>
  <c r="U1516" i="16"/>
  <c r="V1515" i="16"/>
  <c r="U1517" i="16"/>
  <c r="V1516" i="16"/>
  <c r="U1518" i="16"/>
  <c r="V1517" i="16"/>
  <c r="V1518" i="16"/>
  <c r="U1519" i="16"/>
  <c r="U1520" i="16"/>
  <c r="V1519" i="16"/>
  <c r="U1521" i="16"/>
  <c r="V1520" i="16"/>
  <c r="V1521" i="16"/>
  <c r="U1522" i="16"/>
  <c r="V1522" i="16"/>
  <c r="U1523" i="16"/>
  <c r="U1524" i="16"/>
  <c r="V1523" i="16"/>
  <c r="V1524" i="16"/>
  <c r="U1525" i="16"/>
  <c r="V1525" i="16"/>
  <c r="U1526" i="16"/>
  <c r="V1526" i="16"/>
  <c r="U1527" i="16"/>
  <c r="V1527" i="16"/>
  <c r="U1528" i="16"/>
  <c r="U1529" i="16"/>
  <c r="V1528" i="16"/>
  <c r="U1530" i="16"/>
  <c r="V1529" i="16"/>
  <c r="U1531" i="16"/>
  <c r="V1530" i="16"/>
  <c r="V1531" i="16"/>
  <c r="U1532" i="16"/>
  <c r="U1533" i="16"/>
  <c r="V1532" i="16"/>
  <c r="U1534" i="16"/>
  <c r="V1533" i="16"/>
  <c r="V1534" i="16"/>
  <c r="U1535" i="16"/>
  <c r="V1535" i="16"/>
  <c r="U1536" i="16"/>
  <c r="U1537" i="16"/>
  <c r="V1536" i="16"/>
  <c r="V1537" i="16"/>
  <c r="U1538" i="16"/>
  <c r="U1539" i="16"/>
  <c r="V1538" i="16"/>
  <c r="V1539" i="16"/>
  <c r="U1540" i="16"/>
  <c r="U1541" i="16"/>
  <c r="V1540" i="16"/>
  <c r="U1542" i="16"/>
  <c r="V1541" i="16"/>
  <c r="U1543" i="16"/>
  <c r="V1542" i="16"/>
  <c r="U1544" i="16"/>
  <c r="V1543" i="16"/>
  <c r="V1544" i="16"/>
  <c r="U1545" i="16"/>
  <c r="U1546" i="16"/>
  <c r="V1545" i="16"/>
  <c r="V1546" i="16"/>
  <c r="U1547" i="16"/>
  <c r="V1547" i="16"/>
  <c r="U1548" i="16"/>
  <c r="V1548" i="16"/>
  <c r="U1549" i="16"/>
  <c r="V1549" i="16"/>
  <c r="U1550" i="16"/>
  <c r="U1551" i="16"/>
  <c r="V1550" i="16"/>
  <c r="V1551" i="16"/>
  <c r="U1552" i="16"/>
  <c r="V1552" i="16"/>
  <c r="U1553" i="16"/>
  <c r="V1553" i="16"/>
  <c r="U1554" i="16"/>
  <c r="V1554" i="16"/>
  <c r="U1555" i="16"/>
  <c r="U1556" i="16"/>
  <c r="V1555" i="16"/>
  <c r="V1556" i="16"/>
  <c r="U1557" i="16"/>
  <c r="U1558" i="16"/>
  <c r="V1557" i="16"/>
  <c r="V1558" i="16"/>
  <c r="U1559" i="16"/>
  <c r="V1559" i="16"/>
  <c r="U1560" i="16"/>
  <c r="U1561" i="16"/>
  <c r="V1560" i="16"/>
  <c r="U1562" i="16"/>
  <c r="V1561" i="16"/>
  <c r="V1562" i="16"/>
  <c r="U1563" i="16"/>
  <c r="V1563" i="16"/>
  <c r="U1564" i="16"/>
  <c r="U1565" i="16"/>
  <c r="V1564" i="16"/>
  <c r="U1566" i="16"/>
  <c r="V1565" i="16"/>
  <c r="U1567" i="16"/>
  <c r="V1566" i="16"/>
  <c r="U1568" i="16"/>
  <c r="V1567" i="16"/>
  <c r="V1568" i="16"/>
  <c r="U1569" i="16"/>
  <c r="V1569" i="16"/>
  <c r="U1570" i="16"/>
  <c r="V1570" i="16"/>
  <c r="U1571" i="16"/>
  <c r="U1572" i="16"/>
  <c r="V1571" i="16"/>
  <c r="V1572" i="16"/>
  <c r="U1573" i="16"/>
  <c r="U1574" i="16"/>
  <c r="V1573" i="16"/>
  <c r="U1575" i="16"/>
  <c r="V1574" i="16"/>
  <c r="V1575" i="16"/>
  <c r="U1576" i="16"/>
  <c r="V1576" i="16"/>
  <c r="U1577" i="16"/>
  <c r="V1577" i="16"/>
  <c r="U1578" i="16"/>
  <c r="V1578" i="16"/>
  <c r="U1579" i="16"/>
  <c r="V1579" i="16"/>
  <c r="U1580" i="16"/>
  <c r="U1581" i="16"/>
  <c r="V1580" i="16"/>
  <c r="U1582" i="16"/>
  <c r="V1581" i="16"/>
  <c r="V1582" i="16"/>
  <c r="U1583" i="16"/>
  <c r="U1584" i="16"/>
  <c r="V1583" i="16"/>
  <c r="V1584" i="16"/>
  <c r="U1585" i="16"/>
  <c r="V1585" i="16"/>
  <c r="U1586" i="16"/>
  <c r="V1586" i="16"/>
  <c r="U1587" i="16"/>
  <c r="V1587" i="16"/>
  <c r="U1588" i="16"/>
  <c r="U1589" i="16"/>
  <c r="V1588" i="16"/>
  <c r="U1590" i="16"/>
  <c r="V1589" i="16"/>
  <c r="U1591" i="16"/>
  <c r="V1590" i="16"/>
  <c r="U1592" i="16"/>
  <c r="V1591" i="16"/>
  <c r="U1593" i="16"/>
  <c r="V1592" i="16"/>
  <c r="U1594" i="16"/>
  <c r="V1593" i="16"/>
  <c r="U1595" i="16"/>
  <c r="V1594" i="16"/>
  <c r="U1596" i="16"/>
  <c r="V1595" i="16"/>
  <c r="V1596" i="16"/>
  <c r="U1597" i="16"/>
  <c r="U1598" i="16"/>
  <c r="V1597" i="16"/>
  <c r="V1598" i="16"/>
  <c r="U1599" i="16"/>
  <c r="V1599" i="16"/>
  <c r="U1600" i="16"/>
  <c r="U1601" i="16"/>
  <c r="V1600" i="16"/>
  <c r="V1601" i="16"/>
  <c r="U1602" i="16"/>
  <c r="U1603" i="16"/>
  <c r="V1602" i="16"/>
  <c r="V1603" i="16"/>
  <c r="U1604" i="16"/>
  <c r="V1604" i="16"/>
  <c r="U1605" i="16"/>
  <c r="U1606" i="16"/>
  <c r="V1605" i="16"/>
  <c r="V1606" i="16"/>
  <c r="U1607" i="16"/>
  <c r="V1607" i="16"/>
  <c r="U1608" i="16"/>
  <c r="V1608" i="16"/>
  <c r="U1609" i="16"/>
  <c r="U1610" i="16"/>
  <c r="V1609" i="16"/>
  <c r="V1610" i="16"/>
  <c r="U1611" i="16"/>
  <c r="U1612" i="16"/>
  <c r="V1611" i="16"/>
  <c r="U1613" i="16"/>
  <c r="V1612" i="16"/>
  <c r="U1614" i="16"/>
  <c r="V1613" i="16"/>
  <c r="V1614" i="16"/>
  <c r="U1615" i="16"/>
  <c r="V1615" i="16"/>
  <c r="U1616" i="16"/>
  <c r="V1616" i="16"/>
  <c r="U1617" i="16"/>
  <c r="V1617" i="16"/>
  <c r="U1618" i="16"/>
  <c r="V1618" i="16"/>
  <c r="U1619" i="16"/>
  <c r="U1620" i="16"/>
  <c r="V1619" i="16"/>
  <c r="U1621" i="16"/>
  <c r="V1620" i="16"/>
  <c r="V1621" i="16"/>
  <c r="U1622" i="16"/>
  <c r="V1622" i="16"/>
  <c r="U1623" i="16"/>
  <c r="U1624" i="16"/>
  <c r="V1623" i="16"/>
  <c r="V1624" i="16"/>
  <c r="U1625" i="16"/>
  <c r="V1625" i="16"/>
  <c r="U1626" i="16"/>
  <c r="U1627" i="16"/>
  <c r="V1626" i="16"/>
  <c r="V1627" i="16"/>
  <c r="U1628" i="16"/>
  <c r="U1629" i="16"/>
  <c r="V1628" i="16"/>
  <c r="U1630" i="16"/>
  <c r="V1629" i="16"/>
  <c r="U1631" i="16"/>
  <c r="V1630" i="16"/>
  <c r="U1632" i="16"/>
  <c r="V1631" i="16"/>
  <c r="V1632" i="16"/>
  <c r="U1633" i="16"/>
  <c r="U1634" i="16"/>
  <c r="V1633" i="16"/>
  <c r="V1634" i="16"/>
  <c r="U1635" i="16"/>
  <c r="U1636" i="16"/>
  <c r="V1635" i="16"/>
  <c r="V1636" i="16"/>
  <c r="U1637" i="16"/>
  <c r="V1637" i="16"/>
  <c r="U1638" i="16"/>
  <c r="U1639" i="16"/>
  <c r="V1638" i="16"/>
  <c r="V1639" i="16"/>
  <c r="U1640" i="16"/>
  <c r="U1641" i="16"/>
  <c r="V1640" i="16"/>
  <c r="V1641" i="16"/>
  <c r="U1642" i="16"/>
  <c r="U1643" i="16"/>
  <c r="V1642" i="16"/>
  <c r="V1643" i="16"/>
  <c r="U1644" i="16"/>
  <c r="V1644" i="16"/>
  <c r="U1645" i="16"/>
  <c r="V1645" i="16"/>
  <c r="U1646" i="16"/>
  <c r="U1647" i="16"/>
  <c r="V1646" i="16"/>
  <c r="U1648" i="16"/>
  <c r="V1647" i="16"/>
  <c r="V1648" i="16"/>
  <c r="U1649" i="16"/>
  <c r="U1650" i="16"/>
  <c r="V1649" i="16"/>
  <c r="V1650" i="16"/>
  <c r="U1651" i="16"/>
  <c r="V1651" i="16"/>
  <c r="U1652" i="16"/>
  <c r="U1653" i="16"/>
  <c r="V1652" i="16"/>
  <c r="U1654" i="16"/>
  <c r="V1653" i="16"/>
  <c r="V1654" i="16"/>
  <c r="U1655" i="16"/>
  <c r="U1656" i="16"/>
  <c r="V1655" i="16"/>
  <c r="U1657" i="16"/>
  <c r="V1656" i="16"/>
  <c r="U1658" i="16"/>
  <c r="V1657" i="16"/>
  <c r="U1659" i="16"/>
  <c r="V1658" i="16"/>
  <c r="V1659" i="16"/>
  <c r="U1660" i="16"/>
  <c r="V1660" i="16"/>
  <c r="U1661" i="16"/>
  <c r="V1661" i="16"/>
  <c r="U1662" i="16"/>
  <c r="U1663" i="16"/>
  <c r="V1662" i="16"/>
  <c r="U1664" i="16"/>
  <c r="V1663" i="16"/>
  <c r="U1665" i="16"/>
  <c r="V1664" i="16"/>
  <c r="V1665" i="16"/>
  <c r="U1666" i="16"/>
  <c r="U1667" i="16"/>
  <c r="V1666" i="16"/>
  <c r="V1667" i="16"/>
  <c r="U1668" i="16"/>
  <c r="U1669" i="16"/>
  <c r="V1668" i="16"/>
  <c r="U1670" i="16"/>
  <c r="V1669" i="16"/>
  <c r="V1670" i="16"/>
  <c r="U1671" i="16"/>
  <c r="V1671" i="16"/>
  <c r="U1672" i="16"/>
  <c r="U1673" i="16"/>
  <c r="V1672" i="16"/>
  <c r="V1673" i="16"/>
  <c r="U1674" i="16"/>
  <c r="U1675" i="16"/>
  <c r="V1674" i="16"/>
  <c r="U1676" i="16"/>
  <c r="V1675" i="16"/>
  <c r="U1677" i="16"/>
  <c r="V1676" i="16"/>
  <c r="V1677" i="16"/>
  <c r="U1678" i="16"/>
  <c r="U1679" i="16"/>
  <c r="V1678" i="16"/>
  <c r="V1679" i="16"/>
  <c r="U1680" i="16"/>
  <c r="V1680" i="16"/>
  <c r="U1681" i="16"/>
  <c r="V1681" i="16"/>
  <c r="U1682" i="16"/>
  <c r="V1682" i="16"/>
  <c r="U1683" i="16"/>
  <c r="U1684" i="16"/>
  <c r="V1683" i="16"/>
  <c r="V1684" i="16"/>
  <c r="U1685" i="16"/>
  <c r="V1685" i="16"/>
  <c r="U1686" i="16"/>
  <c r="V1686" i="16"/>
  <c r="U1687" i="16"/>
  <c r="V1687" i="16"/>
  <c r="U1688" i="16"/>
  <c r="V1688" i="16"/>
  <c r="U1689" i="16"/>
  <c r="U1690" i="16"/>
  <c r="V1689" i="16"/>
  <c r="V1690" i="16"/>
  <c r="U1691" i="16"/>
  <c r="U1692" i="16"/>
  <c r="V1691" i="16"/>
  <c r="V1692" i="16"/>
  <c r="U1693" i="16"/>
  <c r="V1693" i="16"/>
  <c r="U1694" i="16"/>
  <c r="V1694" i="16"/>
  <c r="U1695" i="16"/>
  <c r="V1695" i="16"/>
  <c r="U1696" i="16"/>
  <c r="V1696" i="16"/>
  <c r="U1697" i="16"/>
  <c r="V1697" i="16"/>
  <c r="U1698" i="16"/>
  <c r="V1698" i="16"/>
  <c r="U1699" i="16"/>
  <c r="U1700" i="16"/>
  <c r="V1699" i="16"/>
  <c r="U1701" i="16"/>
  <c r="V1700" i="16"/>
  <c r="U1702" i="16"/>
  <c r="V1701" i="16"/>
  <c r="V1702" i="16"/>
  <c r="U1703" i="16"/>
  <c r="V1703" i="16"/>
  <c r="U1704" i="16"/>
  <c r="U1705" i="16"/>
  <c r="V1704" i="16"/>
  <c r="V1705" i="16"/>
  <c r="U1706" i="16"/>
  <c r="V1706" i="16"/>
  <c r="U1707" i="16"/>
  <c r="V1707" i="16"/>
  <c r="U1708" i="16"/>
  <c r="U1709" i="16"/>
  <c r="V1708" i="16"/>
  <c r="U1710" i="16"/>
  <c r="V1709" i="16"/>
  <c r="V1710" i="16"/>
  <c r="U1711" i="16"/>
  <c r="V1711" i="16"/>
  <c r="U1712" i="16"/>
  <c r="V1712" i="16"/>
  <c r="U1713" i="16"/>
  <c r="U1714" i="16"/>
  <c r="V1713" i="16"/>
  <c r="V1714" i="16"/>
  <c r="U1715" i="16"/>
  <c r="V1715" i="16"/>
  <c r="U1716" i="16"/>
  <c r="U1717" i="16"/>
  <c r="V1716" i="16"/>
  <c r="V1717" i="16"/>
  <c r="U1718" i="16"/>
  <c r="U1719" i="16"/>
  <c r="V1718" i="16"/>
  <c r="V1719" i="16"/>
  <c r="U1720" i="16"/>
  <c r="V1720" i="16"/>
  <c r="U1721" i="16"/>
  <c r="V1721" i="16"/>
  <c r="U1722" i="16"/>
  <c r="U1723" i="16"/>
  <c r="V1722" i="16"/>
  <c r="U1724" i="16"/>
  <c r="V1723" i="16"/>
  <c r="V1724" i="16"/>
  <c r="U1725" i="16"/>
  <c r="U1726" i="16"/>
  <c r="V1725" i="16"/>
  <c r="V1726" i="16"/>
  <c r="U1727" i="16"/>
  <c r="U1728" i="16"/>
  <c r="V1727" i="16"/>
  <c r="V1728" i="16"/>
  <c r="U1729" i="16"/>
  <c r="U1730" i="16"/>
  <c r="V1729" i="16"/>
  <c r="U1731" i="16"/>
  <c r="V1730" i="16"/>
  <c r="U1732" i="16"/>
  <c r="V1731" i="16"/>
  <c r="V1732" i="16"/>
  <c r="U1733" i="16"/>
  <c r="U1734" i="16"/>
  <c r="V1733" i="16"/>
  <c r="U1735" i="16"/>
  <c r="V1734" i="16"/>
  <c r="V1735" i="16"/>
  <c r="U1736" i="16"/>
  <c r="U1737" i="16"/>
  <c r="V1736" i="16"/>
  <c r="V1737" i="16"/>
  <c r="U1738" i="16"/>
  <c r="U1739" i="16"/>
  <c r="V1738" i="16"/>
  <c r="U1740" i="16"/>
  <c r="V1739" i="16"/>
  <c r="U1741" i="16"/>
  <c r="V1740" i="16"/>
  <c r="U1742" i="16"/>
  <c r="V1741" i="16"/>
  <c r="V1742" i="16"/>
  <c r="U1743" i="16"/>
  <c r="U1744" i="16"/>
  <c r="V1743" i="16"/>
  <c r="V1744" i="16"/>
  <c r="U1745" i="16"/>
  <c r="U1746" i="16"/>
  <c r="V1745" i="16"/>
  <c r="U1747" i="16"/>
  <c r="V1746" i="16"/>
  <c r="V1747" i="16"/>
  <c r="U1748" i="16"/>
  <c r="U1749" i="16"/>
  <c r="V1748" i="16"/>
  <c r="V1749" i="16"/>
  <c r="U1750" i="16"/>
  <c r="V1750" i="16"/>
  <c r="U1751" i="16"/>
  <c r="V1751" i="16"/>
  <c r="U1752" i="16"/>
  <c r="V1752" i="16"/>
  <c r="U1753" i="16"/>
  <c r="U1754" i="16"/>
  <c r="V1753" i="16"/>
  <c r="U1755" i="16"/>
  <c r="V1754" i="16"/>
  <c r="V1755" i="16"/>
  <c r="U1756" i="16"/>
  <c r="V1756" i="16"/>
  <c r="U1757" i="16"/>
  <c r="U1758" i="16"/>
  <c r="V1757" i="16"/>
  <c r="U1759" i="16"/>
  <c r="V1758" i="16"/>
  <c r="U1760" i="16"/>
  <c r="V1759" i="16"/>
  <c r="U1761" i="16"/>
  <c r="V1760" i="16"/>
  <c r="V1761" i="16"/>
  <c r="U1762" i="16"/>
  <c r="U1763" i="16"/>
  <c r="V1762" i="16"/>
  <c r="V1763" i="16"/>
  <c r="U1764" i="16"/>
  <c r="V1764" i="16"/>
  <c r="U1765" i="16"/>
  <c r="V1765" i="16"/>
  <c r="U1766" i="16"/>
  <c r="U1767" i="16"/>
  <c r="V1766" i="16"/>
  <c r="U1768" i="16"/>
  <c r="V1767" i="16"/>
  <c r="V1768" i="16"/>
  <c r="U1769" i="16"/>
  <c r="V1769" i="16"/>
  <c r="U1770" i="16"/>
  <c r="U1771" i="16"/>
  <c r="V1770" i="16"/>
  <c r="U1772" i="16"/>
  <c r="V1771" i="16"/>
  <c r="V1772" i="16"/>
  <c r="U1773" i="16"/>
  <c r="V1773" i="16"/>
  <c r="U1774" i="16"/>
  <c r="U1775" i="16"/>
  <c r="V1774" i="16"/>
  <c r="U1776" i="16"/>
  <c r="V1775" i="16"/>
  <c r="V1776" i="16"/>
  <c r="U1777" i="16"/>
  <c r="U1778" i="16"/>
  <c r="V1777" i="16"/>
  <c r="V1778" i="16"/>
  <c r="U1779" i="16"/>
  <c r="U1780" i="16"/>
  <c r="V1779" i="16"/>
  <c r="U1781" i="16"/>
  <c r="V1780" i="16"/>
  <c r="V1781" i="16"/>
  <c r="U1782" i="16"/>
  <c r="U1783" i="16"/>
  <c r="V1782" i="16"/>
  <c r="U1784" i="16"/>
  <c r="V1783" i="16"/>
  <c r="V1784" i="16"/>
  <c r="U1785" i="16"/>
  <c r="U1786" i="16"/>
  <c r="V1785" i="16"/>
  <c r="U1787" i="16"/>
  <c r="V1786" i="16"/>
  <c r="V1787" i="16"/>
  <c r="U1788" i="16"/>
  <c r="V1788" i="16"/>
  <c r="U1789" i="16"/>
  <c r="V1789" i="16"/>
  <c r="U1790" i="16"/>
  <c r="V1790" i="16"/>
  <c r="U1791" i="16"/>
  <c r="V1791" i="16"/>
  <c r="U1792" i="16"/>
  <c r="U1793" i="16"/>
  <c r="V1792" i="16"/>
  <c r="V1793" i="16"/>
  <c r="U1794" i="16"/>
  <c r="V1794" i="16"/>
  <c r="U1795" i="16"/>
  <c r="V1795" i="16"/>
  <c r="U1796" i="16"/>
  <c r="U1797" i="16"/>
  <c r="V1796" i="16"/>
  <c r="U1798" i="16"/>
  <c r="V1797" i="16"/>
  <c r="V1798" i="16"/>
  <c r="U1799" i="16"/>
  <c r="U1800" i="16"/>
  <c r="V1799" i="16"/>
  <c r="V1800" i="16"/>
  <c r="U1801" i="16"/>
  <c r="V1801" i="16"/>
  <c r="U1802" i="16"/>
  <c r="V1802" i="16"/>
  <c r="U1803" i="16"/>
  <c r="U1804" i="16"/>
  <c r="V1803" i="16"/>
  <c r="V1804" i="16"/>
  <c r="U1805" i="16"/>
  <c r="V1805" i="16"/>
  <c r="U1806" i="16"/>
  <c r="V1806" i="16"/>
  <c r="U1807" i="16"/>
  <c r="U1808" i="16"/>
  <c r="V1807" i="16"/>
  <c r="V1808" i="16"/>
  <c r="U1809" i="16"/>
  <c r="U1810" i="16"/>
  <c r="V1809" i="16"/>
  <c r="U1811" i="16"/>
  <c r="V1810" i="16"/>
  <c r="U1812" i="16"/>
  <c r="V1811" i="16"/>
  <c r="U1813" i="16"/>
  <c r="V1812" i="16"/>
  <c r="V1813" i="16"/>
  <c r="U1814" i="16"/>
  <c r="U1815" i="16"/>
  <c r="V1814" i="16"/>
  <c r="V1815" i="16"/>
  <c r="U1816" i="16"/>
  <c r="U1817" i="16"/>
  <c r="V1816" i="16"/>
  <c r="U1818" i="16"/>
  <c r="V1817" i="16"/>
  <c r="V1818" i="16"/>
  <c r="U1819" i="16"/>
  <c r="U1820" i="16"/>
  <c r="V1819" i="16"/>
  <c r="V1820" i="16"/>
  <c r="U1821" i="16"/>
  <c r="V1821" i="16"/>
  <c r="U1822" i="16"/>
  <c r="U1823" i="16"/>
  <c r="V1822" i="16"/>
  <c r="U1824" i="16"/>
  <c r="V1823" i="16"/>
  <c r="U1825" i="16"/>
  <c r="V1824" i="16"/>
  <c r="V1825" i="16"/>
  <c r="U1826" i="16"/>
  <c r="V1826" i="16"/>
  <c r="U1827" i="16"/>
  <c r="V1827" i="16"/>
  <c r="U1828" i="16"/>
  <c r="V1828" i="16"/>
  <c r="U1829" i="16"/>
  <c r="V1829" i="16"/>
  <c r="U1830" i="16"/>
  <c r="V1830" i="16"/>
  <c r="U1831" i="16"/>
  <c r="U1832" i="16"/>
  <c r="V1831" i="16"/>
  <c r="U1833" i="16"/>
  <c r="V1832" i="16"/>
  <c r="V1833" i="16"/>
  <c r="U1834" i="16"/>
  <c r="U1835" i="16"/>
  <c r="V1834" i="16"/>
  <c r="U1836" i="16"/>
  <c r="V1835" i="16"/>
  <c r="U1837" i="16"/>
  <c r="V1836" i="16"/>
  <c r="U1838" i="16"/>
  <c r="V1837" i="16"/>
  <c r="U1839" i="16"/>
  <c r="V1838" i="16"/>
  <c r="U1840" i="16"/>
  <c r="V1839" i="16"/>
  <c r="V1840" i="16"/>
  <c r="U1841" i="16"/>
  <c r="V1841" i="16"/>
  <c r="U1842" i="16"/>
  <c r="U1843" i="16"/>
  <c r="V1842" i="16"/>
  <c r="U1844" i="16"/>
  <c r="V1843" i="16"/>
  <c r="U1845" i="16"/>
  <c r="V1844" i="16"/>
  <c r="V1845" i="16"/>
  <c r="U1846" i="16"/>
  <c r="V1846" i="16"/>
  <c r="U1847" i="16"/>
  <c r="V1847" i="16"/>
  <c r="U1848" i="16"/>
  <c r="V1848" i="16"/>
  <c r="U1849" i="16"/>
  <c r="U1850" i="16"/>
  <c r="V1849" i="16"/>
  <c r="V1850" i="16"/>
  <c r="U1851" i="16"/>
  <c r="V1851" i="16"/>
  <c r="U1852" i="16"/>
  <c r="U1853" i="16"/>
  <c r="V1852" i="16"/>
  <c r="V1853" i="16"/>
  <c r="U1854" i="16"/>
  <c r="U1855" i="16"/>
  <c r="V1854" i="16"/>
  <c r="V1855" i="16"/>
  <c r="U1856" i="16"/>
  <c r="U1857" i="16"/>
  <c r="V1856" i="16"/>
  <c r="V1857" i="16"/>
  <c r="U1858" i="16"/>
  <c r="U1859" i="16"/>
  <c r="V1858" i="16"/>
  <c r="U1860" i="16"/>
  <c r="V1859" i="16"/>
  <c r="V1860" i="16"/>
  <c r="U1861" i="16"/>
  <c r="V1861" i="16"/>
  <c r="U1862" i="16"/>
  <c r="U1863" i="16"/>
  <c r="V1862" i="16"/>
  <c r="V1863" i="16"/>
  <c r="U1864" i="16"/>
  <c r="V1864" i="16"/>
  <c r="U1865" i="16"/>
  <c r="V1865" i="16"/>
  <c r="U1866" i="16"/>
  <c r="V1866" i="16"/>
  <c r="U1867" i="16"/>
  <c r="V1867" i="16"/>
  <c r="U1868" i="16"/>
  <c r="V1868" i="16"/>
  <c r="U1869" i="16"/>
  <c r="U1870" i="16"/>
  <c r="V1869" i="16"/>
  <c r="U1871" i="16"/>
  <c r="V1870" i="16"/>
  <c r="V1871" i="16"/>
  <c r="U1872" i="16"/>
  <c r="U1873" i="16"/>
  <c r="V1872" i="16"/>
  <c r="U1874" i="16"/>
  <c r="V1873" i="16"/>
  <c r="V1874" i="16"/>
  <c r="U1875" i="16"/>
  <c r="U1876" i="16"/>
  <c r="V1875" i="16"/>
  <c r="V1876" i="16"/>
  <c r="U1877" i="16"/>
  <c r="U1878" i="16"/>
  <c r="V1877" i="16"/>
  <c r="V1878" i="16"/>
  <c r="U1879" i="16"/>
  <c r="V1879" i="16"/>
  <c r="U1880" i="16"/>
  <c r="U1881" i="16"/>
  <c r="V1880" i="16"/>
  <c r="U1882" i="16"/>
  <c r="V1881" i="16"/>
  <c r="U1883" i="16"/>
  <c r="V1882" i="16"/>
  <c r="V1883" i="16"/>
  <c r="U1884" i="16"/>
  <c r="V1884" i="16"/>
  <c r="U1885" i="16"/>
  <c r="U1886" i="16"/>
  <c r="V1885" i="16"/>
  <c r="U1887" i="16"/>
  <c r="V1886" i="16"/>
  <c r="U1888" i="16"/>
  <c r="V1887" i="16"/>
  <c r="U1889" i="16"/>
  <c r="V1888" i="16"/>
  <c r="V1889" i="16"/>
  <c r="U1890" i="16"/>
  <c r="U1891" i="16"/>
  <c r="V1890" i="16"/>
  <c r="V1891" i="16"/>
  <c r="U1892" i="16"/>
  <c r="V1892" i="16"/>
  <c r="U1893" i="16"/>
  <c r="U1894" i="16"/>
  <c r="V1893" i="16"/>
  <c r="U1895" i="16"/>
  <c r="V1894" i="16"/>
  <c r="U1896" i="16"/>
  <c r="V1895" i="16"/>
  <c r="V1896" i="16"/>
  <c r="U1897" i="16"/>
  <c r="V1897" i="16"/>
  <c r="U1898" i="16"/>
  <c r="U1899" i="16"/>
  <c r="V1898" i="16"/>
  <c r="V1899" i="16"/>
  <c r="U1900" i="16"/>
  <c r="U1901" i="16"/>
  <c r="V1900" i="16"/>
  <c r="U1902" i="16"/>
  <c r="V1901" i="16"/>
  <c r="V1902" i="16"/>
  <c r="U1903" i="16"/>
  <c r="U1904" i="16"/>
  <c r="V1903" i="16"/>
  <c r="V1904" i="16"/>
  <c r="U1905" i="16"/>
  <c r="U1906" i="16"/>
  <c r="V1905" i="16"/>
  <c r="U1907" i="16"/>
  <c r="V1906" i="16"/>
  <c r="U1908" i="16"/>
  <c r="V1907" i="16"/>
  <c r="V1908" i="16"/>
  <c r="U1909" i="16"/>
  <c r="U1910" i="16"/>
  <c r="V1909" i="16"/>
  <c r="U1911" i="16"/>
  <c r="V1910" i="16"/>
  <c r="U1912" i="16"/>
  <c r="V1911" i="16"/>
  <c r="V1912" i="16"/>
  <c r="U1913" i="16"/>
  <c r="V1913" i="16"/>
  <c r="U1914" i="16"/>
  <c r="V1914" i="16"/>
  <c r="U1915" i="16"/>
  <c r="U1916" i="16"/>
  <c r="V1915" i="16"/>
  <c r="V1916" i="16"/>
  <c r="U1917" i="16"/>
  <c r="U1918" i="16"/>
  <c r="V1917" i="16"/>
  <c r="U1919" i="16"/>
  <c r="V1918" i="16"/>
  <c r="U1920" i="16"/>
  <c r="V1919" i="16"/>
  <c r="U1921" i="16"/>
  <c r="V1920" i="16"/>
  <c r="V1921" i="16"/>
  <c r="U1922" i="16"/>
  <c r="U1923" i="16"/>
  <c r="V1922" i="16"/>
  <c r="U1924" i="16"/>
  <c r="V1923" i="16"/>
  <c r="U1925" i="16"/>
  <c r="V1924" i="16"/>
  <c r="V1925" i="16"/>
  <c r="U1926" i="16"/>
  <c r="U1927" i="16"/>
  <c r="V1926" i="16"/>
  <c r="V1927" i="16"/>
  <c r="U1928" i="16"/>
  <c r="U1929" i="16"/>
  <c r="V1928" i="16"/>
  <c r="V1929" i="16"/>
  <c r="U1930" i="16"/>
  <c r="V1930" i="16"/>
  <c r="U1931" i="16"/>
  <c r="V1931" i="16"/>
  <c r="U1932" i="16"/>
  <c r="V1932" i="16"/>
  <c r="U1933" i="16"/>
  <c r="U1934" i="16"/>
  <c r="V1933" i="16"/>
  <c r="U1935" i="16"/>
  <c r="V1934" i="16"/>
  <c r="V1935" i="16"/>
  <c r="U1936" i="16"/>
  <c r="U1937" i="16"/>
  <c r="V1936" i="16"/>
  <c r="U1938" i="16"/>
  <c r="V1937" i="16"/>
  <c r="V1938" i="16"/>
  <c r="U1939" i="16"/>
  <c r="U1940" i="16"/>
  <c r="V1939" i="16"/>
  <c r="U1941" i="16"/>
  <c r="V1940" i="16"/>
  <c r="U1942" i="16"/>
  <c r="V1941" i="16"/>
  <c r="V1942" i="16"/>
  <c r="U1943" i="16"/>
  <c r="U1944" i="16"/>
  <c r="V1943" i="16"/>
  <c r="V1944" i="16"/>
  <c r="U1945" i="16"/>
  <c r="U1946" i="16"/>
  <c r="V1945" i="16"/>
  <c r="U1947" i="16"/>
  <c r="V1946" i="16"/>
  <c r="V1947" i="16"/>
  <c r="U1948" i="16"/>
  <c r="V1948" i="16"/>
  <c r="U1949" i="16"/>
  <c r="V1949" i="16"/>
  <c r="U1950" i="16"/>
  <c r="U1951" i="16"/>
  <c r="V1950" i="16"/>
  <c r="V1951" i="16"/>
  <c r="U1952" i="16"/>
  <c r="V1952" i="16"/>
  <c r="U1953" i="16"/>
  <c r="U1954" i="16"/>
  <c r="V1953" i="16"/>
  <c r="U1955" i="16"/>
  <c r="V1954" i="16"/>
  <c r="V1955" i="16"/>
  <c r="U1956" i="16"/>
  <c r="U1957" i="16"/>
  <c r="V1956" i="16"/>
  <c r="V1957" i="16"/>
  <c r="U1958" i="16"/>
  <c r="U1959" i="16"/>
  <c r="V1958" i="16"/>
  <c r="U1960" i="16"/>
  <c r="V1959" i="16"/>
  <c r="V1960" i="16"/>
  <c r="U1961" i="16"/>
  <c r="U1962" i="16"/>
  <c r="V1961" i="16"/>
  <c r="U1963" i="16"/>
  <c r="V1962" i="16"/>
  <c r="V1963" i="16"/>
  <c r="U1964" i="16"/>
  <c r="V1964" i="16"/>
  <c r="U1965" i="16"/>
  <c r="U1966" i="16"/>
  <c r="V1965" i="16"/>
  <c r="U1967" i="16"/>
  <c r="V1966" i="16"/>
  <c r="U1968" i="16"/>
  <c r="V1967" i="16"/>
  <c r="V1968" i="16"/>
  <c r="U1969" i="16"/>
  <c r="V1969" i="16"/>
  <c r="U1970" i="16"/>
  <c r="U1971" i="16"/>
  <c r="V1970" i="16"/>
  <c r="U1972" i="16"/>
  <c r="V1971" i="16"/>
  <c r="U1973" i="16"/>
  <c r="V1972" i="16"/>
  <c r="V1973" i="16"/>
  <c r="U1974" i="16"/>
  <c r="U1975" i="16"/>
  <c r="V1974" i="16"/>
  <c r="U1976" i="16"/>
  <c r="V1975" i="16"/>
  <c r="U1977" i="16"/>
  <c r="V1976" i="16"/>
  <c r="V1977" i="16"/>
  <c r="U1978" i="16"/>
  <c r="V1978" i="16"/>
  <c r="U1979" i="16"/>
  <c r="U1980" i="16"/>
  <c r="V1979" i="16"/>
  <c r="U1981" i="16"/>
  <c r="V1980" i="16"/>
  <c r="V1981" i="16"/>
  <c r="U1982" i="16"/>
  <c r="U1983" i="16"/>
  <c r="V1982" i="16"/>
  <c r="U1984" i="16"/>
  <c r="V1983" i="16"/>
  <c r="V1984" i="16"/>
  <c r="U1985" i="16"/>
  <c r="V1985" i="16"/>
  <c r="U1986" i="16"/>
  <c r="V1986" i="16"/>
  <c r="U1987" i="16"/>
  <c r="U1988" i="16"/>
  <c r="V1987" i="16"/>
  <c r="U1989" i="16"/>
  <c r="V1988" i="16"/>
  <c r="V1989" i="16"/>
  <c r="U1990" i="16"/>
  <c r="U1991" i="16"/>
  <c r="V1990" i="16"/>
  <c r="U1992" i="16"/>
  <c r="V1991" i="16"/>
  <c r="V1992" i="16"/>
  <c r="U1993" i="16"/>
  <c r="V1993" i="16"/>
  <c r="U1994" i="16"/>
  <c r="U1995" i="16"/>
  <c r="V1994" i="16"/>
  <c r="U1996" i="16"/>
  <c r="V1995" i="16"/>
  <c r="U1997" i="16"/>
  <c r="V1996" i="16"/>
  <c r="V1997" i="16"/>
  <c r="U1998" i="16"/>
  <c r="V1998" i="16"/>
  <c r="U1999" i="16"/>
  <c r="V1999" i="16"/>
  <c r="U2000" i="16"/>
  <c r="V2000" i="16"/>
  <c r="U2001" i="16"/>
  <c r="V2001" i="16"/>
  <c r="U2002" i="16"/>
  <c r="U2003" i="16"/>
  <c r="V2002" i="16"/>
  <c r="U2004" i="16"/>
  <c r="V2003" i="16"/>
  <c r="V2004" i="16"/>
  <c r="U2005" i="16"/>
  <c r="V2005" i="16"/>
  <c r="U2006" i="16"/>
  <c r="V2006" i="16"/>
  <c r="U2007" i="16"/>
  <c r="U2008" i="16"/>
  <c r="V2007" i="16"/>
  <c r="V2008" i="16"/>
  <c r="U2009" i="16"/>
  <c r="U2010" i="16"/>
  <c r="V2009" i="16"/>
  <c r="U2011" i="16"/>
  <c r="V2010" i="16"/>
  <c r="V2011" i="16"/>
  <c r="U2012" i="16"/>
  <c r="U2013" i="16"/>
  <c r="V2012" i="16"/>
  <c r="V2013" i="16"/>
  <c r="U2014" i="16"/>
  <c r="V2014" i="16"/>
  <c r="U2015" i="16"/>
  <c r="U2016" i="16"/>
  <c r="V2015" i="16"/>
  <c r="U2017" i="16"/>
  <c r="V2016" i="16"/>
  <c r="V2017" i="16"/>
  <c r="U2018" i="16"/>
  <c r="V2018" i="16"/>
  <c r="U2019" i="16"/>
  <c r="V2019" i="16"/>
  <c r="U2020" i="16"/>
  <c r="U2021" i="16"/>
  <c r="V2020" i="16"/>
  <c r="V2021" i="16"/>
  <c r="U2022" i="16"/>
  <c r="V2022" i="16"/>
  <c r="U2023" i="16"/>
  <c r="V2023" i="16"/>
  <c r="U2024" i="16"/>
  <c r="U2025" i="16"/>
  <c r="V2024" i="16"/>
  <c r="U2026" i="16"/>
  <c r="V2025" i="16"/>
  <c r="U2027" i="16"/>
  <c r="V2026" i="16"/>
  <c r="V2027" i="16"/>
  <c r="U2028" i="16"/>
  <c r="V2028" i="16"/>
  <c r="U2029" i="16"/>
  <c r="V2029" i="16"/>
  <c r="U2030" i="16"/>
  <c r="V2030" i="16"/>
  <c r="U2031" i="16"/>
  <c r="U2032" i="16"/>
  <c r="V2031" i="16"/>
  <c r="U2033" i="16"/>
  <c r="V2032" i="16"/>
  <c r="V2033" i="16"/>
  <c r="U2034" i="16"/>
  <c r="U2035" i="16"/>
  <c r="V2034" i="16"/>
  <c r="U2036" i="16"/>
  <c r="V2035" i="16"/>
  <c r="V2036" i="16"/>
  <c r="U2037" i="16"/>
  <c r="U2038" i="16"/>
  <c r="V2037" i="16"/>
  <c r="V2038" i="16"/>
  <c r="U2039" i="16"/>
  <c r="V2039" i="16"/>
  <c r="U2040" i="16"/>
  <c r="V2040" i="16"/>
  <c r="U2041" i="16"/>
  <c r="U2042" i="16"/>
  <c r="V2041" i="16"/>
  <c r="U2043" i="16"/>
  <c r="V2042" i="16"/>
  <c r="U2044" i="16"/>
  <c r="V2043" i="16"/>
  <c r="V2044" i="16"/>
  <c r="U2045" i="16"/>
  <c r="V2045" i="16"/>
  <c r="U2046" i="16"/>
  <c r="U2047" i="16"/>
  <c r="V2046" i="16"/>
  <c r="V2047" i="16"/>
  <c r="U2048" i="16"/>
  <c r="U2049" i="16"/>
  <c r="V2048" i="16"/>
  <c r="V2049" i="16"/>
  <c r="U2050" i="16"/>
  <c r="V2050" i="16"/>
  <c r="U2051" i="16"/>
  <c r="V2051" i="16"/>
  <c r="U2052" i="16"/>
  <c r="V2052" i="16"/>
  <c r="U2053" i="16"/>
  <c r="U2054" i="16"/>
  <c r="V2053" i="16"/>
  <c r="V2054" i="16"/>
  <c r="U2055" i="16"/>
  <c r="V2055" i="16"/>
  <c r="U2056" i="16"/>
  <c r="U2057" i="16"/>
  <c r="V2056" i="16"/>
  <c r="V2057" i="16"/>
  <c r="U2058" i="16"/>
  <c r="U2059" i="16"/>
  <c r="V2058" i="16"/>
  <c r="V2059" i="16"/>
  <c r="U2060" i="16"/>
  <c r="V2060" i="16"/>
  <c r="U2061" i="16"/>
  <c r="V2061" i="16"/>
  <c r="U2062" i="16"/>
  <c r="U2063" i="16"/>
  <c r="V2062" i="16"/>
  <c r="V2063" i="16"/>
  <c r="U2064" i="16"/>
  <c r="V2064" i="16"/>
  <c r="U2065" i="16"/>
  <c r="V2065" i="16"/>
  <c r="U2066" i="16"/>
  <c r="U2067" i="16"/>
  <c r="V2066" i="16"/>
  <c r="U2068" i="16"/>
  <c r="V2067" i="16"/>
  <c r="U2069" i="16"/>
  <c r="V2068" i="16"/>
  <c r="V2069" i="16"/>
  <c r="U2070" i="16"/>
  <c r="V2070" i="16"/>
  <c r="U2071" i="16"/>
  <c r="U2072" i="16"/>
  <c r="V2071" i="16"/>
  <c r="V2072" i="16"/>
  <c r="U2073" i="16"/>
  <c r="V2073" i="16"/>
  <c r="U2074" i="16"/>
  <c r="V2074" i="16"/>
  <c r="U2075" i="16"/>
  <c r="V2075" i="16"/>
  <c r="U2076" i="16"/>
  <c r="V2076" i="16"/>
  <c r="U2077" i="16"/>
  <c r="V2077" i="16"/>
  <c r="U2078" i="16"/>
  <c r="V2078" i="16"/>
  <c r="U2079" i="16"/>
  <c r="U2080" i="16"/>
  <c r="V2079" i="16"/>
  <c r="V2080" i="16"/>
  <c r="U2081" i="16"/>
  <c r="U2082" i="16"/>
  <c r="V2081" i="16"/>
  <c r="V2082" i="16"/>
  <c r="U2083" i="16"/>
  <c r="U2084" i="16"/>
  <c r="V2083" i="16"/>
  <c r="U2085" i="16"/>
  <c r="V2084" i="16"/>
  <c r="U2086" i="16"/>
  <c r="V2085" i="16"/>
  <c r="U2087" i="16"/>
  <c r="V2086" i="16"/>
  <c r="U2088" i="16"/>
  <c r="V2087" i="16"/>
  <c r="V2088" i="16"/>
  <c r="U2089" i="16"/>
  <c r="U2090" i="16"/>
  <c r="V2089" i="16"/>
  <c r="V2090" i="16"/>
  <c r="U2091" i="16"/>
  <c r="V2091" i="16"/>
  <c r="U2092" i="16"/>
  <c r="V2092" i="16"/>
  <c r="U2093" i="16"/>
  <c r="V2093" i="16"/>
  <c r="U2094" i="16"/>
  <c r="U2095" i="16"/>
  <c r="V2094" i="16"/>
  <c r="U2096" i="16"/>
  <c r="V2095" i="16"/>
  <c r="U2097" i="16"/>
  <c r="V2096" i="16"/>
  <c r="U2098" i="16"/>
  <c r="V2097" i="16"/>
  <c r="U2099" i="16"/>
  <c r="V2098" i="16"/>
  <c r="U2100" i="16"/>
  <c r="V2099" i="16"/>
  <c r="V2100" i="16"/>
  <c r="U2101" i="16"/>
  <c r="U2102" i="16"/>
  <c r="V2101" i="16"/>
  <c r="V2102" i="16"/>
  <c r="U2103" i="16"/>
  <c r="V2103" i="16"/>
  <c r="U2104" i="16"/>
  <c r="U2105" i="16"/>
  <c r="V2104" i="16"/>
  <c r="U2106" i="16"/>
  <c r="V2105" i="16"/>
  <c r="V2106" i="16"/>
  <c r="U2107" i="16"/>
  <c r="U2108" i="16"/>
  <c r="V2107" i="16"/>
  <c r="V2108" i="16"/>
  <c r="U2109" i="16"/>
  <c r="V2109" i="16"/>
  <c r="U2110" i="16"/>
  <c r="U2111" i="16"/>
  <c r="V2110" i="16"/>
  <c r="V2111" i="16"/>
  <c r="U2112" i="16"/>
  <c r="V2112" i="16"/>
  <c r="U2113" i="16"/>
  <c r="U2114" i="16"/>
  <c r="V2113" i="16"/>
  <c r="V2114" i="16"/>
  <c r="U2115" i="16"/>
  <c r="V2115" i="16"/>
  <c r="U2116" i="16"/>
  <c r="U2117" i="16"/>
  <c r="V2116" i="16"/>
  <c r="V2117" i="16"/>
  <c r="U2118" i="16"/>
  <c r="V2118" i="16"/>
  <c r="U2119" i="16"/>
  <c r="V2119" i="16"/>
  <c r="U2120" i="16"/>
  <c r="U2121" i="16"/>
  <c r="V2120" i="16"/>
  <c r="U2122" i="16"/>
  <c r="V2121" i="16"/>
  <c r="V2122" i="16"/>
  <c r="U2123" i="16"/>
  <c r="V2123" i="16"/>
  <c r="U2124" i="16"/>
  <c r="U2125" i="16"/>
  <c r="V2124" i="16"/>
  <c r="U2126" i="16"/>
  <c r="V2125" i="16"/>
  <c r="V2126" i="16"/>
  <c r="U2127" i="16"/>
  <c r="V2127" i="16"/>
  <c r="U2128" i="16"/>
  <c r="U2129" i="16"/>
  <c r="V2128" i="16"/>
  <c r="V2129" i="16"/>
  <c r="U2130" i="16"/>
  <c r="U2131" i="16"/>
  <c r="V2130" i="16"/>
  <c r="V2131" i="16"/>
  <c r="U2132" i="16"/>
  <c r="U2133" i="16"/>
  <c r="V2132" i="16"/>
  <c r="V2133" i="16"/>
  <c r="U2134" i="16"/>
  <c r="V2134" i="16"/>
  <c r="U2135" i="16"/>
  <c r="U2136" i="16"/>
  <c r="V2135" i="16"/>
  <c r="U2137" i="16"/>
  <c r="V2136" i="16"/>
  <c r="U2138" i="16"/>
  <c r="V2137" i="16"/>
  <c r="U2139" i="16"/>
  <c r="V2138" i="16"/>
  <c r="V2139" i="16"/>
  <c r="U2140" i="16"/>
  <c r="U2141" i="16"/>
  <c r="V2140" i="16"/>
  <c r="U2142" i="16"/>
  <c r="V2141" i="16"/>
  <c r="V2142" i="16"/>
  <c r="U2143" i="16"/>
  <c r="U2144" i="16"/>
  <c r="V2143" i="16"/>
  <c r="U2145" i="16"/>
  <c r="V2144" i="16"/>
  <c r="V2145" i="16"/>
  <c r="U2146" i="16"/>
  <c r="U2147" i="16"/>
  <c r="V2146" i="16"/>
  <c r="V2147" i="16"/>
  <c r="U2148" i="16"/>
  <c r="V2148" i="16"/>
  <c r="U2149" i="16"/>
  <c r="V2149" i="16"/>
  <c r="U2150" i="16"/>
  <c r="V2150" i="16"/>
  <c r="U2151" i="16"/>
  <c r="U2152" i="16"/>
  <c r="V2151" i="16"/>
  <c r="U2153" i="16"/>
  <c r="V2152" i="16"/>
  <c r="U2154" i="16"/>
  <c r="V2153" i="16"/>
  <c r="U2155" i="16"/>
  <c r="V2154" i="16"/>
  <c r="V2155" i="16"/>
  <c r="U2156" i="16"/>
  <c r="V2156" i="16"/>
  <c r="U2157" i="16"/>
  <c r="U2158" i="16"/>
  <c r="V2157" i="16"/>
  <c r="U2159" i="16"/>
  <c r="V2158" i="16"/>
  <c r="V2159" i="16"/>
  <c r="U2160" i="16"/>
  <c r="U2161" i="16"/>
  <c r="V2160" i="16"/>
  <c r="V2161" i="16"/>
  <c r="U2162" i="16"/>
  <c r="U2163" i="16"/>
  <c r="V2162" i="16"/>
  <c r="U2164" i="16"/>
  <c r="V2163" i="16"/>
  <c r="U2165" i="16"/>
  <c r="V2164" i="16"/>
  <c r="U2166" i="16"/>
  <c r="V2165" i="16"/>
  <c r="V2166" i="16"/>
  <c r="U2167" i="16"/>
  <c r="V2167" i="16"/>
  <c r="U2168" i="16"/>
  <c r="U2169" i="16"/>
  <c r="V2168" i="16"/>
  <c r="V2169" i="16"/>
  <c r="U2170" i="16"/>
  <c r="V2170" i="16"/>
  <c r="U2171" i="16"/>
  <c r="V2171" i="16"/>
  <c r="U2172" i="16"/>
  <c r="U2173" i="16"/>
  <c r="V2172" i="16"/>
  <c r="V2173" i="16"/>
  <c r="U2174" i="16"/>
  <c r="V2174" i="16"/>
  <c r="U2175" i="16"/>
  <c r="U2176" i="16"/>
  <c r="V2175" i="16"/>
  <c r="U2177" i="16"/>
  <c r="V2176" i="16"/>
  <c r="V2177" i="16"/>
  <c r="U2178" i="16"/>
  <c r="U2179" i="16"/>
  <c r="V2178" i="16"/>
  <c r="V2179" i="16"/>
  <c r="U2180" i="16"/>
  <c r="U2181" i="16"/>
  <c r="V2180" i="16"/>
  <c r="V2181" i="16"/>
  <c r="U2182" i="16"/>
  <c r="U2183" i="16"/>
  <c r="V2182" i="16"/>
  <c r="U2184" i="16"/>
  <c r="V2183" i="16"/>
  <c r="V2184" i="16"/>
  <c r="U2185" i="16"/>
  <c r="U2186" i="16"/>
  <c r="V2185" i="16"/>
  <c r="V2186" i="16"/>
  <c r="U2187" i="16"/>
  <c r="U2188" i="16"/>
  <c r="V2187" i="16"/>
  <c r="V2188" i="16"/>
  <c r="U2189" i="16"/>
  <c r="V2189" i="16"/>
  <c r="U2190" i="16"/>
  <c r="U2191" i="16"/>
  <c r="V2190" i="16"/>
  <c r="U2192" i="16"/>
  <c r="V2191" i="16"/>
  <c r="U2193" i="16"/>
  <c r="V2192" i="16"/>
  <c r="V2193" i="16"/>
  <c r="U2194" i="16"/>
  <c r="U2195" i="16"/>
  <c r="V2194" i="16"/>
  <c r="U2196" i="16"/>
  <c r="V2195" i="16"/>
  <c r="V2196" i="16"/>
  <c r="U2197" i="16"/>
  <c r="V2197" i="16"/>
  <c r="U2198" i="16"/>
  <c r="U2199" i="16"/>
  <c r="V2198" i="16"/>
  <c r="U2200" i="16"/>
  <c r="V2199" i="16"/>
  <c r="U2201" i="16"/>
  <c r="V2200" i="16"/>
  <c r="U2202" i="16"/>
  <c r="V2201" i="16"/>
  <c r="V2202" i="16"/>
  <c r="U2203" i="16"/>
  <c r="V2203" i="16"/>
  <c r="U2204" i="16"/>
  <c r="U2205" i="16"/>
  <c r="V2204" i="16"/>
  <c r="U2206" i="16"/>
  <c r="V2205" i="16"/>
  <c r="V2206" i="16"/>
  <c r="U2207" i="16"/>
  <c r="V2207" i="16"/>
  <c r="U2208" i="16"/>
  <c r="V2208" i="16"/>
  <c r="U2209" i="16"/>
  <c r="U2210" i="16"/>
  <c r="V2209" i="16"/>
  <c r="U2211" i="16"/>
  <c r="V2210" i="16"/>
  <c r="U2212" i="16"/>
  <c r="V2211" i="16"/>
  <c r="V2212" i="16"/>
  <c r="U2213" i="16"/>
  <c r="V2213" i="16"/>
  <c r="U2214" i="16"/>
  <c r="V2214" i="16"/>
  <c r="U2215" i="16"/>
  <c r="U2216" i="16"/>
  <c r="V2215" i="16"/>
  <c r="U2217" i="16"/>
  <c r="V2216" i="16"/>
  <c r="V2217" i="16"/>
  <c r="U2218" i="16"/>
  <c r="U2219" i="16"/>
  <c r="V2218" i="16"/>
  <c r="U2220" i="16"/>
  <c r="V2219" i="16"/>
  <c r="U2221" i="16"/>
  <c r="V2220" i="16"/>
  <c r="V2221" i="16"/>
  <c r="U2222" i="16"/>
  <c r="U2223" i="16"/>
  <c r="V2222" i="16"/>
  <c r="U2224" i="16"/>
  <c r="V2223" i="16"/>
  <c r="V2224" i="16"/>
  <c r="U2225" i="16"/>
  <c r="U2226" i="16"/>
  <c r="V2225" i="16"/>
  <c r="V2226" i="16"/>
  <c r="U2227" i="16"/>
  <c r="U2228" i="16"/>
  <c r="V2227" i="16"/>
  <c r="V2228" i="16"/>
  <c r="U2229" i="16"/>
  <c r="U2230" i="16"/>
  <c r="V2229" i="16"/>
  <c r="V2230" i="16"/>
  <c r="U2231" i="16"/>
  <c r="V2231" i="16"/>
  <c r="U2232" i="16"/>
  <c r="U2233" i="16"/>
  <c r="V2232" i="16"/>
  <c r="V2233" i="16"/>
  <c r="U2234" i="16"/>
  <c r="V2234" i="16"/>
  <c r="U2235" i="16"/>
  <c r="V2235" i="16"/>
  <c r="U2236" i="16"/>
  <c r="U2237" i="16"/>
  <c r="V2236" i="16"/>
  <c r="U2238" i="16"/>
  <c r="V2237" i="16"/>
  <c r="V2238" i="16"/>
  <c r="U2239" i="16"/>
  <c r="V2239" i="16"/>
  <c r="U2240" i="16"/>
  <c r="U2241" i="16"/>
  <c r="V2240" i="16"/>
  <c r="U2242" i="16"/>
  <c r="V2241" i="16"/>
  <c r="V2242" i="16"/>
  <c r="U2243" i="16"/>
  <c r="U2244" i="16"/>
  <c r="V2243" i="16"/>
  <c r="V2244" i="16"/>
  <c r="U2245" i="16"/>
  <c r="U2246" i="16"/>
  <c r="V2245" i="16"/>
  <c r="U2247" i="16"/>
  <c r="V2246" i="16"/>
  <c r="U2248" i="16"/>
  <c r="V2247" i="16"/>
  <c r="U2249" i="16"/>
  <c r="V2248" i="16"/>
  <c r="U2250" i="16"/>
  <c r="V2249" i="16"/>
  <c r="V2250" i="16"/>
  <c r="U2251" i="16"/>
  <c r="U2252" i="16"/>
  <c r="V2251" i="16"/>
  <c r="V2252" i="16"/>
  <c r="U2253" i="16"/>
  <c r="V2253" i="16"/>
  <c r="U2254" i="16"/>
  <c r="U2255" i="16"/>
  <c r="V2254" i="16"/>
  <c r="V2255" i="16"/>
  <c r="U2256" i="16"/>
  <c r="U2257" i="16"/>
  <c r="V2256" i="16"/>
  <c r="V2257" i="16"/>
  <c r="U2258" i="16"/>
  <c r="U2259" i="16"/>
  <c r="V2258" i="16"/>
  <c r="U2260" i="16"/>
  <c r="V2259" i="16"/>
  <c r="V2260" i="16"/>
  <c r="U2261" i="16"/>
  <c r="V2261" i="16"/>
  <c r="U2262" i="16"/>
  <c r="U2263" i="16"/>
  <c r="V2262" i="16"/>
  <c r="V2263" i="16"/>
  <c r="U2264" i="16"/>
  <c r="V2264" i="16"/>
  <c r="U2265" i="16"/>
  <c r="V2265" i="16"/>
  <c r="U2266" i="16"/>
  <c r="V2266" i="16"/>
  <c r="U2267" i="16"/>
  <c r="V2267" i="16"/>
  <c r="U2268" i="16"/>
  <c r="V2268" i="16"/>
  <c r="U2269" i="16"/>
  <c r="V2269" i="16"/>
  <c r="U2270" i="16"/>
  <c r="V2270" i="16"/>
  <c r="U2271" i="16"/>
  <c r="U2272" i="16"/>
  <c r="V2271" i="16"/>
  <c r="U2273" i="16"/>
  <c r="V2272" i="16"/>
  <c r="U2274" i="16"/>
  <c r="V2273" i="16"/>
  <c r="V2274" i="16"/>
  <c r="U2275" i="16"/>
  <c r="V2275" i="16"/>
  <c r="U2276" i="16"/>
  <c r="V2276" i="16"/>
  <c r="U2277" i="16"/>
  <c r="V2277" i="16"/>
  <c r="U2278" i="16"/>
  <c r="U2279" i="16"/>
  <c r="V2278" i="16"/>
  <c r="U2280" i="16"/>
  <c r="V2279" i="16"/>
  <c r="V2280" i="16"/>
  <c r="U2281" i="16"/>
  <c r="V2281" i="16"/>
  <c r="U2282" i="16"/>
  <c r="V2282" i="16"/>
  <c r="U2283" i="16"/>
  <c r="U2284" i="16"/>
  <c r="V2283" i="16"/>
  <c r="V2284" i="16"/>
  <c r="U2285" i="16"/>
  <c r="V2285" i="16"/>
  <c r="U2286" i="16"/>
  <c r="V2286" i="16"/>
  <c r="U2287" i="16"/>
  <c r="V2287" i="16"/>
  <c r="U2288" i="16"/>
  <c r="U2289" i="16"/>
  <c r="V2288" i="16"/>
  <c r="U2290" i="16"/>
  <c r="V2289" i="16"/>
  <c r="U2291" i="16"/>
  <c r="V2290" i="16"/>
  <c r="V2291" i="16"/>
  <c r="U2292" i="16"/>
  <c r="V2292" i="16"/>
  <c r="U2293" i="16"/>
  <c r="U2294" i="16"/>
  <c r="V2293" i="16"/>
  <c r="U2295" i="16"/>
  <c r="V2294" i="16"/>
  <c r="U2296" i="16"/>
  <c r="V2295" i="16"/>
  <c r="U2297" i="16"/>
  <c r="V2296" i="16"/>
  <c r="U2298" i="16"/>
  <c r="V2297" i="16"/>
  <c r="V2298" i="16"/>
  <c r="U2299" i="16"/>
  <c r="V2299" i="16"/>
  <c r="U2300" i="16"/>
  <c r="U2301" i="16"/>
  <c r="V2300" i="16"/>
  <c r="V2301" i="16"/>
  <c r="U2302" i="16"/>
  <c r="U2303" i="16"/>
  <c r="V2302" i="16"/>
  <c r="U2304" i="16"/>
  <c r="V2303" i="16"/>
  <c r="U2305" i="16"/>
  <c r="V2304" i="16"/>
  <c r="V2305" i="16"/>
  <c r="U2306" i="16"/>
  <c r="U2307" i="16"/>
  <c r="V2306" i="16"/>
  <c r="U2308" i="16"/>
  <c r="V2307" i="16"/>
  <c r="V2308" i="16"/>
  <c r="U2309" i="16"/>
  <c r="U2310" i="16"/>
  <c r="V2309" i="16"/>
  <c r="U2311" i="16"/>
  <c r="V2310" i="16"/>
  <c r="U2312" i="16"/>
  <c r="V2311" i="16"/>
  <c r="V2312" i="16"/>
  <c r="U2313" i="16"/>
  <c r="U2314" i="16"/>
  <c r="V2313" i="16"/>
  <c r="V2314" i="16"/>
  <c r="U2315" i="16"/>
  <c r="V2315" i="16"/>
  <c r="U2316" i="16"/>
  <c r="U2317" i="16"/>
  <c r="V2316" i="16"/>
  <c r="V2317" i="16"/>
  <c r="U2318" i="16"/>
  <c r="V2318" i="16"/>
  <c r="U2319" i="16"/>
  <c r="V2319" i="16"/>
  <c r="U2320" i="16"/>
  <c r="V2320" i="16"/>
  <c r="U2321" i="16"/>
  <c r="V2321" i="16"/>
  <c r="U2322" i="16"/>
  <c r="U2323" i="16"/>
  <c r="V2322" i="16"/>
  <c r="V2323" i="16"/>
  <c r="U2324" i="16"/>
  <c r="V2324" i="16"/>
  <c r="U2325" i="16"/>
  <c r="U2326" i="16"/>
  <c r="V2325" i="16"/>
  <c r="U2327" i="16"/>
  <c r="V2326" i="16"/>
  <c r="V2327" i="16"/>
  <c r="U2328" i="16"/>
  <c r="V2328" i="16"/>
  <c r="U2329" i="16"/>
  <c r="U2330" i="16"/>
  <c r="V2329" i="16"/>
  <c r="V2330" i="16"/>
  <c r="U2331" i="16"/>
  <c r="V2331" i="16"/>
  <c r="U2332" i="16"/>
  <c r="U2333" i="16"/>
  <c r="V2332" i="16"/>
  <c r="V2333" i="16"/>
  <c r="U2334" i="16"/>
  <c r="V2334" i="16"/>
  <c r="U2335" i="16"/>
  <c r="V2335" i="16"/>
  <c r="U2336" i="16"/>
  <c r="V2336" i="16"/>
  <c r="U2337" i="16"/>
  <c r="U2338" i="16"/>
  <c r="V2337" i="16"/>
  <c r="U2339" i="16"/>
  <c r="V2338" i="16"/>
  <c r="V2339" i="16"/>
  <c r="U2340" i="16"/>
  <c r="V2340" i="16"/>
  <c r="U2341" i="16"/>
  <c r="U2342" i="16"/>
  <c r="V2341" i="16"/>
  <c r="U2343" i="16"/>
  <c r="V2342" i="16"/>
  <c r="V2343" i="16"/>
  <c r="U2344" i="16"/>
  <c r="V2344" i="16"/>
  <c r="U2345" i="16"/>
  <c r="U2346" i="16"/>
  <c r="V2345" i="16"/>
  <c r="U2347" i="16"/>
  <c r="V2346" i="16"/>
  <c r="U2348" i="16"/>
  <c r="V2347" i="16"/>
  <c r="V2348" i="16"/>
  <c r="U2349" i="16"/>
  <c r="U2350" i="16"/>
  <c r="V2349" i="16"/>
  <c r="U2351" i="16"/>
  <c r="V2350" i="16"/>
  <c r="U2352" i="16"/>
  <c r="V2351" i="16"/>
  <c r="U2353" i="16"/>
  <c r="V2352" i="16"/>
  <c r="U2354" i="16"/>
  <c r="V2353" i="16"/>
  <c r="V2354" i="16"/>
  <c r="U2355" i="16"/>
  <c r="V2355" i="16"/>
  <c r="U2356" i="16"/>
  <c r="V2356" i="16"/>
  <c r="U2357" i="16"/>
  <c r="U2358" i="16"/>
  <c r="V2357" i="16"/>
  <c r="U2359" i="16"/>
  <c r="V2358" i="16"/>
  <c r="U2360" i="16"/>
  <c r="V2359" i="16"/>
  <c r="U2361" i="16"/>
  <c r="V2360" i="16"/>
  <c r="U2362" i="16"/>
  <c r="V2361" i="16"/>
  <c r="V2362" i="16"/>
  <c r="U2363" i="16"/>
  <c r="U2364" i="16"/>
  <c r="V2363" i="16"/>
  <c r="V2364" i="16"/>
  <c r="U2365" i="16"/>
  <c r="V2365" i="16"/>
  <c r="U2366" i="16"/>
  <c r="U2367" i="16"/>
  <c r="V2366" i="16"/>
  <c r="V2367" i="16"/>
  <c r="U2368" i="16"/>
  <c r="V2368" i="16"/>
  <c r="U2369" i="16"/>
  <c r="U2370" i="16"/>
  <c r="V2369" i="16"/>
  <c r="U2371" i="16"/>
  <c r="V2370" i="16"/>
  <c r="U2372" i="16"/>
  <c r="V2371" i="16"/>
  <c r="U2373" i="16"/>
  <c r="V2372" i="16"/>
  <c r="V2373" i="16"/>
  <c r="U2374" i="16"/>
  <c r="U2375" i="16"/>
  <c r="V2374" i="16"/>
  <c r="U2376" i="16"/>
  <c r="V2375" i="16"/>
  <c r="V2376" i="16"/>
  <c r="U2377" i="16"/>
  <c r="U2378" i="16"/>
  <c r="V2377" i="16"/>
  <c r="U2379" i="16"/>
  <c r="V2378" i="16"/>
  <c r="V2379" i="16"/>
  <c r="U2380" i="16"/>
  <c r="U2381" i="16"/>
  <c r="V2380" i="16"/>
  <c r="U2382" i="16"/>
  <c r="V2381" i="16"/>
  <c r="V2382" i="16"/>
  <c r="U2383" i="16"/>
  <c r="V2383" i="16"/>
  <c r="U2384" i="16"/>
  <c r="V2384" i="16"/>
  <c r="U2385" i="16"/>
  <c r="U2386" i="16"/>
  <c r="V2385" i="16"/>
  <c r="V2386" i="16"/>
  <c r="U2387" i="16"/>
  <c r="V2387" i="16"/>
  <c r="U2388" i="16"/>
  <c r="V2388" i="16"/>
  <c r="U2389" i="16"/>
  <c r="V2389" i="16"/>
  <c r="U2390" i="16"/>
  <c r="V2390" i="16"/>
  <c r="U2391" i="16"/>
  <c r="V2391" i="16"/>
  <c r="U2392" i="16"/>
  <c r="U2393" i="16"/>
  <c r="V2392" i="16"/>
  <c r="V2393" i="16"/>
  <c r="U2394" i="16"/>
  <c r="V2394" i="16"/>
  <c r="U2395" i="16"/>
  <c r="V2395" i="16"/>
  <c r="U2396" i="16"/>
  <c r="V2396" i="16"/>
  <c r="U2397" i="16"/>
  <c r="U2398" i="16"/>
  <c r="V2397" i="16"/>
  <c r="U2399" i="16"/>
  <c r="V2398" i="16"/>
  <c r="V2399" i="16"/>
  <c r="U2400" i="16"/>
  <c r="U2401" i="16"/>
  <c r="V2400" i="16"/>
  <c r="U2402" i="16"/>
  <c r="V2401" i="16"/>
  <c r="V2402" i="16"/>
  <c r="U2403" i="16"/>
  <c r="V2403" i="16"/>
  <c r="U2404" i="16"/>
  <c r="V2404" i="16"/>
  <c r="U2405" i="16"/>
  <c r="U2406" i="16"/>
  <c r="V2405" i="16"/>
  <c r="V2406" i="16"/>
  <c r="U2407" i="16"/>
  <c r="U2408" i="16"/>
  <c r="V2407" i="16"/>
  <c r="V2408" i="16"/>
  <c r="U2409" i="16"/>
  <c r="U2410" i="16"/>
  <c r="V2409" i="16"/>
  <c r="V2410" i="16"/>
  <c r="U2411" i="16"/>
  <c r="U2412" i="16"/>
  <c r="V2411" i="16"/>
  <c r="V2412" i="16"/>
  <c r="U2413" i="16"/>
  <c r="U2414" i="16"/>
  <c r="V2413" i="16"/>
  <c r="U2415" i="16"/>
  <c r="V2414" i="16"/>
  <c r="U2416" i="16"/>
  <c r="V2415" i="16"/>
  <c r="U2417" i="16"/>
  <c r="V2416" i="16"/>
  <c r="U2418" i="16"/>
  <c r="V2417" i="16"/>
  <c r="U2419" i="16"/>
  <c r="V2418" i="16"/>
  <c r="V2419" i="16"/>
  <c r="U2420" i="16"/>
  <c r="V2420" i="16"/>
  <c r="U2421" i="16"/>
  <c r="V2421" i="16"/>
  <c r="U2422" i="16"/>
  <c r="V2422" i="16"/>
  <c r="U2423" i="16"/>
  <c r="V2423" i="16"/>
  <c r="U2424" i="16"/>
  <c r="U2425" i="16"/>
  <c r="V2424" i="16"/>
  <c r="U2426" i="16"/>
  <c r="V2425" i="16"/>
  <c r="V2426" i="16"/>
  <c r="U2427" i="16"/>
  <c r="U2428" i="16"/>
  <c r="V2427" i="16"/>
  <c r="V2428" i="16"/>
  <c r="U2429" i="16"/>
  <c r="V2429" i="16"/>
  <c r="U2430" i="16"/>
  <c r="U2431" i="16"/>
  <c r="V2430" i="16"/>
  <c r="U2432" i="16"/>
  <c r="V2431" i="16"/>
  <c r="V2432" i="16"/>
  <c r="U2433" i="16"/>
  <c r="V2433" i="16"/>
  <c r="U2434" i="16"/>
  <c r="U2435" i="16"/>
  <c r="V2434" i="16"/>
  <c r="U2436" i="16"/>
  <c r="V2435" i="16"/>
  <c r="U2437" i="16"/>
  <c r="V2436" i="16"/>
  <c r="V2437" i="16"/>
  <c r="U2438" i="16"/>
  <c r="V2438" i="16"/>
  <c r="U2439" i="16"/>
  <c r="U2440" i="16"/>
  <c r="V2439" i="16"/>
  <c r="V2440" i="16"/>
  <c r="U2441" i="16"/>
  <c r="U2442" i="16"/>
  <c r="V2441" i="16"/>
  <c r="V2442" i="16"/>
  <c r="U2443" i="16"/>
  <c r="U2444" i="16"/>
  <c r="V2443" i="16"/>
  <c r="U2445" i="16"/>
  <c r="V2444" i="16"/>
  <c r="U2446" i="16"/>
  <c r="V2445" i="16"/>
  <c r="U2447" i="16"/>
  <c r="V2446" i="16"/>
  <c r="V2447" i="16"/>
  <c r="U2448" i="16"/>
  <c r="U2449" i="16"/>
  <c r="V2448" i="16"/>
  <c r="U2450" i="16"/>
  <c r="V2449" i="16"/>
  <c r="U2451" i="16"/>
  <c r="V2450" i="16"/>
  <c r="U2452" i="16"/>
  <c r="V2451" i="16"/>
  <c r="U2453" i="16"/>
  <c r="V2452" i="16"/>
  <c r="V2453" i="16"/>
  <c r="U2454" i="16"/>
  <c r="U2455" i="16"/>
  <c r="V2454" i="16"/>
  <c r="V2455" i="16"/>
  <c r="U2456" i="16"/>
  <c r="U2457" i="16"/>
  <c r="V2456" i="16"/>
  <c r="U2458" i="16"/>
  <c r="V2457" i="16"/>
  <c r="V2458" i="16"/>
  <c r="U2459" i="16"/>
  <c r="U2460" i="16"/>
  <c r="V2459" i="16"/>
  <c r="V2460" i="16"/>
  <c r="U2461" i="16"/>
  <c r="V2461" i="16"/>
  <c r="U2462" i="16"/>
  <c r="V2462" i="16"/>
  <c r="U2463" i="16"/>
  <c r="U2464" i="16"/>
  <c r="V2463" i="16"/>
  <c r="U2465" i="16"/>
  <c r="V2464" i="16"/>
  <c r="U2466" i="16"/>
  <c r="V2465" i="16"/>
  <c r="V2466" i="16"/>
  <c r="U2467" i="16"/>
  <c r="U2468" i="16"/>
  <c r="V2467" i="16"/>
  <c r="V2468" i="16"/>
  <c r="U2469" i="16"/>
  <c r="U2470" i="16"/>
  <c r="V2469" i="16"/>
  <c r="U2471" i="16"/>
  <c r="V2470" i="16"/>
  <c r="U2472" i="16"/>
  <c r="V2471" i="16"/>
  <c r="V2472" i="16"/>
  <c r="U2473" i="16"/>
  <c r="U2474" i="16"/>
  <c r="V2473" i="16"/>
  <c r="U2475" i="16"/>
  <c r="V2474" i="16"/>
  <c r="V2475" i="16"/>
  <c r="U2476" i="16"/>
  <c r="V2476" i="16"/>
  <c r="U2477" i="16"/>
  <c r="V2477" i="16"/>
  <c r="U2478" i="16"/>
  <c r="U2479" i="16"/>
  <c r="V2478" i="16"/>
  <c r="U2480" i="16"/>
  <c r="V2479" i="16"/>
  <c r="V2480" i="16"/>
  <c r="U2481" i="16"/>
  <c r="U2482" i="16"/>
  <c r="V2481" i="16"/>
  <c r="V2482" i="16"/>
  <c r="U2483" i="16"/>
  <c r="V2483" i="16"/>
  <c r="U2484" i="16"/>
  <c r="V2484" i="16"/>
  <c r="U2485" i="16"/>
  <c r="U2486" i="16"/>
  <c r="V2485" i="16"/>
  <c r="U2487" i="16"/>
  <c r="V2486" i="16"/>
  <c r="U2488" i="16"/>
  <c r="V2487" i="16"/>
  <c r="V2488" i="16"/>
  <c r="U2489" i="16"/>
  <c r="V2489" i="16"/>
  <c r="U2490" i="16"/>
  <c r="U2491" i="16"/>
  <c r="V2490" i="16"/>
  <c r="U2492" i="16"/>
  <c r="V2491" i="16"/>
  <c r="U2493" i="16"/>
  <c r="V2492" i="16"/>
  <c r="V2493" i="16"/>
  <c r="U2494" i="16"/>
  <c r="U2495" i="16"/>
  <c r="V2494" i="16"/>
  <c r="V2495" i="16"/>
  <c r="U2496" i="16"/>
  <c r="V2496" i="16"/>
  <c r="U2497" i="16"/>
  <c r="U2498" i="16"/>
  <c r="V2497" i="16"/>
  <c r="V2498" i="16"/>
  <c r="U2499" i="16"/>
  <c r="V2499" i="16"/>
  <c r="U2500" i="16"/>
  <c r="U2501" i="16"/>
  <c r="V2500" i="16"/>
  <c r="U2502" i="16"/>
  <c r="V2501" i="16"/>
  <c r="U2503" i="16"/>
  <c r="V2502" i="16"/>
  <c r="V2503" i="16"/>
  <c r="U2504" i="16"/>
  <c r="V2504" i="16"/>
  <c r="U2505" i="16"/>
  <c r="U2506" i="16"/>
  <c r="V2505" i="16"/>
  <c r="U2507" i="16"/>
  <c r="V2506" i="16"/>
  <c r="V2507" i="16"/>
  <c r="U2508" i="16"/>
  <c r="V2508" i="16"/>
  <c r="U2509" i="16"/>
  <c r="V2509" i="16"/>
  <c r="U2510" i="16"/>
  <c r="V2510" i="16"/>
  <c r="U2511" i="16"/>
  <c r="U2512" i="16"/>
  <c r="V2511" i="16"/>
  <c r="U2513" i="16"/>
  <c r="V2512" i="16"/>
  <c r="U2514" i="16"/>
  <c r="V2513" i="16"/>
  <c r="U2515" i="16"/>
  <c r="V2514" i="16"/>
  <c r="U2516" i="16"/>
  <c r="V2515" i="16"/>
  <c r="V2516" i="16"/>
  <c r="U2517" i="16"/>
  <c r="V2517" i="16"/>
  <c r="U2518" i="16"/>
  <c r="V2518" i="16"/>
  <c r="U2519" i="16"/>
  <c r="V2519" i="16"/>
  <c r="U2520" i="16"/>
  <c r="V2520" i="16"/>
  <c r="U2521" i="16"/>
  <c r="U2522" i="16"/>
  <c r="V2521" i="16"/>
  <c r="V2522" i="16"/>
  <c r="U2523" i="16"/>
  <c r="V2523" i="16"/>
  <c r="U2524" i="16"/>
  <c r="V2524" i="16"/>
  <c r="U2525" i="16"/>
  <c r="V2525" i="16"/>
  <c r="U2526" i="16"/>
  <c r="V2526" i="16"/>
  <c r="U2527" i="16"/>
  <c r="U2528" i="16"/>
  <c r="V2527" i="16"/>
  <c r="V2528" i="16"/>
  <c r="U2529" i="16"/>
  <c r="U2530" i="16"/>
  <c r="V2529" i="16"/>
  <c r="V2530" i="16"/>
  <c r="U2531" i="16"/>
  <c r="V2531" i="16"/>
  <c r="U2532" i="16"/>
  <c r="V2532" i="16"/>
  <c r="U2533" i="16"/>
  <c r="V2533" i="16"/>
  <c r="U2534" i="16"/>
  <c r="U2535" i="16"/>
  <c r="V2534" i="16"/>
  <c r="U2536" i="16"/>
  <c r="V2535" i="16"/>
  <c r="U2537" i="16"/>
  <c r="V2536" i="16"/>
  <c r="V2537" i="16"/>
  <c r="U2538" i="16"/>
  <c r="U2539" i="16"/>
  <c r="V2538" i="16"/>
  <c r="U2540" i="16"/>
  <c r="V2539" i="16"/>
  <c r="U2541" i="16"/>
  <c r="V2540" i="16"/>
  <c r="V2541" i="16"/>
  <c r="U2542" i="16"/>
  <c r="U2543" i="16"/>
  <c r="V2542" i="16"/>
  <c r="U2544" i="16"/>
  <c r="V2543" i="16"/>
  <c r="V2544" i="16"/>
  <c r="U2545" i="16"/>
  <c r="U2546" i="16"/>
  <c r="V2545" i="16"/>
  <c r="U2547" i="16"/>
  <c r="V2546" i="16"/>
  <c r="V2547" i="16"/>
  <c r="U2548" i="16"/>
  <c r="U2549" i="16"/>
  <c r="V2548" i="16"/>
  <c r="V2549" i="16"/>
  <c r="U2550" i="16"/>
  <c r="U2551" i="16"/>
  <c r="V2550" i="16"/>
  <c r="V2551" i="16"/>
  <c r="U2552" i="16"/>
  <c r="U2553" i="16"/>
  <c r="V2552" i="16"/>
  <c r="V2553" i="16"/>
  <c r="U2554" i="16"/>
  <c r="U2555" i="16"/>
  <c r="V2554" i="16"/>
  <c r="V2555" i="16"/>
  <c r="U2556" i="16"/>
  <c r="U2557" i="16"/>
  <c r="V2556" i="16"/>
  <c r="U2558" i="16"/>
  <c r="V2557" i="16"/>
  <c r="U2559" i="16"/>
  <c r="V2558" i="16"/>
  <c r="U2560" i="16"/>
  <c r="V2559" i="16"/>
  <c r="V2560" i="16"/>
  <c r="U2561" i="16"/>
  <c r="U2562" i="16"/>
  <c r="V2561" i="16"/>
  <c r="V2562" i="16"/>
  <c r="U2563" i="16"/>
  <c r="U2564" i="16"/>
  <c r="V2563" i="16"/>
  <c r="U2565" i="16"/>
  <c r="V2564" i="16"/>
  <c r="V2565" i="16"/>
  <c r="U2566" i="16"/>
  <c r="V2566" i="16"/>
  <c r="U2567" i="16"/>
  <c r="U2568" i="16"/>
  <c r="V2567" i="16"/>
  <c r="U2569" i="16"/>
  <c r="V2568" i="16"/>
  <c r="V2569" i="16"/>
  <c r="U2570" i="16"/>
  <c r="U2571" i="16"/>
  <c r="V2570" i="16"/>
  <c r="U2572" i="16"/>
  <c r="V2571" i="16"/>
  <c r="U2573" i="16"/>
  <c r="V2572" i="16"/>
  <c r="V2573" i="16"/>
  <c r="U2574" i="16"/>
  <c r="V2574" i="16"/>
  <c r="U2575" i="16"/>
  <c r="V2575" i="16"/>
  <c r="U2576" i="16"/>
  <c r="U2577" i="16"/>
  <c r="V2576" i="16"/>
  <c r="V2577" i="16"/>
  <c r="U2578" i="16"/>
  <c r="V2578" i="16"/>
  <c r="U2579" i="16"/>
  <c r="V2579" i="16"/>
  <c r="U2580" i="16"/>
  <c r="V2580" i="16"/>
  <c r="U2581" i="16"/>
  <c r="V2581" i="16"/>
  <c r="U2582" i="16"/>
  <c r="V2582" i="16"/>
  <c r="U2583" i="16"/>
  <c r="V2583" i="16"/>
  <c r="U2584" i="16"/>
  <c r="U2585" i="16"/>
  <c r="V2584" i="16"/>
  <c r="U2586" i="16"/>
  <c r="V2585" i="16"/>
  <c r="V2586" i="16"/>
  <c r="U2587" i="16"/>
  <c r="V2587" i="16"/>
  <c r="U2588" i="16"/>
  <c r="U2589" i="16"/>
  <c r="V2588" i="16"/>
  <c r="V2589" i="16"/>
  <c r="U2590" i="16"/>
  <c r="U2591" i="16"/>
  <c r="V2590" i="16"/>
  <c r="V2591" i="16"/>
  <c r="U2592" i="16"/>
  <c r="U2593" i="16"/>
  <c r="V2592" i="16"/>
  <c r="V2593" i="16"/>
  <c r="U2594" i="16"/>
  <c r="U2595" i="16"/>
  <c r="V2594" i="16"/>
  <c r="V2595" i="16"/>
  <c r="U2596" i="16"/>
  <c r="U2597" i="16"/>
  <c r="V2596" i="16"/>
  <c r="V2597" i="16"/>
  <c r="U2598" i="16"/>
  <c r="U2599" i="16"/>
  <c r="V2598" i="16"/>
  <c r="U2600" i="16"/>
  <c r="V2599" i="16"/>
  <c r="U2601" i="16"/>
  <c r="V2600" i="16"/>
  <c r="V2601" i="16"/>
  <c r="U2602" i="16"/>
  <c r="U2603" i="16"/>
  <c r="V2602" i="16"/>
  <c r="V2603" i="16"/>
  <c r="U2604" i="16"/>
  <c r="U2605" i="16"/>
  <c r="V2604" i="16"/>
  <c r="V2605" i="16"/>
  <c r="U2606" i="16"/>
  <c r="U2607" i="16"/>
  <c r="V2606" i="16"/>
  <c r="V2607" i="16"/>
  <c r="U2608" i="16"/>
  <c r="V2608" i="16"/>
  <c r="U2609" i="16"/>
  <c r="V2609" i="16"/>
  <c r="U2610" i="16"/>
  <c r="U2611" i="16"/>
  <c r="V2610" i="16"/>
  <c r="U2612" i="16"/>
  <c r="V2611" i="16"/>
  <c r="V2612" i="16"/>
  <c r="U2613" i="16"/>
  <c r="U2614" i="16"/>
  <c r="V2613" i="16"/>
  <c r="U2615" i="16"/>
  <c r="V2614" i="16"/>
  <c r="V2615" i="16"/>
  <c r="U2616" i="16"/>
  <c r="U2617" i="16"/>
  <c r="V2616" i="16"/>
  <c r="V2617" i="16"/>
  <c r="U2618" i="16"/>
  <c r="V2618" i="16"/>
  <c r="U2619" i="16"/>
  <c r="V2619" i="16"/>
  <c r="U2620" i="16"/>
  <c r="U2621" i="16"/>
  <c r="V2620" i="16"/>
  <c r="V2621" i="16"/>
  <c r="U2622" i="16"/>
  <c r="V2622" i="16"/>
  <c r="U2623" i="16"/>
  <c r="U2624" i="16"/>
  <c r="V2623" i="16"/>
  <c r="V2624" i="16"/>
  <c r="U2625" i="16"/>
  <c r="U2626" i="16"/>
  <c r="V2625" i="16"/>
  <c r="V2626" i="16"/>
  <c r="U2627" i="16"/>
  <c r="U2628" i="16"/>
  <c r="V2627" i="16"/>
  <c r="U2629" i="16"/>
  <c r="V2628" i="16"/>
  <c r="U2630" i="16"/>
  <c r="V2629" i="16"/>
  <c r="U2631" i="16"/>
  <c r="V2630" i="16"/>
  <c r="V2631" i="16"/>
  <c r="U2632" i="16"/>
  <c r="U2633" i="16"/>
  <c r="V2632" i="16"/>
  <c r="V2633" i="16"/>
  <c r="U2634" i="16"/>
  <c r="V2634" i="16"/>
  <c r="U2635" i="16"/>
  <c r="U2636" i="16"/>
  <c r="V2635" i="16"/>
  <c r="U2637" i="16"/>
  <c r="V2636" i="16"/>
  <c r="U2638" i="16"/>
  <c r="V2637" i="16"/>
  <c r="V2638" i="16"/>
  <c r="U2639" i="16"/>
  <c r="V2639" i="16"/>
  <c r="U2640" i="16"/>
  <c r="V2640" i="16"/>
  <c r="U2641" i="16"/>
  <c r="V2641" i="16"/>
  <c r="U2642" i="16"/>
  <c r="V2642" i="16"/>
  <c r="U2643" i="16"/>
  <c r="U2644" i="16"/>
  <c r="V2643" i="16"/>
  <c r="V2644" i="16"/>
  <c r="U2645" i="16"/>
  <c r="U2646" i="16"/>
  <c r="V2645" i="16"/>
  <c r="V2646" i="16"/>
  <c r="U2647" i="16"/>
  <c r="V2647" i="16"/>
  <c r="U2648" i="16"/>
  <c r="V2648" i="16"/>
  <c r="U2649" i="16"/>
  <c r="V2649" i="16"/>
  <c r="U2650" i="16"/>
  <c r="U2651" i="16"/>
  <c r="V2650" i="16"/>
  <c r="V2651" i="16"/>
  <c r="U2652" i="16"/>
  <c r="U2653" i="16"/>
  <c r="V2652" i="16"/>
  <c r="V2653" i="16"/>
  <c r="U2654" i="16"/>
  <c r="U2655" i="16"/>
  <c r="V2654" i="16"/>
  <c r="V2655" i="16"/>
  <c r="U2656" i="16"/>
  <c r="V2656" i="16"/>
  <c r="U2657" i="16"/>
  <c r="V2657" i="16"/>
  <c r="U2658" i="16"/>
  <c r="V2658" i="16"/>
  <c r="U2659" i="16"/>
  <c r="V2659" i="16"/>
  <c r="U2660" i="16"/>
  <c r="U2661" i="16"/>
  <c r="V2660" i="16"/>
  <c r="V2661" i="16"/>
  <c r="U2662" i="16"/>
  <c r="U2663" i="16"/>
  <c r="V2662" i="16"/>
  <c r="V2663" i="16"/>
  <c r="U2664" i="16"/>
  <c r="U2665" i="16"/>
  <c r="V2664" i="16"/>
  <c r="U2666" i="16"/>
  <c r="V2665" i="16"/>
  <c r="U2667" i="16"/>
  <c r="V2666" i="16"/>
  <c r="V2667" i="16"/>
  <c r="U2668" i="16"/>
  <c r="V2668" i="16"/>
  <c r="U2669" i="16"/>
  <c r="V2669" i="16"/>
  <c r="U2670" i="16"/>
  <c r="U2671" i="16"/>
  <c r="V2670" i="16"/>
  <c r="U2672" i="16"/>
  <c r="V2671" i="16"/>
  <c r="V2672" i="16"/>
  <c r="U2673" i="16"/>
  <c r="V2673" i="16"/>
  <c r="U2674" i="16"/>
  <c r="U2675" i="16"/>
  <c r="V2674" i="16"/>
  <c r="U2676" i="16"/>
  <c r="V2675" i="16"/>
  <c r="U2677" i="16"/>
  <c r="V2676" i="16"/>
  <c r="U2678" i="16"/>
  <c r="V2677" i="16"/>
  <c r="U2679" i="16"/>
  <c r="V2678" i="16"/>
  <c r="U2680" i="16"/>
  <c r="V2679" i="16"/>
  <c r="V2680" i="16"/>
  <c r="U2681" i="16"/>
  <c r="U2682" i="16"/>
  <c r="V2681" i="16"/>
  <c r="U2683" i="16"/>
  <c r="V2682" i="16"/>
  <c r="V2683" i="16"/>
  <c r="U2684" i="16"/>
  <c r="U2685" i="16"/>
  <c r="V2684" i="16"/>
  <c r="V2685" i="16"/>
  <c r="U2686" i="16"/>
  <c r="U2687" i="16"/>
  <c r="V2686" i="16"/>
  <c r="V2687" i="16"/>
  <c r="U2688" i="16"/>
  <c r="V2688" i="16"/>
  <c r="U2689" i="16"/>
  <c r="V2689" i="16"/>
  <c r="U2690" i="16"/>
  <c r="V2690" i="16"/>
  <c r="U2691" i="16"/>
  <c r="V2691" i="16"/>
  <c r="U2692" i="16"/>
  <c r="U2693" i="16"/>
  <c r="V2692" i="16"/>
  <c r="V2693" i="16"/>
  <c r="U2694" i="16"/>
  <c r="V2694" i="16"/>
  <c r="U2695" i="16"/>
  <c r="U2696" i="16"/>
  <c r="V2695" i="16"/>
  <c r="U2697" i="16"/>
  <c r="V2696" i="16"/>
  <c r="V2697" i="16"/>
  <c r="U2698" i="16"/>
  <c r="U2699" i="16"/>
  <c r="V2698" i="16"/>
  <c r="V2699" i="16"/>
  <c r="U2700" i="16"/>
  <c r="V2700" i="16"/>
  <c r="U2701" i="16"/>
  <c r="V2701" i="16"/>
  <c r="U2702" i="16"/>
  <c r="V2702" i="16"/>
  <c r="U2703" i="16"/>
  <c r="U2704" i="16"/>
  <c r="V2703" i="16"/>
  <c r="V2704" i="16"/>
  <c r="U2705" i="16"/>
  <c r="V2705" i="16"/>
  <c r="U2706" i="16"/>
  <c r="U2707" i="16"/>
  <c r="V2706" i="16"/>
  <c r="U2708" i="16"/>
  <c r="V2707" i="16"/>
  <c r="V2708" i="16"/>
  <c r="U2709" i="16"/>
  <c r="V2709" i="16"/>
  <c r="U2710" i="16"/>
  <c r="V2710" i="16"/>
  <c r="U2711" i="16"/>
  <c r="V2711" i="16"/>
  <c r="U2712" i="16"/>
  <c r="U2713" i="16"/>
  <c r="V2712" i="16"/>
  <c r="V2713" i="16"/>
  <c r="U2714" i="16"/>
  <c r="V2714" i="16"/>
  <c r="U2715" i="16"/>
  <c r="V2715" i="16"/>
  <c r="U2716" i="16"/>
  <c r="V2716" i="16"/>
  <c r="U2717" i="16"/>
  <c r="V2717" i="16"/>
  <c r="U2718" i="16"/>
  <c r="U2719" i="16"/>
  <c r="V2718" i="16"/>
  <c r="U2720" i="16"/>
  <c r="V2719" i="16"/>
  <c r="V2720" i="16"/>
  <c r="U2721" i="16"/>
  <c r="V2721" i="16"/>
  <c r="U2722" i="16"/>
  <c r="V2722" i="16"/>
  <c r="U2723" i="16"/>
  <c r="V2723" i="16"/>
  <c r="U2724" i="16"/>
  <c r="U2725" i="16"/>
  <c r="V2724" i="16"/>
  <c r="U2726" i="16"/>
  <c r="V2725" i="16"/>
  <c r="V2726" i="16"/>
  <c r="U2727" i="16"/>
  <c r="U2728" i="16"/>
  <c r="V2727" i="16"/>
  <c r="V2728" i="16"/>
  <c r="U2729" i="16"/>
  <c r="V2729" i="16"/>
  <c r="U2730" i="16"/>
  <c r="U2731" i="16"/>
  <c r="V2730" i="16"/>
  <c r="V2731" i="16"/>
  <c r="U2732" i="16"/>
  <c r="U2733" i="16"/>
  <c r="V2732" i="16"/>
  <c r="U2734" i="16"/>
  <c r="V2733" i="16"/>
  <c r="U2735" i="16"/>
  <c r="V2734" i="16"/>
  <c r="U2736" i="16"/>
  <c r="V2735" i="16"/>
  <c r="V2736" i="16"/>
  <c r="U2737" i="16"/>
  <c r="V2737" i="16"/>
  <c r="U2738" i="16"/>
  <c r="V2738" i="16"/>
  <c r="U2739" i="16"/>
  <c r="V2739" i="16"/>
  <c r="U2740" i="16"/>
  <c r="U2741" i="16"/>
  <c r="V2740" i="16"/>
  <c r="V2741" i="16"/>
  <c r="U2742" i="16"/>
  <c r="V2742" i="16"/>
  <c r="U2743" i="16"/>
  <c r="V2743" i="16"/>
  <c r="U2744" i="16"/>
  <c r="U2745" i="16"/>
  <c r="V2744" i="16"/>
  <c r="V2745" i="16"/>
  <c r="U2746" i="16"/>
  <c r="U2747" i="16"/>
  <c r="V2746" i="16"/>
  <c r="V2747" i="16"/>
  <c r="U2748" i="16"/>
  <c r="V2748" i="16"/>
  <c r="U2749" i="16"/>
  <c r="U2750" i="16"/>
  <c r="V2749" i="16"/>
  <c r="U2751" i="16"/>
  <c r="V2750" i="16"/>
  <c r="U2752" i="16"/>
  <c r="V2751" i="16"/>
  <c r="U2753" i="16"/>
  <c r="V2752" i="16"/>
  <c r="V2753" i="16"/>
  <c r="U2754" i="16"/>
  <c r="U2755" i="16"/>
  <c r="V2754" i="16"/>
  <c r="U2756" i="16"/>
  <c r="V2755" i="16"/>
  <c r="U2757" i="16"/>
  <c r="V2756" i="16"/>
  <c r="U2758" i="16"/>
  <c r="V2757" i="16"/>
  <c r="V2758" i="16"/>
  <c r="U2759" i="16"/>
  <c r="V2759" i="16"/>
  <c r="U2760" i="16"/>
  <c r="V2760" i="16"/>
  <c r="U2761" i="16"/>
  <c r="V2761" i="16"/>
  <c r="U2762" i="16"/>
  <c r="U2763" i="16"/>
  <c r="V2762" i="16"/>
  <c r="U2764" i="16"/>
  <c r="V2763" i="16"/>
  <c r="V2764" i="16"/>
  <c r="U2765" i="16"/>
  <c r="V2765" i="16"/>
  <c r="U2766" i="16"/>
  <c r="V2766" i="16"/>
  <c r="U2767" i="16"/>
  <c r="V2767" i="16"/>
  <c r="U2768" i="16"/>
  <c r="V2768" i="16"/>
  <c r="U2769" i="16"/>
  <c r="V2769" i="16"/>
  <c r="U2770" i="16"/>
  <c r="V2770" i="16"/>
  <c r="U2771" i="16"/>
  <c r="U2772" i="16"/>
  <c r="V2771" i="16"/>
  <c r="U2773" i="16"/>
  <c r="V2772" i="16"/>
  <c r="V2773" i="16"/>
  <c r="U2774" i="16"/>
  <c r="V2774" i="16"/>
  <c r="U2775" i="16"/>
  <c r="V2775" i="16"/>
  <c r="U2776" i="16"/>
  <c r="U2777" i="16"/>
  <c r="V2776" i="16"/>
  <c r="V2777" i="16"/>
  <c r="U2778" i="16"/>
  <c r="U2779" i="16"/>
  <c r="V2778" i="16"/>
  <c r="V2779" i="16"/>
  <c r="U2780" i="16"/>
  <c r="U2781" i="16"/>
  <c r="V2780" i="16"/>
  <c r="U2782" i="16"/>
  <c r="V2781" i="16"/>
  <c r="U2783" i="16"/>
  <c r="V2782" i="16"/>
  <c r="U2784" i="16"/>
  <c r="V2783" i="16"/>
  <c r="U2785" i="16"/>
  <c r="V2784" i="16"/>
  <c r="V2785" i="16"/>
  <c r="U2786" i="16"/>
  <c r="U2787" i="16"/>
  <c r="V2786" i="16"/>
  <c r="V2787" i="16"/>
  <c r="U2788" i="16"/>
  <c r="V2788" i="16"/>
  <c r="U2789" i="16"/>
  <c r="V2789" i="16"/>
  <c r="U2790" i="16"/>
  <c r="V2790" i="16"/>
  <c r="U2791" i="16"/>
  <c r="U2792" i="16"/>
  <c r="V2791" i="16"/>
  <c r="V2792" i="16"/>
  <c r="U2793" i="16"/>
  <c r="U2794" i="16"/>
  <c r="V2793" i="16"/>
  <c r="U2795" i="16"/>
  <c r="V2794" i="16"/>
  <c r="U2796" i="16"/>
  <c r="V2795" i="16"/>
  <c r="U2797" i="16"/>
  <c r="V2796" i="16"/>
  <c r="U2798" i="16"/>
  <c r="V2797" i="16"/>
  <c r="U2799" i="16"/>
  <c r="V2798" i="16"/>
  <c r="V2799" i="16"/>
  <c r="U2800" i="16"/>
  <c r="V2800" i="16"/>
  <c r="U2801" i="16"/>
  <c r="U2802" i="16"/>
  <c r="V2801" i="16"/>
  <c r="V2802" i="16"/>
  <c r="U2803" i="16"/>
  <c r="V2803" i="16"/>
  <c r="U2804" i="16"/>
  <c r="U2805" i="16"/>
  <c r="V2804" i="16"/>
  <c r="V2805" i="16"/>
  <c r="U2806" i="16"/>
  <c r="U2807" i="16"/>
  <c r="V2806" i="16"/>
  <c r="V2807" i="16"/>
  <c r="U2808" i="16"/>
  <c r="U2809" i="16"/>
  <c r="V2808" i="16"/>
  <c r="V2809" i="16"/>
  <c r="U2810" i="16"/>
  <c r="U2811" i="16"/>
  <c r="V2810" i="16"/>
  <c r="V2811" i="16"/>
  <c r="U2812" i="16"/>
  <c r="V2812" i="16"/>
  <c r="U2813" i="16"/>
  <c r="V2813" i="16"/>
  <c r="U2814" i="16"/>
  <c r="U2815" i="16"/>
  <c r="V2814" i="16"/>
  <c r="U2816" i="16"/>
  <c r="V2815" i="16"/>
  <c r="U2817" i="16"/>
  <c r="V2816" i="16"/>
  <c r="V2817" i="16"/>
  <c r="U2818" i="16"/>
  <c r="V2818" i="16"/>
  <c r="U2819" i="16"/>
  <c r="U2820" i="16"/>
  <c r="V2819" i="16"/>
  <c r="U2821" i="16"/>
  <c r="V2820" i="16"/>
  <c r="U2822" i="16"/>
  <c r="V2821" i="16"/>
  <c r="V2822" i="16"/>
  <c r="U2823" i="16"/>
  <c r="U2824" i="16"/>
  <c r="V2823" i="16"/>
  <c r="V2824" i="16"/>
  <c r="U2825" i="16"/>
  <c r="V2825" i="16"/>
  <c r="U2826" i="16"/>
  <c r="U2827" i="16"/>
  <c r="V2826" i="16"/>
  <c r="U2828" i="16"/>
  <c r="V2827" i="16"/>
  <c r="U2829" i="16"/>
  <c r="V2828" i="16"/>
  <c r="U2830" i="16"/>
  <c r="V2829" i="16"/>
  <c r="U2831" i="16"/>
  <c r="V2830" i="16"/>
  <c r="U2832" i="16"/>
  <c r="V2831" i="16"/>
  <c r="U2833" i="16"/>
  <c r="V2832" i="16"/>
  <c r="V2833" i="16"/>
  <c r="U2834" i="16"/>
  <c r="V2834" i="16"/>
  <c r="U2835" i="16"/>
  <c r="U2836" i="16"/>
  <c r="V2835" i="16"/>
  <c r="U2837" i="16"/>
  <c r="V2836" i="16"/>
  <c r="U2838" i="16"/>
  <c r="V2837" i="16"/>
  <c r="V2838" i="16"/>
  <c r="U2839" i="16"/>
  <c r="V2839" i="16"/>
  <c r="U2840" i="16"/>
  <c r="V2840" i="16"/>
  <c r="U2841" i="16"/>
  <c r="V2841" i="16"/>
  <c r="U2842" i="16"/>
  <c r="V2842" i="16"/>
  <c r="U2843" i="16"/>
  <c r="U2844" i="16"/>
  <c r="V2843" i="16"/>
  <c r="U2845" i="16"/>
  <c r="V2844" i="16"/>
  <c r="V2845" i="16"/>
  <c r="U2846" i="16"/>
  <c r="U2847" i="16"/>
  <c r="V2846" i="16"/>
  <c r="U2848" i="16"/>
  <c r="V2847" i="16"/>
  <c r="V2848" i="16"/>
  <c r="U2849" i="16"/>
  <c r="V2849" i="16"/>
  <c r="U2850" i="16"/>
  <c r="U2851" i="16"/>
  <c r="V2850" i="16"/>
  <c r="V2851" i="16"/>
  <c r="U2852" i="16"/>
  <c r="U2853" i="16"/>
  <c r="V2852" i="16"/>
  <c r="V2853" i="16"/>
  <c r="U2854" i="16"/>
  <c r="U2855" i="16"/>
  <c r="V2854" i="16"/>
  <c r="V2855" i="16"/>
  <c r="U2856" i="16"/>
  <c r="V2856" i="16"/>
  <c r="U2857" i="16"/>
  <c r="U2858" i="16"/>
  <c r="V2857" i="16"/>
  <c r="V2858" i="16"/>
  <c r="U2859" i="16"/>
  <c r="V2859" i="16"/>
  <c r="U2860" i="16"/>
  <c r="V2860" i="16"/>
  <c r="U2861" i="16"/>
  <c r="V2861" i="16"/>
  <c r="U2862" i="16"/>
  <c r="U2863" i="16"/>
  <c r="V2862" i="16"/>
  <c r="V2863" i="16"/>
  <c r="U2864" i="16"/>
  <c r="U2865" i="16"/>
  <c r="V2864" i="16"/>
  <c r="V2865" i="16"/>
  <c r="U2866" i="16"/>
  <c r="U2867" i="16"/>
  <c r="V2866" i="16"/>
  <c r="U2868" i="16"/>
  <c r="V2867" i="16"/>
  <c r="U2869" i="16"/>
  <c r="V2868" i="16"/>
  <c r="V2869" i="16"/>
  <c r="U2870" i="16"/>
  <c r="U2871" i="16"/>
  <c r="V2870" i="16"/>
  <c r="V2871" i="16"/>
  <c r="U2872" i="16"/>
  <c r="V2872" i="16"/>
  <c r="U2873" i="16"/>
  <c r="U2874" i="16"/>
  <c r="V2873" i="16"/>
  <c r="V2874" i="16"/>
  <c r="U2875" i="16"/>
  <c r="V2875" i="16"/>
  <c r="U2876" i="16"/>
  <c r="V2876" i="16"/>
  <c r="U2877" i="16"/>
  <c r="U2878" i="16"/>
  <c r="V2877" i="16"/>
  <c r="U2879" i="16"/>
  <c r="V2878" i="16"/>
  <c r="U2880" i="16"/>
  <c r="V2879" i="16"/>
  <c r="V2880" i="16"/>
  <c r="U2881" i="16"/>
  <c r="U2882" i="16"/>
  <c r="V2881" i="16"/>
  <c r="U2883" i="16"/>
  <c r="V2882" i="16"/>
  <c r="V2883" i="16"/>
  <c r="U2884" i="16"/>
  <c r="U2885" i="16"/>
  <c r="V2884" i="16"/>
  <c r="V2885" i="16"/>
  <c r="U2886" i="16"/>
  <c r="U2887" i="16"/>
  <c r="V2886" i="16"/>
  <c r="U2888" i="16"/>
  <c r="V2887" i="16"/>
  <c r="V2888" i="16"/>
  <c r="U2889" i="16"/>
  <c r="U2890" i="16"/>
  <c r="V2889" i="16"/>
  <c r="V2890" i="16"/>
  <c r="U2891" i="16"/>
  <c r="U2892" i="16"/>
  <c r="V2891" i="16"/>
  <c r="V2892" i="16"/>
  <c r="U2893" i="16"/>
  <c r="V2893" i="16"/>
  <c r="U2894" i="16"/>
  <c r="U2895" i="16"/>
  <c r="V2894" i="16"/>
  <c r="U2896" i="16"/>
  <c r="V2895" i="16"/>
  <c r="U2897" i="16"/>
  <c r="V2896" i="16"/>
  <c r="V2897" i="16"/>
  <c r="U2898" i="16"/>
  <c r="V2898" i="16"/>
  <c r="U2899" i="16"/>
  <c r="U2900" i="16"/>
  <c r="V2899" i="16"/>
  <c r="U2901" i="16"/>
  <c r="V2900" i="16"/>
  <c r="U2902" i="16"/>
  <c r="V2901" i="16"/>
  <c r="U2903" i="16"/>
  <c r="V2902" i="16"/>
  <c r="V2903" i="16"/>
  <c r="U2904" i="16"/>
  <c r="U2905" i="16"/>
  <c r="V2904" i="16"/>
  <c r="U2906" i="16"/>
  <c r="V2905" i="16"/>
  <c r="V2906" i="16"/>
  <c r="U2907" i="16"/>
  <c r="U2908" i="16"/>
  <c r="V2907" i="16"/>
  <c r="U2909" i="16"/>
  <c r="V2908" i="16"/>
  <c r="V2909" i="16"/>
  <c r="U2910" i="16"/>
  <c r="V2910" i="16"/>
  <c r="U2911" i="16"/>
  <c r="U2912" i="16"/>
  <c r="V2911" i="16"/>
  <c r="V2912" i="16"/>
  <c r="U2913" i="16"/>
  <c r="U2914" i="16"/>
  <c r="V2913" i="16"/>
  <c r="U2915" i="16"/>
  <c r="V2914" i="16"/>
  <c r="V2915" i="16"/>
  <c r="U2916" i="16"/>
  <c r="V2916" i="16"/>
  <c r="U2917" i="16"/>
  <c r="V2917" i="16"/>
  <c r="U2918" i="16"/>
  <c r="U2919" i="16"/>
  <c r="V2918" i="16"/>
  <c r="U2920" i="16"/>
  <c r="V2919" i="16"/>
  <c r="V2920" i="16"/>
  <c r="U2921" i="16"/>
  <c r="U2922" i="16"/>
  <c r="V2921" i="16"/>
  <c r="U2923" i="16"/>
  <c r="V2922" i="16"/>
  <c r="V2923" i="16"/>
  <c r="U2924" i="16"/>
  <c r="U2925" i="16"/>
  <c r="V2924" i="16"/>
  <c r="V2925" i="16"/>
  <c r="U2926" i="16"/>
  <c r="V2926" i="16"/>
  <c r="U2927" i="16"/>
  <c r="U2928" i="16"/>
  <c r="V2927" i="16"/>
  <c r="U2929" i="16"/>
  <c r="V2928" i="16"/>
  <c r="U2930" i="16"/>
  <c r="V2929" i="16"/>
  <c r="U2931" i="16"/>
  <c r="V2930" i="16"/>
  <c r="V2931" i="16"/>
  <c r="U2932" i="16"/>
  <c r="U2933" i="16"/>
  <c r="V2932" i="16"/>
  <c r="V2933" i="16"/>
  <c r="U2934" i="16"/>
  <c r="U2935" i="16"/>
  <c r="V2934" i="16"/>
  <c r="V2935" i="16"/>
  <c r="U2936" i="16"/>
  <c r="V2936" i="16"/>
  <c r="U2937" i="16"/>
  <c r="U2938" i="16"/>
  <c r="V2937" i="16"/>
  <c r="V2938" i="16"/>
  <c r="U2939" i="16"/>
  <c r="U2940" i="16"/>
  <c r="V2939" i="16"/>
  <c r="V2940" i="16"/>
  <c r="U2941" i="16"/>
  <c r="U2942" i="16"/>
  <c r="V2941" i="16"/>
  <c r="U2943" i="16"/>
  <c r="V2942" i="16"/>
  <c r="V2943" i="16"/>
  <c r="U2944" i="16"/>
  <c r="U2945" i="16"/>
  <c r="V2944" i="16"/>
  <c r="U2946" i="16"/>
  <c r="V2945" i="16"/>
  <c r="U2947" i="16"/>
  <c r="V2946" i="16"/>
  <c r="V2947" i="16"/>
  <c r="U2948" i="16"/>
  <c r="V2948" i="16"/>
  <c r="U2949" i="16"/>
  <c r="V2949" i="16"/>
  <c r="U2950" i="16"/>
  <c r="U2951" i="16"/>
  <c r="V2950" i="16"/>
  <c r="V2951" i="16"/>
  <c r="U2952" i="16"/>
  <c r="U2953" i="16"/>
  <c r="V2952" i="16"/>
  <c r="V2953" i="16"/>
  <c r="U2954" i="16"/>
  <c r="V2954" i="16"/>
  <c r="U2955" i="16"/>
  <c r="V2955" i="16"/>
  <c r="U2956" i="16"/>
  <c r="U2957" i="16"/>
  <c r="V2956" i="16"/>
  <c r="V2957" i="16"/>
  <c r="U2958" i="16"/>
  <c r="V2958" i="16"/>
  <c r="U2959" i="16"/>
  <c r="U2960" i="16"/>
  <c r="V2959" i="16"/>
  <c r="V2960" i="16"/>
  <c r="U2961" i="16"/>
  <c r="V2961" i="16"/>
  <c r="U2962" i="16"/>
  <c r="V2962" i="16"/>
  <c r="U2963" i="16"/>
  <c r="U2964" i="16"/>
  <c r="V2963" i="16"/>
  <c r="V2964" i="16"/>
  <c r="U2965" i="16"/>
  <c r="V2965" i="16"/>
  <c r="U2966" i="16"/>
  <c r="U2967" i="16"/>
  <c r="V2966" i="16"/>
  <c r="V2967" i="16"/>
  <c r="U2968" i="16"/>
  <c r="V2968" i="16"/>
  <c r="U2969" i="16"/>
  <c r="U2970" i="16"/>
  <c r="V2969" i="16"/>
  <c r="U2971" i="16"/>
  <c r="V2970" i="16"/>
  <c r="V2971" i="16"/>
  <c r="U2972" i="16"/>
  <c r="U2973" i="16"/>
  <c r="V2972" i="16"/>
  <c r="V2973" i="16"/>
  <c r="U2974" i="16"/>
  <c r="U2975" i="16"/>
  <c r="V2974" i="16"/>
  <c r="U2976" i="16"/>
  <c r="V2975" i="16"/>
  <c r="U2977" i="16"/>
  <c r="V2976" i="16"/>
  <c r="U2978" i="16"/>
  <c r="V2977" i="16"/>
  <c r="U2979" i="16"/>
  <c r="V2978" i="16"/>
  <c r="V2979" i="16"/>
  <c r="U2980" i="16"/>
  <c r="V2980" i="16"/>
  <c r="U2981" i="16"/>
  <c r="U2982" i="16"/>
  <c r="V2981" i="16"/>
  <c r="V2982" i="16"/>
  <c r="U2983" i="16"/>
  <c r="U2984" i="16"/>
  <c r="V2983" i="16"/>
  <c r="U2985" i="16"/>
  <c r="V2984" i="16"/>
  <c r="U2986" i="16"/>
  <c r="V2985" i="16"/>
  <c r="V2986" i="16"/>
  <c r="U2987" i="16"/>
  <c r="U2988" i="16"/>
  <c r="V2987" i="16"/>
  <c r="V2988" i="16"/>
  <c r="U2989" i="16"/>
  <c r="V2989" i="16"/>
  <c r="U2990" i="16"/>
  <c r="V2990" i="16"/>
  <c r="U2991" i="16"/>
  <c r="U2992" i="16"/>
  <c r="V2991" i="16"/>
  <c r="U2993" i="16"/>
  <c r="V2992" i="16"/>
  <c r="U2994" i="16"/>
  <c r="V2993" i="16"/>
  <c r="U2995" i="16"/>
  <c r="V2994" i="16"/>
  <c r="V2995" i="16"/>
  <c r="U2996" i="16"/>
  <c r="V2996" i="16"/>
  <c r="U2997" i="16"/>
  <c r="U2998" i="16"/>
  <c r="V2997" i="16"/>
  <c r="U2999" i="16"/>
  <c r="V2998" i="16"/>
  <c r="V2999" i="16"/>
  <c r="U3000" i="16"/>
  <c r="V3000" i="16"/>
  <c r="U3001" i="16"/>
  <c r="V3001" i="16"/>
  <c r="U3002" i="16"/>
  <c r="V3002" i="16"/>
  <c r="U3003" i="16"/>
  <c r="U3004" i="16"/>
  <c r="V3003" i="16"/>
  <c r="U3005" i="16"/>
  <c r="V3004" i="16"/>
  <c r="U3006" i="16"/>
  <c r="V3005" i="16"/>
  <c r="V3006" i="16"/>
  <c r="U3007" i="16"/>
  <c r="U3008" i="16"/>
  <c r="V3007" i="16"/>
  <c r="U3009" i="16"/>
  <c r="V3008" i="16"/>
  <c r="V3009" i="16"/>
  <c r="U3010" i="16"/>
  <c r="V3010" i="16"/>
  <c r="U3011" i="16"/>
  <c r="V3011" i="16"/>
  <c r="U3012" i="16"/>
  <c r="U3013" i="16"/>
  <c r="V3012" i="16"/>
  <c r="U3014" i="16"/>
  <c r="V3013" i="16"/>
  <c r="V3014" i="16"/>
  <c r="U3015" i="16"/>
  <c r="U3016" i="16"/>
  <c r="V3015" i="16"/>
  <c r="U3017" i="16"/>
  <c r="V3016" i="16"/>
  <c r="U3018" i="16"/>
  <c r="V3017" i="16"/>
  <c r="V3018" i="16"/>
  <c r="U3019" i="16"/>
  <c r="U3020" i="16"/>
  <c r="V3019" i="16"/>
  <c r="V3020" i="16"/>
  <c r="U3021" i="16"/>
  <c r="V3021" i="16"/>
  <c r="U3022" i="16"/>
  <c r="V3022" i="16"/>
  <c r="U3023" i="16"/>
  <c r="V3023" i="16"/>
  <c r="U3024" i="16"/>
  <c r="V3024" i="16"/>
  <c r="U3025" i="16"/>
  <c r="V3025" i="16"/>
  <c r="U3026" i="16"/>
  <c r="V3026" i="16"/>
  <c r="U3027" i="16"/>
  <c r="U3028" i="16"/>
  <c r="V3027" i="16"/>
  <c r="V3028" i="16"/>
  <c r="U3029" i="16"/>
  <c r="U3030" i="16"/>
  <c r="V3029" i="16"/>
  <c r="V3030" i="16"/>
  <c r="U3031" i="16"/>
  <c r="V3031" i="16"/>
  <c r="U3032" i="16"/>
  <c r="U3033" i="16"/>
  <c r="V3032" i="16"/>
  <c r="U3034" i="16"/>
  <c r="V3033" i="16"/>
  <c r="V3034" i="16"/>
  <c r="U3035" i="16"/>
  <c r="U3036" i="16"/>
  <c r="V3035" i="16"/>
  <c r="V3036" i="16"/>
  <c r="U3037" i="16"/>
  <c r="U3038" i="16"/>
  <c r="V3037" i="16"/>
  <c r="U3039" i="16"/>
  <c r="V3038" i="16"/>
  <c r="U3040" i="16"/>
  <c r="V3039" i="16"/>
  <c r="U3041" i="16"/>
  <c r="V3040" i="16"/>
  <c r="V3041" i="16"/>
  <c r="U3042" i="16"/>
  <c r="U3043" i="16"/>
  <c r="V3042" i="16"/>
  <c r="U3044" i="16"/>
  <c r="V3043" i="16"/>
  <c r="U3045" i="16"/>
  <c r="V3044" i="16"/>
  <c r="U3046" i="16"/>
  <c r="V3045" i="16"/>
  <c r="U3047" i="16"/>
  <c r="V3046" i="16"/>
  <c r="V3047" i="16"/>
  <c r="U3048" i="16"/>
  <c r="U3049" i="16"/>
  <c r="V3048" i="16"/>
  <c r="V3049" i="16"/>
  <c r="U3050" i="16"/>
  <c r="U3051" i="16"/>
  <c r="V3050" i="16"/>
  <c r="U3052" i="16"/>
  <c r="V3051" i="16"/>
  <c r="V3052" i="16"/>
  <c r="U3053" i="16"/>
  <c r="U3054" i="16"/>
  <c r="V3053" i="16"/>
  <c r="V3054" i="16"/>
  <c r="U3055" i="16"/>
  <c r="U3056" i="16"/>
  <c r="V3055" i="16"/>
  <c r="U3057" i="16"/>
  <c r="V3056" i="16"/>
  <c r="V3057" i="16"/>
  <c r="U3058" i="16"/>
  <c r="U3059" i="16"/>
  <c r="V3058" i="16"/>
  <c r="V3059" i="16"/>
  <c r="U3060" i="16"/>
  <c r="U3061" i="16"/>
  <c r="V3060" i="16"/>
  <c r="U3062" i="16"/>
  <c r="V3061" i="16"/>
  <c r="U3063" i="16"/>
  <c r="V3062" i="16"/>
  <c r="U3064" i="16"/>
  <c r="V3063" i="16"/>
  <c r="V3064" i="16"/>
  <c r="U3065" i="16"/>
  <c r="U3066" i="16"/>
  <c r="V3065" i="16"/>
  <c r="V3066" i="16"/>
  <c r="U3067" i="16"/>
  <c r="V3067" i="16"/>
  <c r="U3068" i="16"/>
  <c r="V3068" i="16"/>
  <c r="U3069" i="16"/>
  <c r="V3069" i="16"/>
  <c r="U3070" i="16"/>
  <c r="V3070" i="16"/>
  <c r="U3071" i="16"/>
  <c r="V3071" i="16"/>
  <c r="U3072" i="16"/>
  <c r="V3072" i="16"/>
  <c r="U3073" i="16"/>
  <c r="U3074" i="16"/>
  <c r="V3073" i="16"/>
  <c r="V3074" i="16"/>
  <c r="U3075" i="16"/>
  <c r="U3076" i="16"/>
  <c r="V3075" i="16"/>
  <c r="V3076" i="16"/>
  <c r="U3077" i="16"/>
  <c r="U3078" i="16"/>
  <c r="V3077" i="16"/>
  <c r="V3078" i="16"/>
  <c r="U3079" i="16"/>
  <c r="U3080" i="16"/>
  <c r="V3079" i="16"/>
  <c r="U3081" i="16"/>
  <c r="V3080" i="16"/>
  <c r="U3082" i="16"/>
  <c r="V3081" i="16"/>
  <c r="V3082" i="16"/>
  <c r="U3083" i="16"/>
  <c r="U3084" i="16"/>
  <c r="V3083" i="16"/>
  <c r="U3085" i="16"/>
  <c r="V3084" i="16"/>
  <c r="U3086" i="16"/>
  <c r="V3085" i="16"/>
  <c r="U3087" i="16"/>
  <c r="V3086" i="16"/>
  <c r="U3088" i="16"/>
  <c r="V3087" i="16"/>
  <c r="V3088" i="16"/>
  <c r="U3089" i="16"/>
  <c r="V3089" i="16"/>
  <c r="U3090" i="16"/>
  <c r="U3091" i="16"/>
  <c r="V3090" i="16"/>
  <c r="U3092" i="16"/>
  <c r="V3091" i="16"/>
  <c r="U3093" i="16"/>
  <c r="V3092" i="16"/>
  <c r="V3093" i="16"/>
  <c r="U3094" i="16"/>
  <c r="V3094" i="16"/>
  <c r="U3095" i="16"/>
  <c r="V3095" i="16"/>
  <c r="U3096" i="16"/>
  <c r="U3097" i="16"/>
  <c r="V3096" i="16"/>
  <c r="U3098" i="16"/>
  <c r="V3097" i="16"/>
  <c r="V3098" i="16"/>
  <c r="U3099" i="16"/>
  <c r="V3099" i="16"/>
  <c r="U3100" i="16"/>
  <c r="V3100" i="16"/>
  <c r="U3101" i="16"/>
  <c r="V3101" i="16"/>
  <c r="U3102" i="16"/>
  <c r="V3102" i="16"/>
  <c r="U3103" i="16"/>
  <c r="V3103" i="16"/>
  <c r="U3104" i="16"/>
  <c r="V3104" i="16"/>
  <c r="U3105" i="16"/>
  <c r="V3105" i="16"/>
  <c r="U3106" i="16"/>
  <c r="U3107" i="16"/>
  <c r="V3106" i="16"/>
  <c r="U3108" i="16"/>
  <c r="V3107" i="16"/>
  <c r="V3108" i="16"/>
  <c r="U3109" i="16"/>
  <c r="U3110" i="16"/>
  <c r="V3109" i="16"/>
  <c r="U3111" i="16"/>
  <c r="V3110" i="16"/>
  <c r="U3112" i="16"/>
  <c r="V3111" i="16"/>
  <c r="U3113" i="16"/>
  <c r="V3112" i="16"/>
  <c r="U3114" i="16"/>
  <c r="V3113" i="16"/>
  <c r="U3115" i="16"/>
  <c r="V3114" i="16"/>
  <c r="V3115" i="16"/>
  <c r="U3116" i="16"/>
  <c r="U3117" i="16"/>
  <c r="V3116" i="16"/>
  <c r="V3117" i="16"/>
  <c r="U3118" i="16"/>
  <c r="V3118" i="16"/>
  <c r="U3119" i="16"/>
  <c r="U3120" i="16"/>
  <c r="V3119" i="16"/>
  <c r="U3121" i="16"/>
  <c r="V3120" i="16"/>
  <c r="V3121" i="16"/>
  <c r="U3122" i="16"/>
  <c r="V3122" i="16"/>
  <c r="U3123" i="16"/>
  <c r="U3124" i="16"/>
  <c r="V3123" i="16"/>
  <c r="V3124" i="16"/>
  <c r="U3125" i="16"/>
  <c r="V3125" i="16"/>
  <c r="U3126" i="16"/>
  <c r="V3126" i="16"/>
  <c r="U3127" i="16"/>
  <c r="V3127" i="16"/>
  <c r="U3128" i="16"/>
  <c r="V3128" i="16"/>
  <c r="U3129" i="16"/>
  <c r="U3130" i="16"/>
  <c r="V3129" i="16"/>
  <c r="U3131" i="16"/>
  <c r="V3130" i="16"/>
  <c r="U3132" i="16"/>
  <c r="V3131" i="16"/>
  <c r="V3132" i="16"/>
  <c r="U3133" i="16"/>
  <c r="U3134" i="16"/>
  <c r="V3133" i="16"/>
  <c r="U3135" i="16"/>
  <c r="V3134" i="16"/>
  <c r="V3135" i="16"/>
  <c r="U3136" i="16"/>
  <c r="V3136" i="16"/>
  <c r="U3137" i="16"/>
  <c r="V3137" i="16"/>
  <c r="U3138" i="16"/>
  <c r="U3139" i="16"/>
  <c r="V3138" i="16"/>
  <c r="U3140" i="16"/>
  <c r="V3139" i="16"/>
  <c r="U3141" i="16"/>
  <c r="V3140" i="16"/>
  <c r="U3142" i="16"/>
  <c r="V3141" i="16"/>
  <c r="V3142" i="16"/>
  <c r="U3143" i="16"/>
  <c r="V3143" i="16"/>
  <c r="U3144" i="16"/>
  <c r="U3145" i="16"/>
  <c r="V3144" i="16"/>
  <c r="V3145" i="16"/>
  <c r="U3146" i="16"/>
  <c r="V3146" i="16"/>
  <c r="U3147" i="16"/>
  <c r="U3148" i="16"/>
  <c r="V3147" i="16"/>
  <c r="V3148" i="16"/>
  <c r="U3149" i="16"/>
  <c r="U3150" i="16"/>
  <c r="V3149" i="16"/>
  <c r="V3150" i="16"/>
  <c r="U3151" i="16"/>
  <c r="V3151" i="16"/>
  <c r="U3152" i="16"/>
  <c r="V3152" i="16"/>
  <c r="U3153" i="16"/>
  <c r="U3154" i="16"/>
  <c r="V3153" i="16"/>
  <c r="V3154" i="16"/>
  <c r="U3155" i="16"/>
  <c r="U3156" i="16"/>
  <c r="V3155" i="16"/>
  <c r="V3156" i="16"/>
  <c r="U3157" i="16"/>
  <c r="V3157" i="16"/>
  <c r="U3158" i="16"/>
  <c r="U3159" i="16"/>
  <c r="V3158" i="16"/>
  <c r="U3160" i="16"/>
  <c r="V3159" i="16"/>
  <c r="V3160" i="16"/>
  <c r="U3161" i="16"/>
  <c r="U3162" i="16"/>
  <c r="V3161" i="16"/>
  <c r="U3163" i="16"/>
  <c r="V3162" i="16"/>
  <c r="U3164" i="16"/>
  <c r="V3163" i="16"/>
  <c r="U3165" i="16"/>
  <c r="V3164" i="16"/>
  <c r="V3165" i="16"/>
  <c r="U3166" i="16"/>
  <c r="V3166" i="16"/>
  <c r="U3167" i="16"/>
  <c r="V3167" i="16"/>
  <c r="U3168" i="16"/>
  <c r="V3168" i="16"/>
  <c r="U3169" i="16"/>
  <c r="U3170" i="16"/>
  <c r="V3169" i="16"/>
  <c r="V3170" i="16"/>
  <c r="U3171" i="16"/>
  <c r="U3172" i="16"/>
  <c r="V3171" i="16"/>
  <c r="U3173" i="16"/>
  <c r="V3172" i="16"/>
  <c r="V3173" i="16"/>
  <c r="U3174" i="16"/>
  <c r="U3175" i="16"/>
  <c r="V3174" i="16"/>
  <c r="V3175" i="16"/>
  <c r="U3176" i="16"/>
  <c r="V3176" i="16"/>
  <c r="U3177" i="16"/>
  <c r="U3178" i="16"/>
  <c r="V3177" i="16"/>
  <c r="U3179" i="16"/>
  <c r="V3178" i="16"/>
  <c r="V3179" i="16"/>
  <c r="U3180" i="16"/>
  <c r="V3180" i="16"/>
  <c r="U3181" i="16"/>
  <c r="U3182" i="16"/>
  <c r="V3181" i="16"/>
  <c r="V3182" i="16"/>
  <c r="U3183" i="16"/>
  <c r="U3184" i="16"/>
  <c r="V3183" i="16"/>
  <c r="U3185" i="16"/>
  <c r="V3184" i="16"/>
  <c r="U3186" i="16"/>
  <c r="V3185" i="16"/>
  <c r="V3186" i="16"/>
  <c r="U3187" i="16"/>
  <c r="U3188" i="16"/>
  <c r="V3187" i="16"/>
  <c r="V3188" i="16"/>
  <c r="U3189" i="16"/>
  <c r="U3190" i="16"/>
  <c r="V3189" i="16"/>
  <c r="V3190" i="16"/>
  <c r="U3191" i="16"/>
  <c r="V3191" i="16"/>
  <c r="U3192" i="16"/>
  <c r="V3192" i="16"/>
  <c r="U3193" i="16"/>
  <c r="U3194" i="16"/>
  <c r="V3193" i="16"/>
  <c r="U3195" i="16"/>
  <c r="V3194" i="16"/>
  <c r="V3195" i="16"/>
  <c r="U3196" i="16"/>
  <c r="U3197" i="16"/>
  <c r="V3196" i="16"/>
  <c r="U3198" i="16"/>
  <c r="V3197" i="16"/>
  <c r="V3198" i="16"/>
  <c r="U3199" i="16"/>
  <c r="V3199" i="16"/>
  <c r="U3200" i="16"/>
  <c r="V3200" i="16"/>
  <c r="U3201" i="16"/>
  <c r="U3202" i="16"/>
  <c r="V3201" i="16"/>
  <c r="U3203" i="16"/>
  <c r="V3202" i="16"/>
  <c r="U3204" i="16"/>
  <c r="V3203" i="16"/>
  <c r="V3204" i="16"/>
  <c r="U3205" i="16"/>
  <c r="U3206" i="16"/>
  <c r="V3205" i="16"/>
  <c r="U3207" i="16"/>
  <c r="V3206" i="16"/>
  <c r="U3208" i="16"/>
  <c r="V3207" i="16"/>
  <c r="V3208" i="16"/>
  <c r="U3209" i="16"/>
  <c r="U3210" i="16"/>
  <c r="V3209" i="16"/>
  <c r="V3210" i="16"/>
  <c r="U3211" i="16"/>
  <c r="U3212" i="16"/>
  <c r="V3211" i="16"/>
  <c r="U3213" i="16"/>
  <c r="V3212" i="16"/>
  <c r="U3214" i="16"/>
  <c r="V3213" i="16"/>
  <c r="U3215" i="16"/>
  <c r="V3214" i="16"/>
  <c r="V3215" i="16"/>
  <c r="U3216" i="16"/>
  <c r="U3217" i="16"/>
  <c r="V3216" i="16"/>
  <c r="U3218" i="16"/>
  <c r="V3217" i="16"/>
  <c r="U3219" i="16"/>
  <c r="V3218" i="16"/>
  <c r="U3220" i="16"/>
  <c r="V3219" i="16"/>
  <c r="V3220" i="16"/>
  <c r="U3221" i="16"/>
  <c r="V3221" i="16"/>
  <c r="U3222" i="16"/>
  <c r="U3223" i="16"/>
  <c r="V3222" i="16"/>
  <c r="V3223" i="16"/>
  <c r="U3224" i="16"/>
  <c r="U3225" i="16"/>
  <c r="V3224" i="16"/>
  <c r="V3225" i="16"/>
  <c r="U3226" i="16"/>
  <c r="V3226" i="16"/>
  <c r="U3227" i="16"/>
  <c r="U3228" i="16"/>
  <c r="V3227" i="16"/>
  <c r="V3228" i="16"/>
  <c r="U3229" i="16"/>
  <c r="V3229" i="16"/>
  <c r="U3230" i="16"/>
  <c r="V3230" i="16"/>
  <c r="U3231" i="16"/>
  <c r="U3232" i="16"/>
  <c r="V3231" i="16"/>
  <c r="V3232" i="16"/>
  <c r="U3233" i="16"/>
  <c r="U3234" i="16"/>
  <c r="V3233" i="16"/>
  <c r="V3234" i="16"/>
  <c r="U3235" i="16"/>
  <c r="U3236" i="16"/>
  <c r="V3235" i="16"/>
  <c r="V3236" i="16"/>
  <c r="U3237" i="16"/>
  <c r="U3238" i="16"/>
  <c r="V3237" i="16"/>
  <c r="U3239" i="16"/>
  <c r="V3238" i="16"/>
  <c r="U3240" i="16"/>
  <c r="V3239" i="16"/>
  <c r="V3240" i="16"/>
  <c r="U3241" i="16"/>
  <c r="V3241" i="16"/>
  <c r="U3242" i="16"/>
  <c r="U3243" i="16"/>
  <c r="V3242" i="16"/>
  <c r="V3243" i="16"/>
  <c r="U3244" i="16"/>
  <c r="V3244" i="16"/>
  <c r="U3245" i="16"/>
  <c r="V3245" i="16"/>
  <c r="U3246" i="16"/>
  <c r="U3247" i="16"/>
  <c r="V3246" i="16"/>
  <c r="U3248" i="16"/>
  <c r="V3247" i="16"/>
  <c r="V3248" i="16"/>
  <c r="U3249" i="16"/>
  <c r="V3249" i="16"/>
  <c r="U3250" i="16"/>
  <c r="U3251" i="16"/>
  <c r="V3250" i="16"/>
  <c r="U3252" i="16"/>
  <c r="V3251" i="16"/>
  <c r="U3253" i="16"/>
  <c r="V3252" i="16"/>
  <c r="U3254" i="16"/>
  <c r="V3253" i="16"/>
  <c r="U3255" i="16"/>
  <c r="V3254" i="16"/>
  <c r="V3255" i="16"/>
  <c r="U3256" i="16"/>
  <c r="U3257" i="16"/>
  <c r="V3256" i="16"/>
  <c r="V3257" i="16"/>
  <c r="U3258" i="16"/>
  <c r="V3258" i="16"/>
  <c r="U3259" i="16"/>
  <c r="V3259" i="16"/>
  <c r="U3260" i="16"/>
  <c r="U3261" i="16"/>
  <c r="V3260" i="16"/>
  <c r="U3262" i="16"/>
  <c r="V3261" i="16"/>
  <c r="V3262" i="16"/>
  <c r="U3263" i="16"/>
  <c r="V3263" i="16"/>
  <c r="U3264" i="16"/>
  <c r="U3265" i="16"/>
  <c r="V3264" i="16"/>
  <c r="U3266" i="16"/>
  <c r="V3265" i="16"/>
  <c r="V3266" i="16"/>
  <c r="U3267" i="16"/>
  <c r="V3267" i="16"/>
  <c r="U3268" i="16"/>
  <c r="V3268" i="16"/>
  <c r="U3269" i="16"/>
  <c r="U3270" i="16"/>
  <c r="V3269" i="16"/>
  <c r="U3271" i="16"/>
  <c r="V3270" i="16"/>
  <c r="V3271" i="16"/>
  <c r="U3272" i="16"/>
  <c r="V3272" i="16"/>
  <c r="U3273" i="16"/>
  <c r="U3274" i="16"/>
  <c r="V3273" i="16"/>
  <c r="U3275" i="16"/>
  <c r="V3274" i="16"/>
  <c r="U3276" i="16"/>
  <c r="V3275" i="16"/>
  <c r="U3277" i="16"/>
  <c r="V3276" i="16"/>
  <c r="U3278" i="16"/>
  <c r="V3277" i="16"/>
  <c r="U3279" i="16"/>
  <c r="V3278" i="16"/>
  <c r="V3279" i="16"/>
  <c r="U3280" i="16"/>
  <c r="V3280" i="16"/>
  <c r="U3281" i="16"/>
  <c r="V3281" i="16"/>
  <c r="U3282" i="16"/>
  <c r="U3283" i="16"/>
  <c r="V3282" i="16"/>
  <c r="U3284" i="16"/>
  <c r="V3283" i="16"/>
  <c r="U3285" i="16"/>
  <c r="V3284" i="16"/>
  <c r="U3286" i="16"/>
  <c r="V3285" i="16"/>
  <c r="V3286" i="16"/>
  <c r="U3287" i="16"/>
  <c r="U3288" i="16"/>
  <c r="V3287" i="16"/>
  <c r="U3289" i="16"/>
  <c r="V3288" i="16"/>
  <c r="V3289" i="16"/>
  <c r="U3290" i="16"/>
  <c r="V3290" i="16"/>
  <c r="U3291" i="16"/>
  <c r="U3292" i="16"/>
  <c r="V3291" i="16"/>
  <c r="V3292" i="16"/>
  <c r="U3293" i="16"/>
  <c r="U3294" i="16"/>
  <c r="V3293" i="16"/>
  <c r="V3294" i="16"/>
  <c r="U3295" i="16"/>
  <c r="U3296" i="16"/>
  <c r="V3295" i="16"/>
  <c r="U3297" i="16"/>
  <c r="V3296" i="16"/>
  <c r="U3298" i="16"/>
  <c r="V3297" i="16"/>
  <c r="U3299" i="16"/>
  <c r="V3298" i="16"/>
  <c r="V3299" i="16"/>
  <c r="U3300" i="16"/>
  <c r="V3300" i="16"/>
  <c r="U3301" i="16"/>
  <c r="V3301" i="16"/>
  <c r="U3302" i="16"/>
  <c r="V3302" i="16"/>
  <c r="U3303" i="16"/>
  <c r="U3304" i="16"/>
  <c r="V3303" i="16"/>
  <c r="V3304" i="16"/>
  <c r="U3305" i="16"/>
  <c r="V3305" i="16"/>
  <c r="U3306" i="16"/>
  <c r="V3306" i="16"/>
  <c r="U3307" i="16"/>
  <c r="U3308" i="16"/>
  <c r="V3307" i="16"/>
  <c r="U3309" i="16"/>
  <c r="V3308" i="16"/>
  <c r="U3310" i="16"/>
  <c r="V3309" i="16"/>
  <c r="U3311" i="16"/>
  <c r="V3310" i="16"/>
  <c r="U3312" i="16"/>
  <c r="V3311" i="16"/>
  <c r="U3313" i="16"/>
  <c r="V3312" i="16"/>
  <c r="U3314" i="16"/>
  <c r="V3313" i="16"/>
  <c r="U3315" i="16"/>
  <c r="V3314" i="16"/>
  <c r="U3316" i="16"/>
  <c r="V3315" i="16"/>
  <c r="V3316" i="16"/>
  <c r="U3317" i="16"/>
  <c r="V3317" i="16"/>
  <c r="U3318" i="16"/>
  <c r="V3318" i="16"/>
  <c r="U3319" i="16"/>
  <c r="V3319" i="16"/>
  <c r="U3320" i="16"/>
  <c r="V3320" i="16"/>
  <c r="U3321" i="16"/>
  <c r="V3321" i="16"/>
  <c r="U3322" i="16"/>
  <c r="V3322" i="16"/>
  <c r="U3323" i="16"/>
  <c r="V3323" i="16"/>
  <c r="U3324" i="16"/>
  <c r="U3325" i="16"/>
  <c r="V3324" i="16"/>
  <c r="U3326" i="16"/>
  <c r="V3325" i="16"/>
  <c r="U3327" i="16"/>
  <c r="V3326" i="16"/>
  <c r="U3328" i="16"/>
  <c r="V3327" i="16"/>
  <c r="U3329" i="16"/>
  <c r="V3328" i="16"/>
  <c r="V3329" i="16"/>
  <c r="U3330" i="16"/>
  <c r="U3331" i="16"/>
  <c r="V3330" i="16"/>
  <c r="V3331" i="16"/>
  <c r="U3332" i="16"/>
  <c r="U3333" i="16"/>
  <c r="V3332" i="16"/>
  <c r="U3334" i="16"/>
  <c r="V3333" i="16"/>
  <c r="V3334" i="16"/>
  <c r="U3335" i="16"/>
  <c r="V3335" i="16"/>
  <c r="U3336" i="16"/>
  <c r="V3336" i="16"/>
  <c r="U3337" i="16"/>
  <c r="U3338" i="16"/>
  <c r="V3337" i="16"/>
  <c r="U3339" i="16"/>
  <c r="V3338" i="16"/>
  <c r="U3340" i="16"/>
  <c r="V3339" i="16"/>
  <c r="V3340" i="16"/>
  <c r="U3341" i="16"/>
  <c r="V3341" i="16"/>
  <c r="U3342" i="16"/>
  <c r="V3342" i="16"/>
  <c r="U3343" i="16"/>
  <c r="U3344" i="16"/>
  <c r="V3343" i="16"/>
  <c r="U3345" i="16"/>
  <c r="V3344" i="16"/>
  <c r="V3345" i="16"/>
  <c r="U3346" i="16"/>
  <c r="V3346" i="16"/>
  <c r="U3347" i="16"/>
  <c r="V3347" i="16"/>
  <c r="U3348" i="16"/>
  <c r="V3348" i="16"/>
  <c r="U3349" i="16"/>
  <c r="U3350" i="16"/>
  <c r="V3349" i="16"/>
  <c r="V3350" i="16"/>
  <c r="U3351" i="16"/>
  <c r="U3352" i="16"/>
  <c r="V3351" i="16"/>
  <c r="U3353" i="16"/>
  <c r="V3352" i="16"/>
  <c r="U3354" i="16"/>
  <c r="V3353" i="16"/>
  <c r="U3355" i="16"/>
  <c r="V3354" i="16"/>
  <c r="U3356" i="16"/>
  <c r="V3355" i="16"/>
  <c r="V3356" i="16"/>
  <c r="U3357" i="16"/>
  <c r="U3358" i="16"/>
  <c r="V3357" i="16"/>
  <c r="V3358" i="16"/>
  <c r="U3359" i="16"/>
  <c r="V3359" i="16"/>
  <c r="U3360" i="16"/>
  <c r="U3361" i="16"/>
  <c r="V3360" i="16"/>
  <c r="U3362" i="16"/>
  <c r="V3361" i="16"/>
  <c r="V3362" i="16"/>
  <c r="U3363" i="16"/>
  <c r="U3364" i="16"/>
  <c r="V3363" i="16"/>
  <c r="V3364" i="16"/>
  <c r="U3365" i="16"/>
  <c r="V3365" i="16"/>
  <c r="U3366" i="16"/>
  <c r="V3366" i="16"/>
  <c r="U3367" i="16"/>
  <c r="V3367" i="16"/>
  <c r="U3368" i="16"/>
  <c r="V3368" i="16"/>
  <c r="U3369" i="16"/>
  <c r="U3370" i="16"/>
  <c r="V3369" i="16"/>
  <c r="V3370" i="16"/>
  <c r="U3371" i="16"/>
  <c r="U3372" i="16"/>
  <c r="V3371" i="16"/>
  <c r="U3373" i="16"/>
  <c r="V3372" i="16"/>
  <c r="U3374" i="16"/>
  <c r="V3373" i="16"/>
  <c r="U3375" i="16"/>
  <c r="V3374" i="16"/>
  <c r="V3375" i="16"/>
  <c r="U3376" i="16"/>
  <c r="V3376" i="16"/>
  <c r="U3377" i="16"/>
  <c r="V3377" i="16"/>
  <c r="U3378" i="16"/>
  <c r="U3379" i="16"/>
  <c r="V3378" i="16"/>
  <c r="V3379" i="16"/>
  <c r="U3380" i="16"/>
  <c r="U3381" i="16"/>
  <c r="V3380" i="16"/>
  <c r="U3382" i="16"/>
  <c r="V3381" i="16"/>
  <c r="U3383" i="16"/>
  <c r="V3382" i="16"/>
  <c r="U3384" i="16"/>
  <c r="V3383" i="16"/>
  <c r="U3385" i="16"/>
  <c r="V3384" i="16"/>
  <c r="V3385" i="16"/>
  <c r="U3386" i="16"/>
  <c r="V3386" i="16"/>
  <c r="U3387" i="16"/>
  <c r="V3387" i="16"/>
  <c r="U3388" i="16"/>
  <c r="V3388" i="16"/>
  <c r="U3389" i="16"/>
  <c r="U3390" i="16"/>
  <c r="V3389" i="16"/>
  <c r="U3391" i="16"/>
  <c r="V3390" i="16"/>
  <c r="V3391" i="16"/>
  <c r="U3392" i="16"/>
  <c r="U3393" i="16"/>
  <c r="V3392" i="16"/>
  <c r="U3394" i="16"/>
  <c r="V3393" i="16"/>
  <c r="V3394" i="16"/>
  <c r="U3395" i="16"/>
  <c r="V3395" i="16"/>
  <c r="U3396" i="16"/>
  <c r="V3396" i="16"/>
  <c r="U3397" i="16"/>
  <c r="V3397" i="16"/>
  <c r="U3398" i="16"/>
  <c r="U3399" i="16"/>
  <c r="V3398" i="16"/>
  <c r="U3400" i="16"/>
  <c r="V3399" i="16"/>
  <c r="U3401" i="16"/>
  <c r="V3400" i="16"/>
  <c r="U3402" i="16"/>
  <c r="V3401" i="16"/>
  <c r="V3402" i="16"/>
  <c r="U3403" i="16"/>
  <c r="V3403" i="16"/>
  <c r="U3404" i="16"/>
  <c r="U3405" i="16"/>
  <c r="V3404" i="16"/>
  <c r="U3406" i="16"/>
  <c r="V3405" i="16"/>
  <c r="V3406" i="16"/>
  <c r="U3407" i="16"/>
  <c r="V3407" i="16"/>
  <c r="U3408" i="16"/>
  <c r="V3408" i="16"/>
  <c r="U3409" i="16"/>
  <c r="V3409" i="16"/>
  <c r="U3410" i="16"/>
  <c r="V3410" i="16"/>
  <c r="U3411" i="16"/>
  <c r="U3412" i="16"/>
  <c r="V3411" i="16"/>
  <c r="U3413" i="16"/>
  <c r="V3412" i="16"/>
  <c r="V3413" i="16"/>
  <c r="U3414" i="16"/>
  <c r="V3414" i="16"/>
  <c r="U3415" i="16"/>
  <c r="U3416" i="16"/>
  <c r="V3415" i="16"/>
  <c r="U3417" i="16"/>
  <c r="V3416" i="16"/>
  <c r="U3418" i="16"/>
  <c r="V3417" i="16"/>
  <c r="U3419" i="16"/>
  <c r="V3418" i="16"/>
  <c r="V3419" i="16"/>
  <c r="U3420" i="16"/>
  <c r="V3420" i="16"/>
  <c r="U3421" i="16"/>
  <c r="V3421" i="16"/>
  <c r="U3422" i="16"/>
  <c r="V3422" i="16"/>
  <c r="U3423" i="16"/>
  <c r="V3423" i="16"/>
  <c r="U3424" i="16"/>
  <c r="V3424" i="16"/>
  <c r="U3425" i="16"/>
  <c r="U3426" i="16"/>
  <c r="V3425" i="16"/>
  <c r="U3427" i="16"/>
  <c r="V3426" i="16"/>
  <c r="V3427" i="16"/>
  <c r="U3428" i="16"/>
  <c r="V3428" i="16"/>
  <c r="U3429" i="16"/>
  <c r="V3429" i="16"/>
  <c r="U3430" i="16"/>
  <c r="U3431" i="16"/>
  <c r="V3430" i="16"/>
  <c r="U3432" i="16"/>
  <c r="V3431" i="16"/>
  <c r="V3432" i="16"/>
  <c r="U3433" i="16"/>
  <c r="U3434" i="16"/>
  <c r="V3433" i="16"/>
  <c r="U3435" i="16"/>
  <c r="V3434" i="16"/>
  <c r="V3435" i="16"/>
  <c r="U3436" i="16"/>
  <c r="V3436" i="16"/>
  <c r="U3437" i="16"/>
  <c r="U3438" i="16"/>
  <c r="V3437" i="16"/>
  <c r="V3438" i="16"/>
  <c r="U3439" i="16"/>
  <c r="U3440" i="16"/>
  <c r="V3439" i="16"/>
  <c r="V3440" i="16"/>
  <c r="U3441" i="16"/>
  <c r="U3442" i="16"/>
  <c r="V3441" i="16"/>
  <c r="V3442" i="16"/>
  <c r="U3443" i="16"/>
  <c r="V3443" i="16"/>
  <c r="U3444" i="16"/>
  <c r="U3445" i="16"/>
  <c r="V3444" i="16"/>
  <c r="V3445" i="16"/>
  <c r="U3446" i="16"/>
  <c r="V3446" i="16"/>
  <c r="U3447" i="16"/>
  <c r="U3448" i="16"/>
  <c r="V3447" i="16"/>
  <c r="U3449" i="16"/>
  <c r="V3448" i="16"/>
  <c r="U3450" i="16"/>
  <c r="V3449" i="16"/>
  <c r="U3451" i="16"/>
  <c r="V3450" i="16"/>
  <c r="V3451" i="16"/>
  <c r="U3452" i="16"/>
  <c r="U3453" i="16"/>
  <c r="V3452" i="16"/>
  <c r="V3453" i="16"/>
  <c r="U3454" i="16"/>
  <c r="U3455" i="16"/>
  <c r="V3454" i="16"/>
  <c r="U3456" i="16"/>
  <c r="V3455" i="16"/>
  <c r="U3457" i="16"/>
  <c r="V3456" i="16"/>
  <c r="V3457" i="16"/>
  <c r="U3458" i="16"/>
  <c r="U3459" i="16"/>
  <c r="V3458" i="16"/>
  <c r="V3459" i="16"/>
  <c r="U3460" i="16"/>
  <c r="V3460" i="16"/>
  <c r="U3461" i="16"/>
  <c r="V3461" i="16"/>
  <c r="U3462" i="16"/>
  <c r="V3462" i="16"/>
  <c r="U3463" i="16"/>
  <c r="V3463" i="16"/>
  <c r="U3464" i="16"/>
  <c r="V3464" i="16"/>
  <c r="U3465" i="16"/>
  <c r="U3466" i="16"/>
  <c r="V3465" i="16"/>
  <c r="V3466" i="16"/>
  <c r="U3467" i="16"/>
  <c r="V3467" i="16"/>
  <c r="U3468" i="16"/>
  <c r="U3469" i="16"/>
  <c r="V3468" i="16"/>
  <c r="V3469" i="16"/>
  <c r="U3470" i="16"/>
  <c r="U3471" i="16"/>
  <c r="V3470" i="16"/>
  <c r="V3471" i="16"/>
  <c r="U3472" i="16"/>
  <c r="U3473" i="16"/>
  <c r="V3472" i="16"/>
  <c r="V3473" i="16"/>
  <c r="U3474" i="16"/>
  <c r="U3475" i="16"/>
  <c r="V3474" i="16"/>
  <c r="V3475" i="16"/>
  <c r="U3476" i="16"/>
  <c r="V3476" i="16"/>
  <c r="U3477" i="16"/>
  <c r="U3478" i="16"/>
  <c r="V3477" i="16"/>
  <c r="U3479" i="16"/>
  <c r="V3478" i="16"/>
  <c r="V3479" i="16"/>
  <c r="U3480" i="16"/>
  <c r="V3480" i="16"/>
  <c r="U3481" i="16"/>
  <c r="V3481" i="16"/>
  <c r="U3482" i="16"/>
  <c r="V3482" i="16"/>
  <c r="U3483" i="16"/>
  <c r="V3483" i="16"/>
  <c r="U3484" i="16"/>
  <c r="U3485" i="16"/>
  <c r="V3484" i="16"/>
  <c r="V3485" i="16"/>
  <c r="U3486" i="16"/>
  <c r="U3487" i="16"/>
  <c r="V3486" i="16"/>
  <c r="U3488" i="16"/>
  <c r="V3487" i="16"/>
  <c r="U3489" i="16"/>
  <c r="V3488" i="16"/>
  <c r="V3489" i="16"/>
  <c r="U3490" i="16"/>
  <c r="V3490" i="16"/>
  <c r="U3491" i="16"/>
  <c r="U3492" i="16"/>
  <c r="V3491" i="16"/>
  <c r="V3492" i="16"/>
  <c r="U3493" i="16"/>
  <c r="U3494" i="16"/>
  <c r="V3493" i="16"/>
  <c r="U3495" i="16"/>
  <c r="V3494" i="16"/>
  <c r="V3495" i="16"/>
  <c r="U3496" i="16"/>
  <c r="V3496" i="16"/>
  <c r="U3497" i="16"/>
  <c r="V3497" i="16"/>
  <c r="U3498" i="16"/>
  <c r="V3498" i="16"/>
  <c r="U3499" i="16"/>
  <c r="V3499" i="16"/>
  <c r="U3500" i="16"/>
  <c r="V3500" i="16"/>
  <c r="U3501" i="16"/>
  <c r="V3501" i="16"/>
  <c r="U3502" i="16"/>
  <c r="U3503" i="16"/>
  <c r="V3502" i="16"/>
  <c r="U3504" i="16"/>
  <c r="V3503" i="16"/>
  <c r="U3505" i="16"/>
  <c r="V3504" i="16"/>
  <c r="V3505" i="16"/>
  <c r="U3506" i="16"/>
  <c r="V3506" i="16"/>
  <c r="U3507" i="16"/>
  <c r="U3508" i="16"/>
  <c r="V3507" i="16"/>
  <c r="V3508" i="16"/>
  <c r="U3509" i="16"/>
  <c r="V3509" i="16"/>
  <c r="U3510" i="16"/>
  <c r="U3511" i="16"/>
  <c r="V3510" i="16"/>
  <c r="U3512" i="16"/>
  <c r="V3511" i="16"/>
  <c r="V3512" i="16"/>
  <c r="U3513" i="16"/>
  <c r="V3513" i="16"/>
  <c r="U3514" i="16"/>
  <c r="V3514" i="16"/>
  <c r="U3515" i="16"/>
  <c r="U3516" i="16"/>
  <c r="V3515" i="16"/>
  <c r="V3516" i="16"/>
  <c r="U3517" i="16"/>
  <c r="U3518" i="16"/>
  <c r="V3517" i="16"/>
  <c r="V3518" i="16"/>
  <c r="U3519" i="16"/>
  <c r="U3520" i="16"/>
  <c r="V3519" i="16"/>
  <c r="U3521" i="16"/>
  <c r="V3520" i="16"/>
  <c r="V3521" i="16"/>
  <c r="U3522" i="16"/>
  <c r="U3523" i="16"/>
  <c r="V3522" i="16"/>
  <c r="V3523" i="16"/>
  <c r="U3524" i="16"/>
  <c r="U3525" i="16"/>
  <c r="V3524" i="16"/>
  <c r="V3525" i="16"/>
  <c r="U3526" i="16"/>
  <c r="U3527" i="16"/>
  <c r="V3526" i="16"/>
  <c r="V3527" i="16"/>
  <c r="U3528" i="16"/>
  <c r="U3529" i="16"/>
  <c r="V3528" i="16"/>
  <c r="U3530" i="16"/>
  <c r="V3529" i="16"/>
  <c r="V3530" i="16"/>
  <c r="U3531" i="16"/>
  <c r="V3531" i="16"/>
  <c r="U3532" i="16"/>
  <c r="U3533" i="16"/>
  <c r="V3532" i="16"/>
  <c r="U3534" i="16"/>
  <c r="V3533" i="16"/>
  <c r="V3534" i="16"/>
  <c r="U3535" i="16"/>
  <c r="V3535" i="16"/>
  <c r="U3536" i="16"/>
  <c r="V3536" i="16"/>
  <c r="U3537" i="16"/>
  <c r="U3538" i="16"/>
  <c r="V3537" i="16"/>
  <c r="U3539" i="16"/>
  <c r="V3538" i="16"/>
  <c r="V3539" i="16"/>
  <c r="U3540" i="16"/>
  <c r="V3540" i="16"/>
  <c r="U3541" i="16"/>
  <c r="V3541" i="16"/>
  <c r="U3542" i="16"/>
  <c r="V3542" i="16"/>
  <c r="U3543" i="16"/>
  <c r="V3543" i="16"/>
  <c r="U3544" i="16"/>
  <c r="U3545" i="16"/>
  <c r="V3544" i="16"/>
  <c r="V3545" i="16"/>
  <c r="U3546" i="16"/>
  <c r="U3547" i="16"/>
  <c r="V3546" i="16"/>
  <c r="U3548" i="16"/>
  <c r="V3547" i="16"/>
  <c r="V3548" i="16"/>
  <c r="U3549" i="16"/>
  <c r="E132" i="5" l="1"/>
  <c r="E133" i="5"/>
  <c r="E134" i="5"/>
  <c r="J15" i="15"/>
  <c r="K15" i="15"/>
  <c r="D16" i="15"/>
  <c r="F15" i="15"/>
  <c r="H15" i="15"/>
  <c r="V3549" i="16"/>
  <c r="M14" i="15"/>
  <c r="L15" i="15"/>
  <c r="E135" i="5" l="1"/>
  <c r="H16" i="15"/>
  <c r="D17" i="15"/>
  <c r="F16" i="15"/>
  <c r="J16" i="15"/>
  <c r="K16" i="15"/>
  <c r="L16" i="15"/>
  <c r="M15" i="15"/>
  <c r="E136" i="5" l="1"/>
  <c r="F17" i="15"/>
  <c r="H17" i="15"/>
  <c r="D18" i="15"/>
  <c r="J17" i="15"/>
  <c r="K17" i="15"/>
  <c r="M16" i="15"/>
  <c r="L17" i="15"/>
  <c r="E137" i="5" l="1"/>
  <c r="D19" i="15"/>
  <c r="K18" i="15"/>
  <c r="F18" i="15"/>
  <c r="H18" i="15"/>
  <c r="J18" i="15"/>
  <c r="M17" i="15"/>
  <c r="L18" i="15"/>
  <c r="E138" i="5" l="1"/>
  <c r="J19" i="15"/>
  <c r="K19" i="15"/>
  <c r="D20" i="15"/>
  <c r="F19" i="15"/>
  <c r="H19" i="15"/>
  <c r="L19" i="15"/>
  <c r="M18" i="15"/>
  <c r="E139" i="5" l="1"/>
  <c r="H20" i="15"/>
  <c r="J20" i="15"/>
  <c r="D21" i="15"/>
  <c r="F20" i="15"/>
  <c r="K20" i="15"/>
  <c r="M19" i="15"/>
  <c r="L20" i="15"/>
  <c r="E140" i="5" l="1"/>
  <c r="F21" i="15"/>
  <c r="H21" i="15"/>
  <c r="J21" i="15"/>
  <c r="K21" i="15"/>
  <c r="D22" i="15"/>
  <c r="M20" i="15"/>
  <c r="L21" i="15"/>
  <c r="E141" i="5" l="1"/>
  <c r="K22" i="15"/>
  <c r="D23" i="15"/>
  <c r="F22" i="15"/>
  <c r="J22" i="15"/>
  <c r="H22" i="15"/>
  <c r="M21" i="15"/>
  <c r="L22" i="15"/>
  <c r="E142" i="5" l="1"/>
  <c r="J23" i="15"/>
  <c r="D24" i="15"/>
  <c r="K23" i="15"/>
  <c r="F23" i="15"/>
  <c r="H23" i="15"/>
  <c r="M22" i="15"/>
  <c r="L23" i="15"/>
  <c r="E143" i="5" l="1"/>
  <c r="H24" i="15"/>
  <c r="F24" i="15"/>
  <c r="J24" i="15"/>
  <c r="K24" i="15"/>
  <c r="D25" i="15"/>
  <c r="L24" i="15"/>
  <c r="M23" i="15"/>
  <c r="E144" i="5" l="1"/>
  <c r="F25" i="15"/>
  <c r="H25" i="15"/>
  <c r="J25" i="15"/>
  <c r="K25" i="15"/>
  <c r="D26" i="15"/>
  <c r="L25" i="15"/>
  <c r="M24" i="15"/>
  <c r="E145" i="5" l="1"/>
  <c r="D27" i="15"/>
  <c r="K26" i="15"/>
  <c r="H26" i="15"/>
  <c r="J26" i="15"/>
  <c r="F26" i="15"/>
  <c r="L26" i="15"/>
  <c r="M25" i="15"/>
  <c r="E146" i="5" l="1"/>
  <c r="J27" i="15"/>
  <c r="K27" i="15"/>
  <c r="F27" i="15"/>
  <c r="H27" i="15"/>
  <c r="D28" i="15"/>
  <c r="M26" i="15"/>
  <c r="L27" i="15"/>
  <c r="E147" i="5" l="1"/>
  <c r="H28" i="15"/>
  <c r="J28" i="15"/>
  <c r="F28" i="15"/>
  <c r="K28" i="15"/>
  <c r="D29" i="15"/>
  <c r="M27" i="15"/>
  <c r="L28" i="15"/>
  <c r="E148" i="5" l="1"/>
  <c r="F29" i="15"/>
  <c r="H29" i="15"/>
  <c r="K29" i="15"/>
  <c r="D30" i="15"/>
  <c r="J29" i="15"/>
  <c r="M28" i="15"/>
  <c r="L29" i="15"/>
  <c r="E149" i="5" l="1"/>
  <c r="D31" i="15"/>
  <c r="F30" i="15"/>
  <c r="H30" i="15"/>
  <c r="J30" i="15"/>
  <c r="K30" i="15"/>
  <c r="L30" i="15"/>
  <c r="M29" i="15"/>
  <c r="E150" i="5" l="1"/>
  <c r="D32" i="15"/>
  <c r="F31" i="15"/>
  <c r="H31" i="15"/>
  <c r="J31" i="15"/>
  <c r="K31" i="15"/>
  <c r="M30" i="15"/>
  <c r="L31" i="15"/>
  <c r="E151" i="5" l="1"/>
  <c r="F32" i="15"/>
  <c r="H32" i="15"/>
  <c r="J32" i="15"/>
  <c r="K32" i="15"/>
  <c r="D33" i="15"/>
  <c r="M31" i="15"/>
  <c r="L32" i="15"/>
  <c r="E152" i="5" l="1"/>
  <c r="F33" i="15"/>
  <c r="H33" i="15"/>
  <c r="J33" i="15"/>
  <c r="K33" i="15"/>
  <c r="D34" i="15"/>
  <c r="L33" i="15"/>
  <c r="M32" i="15"/>
  <c r="E153" i="5" l="1"/>
  <c r="K34" i="15"/>
  <c r="H34" i="15"/>
  <c r="J34" i="15"/>
  <c r="F34" i="15"/>
  <c r="D35" i="15"/>
  <c r="M33" i="15"/>
  <c r="L34" i="15"/>
  <c r="E154" i="5" l="1"/>
  <c r="J35" i="15"/>
  <c r="K35" i="15"/>
  <c r="F35" i="15"/>
  <c r="H35" i="15"/>
  <c r="D36" i="15"/>
  <c r="L35" i="15"/>
  <c r="M34" i="15"/>
  <c r="E155" i="5" l="1"/>
  <c r="H36" i="15"/>
  <c r="J36" i="15"/>
  <c r="D37" i="15"/>
  <c r="F36" i="15"/>
  <c r="K36" i="15"/>
  <c r="M35" i="15"/>
  <c r="L36" i="15"/>
  <c r="E156" i="5" l="1"/>
  <c r="F37" i="15"/>
  <c r="H37" i="15"/>
  <c r="D38" i="15"/>
  <c r="J37" i="15"/>
  <c r="K37" i="15"/>
  <c r="L37" i="15"/>
  <c r="M36" i="15"/>
  <c r="E157" i="5" l="1"/>
  <c r="D39" i="15"/>
  <c r="F38" i="15"/>
  <c r="H38" i="15"/>
  <c r="J38" i="15"/>
  <c r="K38" i="15"/>
  <c r="L38" i="15"/>
  <c r="M37" i="15"/>
  <c r="E158" i="5" l="1"/>
  <c r="D40" i="15"/>
  <c r="F39" i="15"/>
  <c r="H39" i="15"/>
  <c r="J39" i="15"/>
  <c r="K39" i="15"/>
  <c r="M38" i="15"/>
  <c r="L39" i="15"/>
  <c r="E159" i="5" l="1"/>
  <c r="H40" i="15"/>
  <c r="J40" i="15"/>
  <c r="K40" i="15"/>
  <c r="F40" i="15"/>
  <c r="D41" i="15"/>
  <c r="M39" i="15"/>
  <c r="L40" i="15"/>
  <c r="E160" i="5" l="1"/>
  <c r="J41" i="15"/>
  <c r="K41" i="15"/>
  <c r="F41" i="15"/>
  <c r="H41" i="15"/>
  <c r="D42" i="15"/>
  <c r="M40" i="15"/>
  <c r="L41" i="15"/>
  <c r="E161" i="5" l="1"/>
  <c r="K42" i="15"/>
  <c r="F42" i="15"/>
  <c r="H42" i="15"/>
  <c r="J42" i="15"/>
  <c r="L3" i="15"/>
  <c r="M41" i="15"/>
  <c r="L42" i="15"/>
  <c r="E162" i="5" l="1"/>
  <c r="L2" i="13"/>
  <c r="K2" i="13"/>
  <c r="K46" i="13" s="1"/>
  <c r="D6" i="13" a="1"/>
  <c r="D8" i="13" s="1"/>
  <c r="E6" i="13" a="1"/>
  <c r="E42" i="13" s="1"/>
  <c r="J44" i="13"/>
  <c r="J45" i="13"/>
  <c r="J46" i="13"/>
  <c r="J47" i="13"/>
  <c r="J48" i="13"/>
  <c r="J49" i="13"/>
  <c r="J50" i="13"/>
  <c r="M42" i="15"/>
  <c r="M3" i="15"/>
  <c r="K47" i="13" l="1"/>
  <c r="K48" i="13"/>
  <c r="K44" i="13"/>
  <c r="D32" i="13"/>
  <c r="E10" i="13"/>
  <c r="D40" i="13"/>
  <c r="F40" i="13" s="1"/>
  <c r="E34" i="13"/>
  <c r="D29" i="13"/>
  <c r="D24" i="13"/>
  <c r="H24" i="13" s="1"/>
  <c r="E18" i="13"/>
  <c r="D13" i="13"/>
  <c r="F13" i="13" s="1"/>
  <c r="E7" i="13"/>
  <c r="K49" i="13"/>
  <c r="K45"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3" i="13"/>
  <c r="K50"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14" i="13" l="1"/>
  <c r="K18" i="13"/>
  <c r="H13" i="13"/>
  <c r="J40" i="13"/>
  <c r="J27" i="13"/>
  <c r="J34" i="13"/>
  <c r="H35" i="13"/>
  <c r="K21" i="13"/>
  <c r="J29" i="13"/>
  <c r="K4" i="13"/>
  <c r="F12" i="13"/>
  <c r="J32" i="13"/>
  <c r="J37" i="13"/>
  <c r="H18" i="13"/>
  <c r="K41" i="13"/>
  <c r="H14" i="13"/>
  <c r="J33" i="13"/>
  <c r="F17" i="13"/>
  <c r="J16" i="13"/>
  <c r="H30" i="13"/>
  <c r="F15" i="13"/>
  <c r="K8" i="13"/>
  <c r="F10" i="13"/>
  <c r="J14" i="13"/>
  <c r="J38" i="13"/>
  <c r="J15" i="13"/>
  <c r="K32" i="13"/>
  <c r="F9" i="13"/>
  <c r="J26" i="13"/>
  <c r="F21" i="13"/>
  <c r="H40" i="13"/>
  <c r="J12" i="13"/>
  <c r="J13" i="13"/>
  <c r="H6" i="13"/>
  <c r="K15" i="13"/>
  <c r="J9" i="13"/>
  <c r="J19" i="13"/>
  <c r="K37" i="13"/>
  <c r="H26" i="13"/>
  <c r="F19" i="13"/>
  <c r="K6" i="13"/>
  <c r="F6" i="13"/>
  <c r="J21" i="13"/>
  <c r="K10" i="13"/>
  <c r="H38" i="13"/>
  <c r="J10" i="13"/>
  <c r="H42" i="13"/>
  <c r="K38" i="13"/>
  <c r="F38" i="13"/>
  <c r="K7" i="13"/>
  <c r="H32" i="13"/>
  <c r="F42" i="13"/>
  <c r="H41" i="13"/>
  <c r="K19" i="13"/>
  <c r="K26" i="13"/>
  <c r="F37" i="13"/>
  <c r="J7" i="13"/>
  <c r="F32" i="13"/>
  <c r="F14" i="13"/>
  <c r="F41" i="13"/>
  <c r="F20" i="13"/>
  <c r="K25" i="13"/>
  <c r="K31" i="13"/>
  <c r="J18" i="13"/>
  <c r="H7" i="13"/>
  <c r="K20" i="13"/>
  <c r="K35" i="13"/>
  <c r="K28" i="13"/>
  <c r="K39" i="13"/>
  <c r="K9" i="13"/>
  <c r="J6" i="13"/>
  <c r="F25" i="13"/>
  <c r="K17" i="13"/>
  <c r="K30" i="13"/>
  <c r="J25" i="13"/>
  <c r="H33" i="13"/>
  <c r="J28" i="13"/>
  <c r="J35" i="13"/>
  <c r="F31" i="13"/>
  <c r="F22" i="13"/>
  <c r="H34" i="13"/>
  <c r="H29" i="13"/>
  <c r="J11" i="13"/>
  <c r="F24" i="13"/>
  <c r="K42" i="13"/>
  <c r="H36" i="13"/>
  <c r="J31" i="13"/>
  <c r="F34" i="13"/>
  <c r="F29" i="13"/>
  <c r="F11" i="13"/>
  <c r="K24" i="13"/>
  <c r="K40" i="13"/>
  <c r="K16" i="13"/>
  <c r="F33" i="13"/>
  <c r="J41" i="13"/>
  <c r="F23" i="13"/>
  <c r="J36" i="13"/>
  <c r="F27" i="13"/>
  <c r="F16" i="13"/>
  <c r="J23" i="13"/>
  <c r="K34" i="13"/>
  <c r="K29" i="13"/>
  <c r="K11" i="13"/>
  <c r="J24" i="13"/>
  <c r="J30" i="13"/>
  <c r="K33" i="13"/>
  <c r="F28" i="13"/>
  <c r="K23" i="13"/>
  <c r="H39" i="13"/>
  <c r="K27" i="13"/>
  <c r="J22" i="13"/>
  <c r="K36" i="13"/>
  <c r="K13" i="13"/>
  <c r="J20" i="13"/>
  <c r="J17" i="13"/>
  <c r="K12" i="13"/>
  <c r="K22" i="13"/>
  <c r="J39" i="13"/>
  <c r="T6" i="13"/>
  <c r="L4" i="13"/>
  <c r="L23" i="13"/>
  <c r="L13" i="13"/>
  <c r="L8" i="13"/>
  <c r="L30" i="13"/>
  <c r="L39" i="13"/>
  <c r="L35" i="13"/>
  <c r="L42" i="13"/>
  <c r="L6" i="13"/>
  <c r="L27" i="13"/>
  <c r="L38" i="13"/>
  <c r="L22" i="13"/>
  <c r="L25" i="13"/>
  <c r="L12" i="13"/>
  <c r="L40" i="13"/>
  <c r="L20" i="13"/>
  <c r="L7" i="13"/>
  <c r="L36" i="13"/>
  <c r="L50" i="13"/>
  <c r="L33" i="13"/>
  <c r="L19" i="13"/>
  <c r="L45" i="13"/>
  <c r="L18" i="13"/>
  <c r="L31" i="13"/>
  <c r="L15" i="13"/>
  <c r="L26" i="13"/>
  <c r="L28" i="13"/>
  <c r="L48" i="13"/>
  <c r="L37" i="13"/>
  <c r="L16" i="13"/>
  <c r="L10" i="13"/>
  <c r="L29" i="13"/>
  <c r="L17" i="13"/>
  <c r="L32" i="13"/>
  <c r="L24" i="13"/>
  <c r="L14" i="13"/>
  <c r="L41" i="13"/>
  <c r="L49" i="13"/>
  <c r="L9" i="13"/>
  <c r="L11" i="13"/>
  <c r="L34" i="13"/>
  <c r="M4" i="13"/>
  <c r="L44" i="13"/>
  <c r="L46" i="13"/>
  <c r="L47" i="13"/>
  <c r="L21" i="13"/>
  <c r="L3" i="13" l="1"/>
  <c r="E108" i="5"/>
  <c r="E122" i="5"/>
  <c r="E121" i="5"/>
  <c r="E102" i="5"/>
  <c r="E100" i="5"/>
  <c r="E112" i="5"/>
  <c r="E109" i="5"/>
  <c r="E90" i="5"/>
  <c r="E105" i="5"/>
  <c r="E92" i="5"/>
  <c r="E93" i="5"/>
  <c r="E115" i="5"/>
  <c r="E89" i="5"/>
  <c r="E94" i="5"/>
  <c r="E119" i="5"/>
  <c r="E103" i="5"/>
  <c r="E110" i="5"/>
  <c r="E125" i="5"/>
  <c r="E118" i="5"/>
  <c r="E97" i="5"/>
  <c r="E106" i="5"/>
  <c r="E96" i="5"/>
  <c r="E95" i="5"/>
  <c r="E107" i="5"/>
  <c r="E104" i="5"/>
  <c r="E123" i="5"/>
  <c r="E124" i="5"/>
  <c r="E98" i="5"/>
  <c r="E101" i="5"/>
  <c r="E111" i="5"/>
  <c r="E99" i="5"/>
  <c r="E116" i="5"/>
  <c r="E113" i="5"/>
  <c r="E117" i="5"/>
  <c r="E120" i="5"/>
  <c r="E91" i="5"/>
  <c r="E114" i="5"/>
  <c r="H1" i="11"/>
  <c r="H2"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M13" i="13"/>
  <c r="M49" i="13"/>
  <c r="M7" i="13"/>
  <c r="M50" i="13"/>
  <c r="M26" i="13"/>
  <c r="M41" i="13"/>
  <c r="M30" i="13"/>
  <c r="M24" i="13"/>
  <c r="M42" i="13"/>
  <c r="M23" i="13"/>
  <c r="M46" i="13"/>
  <c r="M22" i="13"/>
  <c r="M37" i="13"/>
  <c r="M48" i="13"/>
  <c r="M10" i="13"/>
  <c r="M19" i="13"/>
  <c r="M47" i="13"/>
  <c r="M38" i="13"/>
  <c r="M33" i="13"/>
  <c r="M32" i="13"/>
  <c r="M34" i="13"/>
  <c r="M8" i="13"/>
  <c r="M6" i="13"/>
  <c r="M17" i="13"/>
  <c r="M44" i="13"/>
  <c r="M3" i="13"/>
  <c r="M40" i="13"/>
  <c r="M36" i="13"/>
  <c r="M15" i="13"/>
  <c r="M35" i="13"/>
  <c r="M16" i="13"/>
  <c r="M18" i="13"/>
  <c r="M31" i="13"/>
  <c r="M21" i="13"/>
  <c r="M27" i="13"/>
  <c r="M25" i="13"/>
  <c r="M39" i="13"/>
  <c r="M20" i="13"/>
  <c r="M9" i="13"/>
  <c r="M12" i="13"/>
  <c r="M29" i="13"/>
  <c r="M11" i="13"/>
  <c r="M28" i="13"/>
  <c r="M14" i="13"/>
  <c r="M45" i="13"/>
  <c r="H24" i="11" l="1"/>
  <c r="G24" i="11"/>
  <c r="F24" i="11"/>
  <c r="F13" i="11"/>
  <c r="G13" i="11"/>
  <c r="H13" i="11"/>
  <c r="F43" i="11"/>
  <c r="G43" i="11"/>
  <c r="H43" i="11"/>
  <c r="F20" i="11"/>
  <c r="H20" i="11"/>
  <c r="G20" i="11"/>
  <c r="F22" i="11"/>
  <c r="G22" i="11"/>
  <c r="H22" i="11"/>
  <c r="F30" i="11"/>
  <c r="G30" i="11"/>
  <c r="H30" i="11"/>
  <c r="F5" i="11"/>
  <c r="G5" i="11"/>
  <c r="H5" i="11"/>
  <c r="F35" i="11"/>
  <c r="G35" i="11"/>
  <c r="H35" i="11"/>
  <c r="F12" i="11"/>
  <c r="H12" i="11"/>
  <c r="G12" i="11"/>
  <c r="H16" i="11"/>
  <c r="G16" i="11"/>
  <c r="F16" i="11"/>
  <c r="H41" i="11"/>
  <c r="G41" i="11"/>
  <c r="F41" i="11"/>
  <c r="G39" i="11"/>
  <c r="H39" i="11"/>
  <c r="F39" i="11"/>
  <c r="F44" i="11"/>
  <c r="H44" i="11"/>
  <c r="G44" i="11"/>
  <c r="F27" i="11"/>
  <c r="H27" i="11"/>
  <c r="G27" i="11"/>
  <c r="F4" i="11"/>
  <c r="H4" i="11"/>
  <c r="G4" i="11"/>
  <c r="H33" i="11"/>
  <c r="F33" i="11"/>
  <c r="G33" i="11"/>
  <c r="G31" i="11"/>
  <c r="H31" i="11"/>
  <c r="F31" i="11"/>
  <c r="H42" i="11"/>
  <c r="G42" i="11"/>
  <c r="F42" i="11"/>
  <c r="F19" i="11"/>
  <c r="G19" i="11"/>
  <c r="H19" i="11"/>
  <c r="H32" i="11"/>
  <c r="G32" i="11"/>
  <c r="F32" i="11"/>
  <c r="H40" i="11"/>
  <c r="G40" i="11"/>
  <c r="F40" i="11"/>
  <c r="F14" i="11"/>
  <c r="G14" i="11"/>
  <c r="H14" i="11"/>
  <c r="H25" i="11"/>
  <c r="G25" i="11"/>
  <c r="F25" i="11"/>
  <c r="G23" i="11"/>
  <c r="H23" i="11"/>
  <c r="F23" i="11"/>
  <c r="H34" i="11"/>
  <c r="G34" i="11"/>
  <c r="F34" i="11"/>
  <c r="F11" i="11"/>
  <c r="G11" i="11"/>
  <c r="H11" i="11"/>
  <c r="H8" i="11"/>
  <c r="G8" i="11"/>
  <c r="F8" i="11"/>
  <c r="F38" i="11"/>
  <c r="G38" i="11"/>
  <c r="H38" i="11"/>
  <c r="H17" i="11"/>
  <c r="G17" i="11"/>
  <c r="F17" i="11"/>
  <c r="G15" i="11"/>
  <c r="H15" i="11"/>
  <c r="F15" i="11"/>
  <c r="F37" i="11"/>
  <c r="G37" i="11"/>
  <c r="H37" i="11"/>
  <c r="H26" i="11"/>
  <c r="F26" i="11"/>
  <c r="G26" i="11"/>
  <c r="F3" i="11"/>
  <c r="H3" i="11"/>
  <c r="G3" i="11"/>
  <c r="F6" i="11"/>
  <c r="G6" i="11"/>
  <c r="H6" i="11"/>
  <c r="H9" i="11"/>
  <c r="F9" i="11"/>
  <c r="G9" i="11"/>
  <c r="G7" i="11"/>
  <c r="H7" i="11"/>
  <c r="F7" i="11"/>
  <c r="F29" i="11"/>
  <c r="G29" i="11"/>
  <c r="H29" i="11"/>
  <c r="H18" i="11"/>
  <c r="G18" i="11"/>
  <c r="F18" i="11"/>
  <c r="F36" i="11"/>
  <c r="H36" i="11"/>
  <c r="G36" i="11"/>
  <c r="F21" i="11"/>
  <c r="G21" i="11"/>
  <c r="H21" i="11"/>
  <c r="H10" i="11"/>
  <c r="F10" i="11"/>
  <c r="G10" i="11"/>
  <c r="F28" i="11"/>
  <c r="H28" i="11"/>
  <c r="G28" i="11"/>
  <c r="I3" i="11"/>
  <c r="I20" i="11"/>
  <c r="I11" i="11"/>
  <c r="I24" i="11"/>
  <c r="I38" i="11"/>
  <c r="I40" i="11"/>
  <c r="I6" i="11"/>
  <c r="I23" i="11"/>
  <c r="I18" i="11"/>
  <c r="I43" i="11"/>
  <c r="I42" i="11"/>
  <c r="I19" i="11"/>
  <c r="I36" i="11"/>
  <c r="I31" i="11"/>
  <c r="I44" i="11"/>
  <c r="I13" i="11"/>
  <c r="I33" i="11"/>
  <c r="I41" i="11"/>
  <c r="I39" i="11"/>
  <c r="I22" i="11"/>
  <c r="I8" i="11"/>
  <c r="I4" i="11"/>
  <c r="I26" i="11"/>
  <c r="I7" i="11"/>
  <c r="I5" i="11"/>
  <c r="I14" i="11"/>
  <c r="I32" i="11"/>
  <c r="I21" i="11"/>
  <c r="I29" i="11"/>
  <c r="I37" i="11"/>
  <c r="I10" i="11"/>
  <c r="I25" i="11"/>
  <c r="I15" i="11"/>
  <c r="I34" i="11"/>
  <c r="I30" i="11"/>
  <c r="I12" i="11"/>
  <c r="M3" i="11"/>
  <c r="I35" i="11"/>
  <c r="I9" i="11"/>
  <c r="I28" i="11"/>
  <c r="I16" i="11"/>
  <c r="I17" i="11"/>
  <c r="I27" i="11"/>
  <c r="E61" i="5" l="1"/>
  <c r="E69" i="5"/>
  <c r="E39" i="5"/>
  <c r="E59" i="5"/>
  <c r="E50" i="5"/>
  <c r="E31" i="5"/>
  <c r="E62" i="5"/>
  <c r="E51" i="5"/>
  <c r="E66" i="5"/>
  <c r="E43" i="5"/>
  <c r="E67" i="5"/>
  <c r="E44" i="5"/>
  <c r="E30" i="5"/>
  <c r="E68" i="5"/>
  <c r="E33" i="5"/>
  <c r="E34" i="5"/>
  <c r="E48" i="5"/>
  <c r="E54" i="5"/>
  <c r="E37" i="5"/>
  <c r="E56" i="5"/>
  <c r="E46" i="5"/>
  <c r="E65" i="5"/>
  <c r="E29" i="5"/>
  <c r="E40" i="5"/>
  <c r="E55" i="5"/>
  <c r="E32" i="5"/>
  <c r="E64" i="5"/>
  <c r="E70" i="5"/>
  <c r="E49" i="5"/>
  <c r="E47" i="5"/>
  <c r="E63" i="5"/>
  <c r="E42" i="5"/>
  <c r="E35" i="5"/>
  <c r="E58" i="5"/>
  <c r="E52" i="5"/>
  <c r="E36" i="5"/>
  <c r="E60" i="5"/>
  <c r="E57" i="5"/>
  <c r="E38" i="5"/>
  <c r="E45" i="5"/>
  <c r="E41" i="5"/>
  <c r="E53" i="5"/>
  <c r="C3" i="9"/>
  <c r="F3" i="9" s="1"/>
  <c r="C4" i="9"/>
  <c r="F4" i="9" s="1"/>
  <c r="B5" i="9"/>
  <c r="D5" i="9"/>
  <c r="F5" i="9" s="1"/>
  <c r="B6" i="9"/>
  <c r="D6" i="9"/>
  <c r="F6" i="9" s="1"/>
  <c r="B7" i="9"/>
  <c r="D7" i="9"/>
  <c r="F7" i="9" s="1"/>
  <c r="B8" i="9"/>
  <c r="D8" i="9"/>
  <c r="F8" i="9" s="1"/>
  <c r="B9" i="9"/>
  <c r="D9" i="9"/>
  <c r="F9" i="9" s="1"/>
  <c r="B10" i="9"/>
  <c r="D10" i="9"/>
  <c r="F10" i="9" s="1"/>
  <c r="E1" i="9"/>
  <c r="L4" i="9"/>
  <c r="J36" i="11"/>
  <c r="J23" i="11"/>
  <c r="J19" i="11"/>
  <c r="J37" i="11"/>
  <c r="J43" i="11"/>
  <c r="J25" i="11"/>
  <c r="J34" i="11"/>
  <c r="J40" i="11"/>
  <c r="J18" i="11"/>
  <c r="J30" i="11"/>
  <c r="J3" i="11"/>
  <c r="J5" i="11"/>
  <c r="J12" i="11"/>
  <c r="J38" i="11"/>
  <c r="J16" i="11"/>
  <c r="J17" i="11"/>
  <c r="J22" i="11"/>
  <c r="J13" i="11"/>
  <c r="J33" i="11"/>
  <c r="J26" i="11"/>
  <c r="J10" i="11"/>
  <c r="J7" i="11"/>
  <c r="J32" i="11"/>
  <c r="J15" i="11"/>
  <c r="J9" i="11"/>
  <c r="J24" i="11"/>
  <c r="J11" i="11"/>
  <c r="J8" i="11"/>
  <c r="J42" i="11"/>
  <c r="J4" i="11"/>
  <c r="J21" i="11"/>
  <c r="J29" i="11"/>
  <c r="F32" i="5"/>
  <c r="J20" i="11"/>
  <c r="J31" i="11"/>
  <c r="J6" i="11"/>
  <c r="J41" i="11"/>
  <c r="J35" i="11"/>
  <c r="J14" i="11"/>
  <c r="J28" i="11"/>
  <c r="J44" i="11"/>
  <c r="J27" i="11"/>
  <c r="J39" i="11"/>
  <c r="O32" i="5" l="1"/>
  <c r="E5" i="9"/>
  <c r="G1" i="9"/>
  <c r="G2" i="9" s="1"/>
  <c r="E10" i="9"/>
  <c r="E3" i="9"/>
  <c r="E6" i="9"/>
  <c r="E8" i="9"/>
  <c r="E4" i="9"/>
  <c r="E7" i="9"/>
  <c r="E9" i="9"/>
  <c r="G7" i="9" l="1"/>
  <c r="G10" i="9"/>
  <c r="G6" i="9"/>
  <c r="G9" i="9"/>
  <c r="G8" i="9"/>
  <c r="G3" i="9"/>
  <c r="G5" i="9"/>
  <c r="G4" i="9"/>
  <c r="J1" i="7"/>
  <c r="J2" i="7" s="1"/>
  <c r="I3" i="7"/>
  <c r="I4" i="7"/>
  <c r="I5" i="7"/>
  <c r="I6" i="7"/>
  <c r="I7" i="7"/>
  <c r="I8" i="7"/>
  <c r="F1" i="7"/>
  <c r="I9" i="7"/>
  <c r="H2" i="9"/>
  <c r="O5" i="7"/>
  <c r="D4" i="7"/>
  <c r="H8" i="9"/>
  <c r="H6" i="7"/>
  <c r="F7" i="7"/>
  <c r="D5" i="7"/>
  <c r="H9" i="7"/>
  <c r="H6" i="9"/>
  <c r="E4" i="7"/>
  <c r="E6" i="7"/>
  <c r="H4" i="9"/>
  <c r="D7" i="7"/>
  <c r="D8" i="7"/>
  <c r="H3" i="7"/>
  <c r="H7" i="7"/>
  <c r="H5" i="9"/>
  <c r="G8" i="7"/>
  <c r="E7" i="7"/>
  <c r="E3" i="7"/>
  <c r="D3" i="7"/>
  <c r="G7" i="7"/>
  <c r="H9" i="9"/>
  <c r="F8" i="7"/>
  <c r="H7" i="9"/>
  <c r="H10" i="9"/>
  <c r="H4" i="7"/>
  <c r="E9" i="7"/>
  <c r="E8" i="7"/>
  <c r="H3" i="9"/>
  <c r="H8" i="7"/>
  <c r="D9" i="7"/>
  <c r="D6" i="7"/>
  <c r="H5" i="7"/>
  <c r="E5" i="7"/>
  <c r="G9" i="7"/>
  <c r="F9" i="7"/>
  <c r="E9" i="5" l="1"/>
  <c r="E10" i="5"/>
  <c r="J8" i="7"/>
  <c r="J5" i="7"/>
  <c r="J7" i="7"/>
  <c r="J4" i="7"/>
  <c r="J9" i="7"/>
  <c r="J6" i="7"/>
  <c r="J3" i="7"/>
  <c r="K2" i="7"/>
  <c r="K8" i="7"/>
  <c r="I7" i="9"/>
  <c r="K5" i="7"/>
  <c r="I10" i="9"/>
  <c r="I8" i="9"/>
  <c r="I3" i="9"/>
  <c r="K3" i="7"/>
  <c r="I4" i="9"/>
  <c r="K4" i="7"/>
  <c r="K7" i="7"/>
  <c r="I2" i="9"/>
  <c r="I9" i="9"/>
  <c r="K6" i="7"/>
  <c r="K9" i="7"/>
  <c r="I5" i="9"/>
  <c r="I6" i="9"/>
  <c r="E3" i="5" l="1"/>
  <c r="E6" i="5"/>
  <c r="E4" i="5"/>
  <c r="E7" i="5"/>
  <c r="E2" i="5"/>
  <c r="E8" i="5"/>
  <c r="E5" i="5"/>
  <c r="D7" i="6"/>
  <c r="D8" i="6"/>
  <c r="D23" i="6"/>
  <c r="C9" i="5"/>
  <c r="C10" i="5"/>
  <c r="D11" i="5"/>
  <c r="D12" i="5"/>
  <c r="D13" i="5"/>
  <c r="D14" i="5"/>
  <c r="D15" i="5"/>
  <c r="D16" i="5"/>
  <c r="D17" i="5"/>
  <c r="D18" i="5"/>
  <c r="D19" i="5"/>
  <c r="D20" i="5"/>
  <c r="D21" i="5"/>
  <c r="D22" i="5"/>
  <c r="D23" i="5"/>
  <c r="D24" i="5"/>
  <c r="D25" i="5"/>
  <c r="D26" i="5"/>
  <c r="D27" i="5"/>
  <c r="D28" i="5"/>
  <c r="D6" i="6"/>
  <c r="L4" i="7"/>
  <c r="D29" i="5" a="1"/>
  <c r="L7" i="7"/>
  <c r="L3" i="7"/>
  <c r="B1" i="6"/>
  <c r="L9" i="7"/>
  <c r="L6" i="7"/>
  <c r="L5" i="7"/>
  <c r="L2" i="7"/>
  <c r="L8" i="7"/>
  <c r="D21" i="6"/>
  <c r="D9" i="6" l="1"/>
  <c r="D16" i="6"/>
  <c r="D20" i="6"/>
  <c r="C30" i="5"/>
  <c r="E20" i="6"/>
  <c r="C29" i="5"/>
  <c r="D30" i="5"/>
  <c r="D29" i="5"/>
  <c r="E21" i="6"/>
  <c r="C31" i="5"/>
  <c r="D31" i="5"/>
  <c r="E14" i="5" l="1"/>
  <c r="E11" i="5"/>
  <c r="E16" i="5"/>
  <c r="E15" i="5"/>
  <c r="E21" i="5"/>
  <c r="E19" i="5"/>
  <c r="E23" i="5"/>
  <c r="E22" i="5"/>
  <c r="E27" i="5"/>
  <c r="E18" i="5"/>
  <c r="E24" i="5"/>
  <c r="E25" i="5"/>
  <c r="E13" i="5"/>
  <c r="E17" i="5"/>
  <c r="E28" i="5"/>
  <c r="E26" i="5"/>
  <c r="E12" i="5"/>
  <c r="E20" i="5"/>
  <c r="C32" i="5"/>
  <c r="D32" i="5"/>
  <c r="L31" i="5"/>
  <c r="G30" i="5"/>
  <c r="L12" i="5"/>
  <c r="L26" i="5"/>
  <c r="F4" i="5"/>
  <c r="K20" i="5"/>
  <c r="K27" i="5"/>
  <c r="F22" i="5"/>
  <c r="F27" i="5"/>
  <c r="G31" i="5"/>
  <c r="K17" i="5"/>
  <c r="L2" i="5"/>
  <c r="F17" i="5"/>
  <c r="K9" i="5"/>
  <c r="L23" i="5"/>
  <c r="L18" i="5"/>
  <c r="K31" i="5"/>
  <c r="F11" i="5"/>
  <c r="F8" i="5"/>
  <c r="L9" i="5"/>
  <c r="K8" i="5"/>
  <c r="F10" i="5"/>
  <c r="K14" i="5"/>
  <c r="F25" i="5"/>
  <c r="L17" i="5"/>
  <c r="K6" i="5"/>
  <c r="K5" i="5"/>
  <c r="F5" i="5"/>
  <c r="F7" i="5"/>
  <c r="L22" i="5"/>
  <c r="F24" i="5"/>
  <c r="K2" i="5"/>
  <c r="L3" i="5"/>
  <c r="L14" i="5"/>
  <c r="F6" i="5"/>
  <c r="F16" i="5"/>
  <c r="K30" i="5"/>
  <c r="K29" i="5"/>
  <c r="L19" i="5"/>
  <c r="F14" i="5"/>
  <c r="F30" i="5"/>
  <c r="K25" i="5"/>
  <c r="F12" i="5"/>
  <c r="F26" i="5"/>
  <c r="F20" i="5"/>
  <c r="K23" i="5"/>
  <c r="K16" i="5"/>
  <c r="K18" i="5"/>
  <c r="L7" i="5"/>
  <c r="L11" i="5"/>
  <c r="K7" i="5"/>
  <c r="F29" i="5"/>
  <c r="K26" i="5"/>
  <c r="L5" i="5"/>
  <c r="F21" i="5"/>
  <c r="L13" i="5"/>
  <c r="K3" i="5"/>
  <c r="K19" i="5"/>
  <c r="Q32" i="5"/>
  <c r="K11" i="5"/>
  <c r="K24" i="5"/>
  <c r="L24" i="5"/>
  <c r="F13" i="5"/>
  <c r="F19" i="5"/>
  <c r="K21" i="5"/>
  <c r="K12" i="5"/>
  <c r="L15" i="5"/>
  <c r="K28" i="5"/>
  <c r="F23" i="5"/>
  <c r="L28" i="5"/>
  <c r="L16" i="5"/>
  <c r="K15" i="5"/>
  <c r="L29" i="5"/>
  <c r="K10" i="5"/>
  <c r="L30" i="5"/>
  <c r="L4" i="5"/>
  <c r="F9" i="5"/>
  <c r="F28" i="5"/>
  <c r="G29" i="5"/>
  <c r="L6" i="5"/>
  <c r="L21" i="5"/>
  <c r="K4" i="5"/>
  <c r="K13" i="5"/>
  <c r="L10" i="5"/>
  <c r="L8" i="5"/>
  <c r="L25" i="5"/>
  <c r="F2" i="5"/>
  <c r="L20" i="5"/>
  <c r="P32" i="5"/>
  <c r="F3" i="5"/>
  <c r="L27" i="5"/>
  <c r="F31" i="5"/>
  <c r="K22" i="5"/>
  <c r="F15" i="5"/>
  <c r="F18" i="5"/>
  <c r="O29" i="5" l="1"/>
  <c r="O31" i="5"/>
  <c r="O30" i="5"/>
  <c r="O28" i="5"/>
  <c r="O19" i="5"/>
  <c r="O18" i="5"/>
  <c r="O23" i="5"/>
  <c r="O16" i="5"/>
  <c r="O27" i="5"/>
  <c r="O13" i="5"/>
  <c r="O26" i="5"/>
  <c r="O15" i="5"/>
  <c r="O12" i="5"/>
  <c r="O24" i="5"/>
  <c r="O22" i="5"/>
  <c r="O11" i="5"/>
  <c r="O14" i="5"/>
  <c r="O17" i="5"/>
  <c r="O20" i="5"/>
  <c r="O21" i="5"/>
  <c r="O25" i="5"/>
  <c r="C33" i="5"/>
  <c r="D33" i="5"/>
  <c r="P30" i="5"/>
  <c r="L32" i="5"/>
  <c r="G32" i="5"/>
  <c r="Q29" i="5"/>
  <c r="P29" i="5"/>
  <c r="Q31" i="5"/>
  <c r="P31" i="5"/>
  <c r="Q30" i="5"/>
  <c r="K32" i="5"/>
  <c r="C34" i="5" l="1"/>
  <c r="D34" i="5"/>
  <c r="F33" i="5"/>
  <c r="K33" i="5"/>
  <c r="L33" i="5"/>
  <c r="G33" i="5"/>
  <c r="O33" i="5" l="1"/>
  <c r="C35" i="5"/>
  <c r="D35" i="5"/>
  <c r="P33" i="5"/>
  <c r="F34" i="5"/>
  <c r="G34" i="5"/>
  <c r="L34" i="5"/>
  <c r="K34" i="5"/>
  <c r="Q33" i="5"/>
  <c r="O34" i="5" l="1"/>
  <c r="C36" i="5"/>
  <c r="D36" i="5"/>
  <c r="P34" i="5"/>
  <c r="K35" i="5"/>
  <c r="L35" i="5"/>
  <c r="G35" i="5"/>
  <c r="F35" i="5"/>
  <c r="Q34" i="5"/>
  <c r="O35" i="5" l="1"/>
  <c r="C37" i="5"/>
  <c r="D37" i="5"/>
  <c r="P35" i="5"/>
  <c r="K36" i="5"/>
  <c r="L36" i="5"/>
  <c r="F36" i="5"/>
  <c r="G36" i="5"/>
  <c r="Q35" i="5"/>
  <c r="O36" i="5" l="1"/>
  <c r="C38" i="5"/>
  <c r="D38" i="5"/>
  <c r="Q36" i="5"/>
  <c r="P36" i="5"/>
  <c r="G37" i="5"/>
  <c r="L37" i="5"/>
  <c r="F37" i="5"/>
  <c r="K37" i="5"/>
  <c r="O37" i="5" l="1"/>
  <c r="C39" i="5"/>
  <c r="D39" i="5"/>
  <c r="P37" i="5"/>
  <c r="Q37" i="5"/>
  <c r="G38" i="5"/>
  <c r="K38" i="5"/>
  <c r="F38" i="5"/>
  <c r="L38" i="5"/>
  <c r="O38" i="5" l="1"/>
  <c r="C40" i="5"/>
  <c r="D40" i="5"/>
  <c r="P38" i="5"/>
  <c r="L39" i="5"/>
  <c r="Q38" i="5"/>
  <c r="F39" i="5"/>
  <c r="G39" i="5"/>
  <c r="K39" i="5"/>
  <c r="O39" i="5" l="1"/>
  <c r="C41" i="5"/>
  <c r="D41" i="5"/>
  <c r="C42" i="5"/>
  <c r="D42" i="5"/>
  <c r="G40" i="5"/>
  <c r="K40" i="5"/>
  <c r="F40" i="5"/>
  <c r="Q39" i="5"/>
  <c r="P39" i="5"/>
  <c r="L40" i="5"/>
  <c r="O40" i="5" l="1"/>
  <c r="C43" i="5"/>
  <c r="D43" i="5"/>
  <c r="K42" i="5"/>
  <c r="Q40" i="5"/>
  <c r="K41" i="5"/>
  <c r="G41" i="5"/>
  <c r="L41" i="5"/>
  <c r="F41" i="5"/>
  <c r="L42" i="5"/>
  <c r="F42" i="5"/>
  <c r="P40" i="5"/>
  <c r="G42" i="5"/>
  <c r="O41" i="5" l="1"/>
  <c r="O42" i="5"/>
  <c r="C44" i="5"/>
  <c r="D44" i="5"/>
  <c r="Q41" i="5"/>
  <c r="L43" i="5"/>
  <c r="G43" i="5"/>
  <c r="Q42" i="5"/>
  <c r="F43" i="5"/>
  <c r="K43" i="5"/>
  <c r="P41" i="5"/>
  <c r="P42" i="5"/>
  <c r="O43" i="5" l="1"/>
  <c r="C45" i="5"/>
  <c r="D45" i="5"/>
  <c r="P43" i="5"/>
  <c r="K44" i="5"/>
  <c r="L44" i="5"/>
  <c r="Q43" i="5"/>
  <c r="G44" i="5"/>
  <c r="F44" i="5"/>
  <c r="O44" i="5" l="1"/>
  <c r="C46" i="5"/>
  <c r="D46" i="5"/>
  <c r="K45" i="5"/>
  <c r="P44" i="5"/>
  <c r="F45" i="5"/>
  <c r="G45" i="5"/>
  <c r="Q44" i="5"/>
  <c r="L45" i="5"/>
  <c r="O45" i="5" l="1"/>
  <c r="C47" i="5"/>
  <c r="D47" i="5"/>
  <c r="L46" i="5"/>
  <c r="K46" i="5"/>
  <c r="G46" i="5"/>
  <c r="P45" i="5"/>
  <c r="F46" i="5"/>
  <c r="Q45" i="5"/>
  <c r="O46" i="5" l="1"/>
  <c r="C48" i="5"/>
  <c r="D48" i="5"/>
  <c r="Q46" i="5"/>
  <c r="P46" i="5"/>
  <c r="F47" i="5"/>
  <c r="G47" i="5"/>
  <c r="L47" i="5"/>
  <c r="K47" i="5"/>
  <c r="O47" i="5" l="1"/>
  <c r="C49" i="5"/>
  <c r="D49" i="5"/>
  <c r="P47" i="5"/>
  <c r="K48" i="5"/>
  <c r="G48" i="5"/>
  <c r="L48" i="5"/>
  <c r="Q47" i="5"/>
  <c r="F48" i="5"/>
  <c r="O48" i="5" l="1"/>
  <c r="C50" i="5"/>
  <c r="D50" i="5"/>
  <c r="F49" i="5"/>
  <c r="Q48" i="5"/>
  <c r="K49" i="5"/>
  <c r="L49" i="5"/>
  <c r="G49" i="5"/>
  <c r="P48" i="5"/>
  <c r="O49" i="5" l="1"/>
  <c r="C51" i="5"/>
  <c r="D51" i="5"/>
  <c r="Q49" i="5"/>
  <c r="K50" i="5"/>
  <c r="F50" i="5"/>
  <c r="P49" i="5"/>
  <c r="L50" i="5"/>
  <c r="G50" i="5"/>
  <c r="O50" i="5" l="1"/>
  <c r="C52" i="5"/>
  <c r="D52" i="5"/>
  <c r="P50" i="5"/>
  <c r="L51" i="5"/>
  <c r="G51" i="5"/>
  <c r="F51" i="5"/>
  <c r="K51" i="5"/>
  <c r="Q50" i="5"/>
  <c r="O51" i="5" l="1"/>
  <c r="C53" i="5"/>
  <c r="D53" i="5"/>
  <c r="P51" i="5"/>
  <c r="K52" i="5"/>
  <c r="L52" i="5"/>
  <c r="F52" i="5"/>
  <c r="G52" i="5"/>
  <c r="Q51" i="5"/>
  <c r="O52" i="5" l="1"/>
  <c r="C54" i="5"/>
  <c r="D54" i="5"/>
  <c r="Q52" i="5"/>
  <c r="P52" i="5"/>
  <c r="F53" i="5"/>
  <c r="K53" i="5"/>
  <c r="G53" i="5"/>
  <c r="L53" i="5"/>
  <c r="O53" i="5" l="1"/>
  <c r="C55" i="5"/>
  <c r="D55" i="5"/>
  <c r="P53" i="5"/>
  <c r="K54" i="5"/>
  <c r="F54" i="5"/>
  <c r="L54" i="5"/>
  <c r="Q53" i="5"/>
  <c r="G54" i="5"/>
  <c r="O54" i="5" l="1"/>
  <c r="C56" i="5"/>
  <c r="D56" i="5"/>
  <c r="Q54" i="5"/>
  <c r="G55" i="5"/>
  <c r="L55" i="5"/>
  <c r="P54" i="5"/>
  <c r="K55" i="5"/>
  <c r="F55" i="5"/>
  <c r="O55" i="5" l="1"/>
  <c r="C57" i="5"/>
  <c r="D57" i="5"/>
  <c r="G56" i="5"/>
  <c r="F56" i="5"/>
  <c r="P55" i="5"/>
  <c r="L56" i="5"/>
  <c r="Q55" i="5"/>
  <c r="K56" i="5"/>
  <c r="O56" i="5" l="1"/>
  <c r="C58" i="5"/>
  <c r="D58" i="5"/>
  <c r="F57" i="5"/>
  <c r="K57" i="5"/>
  <c r="G57" i="5"/>
  <c r="Q56" i="5"/>
  <c r="L57" i="5"/>
  <c r="P56" i="5"/>
  <c r="O57" i="5" l="1"/>
  <c r="C59" i="5"/>
  <c r="D59" i="5"/>
  <c r="P57" i="5"/>
  <c r="F58" i="5"/>
  <c r="K58" i="5"/>
  <c r="Q57" i="5"/>
  <c r="L58" i="5"/>
  <c r="G58" i="5"/>
  <c r="O58" i="5" l="1"/>
  <c r="C60" i="5"/>
  <c r="D60" i="5"/>
  <c r="Q58" i="5"/>
  <c r="L59" i="5"/>
  <c r="P58" i="5"/>
  <c r="G59" i="5"/>
  <c r="K59" i="5"/>
  <c r="F59" i="5"/>
  <c r="O59" i="5" l="1"/>
  <c r="C61" i="5"/>
  <c r="D61" i="5"/>
  <c r="K60" i="5"/>
  <c r="G60" i="5"/>
  <c r="F60" i="5"/>
  <c r="L60" i="5"/>
  <c r="P59" i="5"/>
  <c r="Q59" i="5"/>
  <c r="O60" i="5" l="1"/>
  <c r="C62" i="5"/>
  <c r="D62" i="5"/>
  <c r="C63" i="5"/>
  <c r="D63" i="5"/>
  <c r="G61" i="5"/>
  <c r="Q60" i="5"/>
  <c r="L61" i="5"/>
  <c r="P60" i="5"/>
  <c r="F61" i="5"/>
  <c r="K61" i="5"/>
  <c r="O61" i="5" l="1"/>
  <c r="C64" i="5"/>
  <c r="D64" i="5"/>
  <c r="F62" i="5"/>
  <c r="P61" i="5"/>
  <c r="G62" i="5"/>
  <c r="F63" i="5"/>
  <c r="K63" i="5"/>
  <c r="K62" i="5"/>
  <c r="Q61" i="5"/>
  <c r="L62" i="5"/>
  <c r="L63" i="5"/>
  <c r="G63" i="5"/>
  <c r="O63" i="5" l="1"/>
  <c r="O62" i="5"/>
  <c r="C65" i="5"/>
  <c r="D65" i="5"/>
  <c r="G64" i="5"/>
  <c r="K64" i="5"/>
  <c r="L64" i="5"/>
  <c r="Q63" i="5"/>
  <c r="P63" i="5"/>
  <c r="P62" i="5"/>
  <c r="F64" i="5"/>
  <c r="Q62" i="5"/>
  <c r="O64" i="5" l="1"/>
  <c r="C66" i="5"/>
  <c r="D66" i="5"/>
  <c r="C67" i="5"/>
  <c r="D67" i="5"/>
  <c r="C68" i="5"/>
  <c r="D68" i="5"/>
  <c r="F65" i="5"/>
  <c r="L65" i="5"/>
  <c r="G65" i="5"/>
  <c r="K65" i="5"/>
  <c r="P64" i="5"/>
  <c r="Q64" i="5"/>
  <c r="O65" i="5" l="1"/>
  <c r="C69" i="5"/>
  <c r="D69" i="5"/>
  <c r="C70" i="5"/>
  <c r="D70" i="5"/>
  <c r="K66" i="5"/>
  <c r="L67" i="5"/>
  <c r="Q65" i="5"/>
  <c r="F67" i="5"/>
  <c r="K67" i="5"/>
  <c r="L68" i="5"/>
  <c r="G66" i="5"/>
  <c r="K68" i="5"/>
  <c r="P65" i="5"/>
  <c r="L66" i="5"/>
  <c r="G68" i="5"/>
  <c r="G67" i="5"/>
  <c r="F68" i="5"/>
  <c r="F66" i="5"/>
  <c r="O68" i="5" l="1"/>
  <c r="O67" i="5"/>
  <c r="O66" i="5"/>
  <c r="E71" i="5"/>
  <c r="E72" i="5"/>
  <c r="E73" i="5"/>
  <c r="E74" i="5"/>
  <c r="E75" i="5"/>
  <c r="E76" i="5"/>
  <c r="E77" i="5"/>
  <c r="E78" i="5"/>
  <c r="E79" i="5"/>
  <c r="E80" i="5"/>
  <c r="E81" i="5"/>
  <c r="E82" i="5"/>
  <c r="E83" i="5"/>
  <c r="E84" i="5"/>
  <c r="E85" i="5"/>
  <c r="E86" i="5"/>
  <c r="E87" i="5"/>
  <c r="E88" i="5"/>
  <c r="B89" i="5"/>
  <c r="C89" i="5"/>
  <c r="B90" i="5"/>
  <c r="C90" i="5"/>
  <c r="L79" i="5"/>
  <c r="G75" i="5"/>
  <c r="K83" i="5"/>
  <c r="L70" i="5"/>
  <c r="K88" i="5"/>
  <c r="F78" i="5"/>
  <c r="G86" i="5"/>
  <c r="F87" i="5"/>
  <c r="K82" i="5"/>
  <c r="G80" i="5"/>
  <c r="F70" i="5"/>
  <c r="K74" i="5"/>
  <c r="K84" i="5"/>
  <c r="K76" i="5"/>
  <c r="F88" i="5"/>
  <c r="G79" i="5"/>
  <c r="G74" i="5"/>
  <c r="K85" i="5"/>
  <c r="L76" i="5"/>
  <c r="L84" i="5"/>
  <c r="K72" i="5"/>
  <c r="K79" i="5"/>
  <c r="F71" i="5"/>
  <c r="L85" i="5"/>
  <c r="F76" i="5"/>
  <c r="K73" i="5"/>
  <c r="Q68" i="5"/>
  <c r="L86" i="5"/>
  <c r="L78" i="5"/>
  <c r="G76" i="5"/>
  <c r="L80" i="5"/>
  <c r="Q67" i="5"/>
  <c r="L83" i="5"/>
  <c r="F84" i="5"/>
  <c r="F83" i="5"/>
  <c r="G87" i="5"/>
  <c r="F79" i="5"/>
  <c r="F73" i="5"/>
  <c r="L77" i="5"/>
  <c r="P68" i="5"/>
  <c r="F86" i="5"/>
  <c r="L88" i="5"/>
  <c r="G69" i="5"/>
  <c r="K70" i="5"/>
  <c r="G72" i="5"/>
  <c r="G81" i="5"/>
  <c r="L74" i="5"/>
  <c r="L73" i="5"/>
  <c r="K69" i="5"/>
  <c r="F74" i="5"/>
  <c r="F77" i="5"/>
  <c r="G78" i="5"/>
  <c r="Q66" i="5"/>
  <c r="L87" i="5"/>
  <c r="L69" i="5"/>
  <c r="G70" i="5"/>
  <c r="K71" i="5"/>
  <c r="G84" i="5"/>
  <c r="K75" i="5"/>
  <c r="F81" i="5"/>
  <c r="L71" i="5"/>
  <c r="F69" i="5"/>
  <c r="G88" i="5"/>
  <c r="K77" i="5"/>
  <c r="F72" i="5"/>
  <c r="G83" i="5"/>
  <c r="G85" i="5"/>
  <c r="G73" i="5"/>
  <c r="K87" i="5"/>
  <c r="L72" i="5"/>
  <c r="L82" i="5"/>
  <c r="L75" i="5"/>
  <c r="P66" i="5"/>
  <c r="P67" i="5"/>
  <c r="F82" i="5"/>
  <c r="G77" i="5"/>
  <c r="G82" i="5"/>
  <c r="K86" i="5"/>
  <c r="F80" i="5"/>
  <c r="K81" i="5"/>
  <c r="F85" i="5"/>
  <c r="F75" i="5"/>
  <c r="L81" i="5"/>
  <c r="K80" i="5"/>
  <c r="G71" i="5"/>
  <c r="K78" i="5"/>
  <c r="O70" i="5" l="1"/>
  <c r="O69" i="5"/>
  <c r="B91" i="5"/>
  <c r="C91" i="5"/>
  <c r="L89" i="5"/>
  <c r="Q69" i="5"/>
  <c r="K89" i="5"/>
  <c r="L90" i="5"/>
  <c r="K90" i="5"/>
  <c r="F89" i="5"/>
  <c r="G90" i="5"/>
  <c r="P70" i="5"/>
  <c r="Q70" i="5"/>
  <c r="F90" i="5"/>
  <c r="G89" i="5"/>
  <c r="P69" i="5"/>
  <c r="O90" i="5" l="1"/>
  <c r="O89" i="5"/>
  <c r="B92" i="5"/>
  <c r="C92" i="5"/>
  <c r="B93" i="5"/>
  <c r="C93" i="5"/>
  <c r="K91" i="5"/>
  <c r="L91" i="5"/>
  <c r="G91" i="5"/>
  <c r="F91" i="5"/>
  <c r="O91" i="5" l="1"/>
  <c r="B94" i="5"/>
  <c r="C94" i="5"/>
  <c r="K92" i="5"/>
  <c r="L92" i="5"/>
  <c r="K93" i="5"/>
  <c r="L93" i="5"/>
  <c r="F93" i="5"/>
  <c r="F92" i="5"/>
  <c r="G93" i="5"/>
  <c r="G92" i="5"/>
  <c r="O92" i="5" l="1"/>
  <c r="O93" i="5"/>
  <c r="B95" i="5"/>
  <c r="C95" i="5"/>
  <c r="B96" i="5"/>
  <c r="C96" i="5"/>
  <c r="F94" i="5"/>
  <c r="K94" i="5"/>
  <c r="L94" i="5"/>
  <c r="G94" i="5"/>
  <c r="O94" i="5" l="1"/>
  <c r="B97" i="5"/>
  <c r="C97" i="5"/>
  <c r="L96" i="5"/>
  <c r="L95" i="5"/>
  <c r="K95" i="5"/>
  <c r="G95" i="5"/>
  <c r="F95" i="5"/>
  <c r="G96" i="5"/>
  <c r="F96" i="5"/>
  <c r="K96" i="5"/>
  <c r="O96" i="5" l="1"/>
  <c r="O95" i="5"/>
  <c r="B98" i="5"/>
  <c r="C98" i="5"/>
  <c r="B99" i="5"/>
  <c r="C99" i="5"/>
  <c r="B100" i="5"/>
  <c r="C100" i="5"/>
  <c r="K97" i="5"/>
  <c r="L97" i="5"/>
  <c r="G97" i="5"/>
  <c r="F97" i="5"/>
  <c r="O97" i="5" l="1"/>
  <c r="B101" i="5"/>
  <c r="C101" i="5"/>
  <c r="K98" i="5"/>
  <c r="F100" i="5"/>
  <c r="L99" i="5"/>
  <c r="G100" i="5"/>
  <c r="G99" i="5"/>
  <c r="F99" i="5"/>
  <c r="L98" i="5"/>
  <c r="F98" i="5"/>
  <c r="G98" i="5"/>
  <c r="K100" i="5"/>
  <c r="L100" i="5"/>
  <c r="K99" i="5"/>
  <c r="O98" i="5" l="1"/>
  <c r="O100" i="5"/>
  <c r="O99" i="5"/>
  <c r="B102" i="5"/>
  <c r="C102" i="5"/>
  <c r="K101" i="5"/>
  <c r="G101" i="5"/>
  <c r="L101" i="5"/>
  <c r="F101" i="5"/>
  <c r="O101" i="5" l="1"/>
  <c r="B103" i="5"/>
  <c r="C103" i="5"/>
  <c r="B104" i="5"/>
  <c r="C104" i="5"/>
  <c r="B105" i="5"/>
  <c r="C105" i="5"/>
  <c r="F102" i="5"/>
  <c r="G102" i="5"/>
  <c r="L102" i="5"/>
  <c r="K102" i="5"/>
  <c r="O102" i="5" l="1"/>
  <c r="B106" i="5"/>
  <c r="C106" i="5"/>
  <c r="K105" i="5"/>
  <c r="F104" i="5"/>
  <c r="G103" i="5"/>
  <c r="K104" i="5"/>
  <c r="G104" i="5"/>
  <c r="F103" i="5"/>
  <c r="L103" i="5"/>
  <c r="F105" i="5"/>
  <c r="G105" i="5"/>
  <c r="L105" i="5"/>
  <c r="K103" i="5"/>
  <c r="L104" i="5"/>
  <c r="O104" i="5" l="1"/>
  <c r="O105" i="5"/>
  <c r="O103" i="5"/>
  <c r="B107" i="5"/>
  <c r="C107" i="5"/>
  <c r="B108" i="5"/>
  <c r="C108" i="5"/>
  <c r="F106" i="5"/>
  <c r="G106" i="5"/>
  <c r="L106" i="5"/>
  <c r="K106" i="5"/>
  <c r="O106" i="5" l="1"/>
  <c r="B109" i="5"/>
  <c r="C109" i="5"/>
  <c r="K107" i="5"/>
  <c r="F107" i="5"/>
  <c r="G107" i="5"/>
  <c r="K108" i="5"/>
  <c r="L108" i="5"/>
  <c r="F108" i="5"/>
  <c r="L107" i="5"/>
  <c r="G108" i="5"/>
  <c r="O108" i="5" l="1"/>
  <c r="O107" i="5"/>
  <c r="B110" i="5"/>
  <c r="C110" i="5"/>
  <c r="G109" i="5"/>
  <c r="L109" i="5"/>
  <c r="K109" i="5"/>
  <c r="F109" i="5"/>
  <c r="O109" i="5" l="1"/>
  <c r="B111" i="5"/>
  <c r="C111" i="5"/>
  <c r="G110" i="5"/>
  <c r="F110" i="5"/>
  <c r="K110" i="5"/>
  <c r="L110" i="5"/>
  <c r="O110" i="5" l="1"/>
  <c r="B112" i="5"/>
  <c r="C112" i="5"/>
  <c r="B113" i="5"/>
  <c r="C113" i="5"/>
  <c r="G111" i="5"/>
  <c r="K111" i="5"/>
  <c r="L111" i="5"/>
  <c r="F111" i="5"/>
  <c r="O111" i="5" l="1"/>
  <c r="B114" i="5"/>
  <c r="C114" i="5"/>
  <c r="G113" i="5"/>
  <c r="F113" i="5"/>
  <c r="K112" i="5"/>
  <c r="L113" i="5"/>
  <c r="G112" i="5"/>
  <c r="L112" i="5"/>
  <c r="K113" i="5"/>
  <c r="F112" i="5"/>
  <c r="O112" i="5" l="1"/>
  <c r="O113" i="5"/>
  <c r="B115" i="5"/>
  <c r="C115" i="5"/>
  <c r="F114" i="5"/>
  <c r="K114" i="5"/>
  <c r="G114" i="5"/>
  <c r="L114" i="5"/>
  <c r="O114" i="5" l="1"/>
  <c r="B116" i="5"/>
  <c r="C116" i="5"/>
  <c r="B117" i="5"/>
  <c r="C117" i="5"/>
  <c r="B118" i="5"/>
  <c r="C118" i="5"/>
  <c r="L115" i="5"/>
  <c r="G115" i="5"/>
  <c r="F115" i="5"/>
  <c r="K115" i="5"/>
  <c r="O115" i="5" l="1"/>
  <c r="B119" i="5"/>
  <c r="C119" i="5"/>
  <c r="G116" i="5"/>
  <c r="F116" i="5"/>
  <c r="K118" i="5"/>
  <c r="G117" i="5"/>
  <c r="K117" i="5"/>
  <c r="L116" i="5"/>
  <c r="F118" i="5"/>
  <c r="K116" i="5"/>
  <c r="F117" i="5"/>
  <c r="G118" i="5"/>
  <c r="L117" i="5"/>
  <c r="L118" i="5"/>
  <c r="O118" i="5" l="1"/>
  <c r="O117" i="5"/>
  <c r="O116" i="5"/>
  <c r="B120" i="5"/>
  <c r="C120" i="5"/>
  <c r="L119" i="5"/>
  <c r="F119" i="5"/>
  <c r="G119" i="5"/>
  <c r="K119" i="5"/>
  <c r="O119" i="5" l="1"/>
  <c r="B121" i="5"/>
  <c r="C121" i="5"/>
  <c r="B122" i="5"/>
  <c r="C122" i="5"/>
  <c r="B123" i="5"/>
  <c r="C123" i="5"/>
  <c r="B124" i="5"/>
  <c r="C124" i="5"/>
  <c r="L120" i="5"/>
  <c r="G120" i="5"/>
  <c r="K120" i="5"/>
  <c r="F120" i="5"/>
  <c r="O120" i="5" l="1"/>
  <c r="B125" i="5"/>
  <c r="C125" i="5"/>
  <c r="B126" i="5"/>
  <c r="C126" i="5"/>
  <c r="F123" i="5"/>
  <c r="K124" i="5"/>
  <c r="K122" i="5"/>
  <c r="L124" i="5"/>
  <c r="G122" i="5"/>
  <c r="L121" i="5"/>
  <c r="F121" i="5"/>
  <c r="F122" i="5"/>
  <c r="F124" i="5"/>
  <c r="L123" i="5"/>
  <c r="L122" i="5"/>
  <c r="K123" i="5"/>
  <c r="G124" i="5"/>
  <c r="G121" i="5"/>
  <c r="G123" i="5"/>
  <c r="K121" i="5"/>
  <c r="O121" i="5" l="1"/>
  <c r="O123" i="5"/>
  <c r="O124" i="5"/>
  <c r="O122" i="5"/>
  <c r="B127" i="5"/>
  <c r="C127" i="5"/>
  <c r="F126" i="5"/>
  <c r="L125" i="5"/>
  <c r="F125" i="5"/>
  <c r="G125" i="5"/>
  <c r="K125" i="5"/>
  <c r="G126" i="5"/>
  <c r="L126" i="5"/>
  <c r="K126" i="5"/>
  <c r="O125" i="5" l="1"/>
  <c r="B128" i="5"/>
  <c r="C128" i="5"/>
  <c r="G127" i="5"/>
  <c r="K127" i="5"/>
  <c r="F127" i="5"/>
  <c r="L127" i="5"/>
  <c r="B129" i="5" l="1"/>
  <c r="C129" i="5"/>
  <c r="G128" i="5"/>
  <c r="F128" i="5"/>
  <c r="K128" i="5"/>
  <c r="L128" i="5"/>
  <c r="B130" i="5" l="1"/>
  <c r="C130" i="5"/>
  <c r="F129" i="5"/>
  <c r="K129" i="5"/>
  <c r="L129" i="5"/>
  <c r="G129" i="5"/>
  <c r="B131" i="5" l="1"/>
  <c r="C131" i="5"/>
  <c r="G130" i="5"/>
  <c r="F130" i="5"/>
  <c r="L130" i="5"/>
  <c r="K130" i="5"/>
  <c r="B132" i="5" l="1"/>
  <c r="C132" i="5"/>
  <c r="F131" i="5"/>
  <c r="K131" i="5"/>
  <c r="L131" i="5"/>
  <c r="G131" i="5"/>
  <c r="B133" i="5" l="1"/>
  <c r="C133" i="5"/>
  <c r="G132" i="5"/>
  <c r="K132" i="5"/>
  <c r="F132" i="5"/>
  <c r="L132" i="5"/>
  <c r="B134" i="5" l="1"/>
  <c r="C134" i="5"/>
  <c r="K133" i="5"/>
  <c r="L133" i="5"/>
  <c r="F133" i="5"/>
  <c r="G133" i="5"/>
  <c r="B135" i="5" l="1"/>
  <c r="C135" i="5"/>
  <c r="L134" i="5"/>
  <c r="F134" i="5"/>
  <c r="G134" i="5"/>
  <c r="K134" i="5"/>
  <c r="B136" i="5" l="1"/>
  <c r="C136" i="5"/>
  <c r="K135" i="5"/>
  <c r="G135" i="5"/>
  <c r="F135" i="5"/>
  <c r="L135" i="5"/>
  <c r="B137" i="5" l="1"/>
  <c r="C137" i="5"/>
  <c r="F136" i="5"/>
  <c r="L136" i="5"/>
  <c r="K136" i="5"/>
  <c r="G136" i="5"/>
  <c r="B138" i="5" l="1"/>
  <c r="C138" i="5"/>
  <c r="L137" i="5"/>
  <c r="F137" i="5"/>
  <c r="K137" i="5"/>
  <c r="G137" i="5"/>
  <c r="B139" i="5" l="1"/>
  <c r="C139" i="5"/>
  <c r="F138" i="5"/>
  <c r="K138" i="5"/>
  <c r="G138" i="5"/>
  <c r="L138" i="5"/>
  <c r="B140" i="5" l="1"/>
  <c r="C140" i="5"/>
  <c r="F139" i="5"/>
  <c r="K139" i="5"/>
  <c r="L139" i="5"/>
  <c r="G139" i="5"/>
  <c r="B141" i="5" l="1"/>
  <c r="C141" i="5"/>
  <c r="F140" i="5"/>
  <c r="L140" i="5"/>
  <c r="G140" i="5"/>
  <c r="K140" i="5"/>
  <c r="B142" i="5" l="1"/>
  <c r="C142" i="5"/>
  <c r="F141" i="5"/>
  <c r="G141" i="5"/>
  <c r="K141" i="5"/>
  <c r="L141" i="5"/>
  <c r="B143" i="5" l="1"/>
  <c r="C143" i="5"/>
  <c r="G142" i="5"/>
  <c r="L142" i="5"/>
  <c r="K142" i="5"/>
  <c r="F142" i="5"/>
  <c r="B144" i="5" l="1"/>
  <c r="C144" i="5"/>
  <c r="F143" i="5"/>
  <c r="L143" i="5"/>
  <c r="G143" i="5"/>
  <c r="K143" i="5"/>
  <c r="B145" i="5" l="1"/>
  <c r="C145" i="5"/>
  <c r="K144" i="5"/>
  <c r="G144" i="5"/>
  <c r="L144" i="5"/>
  <c r="F144" i="5"/>
  <c r="B146" i="5" l="1"/>
  <c r="C146" i="5"/>
  <c r="F145" i="5"/>
  <c r="G145" i="5"/>
  <c r="L145" i="5"/>
  <c r="K145" i="5"/>
  <c r="B147" i="5" l="1"/>
  <c r="C147" i="5"/>
  <c r="G146" i="5"/>
  <c r="L146" i="5"/>
  <c r="F146" i="5"/>
  <c r="K146" i="5"/>
  <c r="B148" i="5" l="1"/>
  <c r="C148" i="5"/>
  <c r="K147" i="5"/>
  <c r="G147" i="5"/>
  <c r="F147" i="5"/>
  <c r="L147" i="5"/>
  <c r="B149" i="5" l="1"/>
  <c r="C149" i="5"/>
  <c r="K148" i="5"/>
  <c r="L148" i="5"/>
  <c r="G148" i="5"/>
  <c r="F148" i="5"/>
  <c r="B150" i="5" l="1"/>
  <c r="C150" i="5"/>
  <c r="L149" i="5"/>
  <c r="K149" i="5"/>
  <c r="G149" i="5"/>
  <c r="F149" i="5"/>
  <c r="B151" i="5" l="1"/>
  <c r="C151" i="5"/>
  <c r="L150" i="5"/>
  <c r="F150" i="5"/>
  <c r="G150" i="5"/>
  <c r="K150" i="5"/>
  <c r="B152" i="5" l="1"/>
  <c r="C152" i="5"/>
  <c r="L151" i="5"/>
  <c r="F151" i="5"/>
  <c r="G151" i="5"/>
  <c r="K151" i="5"/>
  <c r="B153" i="5" l="1"/>
  <c r="C153" i="5"/>
  <c r="L152" i="5"/>
  <c r="K152" i="5"/>
  <c r="F152" i="5"/>
  <c r="G152" i="5"/>
  <c r="B154" i="5" l="1"/>
  <c r="C154" i="5"/>
  <c r="G153" i="5"/>
  <c r="K153" i="5"/>
  <c r="F153" i="5"/>
  <c r="L153" i="5"/>
  <c r="B155" i="5" l="1"/>
  <c r="C155" i="5"/>
  <c r="G154" i="5"/>
  <c r="L154" i="5"/>
  <c r="F154" i="5"/>
  <c r="K154" i="5"/>
  <c r="B156" i="5" l="1"/>
  <c r="C156" i="5"/>
  <c r="K155" i="5"/>
  <c r="G155" i="5"/>
  <c r="L155" i="5"/>
  <c r="F155" i="5"/>
  <c r="B157" i="5" l="1"/>
  <c r="C157" i="5"/>
  <c r="K156" i="5"/>
  <c r="G156" i="5"/>
  <c r="L156" i="5"/>
  <c r="F156" i="5"/>
  <c r="B158" i="5" l="1"/>
  <c r="C158" i="5"/>
  <c r="G157" i="5"/>
  <c r="F157" i="5"/>
  <c r="K157" i="5"/>
  <c r="L157" i="5"/>
  <c r="B159" i="5" l="1"/>
  <c r="C159" i="5"/>
  <c r="F158" i="5"/>
  <c r="K158" i="5"/>
  <c r="L158" i="5"/>
  <c r="G158" i="5"/>
  <c r="B160" i="5" l="1"/>
  <c r="C160" i="5"/>
  <c r="K159" i="5"/>
  <c r="L159" i="5"/>
  <c r="F159" i="5"/>
  <c r="G159" i="5"/>
  <c r="B161" i="5" l="1"/>
  <c r="C161" i="5"/>
  <c r="F160" i="5"/>
  <c r="G160" i="5"/>
  <c r="K160" i="5"/>
  <c r="L160" i="5"/>
  <c r="B162" i="5" l="1"/>
  <c r="C162" i="5"/>
  <c r="G162" i="5"/>
  <c r="G161" i="5"/>
  <c r="F162" i="5"/>
  <c r="K161" i="5"/>
  <c r="L161" i="5"/>
  <c r="D2" i="4" a="1"/>
  <c r="F161" i="5"/>
  <c r="K162" i="5"/>
  <c r="L16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I2" i="11"/>
  <c r="G53" i="4"/>
  <c r="H104" i="4"/>
  <c r="G79" i="4"/>
  <c r="E88" i="4"/>
  <c r="E118" i="4"/>
  <c r="H82" i="4"/>
  <c r="G6" i="4"/>
  <c r="H18" i="4"/>
  <c r="H5" i="4"/>
  <c r="H39" i="4"/>
  <c r="G34" i="4"/>
  <c r="F82" i="4"/>
  <c r="G5" i="4"/>
  <c r="G63" i="4"/>
  <c r="F31" i="4"/>
  <c r="H42" i="4"/>
  <c r="H100" i="4"/>
  <c r="E92" i="4"/>
  <c r="F121" i="4"/>
  <c r="E52" i="4"/>
  <c r="F12" i="4"/>
  <c r="H14" i="4"/>
  <c r="F84" i="4"/>
  <c r="G73" i="4"/>
  <c r="G67" i="4"/>
  <c r="E38" i="4"/>
  <c r="H53" i="4"/>
  <c r="F116" i="4"/>
  <c r="F104" i="4"/>
  <c r="E44" i="4"/>
  <c r="H92" i="4"/>
  <c r="E82" i="4"/>
  <c r="G122" i="4"/>
  <c r="G64" i="4"/>
  <c r="G22" i="4"/>
  <c r="H27" i="4"/>
  <c r="G41" i="4"/>
  <c r="F56" i="4"/>
  <c r="H54" i="4"/>
  <c r="F26" i="4"/>
  <c r="G100" i="4"/>
  <c r="G98" i="4"/>
  <c r="H124" i="4"/>
  <c r="F114" i="4"/>
  <c r="F80" i="4"/>
  <c r="H96" i="4"/>
  <c r="E25" i="4"/>
  <c r="H97" i="4"/>
  <c r="H85" i="4"/>
  <c r="G15" i="4"/>
  <c r="H35" i="4"/>
  <c r="G93" i="4"/>
  <c r="F32" i="4"/>
  <c r="E53" i="4"/>
  <c r="H57" i="4"/>
  <c r="E99" i="4"/>
  <c r="F57" i="4"/>
  <c r="E56" i="4"/>
  <c r="F10" i="4"/>
  <c r="G76" i="4"/>
  <c r="F118" i="4"/>
  <c r="F60" i="4"/>
  <c r="G46" i="4"/>
  <c r="G94" i="4"/>
  <c r="E109" i="4"/>
  <c r="G71" i="4"/>
  <c r="F37" i="4"/>
  <c r="E49" i="4"/>
  <c r="H72" i="4"/>
  <c r="G118" i="4"/>
  <c r="E32" i="4"/>
  <c r="F33" i="4"/>
  <c r="E71" i="4"/>
  <c r="H17" i="4"/>
  <c r="H106" i="4"/>
  <c r="G106" i="4"/>
  <c r="E74" i="4"/>
  <c r="F87" i="4"/>
  <c r="G88" i="4"/>
  <c r="F122" i="4"/>
  <c r="F99" i="4"/>
  <c r="G28" i="4"/>
  <c r="E113" i="4"/>
  <c r="G44" i="4"/>
  <c r="G104" i="4"/>
  <c r="F96" i="4"/>
  <c r="H48" i="4"/>
  <c r="H3" i="4"/>
  <c r="H55" i="4"/>
  <c r="E121" i="4"/>
  <c r="H25" i="4"/>
  <c r="H88" i="4"/>
  <c r="G38" i="4"/>
  <c r="E81" i="4"/>
  <c r="G14" i="4"/>
  <c r="H117" i="4"/>
  <c r="E42" i="4"/>
  <c r="F3" i="4"/>
  <c r="G99" i="4"/>
  <c r="H59" i="4"/>
  <c r="E108" i="4"/>
  <c r="G29" i="4"/>
  <c r="F47" i="4"/>
  <c r="E11" i="4"/>
  <c r="H94" i="4"/>
  <c r="H36" i="4"/>
  <c r="G58" i="4"/>
  <c r="E94" i="4"/>
  <c r="E63" i="4"/>
  <c r="E72" i="4"/>
  <c r="G45" i="4"/>
  <c r="H120" i="4"/>
  <c r="G82" i="4"/>
  <c r="G40" i="4"/>
  <c r="F109" i="4"/>
  <c r="F94" i="4"/>
  <c r="H56" i="4"/>
  <c r="H33" i="4"/>
  <c r="E59" i="4"/>
  <c r="E8" i="4"/>
  <c r="F74" i="4"/>
  <c r="G39" i="4"/>
  <c r="G68" i="4"/>
  <c r="F89" i="4"/>
  <c r="H79" i="4"/>
  <c r="F51" i="4"/>
  <c r="H75" i="4"/>
  <c r="F54" i="4"/>
  <c r="H91" i="4"/>
  <c r="G75" i="4"/>
  <c r="E45" i="4"/>
  <c r="H2" i="4"/>
  <c r="E68" i="4"/>
  <c r="E77" i="4"/>
  <c r="H110" i="4"/>
  <c r="F49" i="4"/>
  <c r="F69" i="4"/>
  <c r="G70" i="4"/>
  <c r="G56" i="4"/>
  <c r="F119" i="4"/>
  <c r="G124" i="4"/>
  <c r="H116" i="4"/>
  <c r="E101" i="4"/>
  <c r="H60" i="4"/>
  <c r="E21" i="4"/>
  <c r="H115" i="4"/>
  <c r="F105" i="4"/>
  <c r="E119" i="4"/>
  <c r="F13" i="4"/>
  <c r="F91" i="4"/>
  <c r="G84" i="4"/>
  <c r="H74" i="4"/>
  <c r="E78" i="4"/>
  <c r="F18" i="4"/>
  <c r="F93" i="4"/>
  <c r="F45" i="4"/>
  <c r="F98" i="4"/>
  <c r="H81" i="4"/>
  <c r="G86" i="4"/>
  <c r="E10" i="4"/>
  <c r="H65" i="4"/>
  <c r="F8" i="4"/>
  <c r="G87" i="4"/>
  <c r="G103" i="4"/>
  <c r="F59" i="4"/>
  <c r="F75" i="4"/>
  <c r="F7" i="4"/>
  <c r="H107" i="4"/>
  <c r="G102" i="4"/>
  <c r="G31" i="4"/>
  <c r="H111" i="4"/>
  <c r="E97" i="4"/>
  <c r="G54" i="4"/>
  <c r="H58" i="4"/>
  <c r="G23" i="4"/>
  <c r="H34" i="4"/>
  <c r="H12" i="4"/>
  <c r="F78" i="4"/>
  <c r="E120" i="4"/>
  <c r="H43" i="4"/>
  <c r="F115" i="4"/>
  <c r="H51" i="4"/>
  <c r="F112" i="4"/>
  <c r="G123" i="4"/>
  <c r="G57" i="4"/>
  <c r="E93" i="4"/>
  <c r="E104" i="4"/>
  <c r="G115" i="4"/>
  <c r="F86" i="4"/>
  <c r="G26" i="4"/>
  <c r="F46" i="4"/>
  <c r="H122" i="4"/>
  <c r="F52" i="4"/>
  <c r="H13" i="4"/>
  <c r="E57" i="4"/>
  <c r="G47" i="4"/>
  <c r="E75" i="4"/>
  <c r="F72" i="4"/>
  <c r="E80" i="4"/>
  <c r="E67" i="4"/>
  <c r="H28" i="4"/>
  <c r="H38" i="4"/>
  <c r="E114" i="4"/>
  <c r="E98" i="4"/>
  <c r="E112" i="4"/>
  <c r="E13" i="4"/>
  <c r="G37" i="4"/>
  <c r="G51" i="4"/>
  <c r="G120" i="4"/>
  <c r="E41" i="4"/>
  <c r="E19" i="4"/>
  <c r="E55" i="4"/>
  <c r="E43" i="4"/>
  <c r="H4" i="4"/>
  <c r="F6" i="4"/>
  <c r="F81" i="4"/>
  <c r="G43" i="4"/>
  <c r="F48" i="4"/>
  <c r="H61" i="4"/>
  <c r="A7" i="4"/>
  <c r="F68" i="4"/>
  <c r="G25" i="4"/>
  <c r="H73" i="4"/>
  <c r="H103" i="4"/>
  <c r="F15" i="4"/>
  <c r="F76" i="4"/>
  <c r="E28" i="4"/>
  <c r="H101" i="4"/>
  <c r="G80" i="4"/>
  <c r="E89" i="4"/>
  <c r="E40" i="4"/>
  <c r="G65" i="4"/>
  <c r="F30" i="4"/>
  <c r="H49" i="4"/>
  <c r="F42" i="4"/>
  <c r="E60" i="4"/>
  <c r="G9" i="4"/>
  <c r="G24" i="4"/>
  <c r="H19" i="4"/>
  <c r="H9" i="4"/>
  <c r="G42" i="4"/>
  <c r="H23" i="4"/>
  <c r="F113" i="4"/>
  <c r="F40" i="4"/>
  <c r="G109" i="4"/>
  <c r="H37" i="4"/>
  <c r="H114" i="4"/>
  <c r="E61" i="4"/>
  <c r="E39" i="4"/>
  <c r="G60" i="4"/>
  <c r="E22" i="4"/>
  <c r="E58" i="4"/>
  <c r="E4" i="4"/>
  <c r="E122" i="4"/>
  <c r="G10" i="4"/>
  <c r="G69" i="4"/>
  <c r="H76" i="4"/>
  <c r="H41" i="4"/>
  <c r="G21" i="4"/>
  <c r="E23" i="4"/>
  <c r="H32" i="4"/>
  <c r="E12" i="4"/>
  <c r="H16" i="4"/>
  <c r="G72" i="4"/>
  <c r="H71" i="4"/>
  <c r="G18" i="4"/>
  <c r="E107" i="4"/>
  <c r="G12" i="4"/>
  <c r="E9" i="4"/>
  <c r="E27" i="4"/>
  <c r="H46" i="4"/>
  <c r="F70" i="4"/>
  <c r="G50" i="4"/>
  <c r="F14" i="4"/>
  <c r="H50" i="4"/>
  <c r="G49" i="4"/>
  <c r="H118" i="4"/>
  <c r="E46" i="4"/>
  <c r="G114" i="4"/>
  <c r="F20" i="4"/>
  <c r="E79" i="4"/>
  <c r="G101" i="4"/>
  <c r="G125" i="4"/>
  <c r="E116" i="4"/>
  <c r="E16" i="4"/>
  <c r="E54" i="4"/>
  <c r="H87" i="4"/>
  <c r="G20" i="4"/>
  <c r="H6" i="4"/>
  <c r="H95" i="4"/>
  <c r="G8" i="4"/>
  <c r="B6" i="4"/>
  <c r="G77" i="4"/>
  <c r="H45" i="4"/>
  <c r="G11" i="4"/>
  <c r="G91" i="4"/>
  <c r="E34" i="4"/>
  <c r="H52" i="4"/>
  <c r="F88" i="4"/>
  <c r="E96" i="4"/>
  <c r="F23" i="4"/>
  <c r="F124" i="4"/>
  <c r="F67" i="4"/>
  <c r="F58" i="4"/>
  <c r="H64" i="4"/>
  <c r="H109" i="4"/>
  <c r="G19" i="4"/>
  <c r="E83" i="4"/>
  <c r="H80" i="4"/>
  <c r="F106" i="4"/>
  <c r="G89" i="4"/>
  <c r="F77" i="4"/>
  <c r="G81" i="4"/>
  <c r="E3" i="4"/>
  <c r="G121" i="4"/>
  <c r="F63" i="4"/>
  <c r="G16" i="4"/>
  <c r="E85" i="4"/>
  <c r="G61" i="4"/>
  <c r="H89" i="4"/>
  <c r="F111" i="4"/>
  <c r="G17" i="4"/>
  <c r="F123" i="4"/>
  <c r="G105" i="4"/>
  <c r="F125" i="4"/>
  <c r="G52" i="4"/>
  <c r="E26" i="4"/>
  <c r="F9" i="4"/>
  <c r="H105" i="4"/>
  <c r="H22" i="4"/>
  <c r="E36" i="4"/>
  <c r="F34" i="4"/>
  <c r="E33" i="4"/>
  <c r="E110" i="4"/>
  <c r="G48" i="4"/>
  <c r="F17" i="4"/>
  <c r="H90" i="4"/>
  <c r="G2" i="4"/>
  <c r="F24" i="4"/>
  <c r="F79" i="4"/>
  <c r="F100" i="4"/>
  <c r="F102" i="4"/>
  <c r="G55" i="4"/>
  <c r="F36" i="4"/>
  <c r="F35" i="4"/>
  <c r="H126" i="4"/>
  <c r="G3" i="4"/>
  <c r="H62" i="4"/>
  <c r="E47" i="4"/>
  <c r="H123" i="4"/>
  <c r="H20" i="4"/>
  <c r="H83" i="4"/>
  <c r="H10" i="4"/>
  <c r="H8" i="4"/>
  <c r="G119" i="4"/>
  <c r="H99" i="4"/>
  <c r="E24" i="4"/>
  <c r="E103" i="4"/>
  <c r="F73" i="4"/>
  <c r="F62" i="4"/>
  <c r="H78" i="4"/>
  <c r="F108" i="4"/>
  <c r="E30" i="4"/>
  <c r="G117" i="4"/>
  <c r="H112" i="4"/>
  <c r="H24" i="4"/>
  <c r="E95" i="4"/>
  <c r="G126" i="4"/>
  <c r="E62" i="4"/>
  <c r="E84" i="4"/>
  <c r="F95" i="4"/>
  <c r="H98" i="4"/>
  <c r="E31" i="4"/>
  <c r="H102" i="4"/>
  <c r="H30" i="4"/>
  <c r="E2" i="4"/>
  <c r="F71" i="4"/>
  <c r="E102" i="4"/>
  <c r="G112" i="4"/>
  <c r="E6" i="4"/>
  <c r="G96" i="4"/>
  <c r="E5" i="4"/>
  <c r="G111" i="4"/>
  <c r="G83" i="4"/>
  <c r="H86" i="4"/>
  <c r="F64" i="4"/>
  <c r="F110" i="4"/>
  <c r="E14" i="4"/>
  <c r="F29" i="4"/>
  <c r="E126" i="4"/>
  <c r="H44" i="4"/>
  <c r="G113" i="4"/>
  <c r="F53" i="4"/>
  <c r="G110" i="4"/>
  <c r="E111" i="4"/>
  <c r="G33" i="4"/>
  <c r="G108" i="4"/>
  <c r="E100" i="4"/>
  <c r="H84" i="4"/>
  <c r="H108" i="4"/>
  <c r="E69" i="4"/>
  <c r="F90" i="4"/>
  <c r="E65" i="4"/>
  <c r="F50" i="4"/>
  <c r="G4" i="4"/>
  <c r="H77" i="4"/>
  <c r="G97" i="4"/>
  <c r="G32" i="4"/>
  <c r="H66" i="4"/>
  <c r="E91" i="4"/>
  <c r="H119" i="4"/>
  <c r="G35" i="4"/>
  <c r="H68" i="4"/>
  <c r="G7" i="4"/>
  <c r="F107" i="4"/>
  <c r="F83" i="4"/>
  <c r="H69" i="4"/>
  <c r="H47" i="4"/>
  <c r="E90" i="4"/>
  <c r="F120" i="4"/>
  <c r="E105" i="4"/>
  <c r="F126" i="4"/>
  <c r="F44" i="4"/>
  <c r="E123" i="4"/>
  <c r="F66" i="4"/>
  <c r="E20" i="4"/>
  <c r="E70" i="4"/>
  <c r="H21" i="4"/>
  <c r="J2" i="11"/>
  <c r="F43" i="4"/>
  <c r="G85" i="4"/>
  <c r="F21" i="4"/>
  <c r="F41" i="4"/>
  <c r="E17" i="4"/>
  <c r="H125" i="4"/>
  <c r="G59" i="4"/>
  <c r="E29" i="4"/>
  <c r="H11" i="4"/>
  <c r="E87" i="4"/>
  <c r="G90" i="4"/>
  <c r="E125" i="4"/>
  <c r="F22" i="4"/>
  <c r="F55" i="4"/>
  <c r="F19" i="4"/>
  <c r="G13" i="4"/>
  <c r="F4" i="4"/>
  <c r="E73" i="4"/>
  <c r="E15" i="4"/>
  <c r="G74" i="4"/>
  <c r="E18" i="4"/>
  <c r="E124" i="4"/>
  <c r="F103" i="4"/>
  <c r="H40" i="4"/>
  <c r="E106" i="4"/>
  <c r="G62" i="4"/>
  <c r="G95" i="4"/>
  <c r="H31" i="4"/>
  <c r="G30" i="4"/>
  <c r="H67" i="4"/>
  <c r="F65" i="4"/>
  <c r="G107" i="4"/>
  <c r="E76" i="4"/>
  <c r="E48" i="4"/>
  <c r="H93" i="4"/>
  <c r="E115" i="4"/>
  <c r="F27" i="4"/>
  <c r="F61" i="4"/>
  <c r="F85" i="4"/>
  <c r="F2" i="4"/>
  <c r="F5" i="4"/>
  <c r="H121" i="4"/>
  <c r="E66" i="4"/>
  <c r="F117" i="4"/>
  <c r="G66" i="4"/>
  <c r="F28" i="4"/>
  <c r="G36" i="4"/>
  <c r="F92" i="4"/>
  <c r="E64" i="4"/>
  <c r="G92" i="4"/>
  <c r="H26" i="4"/>
  <c r="E117" i="4"/>
  <c r="F11" i="4"/>
  <c r="H113" i="4"/>
  <c r="H63" i="4"/>
  <c r="F16" i="4"/>
  <c r="H29" i="4"/>
  <c r="G27" i="4"/>
  <c r="E50" i="4"/>
  <c r="F39" i="4"/>
  <c r="E37" i="4"/>
  <c r="F25" i="4"/>
  <c r="E51" i="4"/>
  <c r="E7" i="4"/>
  <c r="H7" i="4"/>
  <c r="H70" i="4"/>
  <c r="G78" i="4"/>
  <c r="E35" i="4"/>
  <c r="F38" i="4"/>
  <c r="H15" i="4"/>
  <c r="F101" i="4"/>
  <c r="F97" i="4"/>
  <c r="G116" i="4"/>
  <c r="E86" i="4"/>
  <c r="R36" i="16" l="1" a="1"/>
  <c r="R16" i="16" a="1"/>
  <c r="K16" i="16" a="1"/>
  <c r="C28" i="6"/>
  <c r="K80" i="16" a="1"/>
  <c r="K70" i="16" a="1"/>
  <c r="K36" i="16" a="1"/>
  <c r="B7" i="4"/>
  <c r="D14" i="6"/>
  <c r="I1" i="4" a="1"/>
  <c r="D15" i="6"/>
  <c r="D30" i="6"/>
  <c r="W14" i="16"/>
  <c r="C27" i="6"/>
  <c r="X14" i="16"/>
  <c r="I9" i="4" l="1"/>
  <c r="I96" i="4"/>
  <c r="I95" i="4"/>
  <c r="I107" i="4"/>
  <c r="I3" i="4"/>
  <c r="I102" i="4"/>
  <c r="I110" i="4"/>
  <c r="I111" i="4"/>
  <c r="I70" i="4"/>
  <c r="I121" i="4"/>
  <c r="I113" i="4"/>
  <c r="I10" i="4"/>
  <c r="I112" i="4"/>
  <c r="I38" i="4"/>
  <c r="I58" i="4"/>
  <c r="I72" i="4"/>
  <c r="I44" i="4"/>
  <c r="I89" i="4"/>
  <c r="I108" i="4"/>
  <c r="I4" i="4"/>
  <c r="I73" i="4"/>
  <c r="I43" i="4"/>
  <c r="I124" i="4"/>
  <c r="I25" i="4"/>
  <c r="I16" i="4"/>
  <c r="I120" i="4"/>
  <c r="I92" i="4"/>
  <c r="I50" i="4"/>
  <c r="I88" i="4"/>
  <c r="I60" i="4"/>
  <c r="I81" i="4"/>
  <c r="I18" i="4"/>
  <c r="I59" i="4"/>
  <c r="I26" i="4"/>
  <c r="I101" i="4"/>
  <c r="I99" i="4"/>
  <c r="I28" i="4"/>
  <c r="I119" i="4"/>
  <c r="I24" i="4"/>
  <c r="I35" i="4"/>
  <c r="I15" i="4"/>
  <c r="I17" i="4"/>
  <c r="I46" i="4"/>
  <c r="I37" i="4"/>
  <c r="I100" i="4"/>
  <c r="I47" i="4"/>
  <c r="I109" i="4"/>
  <c r="I77" i="4"/>
  <c r="I115" i="4"/>
  <c r="I54" i="4"/>
  <c r="I12" i="4"/>
  <c r="I90" i="4"/>
  <c r="I78" i="4"/>
  <c r="I51" i="4"/>
  <c r="I29" i="4"/>
  <c r="I62" i="4"/>
  <c r="I82" i="4"/>
  <c r="I20" i="4"/>
  <c r="I63" i="4"/>
  <c r="I2" i="4"/>
  <c r="I34" i="4"/>
  <c r="I7" i="4"/>
  <c r="I75" i="4"/>
  <c r="I52" i="4"/>
  <c r="I98" i="4"/>
  <c r="I93" i="4"/>
  <c r="I27" i="4"/>
  <c r="I68" i="4"/>
  <c r="I1" i="4"/>
  <c r="I118" i="4"/>
  <c r="I14" i="4"/>
  <c r="I65" i="4"/>
  <c r="I8" i="4"/>
  <c r="I86" i="4"/>
  <c r="I74" i="4"/>
  <c r="I64" i="4"/>
  <c r="I114" i="4"/>
  <c r="I56" i="4"/>
  <c r="I126" i="4"/>
  <c r="I103" i="4"/>
  <c r="I123" i="4"/>
  <c r="I116" i="4"/>
  <c r="I45" i="4"/>
  <c r="I125" i="4"/>
  <c r="I105" i="4"/>
  <c r="I31" i="4"/>
  <c r="I117" i="4"/>
  <c r="I23" i="4"/>
  <c r="I40" i="4"/>
  <c r="I76" i="4"/>
  <c r="I5" i="4"/>
  <c r="I80" i="4"/>
  <c r="I13" i="4"/>
  <c r="I55" i="4"/>
  <c r="I33" i="4"/>
  <c r="I6" i="4"/>
  <c r="I66" i="4"/>
  <c r="I61" i="4"/>
  <c r="I48" i="4"/>
  <c r="I53" i="4"/>
  <c r="I11" i="4"/>
  <c r="I42" i="4"/>
  <c r="I32" i="4"/>
  <c r="I41" i="4"/>
  <c r="I30" i="4"/>
  <c r="I87" i="4"/>
  <c r="I57" i="4"/>
  <c r="I79" i="4"/>
  <c r="I39" i="4"/>
  <c r="I106" i="4"/>
  <c r="I71" i="4"/>
  <c r="I22" i="4"/>
  <c r="I21" i="4"/>
  <c r="I19" i="4"/>
  <c r="I36" i="4"/>
  <c r="I122" i="4"/>
  <c r="I97" i="4"/>
  <c r="I49" i="4"/>
  <c r="I94" i="4"/>
  <c r="I91" i="4"/>
  <c r="I104" i="4"/>
  <c r="I69" i="4"/>
  <c r="I83" i="4"/>
  <c r="I85" i="4"/>
  <c r="I84" i="4"/>
  <c r="I67" i="4"/>
  <c r="K76" i="16"/>
  <c r="K75" i="16"/>
  <c r="K71" i="16"/>
  <c r="K72" i="16"/>
  <c r="K74" i="16"/>
  <c r="K73" i="16"/>
  <c r="K77" i="16"/>
  <c r="K70" i="16"/>
  <c r="K37" i="16"/>
  <c r="K42" i="16"/>
  <c r="K44" i="16"/>
  <c r="K56" i="16"/>
  <c r="K49" i="16"/>
  <c r="K63" i="16"/>
  <c r="K68" i="16"/>
  <c r="K39" i="16"/>
  <c r="K60" i="16"/>
  <c r="K58" i="16"/>
  <c r="K65" i="16"/>
  <c r="K55" i="16"/>
  <c r="K52" i="16"/>
  <c r="K64" i="16"/>
  <c r="K67" i="16"/>
  <c r="K48" i="16"/>
  <c r="K66" i="16"/>
  <c r="K40" i="16"/>
  <c r="K57" i="16"/>
  <c r="K51" i="16"/>
  <c r="K54" i="16"/>
  <c r="K43" i="16"/>
  <c r="K45" i="16"/>
  <c r="K46" i="16"/>
  <c r="K41" i="16"/>
  <c r="K59" i="16"/>
  <c r="K50" i="16"/>
  <c r="K36" i="16"/>
  <c r="K61" i="16"/>
  <c r="K38" i="16"/>
  <c r="K53" i="16"/>
  <c r="K47" i="16"/>
  <c r="K69" i="16"/>
  <c r="K62" i="16"/>
  <c r="K85" i="16"/>
  <c r="K97" i="16"/>
  <c r="K92" i="16"/>
  <c r="K112" i="16"/>
  <c r="K91" i="16"/>
  <c r="K89" i="16"/>
  <c r="K109" i="16"/>
  <c r="K99" i="16"/>
  <c r="K113" i="16"/>
  <c r="K116" i="16"/>
  <c r="K100" i="16"/>
  <c r="K95" i="16"/>
  <c r="K104" i="16"/>
  <c r="K90" i="16"/>
  <c r="K107" i="16"/>
  <c r="K98" i="16"/>
  <c r="K80" i="16"/>
  <c r="K108" i="16"/>
  <c r="K86" i="16"/>
  <c r="K88" i="16"/>
  <c r="K84" i="16"/>
  <c r="K94" i="16"/>
  <c r="K106" i="16"/>
  <c r="K110" i="16"/>
  <c r="K103" i="16"/>
  <c r="K114" i="16"/>
  <c r="K102" i="16"/>
  <c r="K111" i="16"/>
  <c r="K96" i="16"/>
  <c r="K87" i="16"/>
  <c r="K105" i="16"/>
  <c r="K82" i="16"/>
  <c r="K101" i="16"/>
  <c r="K83" i="16"/>
  <c r="K81" i="16"/>
  <c r="K115" i="16"/>
  <c r="K93" i="16"/>
  <c r="K22" i="16"/>
  <c r="K25" i="16"/>
  <c r="K32" i="16"/>
  <c r="K20" i="16"/>
  <c r="K26" i="16"/>
  <c r="K17" i="16"/>
  <c r="K19" i="16"/>
  <c r="K28" i="16"/>
  <c r="K27" i="16"/>
  <c r="K24" i="16"/>
  <c r="K30" i="16"/>
  <c r="K23" i="16"/>
  <c r="K33" i="16"/>
  <c r="K21" i="16"/>
  <c r="K31" i="16"/>
  <c r="K16" i="16"/>
  <c r="K18" i="16"/>
  <c r="K29" i="16"/>
  <c r="X16" i="16" a="1"/>
  <c r="M18" i="16"/>
  <c r="M106" i="16"/>
  <c r="M104" i="16"/>
  <c r="M64" i="16"/>
  <c r="L104" i="16"/>
  <c r="M39" i="16"/>
  <c r="M21" i="16"/>
  <c r="M81" i="16"/>
  <c r="L107" i="16"/>
  <c r="L101" i="16"/>
  <c r="M87" i="16"/>
  <c r="M27" i="16"/>
  <c r="D27" i="6"/>
  <c r="M92" i="16"/>
  <c r="L91" i="16"/>
  <c r="M20" i="16"/>
  <c r="M108" i="16"/>
  <c r="M58" i="16"/>
  <c r="M109" i="16"/>
  <c r="M71" i="16"/>
  <c r="L30" i="16"/>
  <c r="M89" i="16"/>
  <c r="L88" i="16"/>
  <c r="M84" i="16"/>
  <c r="M36" i="16"/>
  <c r="M47" i="16"/>
  <c r="M85" i="16"/>
  <c r="L80" i="16"/>
  <c r="M70" i="16"/>
  <c r="L85" i="16"/>
  <c r="M29" i="16"/>
  <c r="L76" i="16"/>
  <c r="L82" i="16"/>
  <c r="M56" i="16"/>
  <c r="M113" i="16"/>
  <c r="L70" i="16"/>
  <c r="L67" i="16"/>
  <c r="M53" i="16"/>
  <c r="M52" i="16"/>
  <c r="M74" i="16"/>
  <c r="M61" i="16"/>
  <c r="L37" i="16"/>
  <c r="L58" i="16"/>
  <c r="M76" i="16"/>
  <c r="W16" i="16" a="1"/>
  <c r="L48" i="16"/>
  <c r="L50" i="16"/>
  <c r="M23" i="16"/>
  <c r="M25" i="16"/>
  <c r="L95" i="16"/>
  <c r="L96" i="16"/>
  <c r="M57" i="16"/>
  <c r="L61" i="16"/>
  <c r="L27" i="16"/>
  <c r="L44" i="16"/>
  <c r="M26" i="16"/>
  <c r="M24" i="16"/>
  <c r="L22" i="16"/>
  <c r="L92" i="16"/>
  <c r="L42" i="16"/>
  <c r="L97" i="16"/>
  <c r="M22" i="16"/>
  <c r="L63" i="16"/>
  <c r="M102" i="16"/>
  <c r="L83" i="16"/>
  <c r="M100" i="16"/>
  <c r="L65" i="16"/>
  <c r="M45" i="16"/>
  <c r="M107" i="16"/>
  <c r="M17" i="16"/>
  <c r="M105" i="16"/>
  <c r="M32" i="16"/>
  <c r="M110" i="16"/>
  <c r="L114" i="16"/>
  <c r="L36" i="16"/>
  <c r="D28" i="6"/>
  <c r="L59" i="16"/>
  <c r="L100" i="16"/>
  <c r="L60" i="16"/>
  <c r="M95" i="16"/>
  <c r="L56" i="16"/>
  <c r="M82" i="16"/>
  <c r="M49" i="16"/>
  <c r="M41" i="16"/>
  <c r="M54" i="16"/>
  <c r="M94" i="16"/>
  <c r="L29" i="16"/>
  <c r="L46" i="16"/>
  <c r="L98" i="16"/>
  <c r="L45" i="16"/>
  <c r="M40" i="16"/>
  <c r="L116" i="16"/>
  <c r="M73" i="16"/>
  <c r="L55" i="16"/>
  <c r="L33" i="16"/>
  <c r="M65" i="16"/>
  <c r="L111" i="16"/>
  <c r="L43" i="16"/>
  <c r="L74" i="16"/>
  <c r="M91" i="16"/>
  <c r="L53" i="16"/>
  <c r="L90" i="16"/>
  <c r="L51" i="16"/>
  <c r="L64" i="16"/>
  <c r="L49" i="16"/>
  <c r="L72" i="16"/>
  <c r="M75" i="16"/>
  <c r="L25" i="16"/>
  <c r="L105" i="16"/>
  <c r="L47" i="16"/>
  <c r="M101" i="16"/>
  <c r="M114" i="16"/>
  <c r="L19" i="16"/>
  <c r="M42" i="16"/>
  <c r="L38" i="16"/>
  <c r="L21" i="16"/>
  <c r="M103" i="16"/>
  <c r="M83" i="16"/>
  <c r="M50" i="16"/>
  <c r="M111" i="16"/>
  <c r="M115" i="16"/>
  <c r="M19" i="16"/>
  <c r="L17" i="16"/>
  <c r="M116" i="16"/>
  <c r="L113" i="16"/>
  <c r="L106" i="16"/>
  <c r="L62" i="16"/>
  <c r="M48" i="16"/>
  <c r="M63" i="16"/>
  <c r="L84" i="16"/>
  <c r="L40" i="16"/>
  <c r="D29" i="6"/>
  <c r="L18" i="16"/>
  <c r="M80" i="16"/>
  <c r="L109" i="16"/>
  <c r="M112" i="16"/>
  <c r="L24" i="16"/>
  <c r="M69" i="16"/>
  <c r="M28" i="16"/>
  <c r="L52" i="16"/>
  <c r="M88" i="16"/>
  <c r="L16" i="16"/>
  <c r="M86" i="16"/>
  <c r="L110" i="16"/>
  <c r="L71" i="16"/>
  <c r="M43" i="16"/>
  <c r="L57" i="16"/>
  <c r="L23" i="16"/>
  <c r="L31" i="16"/>
  <c r="L103" i="16"/>
  <c r="M67" i="16"/>
  <c r="M60" i="16"/>
  <c r="L32" i="16"/>
  <c r="M99" i="16"/>
  <c r="L89" i="16"/>
  <c r="M51" i="16"/>
  <c r="M97" i="16"/>
  <c r="M62" i="16"/>
  <c r="M90" i="16"/>
  <c r="L41" i="16"/>
  <c r="M59" i="16"/>
  <c r="L86" i="16"/>
  <c r="L73" i="16"/>
  <c r="M16" i="16"/>
  <c r="M30" i="16"/>
  <c r="M68" i="16"/>
  <c r="M37" i="16"/>
  <c r="L87" i="16"/>
  <c r="M66" i="16"/>
  <c r="M38" i="16"/>
  <c r="M44" i="16"/>
  <c r="L28" i="16"/>
  <c r="L20" i="16"/>
  <c r="L68" i="16"/>
  <c r="L93" i="16"/>
  <c r="L94" i="16"/>
  <c r="L108" i="16"/>
  <c r="L77" i="16"/>
  <c r="M33" i="16"/>
  <c r="L112" i="16"/>
  <c r="M77" i="16"/>
  <c r="M72" i="16"/>
  <c r="L81" i="16"/>
  <c r="L69" i="16"/>
  <c r="M93" i="16"/>
  <c r="L115" i="16"/>
  <c r="L102" i="16"/>
  <c r="L54" i="16"/>
  <c r="M96" i="16"/>
  <c r="L66" i="16"/>
  <c r="M55" i="16"/>
  <c r="L75" i="16"/>
  <c r="L26" i="16"/>
  <c r="L39" i="16"/>
  <c r="M46" i="16"/>
  <c r="L99" i="16"/>
  <c r="M31" i="16"/>
  <c r="M98" i="16"/>
  <c r="X2332" i="16" l="1"/>
  <c r="X837" i="16"/>
  <c r="X3232" i="16"/>
  <c r="X3289" i="16"/>
  <c r="X2723" i="16"/>
  <c r="X2132" i="16"/>
  <c r="X928" i="16"/>
  <c r="X3492" i="16"/>
  <c r="X570" i="16"/>
  <c r="X786" i="16"/>
  <c r="X3518" i="16"/>
  <c r="X39" i="16"/>
  <c r="X2832" i="16"/>
  <c r="X800" i="16"/>
  <c r="X923" i="16"/>
  <c r="X1619" i="16"/>
  <c r="X2523" i="16"/>
  <c r="X3483" i="16"/>
  <c r="X1991" i="16"/>
  <c r="X3022" i="16"/>
  <c r="X148" i="16"/>
  <c r="X237" i="16"/>
  <c r="X2451" i="16"/>
  <c r="X2280" i="16"/>
  <c r="X461" i="16"/>
  <c r="X2220" i="16"/>
  <c r="X1713" i="16"/>
  <c r="X803" i="16"/>
  <c r="X1654" i="16"/>
  <c r="X890" i="16"/>
  <c r="X2828" i="16"/>
  <c r="X938" i="16"/>
  <c r="X584" i="16"/>
  <c r="X756" i="16"/>
  <c r="X3176" i="16"/>
  <c r="X1607" i="16"/>
  <c r="X1538" i="16"/>
  <c r="X871" i="16"/>
  <c r="X1946" i="16"/>
  <c r="X2066" i="16"/>
  <c r="X1651" i="16"/>
  <c r="X2123" i="16"/>
  <c r="X2073" i="16"/>
  <c r="X1971" i="16"/>
  <c r="X2531" i="16"/>
  <c r="X1143" i="16"/>
  <c r="X2818" i="16"/>
  <c r="X897" i="16"/>
  <c r="X113" i="16"/>
  <c r="X1456" i="16"/>
  <c r="X2872" i="16"/>
  <c r="X2741" i="16"/>
  <c r="X2834" i="16"/>
  <c r="X98" i="16"/>
  <c r="X3479" i="16"/>
  <c r="X668" i="16"/>
  <c r="X1247" i="16"/>
  <c r="X3239" i="16"/>
  <c r="X1281" i="16"/>
  <c r="X3032" i="16"/>
  <c r="X1634" i="16"/>
  <c r="X2609" i="16"/>
  <c r="X2022" i="16"/>
  <c r="X1495" i="16"/>
  <c r="X54" i="16"/>
  <c r="X3255" i="16"/>
  <c r="X2210" i="16"/>
  <c r="X705" i="16"/>
  <c r="X911" i="16"/>
  <c r="X1177" i="16"/>
  <c r="X2177" i="16"/>
  <c r="X200" i="16"/>
  <c r="X2815" i="16"/>
  <c r="X3287" i="16"/>
  <c r="X264" i="16"/>
  <c r="X807" i="16"/>
  <c r="X183" i="16"/>
  <c r="X1574" i="16"/>
  <c r="X1223" i="16"/>
  <c r="X719" i="16"/>
  <c r="X2412" i="16"/>
  <c r="X2621" i="16"/>
  <c r="X1772" i="16"/>
  <c r="X3129" i="16"/>
  <c r="X515" i="16"/>
  <c r="X1434" i="16"/>
  <c r="X1542" i="16"/>
  <c r="X3137" i="16"/>
  <c r="X3226" i="16"/>
  <c r="X1849" i="16"/>
  <c r="X3311" i="16"/>
  <c r="X2615" i="16"/>
  <c r="X615" i="16"/>
  <c r="X838" i="16"/>
  <c r="X58" i="16"/>
  <c r="X625" i="16"/>
  <c r="X1950" i="16"/>
  <c r="X2699" i="16"/>
  <c r="X1562" i="16"/>
  <c r="X3500" i="16"/>
  <c r="X998" i="16"/>
  <c r="X2361" i="16"/>
  <c r="X3204" i="16"/>
  <c r="X851" i="16"/>
  <c r="X3081" i="16"/>
  <c r="X1183" i="16"/>
  <c r="X3366" i="16"/>
  <c r="X2560" i="16"/>
  <c r="X1359" i="16"/>
  <c r="X3098" i="16"/>
  <c r="X1280" i="16"/>
  <c r="X452" i="16"/>
  <c r="X1883" i="16"/>
  <c r="X47" i="16"/>
  <c r="X881" i="16"/>
  <c r="X1224" i="16"/>
  <c r="X2224" i="16"/>
  <c r="X3339" i="16"/>
  <c r="X1531" i="16"/>
  <c r="X2938" i="16"/>
  <c r="X2705" i="16"/>
  <c r="X2979" i="16"/>
  <c r="X940" i="16"/>
  <c r="X2166" i="16"/>
  <c r="X884" i="16"/>
  <c r="X34" i="16"/>
  <c r="X3193" i="16"/>
  <c r="X2506" i="16"/>
  <c r="X2822" i="16"/>
  <c r="X1108" i="16"/>
  <c r="X3322" i="16"/>
  <c r="X2646" i="16"/>
  <c r="X2783" i="16"/>
  <c r="X983" i="16"/>
  <c r="X2976" i="16"/>
  <c r="X780" i="16"/>
  <c r="X3513" i="16"/>
  <c r="X2261" i="16"/>
  <c r="X1871" i="16"/>
  <c r="X2276" i="16"/>
  <c r="X1957" i="16"/>
  <c r="X2358" i="16"/>
  <c r="X2326" i="16"/>
  <c r="X3080" i="16"/>
  <c r="X1592" i="16"/>
  <c r="X748" i="16"/>
  <c r="X1876" i="16"/>
  <c r="X3373" i="16"/>
  <c r="X298" i="16"/>
  <c r="X1862" i="16"/>
  <c r="X1217" i="16"/>
  <c r="X2543" i="16"/>
  <c r="X826" i="16"/>
  <c r="X2737" i="16"/>
  <c r="X1522" i="16"/>
  <c r="X87" i="16"/>
  <c r="X1688" i="16"/>
  <c r="X1389" i="16"/>
  <c r="X2186" i="16"/>
  <c r="X2306" i="16"/>
  <c r="X43" i="16"/>
  <c r="X3397" i="16"/>
  <c r="X2072" i="16"/>
  <c r="X426" i="16"/>
  <c r="X657" i="16"/>
  <c r="X400" i="16"/>
  <c r="X1141" i="16"/>
  <c r="X215" i="16"/>
  <c r="X3307" i="16"/>
  <c r="X1225" i="16"/>
  <c r="X1036" i="16"/>
  <c r="X3077" i="16"/>
  <c r="X2214" i="16"/>
  <c r="X2439" i="16"/>
  <c r="X1581" i="16"/>
  <c r="X1320" i="16"/>
  <c r="X3391" i="16"/>
  <c r="X3313" i="16"/>
  <c r="X2903" i="16"/>
  <c r="X485" i="16"/>
  <c r="X2711" i="16"/>
  <c r="X216" i="16"/>
  <c r="X3237" i="16"/>
  <c r="X2967" i="16"/>
  <c r="X132" i="16"/>
  <c r="X1962" i="16"/>
  <c r="X1523" i="16"/>
  <c r="X2297" i="16"/>
  <c r="X1298" i="16"/>
  <c r="X1510" i="16"/>
  <c r="X2857" i="16"/>
  <c r="X105" i="16"/>
  <c r="X604" i="16"/>
  <c r="X2198" i="16"/>
  <c r="X1111" i="16"/>
  <c r="X507" i="16"/>
  <c r="X1848" i="16"/>
  <c r="X3003" i="16"/>
  <c r="X3174" i="16"/>
  <c r="X1972" i="16"/>
  <c r="X1007" i="16"/>
  <c r="X252" i="16"/>
  <c r="X2745" i="16"/>
  <c r="X2489" i="16"/>
  <c r="X3119" i="16"/>
  <c r="X1565" i="16"/>
  <c r="X1854" i="16"/>
  <c r="X1947" i="16"/>
  <c r="X405" i="16"/>
  <c r="X1900" i="16"/>
  <c r="X2645" i="16"/>
  <c r="X1319" i="16"/>
  <c r="X1253" i="16"/>
  <c r="X75" i="16"/>
  <c r="X2106" i="16"/>
  <c r="X1649" i="16"/>
  <c r="X217" i="16"/>
  <c r="X1139" i="16"/>
  <c r="X1058" i="16"/>
  <c r="X21" i="16"/>
  <c r="X904" i="16"/>
  <c r="X2677" i="16"/>
  <c r="X2378" i="16"/>
  <c r="X852" i="16"/>
  <c r="X734" i="16"/>
  <c r="X158" i="16"/>
  <c r="X2175" i="16"/>
  <c r="X182" i="16"/>
  <c r="X2058" i="16"/>
  <c r="X617" i="16"/>
  <c r="X1350" i="16"/>
  <c r="X2296" i="16"/>
  <c r="X952" i="16"/>
  <c r="X859" i="16"/>
  <c r="X1762" i="16"/>
  <c r="X1393" i="16"/>
  <c r="X1544" i="16"/>
  <c r="X265" i="16"/>
  <c r="X1646" i="16"/>
  <c r="X2556" i="16"/>
  <c r="X99" i="16"/>
  <c r="X553" i="16"/>
  <c r="X358" i="16"/>
  <c r="X3069" i="16"/>
  <c r="X3441" i="16"/>
  <c r="X1211" i="16"/>
  <c r="X465" i="16"/>
  <c r="X241" i="16"/>
  <c r="X2348" i="16"/>
  <c r="X374" i="16"/>
  <c r="X2864" i="16"/>
  <c r="X2298" i="16"/>
  <c r="X1078" i="16"/>
  <c r="X2981" i="16"/>
  <c r="X2984" i="16"/>
  <c r="X1994" i="16"/>
  <c r="X305" i="16"/>
  <c r="X2448" i="16"/>
  <c r="X2910" i="16"/>
  <c r="X2438" i="16"/>
  <c r="X2307" i="16"/>
  <c r="X855" i="16"/>
  <c r="X525" i="16"/>
  <c r="X1121" i="16"/>
  <c r="X3476" i="16"/>
  <c r="X3330" i="16"/>
  <c r="X247" i="16"/>
  <c r="X2752" i="16"/>
  <c r="X1659" i="16"/>
  <c r="X1094" i="16"/>
  <c r="X231" i="16"/>
  <c r="X390" i="16"/>
  <c r="X1490" i="16"/>
  <c r="X1156" i="16"/>
  <c r="X2937" i="16"/>
  <c r="X985" i="16"/>
  <c r="X2419" i="16"/>
  <c r="X692" i="16"/>
  <c r="X1833" i="16"/>
  <c r="X1774" i="16"/>
  <c r="X2074" i="16"/>
  <c r="X1993" i="16"/>
  <c r="X1189" i="16"/>
  <c r="X118" i="16"/>
  <c r="X1540" i="16"/>
  <c r="X2939" i="16"/>
  <c r="X3447" i="16"/>
  <c r="X438" i="16"/>
  <c r="X733" i="16"/>
  <c r="X2925" i="16"/>
  <c r="X1704" i="16"/>
  <c r="X726" i="16"/>
  <c r="X2608" i="16"/>
  <c r="X1690" i="16"/>
  <c r="X134" i="16"/>
  <c r="X1000" i="16"/>
  <c r="X2282" i="16"/>
  <c r="X1855" i="16"/>
  <c r="X1547" i="16"/>
  <c r="X2320" i="16"/>
  <c r="X2374" i="16"/>
  <c r="X2823" i="16"/>
  <c r="X1906" i="16"/>
  <c r="X313" i="16"/>
  <c r="X1344" i="16"/>
  <c r="X3026" i="16"/>
  <c r="X581" i="16"/>
  <c r="X1095" i="16"/>
  <c r="X493" i="16"/>
  <c r="X1457" i="16"/>
  <c r="X2603" i="16"/>
  <c r="X3155" i="16"/>
  <c r="X1712" i="16"/>
  <c r="X2156" i="16"/>
  <c r="X402" i="16"/>
  <c r="X1022" i="16"/>
  <c r="X603" i="16"/>
  <c r="X2199" i="16"/>
  <c r="X463" i="16"/>
  <c r="X2770" i="16"/>
  <c r="X646" i="16"/>
  <c r="X1471" i="16"/>
  <c r="X2656" i="16"/>
  <c r="X819" i="16"/>
  <c r="X219" i="16"/>
  <c r="X2960" i="16"/>
  <c r="X3351" i="16"/>
  <c r="X303" i="16"/>
  <c r="X1390" i="16"/>
  <c r="X3134" i="16"/>
  <c r="X715" i="16"/>
  <c r="X1306" i="16"/>
  <c r="X1004" i="16"/>
  <c r="X929" i="16"/>
  <c r="X2569" i="16"/>
  <c r="X870" i="16"/>
  <c r="X486" i="16"/>
  <c r="X1065" i="16"/>
  <c r="X3347" i="16"/>
  <c r="X3157" i="16"/>
  <c r="X2713" i="16"/>
  <c r="X882" i="16"/>
  <c r="X370" i="16"/>
  <c r="X2457" i="16"/>
  <c r="X701" i="16"/>
  <c r="X1203" i="16"/>
  <c r="X2196" i="16"/>
  <c r="X3443" i="16"/>
  <c r="X2953" i="16"/>
  <c r="X2642" i="16"/>
  <c r="X1541" i="16"/>
  <c r="X3158" i="16"/>
  <c r="X146" i="16"/>
  <c r="X2906" i="16"/>
  <c r="X2201" i="16"/>
  <c r="X3258" i="16"/>
  <c r="X2740" i="16"/>
  <c r="X3487" i="16"/>
  <c r="X290" i="16"/>
  <c r="X391" i="16"/>
  <c r="X1197" i="16"/>
  <c r="X138" i="16"/>
  <c r="X2267" i="16"/>
  <c r="X1731" i="16"/>
  <c r="X2995" i="16"/>
  <c r="X1282" i="16"/>
  <c r="X1026" i="16"/>
  <c r="X3084" i="16"/>
  <c r="X369" i="16"/>
  <c r="X2538" i="16"/>
  <c r="X3340" i="16"/>
  <c r="X1997" i="16"/>
  <c r="X2709" i="16"/>
  <c r="X1853" i="16"/>
  <c r="X1363" i="16"/>
  <c r="X934" i="16"/>
  <c r="X233" i="16"/>
  <c r="X1254" i="16"/>
  <c r="X2983" i="16"/>
  <c r="X3497" i="16"/>
  <c r="X3502" i="16"/>
  <c r="X1201" i="16"/>
  <c r="X1324" i="16"/>
  <c r="X2467" i="16"/>
  <c r="X2392" i="16"/>
  <c r="X1752" i="16"/>
  <c r="X1414" i="16"/>
  <c r="X291" i="16"/>
  <c r="X3004" i="16"/>
  <c r="X2602" i="16"/>
  <c r="X1083" i="16"/>
  <c r="X1187" i="16"/>
  <c r="X2099" i="16"/>
  <c r="X2453" i="16"/>
  <c r="X1716" i="16"/>
  <c r="X1787" i="16"/>
  <c r="X470" i="16"/>
  <c r="X823" i="16"/>
  <c r="X18" i="16"/>
  <c r="X869" i="16"/>
  <c r="X2629" i="16"/>
  <c r="X2662" i="16"/>
  <c r="X3062" i="16"/>
  <c r="X1388" i="16"/>
  <c r="X3073" i="16"/>
  <c r="X560" i="16"/>
  <c r="X1368" i="16"/>
  <c r="X389" i="16"/>
  <c r="X468" i="16"/>
  <c r="X601" i="16"/>
  <c r="X2947" i="16"/>
  <c r="X1824" i="16"/>
  <c r="X3454" i="16"/>
  <c r="X3085" i="16"/>
  <c r="X1176" i="16"/>
  <c r="X1273" i="16"/>
  <c r="X1785" i="16"/>
  <c r="X652" i="16"/>
  <c r="X2111" i="16"/>
  <c r="X820" i="16"/>
  <c r="X3078" i="16"/>
  <c r="X2135" i="16"/>
  <c r="X2524" i="16"/>
  <c r="X66" i="16"/>
  <c r="X1190" i="16"/>
  <c r="X1461" i="16"/>
  <c r="X2619" i="16"/>
  <c r="X1794" i="16"/>
  <c r="X3222" i="16"/>
  <c r="X415" i="16"/>
  <c r="X3455" i="16"/>
  <c r="X3113" i="16"/>
  <c r="X315" i="16"/>
  <c r="X2000" i="16"/>
  <c r="X2370" i="16"/>
  <c r="X1911" i="16"/>
  <c r="X1315" i="16"/>
  <c r="X2729" i="16"/>
  <c r="X3331" i="16"/>
  <c r="X1360" i="16"/>
  <c r="X3336" i="16"/>
  <c r="X1679" i="16"/>
  <c r="X2793" i="16"/>
  <c r="X319" i="16"/>
  <c r="X773" i="16"/>
  <c r="X1130" i="16"/>
  <c r="X1468" i="16"/>
  <c r="X3031" i="16"/>
  <c r="X834" i="16"/>
  <c r="X2599" i="16"/>
  <c r="X484" i="16"/>
  <c r="X2421" i="16"/>
  <c r="X776" i="16"/>
  <c r="X1850" i="16"/>
  <c r="X833" i="16"/>
  <c r="X630" i="16"/>
  <c r="X1057" i="16"/>
  <c r="X1766" i="16"/>
  <c r="X1582" i="16"/>
  <c r="X3117" i="16"/>
  <c r="X1418" i="16"/>
  <c r="X2733" i="16"/>
  <c r="X2742" i="16"/>
  <c r="X2097" i="16"/>
  <c r="X3418" i="16"/>
  <c r="X2553" i="16"/>
  <c r="X2814" i="16"/>
  <c r="X2354" i="16"/>
  <c r="X2788" i="16"/>
  <c r="X549" i="16"/>
  <c r="X1790" i="16"/>
  <c r="X96" i="16"/>
  <c r="X162" i="16"/>
  <c r="X1767" i="16"/>
  <c r="X3396" i="16"/>
  <c r="X185" i="16"/>
  <c r="X1966" i="16"/>
  <c r="X2193" i="16"/>
  <c r="X2721" i="16"/>
  <c r="X703" i="16"/>
  <c r="X1569" i="16"/>
  <c r="X942" i="16"/>
  <c r="X448" i="16"/>
  <c r="X520" i="16"/>
  <c r="X1132" i="16"/>
  <c r="X794" i="16"/>
  <c r="X1234" i="16"/>
  <c r="X1365" i="16"/>
  <c r="X533" i="16"/>
  <c r="X149" i="16"/>
  <c r="X1796" i="16"/>
  <c r="X460" i="16"/>
  <c r="X91" i="16"/>
  <c r="X2481" i="16"/>
  <c r="X958" i="16"/>
  <c r="X141" i="16"/>
  <c r="X1943" i="16"/>
  <c r="X167" i="16"/>
  <c r="X1080" i="16"/>
  <c r="X1326" i="16"/>
  <c r="X102" i="16"/>
  <c r="X3541" i="16"/>
  <c r="X1118" i="16"/>
  <c r="X1347" i="16"/>
  <c r="X857" i="16"/>
  <c r="X1904" i="16"/>
  <c r="X1524" i="16"/>
  <c r="X1942" i="16"/>
  <c r="X1084" i="16"/>
  <c r="X2366" i="16"/>
  <c r="X1765" i="16"/>
  <c r="X1024" i="16"/>
  <c r="X491" i="16"/>
  <c r="X2389" i="16"/>
  <c r="X3463" i="16"/>
  <c r="X1509" i="16"/>
  <c r="X1093" i="16"/>
  <c r="X1376" i="16"/>
  <c r="X3367" i="16"/>
  <c r="X861" i="16"/>
  <c r="X3205" i="16"/>
  <c r="X3221" i="16"/>
  <c r="X1113" i="16"/>
  <c r="X1415" i="16"/>
  <c r="X2502" i="16"/>
  <c r="X3371" i="16"/>
  <c r="X782" i="16"/>
  <c r="X1792" i="16"/>
  <c r="X661" i="16"/>
  <c r="X253" i="16"/>
  <c r="X274" i="16"/>
  <c r="X524" i="16"/>
  <c r="X2943" i="16"/>
  <c r="X1844" i="16"/>
  <c r="X2383" i="16"/>
  <c r="X1529" i="16"/>
  <c r="X3251" i="16"/>
  <c r="X2813" i="16"/>
  <c r="X3054" i="16"/>
  <c r="X1034" i="16"/>
  <c r="X259" i="16"/>
  <c r="X2865" i="16"/>
  <c r="X2782" i="16"/>
  <c r="X3378" i="16"/>
  <c r="X1037" i="16"/>
  <c r="X999" i="16"/>
  <c r="X2545" i="16"/>
  <c r="X2256" i="16"/>
  <c r="X3471" i="16"/>
  <c r="X1573" i="16"/>
  <c r="X1303" i="16"/>
  <c r="X3235" i="16"/>
  <c r="X3279" i="16"/>
  <c r="X1059" i="16"/>
  <c r="X3413" i="16"/>
  <c r="X2805" i="16"/>
  <c r="X314" i="16"/>
  <c r="X204" i="16"/>
  <c r="X2659" i="16"/>
  <c r="X1420" i="16"/>
  <c r="X2460" i="16"/>
  <c r="X3394" i="16"/>
  <c r="X2057" i="16"/>
  <c r="X2083" i="16"/>
  <c r="X1005" i="16"/>
  <c r="X554" i="16"/>
  <c r="X1175" i="16"/>
  <c r="X868" i="16"/>
  <c r="X2483" i="16"/>
  <c r="X2164" i="16"/>
  <c r="X2137" i="16"/>
  <c r="X2688" i="16"/>
  <c r="X2726" i="16"/>
  <c r="X876" i="16"/>
  <c r="X324" i="16"/>
  <c r="X518" i="16"/>
  <c r="X2916" i="16"/>
  <c r="X1611" i="16"/>
  <c r="X192" i="16"/>
  <c r="X1898" i="16"/>
  <c r="X2633" i="16"/>
  <c r="X2703" i="16"/>
  <c r="X586" i="16"/>
  <c r="X3387" i="16"/>
  <c r="X1103" i="16"/>
  <c r="X2693" i="16"/>
  <c r="X2077" i="16"/>
  <c r="X3124" i="16"/>
  <c r="X1951" i="16"/>
  <c r="X3148" i="16"/>
  <c r="X2874" i="16"/>
  <c r="X420" i="16"/>
  <c r="X1337" i="16"/>
  <c r="X2845" i="16"/>
  <c r="X372" i="16"/>
  <c r="X3097" i="16"/>
  <c r="X551" i="16"/>
  <c r="X2913" i="16"/>
  <c r="X3341" i="16"/>
  <c r="X2595" i="16"/>
  <c r="X1333" i="16"/>
  <c r="X294" i="16"/>
  <c r="X655" i="16"/>
  <c r="X2094" i="16"/>
  <c r="X1970" i="16"/>
  <c r="X3126" i="16"/>
  <c r="X530" i="16"/>
  <c r="X181" i="16"/>
  <c r="X1764" i="16"/>
  <c r="X1746" i="16"/>
  <c r="X2592" i="16"/>
  <c r="X1860" i="16"/>
  <c r="X2192" i="16"/>
  <c r="X1575" i="16"/>
  <c r="X2018" i="16"/>
  <c r="X787" i="16"/>
  <c r="X211" i="16"/>
  <c r="X221" i="16"/>
  <c r="X1186" i="16"/>
  <c r="X2243" i="16"/>
  <c r="X2682" i="16"/>
  <c r="X563" i="16"/>
  <c r="X371" i="16"/>
  <c r="X1006" i="16"/>
  <c r="X1777" i="16"/>
  <c r="X496" i="16"/>
  <c r="X1270" i="16"/>
  <c r="X629" i="16"/>
  <c r="X590" i="16"/>
  <c r="X883" i="16"/>
  <c r="X3433" i="16"/>
  <c r="X3419" i="16"/>
  <c r="X2042" i="16"/>
  <c r="X2324" i="16"/>
  <c r="X3360" i="16"/>
  <c r="X1017" i="16"/>
  <c r="X1226" i="16"/>
  <c r="X1463" i="16"/>
  <c r="X1814" i="16"/>
  <c r="X1085" i="16"/>
  <c r="X1492" i="16"/>
  <c r="X1910" i="16"/>
  <c r="X892" i="16"/>
  <c r="X2027" i="16"/>
  <c r="X2041" i="16"/>
  <c r="X3549" i="16"/>
  <c r="X124" i="16"/>
  <c r="X351" i="16"/>
  <c r="X2200" i="16"/>
  <c r="X2397" i="16"/>
  <c r="X1305" i="16"/>
  <c r="X2120" i="16"/>
  <c r="X1742" i="16"/>
  <c r="X2242" i="16"/>
  <c r="X547" i="16"/>
  <c r="X1817" i="16"/>
  <c r="X1974" i="16"/>
  <c r="X856" i="16"/>
  <c r="X3374" i="16"/>
  <c r="X2021" i="16"/>
  <c r="X1631" i="16"/>
  <c r="X1748" i="16"/>
  <c r="X1747" i="16"/>
  <c r="X338" i="16"/>
  <c r="X3143" i="16"/>
  <c r="X562" i="16"/>
  <c r="X272" i="16"/>
  <c r="X796" i="16"/>
  <c r="X3474" i="16"/>
  <c r="X1209" i="16"/>
  <c r="X2846" i="16"/>
  <c r="X3508" i="16"/>
  <c r="X3523" i="16"/>
  <c r="X723" i="16"/>
  <c r="X1996" i="16"/>
  <c r="X273" i="16"/>
  <c r="X1636" i="16"/>
  <c r="X3035" i="16"/>
  <c r="X424" i="16"/>
  <c r="X1044" i="16"/>
  <c r="X2578" i="16"/>
  <c r="X2785" i="16"/>
  <c r="X320" i="16"/>
  <c r="X2255" i="16"/>
  <c r="X349" i="16"/>
  <c r="X778" i="16"/>
  <c r="X2178" i="16"/>
  <c r="X2683" i="16"/>
  <c r="X71" i="16"/>
  <c r="X3364" i="16"/>
  <c r="X1539" i="16"/>
  <c r="X1283" i="16"/>
  <c r="X2587" i="16"/>
  <c r="X469" i="16"/>
  <c r="X592" i="16"/>
  <c r="X1136" i="16"/>
  <c r="X1741" i="16"/>
  <c r="X1455" i="16"/>
  <c r="X2751" i="16"/>
  <c r="X522" i="16"/>
  <c r="X3194" i="16"/>
  <c r="X3100" i="16"/>
  <c r="X3315" i="16"/>
  <c r="X1629" i="16"/>
  <c r="X2754" i="16"/>
  <c r="X3242" i="16"/>
  <c r="X727" i="16"/>
  <c r="X2616" i="16"/>
  <c r="X1507" i="16"/>
  <c r="X1351" i="16"/>
  <c r="X3353" i="16"/>
  <c r="X429" i="16"/>
  <c r="X297" i="16"/>
  <c r="X2191" i="16"/>
  <c r="X628" i="16"/>
  <c r="X1437" i="16"/>
  <c r="X378" i="16"/>
  <c r="X1205" i="16"/>
  <c r="X2169" i="16"/>
  <c r="X3180" i="16"/>
  <c r="X951" i="16"/>
  <c r="X208" i="16"/>
  <c r="X1264" i="16"/>
  <c r="X1039" i="16"/>
  <c r="X1336" i="16"/>
  <c r="X427" i="16"/>
  <c r="X3288" i="16"/>
  <c r="X193" i="16"/>
  <c r="X174" i="16"/>
  <c r="X2104" i="16"/>
  <c r="X1472" i="16"/>
  <c r="X1941" i="16"/>
  <c r="X186" i="16"/>
  <c r="X642" i="16"/>
  <c r="X1768" i="16"/>
  <c r="X2413" i="16"/>
  <c r="X248" i="16"/>
  <c r="X2356" i="16"/>
  <c r="X721" i="16"/>
  <c r="X1212" i="16"/>
  <c r="X1369" i="16"/>
  <c r="X933" i="16"/>
  <c r="X3231" i="16"/>
  <c r="X227" i="16"/>
  <c r="X3352" i="16"/>
  <c r="X176" i="16"/>
  <c r="X2471" i="16"/>
  <c r="X1323" i="16"/>
  <c r="X3092" i="16"/>
  <c r="X2407" i="16"/>
  <c r="X1100" i="16"/>
  <c r="X2263" i="16"/>
  <c r="X1260" i="16"/>
  <c r="X1238" i="16"/>
  <c r="X2253" i="16"/>
  <c r="X3542" i="16"/>
  <c r="X709" i="16"/>
  <c r="X2218" i="16"/>
  <c r="X1476" i="16"/>
  <c r="X1465" i="16"/>
  <c r="X1930" i="16"/>
  <c r="X750" i="16"/>
  <c r="X1882" i="16"/>
  <c r="X433" i="16"/>
  <c r="X1618" i="16"/>
  <c r="X1514" i="16"/>
  <c r="X246" i="16"/>
  <c r="X1249" i="16"/>
  <c r="X716" i="16"/>
  <c r="X2350" i="16"/>
  <c r="X2695" i="16"/>
  <c r="X209" i="16"/>
  <c r="X531" i="16"/>
  <c r="X997" i="16"/>
  <c r="X2622" i="16"/>
  <c r="X1232" i="16"/>
  <c r="X110" i="16"/>
  <c r="X2799" i="16"/>
  <c r="X967" i="16"/>
  <c r="X3369" i="16"/>
  <c r="X1650" i="16"/>
  <c r="X410" i="16"/>
  <c r="X2035" i="16"/>
  <c r="X1754" i="16"/>
  <c r="X1289" i="16"/>
  <c r="X94" i="16"/>
  <c r="X1204" i="16"/>
  <c r="X1694" i="16"/>
  <c r="X2632" i="16"/>
  <c r="X2491" i="16"/>
  <c r="X2365" i="16"/>
  <c r="X2957" i="16"/>
  <c r="X2499" i="16"/>
  <c r="X597" i="16"/>
  <c r="X2691" i="16"/>
  <c r="X887" i="16"/>
  <c r="X1003" i="16"/>
  <c r="X322" i="16"/>
  <c r="X1227" i="16"/>
  <c r="X2084" i="16"/>
  <c r="X2333" i="16"/>
  <c r="X724" i="16"/>
  <c r="X212" i="16"/>
  <c r="X1035" i="16"/>
  <c r="X3386" i="16"/>
  <c r="X1155" i="16"/>
  <c r="X743" i="16"/>
  <c r="X1706" i="16"/>
  <c r="X542" i="16"/>
  <c r="X1392" i="16"/>
  <c r="X639" i="16"/>
  <c r="X1986" i="16"/>
  <c r="X2321" i="16"/>
  <c r="X3451" i="16"/>
  <c r="X1151" i="16"/>
  <c r="X1869" i="16"/>
  <c r="X1266" i="16"/>
  <c r="X1144" i="16"/>
  <c r="X152" i="16"/>
  <c r="X977" i="16"/>
  <c r="X3547" i="16"/>
  <c r="X2036" i="16"/>
  <c r="X76" i="16"/>
  <c r="X1395" i="16"/>
  <c r="X2127" i="16"/>
  <c r="X1533" i="16"/>
  <c r="X2007" i="16"/>
  <c r="X2567" i="16"/>
  <c r="X503" i="16"/>
  <c r="X397" i="16"/>
  <c r="X1570" i="16"/>
  <c r="X1606" i="16"/>
  <c r="X1235" i="16"/>
  <c r="X2743" i="16"/>
  <c r="X810" i="16"/>
  <c r="X2529" i="16"/>
  <c r="X1428" i="16"/>
  <c r="X3024" i="16"/>
  <c r="X1791" i="16"/>
  <c r="X195" i="16"/>
  <c r="X3254" i="16"/>
  <c r="X346" i="16"/>
  <c r="X3016" i="16"/>
  <c r="X446" i="16"/>
  <c r="X2067" i="16"/>
  <c r="X849" i="16"/>
  <c r="X1669" i="16"/>
  <c r="X1219" i="16"/>
  <c r="X1421" i="16"/>
  <c r="X1561" i="16"/>
  <c r="X1664" i="16"/>
  <c r="X2238" i="16"/>
  <c r="X1587" i="16"/>
  <c r="X3338" i="16"/>
  <c r="X1090" i="16"/>
  <c r="X1099" i="16"/>
  <c r="X1583" i="16"/>
  <c r="X1409" i="16"/>
  <c r="X932" i="16"/>
  <c r="X2230" i="16"/>
  <c r="X2462" i="16"/>
  <c r="X2555" i="16"/>
  <c r="X2791" i="16"/>
  <c r="X808" i="16"/>
  <c r="X3496" i="16"/>
  <c r="X2809" i="16"/>
  <c r="X1835" i="16"/>
  <c r="X1329" i="16"/>
  <c r="X445" i="16"/>
  <c r="X1804" i="16"/>
  <c r="X2226" i="16"/>
  <c r="X2146" i="16"/>
  <c r="X1040" i="16"/>
  <c r="X3224" i="16"/>
  <c r="X1076" i="16"/>
  <c r="X2515" i="16"/>
  <c r="X1697" i="16"/>
  <c r="X3199" i="16"/>
  <c r="X1710" i="16"/>
  <c r="X57" i="16"/>
  <c r="X177" i="16"/>
  <c r="X2064" i="16"/>
  <c r="X2797" i="16"/>
  <c r="X1309" i="16"/>
  <c r="X1447" i="16"/>
  <c r="X700" i="16"/>
  <c r="X202" i="16"/>
  <c r="X3147" i="16"/>
  <c r="X821" i="16"/>
  <c r="X3437" i="16"/>
  <c r="X147" i="16"/>
  <c r="X699" i="16"/>
  <c r="X1598" i="16"/>
  <c r="X1556" i="16"/>
  <c r="X2750" i="16"/>
  <c r="X1568" i="16"/>
  <c r="X1770" i="16"/>
  <c r="X2134" i="16"/>
  <c r="X347" i="16"/>
  <c r="X1670" i="16"/>
  <c r="X2493" i="16"/>
  <c r="X2357" i="16"/>
  <c r="X386" i="16"/>
  <c r="X3423" i="16"/>
  <c r="X1822" i="16"/>
  <c r="X2800" i="16"/>
  <c r="X226" i="16"/>
  <c r="X3489" i="16"/>
  <c r="X1709" i="16"/>
  <c r="X2050" i="16"/>
  <c r="X2486" i="16"/>
  <c r="X1158" i="16"/>
  <c r="X1229" i="16"/>
  <c r="X609" i="16"/>
  <c r="X2922" i="16"/>
  <c r="X3240" i="16"/>
  <c r="X2487" i="16"/>
  <c r="X2488" i="16"/>
  <c r="X3530" i="16"/>
  <c r="X3171" i="16"/>
  <c r="X23" i="16"/>
  <c r="X2895" i="16"/>
  <c r="X1642" i="16"/>
  <c r="X959" i="16"/>
  <c r="X408" i="16"/>
  <c r="X3227" i="16"/>
  <c r="X3201" i="16"/>
  <c r="X1020" i="16"/>
  <c r="X693" i="16"/>
  <c r="X587" i="16"/>
  <c r="X2388" i="16"/>
  <c r="X114" i="16"/>
  <c r="X3088" i="16"/>
  <c r="X2817" i="16"/>
  <c r="X1567" i="16"/>
  <c r="X2768" i="16"/>
  <c r="X2494" i="16"/>
  <c r="X2319" i="16"/>
  <c r="X3264" i="16"/>
  <c r="X2328" i="16"/>
  <c r="X761" i="16"/>
  <c r="X2190" i="16"/>
  <c r="X442" i="16"/>
  <c r="X3466" i="16"/>
  <c r="X404" i="16"/>
  <c r="X2778" i="16"/>
  <c r="X3106" i="16"/>
  <c r="X2202" i="16"/>
  <c r="X2585" i="16"/>
  <c r="X2315" i="16"/>
  <c r="X3165" i="16"/>
  <c r="X544" i="16"/>
  <c r="X738" i="16"/>
  <c r="X37" i="16"/>
  <c r="X623" i="16"/>
  <c r="X302" i="16"/>
  <c r="X2019" i="16"/>
  <c r="X607" i="16"/>
  <c r="X2108" i="16"/>
  <c r="X1975" i="16"/>
  <c r="X3531" i="16"/>
  <c r="X3548" i="16"/>
  <c r="X363" i="16"/>
  <c r="X2235" i="16"/>
  <c r="X872" i="16"/>
  <c r="X1551" i="16"/>
  <c r="X3363" i="16"/>
  <c r="X2089" i="16"/>
  <c r="X962" i="16"/>
  <c r="X2009" i="16"/>
  <c r="X257" i="16"/>
  <c r="X1528" i="16"/>
  <c r="X3190" i="16"/>
  <c r="X2716" i="16"/>
  <c r="X1142" i="16"/>
  <c r="X2052" i="16"/>
  <c r="X926" i="16"/>
  <c r="X229" i="16"/>
  <c r="X980" i="16"/>
  <c r="X1073" i="16"/>
  <c r="X1154" i="16"/>
  <c r="X1639" i="16"/>
  <c r="X3059" i="16"/>
  <c r="X100" i="16"/>
  <c r="X1135" i="16"/>
  <c r="X119" i="16"/>
  <c r="X1776" i="16"/>
  <c r="X536" i="16"/>
  <c r="X1555" i="16"/>
  <c r="X1269" i="16"/>
  <c r="X3212" i="16"/>
  <c r="X504" i="16"/>
  <c r="X3048" i="16"/>
  <c r="X2115" i="16"/>
  <c r="X528" i="16"/>
  <c r="X2459" i="16"/>
  <c r="X267" i="16"/>
  <c r="X996" i="16"/>
  <c r="X3417" i="16"/>
  <c r="X434" i="16"/>
  <c r="X2712" i="16"/>
  <c r="X3516" i="16"/>
  <c r="X3504" i="16"/>
  <c r="X1348" i="16"/>
  <c r="X1448" i="16"/>
  <c r="X2288" i="16"/>
  <c r="X1362" i="16"/>
  <c r="X2624" i="16"/>
  <c r="X2518" i="16"/>
  <c r="X2207" i="16"/>
  <c r="X3319" i="16"/>
  <c r="X945" i="16"/>
  <c r="X2954" i="16"/>
  <c r="X2140" i="16"/>
  <c r="X572" i="16"/>
  <c r="X3110" i="16"/>
  <c r="X1382" i="16"/>
  <c r="X2010" i="16"/>
  <c r="X1605" i="16"/>
  <c r="X251" i="16"/>
  <c r="X2540" i="16"/>
  <c r="X3217" i="16"/>
  <c r="X1067" i="16"/>
  <c r="X1032" i="16"/>
  <c r="X1661" i="16"/>
  <c r="X2056" i="16"/>
  <c r="X2004" i="16"/>
  <c r="X103" i="16"/>
  <c r="X913" i="16"/>
  <c r="X1939" i="16"/>
  <c r="X1558" i="16"/>
  <c r="X3303" i="16"/>
  <c r="X1140" i="16"/>
  <c r="X225" i="16"/>
  <c r="X377" i="16"/>
  <c r="X3286" i="16"/>
  <c r="X2068" i="16"/>
  <c r="X201" i="16"/>
  <c r="X1745" i="16"/>
  <c r="X1821" i="16"/>
  <c r="X559" i="16"/>
  <c r="X2510" i="16"/>
  <c r="X2153" i="16"/>
  <c r="X1117" i="16"/>
  <c r="X1030" i="16"/>
  <c r="X1406" i="16"/>
  <c r="X1677" i="16"/>
  <c r="X1133" i="16"/>
  <c r="X2088" i="16"/>
  <c r="X1064" i="16"/>
  <c r="X3335" i="16"/>
  <c r="X846" i="16"/>
  <c r="X3325" i="16"/>
  <c r="X2948" i="16"/>
  <c r="X409" i="16"/>
  <c r="X616" i="16"/>
  <c r="X1609" i="16"/>
  <c r="X1256" i="16"/>
  <c r="X2635" i="16"/>
  <c r="X3416" i="16"/>
  <c r="X282" i="16"/>
  <c r="X2919" i="16"/>
  <c r="X188" i="16"/>
  <c r="X1198" i="16"/>
  <c r="X1317" i="16"/>
  <c r="X86" i="16"/>
  <c r="X1926" i="16"/>
  <c r="X2527" i="16"/>
  <c r="X643" i="16"/>
  <c r="X331" i="16"/>
  <c r="X2612" i="16"/>
  <c r="X3132" i="16"/>
  <c r="X1644" i="16"/>
  <c r="X878" i="16"/>
  <c r="X2836" i="16"/>
  <c r="X261" i="16"/>
  <c r="X3159" i="16"/>
  <c r="X1627" i="16"/>
  <c r="X2923" i="16"/>
  <c r="X2998" i="16"/>
  <c r="X31" i="16"/>
  <c r="X875" i="16"/>
  <c r="X813" i="16"/>
  <c r="X1837" i="16"/>
  <c r="X685" i="16"/>
  <c r="X2886" i="16"/>
  <c r="X1788" i="16"/>
  <c r="X1596" i="16"/>
  <c r="X194" i="16"/>
  <c r="X268" i="16"/>
  <c r="X2808" i="16"/>
  <c r="X1552" i="16"/>
  <c r="X2020" i="16"/>
  <c r="X1937" i="16"/>
  <c r="X602" i="16"/>
  <c r="X3063" i="16"/>
  <c r="X825" i="16"/>
  <c r="X1717" i="16"/>
  <c r="X2644" i="16"/>
  <c r="X1128" i="16"/>
  <c r="X3434" i="16"/>
  <c r="X3446" i="16"/>
  <c r="X2411" i="16"/>
  <c r="X48" i="16"/>
  <c r="X2308" i="16"/>
  <c r="X3006" i="16"/>
  <c r="X2279" i="16"/>
  <c r="X2118" i="16"/>
  <c r="X1053" i="16"/>
  <c r="X1042" i="16"/>
  <c r="X915" i="16"/>
  <c r="X992" i="16"/>
  <c r="X2792" i="16"/>
  <c r="X2431" i="16"/>
  <c r="X2078" i="16"/>
  <c r="X1194" i="16"/>
  <c r="X2312" i="16"/>
  <c r="X1880" i="16"/>
  <c r="X2593" i="16"/>
  <c r="X509" i="16"/>
  <c r="X1998" i="16"/>
  <c r="X2734" i="16"/>
  <c r="X1380" i="16"/>
  <c r="X2614" i="16"/>
  <c r="X196" i="16"/>
  <c r="X1818" i="16"/>
  <c r="X2773" i="16"/>
  <c r="X2689" i="16"/>
  <c r="X1379" i="16"/>
  <c r="X2003" i="16"/>
  <c r="X2784" i="16"/>
  <c r="X865" i="16"/>
  <c r="X276" i="16"/>
  <c r="X2911" i="16"/>
  <c r="X1530" i="16"/>
  <c r="X2873" i="16"/>
  <c r="X236" i="16"/>
  <c r="X2520" i="16"/>
  <c r="X2351" i="16"/>
  <c r="X1730" i="16"/>
  <c r="X2436" i="16"/>
  <c r="X301" i="16"/>
  <c r="X582" i="16"/>
  <c r="X3160" i="16"/>
  <c r="X1284" i="16"/>
  <c r="X440" i="16"/>
  <c r="X2474" i="16"/>
  <c r="X1387" i="16"/>
  <c r="X2966" i="16"/>
  <c r="X1430" i="16"/>
  <c r="X2213" i="16"/>
  <c r="X328" i="16"/>
  <c r="X1851" i="16"/>
  <c r="X2676" i="16"/>
  <c r="X2122" i="16"/>
  <c r="X1968" i="16"/>
  <c r="X108" i="16"/>
  <c r="X2188" i="16"/>
  <c r="X239" i="16"/>
  <c r="X1127" i="16"/>
  <c r="X2205" i="16"/>
  <c r="X2249" i="16"/>
  <c r="X45" i="16"/>
  <c r="X244" i="16"/>
  <c r="X1584" i="16"/>
  <c r="X1445" i="16"/>
  <c r="X502" i="16"/>
  <c r="X450" i="16"/>
  <c r="X2866" i="16"/>
  <c r="X243" i="16"/>
  <c r="X925" i="16"/>
  <c r="X1738" i="16"/>
  <c r="X3186" i="16"/>
  <c r="X779" i="16"/>
  <c r="X1901" i="16"/>
  <c r="X1106" i="16"/>
  <c r="X143" i="16"/>
  <c r="X2812" i="16"/>
  <c r="X1497" i="16"/>
  <c r="X521" i="16"/>
  <c r="X2197" i="16"/>
  <c r="X1473" i="16"/>
  <c r="X447" i="16"/>
  <c r="X1371" i="16"/>
  <c r="X395" i="16"/>
  <c r="X1841" i="16"/>
  <c r="X1945" i="16"/>
  <c r="X1466" i="16"/>
  <c r="X2537" i="16"/>
  <c r="X658" i="16"/>
  <c r="X3146" i="16"/>
  <c r="X1999" i="16"/>
  <c r="X2330" i="16"/>
  <c r="X3368" i="16"/>
  <c r="X2185" i="16"/>
  <c r="X2536" i="16"/>
  <c r="X2955" i="16"/>
  <c r="X3125" i="16"/>
  <c r="X964" i="16"/>
  <c r="X2583" i="16"/>
  <c r="X2387" i="16"/>
  <c r="X1726" i="16"/>
  <c r="X2314" i="16"/>
  <c r="X1566" i="16"/>
  <c r="X142" i="16"/>
  <c r="X1181" i="16"/>
  <c r="X344" i="16"/>
  <c r="X919" i="16"/>
  <c r="X836" i="16"/>
  <c r="X1021" i="16"/>
  <c r="X2183" i="16"/>
  <c r="X3379" i="16"/>
  <c r="X781" i="16"/>
  <c r="X2927" i="16"/>
  <c r="X1074" i="16"/>
  <c r="X2006" i="16"/>
  <c r="X785" i="16"/>
  <c r="X2305" i="16"/>
  <c r="X406" i="16"/>
  <c r="X3275" i="16"/>
  <c r="X277" i="16"/>
  <c r="X632" i="16"/>
  <c r="X2309" i="16"/>
  <c r="X2617" i="16"/>
  <c r="X499" i="16"/>
  <c r="X1361" i="16"/>
  <c r="X3238" i="16"/>
  <c r="X918" i="16"/>
  <c r="X912" i="16"/>
  <c r="X2980" i="16"/>
  <c r="X598" i="16"/>
  <c r="X3498" i="16"/>
  <c r="X1352" i="16"/>
  <c r="X327" i="16"/>
  <c r="X3375" i="16"/>
  <c r="X690" i="16"/>
  <c r="X3209" i="16"/>
  <c r="X3149" i="16"/>
  <c r="X3412" i="16"/>
  <c r="X453" i="16"/>
  <c r="X2517" i="16"/>
  <c r="X1896" i="16"/>
  <c r="X1843" i="16"/>
  <c r="X3019" i="16"/>
  <c r="X3262" i="16"/>
  <c r="X2605" i="16"/>
  <c r="X341" i="16"/>
  <c r="X841" i="16"/>
  <c r="X481" i="16"/>
  <c r="X356" i="16"/>
  <c r="X1477" i="16"/>
  <c r="X3071" i="16"/>
  <c r="X1828" i="16"/>
  <c r="X1279" i="16"/>
  <c r="X765" i="16"/>
  <c r="X3045" i="16"/>
  <c r="X1696" i="16"/>
  <c r="X489" i="16"/>
  <c r="X2684" i="16"/>
  <c r="X2522" i="16"/>
  <c r="X1917" i="16"/>
  <c r="X1732" i="16"/>
  <c r="X1586" i="16"/>
  <c r="X1045" i="16"/>
  <c r="X454" i="16"/>
  <c r="X2959" i="16"/>
  <c r="X2100" i="16"/>
  <c r="X3017" i="16"/>
  <c r="X1944" i="16"/>
  <c r="X2394" i="16"/>
  <c r="X269" i="16"/>
  <c r="X1687" i="16"/>
  <c r="X1150" i="16"/>
  <c r="X736" i="16"/>
  <c r="X2899" i="16"/>
  <c r="X2203" i="16"/>
  <c r="X2749" i="16"/>
  <c r="X1775" i="16"/>
  <c r="X3323" i="16"/>
  <c r="X2023" i="16"/>
  <c r="X3505" i="16"/>
  <c r="X2028" i="16"/>
  <c r="X2852" i="16"/>
  <c r="X1288" i="16"/>
  <c r="X1604" i="16"/>
  <c r="X3268" i="16"/>
  <c r="X3449" i="16"/>
  <c r="X1261" i="16"/>
  <c r="X2176" i="16"/>
  <c r="X1041" i="16"/>
  <c r="X541" i="16"/>
  <c r="X2990" i="16"/>
  <c r="X1877" i="16"/>
  <c r="X1929" i="16"/>
  <c r="X3458" i="16"/>
  <c r="X3187" i="16"/>
  <c r="X1364" i="16"/>
  <c r="X65" i="16"/>
  <c r="X2143" i="16"/>
  <c r="X688" i="16"/>
  <c r="X1071" i="16"/>
  <c r="X307" i="16"/>
  <c r="X3007" i="16"/>
  <c r="X2396" i="16"/>
  <c r="X3034" i="16"/>
  <c r="X814" i="16"/>
  <c r="X1750" i="16"/>
  <c r="X115" i="16"/>
  <c r="X3033" i="16"/>
  <c r="X3243" i="16"/>
  <c r="X3005" i="16"/>
  <c r="X3234" i="16"/>
  <c r="X3091" i="16"/>
  <c r="X2053" i="16"/>
  <c r="X1011" i="16"/>
  <c r="X1018" i="16"/>
  <c r="X1216" i="16"/>
  <c r="X2623" i="16"/>
  <c r="X1330" i="16"/>
  <c r="X455" i="16"/>
  <c r="X3122" i="16"/>
  <c r="X3156" i="16"/>
  <c r="X1733" i="16"/>
  <c r="X3393" i="16"/>
  <c r="X516" i="16"/>
  <c r="X1404" i="16"/>
  <c r="X2272" i="16"/>
  <c r="X421" i="16"/>
  <c r="X831" i="16"/>
  <c r="X3398" i="16"/>
  <c r="X2802" i="16"/>
  <c r="X1098" i="16"/>
  <c r="X3467" i="16"/>
  <c r="X3225" i="16"/>
  <c r="X3473" i="16"/>
  <c r="X2837" i="16"/>
  <c r="X1102" i="16"/>
  <c r="X3049" i="16"/>
  <c r="X1912" i="16"/>
  <c r="X853" i="16"/>
  <c r="X2634" i="16"/>
  <c r="X60" i="16"/>
  <c r="X2252" i="16"/>
  <c r="X1383" i="16"/>
  <c r="X3536" i="16"/>
  <c r="X916" i="16"/>
  <c r="X889" i="16"/>
  <c r="X3306" i="16"/>
  <c r="X198" i="16"/>
  <c r="X318" i="16"/>
  <c r="X2059" i="16"/>
  <c r="X2687" i="16"/>
  <c r="X137" i="16"/>
  <c r="X689" i="16"/>
  <c r="X1290" i="16"/>
  <c r="X2856" i="16"/>
  <c r="X3013" i="16"/>
  <c r="X270" i="16"/>
  <c r="X3206" i="16"/>
  <c r="X2564" i="16"/>
  <c r="X368" i="16"/>
  <c r="X2500" i="16"/>
  <c r="X2231" i="16"/>
  <c r="X1842" i="16"/>
  <c r="X2149" i="16"/>
  <c r="X2364" i="16"/>
  <c r="X285" i="16"/>
  <c r="X2116" i="16"/>
  <c r="X2794" i="16"/>
  <c r="X1721" i="16"/>
  <c r="X97" i="16"/>
  <c r="X164" i="16"/>
  <c r="X1403" i="16"/>
  <c r="X3111" i="16"/>
  <c r="X1163" i="16"/>
  <c r="X1839" i="16"/>
  <c r="X979" i="16"/>
  <c r="X706" i="16"/>
  <c r="X1560" i="16"/>
  <c r="X2669" i="16"/>
  <c r="X818" i="16"/>
  <c r="X2287" i="16"/>
  <c r="X2977" i="16"/>
  <c r="X2222" i="16"/>
  <c r="X845" i="16"/>
  <c r="X2618" i="16"/>
  <c r="X3301" i="16"/>
  <c r="X2008" i="16"/>
  <c r="X1334" i="16"/>
  <c r="X2701" i="16"/>
  <c r="X19" i="16"/>
  <c r="X1385" i="16"/>
  <c r="X2359" i="16"/>
  <c r="X2209" i="16"/>
  <c r="X1391" i="16"/>
  <c r="X3135" i="16"/>
  <c r="X2112" i="16"/>
  <c r="X1867" i="16"/>
  <c r="X2591" i="16"/>
  <c r="X3377" i="16"/>
  <c r="X2610" i="16"/>
  <c r="X382" i="16"/>
  <c r="X2360" i="16"/>
  <c r="X3337" i="16"/>
  <c r="X648" i="16"/>
  <c r="X3477" i="16"/>
  <c r="X1046" i="16"/>
  <c r="X416" i="16"/>
  <c r="X483" i="16"/>
  <c r="X3429" i="16"/>
  <c r="X339" i="16"/>
  <c r="X1055" i="16"/>
  <c r="X26" i="16"/>
  <c r="X1719" i="16"/>
  <c r="X3263" i="16"/>
  <c r="X3395" i="16"/>
  <c r="X2062" i="16"/>
  <c r="X3144" i="16"/>
  <c r="X171" i="16"/>
  <c r="X2735" i="16"/>
  <c r="X930" i="16"/>
  <c r="X1123" i="16"/>
  <c r="X574" i="16"/>
  <c r="X3405" i="16"/>
  <c r="X740" i="16"/>
  <c r="X720" i="16"/>
  <c r="X431" i="16"/>
  <c r="X2347" i="16"/>
  <c r="X2528" i="16"/>
  <c r="X1789" i="16"/>
  <c r="X2810" i="16"/>
  <c r="X3065" i="16"/>
  <c r="X1557" i="16"/>
  <c r="X2988" i="16"/>
  <c r="X2456" i="16"/>
  <c r="X1521" i="16"/>
  <c r="X1640" i="16"/>
  <c r="X51" i="16"/>
  <c r="X902" i="16"/>
  <c r="X3068" i="16"/>
  <c r="X3053" i="16"/>
  <c r="X3276" i="16"/>
  <c r="X2480" i="16"/>
  <c r="X2129" i="16"/>
  <c r="X1725" i="16"/>
  <c r="X1525" i="16"/>
  <c r="X1812" i="16"/>
  <c r="X1239" i="16"/>
  <c r="X1674" i="16"/>
  <c r="X877" i="16"/>
  <c r="X2757" i="16"/>
  <c r="X2993" i="16"/>
  <c r="X2747" i="16"/>
  <c r="X2668" i="16"/>
  <c r="X1192" i="16"/>
  <c r="X3179" i="16"/>
  <c r="X1625" i="16"/>
  <c r="X2270" i="16"/>
  <c r="X905" i="16"/>
  <c r="X1660" i="16"/>
  <c r="X1104" i="16"/>
  <c r="X1302" i="16"/>
  <c r="X1374" i="16"/>
  <c r="X1757" i="16"/>
  <c r="X711" i="16"/>
  <c r="X2498" i="16"/>
  <c r="X2539" i="16"/>
  <c r="X793" i="16"/>
  <c r="X545" i="16"/>
  <c r="X867" i="16"/>
  <c r="X1769" i="16"/>
  <c r="X1686" i="16"/>
  <c r="X1691" i="16"/>
  <c r="X1487" i="16"/>
  <c r="X3520" i="16"/>
  <c r="X2075" i="16"/>
  <c r="X1559" i="16"/>
  <c r="X848" i="16"/>
  <c r="X704" i="16"/>
  <c r="X260" i="16"/>
  <c r="X742" i="16"/>
  <c r="X2033" i="16"/>
  <c r="X3064" i="16"/>
  <c r="X1756" i="16"/>
  <c r="X526" i="16"/>
  <c r="X769" i="16"/>
  <c r="X2571" i="16"/>
  <c r="X566" i="16"/>
  <c r="X1922" i="16"/>
  <c r="X1549" i="16"/>
  <c r="X2557" i="16"/>
  <c r="X636" i="16"/>
  <c r="X529" i="16"/>
  <c r="X116" i="16"/>
  <c r="X832" i="16"/>
  <c r="X3228" i="16"/>
  <c r="X3028" i="16"/>
  <c r="X3427" i="16"/>
  <c r="X2338" i="16"/>
  <c r="X2707" i="16"/>
  <c r="X2496" i="16"/>
  <c r="X2753" i="16"/>
  <c r="X1866" i="16"/>
  <c r="X126" i="16"/>
  <c r="X2405" i="16"/>
  <c r="X1858" i="16"/>
  <c r="X2005" i="16"/>
  <c r="X2673" i="16"/>
  <c r="X2184" i="16"/>
  <c r="X1875" i="16"/>
  <c r="X2882" i="16"/>
  <c r="X2155" i="16"/>
  <c r="X3439" i="16"/>
  <c r="X482" i="16"/>
  <c r="X1838" i="16"/>
  <c r="X133" i="16"/>
  <c r="X3047" i="16"/>
  <c r="X2367" i="16"/>
  <c r="X1823" i="16"/>
  <c r="X3273" i="16"/>
  <c r="X163" i="16"/>
  <c r="X78" i="16"/>
  <c r="X308" i="16"/>
  <c r="X2126" i="16"/>
  <c r="X1610" i="16"/>
  <c r="X1779" i="16"/>
  <c r="X1781" i="16"/>
  <c r="X1831" i="16"/>
  <c r="X1048" i="16"/>
  <c r="X3302" i="16"/>
  <c r="X3166" i="16"/>
  <c r="X2223" i="16"/>
  <c r="X1489" i="16"/>
  <c r="X3195" i="16"/>
  <c r="X824" i="16"/>
  <c r="X3058" i="16"/>
  <c r="X1047" i="16"/>
  <c r="X806" i="16"/>
  <c r="X2861" i="16"/>
  <c r="X2121" i="16"/>
  <c r="X3475" i="16"/>
  <c r="X864" i="16"/>
  <c r="X842" i="16"/>
  <c r="X2887" i="16"/>
  <c r="X873" i="16"/>
  <c r="X1231" i="16"/>
  <c r="X62" i="16"/>
  <c r="X678" i="16"/>
  <c r="X3350" i="16"/>
  <c r="X2011" i="16"/>
  <c r="X3390" i="16"/>
  <c r="X1591" i="16"/>
  <c r="X1803" i="16"/>
  <c r="X2430" i="16"/>
  <c r="X197" i="16"/>
  <c r="X2835" i="16"/>
  <c r="X1698" i="16"/>
  <c r="X3074" i="16"/>
  <c r="X974" i="16"/>
  <c r="X2926" i="16"/>
  <c r="X2862" i="16"/>
  <c r="X3327" i="16"/>
  <c r="X3256" i="16"/>
  <c r="X1675" i="16"/>
  <c r="X995" i="16"/>
  <c r="X3533" i="16"/>
  <c r="X3320" i="16"/>
  <c r="X2090" i="16"/>
  <c r="X2247" i="16"/>
  <c r="X79" i="16"/>
  <c r="X669" i="16"/>
  <c r="X2329" i="16"/>
  <c r="X430" i="16"/>
  <c r="X747" i="16"/>
  <c r="X3512" i="16"/>
  <c r="X2264" i="16"/>
  <c r="X949" i="16"/>
  <c r="X379" i="16"/>
  <c r="X242" i="16"/>
  <c r="X2369" i="16"/>
  <c r="X3354" i="16"/>
  <c r="X1277" i="16"/>
  <c r="X286" i="16"/>
  <c r="X1980" i="16"/>
  <c r="X1482" i="16"/>
  <c r="X2051" i="16"/>
  <c r="X1902" i="16"/>
  <c r="X3141" i="16"/>
  <c r="X3152" i="16"/>
  <c r="X3066" i="16"/>
  <c r="X3089" i="16"/>
  <c r="X2501" i="16"/>
  <c r="X3133" i="16"/>
  <c r="X3169" i="16"/>
  <c r="X317" i="16"/>
  <c r="X728" i="16"/>
  <c r="X245" i="16"/>
  <c r="X2032" i="16"/>
  <c r="X1989" i="16"/>
  <c r="X2725" i="16"/>
  <c r="X354" i="16"/>
  <c r="X2237" i="16"/>
  <c r="X160" i="16"/>
  <c r="X3202" i="16"/>
  <c r="X3525" i="16"/>
  <c r="X3521" i="16"/>
  <c r="X3314" i="16"/>
  <c r="X1893" i="16"/>
  <c r="X1222" i="16"/>
  <c r="X178" i="16"/>
  <c r="X3257" i="16"/>
  <c r="X681" i="16"/>
  <c r="X3294" i="16"/>
  <c r="X2228" i="16"/>
  <c r="X479" i="16"/>
  <c r="X1386" i="16"/>
  <c r="X1161" i="16"/>
  <c r="X2340" i="16"/>
  <c r="X385" i="16"/>
  <c r="X966" i="16"/>
  <c r="X2415" i="16"/>
  <c r="X667" i="16"/>
  <c r="X3348" i="16"/>
  <c r="X1442" i="16"/>
  <c r="X3300" i="16"/>
  <c r="X1932" i="16"/>
  <c r="X3312" i="16"/>
  <c r="X577" i="16"/>
  <c r="X1196" i="16"/>
  <c r="X1985" i="16"/>
  <c r="X1453" i="16"/>
  <c r="X1049" i="16"/>
  <c r="X2145" i="16"/>
  <c r="X1358" i="16"/>
  <c r="X1311" i="16"/>
  <c r="X993" i="16"/>
  <c r="X2796" i="16"/>
  <c r="X2532" i="16"/>
  <c r="X1173" i="16"/>
  <c r="X1707" i="16"/>
  <c r="X3365" i="16"/>
  <c r="X901" i="16"/>
  <c r="X1271" i="16"/>
  <c r="X2262" i="16"/>
  <c r="X220" i="16"/>
  <c r="X1008" i="16"/>
  <c r="X948" i="16"/>
  <c r="X2558" i="16"/>
  <c r="X1014" i="16"/>
  <c r="X2620" i="16"/>
  <c r="X982" i="16"/>
  <c r="X3191" i="16"/>
  <c r="X1066" i="16"/>
  <c r="X2349" i="16"/>
  <c r="X456" i="16"/>
  <c r="X513" i="16"/>
  <c r="X2274" i="16"/>
  <c r="X2420" i="16"/>
  <c r="X184" i="16"/>
  <c r="X417" i="16"/>
  <c r="X944" i="16"/>
  <c r="X3009" i="16"/>
  <c r="X1096" i="16"/>
  <c r="X2015" i="16"/>
  <c r="X82" i="16"/>
  <c r="X987" i="16"/>
  <c r="X2568" i="16"/>
  <c r="X863" i="16"/>
  <c r="X3461" i="16"/>
  <c r="X3283" i="16"/>
  <c r="X1637" i="16"/>
  <c r="X2055" i="16"/>
  <c r="X829" i="16"/>
  <c r="X1934" i="16"/>
  <c r="X595" i="16"/>
  <c r="X1918" i="16"/>
  <c r="X3450" i="16"/>
  <c r="X2550" i="16"/>
  <c r="X1740" i="16"/>
  <c r="X1503" i="16"/>
  <c r="X2409" i="16"/>
  <c r="X2970" i="16"/>
  <c r="X3448" i="16"/>
  <c r="X1743" i="16"/>
  <c r="X1493" i="16"/>
  <c r="X1179" i="16"/>
  <c r="X1990" i="16"/>
  <c r="X1778" i="16"/>
  <c r="X2490" i="16"/>
  <c r="X1169" i="16"/>
  <c r="X2581" i="16"/>
  <c r="X3076" i="16"/>
  <c r="X840" i="16"/>
  <c r="X1357" i="16"/>
  <c r="X1240" i="16"/>
  <c r="X3464" i="16"/>
  <c r="X2961" i="16"/>
  <c r="X334" i="16"/>
  <c r="X3272" i="16"/>
  <c r="X3328" i="16"/>
  <c r="X2441" i="16"/>
  <c r="X2935" i="16"/>
  <c r="X1484" i="16"/>
  <c r="X3040" i="16"/>
  <c r="X548" i="16"/>
  <c r="X1579" i="16"/>
  <c r="X3408" i="16"/>
  <c r="X1714" i="16"/>
  <c r="X759" i="16"/>
  <c r="X1961" i="16"/>
  <c r="X1394" i="16"/>
  <c r="X1440" i="16"/>
  <c r="X1671" i="16"/>
  <c r="X2933" i="16"/>
  <c r="X1267" i="16"/>
  <c r="X2848" i="16"/>
  <c r="X67" i="16"/>
  <c r="X2446" i="16"/>
  <c r="X1331" i="16"/>
  <c r="X2454" i="16"/>
  <c r="X1019" i="16"/>
  <c r="X210" i="16"/>
  <c r="X1237" i="16"/>
  <c r="X3321" i="16"/>
  <c r="X40" i="16"/>
  <c r="X2912" i="16"/>
  <c r="X3407" i="16"/>
  <c r="X1699" i="16"/>
  <c r="X2875" i="16"/>
  <c r="X2719" i="16"/>
  <c r="X649" i="16"/>
  <c r="X2637" i="16"/>
  <c r="X2679" i="16"/>
  <c r="X1923" i="16"/>
  <c r="X330" i="16"/>
  <c r="X3269" i="16"/>
  <c r="X1292" i="16"/>
  <c r="X1601" i="16"/>
  <c r="X2715" i="16"/>
  <c r="X1276" i="16"/>
  <c r="X359" i="16"/>
  <c r="X2455" i="16"/>
  <c r="X670" i="16"/>
  <c r="X1332" i="16"/>
  <c r="X1221" i="16"/>
  <c r="X250" i="16"/>
  <c r="X1228" i="16"/>
  <c r="X357" i="16"/>
  <c r="X659" i="16"/>
  <c r="X2968" i="16"/>
  <c r="X1834" i="16"/>
  <c r="X910" i="16"/>
  <c r="X278" i="16"/>
  <c r="X104" i="16"/>
  <c r="X3060" i="16"/>
  <c r="X432" i="16"/>
  <c r="X121" i="16"/>
  <c r="X1172" i="16"/>
  <c r="X3128" i="16"/>
  <c r="X2844" i="16"/>
  <c r="X2444" i="16"/>
  <c r="X2987" i="16"/>
  <c r="X500" i="16"/>
  <c r="X1881" i="16"/>
  <c r="X1109" i="16"/>
  <c r="X3380" i="16"/>
  <c r="X2325" i="16"/>
  <c r="X1682" i="16"/>
  <c r="X2994" i="16"/>
  <c r="X1112" i="16"/>
  <c r="X2909" i="16"/>
  <c r="X2667" i="16"/>
  <c r="X2070" i="16"/>
  <c r="X2724" i="16"/>
  <c r="X3452" i="16"/>
  <c r="X2148" i="16"/>
  <c r="X1537" i="16"/>
  <c r="X3383" i="16"/>
  <c r="X745" i="16"/>
  <c r="X3382" i="16"/>
  <c r="X1927" i="16"/>
  <c r="X1724" i="16"/>
  <c r="X2589" i="16"/>
  <c r="X774" i="16"/>
  <c r="X1816" i="16"/>
  <c r="X1459" i="16"/>
  <c r="X3000" i="16"/>
  <c r="X605" i="16"/>
  <c r="X895" i="16"/>
  <c r="X295" i="16"/>
  <c r="X2294" i="16"/>
  <c r="X360" i="16"/>
  <c r="X1182" i="16"/>
  <c r="X20" i="16"/>
  <c r="X1572" i="16"/>
  <c r="X1450" i="16"/>
  <c r="X2410" i="16"/>
  <c r="X1749" i="16"/>
  <c r="X1979" i="16"/>
  <c r="X3151" i="16"/>
  <c r="X1297" i="16"/>
  <c r="X2917" i="16"/>
  <c r="X2582" i="16"/>
  <c r="X2889" i="16"/>
  <c r="X3167" i="16"/>
  <c r="X3317" i="16"/>
  <c r="X975" i="16"/>
  <c r="X1666" i="16"/>
  <c r="X2952" i="16"/>
  <c r="X3343" i="16"/>
  <c r="X2869" i="16"/>
  <c r="X1727" i="16"/>
  <c r="X2423" i="16"/>
  <c r="X1508" i="16"/>
  <c r="X128" i="16"/>
  <c r="X2300" i="16"/>
  <c r="X815" i="16"/>
  <c r="X1628" i="16"/>
  <c r="X1009" i="16"/>
  <c r="X2504" i="16"/>
  <c r="X2029" i="16"/>
  <c r="X2881" i="16"/>
  <c r="X2142" i="16"/>
  <c r="X2590" i="16"/>
  <c r="X2406" i="16"/>
  <c r="X2675" i="16"/>
  <c r="X3036" i="16"/>
  <c r="X2414" i="16"/>
  <c r="X2291" i="16"/>
  <c r="X2702" i="16"/>
  <c r="X2847" i="16"/>
  <c r="X744" i="16"/>
  <c r="X154" i="16"/>
  <c r="X1396" i="16"/>
  <c r="X1023" i="16"/>
  <c r="X903" i="16"/>
  <c r="X2391" i="16"/>
  <c r="X954" i="16"/>
  <c r="X2697" i="16"/>
  <c r="X645" i="16"/>
  <c r="X381" i="16"/>
  <c r="X336" i="16"/>
  <c r="X1384" i="16"/>
  <c r="X345" i="16"/>
  <c r="X329" i="16"/>
  <c r="X578" i="16"/>
  <c r="X994" i="16"/>
  <c r="X1478" i="16"/>
  <c r="X2594" i="16"/>
  <c r="X2686" i="16"/>
  <c r="X3280" i="16"/>
  <c r="X3139" i="16"/>
  <c r="X3079" i="16"/>
  <c r="X2133" i="16"/>
  <c r="X2159" i="16"/>
  <c r="X1874" i="16"/>
  <c r="X2597" i="16"/>
  <c r="X763" i="16"/>
  <c r="X3519" i="16"/>
  <c r="X508" i="16"/>
  <c r="X3188" i="16"/>
  <c r="X989" i="16"/>
  <c r="X1548" i="16"/>
  <c r="X2093" i="16"/>
  <c r="X640" i="16"/>
  <c r="X2722" i="16"/>
  <c r="X2260" i="16"/>
  <c r="X828" i="16"/>
  <c r="X2816" i="16"/>
  <c r="X2654" i="16"/>
  <c r="X1879" i="16"/>
  <c r="X207" i="16"/>
  <c r="X1612" i="16"/>
  <c r="X1167" i="16"/>
  <c r="X2985" i="16"/>
  <c r="X1647" i="16"/>
  <c r="X3101" i="16"/>
  <c r="X2546" i="16"/>
  <c r="X3244" i="16"/>
  <c r="X2071" i="16"/>
  <c r="X2552" i="16"/>
  <c r="X3359" i="16"/>
  <c r="X1760" i="16"/>
  <c r="X2965" i="16"/>
  <c r="X1480" i="16"/>
  <c r="X1075" i="16"/>
  <c r="X2973" i="16"/>
  <c r="X3182" i="16"/>
  <c r="X2373" i="16"/>
  <c r="X2904" i="16"/>
  <c r="X2069" i="16"/>
  <c r="X166" i="16"/>
  <c r="X488" i="16"/>
  <c r="X1805" i="16"/>
  <c r="X1840" i="16"/>
  <c r="X2651" i="16"/>
  <c r="X1377" i="16"/>
  <c r="X976" i="16"/>
  <c r="X101" i="16"/>
  <c r="X1914" i="16"/>
  <c r="X352" i="16"/>
  <c r="X789" i="16"/>
  <c r="X1700" i="16"/>
  <c r="X1147" i="16"/>
  <c r="X569" i="16"/>
  <c r="X2771" i="16"/>
  <c r="X2730" i="16"/>
  <c r="X2295" i="16"/>
  <c r="X32" i="16"/>
  <c r="X1089" i="16"/>
  <c r="X3027" i="16"/>
  <c r="X3185" i="16"/>
  <c r="X2756" i="16"/>
  <c r="X2819" i="16"/>
  <c r="X583" i="16"/>
  <c r="X751" i="16"/>
  <c r="X1695" i="16"/>
  <c r="X2989" i="16"/>
  <c r="X1304" i="16"/>
  <c r="X1338" i="16"/>
  <c r="X2932" i="16"/>
  <c r="X3001" i="16"/>
  <c r="X3138" i="16"/>
  <c r="X1620" i="16"/>
  <c r="X441" i="16"/>
  <c r="X3173" i="16"/>
  <c r="X3093" i="16"/>
  <c r="X2929" i="16"/>
  <c r="X1739" i="16"/>
  <c r="X2418" i="16"/>
  <c r="X2240" i="16"/>
  <c r="X2772" i="16"/>
  <c r="X3198" i="16"/>
  <c r="X1865" i="16"/>
  <c r="X161" i="16"/>
  <c r="X647" i="16"/>
  <c r="X1010" i="16"/>
  <c r="X612" i="16"/>
  <c r="X1191" i="16"/>
  <c r="X1830" i="16"/>
  <c r="X2727" i="16"/>
  <c r="X1955" i="16"/>
  <c r="X691" i="16"/>
  <c r="X1693" i="16"/>
  <c r="X1433" i="16"/>
  <c r="X2720" i="16"/>
  <c r="X1827" i="16"/>
  <c r="X1863" i="16"/>
  <c r="X1708" i="16"/>
  <c r="X3247" i="16"/>
  <c r="X1964" i="16"/>
  <c r="X3075" i="16"/>
  <c r="X1626" i="16"/>
  <c r="X266" i="16"/>
  <c r="X760" i="16"/>
  <c r="X1060" i="16"/>
  <c r="X1931" i="16"/>
  <c r="X140" i="16"/>
  <c r="X2163" i="16"/>
  <c r="X342" i="16"/>
  <c r="X1145" i="16"/>
  <c r="X3177" i="16"/>
  <c r="X1027" i="16"/>
  <c r="X2063" i="16"/>
  <c r="X1723" i="16"/>
  <c r="X2212" i="16"/>
  <c r="X1341" i="16"/>
  <c r="X1545" i="16"/>
  <c r="X3484" i="16"/>
  <c r="X2024" i="16"/>
  <c r="X682" i="16"/>
  <c r="X3544" i="16"/>
  <c r="X3115" i="16"/>
  <c r="X153" i="16"/>
  <c r="X367" i="16"/>
  <c r="X3121" i="16"/>
  <c r="X296" i="16"/>
  <c r="X2934" i="16"/>
  <c r="X3540" i="16"/>
  <c r="X2492" i="16"/>
  <c r="X1245" i="16"/>
  <c r="X2738" i="16"/>
  <c r="X492" i="16"/>
  <c r="X1208" i="16"/>
  <c r="X620" i="16"/>
  <c r="X1340" i="16"/>
  <c r="X2114" i="16"/>
  <c r="X671" i="16"/>
  <c r="X474" i="16"/>
  <c r="X478" i="16"/>
  <c r="X1662" i="16"/>
  <c r="X144" i="16"/>
  <c r="X2345" i="16"/>
  <c r="X968" i="16"/>
  <c r="X2401" i="16"/>
  <c r="X3517" i="16"/>
  <c r="X558" i="16"/>
  <c r="X1928" i="16"/>
  <c r="X3072" i="16"/>
  <c r="X73" i="16"/>
  <c r="X543" i="16"/>
  <c r="X984" i="16"/>
  <c r="X1518" i="16"/>
  <c r="X2292" i="16"/>
  <c r="X299" i="16"/>
  <c r="X680" i="16"/>
  <c r="X624" i="16"/>
  <c r="X2241" i="16"/>
  <c r="X3260" i="16"/>
  <c r="X1921" i="16"/>
  <c r="X1949" i="16"/>
  <c r="X3246" i="16"/>
  <c r="X256" i="16"/>
  <c r="X2352" i="16"/>
  <c r="X2607" i="16"/>
  <c r="X2250" i="16"/>
  <c r="X3012" i="16"/>
  <c r="X1920" i="16"/>
  <c r="X2897" i="16"/>
  <c r="X1783" i="16"/>
  <c r="X1097" i="16"/>
  <c r="X1157" i="16"/>
  <c r="X2997" i="16"/>
  <c r="X2125" i="16"/>
  <c r="X2278" i="16"/>
  <c r="X1200" i="16"/>
  <c r="X2257" i="16"/>
  <c r="X3218" i="16"/>
  <c r="X981" i="16"/>
  <c r="X213" i="16"/>
  <c r="X1460" i="16"/>
  <c r="X2893" i="16"/>
  <c r="X3154" i="16"/>
  <c r="X1432" i="16"/>
  <c r="X1895" i="16"/>
  <c r="X2271" i="16"/>
  <c r="X2601" i="16"/>
  <c r="X3140" i="16"/>
  <c r="X2417" i="16"/>
  <c r="X3163" i="16"/>
  <c r="X2139" i="16"/>
  <c r="X306" i="16"/>
  <c r="X1193" i="16"/>
  <c r="X337" i="16"/>
  <c r="X2362" i="16"/>
  <c r="X2525" i="16"/>
  <c r="X1891" i="16"/>
  <c r="X2650" i="16"/>
  <c r="X1295" i="16"/>
  <c r="X805" i="16"/>
  <c r="X3168" i="16"/>
  <c r="X3102" i="16"/>
  <c r="X1973" i="16"/>
  <c r="X1162" i="16"/>
  <c r="X3503" i="16"/>
  <c r="X2884" i="16"/>
  <c r="X2037" i="16"/>
  <c r="X206" i="16"/>
  <c r="X2690" i="16"/>
  <c r="X3442" i="16"/>
  <c r="X205" i="16"/>
  <c r="X472" i="16"/>
  <c r="X1220" i="16"/>
  <c r="X3501" i="16"/>
  <c r="X722" i="16"/>
  <c r="X3535" i="16"/>
  <c r="X3304" i="16"/>
  <c r="X2144" i="16"/>
  <c r="X1366" i="16"/>
  <c r="X1210" i="16"/>
  <c r="X2850" i="16"/>
  <c r="X2082" i="16"/>
  <c r="X1807" i="16"/>
  <c r="X654" i="16"/>
  <c r="X1339" i="16"/>
  <c r="X2375" i="16"/>
  <c r="X2653" i="16"/>
  <c r="X1672" i="16"/>
  <c r="X1978" i="16"/>
  <c r="X2680" i="16"/>
  <c r="X3414" i="16"/>
  <c r="X3362" i="16"/>
  <c r="X1952" i="16"/>
  <c r="X573" i="16"/>
  <c r="X788" i="16"/>
  <c r="X2484" i="16"/>
  <c r="X1953" i="16"/>
  <c r="X1800" i="16"/>
  <c r="X532" i="16"/>
  <c r="X1589" i="16"/>
  <c r="X888" i="16"/>
  <c r="X606" i="16"/>
  <c r="X2180" i="16"/>
  <c r="X3389" i="16"/>
  <c r="X2706" i="16"/>
  <c r="X2648" i="16"/>
  <c r="X2665" i="16"/>
  <c r="X2870" i="16"/>
  <c r="X3510" i="16"/>
  <c r="X936" i="16"/>
  <c r="X3482" i="16"/>
  <c r="X2732" i="16"/>
  <c r="X2013" i="16"/>
  <c r="X35" i="16"/>
  <c r="X772" i="16"/>
  <c r="X641" i="16"/>
  <c r="X1603" i="16"/>
  <c r="X3411" i="16"/>
  <c r="X77" i="16"/>
  <c r="X2346" i="16"/>
  <c r="X249" i="16"/>
  <c r="X3018" i="16"/>
  <c r="X310" i="16"/>
  <c r="X1422" i="16"/>
  <c r="X1857" i="16"/>
  <c r="X3333" i="16"/>
  <c r="X3261" i="16"/>
  <c r="X3109" i="16"/>
  <c r="X885" i="16"/>
  <c r="X1399" i="16"/>
  <c r="X1038" i="16"/>
  <c r="X1397" i="16"/>
  <c r="X316" i="16"/>
  <c r="X1467" i="16"/>
  <c r="X2221" i="16"/>
  <c r="X2547" i="16"/>
  <c r="X552" i="16"/>
  <c r="X644" i="16"/>
  <c r="X1475" i="16"/>
  <c r="X2461" i="16"/>
  <c r="X764" i="16"/>
  <c r="X1856" i="16"/>
  <c r="X3037" i="16"/>
  <c r="X767" i="16"/>
  <c r="X2031" i="16"/>
  <c r="X1888" i="16"/>
  <c r="X1153" i="16"/>
  <c r="X519" i="16"/>
  <c r="X791" i="16"/>
  <c r="X2663" i="16"/>
  <c r="X2638" i="16"/>
  <c r="X2786" i="16"/>
  <c r="X2559" i="16"/>
  <c r="X2170" i="16"/>
  <c r="X1491" i="16"/>
  <c r="X580" i="16"/>
  <c r="X2803" i="16"/>
  <c r="X2611" i="16"/>
  <c r="X3142" i="16"/>
  <c r="X2914" i="16"/>
  <c r="X70" i="16"/>
  <c r="X1759" i="16"/>
  <c r="X1894" i="16"/>
  <c r="X1195" i="16"/>
  <c r="X3108" i="16"/>
  <c r="X1248" i="16"/>
  <c r="X894" i="16"/>
  <c r="X1206" i="16"/>
  <c r="X1091" i="16"/>
  <c r="X631" i="16"/>
  <c r="X3543" i="16"/>
  <c r="X3103" i="16"/>
  <c r="X920" i="16"/>
  <c r="X708" i="16"/>
  <c r="X1736" i="16"/>
  <c r="X2343" i="16"/>
  <c r="X1836" i="16"/>
  <c r="X811" i="16"/>
  <c r="X866" i="16"/>
  <c r="X2992" i="16"/>
  <c r="X514" i="16"/>
  <c r="X1623" i="16"/>
  <c r="X2039" i="16"/>
  <c r="X2534" i="16"/>
  <c r="X1171" i="16"/>
  <c r="X490" i="16"/>
  <c r="X300" i="16"/>
  <c r="X1263" i="16"/>
  <c r="X17" i="16"/>
  <c r="X1546" i="16"/>
  <c r="X847" i="16"/>
  <c r="X1635" i="16"/>
  <c r="X2174" i="16"/>
  <c r="X2113" i="16"/>
  <c r="X214" i="16"/>
  <c r="X914" i="16"/>
  <c r="X366" i="16"/>
  <c r="X546" i="16"/>
  <c r="X3236" i="16"/>
  <c r="X1897" i="16"/>
  <c r="X2570" i="16"/>
  <c r="X84" i="16"/>
  <c r="X1335" i="16"/>
  <c r="X893" i="16"/>
  <c r="X2189" i="16"/>
  <c r="X93" i="16"/>
  <c r="X122" i="16"/>
  <c r="X262" i="16"/>
  <c r="X1316" i="16"/>
  <c r="X2447" i="16"/>
  <c r="X1845" i="16"/>
  <c r="X2323" i="16"/>
  <c r="X2694" i="16"/>
  <c r="X1516" i="16"/>
  <c r="X89" i="16"/>
  <c r="X3308" i="16"/>
  <c r="X1526" i="16"/>
  <c r="X1683" i="16"/>
  <c r="X1977" i="16"/>
  <c r="X1062" i="16"/>
  <c r="X3046" i="16"/>
  <c r="X1079" i="16"/>
  <c r="X1982" i="16"/>
  <c r="X2304" i="16"/>
  <c r="X106" i="16"/>
  <c r="X375" i="16"/>
  <c r="X698" i="16"/>
  <c r="X74" i="16"/>
  <c r="X3296" i="16"/>
  <c r="X1405" i="16"/>
  <c r="X741" i="16"/>
  <c r="X3253" i="16"/>
  <c r="X935" i="16"/>
  <c r="X1692" i="16"/>
  <c r="X2825" i="16"/>
  <c r="X762" i="16"/>
  <c r="X462" i="16"/>
  <c r="X917" i="16"/>
  <c r="X1424" i="16"/>
  <c r="X1864" i="16"/>
  <c r="X1299" i="16"/>
  <c r="X411" i="16"/>
  <c r="X2505" i="16"/>
  <c r="X3509" i="16"/>
  <c r="X2503" i="16"/>
  <c r="X1016" i="16"/>
  <c r="X2136" i="16"/>
  <c r="X2776" i="16"/>
  <c r="X80" i="16"/>
  <c r="X2867" i="16"/>
  <c r="X1852" i="16"/>
  <c r="X1797" i="16"/>
  <c r="X1771" i="16"/>
  <c r="X591" i="16"/>
  <c r="X437" i="16"/>
  <c r="X2764" i="16"/>
  <c r="X2820" i="16"/>
  <c r="X2781" i="16"/>
  <c r="X3044" i="16"/>
  <c r="X1534" i="16"/>
  <c r="X1810" i="16"/>
  <c r="X2102" i="16"/>
  <c r="X2445" i="16"/>
  <c r="X2561" i="16"/>
  <c r="X906" i="16"/>
  <c r="X1614" i="16"/>
  <c r="X3039" i="16"/>
  <c r="X1799" i="16"/>
  <c r="X3539" i="16"/>
  <c r="X2181" i="16"/>
  <c r="X42" i="16"/>
  <c r="X610" i="16"/>
  <c r="X2316" i="16"/>
  <c r="X467" i="16"/>
  <c r="X2978" i="16"/>
  <c r="X1705" i="16"/>
  <c r="X2234" i="16"/>
  <c r="X3127" i="16"/>
  <c r="X412" i="16"/>
  <c r="X2829" i="16"/>
  <c r="X1451" i="16"/>
  <c r="X29" i="16"/>
  <c r="X2211" i="16"/>
  <c r="X3030" i="16"/>
  <c r="X1122" i="16"/>
  <c r="X1597" i="16"/>
  <c r="X1658" i="16"/>
  <c r="X564" i="16"/>
  <c r="X3189" i="16"/>
  <c r="X2227" i="16"/>
  <c r="X2105" i="16"/>
  <c r="X1734" i="16"/>
  <c r="X2936" i="16"/>
  <c r="X561" i="16"/>
  <c r="X1907" i="16"/>
  <c r="X466" i="16"/>
  <c r="X1638" i="16"/>
  <c r="X947" i="16"/>
  <c r="X3175" i="16"/>
  <c r="X3316" i="16"/>
  <c r="X1498" i="16"/>
  <c r="X2628" i="16"/>
  <c r="X439" i="16"/>
  <c r="X2986" i="16"/>
  <c r="X3358" i="16"/>
  <c r="X2871" i="16"/>
  <c r="X3465" i="16"/>
  <c r="X190" i="16"/>
  <c r="X2422" i="16"/>
  <c r="X783" i="16"/>
  <c r="X1129" i="16"/>
  <c r="X3270" i="16"/>
  <c r="X326" i="16"/>
  <c r="X575" i="16"/>
  <c r="X2896" i="16"/>
  <c r="X1051" i="16"/>
  <c r="X2554" i="16"/>
  <c r="X1259" i="16"/>
  <c r="X2449" i="16"/>
  <c r="X1648" i="16"/>
  <c r="X2475" i="16"/>
  <c r="X2708" i="16"/>
  <c r="X900" i="16"/>
  <c r="X3070" i="16"/>
  <c r="X1753" i="16"/>
  <c r="X3090" i="16"/>
  <c r="X1321" i="16"/>
  <c r="X674" i="16"/>
  <c r="X2588" i="16"/>
  <c r="X2131" i="16"/>
  <c r="X335" i="16"/>
  <c r="X1262" i="16"/>
  <c r="X1513" i="16"/>
  <c r="X1328" i="16"/>
  <c r="X2765" i="16"/>
  <c r="X392" i="16"/>
  <c r="X2379" i="16"/>
  <c r="X683" i="16"/>
  <c r="X1458" i="16"/>
  <c r="X1983" i="16"/>
  <c r="X2101" i="16"/>
  <c r="X2047" i="16"/>
  <c r="X422" i="16"/>
  <c r="X394" i="16"/>
  <c r="X1068" i="16"/>
  <c r="X457" i="16"/>
  <c r="X2763" i="16"/>
  <c r="X3372" i="16"/>
  <c r="X1069" i="16"/>
  <c r="X1806" i="16"/>
  <c r="X458" i="16"/>
  <c r="X2384" i="16"/>
  <c r="X1744" i="16"/>
  <c r="X1527" i="16"/>
  <c r="X3197" i="16"/>
  <c r="X1847" i="16"/>
  <c r="X83" i="16"/>
  <c r="X1913" i="16"/>
  <c r="X2579" i="16"/>
  <c r="X2885" i="16"/>
  <c r="X2168" i="16"/>
  <c r="X3271" i="16"/>
  <c r="X2586" i="16"/>
  <c r="X413" i="16"/>
  <c r="X3421" i="16"/>
  <c r="X414" i="16"/>
  <c r="X2092" i="16"/>
  <c r="X2541" i="16"/>
  <c r="X3326" i="16"/>
  <c r="X3029" i="16"/>
  <c r="X3216" i="16"/>
  <c r="X2061" i="16"/>
  <c r="X1933" i="16"/>
  <c r="X2173" i="16"/>
  <c r="X3399" i="16"/>
  <c r="X287" i="16"/>
  <c r="X817" i="16"/>
  <c r="X2311" i="16"/>
  <c r="X1718" i="16"/>
  <c r="X957" i="16"/>
  <c r="X2900" i="16"/>
  <c r="X2469" i="16"/>
  <c r="X3061" i="16"/>
  <c r="X3298" i="16"/>
  <c r="X731" i="16"/>
  <c r="X3041" i="16"/>
  <c r="X2580" i="16"/>
  <c r="X2717" i="16"/>
  <c r="X3490" i="16"/>
  <c r="X2766" i="16"/>
  <c r="X611" i="16"/>
  <c r="X2746" i="16"/>
  <c r="X1410" i="16"/>
  <c r="X2303" i="16"/>
  <c r="X3332" i="16"/>
  <c r="X44" i="16"/>
  <c r="X2081" i="16"/>
  <c r="X1146" i="16"/>
  <c r="X3249" i="16"/>
  <c r="X2195" i="16"/>
  <c r="X1617" i="16"/>
  <c r="X283" i="16"/>
  <c r="X576" i="16"/>
  <c r="X2739" i="16"/>
  <c r="X2824" i="16"/>
  <c r="X3131" i="16"/>
  <c r="X387" i="16"/>
  <c r="X1655" i="16"/>
  <c r="X1809" i="16"/>
  <c r="X234" i="16"/>
  <c r="X571" i="16"/>
  <c r="X843" i="16"/>
  <c r="X240" i="16"/>
  <c r="X2574" i="16"/>
  <c r="X1244" i="16"/>
  <c r="X2572" i="16"/>
  <c r="X2293" i="16"/>
  <c r="X2888" i="16"/>
  <c r="X2565" i="16"/>
  <c r="X589" i="16"/>
  <c r="X3470" i="16"/>
  <c r="X1624" i="16"/>
  <c r="X28" i="16"/>
  <c r="X1349" i="16"/>
  <c r="X41" i="16"/>
  <c r="X2573" i="16"/>
  <c r="X3529" i="16"/>
  <c r="X2425" i="16"/>
  <c r="X2860" i="16"/>
  <c r="X263" i="16"/>
  <c r="X1684" i="16"/>
  <c r="X3472" i="16"/>
  <c r="X2435" i="16"/>
  <c r="X2696" i="16"/>
  <c r="X69" i="16"/>
  <c r="X2302" i="16"/>
  <c r="X2245" i="16"/>
  <c r="X189" i="16"/>
  <c r="X3370" i="16"/>
  <c r="X963" i="16"/>
  <c r="X2363" i="16"/>
  <c r="X3023" i="16"/>
  <c r="X777" i="16"/>
  <c r="X664" i="16"/>
  <c r="X3514" i="16"/>
  <c r="X3096" i="16"/>
  <c r="X1981" i="16"/>
  <c r="X1307" i="16"/>
  <c r="X1230" i="16"/>
  <c r="X2248" i="16"/>
  <c r="X830" i="16"/>
  <c r="X712" i="16"/>
  <c r="X3349" i="16"/>
  <c r="X3402" i="16"/>
  <c r="X2945" i="16"/>
  <c r="X2285" i="16"/>
  <c r="X2507" i="16"/>
  <c r="X1956" i="16"/>
  <c r="X956" i="16"/>
  <c r="X672" i="16"/>
  <c r="X2172" i="16"/>
  <c r="X1063" i="16"/>
  <c r="X2464" i="16"/>
  <c r="X3192" i="16"/>
  <c r="X2804" i="16"/>
  <c r="X2017" i="16"/>
  <c r="X2301" i="16"/>
  <c r="X428" i="16"/>
  <c r="X891" i="16"/>
  <c r="X2901" i="16"/>
  <c r="X909" i="16"/>
  <c r="X1873" i="16"/>
  <c r="X1160" i="16"/>
  <c r="X1313" i="16"/>
  <c r="X1813" i="16"/>
  <c r="X588" i="16"/>
  <c r="X1668" i="16"/>
  <c r="X1025" i="16"/>
  <c r="X3250" i="16"/>
  <c r="X2085" i="16"/>
  <c r="X49" i="16"/>
  <c r="X2317" i="16"/>
  <c r="X2434" i="16"/>
  <c r="X1325" i="16"/>
  <c r="X2542" i="16"/>
  <c r="X2150" i="16"/>
  <c r="X228" i="16"/>
  <c r="X230" i="16"/>
  <c r="X898" i="16"/>
  <c r="X355" i="16"/>
  <c r="X3213" i="16"/>
  <c r="X960" i="16"/>
  <c r="X792" i="16"/>
  <c r="X1577" i="16"/>
  <c r="X279" i="16"/>
  <c r="X3480" i="16"/>
  <c r="X3223" i="16"/>
  <c r="X139" i="16"/>
  <c r="X309" i="16"/>
  <c r="X459" i="16"/>
  <c r="X2969" i="16"/>
  <c r="X2842" i="16"/>
  <c r="X1940" i="16"/>
  <c r="X3422" i="16"/>
  <c r="X3104" i="16"/>
  <c r="X730" i="16"/>
  <c r="X1114" i="16"/>
  <c r="X1412" i="16"/>
  <c r="X1258" i="16"/>
  <c r="X449" i="16"/>
  <c r="X2479" i="16"/>
  <c r="X2972" i="16"/>
  <c r="X1722" i="16"/>
  <c r="X725" i="16"/>
  <c r="X1110" i="16"/>
  <c r="X1550" i="16"/>
  <c r="X594" i="16"/>
  <c r="X1633" i="16"/>
  <c r="X537" i="16"/>
  <c r="X494" i="16"/>
  <c r="X2827" i="16"/>
  <c r="X3488" i="16"/>
  <c r="X2161" i="16"/>
  <c r="X1134" i="16"/>
  <c r="X714" i="16"/>
  <c r="X2157" i="16"/>
  <c r="X165" i="16"/>
  <c r="X2692" i="16"/>
  <c r="X3329" i="16"/>
  <c r="X3462" i="16"/>
  <c r="X2839" i="16"/>
  <c r="X224" i="16"/>
  <c r="X2548" i="16"/>
  <c r="X2941" i="16"/>
  <c r="X136" i="16"/>
  <c r="X451" i="16"/>
  <c r="X3524" i="16"/>
  <c r="X3494" i="16"/>
  <c r="X2476" i="16"/>
  <c r="X3410" i="16"/>
  <c r="X2975" i="16"/>
  <c r="X565" i="16"/>
  <c r="X596" i="16"/>
  <c r="X399" i="16"/>
  <c r="X1608" i="16"/>
  <c r="X1431" i="16"/>
  <c r="X480" i="16"/>
  <c r="X1425" i="16"/>
  <c r="X1832" i="16"/>
  <c r="X775" i="16"/>
  <c r="X2002" i="16"/>
  <c r="X1050" i="16"/>
  <c r="X506" i="16"/>
  <c r="X1701" i="16"/>
  <c r="X2789" i="16"/>
  <c r="X2630" i="16"/>
  <c r="X1443" i="16"/>
  <c r="X3346" i="16"/>
  <c r="X2171" i="16"/>
  <c r="X495" i="16"/>
  <c r="X2130" i="16"/>
  <c r="X203" i="16"/>
  <c r="X1213" i="16"/>
  <c r="X92" i="16"/>
  <c r="X56" i="16"/>
  <c r="X593" i="16"/>
  <c r="X1499" i="16"/>
  <c r="X1159" i="16"/>
  <c r="X2859" i="16"/>
  <c r="X2840" i="16"/>
  <c r="X2232" i="16"/>
  <c r="X822" i="16"/>
  <c r="X3297" i="16"/>
  <c r="X3274" i="16"/>
  <c r="X1188" i="16"/>
  <c r="X799" i="16"/>
  <c r="X2225" i="16"/>
  <c r="X2728" i="16"/>
  <c r="X2443" i="16"/>
  <c r="X1685" i="16"/>
  <c r="X2698" i="16"/>
  <c r="X2774" i="16"/>
  <c r="X1890" i="16"/>
  <c r="X3172" i="16"/>
  <c r="X2575" i="16"/>
  <c r="X556" i="16"/>
  <c r="X1811" i="16"/>
  <c r="X3055" i="16"/>
  <c r="X879" i="16"/>
  <c r="X435" i="16"/>
  <c r="X795" i="16"/>
  <c r="X59" i="16"/>
  <c r="X1965" i="16"/>
  <c r="X2095" i="16"/>
  <c r="X2761" i="16"/>
  <c r="X1737" i="16"/>
  <c r="X2946" i="16"/>
  <c r="X2892" i="16"/>
  <c r="X3014" i="16"/>
  <c r="X2337" i="16"/>
  <c r="X1464" i="16"/>
  <c r="X3457" i="16"/>
  <c r="X1786" i="16"/>
  <c r="X2390" i="16"/>
  <c r="X292" i="16"/>
  <c r="X2950" i="16"/>
  <c r="X1300" i="16"/>
  <c r="X3291" i="16"/>
  <c r="X1061" i="16"/>
  <c r="X2119" i="16"/>
  <c r="X557" i="16"/>
  <c r="X2273" i="16"/>
  <c r="X2626" i="16"/>
  <c r="X53" i="16"/>
  <c r="X2777" i="16"/>
  <c r="X622" i="16"/>
  <c r="X660" i="16"/>
  <c r="X663" i="16"/>
  <c r="X289" i="16"/>
  <c r="X2996" i="16"/>
  <c r="X2526" i="16"/>
  <c r="X3318" i="16"/>
  <c r="X333" i="16"/>
  <c r="X393" i="16"/>
  <c r="X899" i="16"/>
  <c r="X1355" i="16"/>
  <c r="X1903" i="16"/>
  <c r="X2930" i="16"/>
  <c r="X471" i="16"/>
  <c r="X1861" i="16"/>
  <c r="X125" i="16"/>
  <c r="X1481" i="16"/>
  <c r="X3170" i="16"/>
  <c r="X3025" i="16"/>
  <c r="X1257" i="16"/>
  <c r="X946" i="16"/>
  <c r="X173" i="16"/>
  <c r="X1441" i="16"/>
  <c r="X3215" i="16"/>
  <c r="X1825" i="16"/>
  <c r="X222" i="16"/>
  <c r="X1243" i="16"/>
  <c r="X3381" i="16"/>
  <c r="X2054" i="16"/>
  <c r="X175" i="16"/>
  <c r="X1948" i="16"/>
  <c r="X2649" i="16"/>
  <c r="X965" i="16"/>
  <c r="X1615" i="16"/>
  <c r="X1043" i="16"/>
  <c r="X746" i="16"/>
  <c r="X1878" i="16"/>
  <c r="X258" i="16"/>
  <c r="X3208" i="16"/>
  <c r="X364" i="16"/>
  <c r="X1285" i="16"/>
  <c r="X978" i="16"/>
  <c r="X348" i="16"/>
  <c r="X130" i="16"/>
  <c r="X1286" i="16"/>
  <c r="X907" i="16"/>
  <c r="X1252" i="16"/>
  <c r="X235" i="16"/>
  <c r="X1081" i="16"/>
  <c r="X2664" i="16"/>
  <c r="X2855" i="16"/>
  <c r="X2393" i="16"/>
  <c r="X797" i="16"/>
  <c r="X839" i="16"/>
  <c r="X1346" i="16"/>
  <c r="X2877" i="16"/>
  <c r="X3384" i="16"/>
  <c r="X3248" i="16"/>
  <c r="X2043" i="16"/>
  <c r="X608" i="16"/>
  <c r="X2432" i="16"/>
  <c r="X1265" i="16"/>
  <c r="X3207" i="16"/>
  <c r="X2380" i="16"/>
  <c r="X1082" i="16"/>
  <c r="X1426" i="16"/>
  <c r="X3481" i="16"/>
  <c r="X2385" i="16"/>
  <c r="X3403" i="16"/>
  <c r="X3515" i="16"/>
  <c r="X2428" i="16"/>
  <c r="X1504" i="16"/>
  <c r="X2681" i="16"/>
  <c r="X2685" i="16"/>
  <c r="X2318" i="16"/>
  <c r="X2277" i="16"/>
  <c r="X2026" i="16"/>
  <c r="X633" i="16"/>
  <c r="X1808" i="16"/>
  <c r="X540" i="16"/>
  <c r="X2103" i="16"/>
  <c r="X1600" i="16"/>
  <c r="X2381" i="16"/>
  <c r="X874" i="16"/>
  <c r="X3043" i="16"/>
  <c r="X970" i="16"/>
  <c r="X988" i="16"/>
  <c r="X2416" i="16"/>
  <c r="X2284" i="16"/>
  <c r="X3284" i="16"/>
  <c r="X3203" i="16"/>
  <c r="X1645" i="16"/>
  <c r="X710" i="16"/>
  <c r="X3436" i="16"/>
  <c r="X1501" i="16"/>
  <c r="X1207" i="16"/>
  <c r="X3342" i="16"/>
  <c r="X1793" i="16"/>
  <c r="X2674" i="16"/>
  <c r="X2437" i="16"/>
  <c r="X3184" i="16"/>
  <c r="X2660" i="16"/>
  <c r="X3120" i="16"/>
  <c r="X2758" i="16"/>
  <c r="X717" i="16"/>
  <c r="X444" i="16"/>
  <c r="X2466" i="16"/>
  <c r="X2606" i="16"/>
  <c r="X2246" i="16"/>
  <c r="X443" i="16"/>
  <c r="X2924" i="16"/>
  <c r="X487" i="16"/>
  <c r="X2831" i="16"/>
  <c r="X2402" i="16"/>
  <c r="X2907" i="16"/>
  <c r="X535" i="16"/>
  <c r="X3200" i="16"/>
  <c r="X2399" i="16"/>
  <c r="X1988" i="16"/>
  <c r="X1872" i="16"/>
  <c r="X218" i="16"/>
  <c r="X1735" i="16"/>
  <c r="X1485" i="16"/>
  <c r="X1015" i="16"/>
  <c r="X950" i="16"/>
  <c r="X732" i="16"/>
  <c r="X1969" i="16"/>
  <c r="X2426" i="16"/>
  <c r="X1663" i="16"/>
  <c r="X2046" i="16"/>
  <c r="X155" i="16"/>
  <c r="X2530" i="16"/>
  <c r="X501" i="16"/>
  <c r="X2158" i="16"/>
  <c r="X1002" i="16"/>
  <c r="X1909" i="16"/>
  <c r="X1554" i="16"/>
  <c r="X1593" i="16"/>
  <c r="X517" i="16"/>
  <c r="X673" i="16"/>
  <c r="X2244" i="16"/>
  <c r="X1345" i="16"/>
  <c r="X1407" i="16"/>
  <c r="X311" i="16"/>
  <c r="X1520" i="16"/>
  <c r="X2640" i="16"/>
  <c r="X1967" i="16"/>
  <c r="X3015" i="16"/>
  <c r="X2485" i="16"/>
  <c r="X1987" i="16"/>
  <c r="X651" i="16"/>
  <c r="X2876" i="16"/>
  <c r="X2962" i="16"/>
  <c r="X72" i="16"/>
  <c r="X3290" i="16"/>
  <c r="X921" i="16"/>
  <c r="X68" i="16"/>
  <c r="X1960" i="16"/>
  <c r="X696" i="16"/>
  <c r="X2269" i="16"/>
  <c r="X1470" i="16"/>
  <c r="X1356" i="16"/>
  <c r="X3051" i="16"/>
  <c r="X2533" i="16"/>
  <c r="X2821" i="16"/>
  <c r="X61" i="16"/>
  <c r="X3010" i="16"/>
  <c r="X1400" i="16"/>
  <c r="X2841" i="16"/>
  <c r="X2902" i="16"/>
  <c r="X3252" i="16"/>
  <c r="X2110" i="16"/>
  <c r="X694" i="16"/>
  <c r="X475" i="16"/>
  <c r="X3478" i="16"/>
  <c r="X383" i="16"/>
  <c r="X986" i="16"/>
  <c r="X3376" i="16"/>
  <c r="X1152" i="16"/>
  <c r="X2162" i="16"/>
  <c r="X1820" i="16"/>
  <c r="X3020" i="16"/>
  <c r="X3432" i="16"/>
  <c r="X1976" i="16"/>
  <c r="X2096" i="16"/>
  <c r="X1819" i="16"/>
  <c r="X3196" i="16"/>
  <c r="X2511" i="16"/>
  <c r="X2275" i="16"/>
  <c r="X1436" i="16"/>
  <c r="X3385" i="16"/>
  <c r="X1255" i="16"/>
  <c r="X1761" i="16"/>
  <c r="X1294" i="16"/>
  <c r="X3112" i="16"/>
  <c r="X464" i="16"/>
  <c r="X22" i="16"/>
  <c r="X1370" i="16"/>
  <c r="X1916" i="16"/>
  <c r="X407" i="16"/>
  <c r="X1138" i="16"/>
  <c r="X1214" i="16"/>
  <c r="X2944" i="16"/>
  <c r="X927" i="16"/>
  <c r="X2386" i="16"/>
  <c r="X1829" i="16"/>
  <c r="X1077" i="16"/>
  <c r="X477" i="16"/>
  <c r="X3052" i="16"/>
  <c r="X2811" i="16"/>
  <c r="X127" i="16"/>
  <c r="X2165" i="16"/>
  <c r="X3507" i="16"/>
  <c r="X1483" i="16"/>
  <c r="X2625" i="16"/>
  <c r="X2915" i="16"/>
  <c r="X95" i="16"/>
  <c r="X1553" i="16"/>
  <c r="X1511" i="16"/>
  <c r="X3094" i="16"/>
  <c r="X3344" i="16"/>
  <c r="X739" i="16"/>
  <c r="X2806" i="16"/>
  <c r="X3042" i="16"/>
  <c r="X1576" i="16"/>
  <c r="X676" i="16"/>
  <c r="X373" i="16"/>
  <c r="X2452" i="16"/>
  <c r="X3528" i="16"/>
  <c r="X802" i="16"/>
  <c r="X325" i="16"/>
  <c r="X1115" i="16"/>
  <c r="X2344" i="16"/>
  <c r="X3266" i="16"/>
  <c r="X816" i="16"/>
  <c r="X3083" i="16"/>
  <c r="X1963" i="16"/>
  <c r="X1314" i="16"/>
  <c r="X2671" i="16"/>
  <c r="X1563" i="16"/>
  <c r="X961" i="16"/>
  <c r="X2613" i="16"/>
  <c r="X1126" i="16"/>
  <c r="X656" i="16"/>
  <c r="X1178" i="16"/>
  <c r="X627" i="16"/>
  <c r="X2152" i="16"/>
  <c r="X2016" i="16"/>
  <c r="X1052" i="16"/>
  <c r="X2236" i="16"/>
  <c r="X749" i="16"/>
  <c r="X2215" i="16"/>
  <c r="X2080" i="16"/>
  <c r="X568" i="16"/>
  <c r="X1815" i="16"/>
  <c r="X2076" i="16"/>
  <c r="X931" i="16"/>
  <c r="X2098" i="16"/>
  <c r="X1086" i="16"/>
  <c r="X2513" i="16"/>
  <c r="X1915" i="16"/>
  <c r="X2403" i="16"/>
  <c r="X2631" i="16"/>
  <c r="X3281" i="16"/>
  <c r="X862" i="16"/>
  <c r="X804" i="16"/>
  <c r="X1924" i="16"/>
  <c r="X2963" i="16"/>
  <c r="X1413" i="16"/>
  <c r="X1164" i="16"/>
  <c r="X835" i="16"/>
  <c r="X939" i="16"/>
  <c r="X2327" i="16"/>
  <c r="X3259" i="16"/>
  <c r="X1729" i="16"/>
  <c r="X2353" i="16"/>
  <c r="X1479" i="16"/>
  <c r="X312" i="16"/>
  <c r="X2060" i="16"/>
  <c r="X585" i="16"/>
  <c r="X1711" i="16"/>
  <c r="X2377" i="16"/>
  <c r="X3400" i="16"/>
  <c r="X754" i="16"/>
  <c r="X2516" i="16"/>
  <c r="X626" i="16"/>
  <c r="X1354" i="16"/>
  <c r="X677" i="16"/>
  <c r="X3444" i="16"/>
  <c r="X24" i="16"/>
  <c r="X1236" i="16"/>
  <c r="X1372" i="16"/>
  <c r="X1444" i="16"/>
  <c r="X687" i="16"/>
  <c r="X1703" i="16"/>
  <c r="X1378" i="16"/>
  <c r="X1532" i="16"/>
  <c r="X3181" i="16"/>
  <c r="X3267" i="16"/>
  <c r="X1367" i="16"/>
  <c r="X2956" i="16"/>
  <c r="X2322" i="16"/>
  <c r="X2940" i="16"/>
  <c r="X3285" i="16"/>
  <c r="X223" i="16"/>
  <c r="X1275" i="16"/>
  <c r="X1643" i="16"/>
  <c r="X2167" i="16"/>
  <c r="X697" i="16"/>
  <c r="X2744" i="16"/>
  <c r="X1653" i="16"/>
  <c r="X107" i="16"/>
  <c r="X1168" i="16"/>
  <c r="X168" i="16"/>
  <c r="X635" i="16"/>
  <c r="X3534" i="16"/>
  <c r="X396" i="16"/>
  <c r="X510" i="16"/>
  <c r="X2154" i="16"/>
  <c r="X3506" i="16"/>
  <c r="X2566" i="16"/>
  <c r="X2787" i="16"/>
  <c r="X1763" i="16"/>
  <c r="X3495" i="16"/>
  <c r="X2908" i="16"/>
  <c r="X523" i="16"/>
  <c r="X2769" i="16"/>
  <c r="X1449" i="16"/>
  <c r="X2894" i="16"/>
  <c r="X2755" i="16"/>
  <c r="X2563" i="16"/>
  <c r="X169" i="16"/>
  <c r="X2991" i="16"/>
  <c r="X2433" i="16"/>
  <c r="X2463" i="16"/>
  <c r="X1678" i="16"/>
  <c r="X3459" i="16"/>
  <c r="X2268" i="16"/>
  <c r="X1327" i="16"/>
  <c r="X2187" i="16"/>
  <c r="X2905" i="16"/>
  <c r="X2759" i="16"/>
  <c r="X3310" i="16"/>
  <c r="X2124" i="16"/>
  <c r="X3415" i="16"/>
  <c r="X2208" i="16"/>
  <c r="X3229" i="16"/>
  <c r="X123" i="16"/>
  <c r="X1543" i="16"/>
  <c r="X2265" i="16"/>
  <c r="X2468" i="16"/>
  <c r="X679" i="16"/>
  <c r="X2807" i="16"/>
  <c r="X3293" i="16"/>
  <c r="X707" i="16"/>
  <c r="X380" i="16"/>
  <c r="X365" i="16"/>
  <c r="X2854" i="16"/>
  <c r="X1427" i="16"/>
  <c r="X3538" i="16"/>
  <c r="X3522" i="16"/>
  <c r="X1429" i="16"/>
  <c r="X1905" i="16"/>
  <c r="X2641" i="16"/>
  <c r="X3404" i="16"/>
  <c r="X323" i="16"/>
  <c r="X854" i="16"/>
  <c r="X737" i="16"/>
  <c r="X2535" i="16"/>
  <c r="X2331" i="16"/>
  <c r="X1826" i="16"/>
  <c r="X1446" i="16"/>
  <c r="X1515" i="16"/>
  <c r="X1469" i="16"/>
  <c r="X2647" i="16"/>
  <c r="X3011" i="16"/>
  <c r="X271" i="16"/>
  <c r="X88" i="16"/>
  <c r="X2718" i="16"/>
  <c r="X2266" i="16"/>
  <c r="X3136" i="16"/>
  <c r="X1954" i="16"/>
  <c r="X3038" i="16"/>
  <c r="X634" i="16"/>
  <c r="X280" i="16"/>
  <c r="X2290" i="16"/>
  <c r="X3334" i="16"/>
  <c r="X1502" i="16"/>
  <c r="X1185" i="16"/>
  <c r="X943" i="16"/>
  <c r="X2079" i="16"/>
  <c r="X1242" i="16"/>
  <c r="X2335" i="16"/>
  <c r="X886" i="16"/>
  <c r="X941" i="16"/>
  <c r="X3430" i="16"/>
  <c r="X1105" i="16"/>
  <c r="X2049" i="16"/>
  <c r="X1375" i="16"/>
  <c r="X2281" i="16"/>
  <c r="X2928" i="16"/>
  <c r="X2182" i="16"/>
  <c r="X695" i="16"/>
  <c r="X1438" i="16"/>
  <c r="X150" i="16"/>
  <c r="X758" i="16"/>
  <c r="X2216" i="16"/>
  <c r="X2014" i="16"/>
  <c r="X527" i="16"/>
  <c r="X1798" i="16"/>
  <c r="X1758" i="16"/>
  <c r="X3491" i="16"/>
  <c r="X2949" i="16"/>
  <c r="X3211" i="16"/>
  <c r="X2478" i="16"/>
  <c r="X1667" i="16"/>
  <c r="X2259" i="16"/>
  <c r="X3220" i="16"/>
  <c r="X1165" i="16"/>
  <c r="X752" i="16"/>
  <c r="X1272" i="16"/>
  <c r="X63" i="16"/>
  <c r="X403" i="16"/>
  <c r="X1124" i="16"/>
  <c r="X1180" i="16"/>
  <c r="X3485" i="16"/>
  <c r="X1885" i="16"/>
  <c r="X3087" i="16"/>
  <c r="X2400" i="16"/>
  <c r="X1318" i="16"/>
  <c r="X1166" i="16"/>
  <c r="X288" i="16"/>
  <c r="X3460" i="16"/>
  <c r="X3105" i="16"/>
  <c r="X1001" i="16"/>
  <c r="X1859" i="16"/>
  <c r="X3114" i="16"/>
  <c r="X1170" i="16"/>
  <c r="X3130" i="16"/>
  <c r="X3282" i="16"/>
  <c r="X637" i="16"/>
  <c r="X1506" i="16"/>
  <c r="X3309" i="16"/>
  <c r="X2868" i="16"/>
  <c r="X1782" i="16"/>
  <c r="X3428" i="16"/>
  <c r="X2639" i="16"/>
  <c r="X3233" i="16"/>
  <c r="X1101" i="16"/>
  <c r="X1728" i="16"/>
  <c r="X1590" i="16"/>
  <c r="X735" i="16"/>
  <c r="X1621" i="16"/>
  <c r="X2883" i="16"/>
  <c r="X2714" i="16"/>
  <c r="X618" i="16"/>
  <c r="X538" i="16"/>
  <c r="X172" i="16"/>
  <c r="X2880" i="16"/>
  <c r="X1054" i="16"/>
  <c r="X3305" i="16"/>
  <c r="X2045" i="16"/>
  <c r="X2219" i="16"/>
  <c r="X2748" i="16"/>
  <c r="X2704" i="16"/>
  <c r="X3499" i="16"/>
  <c r="X2355" i="16"/>
  <c r="X2918" i="16"/>
  <c r="X1868" i="16"/>
  <c r="X2942" i="16"/>
  <c r="X2780" i="16"/>
  <c r="X362" i="16"/>
  <c r="X2440" i="16"/>
  <c r="X3056" i="16"/>
  <c r="X423" i="16"/>
  <c r="X2562" i="16"/>
  <c r="X2310" i="16"/>
  <c r="X2627" i="16"/>
  <c r="X1402" i="16"/>
  <c r="X3214" i="16"/>
  <c r="X3511" i="16"/>
  <c r="X3150" i="16"/>
  <c r="X1435" i="16"/>
  <c r="X1599" i="16"/>
  <c r="X729" i="16"/>
  <c r="X1665" i="16"/>
  <c r="X860" i="16"/>
  <c r="X1886" i="16"/>
  <c r="X2838" i="16"/>
  <c r="X27" i="16"/>
  <c r="X2473" i="16"/>
  <c r="X1301" i="16"/>
  <c r="X135" i="16"/>
  <c r="X766" i="16"/>
  <c r="X170" i="16"/>
  <c r="X2843" i="16"/>
  <c r="X1202" i="16"/>
  <c r="X3277" i="16"/>
  <c r="X2509" i="16"/>
  <c r="X2012" i="16"/>
  <c r="X498" i="16"/>
  <c r="X2141" i="16"/>
  <c r="X238" i="16"/>
  <c r="X1233" i="16"/>
  <c r="X1087" i="16"/>
  <c r="X2655" i="16"/>
  <c r="X1935" i="16"/>
  <c r="X1486" i="16"/>
  <c r="X293" i="16"/>
  <c r="X2604" i="16"/>
  <c r="X1215" i="16"/>
  <c r="X757" i="16"/>
  <c r="X2086" i="16"/>
  <c r="X3438" i="16"/>
  <c r="X972" i="16"/>
  <c r="X1184" i="16"/>
  <c r="X3230" i="16"/>
  <c r="X129" i="16"/>
  <c r="X398" i="16"/>
  <c r="X937" i="16"/>
  <c r="X2117" i="16"/>
  <c r="X922" i="16"/>
  <c r="X1496" i="16"/>
  <c r="X2495" i="16"/>
  <c r="X3299" i="16"/>
  <c r="X1680" i="16"/>
  <c r="X2760" i="16"/>
  <c r="X1720" i="16"/>
  <c r="X2217" i="16"/>
  <c r="X3357" i="16"/>
  <c r="X1454" i="16"/>
  <c r="X1308" i="16"/>
  <c r="X684" i="16"/>
  <c r="X52" i="16"/>
  <c r="X2519" i="16"/>
  <c r="X1416" i="16"/>
  <c r="X1795" i="16"/>
  <c r="X3526" i="16"/>
  <c r="X1056" i="16"/>
  <c r="X2801" i="16"/>
  <c r="X2404" i="16"/>
  <c r="X638" i="16"/>
  <c r="X1199" i="16"/>
  <c r="X3082" i="16"/>
  <c r="X3445" i="16"/>
  <c r="X1474" i="16"/>
  <c r="X3406" i="16"/>
  <c r="X3086" i="16"/>
  <c r="X1398" i="16"/>
  <c r="X1120" i="16"/>
  <c r="X1641" i="16"/>
  <c r="X534" i="16"/>
  <c r="X2657" i="16"/>
  <c r="X512" i="16"/>
  <c r="X2382" i="16"/>
  <c r="X1119" i="16"/>
  <c r="X567" i="16"/>
  <c r="X2731" i="16"/>
  <c r="X2442" i="16"/>
  <c r="X3532" i="16"/>
  <c r="X827" i="16"/>
  <c r="X3153" i="16"/>
  <c r="X2710" i="16"/>
  <c r="X2151" i="16"/>
  <c r="X3431" i="16"/>
  <c r="X2334" i="16"/>
  <c r="X25" i="16"/>
  <c r="X179" i="16"/>
  <c r="X1519" i="16"/>
  <c r="X755" i="16"/>
  <c r="X1958" i="16"/>
  <c r="X2584" i="16"/>
  <c r="X621" i="16"/>
  <c r="X90" i="16"/>
  <c r="X3424" i="16"/>
  <c r="X1246" i="16"/>
  <c r="X2920" i="16"/>
  <c r="X1505" i="16"/>
  <c r="X2514" i="16"/>
  <c r="X3469" i="16"/>
  <c r="X1031" i="16"/>
  <c r="X1908" i="16"/>
  <c r="X2762" i="16"/>
  <c r="X2147" i="16"/>
  <c r="X2890" i="16"/>
  <c r="X1784" i="16"/>
  <c r="X2091" i="16"/>
  <c r="X2878" i="16"/>
  <c r="X3527" i="16"/>
  <c r="X1149" i="16"/>
  <c r="X1755" i="16"/>
  <c r="X1535" i="16"/>
  <c r="X1517" i="16"/>
  <c r="X753" i="16"/>
  <c r="X1689" i="16"/>
  <c r="X1251" i="16"/>
  <c r="X2342" i="16"/>
  <c r="X2299" i="16"/>
  <c r="X1780" i="16"/>
  <c r="X2982" i="16"/>
  <c r="X1029" i="16"/>
  <c r="X2891" i="16"/>
  <c r="X340" i="16"/>
  <c r="X770" i="16"/>
  <c r="X2795" i="16"/>
  <c r="X2254" i="16"/>
  <c r="X2044" i="16"/>
  <c r="X2576" i="16"/>
  <c r="X2368" i="16"/>
  <c r="X36" i="16"/>
  <c r="X2038" i="16"/>
  <c r="X46" i="16"/>
  <c r="X3493" i="16"/>
  <c r="X1887" i="16"/>
  <c r="X771" i="16"/>
  <c r="X2107" i="16"/>
  <c r="X1033" i="16"/>
  <c r="X2736" i="16"/>
  <c r="X2233" i="16"/>
  <c r="X3468" i="16"/>
  <c r="X50" i="16"/>
  <c r="X497" i="16"/>
  <c r="X2958" i="16"/>
  <c r="X2999" i="16"/>
  <c r="X2863" i="16"/>
  <c r="X613" i="16"/>
  <c r="X1012" i="16"/>
  <c r="X953" i="16"/>
  <c r="X232" i="16"/>
  <c r="X2775" i="16"/>
  <c r="X1013" i="16"/>
  <c r="X33" i="16"/>
  <c r="X131" i="16"/>
  <c r="X2465" i="16"/>
  <c r="X2596" i="16"/>
  <c r="X1673" i="16"/>
  <c r="X2678" i="16"/>
  <c r="X199" i="16"/>
  <c r="X969" i="16"/>
  <c r="X1278" i="16"/>
  <c r="X473" i="16"/>
  <c r="X120" i="16"/>
  <c r="X117" i="16"/>
  <c r="X1028" i="16"/>
  <c r="X555" i="16"/>
  <c r="X376" i="16"/>
  <c r="X2034" i="16"/>
  <c r="X3355" i="16"/>
  <c r="X1995" i="16"/>
  <c r="X924" i="16"/>
  <c r="X1919" i="16"/>
  <c r="X2779" i="16"/>
  <c r="X991" i="16"/>
  <c r="X2921" i="16"/>
  <c r="X3401" i="16"/>
  <c r="X109" i="16"/>
  <c r="X1343" i="16"/>
  <c r="X2313" i="16"/>
  <c r="X2030" i="16"/>
  <c r="X1889" i="16"/>
  <c r="X801" i="16"/>
  <c r="X2398" i="16"/>
  <c r="X718" i="16"/>
  <c r="X1439" i="16"/>
  <c r="X3162" i="16"/>
  <c r="X2672" i="16"/>
  <c r="X1585" i="16"/>
  <c r="X2670" i="16"/>
  <c r="X1984" i="16"/>
  <c r="X1751" i="16"/>
  <c r="X2458" i="16"/>
  <c r="X1452" i="16"/>
  <c r="X281" i="16"/>
  <c r="X3435" i="16"/>
  <c r="X1613" i="16"/>
  <c r="X156" i="16"/>
  <c r="X3210" i="16"/>
  <c r="X2636" i="16"/>
  <c r="X3123" i="16"/>
  <c r="X85" i="16"/>
  <c r="X1870" i="16"/>
  <c r="X2521" i="16"/>
  <c r="X1148" i="16"/>
  <c r="X1116" i="16"/>
  <c r="X2408" i="16"/>
  <c r="X3241" i="16"/>
  <c r="X1500" i="16"/>
  <c r="X1488" i="16"/>
  <c r="X850" i="16"/>
  <c r="X2974" i="16"/>
  <c r="X2858" i="16"/>
  <c r="X2931" i="16"/>
  <c r="X3426" i="16"/>
  <c r="X1125" i="16"/>
  <c r="X1657" i="16"/>
  <c r="X675" i="16"/>
  <c r="X3409" i="16"/>
  <c r="X1296" i="16"/>
  <c r="X1656" i="16"/>
  <c r="X2652" i="16"/>
  <c r="X2482" i="16"/>
  <c r="X2194" i="16"/>
  <c r="X191" i="16"/>
  <c r="X2450" i="16"/>
  <c r="X2229" i="16"/>
  <c r="X2879" i="16"/>
  <c r="X180" i="16"/>
  <c r="X1107" i="16"/>
  <c r="X1802" i="16"/>
  <c r="X418" i="16"/>
  <c r="X1959" i="16"/>
  <c r="X1715" i="16"/>
  <c r="X1342" i="16"/>
  <c r="X1846" i="16"/>
  <c r="X1322" i="16"/>
  <c r="X16" i="16"/>
  <c r="X3278" i="16"/>
  <c r="X111" i="16"/>
  <c r="X2204" i="16"/>
  <c r="X3116" i="16"/>
  <c r="X1137" i="16"/>
  <c r="X1595" i="16"/>
  <c r="X665" i="16"/>
  <c r="X3295" i="16"/>
  <c r="X1536" i="16"/>
  <c r="X1070" i="16"/>
  <c r="X2767" i="16"/>
  <c r="X1381" i="16"/>
  <c r="X2258" i="16"/>
  <c r="X3164" i="16"/>
  <c r="X3486" i="16"/>
  <c r="X2700" i="16"/>
  <c r="X539" i="16"/>
  <c r="X419" i="16"/>
  <c r="X2853" i="16"/>
  <c r="X973" i="16"/>
  <c r="X1571" i="16"/>
  <c r="X2951" i="16"/>
  <c r="X1652" i="16"/>
  <c r="X2289" i="16"/>
  <c r="X1174" i="16"/>
  <c r="X3008" i="16"/>
  <c r="X3388" i="16"/>
  <c r="X2048" i="16"/>
  <c r="X908" i="16"/>
  <c r="X2128" i="16"/>
  <c r="X896" i="16"/>
  <c r="X159" i="16"/>
  <c r="X880" i="16"/>
  <c r="X550" i="16"/>
  <c r="X388" i="16"/>
  <c r="X3099" i="16"/>
  <c r="X353" i="16"/>
  <c r="X3067" i="16"/>
  <c r="X2424" i="16"/>
  <c r="X3057" i="16"/>
  <c r="X3107" i="16"/>
  <c r="X3265" i="16"/>
  <c r="X1373" i="16"/>
  <c r="X2251" i="16"/>
  <c r="X112" i="16"/>
  <c r="X254" i="16"/>
  <c r="X2239" i="16"/>
  <c r="X1411" i="16"/>
  <c r="X3118" i="16"/>
  <c r="X2600" i="16"/>
  <c r="X2666" i="16"/>
  <c r="X3021" i="16"/>
  <c r="X1925" i="16"/>
  <c r="X2001" i="16"/>
  <c r="X1884" i="16"/>
  <c r="X2040" i="16"/>
  <c r="X1092" i="16"/>
  <c r="X3219" i="16"/>
  <c r="X2658" i="16"/>
  <c r="X2477" i="16"/>
  <c r="X2661" i="16"/>
  <c r="X3161" i="16"/>
  <c r="X30" i="16"/>
  <c r="X3245" i="16"/>
  <c r="X1899" i="16"/>
  <c r="X3345" i="16"/>
  <c r="X844" i="16"/>
  <c r="X1632" i="16"/>
  <c r="X713" i="16"/>
  <c r="X2577" i="16"/>
  <c r="X2549" i="16"/>
  <c r="X2206" i="16"/>
  <c r="X1408" i="16"/>
  <c r="X2830" i="16"/>
  <c r="X1268" i="16"/>
  <c r="X653" i="16"/>
  <c r="X3002" i="16"/>
  <c r="X1616" i="16"/>
  <c r="X2025" i="16"/>
  <c r="X2849" i="16"/>
  <c r="X2372" i="16"/>
  <c r="X2429" i="16"/>
  <c r="X38" i="16"/>
  <c r="X2138" i="16"/>
  <c r="X3392" i="16"/>
  <c r="X1602" i="16"/>
  <c r="X401" i="16"/>
  <c r="X2427" i="16"/>
  <c r="X2341" i="16"/>
  <c r="X350" i="16"/>
  <c r="X579" i="16"/>
  <c r="X332" i="16"/>
  <c r="X476" i="16"/>
  <c r="X955" i="16"/>
  <c r="X275" i="16"/>
  <c r="X3361" i="16"/>
  <c r="X55" i="16"/>
  <c r="X2087" i="16"/>
  <c r="X2826" i="16"/>
  <c r="X64" i="16"/>
  <c r="X2160" i="16"/>
  <c r="X3183" i="16"/>
  <c r="X1494" i="16"/>
  <c r="X1417" i="16"/>
  <c r="X343" i="16"/>
  <c r="X1892" i="16"/>
  <c r="X187" i="16"/>
  <c r="X2286" i="16"/>
  <c r="X1462" i="16"/>
  <c r="X436" i="16"/>
  <c r="X2512" i="16"/>
  <c r="X971" i="16"/>
  <c r="X3324" i="16"/>
  <c r="X2964" i="16"/>
  <c r="X1630" i="16"/>
  <c r="X1936" i="16"/>
  <c r="X768" i="16"/>
  <c r="X3546" i="16"/>
  <c r="X1564" i="16"/>
  <c r="X1992" i="16"/>
  <c r="X1218" i="16"/>
  <c r="X3292" i="16"/>
  <c r="X1419" i="16"/>
  <c r="X361" i="16"/>
  <c r="X1291" i="16"/>
  <c r="X3425" i="16"/>
  <c r="X2336" i="16"/>
  <c r="X2798" i="16"/>
  <c r="X2283" i="16"/>
  <c r="X1088" i="16"/>
  <c r="X2470" i="16"/>
  <c r="X1241" i="16"/>
  <c r="X384" i="16"/>
  <c r="X1622" i="16"/>
  <c r="X1401" i="16"/>
  <c r="X1274" i="16"/>
  <c r="X1312" i="16"/>
  <c r="X3537" i="16"/>
  <c r="X790" i="16"/>
  <c r="X600" i="16"/>
  <c r="X3453" i="16"/>
  <c r="X1702" i="16"/>
  <c r="X1131" i="16"/>
  <c r="X321" i="16"/>
  <c r="X511" i="16"/>
  <c r="X2833" i="16"/>
  <c r="X145" i="16"/>
  <c r="X1353" i="16"/>
  <c r="X3356" i="16"/>
  <c r="X1310" i="16"/>
  <c r="X2065" i="16"/>
  <c r="X3440" i="16"/>
  <c r="X1801" i="16"/>
  <c r="X81" i="16"/>
  <c r="X1250" i="16"/>
  <c r="X1578" i="16"/>
  <c r="X1072" i="16"/>
  <c r="X2551" i="16"/>
  <c r="X3095" i="16"/>
  <c r="X614" i="16"/>
  <c r="X812" i="16"/>
  <c r="X1938" i="16"/>
  <c r="X2339" i="16"/>
  <c r="X425" i="16"/>
  <c r="X2898" i="16"/>
  <c r="X3050" i="16"/>
  <c r="X3545" i="16"/>
  <c r="X686" i="16"/>
  <c r="X3178" i="16"/>
  <c r="X1423" i="16"/>
  <c r="X784" i="16"/>
  <c r="X798" i="16"/>
  <c r="X2109" i="16"/>
  <c r="X1773" i="16"/>
  <c r="X1681" i="16"/>
  <c r="X255" i="16"/>
  <c r="X2376" i="16"/>
  <c r="X1676" i="16"/>
  <c r="X2395" i="16"/>
  <c r="X505" i="16"/>
  <c r="X2544" i="16"/>
  <c r="X2179" i="16"/>
  <c r="X2790" i="16"/>
  <c r="X2851" i="16"/>
  <c r="X1293" i="16"/>
  <c r="X1512" i="16"/>
  <c r="X599" i="16"/>
  <c r="X1588" i="16"/>
  <c r="X619" i="16"/>
  <c r="X650" i="16"/>
  <c r="X809" i="16"/>
  <c r="X304" i="16"/>
  <c r="X3456" i="16"/>
  <c r="X157" i="16"/>
  <c r="X702" i="16"/>
  <c r="X666" i="16"/>
  <c r="X3420" i="16"/>
  <c r="X1594" i="16"/>
  <c r="X1287" i="16"/>
  <c r="X2472" i="16"/>
  <c r="X1580" i="16"/>
  <c r="X2371" i="16"/>
  <c r="X2643" i="16"/>
  <c r="X990" i="16"/>
  <c r="X2971" i="16"/>
  <c r="X662" i="16"/>
  <c r="X151" i="16"/>
  <c r="X284" i="16"/>
  <c r="X2508" i="16"/>
  <c r="X2598" i="16"/>
  <c r="X858" i="16"/>
  <c r="X3145" i="16"/>
  <c r="X2497" i="16"/>
  <c r="W2111" i="16"/>
  <c r="W3164" i="16"/>
  <c r="W577" i="16"/>
  <c r="W1592" i="16"/>
  <c r="W596" i="16"/>
  <c r="W1335" i="16"/>
  <c r="W688" i="16"/>
  <c r="W1528" i="16"/>
  <c r="W1491" i="16"/>
  <c r="W2446" i="16"/>
  <c r="W2216" i="16"/>
  <c r="W1443" i="16"/>
  <c r="W3218" i="16"/>
  <c r="W931" i="16"/>
  <c r="W3298" i="16"/>
  <c r="W3332" i="16"/>
  <c r="W3222" i="16"/>
  <c r="W2378" i="16"/>
  <c r="W87" i="16"/>
  <c r="W812" i="16"/>
  <c r="W2330" i="16"/>
  <c r="W1748" i="16"/>
  <c r="W2621" i="16"/>
  <c r="W1861" i="16"/>
  <c r="W3241" i="16"/>
  <c r="W2560" i="16"/>
  <c r="W2628" i="16"/>
  <c r="W2256" i="16"/>
  <c r="W1743" i="16"/>
  <c r="W1924" i="16"/>
  <c r="W509" i="16"/>
  <c r="W1769" i="16"/>
  <c r="W2164" i="16"/>
  <c r="W201" i="16"/>
  <c r="W149" i="16"/>
  <c r="W1321" i="16"/>
  <c r="W1867" i="16"/>
  <c r="W3375" i="16"/>
  <c r="W2501" i="16"/>
  <c r="W323" i="16"/>
  <c r="W714" i="16"/>
  <c r="W3276" i="16"/>
  <c r="W3299" i="16"/>
  <c r="W268" i="16"/>
  <c r="W1410" i="16"/>
  <c r="W2635" i="16"/>
  <c r="W2749" i="16"/>
  <c r="W915" i="16"/>
  <c r="W270" i="16"/>
  <c r="W1786" i="16"/>
  <c r="W846" i="16"/>
  <c r="W558" i="16"/>
  <c r="W863" i="16"/>
  <c r="W2746" i="16"/>
  <c r="W1223" i="16"/>
  <c r="W487" i="16"/>
  <c r="W1173" i="16"/>
  <c r="W980" i="16"/>
  <c r="W902" i="16"/>
  <c r="W3418" i="16"/>
  <c r="W1181" i="16"/>
  <c r="W520" i="16"/>
  <c r="W830" i="16"/>
  <c r="W2976" i="16"/>
  <c r="W762" i="16"/>
  <c r="W16" i="16"/>
  <c r="W3191" i="16"/>
  <c r="W1965" i="16"/>
  <c r="W123" i="16"/>
  <c r="W1111" i="16"/>
  <c r="W3300" i="16"/>
  <c r="W3481" i="16"/>
  <c r="W137" i="16"/>
  <c r="W3430" i="16"/>
  <c r="W1621" i="16"/>
  <c r="W742" i="16"/>
  <c r="W1273" i="16"/>
  <c r="W78" i="16"/>
  <c r="W595" i="16"/>
  <c r="W1471" i="16"/>
  <c r="W3118" i="16"/>
  <c r="W2476" i="16"/>
  <c r="W3517" i="16"/>
  <c r="W459" i="16"/>
  <c r="W2149" i="16"/>
  <c r="W3475" i="16"/>
  <c r="W2338" i="16"/>
  <c r="W3071" i="16"/>
  <c r="W2720" i="16"/>
  <c r="W3394" i="16"/>
  <c r="W233" i="16"/>
  <c r="W190" i="16"/>
  <c r="W3137" i="16"/>
  <c r="W65" i="16"/>
  <c r="W758" i="16"/>
  <c r="W1141" i="16"/>
  <c r="W1587" i="16"/>
  <c r="W3336" i="16"/>
  <c r="W218" i="16"/>
  <c r="W3149" i="16"/>
  <c r="W1500" i="16"/>
  <c r="W2447" i="16"/>
  <c r="W2017" i="16"/>
  <c r="W2911" i="16"/>
  <c r="W3000" i="16"/>
  <c r="W3048" i="16"/>
  <c r="W250" i="16"/>
  <c r="W3135" i="16"/>
  <c r="W573" i="16"/>
  <c r="W1004" i="16"/>
  <c r="W659" i="16"/>
  <c r="W2916" i="16"/>
  <c r="W2679" i="16"/>
  <c r="W1717" i="16"/>
  <c r="W2063" i="16"/>
  <c r="W3051" i="16"/>
  <c r="W618" i="16"/>
  <c r="W1670" i="16"/>
  <c r="W2952" i="16"/>
  <c r="W2073" i="16"/>
  <c r="W843" i="16"/>
  <c r="W1679" i="16"/>
  <c r="W1196" i="16"/>
  <c r="W3082" i="16"/>
  <c r="W2871" i="16"/>
  <c r="W1464" i="16"/>
  <c r="W2522" i="16"/>
  <c r="W2000" i="16"/>
  <c r="W689" i="16"/>
  <c r="W154" i="16"/>
  <c r="W2155" i="16"/>
  <c r="W2232" i="16"/>
  <c r="W2898" i="16"/>
  <c r="W1246" i="16"/>
  <c r="W802" i="16"/>
  <c r="W2826" i="16"/>
  <c r="W514" i="16"/>
  <c r="W727" i="16"/>
  <c r="W1099" i="16"/>
  <c r="W3249" i="16"/>
  <c r="W1812" i="16"/>
  <c r="W1967" i="16"/>
  <c r="W1298" i="16"/>
  <c r="W79" i="16"/>
  <c r="W2728" i="16"/>
  <c r="W703" i="16"/>
  <c r="W2050" i="16"/>
  <c r="W524" i="16"/>
  <c r="W3165" i="16"/>
  <c r="W1821" i="16"/>
  <c r="W1011" i="16"/>
  <c r="W2057" i="16"/>
  <c r="W2166" i="16"/>
  <c r="W1915" i="16"/>
  <c r="W1255" i="16"/>
  <c r="W502" i="16"/>
  <c r="W1438" i="16"/>
  <c r="W2758" i="16"/>
  <c r="W2558" i="16"/>
  <c r="W2994" i="16"/>
  <c r="W58" i="16"/>
  <c r="W1811" i="16"/>
  <c r="W2846" i="16"/>
  <c r="W3111" i="16"/>
  <c r="W924" i="16"/>
  <c r="W2369" i="16"/>
  <c r="W1383" i="16"/>
  <c r="W1372" i="16"/>
  <c r="W2687" i="16"/>
  <c r="W951" i="16"/>
  <c r="W2202" i="16"/>
  <c r="W1657" i="16"/>
  <c r="W2189" i="16"/>
  <c r="W1952" i="16"/>
  <c r="W1275" i="16"/>
  <c r="W944" i="16"/>
  <c r="W2337" i="16"/>
  <c r="W1935" i="16"/>
  <c r="W239" i="16"/>
  <c r="W3501" i="16"/>
  <c r="W431" i="16"/>
  <c r="W2031" i="16"/>
  <c r="W1346" i="16"/>
  <c r="W2663" i="16"/>
  <c r="W1510" i="16"/>
  <c r="W2919" i="16"/>
  <c r="W823" i="16"/>
  <c r="W262" i="16"/>
  <c r="W2617" i="16"/>
  <c r="W2969" i="16"/>
  <c r="W1398" i="16"/>
  <c r="W202" i="16"/>
  <c r="W3279" i="16"/>
  <c r="W402" i="16"/>
  <c r="W2414" i="16"/>
  <c r="W1813" i="16"/>
  <c r="W377" i="16"/>
  <c r="W2362" i="16"/>
  <c r="W854" i="16"/>
  <c r="W616" i="16"/>
  <c r="W2989" i="16"/>
  <c r="W647" i="16"/>
  <c r="W2156" i="16"/>
  <c r="W305" i="16"/>
  <c r="W1057" i="16"/>
  <c r="W806" i="16"/>
  <c r="W3391" i="16"/>
  <c r="W2117" i="16"/>
  <c r="W3309" i="16"/>
  <c r="W2352" i="16"/>
  <c r="W1198" i="16"/>
  <c r="W3338" i="16"/>
  <c r="W370" i="16"/>
  <c r="W744" i="16"/>
  <c r="W3547" i="16"/>
  <c r="W3327" i="16"/>
  <c r="W332" i="16"/>
  <c r="W516" i="16"/>
  <c r="W3196" i="16"/>
  <c r="W3203" i="16"/>
  <c r="W2432" i="16"/>
  <c r="W1327" i="16"/>
  <c r="W2931" i="16"/>
  <c r="W2866" i="16"/>
  <c r="W1584" i="16"/>
  <c r="W2250" i="16"/>
  <c r="W1891" i="16"/>
  <c r="W2406" i="16"/>
  <c r="W3379" i="16"/>
  <c r="W471" i="16"/>
  <c r="W34" i="16"/>
  <c r="W1541" i="16"/>
  <c r="W1422" i="16"/>
  <c r="W1027" i="16"/>
  <c r="W2191" i="16"/>
  <c r="W1730" i="16"/>
  <c r="W1977" i="16"/>
  <c r="W957" i="16"/>
  <c r="W374" i="16"/>
  <c r="W1378" i="16"/>
  <c r="W3066" i="16"/>
  <c r="W1474" i="16"/>
  <c r="W2589" i="16"/>
  <c r="W2616" i="16"/>
  <c r="W1687" i="16"/>
  <c r="W1291" i="16"/>
  <c r="W450" i="16"/>
  <c r="W1972" i="16"/>
  <c r="W3539" i="16"/>
  <c r="W3540" i="16"/>
  <c r="W2753" i="16"/>
  <c r="W3414" i="16"/>
  <c r="W1093" i="16"/>
  <c r="W96" i="16"/>
  <c r="W964" i="16"/>
  <c r="W2207" i="16"/>
  <c r="W939" i="16"/>
  <c r="W2389" i="16"/>
  <c r="W3360" i="16"/>
  <c r="W2667" i="16"/>
  <c r="W2554" i="16"/>
  <c r="W3459" i="16"/>
  <c r="W1597" i="16"/>
  <c r="W349" i="16"/>
  <c r="W187" i="16"/>
  <c r="W3526" i="16"/>
  <c r="W552" i="16"/>
  <c r="W909" i="16"/>
  <c r="W2420" i="16"/>
  <c r="W775" i="16"/>
  <c r="W153" i="16"/>
  <c r="W1018" i="16"/>
  <c r="W172" i="16"/>
  <c r="W897" i="16"/>
  <c r="W2384" i="16"/>
  <c r="W612" i="16"/>
  <c r="W778" i="16"/>
  <c r="W1763" i="16"/>
  <c r="W759" i="16"/>
  <c r="W1835" i="16"/>
  <c r="W1574" i="16"/>
  <c r="W3225" i="16"/>
  <c r="W1945" i="16"/>
  <c r="W3113" i="16"/>
  <c r="W1755" i="16"/>
  <c r="W1555" i="16"/>
  <c r="W2125" i="16"/>
  <c r="W2799" i="16"/>
  <c r="W1566" i="16"/>
  <c r="W2180" i="16"/>
  <c r="W1878" i="16"/>
  <c r="W2523" i="16"/>
  <c r="W1012" i="16"/>
  <c r="W956" i="16"/>
  <c r="W3429" i="16"/>
  <c r="W1343" i="16"/>
  <c r="W2612" i="16"/>
  <c r="W2990" i="16"/>
  <c r="W2957" i="16"/>
  <c r="W1948" i="16"/>
  <c r="W2106" i="16"/>
  <c r="W1806" i="16"/>
  <c r="W2729" i="16"/>
  <c r="W3063" i="16"/>
  <c r="W1176" i="16"/>
  <c r="W256" i="16"/>
  <c r="W2579" i="16"/>
  <c r="W661" i="16"/>
  <c r="W1370" i="16"/>
  <c r="W2870" i="16"/>
  <c r="W2518" i="16"/>
  <c r="W1733" i="16"/>
  <c r="W3296" i="16"/>
  <c r="W2568" i="16"/>
  <c r="W3270" i="16"/>
  <c r="W2978" i="16"/>
  <c r="W1318" i="16"/>
  <c r="W1324" i="16"/>
  <c r="W3450" i="16"/>
  <c r="W3324" i="16"/>
  <c r="W2945" i="16"/>
  <c r="W1902" i="16"/>
  <c r="W2892" i="16"/>
  <c r="W1499" i="16"/>
  <c r="W2079" i="16"/>
  <c r="W2364" i="16"/>
  <c r="W3519" i="16"/>
  <c r="W684" i="16"/>
  <c r="W2315" i="16"/>
  <c r="W787" i="16"/>
  <c r="W259" i="16"/>
  <c r="W1462" i="16"/>
  <c r="W441" i="16"/>
  <c r="W1734" i="16"/>
  <c r="W390" i="16"/>
  <c r="W2721" i="16"/>
  <c r="W1319" i="16"/>
  <c r="W147" i="16"/>
  <c r="W3189" i="16"/>
  <c r="W2374" i="16"/>
  <c r="W1207" i="16"/>
  <c r="W3502" i="16"/>
  <c r="W2970" i="16"/>
  <c r="W1472" i="16"/>
  <c r="W728" i="16"/>
  <c r="W1907" i="16"/>
  <c r="W254" i="16"/>
  <c r="W1124" i="16"/>
  <c r="W1721" i="16"/>
  <c r="W2273" i="16"/>
  <c r="W2973" i="16"/>
  <c r="W1080" i="16"/>
  <c r="W3216" i="16"/>
  <c r="W3285" i="16"/>
  <c r="W648" i="16"/>
  <c r="W3549" i="16"/>
  <c r="W705" i="16"/>
  <c r="W2109" i="16"/>
  <c r="W652" i="16"/>
  <c r="W3207" i="16"/>
  <c r="W2211" i="16"/>
  <c r="W905" i="16"/>
  <c r="W567" i="16"/>
  <c r="W1201" i="16"/>
  <c r="W2461" i="16"/>
  <c r="W1667" i="16"/>
  <c r="W1880" i="16"/>
  <c r="W2290" i="16"/>
  <c r="W2525" i="16"/>
  <c r="W3548" i="16"/>
  <c r="W2454" i="16"/>
  <c r="W2048" i="16"/>
  <c r="W3060" i="16"/>
  <c r="W2093" i="16"/>
  <c r="W2630" i="16"/>
  <c r="W2906" i="16"/>
  <c r="W3101" i="16"/>
  <c r="W261" i="16"/>
  <c r="W2038" i="16"/>
  <c r="W918" i="16"/>
  <c r="W1874" i="16"/>
  <c r="W194" i="16"/>
  <c r="W1202" i="16"/>
  <c r="W2140" i="16"/>
  <c r="W1746" i="16"/>
  <c r="W3079" i="16"/>
  <c r="W1283" i="16"/>
  <c r="W2188" i="16"/>
  <c r="W886" i="16"/>
  <c r="W2347" i="16"/>
  <c r="W2685" i="16"/>
  <c r="W1917" i="16"/>
  <c r="W1017" i="16"/>
  <c r="W2999" i="16"/>
  <c r="W2051" i="16"/>
  <c r="W3046" i="16"/>
  <c r="W2524" i="16"/>
  <c r="W1514" i="16"/>
  <c r="W2453" i="16"/>
  <c r="W1904" i="16"/>
  <c r="W1468" i="16"/>
  <c r="W2571" i="16"/>
  <c r="W1425" i="16"/>
  <c r="W155" i="16"/>
  <c r="W1395" i="16"/>
  <c r="W1790" i="16"/>
  <c r="W33" i="16"/>
  <c r="W1894" i="16"/>
  <c r="W2421" i="16"/>
  <c r="W910" i="16"/>
  <c r="W3510" i="16"/>
  <c r="W333" i="16"/>
  <c r="W1213" i="16"/>
  <c r="W1064" i="16"/>
  <c r="W2528" i="16"/>
  <c r="W71" i="16"/>
  <c r="W2696" i="16"/>
  <c r="W589" i="16"/>
  <c r="W1067" i="16"/>
  <c r="W761" i="16"/>
  <c r="W2131" i="16"/>
  <c r="W1239" i="16"/>
  <c r="W3437" i="16"/>
  <c r="W263" i="16"/>
  <c r="W1887" i="16"/>
  <c r="W448" i="16"/>
  <c r="W1829" i="16"/>
  <c r="W1720" i="16"/>
  <c r="W3543" i="16"/>
  <c r="W3424" i="16"/>
  <c r="W165" i="16"/>
  <c r="W2484" i="16"/>
  <c r="W638" i="16"/>
  <c r="W1726" i="16"/>
  <c r="W2750" i="16"/>
  <c r="W2569" i="16"/>
  <c r="W602" i="16"/>
  <c r="W1252" i="16"/>
  <c r="W2563" i="16"/>
  <c r="W2464" i="16"/>
  <c r="W3382" i="16"/>
  <c r="W835" i="16"/>
  <c r="W1331" i="16"/>
  <c r="W1958" i="16"/>
  <c r="W917" i="16"/>
  <c r="W1647" i="16"/>
  <c r="W1644" i="16"/>
  <c r="W929" i="16"/>
  <c r="W2196" i="16"/>
  <c r="W2308" i="16"/>
  <c r="W1710" i="16"/>
  <c r="W2730" i="16"/>
  <c r="W1981" i="16"/>
  <c r="W3525" i="16"/>
  <c r="W579" i="16"/>
  <c r="W2699" i="16"/>
  <c r="W2027" i="16"/>
  <c r="W2645" i="16"/>
  <c r="W2534" i="16"/>
  <c r="W2439" i="16"/>
  <c r="W3130" i="16"/>
  <c r="W2190" i="16"/>
  <c r="W1485" i="16"/>
  <c r="W865" i="16"/>
  <c r="W2178" i="16"/>
  <c r="W3198" i="16"/>
  <c r="W892" i="16"/>
  <c r="W1307" i="16"/>
  <c r="W483" i="16"/>
  <c r="W461" i="16"/>
  <c r="W2470" i="16"/>
  <c r="W1028" i="16"/>
  <c r="W1505" i="16"/>
  <c r="W510" i="16"/>
  <c r="W1007" i="16"/>
  <c r="W644" i="16"/>
  <c r="W795" i="16"/>
  <c r="W2743" i="16"/>
  <c r="W37" i="16"/>
  <c r="W560" i="16"/>
  <c r="W2325" i="16"/>
  <c r="W2358" i="16"/>
  <c r="W2078" i="16"/>
  <c r="W2322" i="16"/>
  <c r="W1260" i="16"/>
  <c r="W699" i="16"/>
  <c r="W2864" i="16"/>
  <c r="W1387" i="16"/>
  <c r="W2379" i="16"/>
  <c r="W494" i="16"/>
  <c r="W1558" i="16"/>
  <c r="W161" i="16"/>
  <c r="W3098" i="16"/>
  <c r="W2757" i="16"/>
  <c r="W852" i="16"/>
  <c r="W2909" i="16"/>
  <c r="W1744" i="16"/>
  <c r="W658" i="16"/>
  <c r="W2266" i="16"/>
  <c r="W1290" i="16"/>
  <c r="W667" i="16"/>
  <c r="W2481" i="16"/>
  <c r="W339" i="16"/>
  <c r="W1818" i="16"/>
  <c r="W1441" i="16"/>
  <c r="W1238" i="16"/>
  <c r="W2922" i="16"/>
  <c r="W1756" i="16"/>
  <c r="W253" i="16"/>
  <c r="W2372" i="16"/>
  <c r="W3176" i="16"/>
  <c r="W3090" i="16"/>
  <c r="W1762" i="16"/>
  <c r="W1572" i="16"/>
  <c r="W2452" i="16"/>
  <c r="W1576" i="16"/>
  <c r="W2971" i="16"/>
  <c r="W2624" i="16"/>
  <c r="W1659" i="16"/>
  <c r="W2318" i="16"/>
  <c r="W2674" i="16"/>
  <c r="W246" i="16"/>
  <c r="W251" i="16"/>
  <c r="W2881" i="16"/>
  <c r="W3115" i="16"/>
  <c r="W3304" i="16"/>
  <c r="W1742" i="16"/>
  <c r="W1530" i="16"/>
  <c r="W198" i="16"/>
  <c r="W1642" i="16"/>
  <c r="W3401" i="16"/>
  <c r="W792" i="16"/>
  <c r="W2214" i="16"/>
  <c r="W2132" i="16"/>
  <c r="W2929" i="16"/>
  <c r="W1263" i="16"/>
  <c r="W2727" i="16"/>
  <c r="W2302" i="16"/>
  <c r="W3062" i="16"/>
  <c r="W2192" i="16"/>
  <c r="W1149" i="16"/>
  <c r="W2436" i="16"/>
  <c r="W2056" i="16"/>
  <c r="W1232" i="16"/>
  <c r="W1651" i="16"/>
  <c r="W1380" i="16"/>
  <c r="W2306" i="16"/>
  <c r="W1078" i="16"/>
  <c r="W2915" i="16"/>
  <c r="W235" i="16"/>
  <c r="W388" i="16"/>
  <c r="W1947" i="16"/>
  <c r="W1571" i="16"/>
  <c r="W2473" i="16"/>
  <c r="W2427" i="16"/>
  <c r="W1631" i="16"/>
  <c r="W2288" i="16"/>
  <c r="W1325" i="16"/>
  <c r="W493" i="16"/>
  <c r="W3523" i="16"/>
  <c r="W458" i="16"/>
  <c r="W2145" i="16"/>
  <c r="W1392" i="16"/>
  <c r="W2692" i="16"/>
  <c r="W3056" i="16"/>
  <c r="W41" i="16"/>
  <c r="W825" i="16"/>
  <c r="W1300" i="16"/>
  <c r="W3214" i="16"/>
  <c r="W2833" i="16"/>
  <c r="W2087" i="16"/>
  <c r="W3515" i="16"/>
  <c r="W1914" i="16"/>
  <c r="W2143" i="16"/>
  <c r="W1732" i="16"/>
  <c r="W2251" i="16"/>
  <c r="W1727" i="16"/>
  <c r="W2526" i="16"/>
  <c r="W1047" i="16"/>
  <c r="W987" i="16"/>
  <c r="W112" i="16"/>
  <c r="W39" i="16"/>
  <c r="W1461" i="16"/>
  <c r="W1928" i="16"/>
  <c r="W740" i="16"/>
  <c r="W1877" i="16"/>
  <c r="W3532" i="16"/>
  <c r="W1386" i="16"/>
  <c r="W1872" i="16"/>
  <c r="W1244" i="16"/>
  <c r="W1740" i="16"/>
  <c r="W409" i="16"/>
  <c r="W1832" i="16"/>
  <c r="W3005" i="16"/>
  <c r="W532" i="16"/>
  <c r="W1941" i="16"/>
  <c r="W3362" i="16"/>
  <c r="W368" i="16"/>
  <c r="W1190" i="16"/>
  <c r="W884" i="16"/>
  <c r="W950" i="16"/>
  <c r="W2459" i="16"/>
  <c r="W2154" i="16"/>
  <c r="W3328" i="16"/>
  <c r="W3388" i="16"/>
  <c r="W3246" i="16"/>
  <c r="W2928" i="16"/>
  <c r="W2346" i="16"/>
  <c r="W1259" i="16"/>
  <c r="W2654" i="16"/>
  <c r="W1562" i="16"/>
  <c r="W185" i="16"/>
  <c r="W1664" i="16"/>
  <c r="W1903" i="16"/>
  <c r="W145" i="16"/>
  <c r="W3061" i="16"/>
  <c r="W3114" i="16"/>
  <c r="W128" i="16"/>
  <c r="W948" i="16"/>
  <c r="W2889" i="16"/>
  <c r="W1424" i="16"/>
  <c r="W839" i="16"/>
  <c r="W2219" i="16"/>
  <c r="W3536" i="16"/>
  <c r="W672" i="16"/>
  <c r="W896" i="16"/>
  <c r="W2209" i="16"/>
  <c r="W678" i="16"/>
  <c r="W2424" i="16"/>
  <c r="W1961" i="16"/>
  <c r="W729" i="16"/>
  <c r="W922" i="16"/>
  <c r="W669" i="16"/>
  <c r="W285" i="16"/>
  <c r="W1908" i="16"/>
  <c r="W1873" i="16"/>
  <c r="W715" i="16"/>
  <c r="W1136" i="16"/>
  <c r="W2599" i="16"/>
  <c r="W2819" i="16"/>
  <c r="W1927" i="16"/>
  <c r="W2698" i="16"/>
  <c r="W998" i="16"/>
  <c r="W3255" i="16"/>
  <c r="W1897" i="16"/>
  <c r="W2020" i="16"/>
  <c r="W2485" i="16"/>
  <c r="W193" i="16"/>
  <c r="W553" i="16"/>
  <c r="W754" i="16"/>
  <c r="W2161" i="16"/>
  <c r="W1264" i="16"/>
  <c r="W2982" i="16"/>
  <c r="W3120" i="16"/>
  <c r="W1177" i="16"/>
  <c r="W248" i="16"/>
  <c r="W2917" i="16"/>
  <c r="W27" i="16"/>
  <c r="W685" i="16"/>
  <c r="W243" i="16"/>
  <c r="W1845" i="16"/>
  <c r="W919" i="16"/>
  <c r="W2044" i="16"/>
  <c r="W3412" i="16"/>
  <c r="W850" i="16"/>
  <c r="W119" i="16"/>
  <c r="W2402" i="16"/>
  <c r="W894" i="16"/>
  <c r="W739" i="16"/>
  <c r="W3069" i="16"/>
  <c r="W2808" i="16"/>
  <c r="W1234" i="16"/>
  <c r="W3158" i="16"/>
  <c r="W2590" i="16"/>
  <c r="W710" i="16"/>
  <c r="W244" i="16"/>
  <c r="W3133" i="16"/>
  <c r="W1944" i="16"/>
  <c r="W2972" i="16"/>
  <c r="W1297" i="16"/>
  <c r="W2533" i="16"/>
  <c r="W2455" i="16"/>
  <c r="W2670" i="16"/>
  <c r="W1803" i="16"/>
  <c r="W3109" i="16"/>
  <c r="W1618" i="16"/>
  <c r="W1169" i="16"/>
  <c r="W2954" i="16"/>
  <c r="W344" i="16"/>
  <c r="W2671" i="16"/>
  <c r="W77" i="16"/>
  <c r="W175" i="16"/>
  <c r="W1353" i="16"/>
  <c r="W2868" i="16"/>
  <c r="W1317" i="16"/>
  <c r="W2603" i="16"/>
  <c r="W2101" i="16"/>
  <c r="W827" i="16"/>
  <c r="W3034" i="16"/>
  <c r="W2081" i="16"/>
  <c r="W2848" i="16"/>
  <c r="W1407" i="16"/>
  <c r="W1992" i="16"/>
  <c r="W2985" i="16"/>
  <c r="W1131" i="16"/>
  <c r="W62" i="16"/>
  <c r="W1611" i="16"/>
  <c r="W2033" i="16"/>
  <c r="W1382" i="16"/>
  <c r="W2467" i="16"/>
  <c r="W136" i="16"/>
  <c r="W548" i="16"/>
  <c r="W2725" i="16"/>
  <c r="W1271" i="16"/>
  <c r="W3463" i="16"/>
  <c r="W1390" i="16"/>
  <c r="W566" i="16"/>
  <c r="W352" i="16"/>
  <c r="W3013" i="16"/>
  <c r="W3144" i="16"/>
  <c r="W3468" i="16"/>
  <c r="W102" i="16"/>
  <c r="W280" i="16"/>
  <c r="W341" i="16"/>
  <c r="W3017" i="16"/>
  <c r="W1494" i="16"/>
  <c r="W2014" i="16"/>
  <c r="W234" i="16"/>
  <c r="W2604" i="16"/>
  <c r="W928" i="16"/>
  <c r="W266" i="16"/>
  <c r="W3008" i="16"/>
  <c r="W718" i="16"/>
  <c r="W749" i="16"/>
  <c r="W1230" i="16"/>
  <c r="W3020" i="16"/>
  <c r="W999" i="16"/>
  <c r="W3335" i="16"/>
  <c r="W500" i="16"/>
  <c r="W1922" i="16"/>
  <c r="W764" i="16"/>
  <c r="W3170" i="16"/>
  <c r="W1385" i="16"/>
  <c r="W3119" i="16"/>
  <c r="W2435" i="16"/>
  <c r="W359" i="16"/>
  <c r="W529" i="16"/>
  <c r="W2023" i="16"/>
  <c r="W231" i="16"/>
  <c r="W1427" i="16"/>
  <c r="W417" i="16"/>
  <c r="W1391" i="16"/>
  <c r="W2165" i="16"/>
  <c r="W1712" i="16"/>
  <c r="W1358" i="16"/>
  <c r="W2035" i="16"/>
  <c r="W2791" i="16"/>
  <c r="W1798" i="16"/>
  <c r="W2356" i="16"/>
  <c r="W2114" i="16"/>
  <c r="W629" i="16"/>
  <c r="W1162" i="16"/>
  <c r="W420" i="16"/>
  <c r="W969" i="16"/>
  <c r="W1315" i="16"/>
  <c r="W3180" i="16"/>
  <c r="W1999" i="16"/>
  <c r="W1942" i="16"/>
  <c r="W3044" i="16"/>
  <c r="W2726" i="16"/>
  <c r="W208" i="16"/>
  <c r="W1312" i="16"/>
  <c r="W2223" i="16"/>
  <c r="W3138" i="16"/>
  <c r="W2127" i="16"/>
  <c r="W1075" i="16"/>
  <c r="W3230" i="16"/>
  <c r="W146" i="16"/>
  <c r="W2756" i="16"/>
  <c r="W3356" i="16"/>
  <c r="W563" i="16"/>
  <c r="W19" i="16"/>
  <c r="W2778" i="16"/>
  <c r="W228" i="16"/>
  <c r="W1341" i="16"/>
  <c r="W1033" i="16"/>
  <c r="W1807" i="16"/>
  <c r="W2644" i="16"/>
  <c r="W735" i="16"/>
  <c r="W2299" i="16"/>
  <c r="W1591" i="16"/>
  <c r="W848" i="16"/>
  <c r="W2507" i="16"/>
  <c r="W888" i="16"/>
  <c r="W3317" i="16"/>
  <c r="W2874" i="16"/>
  <c r="W3505" i="16"/>
  <c r="W1610" i="16"/>
  <c r="W2201" i="16"/>
  <c r="W2234" i="16"/>
  <c r="W1284" i="16"/>
  <c r="W3236" i="16"/>
  <c r="W2514" i="16"/>
  <c r="W1243" i="16"/>
  <c r="W2763" i="16"/>
  <c r="W2740" i="16"/>
  <c r="W3410" i="16"/>
  <c r="W3004" i="16"/>
  <c r="W2792" i="16"/>
  <c r="W2026" i="16"/>
  <c r="W3057" i="16"/>
  <c r="W2305" i="16"/>
  <c r="W1926" i="16"/>
  <c r="W438" i="16"/>
  <c r="W1115" i="16"/>
  <c r="W2233" i="16"/>
  <c r="W2805" i="16"/>
  <c r="W2185" i="16"/>
  <c r="W2162" i="16"/>
  <c r="W1851" i="16"/>
  <c r="W1685" i="16"/>
  <c r="W2489" i="16"/>
  <c r="W1404" i="16"/>
  <c r="W462" i="16"/>
  <c r="W1314" i="16"/>
  <c r="W3117" i="16"/>
  <c r="W624" i="16"/>
  <c r="W2724" i="16"/>
  <c r="W1062" i="16"/>
  <c r="W1148" i="16"/>
  <c r="W2517" i="16"/>
  <c r="W28" i="16"/>
  <c r="W1166" i="16"/>
  <c r="W2332" i="16"/>
  <c r="W3507" i="16"/>
  <c r="W2739" i="16"/>
  <c r="W3074" i="16"/>
  <c r="W1802" i="16"/>
  <c r="W200" i="16"/>
  <c r="W2160" i="16"/>
  <c r="W2681" i="16"/>
  <c r="W2074" i="16"/>
  <c r="W2018" i="16"/>
  <c r="W1098" i="16"/>
  <c r="W1296" i="16"/>
  <c r="W2804" i="16"/>
  <c r="W2901" i="16"/>
  <c r="W159" i="16"/>
  <c r="W2065" i="16"/>
  <c r="W2655" i="16"/>
  <c r="W982" i="16"/>
  <c r="W1859" i="16"/>
  <c r="W3007" i="16"/>
  <c r="W295" i="16"/>
  <c r="W3084" i="16"/>
  <c r="W1285" i="16"/>
  <c r="W3372" i="16"/>
  <c r="W1649" i="16"/>
  <c r="W47" i="16"/>
  <c r="W2596" i="16"/>
  <c r="W3518" i="16"/>
  <c r="W3509" i="16"/>
  <c r="W545" i="16"/>
  <c r="W976" i="16"/>
  <c r="W1930" i="16"/>
  <c r="W1445" i="16"/>
  <c r="W3252" i="16"/>
  <c r="W286" i="16"/>
  <c r="W531" i="16"/>
  <c r="W2009" i="16"/>
  <c r="W2731" i="16"/>
  <c r="W1556" i="16"/>
  <c r="W2506" i="16"/>
  <c r="W1233" i="16"/>
  <c r="W2605" i="16"/>
  <c r="W743" i="16"/>
  <c r="W2812" i="16"/>
  <c r="W1308" i="16"/>
  <c r="W168" i="16"/>
  <c r="W3504" i="16"/>
  <c r="W273" i="16"/>
  <c r="W365" i="16"/>
  <c r="W1145" i="16"/>
  <c r="W1934" i="16"/>
  <c r="W1309" i="16"/>
  <c r="W2859" i="16"/>
  <c r="W51" i="16"/>
  <c r="W184" i="16"/>
  <c r="W1844" i="16"/>
  <c r="W2770" i="16"/>
  <c r="W64" i="16"/>
  <c r="W472" i="16"/>
  <c r="W640" i="16"/>
  <c r="W2089" i="16"/>
  <c r="W2042" i="16"/>
  <c r="W503" i="16"/>
  <c r="W934" i="16"/>
  <c r="W179" i="16"/>
  <c r="W1739" i="16"/>
  <c r="W1444" i="16"/>
  <c r="W3169" i="16"/>
  <c r="W2824" i="16"/>
  <c r="W2229" i="16"/>
  <c r="W1833" i="16"/>
  <c r="W799" i="16"/>
  <c r="W2840" i="16"/>
  <c r="W2416" i="16"/>
  <c r="W1137" i="16"/>
  <c r="W3334" i="16"/>
  <c r="W1030" i="16"/>
  <c r="W2167" i="16"/>
  <c r="W158" i="16"/>
  <c r="W397" i="16"/>
  <c r="W1170" i="16"/>
  <c r="W770" i="16"/>
  <c r="W1654" i="16"/>
  <c r="W410" i="16"/>
  <c r="W1401" i="16"/>
  <c r="W878" i="16"/>
  <c r="W2844" i="16"/>
  <c r="W176" i="16"/>
  <c r="W643" i="16"/>
  <c r="W626" i="16"/>
  <c r="W2877" i="16"/>
  <c r="W2960" i="16"/>
  <c r="W756" i="16"/>
  <c r="W2091" i="16"/>
  <c r="W1389" i="16"/>
  <c r="W186" i="16"/>
  <c r="W1276" i="16"/>
  <c r="W1900" i="16"/>
  <c r="W440" i="16"/>
  <c r="W1729" i="16"/>
  <c r="W2537" i="16"/>
  <c r="W2179" i="16"/>
  <c r="W2629" i="16"/>
  <c r="W1674" i="16"/>
  <c r="W2564" i="16"/>
  <c r="W1301" i="16"/>
  <c r="W1352" i="16"/>
  <c r="W1032" i="16"/>
  <c r="W1617" i="16"/>
  <c r="W380" i="16"/>
  <c r="W249" i="16"/>
  <c r="W2549" i="16"/>
  <c r="W1258" i="16"/>
  <c r="W3091" i="16"/>
  <c r="W465" i="16"/>
  <c r="W1354" i="16"/>
  <c r="W2366" i="16"/>
  <c r="W767" i="16"/>
  <c r="W1570" i="16"/>
  <c r="W1347" i="16"/>
  <c r="W3010" i="16"/>
  <c r="W1607" i="16"/>
  <c r="W107" i="16"/>
  <c r="W2210" i="16"/>
  <c r="W2418" i="16"/>
  <c r="W2964" i="16"/>
  <c r="W453" i="16"/>
  <c r="W2088" i="16"/>
  <c r="W2664" i="16"/>
  <c r="W1708" i="16"/>
  <c r="W1622" i="16"/>
  <c r="W613" i="16"/>
  <c r="W1247" i="16"/>
  <c r="W617" i="16"/>
  <c r="W1333" i="16"/>
  <c r="W289" i="16"/>
  <c r="W673" i="16"/>
  <c r="W2529" i="16"/>
  <c r="W752" i="16"/>
  <c r="W2937" i="16"/>
  <c r="W1212" i="16"/>
  <c r="W834" i="16"/>
  <c r="W2872" i="16"/>
  <c r="W3316" i="16"/>
  <c r="W1779" i="16"/>
  <c r="W3194" i="16"/>
  <c r="W2595" i="16"/>
  <c r="W2487" i="16"/>
  <c r="W314" i="16"/>
  <c r="W993" i="16"/>
  <c r="W356" i="16"/>
  <c r="W591" i="16"/>
  <c r="W2292" i="16"/>
  <c r="W1678" i="16"/>
  <c r="W584" i="16"/>
  <c r="W3075" i="16"/>
  <c r="W1292" i="16"/>
  <c r="W3042" i="16"/>
  <c r="W3511" i="16"/>
  <c r="W2096" i="16"/>
  <c r="W2043" i="16"/>
  <c r="W2238" i="16"/>
  <c r="W1522" i="16"/>
  <c r="W2086" i="16"/>
  <c r="W2413" i="16"/>
  <c r="W1781" i="16"/>
  <c r="W690" i="16"/>
  <c r="W1840" i="16"/>
  <c r="W1596" i="16"/>
  <c r="W416" i="16"/>
  <c r="W2456" i="16"/>
  <c r="W942" i="16"/>
  <c r="W59" i="16"/>
  <c r="W1429" i="16"/>
  <c r="W1414" i="16"/>
  <c r="W2977" i="16"/>
  <c r="W1804" i="16"/>
  <c r="W1225" i="16"/>
  <c r="W1074" i="16"/>
  <c r="W1588" i="16"/>
  <c r="W267" i="16"/>
  <c r="W3357" i="16"/>
  <c r="W169" i="16"/>
  <c r="W1888" i="16"/>
  <c r="W2168" i="16"/>
  <c r="W2186" i="16"/>
  <c r="W3438" i="16"/>
  <c r="W320" i="16"/>
  <c r="W1171" i="16"/>
  <c r="W903" i="16"/>
  <c r="W126" i="16"/>
  <c r="W2392" i="16"/>
  <c r="W2494" i="16"/>
  <c r="W2606" i="16"/>
  <c r="W1602" i="16"/>
  <c r="W702" i="16"/>
  <c r="W712" i="16"/>
  <c r="W1585" i="16"/>
  <c r="W3021" i="16"/>
  <c r="W1459" i="16"/>
  <c r="W2239" i="16"/>
  <c r="W1795" i="16"/>
  <c r="W692" i="16"/>
  <c r="W2673" i="16"/>
  <c r="W481" i="16"/>
  <c r="W2448" i="16"/>
  <c r="W1029" i="16"/>
  <c r="W698" i="16"/>
  <c r="W822" i="16"/>
  <c r="W732" i="16"/>
  <c r="W1048" i="16"/>
  <c r="W1893" i="16"/>
  <c r="W1761" i="16"/>
  <c r="W106" i="16"/>
  <c r="W2076" i="16"/>
  <c r="W3073" i="16"/>
  <c r="W1049" i="16"/>
  <c r="W1787" i="16"/>
  <c r="W3383" i="16"/>
  <c r="W3049" i="16"/>
  <c r="W1560" i="16"/>
  <c r="W2123" i="16"/>
  <c r="W3096" i="16"/>
  <c r="W1060" i="16"/>
  <c r="W1487" i="16"/>
  <c r="W2682" i="16"/>
  <c r="W2530" i="16"/>
  <c r="W1987" i="16"/>
  <c r="W2704" i="16"/>
  <c r="W2177" i="16"/>
  <c r="W1161" i="16"/>
  <c r="W293" i="16"/>
  <c r="W3104" i="16"/>
  <c r="W816" i="16"/>
  <c r="W1055" i="16"/>
  <c r="W2542" i="16"/>
  <c r="W953" i="16"/>
  <c r="W2782" i="16"/>
  <c r="W2498" i="16"/>
  <c r="W2511" i="16"/>
  <c r="W163" i="16"/>
  <c r="W2771" i="16"/>
  <c r="W1428" i="16"/>
  <c r="W279" i="16"/>
  <c r="W1843" i="16"/>
  <c r="W3527" i="16"/>
  <c r="W537" i="16"/>
  <c r="W36" i="16"/>
  <c r="W780" i="16"/>
  <c r="W86" i="16"/>
  <c r="W395" i="16"/>
  <c r="W935" i="16"/>
  <c r="W1949" i="16"/>
  <c r="W1179" i="16"/>
  <c r="W3329" i="16"/>
  <c r="W1336" i="16"/>
  <c r="W2890" i="16"/>
  <c r="W2593" i="16"/>
  <c r="W3154" i="16"/>
  <c r="W2513" i="16"/>
  <c r="W1639" i="16"/>
  <c r="W2341" i="16"/>
  <c r="W2404" i="16"/>
  <c r="W1788" i="16"/>
  <c r="W1521" i="16"/>
  <c r="W828" i="16"/>
  <c r="W1035" i="16"/>
  <c r="W3513" i="16"/>
  <c r="W3093" i="16"/>
  <c r="W3238" i="16"/>
  <c r="W17" i="16"/>
  <c r="W680" i="16"/>
  <c r="W3443" i="16"/>
  <c r="W2660" i="16"/>
  <c r="W1365" i="16"/>
  <c r="W1473" i="16"/>
  <c r="W3215" i="16"/>
  <c r="W2802" i="16"/>
  <c r="W2701" i="16"/>
  <c r="W3227" i="16"/>
  <c r="W2793" i="16"/>
  <c r="W1089" i="16"/>
  <c r="W38" i="16"/>
  <c r="W18" i="16"/>
  <c r="W859" i="16"/>
  <c r="W3353" i="16"/>
  <c r="W1932" i="16"/>
  <c r="W2482" i="16"/>
  <c r="W983" i="16"/>
  <c r="W1623" i="16"/>
  <c r="W1704" i="16"/>
  <c r="W2083" i="16"/>
  <c r="W150" i="16"/>
  <c r="W2483" i="16"/>
  <c r="W2197" i="16"/>
  <c r="W3156" i="16"/>
  <c r="W730" i="16"/>
  <c r="W2831" i="16"/>
  <c r="W2951" i="16"/>
  <c r="W831" i="16"/>
  <c r="W2588" i="16"/>
  <c r="W1783" i="16"/>
  <c r="W1109" i="16"/>
  <c r="W2988" i="16"/>
  <c r="W1281" i="16"/>
  <c r="W1413" i="16"/>
  <c r="W860" i="16"/>
  <c r="W403" i="16"/>
  <c r="W3340" i="16"/>
  <c r="W225" i="16"/>
  <c r="W814" i="16"/>
  <c r="W1767" i="16"/>
  <c r="W3303" i="16"/>
  <c r="W88" i="16"/>
  <c r="W3171" i="16"/>
  <c r="W2814" i="16"/>
  <c r="W1492" i="16"/>
  <c r="W26" i="16"/>
  <c r="W2505" i="16"/>
  <c r="W2788" i="16"/>
  <c r="W2543" i="16"/>
  <c r="W2262" i="16"/>
  <c r="W3242" i="16"/>
  <c r="W913" i="16"/>
  <c r="W67" i="16"/>
  <c r="W3016" i="16"/>
  <c r="W216" i="16"/>
  <c r="W722" i="16"/>
  <c r="W42" i="16"/>
  <c r="W2705" i="16"/>
  <c r="W751" i="16"/>
  <c r="W474" i="16"/>
  <c r="W546" i="16"/>
  <c r="W2923" i="16"/>
  <c r="W1553" i="16"/>
  <c r="W2694" i="16"/>
  <c r="W3434" i="16"/>
  <c r="W3344" i="16"/>
  <c r="W2927" i="16"/>
  <c r="W958" i="16"/>
  <c r="W2822" i="16"/>
  <c r="W900" i="16"/>
  <c r="W3403" i="16"/>
  <c r="W1507" i="16"/>
  <c r="W2823" i="16"/>
  <c r="W1636" i="16"/>
  <c r="W3347" i="16"/>
  <c r="W3320" i="16"/>
  <c r="W2887" i="16"/>
  <c r="W391" i="16"/>
  <c r="W3009" i="16"/>
  <c r="W794" i="16"/>
  <c r="W1355" i="16"/>
  <c r="W1036" i="16"/>
  <c r="W3420" i="16"/>
  <c r="W716" i="16"/>
  <c r="W1516" i="16"/>
  <c r="W3369" i="16"/>
  <c r="W1340" i="16"/>
  <c r="W3427" i="16"/>
  <c r="W2398" i="16"/>
  <c r="W2544" i="16"/>
  <c r="W2932" i="16"/>
  <c r="W2903" i="16"/>
  <c r="W840" i="16"/>
  <c r="W3545" i="16"/>
  <c r="W2270" i="16"/>
  <c r="W506" i="16"/>
  <c r="W1063" i="16"/>
  <c r="W505" i="16"/>
  <c r="W771" i="16"/>
  <c r="W2839" i="16"/>
  <c r="W2359" i="16"/>
  <c r="W486" i="16"/>
  <c r="W3142" i="16"/>
  <c r="W1121" i="16"/>
  <c r="W870" i="16"/>
  <c r="W2242" i="16"/>
  <c r="W297" i="16"/>
  <c r="W1722" i="16"/>
  <c r="W801" i="16"/>
  <c r="W2668" i="16"/>
  <c r="W1338" i="16"/>
  <c r="W2827" i="16"/>
  <c r="W57" i="16"/>
  <c r="W785" i="16"/>
  <c r="W2304" i="16"/>
  <c r="W2271" i="16"/>
  <c r="W2962" i="16"/>
  <c r="W810" i="16"/>
  <c r="W3092" i="16"/>
  <c r="W240" i="16"/>
  <c r="W496" i="16"/>
  <c r="W2376" i="16"/>
  <c r="W1982" i="16"/>
  <c r="W733" i="16"/>
  <c r="W1469" i="16"/>
  <c r="W2998" i="16"/>
  <c r="W303" i="16"/>
  <c r="W1174" i="16"/>
  <c r="W2936" i="16"/>
  <c r="W2041" i="16"/>
  <c r="W3274" i="16"/>
  <c r="W2124" i="16"/>
  <c r="W949" i="16"/>
  <c r="W152" i="16"/>
  <c r="W1559" i="16"/>
  <c r="W2354" i="16"/>
  <c r="W2573" i="16"/>
  <c r="W114" i="16"/>
  <c r="W3440" i="16"/>
  <c r="W1538" i="16"/>
  <c r="W156" i="16"/>
  <c r="W366" i="16"/>
  <c r="W2491" i="16"/>
  <c r="W3288" i="16"/>
  <c r="W21" i="16"/>
  <c r="W2693" i="16"/>
  <c r="W3363" i="16"/>
  <c r="W1683" i="16"/>
  <c r="W2735" i="16"/>
  <c r="W3381" i="16"/>
  <c r="W2391" i="16"/>
  <c r="W1256" i="16"/>
  <c r="W1442" i="16"/>
  <c r="W2267" i="16"/>
  <c r="W3378" i="16"/>
  <c r="W3100" i="16"/>
  <c r="W222" i="16"/>
  <c r="W2986" i="16"/>
  <c r="W1400" i="16"/>
  <c r="W2849" i="16"/>
  <c r="W2329" i="16"/>
  <c r="W3177" i="16"/>
  <c r="W3240" i="16"/>
  <c r="W3396" i="16"/>
  <c r="W2278" i="16"/>
  <c r="W2142" i="16"/>
  <c r="W302" i="16"/>
  <c r="W3256" i="16"/>
  <c r="W1373" i="16"/>
  <c r="W2040" i="16"/>
  <c r="W3223" i="16"/>
  <c r="W129" i="16"/>
  <c r="W3106" i="16"/>
  <c r="W967" i="16"/>
  <c r="W3264" i="16"/>
  <c r="W2676" i="16"/>
  <c r="W2882" i="16"/>
  <c r="W997" i="16"/>
  <c r="W1886" i="16"/>
  <c r="W3311" i="16"/>
  <c r="W535" i="16"/>
  <c r="W2984" i="16"/>
  <c r="W877" i="16"/>
  <c r="W265" i="16"/>
  <c r="W373" i="16"/>
  <c r="W287" i="16"/>
  <c r="W2779" i="16"/>
  <c r="W245" i="16"/>
  <c r="W2995" i="16"/>
  <c r="W3546" i="16"/>
  <c r="W2787" i="16"/>
  <c r="W362" i="16"/>
  <c r="W1416" i="16"/>
  <c r="W737" i="16"/>
  <c r="W1724" i="16"/>
  <c r="W3496" i="16"/>
  <c r="W1175" i="16"/>
  <c r="W350" i="16"/>
  <c r="W586" i="16"/>
  <c r="W3478" i="16"/>
  <c r="W2636" i="16"/>
  <c r="W1419" i="16"/>
  <c r="W2686" i="16"/>
  <c r="W203" i="16"/>
  <c r="W2584" i="16"/>
  <c r="W435" i="16"/>
  <c r="W1061" i="16"/>
  <c r="W1397" i="16"/>
  <c r="W686" i="16"/>
  <c r="W883" i="16"/>
  <c r="W1330" i="16"/>
  <c r="W1503" i="16"/>
  <c r="W3402" i="16"/>
  <c r="W354" i="16"/>
  <c r="W2857" i="16"/>
  <c r="W2259" i="16"/>
  <c r="W1805" i="16"/>
  <c r="W2781" i="16"/>
  <c r="W1393" i="16"/>
  <c r="W85" i="16"/>
  <c r="W1435" i="16"/>
  <c r="W3193" i="16"/>
  <c r="W3166" i="16"/>
  <c r="W1986" i="16"/>
  <c r="W1582" i="16"/>
  <c r="W1856" i="16"/>
  <c r="W61" i="16"/>
  <c r="W3178" i="16"/>
  <c r="W247" i="16"/>
  <c r="W1775" i="16"/>
  <c r="W1846" i="16"/>
  <c r="W1512" i="16"/>
  <c r="W668" i="16"/>
  <c r="W2647" i="16"/>
  <c r="W1605" i="16"/>
  <c r="W2281" i="16"/>
  <c r="W1152" i="16"/>
  <c r="W979" i="16"/>
  <c r="W2935" i="16"/>
  <c r="W550" i="16"/>
  <c r="W1899" i="16"/>
  <c r="W1039" i="16"/>
  <c r="W1489" i="16"/>
  <c r="W968" i="16"/>
  <c r="W3451" i="16"/>
  <c r="W1939" i="16"/>
  <c r="W2784" i="16"/>
  <c r="W1515" i="16"/>
  <c r="W1969" i="16"/>
  <c r="W1957" i="16"/>
  <c r="W3259" i="16"/>
  <c r="W628" i="16"/>
  <c r="W769" i="16"/>
  <c r="W2610" i="16"/>
  <c r="W1367" i="16"/>
  <c r="W1084" i="16"/>
  <c r="W1455" i="16"/>
  <c r="W3211" i="16"/>
  <c r="W952" i="16"/>
  <c r="W2077" i="16"/>
  <c r="W1081" i="16"/>
  <c r="W91" i="16"/>
  <c r="W2926" i="16"/>
  <c r="W1889" i="16"/>
  <c r="W1693" i="16"/>
  <c r="W576" i="16"/>
  <c r="W2070" i="16"/>
  <c r="W2641" i="16"/>
  <c r="W2129" i="16"/>
  <c r="W2457" i="16"/>
  <c r="W3485" i="16"/>
  <c r="W676" i="16"/>
  <c r="W1608" i="16"/>
  <c r="W2775" i="16"/>
  <c r="W470" i="16"/>
  <c r="W2512" i="16"/>
  <c r="W797" i="16"/>
  <c r="W1189" i="16"/>
  <c r="W2321" i="16"/>
  <c r="W1332" i="16"/>
  <c r="W2652" i="16"/>
  <c r="W945" i="16"/>
  <c r="W1669" i="16"/>
  <c r="W2343" i="16"/>
  <c r="W81" i="16"/>
  <c r="W1368" i="16"/>
  <c r="W3129" i="16"/>
  <c r="W2264" i="16"/>
  <c r="W2260" i="16"/>
  <c r="W3479" i="16"/>
  <c r="W1440" i="16"/>
  <c r="W274" i="16"/>
  <c r="W3126" i="16"/>
  <c r="W664" i="16"/>
  <c r="W134" i="16"/>
  <c r="W2059" i="16"/>
  <c r="W311" i="16"/>
  <c r="W1490" i="16"/>
  <c r="W2071" i="16"/>
  <c r="W650" i="16"/>
  <c r="W2116" i="16"/>
  <c r="W3055" i="16"/>
  <c r="W2546" i="16"/>
  <c r="W1155" i="16"/>
  <c r="W2637" i="16"/>
  <c r="W513" i="16"/>
  <c r="W236" i="16"/>
  <c r="W3080" i="16"/>
  <c r="W1050" i="16"/>
  <c r="W3310" i="16"/>
  <c r="W2863" i="16"/>
  <c r="W855" i="16"/>
  <c r="W105" i="16"/>
  <c r="W1752" i="16"/>
  <c r="W1498" i="16"/>
  <c r="W361" i="16"/>
  <c r="W1855" i="16"/>
  <c r="W526" i="16"/>
  <c r="W1076" i="16"/>
  <c r="W428" i="16"/>
  <c r="W1236" i="16"/>
  <c r="W2275" i="16"/>
  <c r="W2368" i="16"/>
  <c r="W1599" i="16"/>
  <c r="W1946" i="16"/>
  <c r="W3373" i="16"/>
  <c r="W2755" i="16"/>
  <c r="W376" i="16"/>
  <c r="W35" i="16"/>
  <c r="W189" i="16"/>
  <c r="W1288" i="16"/>
  <c r="W3411" i="16"/>
  <c r="W3313" i="16"/>
  <c r="W2195" i="16"/>
  <c r="W2224" i="16"/>
  <c r="W2289" i="16"/>
  <c r="W3041" i="16"/>
  <c r="W2084" i="16"/>
  <c r="W1043" i="16"/>
  <c r="W1827" i="16"/>
  <c r="W1808" i="16"/>
  <c r="W2170" i="16"/>
  <c r="W2643" i="16"/>
  <c r="W2377" i="16"/>
  <c r="W1629" i="16"/>
  <c r="W1363" i="16"/>
  <c r="W994" i="16"/>
  <c r="W2719" i="16"/>
  <c r="W2297" i="16"/>
  <c r="W1549" i="16"/>
  <c r="W763" i="16"/>
  <c r="W1524" i="16"/>
  <c r="W1160" i="16"/>
  <c r="W706" i="16"/>
  <c r="W508" i="16"/>
  <c r="W2291" i="16"/>
  <c r="W521" i="16"/>
  <c r="W1168" i="16"/>
  <c r="W3421" i="16"/>
  <c r="W2930" i="16"/>
  <c r="W2034" i="16"/>
  <c r="W2268" i="16"/>
  <c r="W1449" i="16"/>
  <c r="W2036" i="16"/>
  <c r="W1362" i="16"/>
  <c r="W1286" i="16"/>
  <c r="W1010" i="16"/>
  <c r="W2021" i="16"/>
  <c r="W1097" i="16"/>
  <c r="W734" i="16"/>
  <c r="W1222" i="16"/>
  <c r="W2905" i="16"/>
  <c r="W393" i="16"/>
  <c r="W3542" i="16"/>
  <c r="W1253" i="16"/>
  <c r="W1379" i="16"/>
  <c r="W1304" i="16"/>
  <c r="W3224" i="16"/>
  <c r="W83" i="16"/>
  <c r="W1458" i="16"/>
  <c r="W1828" i="16"/>
  <c r="W3490" i="16"/>
  <c r="W3064" i="16"/>
  <c r="W2094" i="16"/>
  <c r="W1446" i="16"/>
  <c r="W2983" i="16"/>
  <c r="W1228" i="16"/>
  <c r="W2437" i="16"/>
  <c r="W523" i="16"/>
  <c r="W1450" i="16"/>
  <c r="W167" i="16"/>
  <c r="W1956" i="16"/>
  <c r="W2842" i="16"/>
  <c r="W214" i="16"/>
  <c r="W3210" i="16"/>
  <c r="W1606" i="16"/>
  <c r="W677" i="16"/>
  <c r="W3022" i="16"/>
  <c r="W813" i="16"/>
  <c r="W363" i="16"/>
  <c r="W1218" i="16"/>
  <c r="W2312" i="16"/>
  <c r="W2217" i="16"/>
  <c r="W281" i="16"/>
  <c r="W679" i="16"/>
  <c r="W2567" i="16"/>
  <c r="W3153" i="16"/>
  <c r="W2894" i="16"/>
  <c r="W2551" i="16"/>
  <c r="W781" i="16"/>
  <c r="W92" i="16"/>
  <c r="W1707" i="16"/>
  <c r="W738" i="16"/>
  <c r="W1694" i="16"/>
  <c r="W1918" i="16"/>
  <c r="W2410" i="16"/>
  <c r="W1951" i="16"/>
  <c r="W2449" i="16"/>
  <c r="W2025" i="16"/>
  <c r="W48" i="16"/>
  <c r="W1682" i="16"/>
  <c r="W541" i="16"/>
  <c r="W890" i="16"/>
  <c r="W838" i="16"/>
  <c r="W2175" i="16"/>
  <c r="W1575" i="16"/>
  <c r="W725" i="16"/>
  <c r="W324" i="16"/>
  <c r="W2395" i="16"/>
  <c r="W3295" i="16"/>
  <c r="W2578" i="16"/>
  <c r="W1205" i="16"/>
  <c r="W2997" i="16"/>
  <c r="W1159" i="16"/>
  <c r="W3457" i="16"/>
  <c r="W2103" i="16"/>
  <c r="W908" i="16"/>
  <c r="W549" i="16"/>
  <c r="W1272" i="16"/>
  <c r="W2847" i="16"/>
  <c r="W2147" i="16"/>
  <c r="W2835" i="16"/>
  <c r="W2317" i="16"/>
  <c r="W478" i="16"/>
  <c r="W3460" i="16"/>
  <c r="W1701" i="16"/>
  <c r="W2535" i="16"/>
  <c r="W2820" i="16"/>
  <c r="W2504" i="16"/>
  <c r="W1905" i="16"/>
  <c r="W2222" i="16"/>
  <c r="W1966" i="16"/>
  <c r="W3039" i="16"/>
  <c r="W1953" i="16"/>
  <c r="W815" i="16"/>
  <c r="W1369" i="16"/>
  <c r="W585" i="16"/>
  <c r="W3534" i="16"/>
  <c r="W1241" i="16"/>
  <c r="W2310" i="16"/>
  <c r="W2451" i="16"/>
  <c r="W1026" i="16"/>
  <c r="W2137" i="16"/>
  <c r="W3470" i="16"/>
  <c r="W747" i="16"/>
  <c r="W3469" i="16"/>
  <c r="W392" i="16"/>
  <c r="W1590" i="16"/>
  <c r="W97" i="16"/>
  <c r="W1009" i="16"/>
  <c r="W1408" i="16"/>
  <c r="W1684" i="16"/>
  <c r="W662" i="16"/>
  <c r="W3458" i="16"/>
  <c r="W3325" i="16"/>
  <c r="W789" i="16"/>
  <c r="W1815" i="16"/>
  <c r="W2133" i="16"/>
  <c r="W1126" i="16"/>
  <c r="W512" i="16"/>
  <c r="W2064" i="16"/>
  <c r="W3492" i="16"/>
  <c r="W2683" i="16"/>
  <c r="W343" i="16"/>
  <c r="W2862" i="16"/>
  <c r="W3444" i="16"/>
  <c r="W178" i="16"/>
  <c r="W3343" i="16"/>
  <c r="W2055" i="16"/>
  <c r="W866" i="16"/>
  <c r="W3272" i="16"/>
  <c r="W2744" i="16"/>
  <c r="W1178" i="16"/>
  <c r="W2912" i="16"/>
  <c r="W330" i="16"/>
  <c r="W379" i="16"/>
  <c r="W3377" i="16"/>
  <c r="W1600" i="16"/>
  <c r="W230" i="16"/>
  <c r="W439" i="16"/>
  <c r="W760" i="16"/>
  <c r="W2809" i="16"/>
  <c r="W2298" i="16"/>
  <c r="W1810" i="16"/>
  <c r="W2241" i="16"/>
  <c r="W278" i="16"/>
  <c r="W3085" i="16"/>
  <c r="W40" i="16"/>
  <c r="W1226" i="16"/>
  <c r="W805" i="16"/>
  <c r="W351" i="16"/>
  <c r="W2601" i="16"/>
  <c r="W1955" i="16"/>
  <c r="W818" i="16"/>
  <c r="W3083" i="16"/>
  <c r="W1630" i="16"/>
  <c r="W2516" i="16"/>
  <c r="W2987" i="16"/>
  <c r="W2383" i="16"/>
  <c r="W3349" i="16"/>
  <c r="W3233" i="16"/>
  <c r="W2415" i="16"/>
  <c r="W603" i="16"/>
  <c r="W3043" i="16"/>
  <c r="W3081" i="16"/>
  <c r="W2272" i="16"/>
  <c r="W151" i="16"/>
  <c r="W2181" i="16"/>
  <c r="W869" i="16"/>
  <c r="W536" i="16"/>
  <c r="W3174" i="16"/>
  <c r="W1477" i="16"/>
  <c r="W3533" i="16"/>
  <c r="W2818" i="16"/>
  <c r="W1653" i="16"/>
  <c r="W489" i="16"/>
  <c r="W1754" i="16"/>
  <c r="W2639" i="16"/>
  <c r="W1595" i="16"/>
  <c r="W3088" i="16"/>
  <c r="W836" i="16"/>
  <c r="W50" i="16"/>
  <c r="W517" i="16"/>
  <c r="W2429" i="16"/>
  <c r="W2274" i="16"/>
  <c r="W3506" i="16"/>
  <c r="W671" i="16"/>
  <c r="W2001" i="16"/>
  <c r="W2648" i="16"/>
  <c r="W1417" i="16"/>
  <c r="W2200" i="16"/>
  <c r="W212" i="16"/>
  <c r="W2066" i="16"/>
  <c r="W1975" i="16"/>
  <c r="W411" i="16"/>
  <c r="W2893" i="16"/>
  <c r="W1876" i="16"/>
  <c r="W1698" i="16"/>
  <c r="W1673" i="16"/>
  <c r="W837" i="16"/>
  <c r="W3387" i="16"/>
  <c r="W2902" i="16"/>
  <c r="W1656" i="16"/>
  <c r="W3127" i="16"/>
  <c r="W2039" i="16"/>
  <c r="W1436" i="16"/>
  <c r="W1672" i="16"/>
  <c r="W1706" i="16"/>
  <c r="W3520" i="16"/>
  <c r="W3516" i="16"/>
  <c r="W1627" i="16"/>
  <c r="W2547" i="16"/>
  <c r="W2519" i="16"/>
  <c r="W3302" i="16"/>
  <c r="W3318" i="16"/>
  <c r="W1668" i="16"/>
  <c r="W1069" i="16"/>
  <c r="W2153" i="16"/>
  <c r="W140" i="16"/>
  <c r="W2032" i="16"/>
  <c r="W3245" i="16"/>
  <c r="W3019" i="16"/>
  <c r="W2566" i="16"/>
  <c r="W1919" i="16"/>
  <c r="W2678" i="16"/>
  <c r="W1793" i="16"/>
  <c r="W2766" i="16"/>
  <c r="W2531" i="16"/>
  <c r="W1139" i="16"/>
  <c r="W1509" i="16"/>
  <c r="W2816" i="16"/>
  <c r="W1898" i="16"/>
  <c r="W3099" i="16"/>
  <c r="W2468" i="16"/>
  <c r="W2949" i="16"/>
  <c r="W2061" i="16"/>
  <c r="W2388" i="16"/>
  <c r="W1869" i="16"/>
  <c r="W2828" i="16"/>
  <c r="W844" i="16"/>
  <c r="W575" i="16"/>
  <c r="W426" i="16"/>
  <c r="W2286" i="16"/>
  <c r="W3053" i="16"/>
  <c r="W255" i="16"/>
  <c r="W449" i="16"/>
  <c r="W69" i="16"/>
  <c r="W2471" i="16"/>
  <c r="W3278" i="16"/>
  <c r="W1361" i="16"/>
  <c r="W1749" i="16"/>
  <c r="W1921" i="16"/>
  <c r="W2331" i="16"/>
  <c r="W2212" i="16"/>
  <c r="W594" i="16"/>
  <c r="W1278" i="16"/>
  <c r="W290" i="16"/>
  <c r="W1883" i="16"/>
  <c r="W298" i="16"/>
  <c r="W2309" i="16"/>
  <c r="W682" i="16"/>
  <c r="W2640" i="16"/>
  <c r="W2597" i="16"/>
  <c r="W2843" i="16"/>
  <c r="W413" i="16"/>
  <c r="W1594" i="16"/>
  <c r="W2495" i="16"/>
  <c r="W317" i="16"/>
  <c r="W2440" i="16"/>
  <c r="W1860" i="16"/>
  <c r="W1824" i="16"/>
  <c r="W315" i="16"/>
  <c r="W1479" i="16"/>
  <c r="W2933" i="16"/>
  <c r="W2786" i="16"/>
  <c r="W3425" i="16"/>
  <c r="W1925" i="16"/>
  <c r="W1823" i="16"/>
  <c r="W2855" i="16"/>
  <c r="W2803" i="16"/>
  <c r="W2052" i="16"/>
  <c r="W2837" i="16"/>
  <c r="W1481" i="16"/>
  <c r="W3306" i="16"/>
  <c r="W3261" i="16"/>
  <c r="W2996" i="16"/>
  <c r="W3404" i="16"/>
  <c r="W1604" i="16"/>
  <c r="W916" i="16"/>
  <c r="W1356" i="16"/>
  <c r="W2852" i="16"/>
  <c r="W367" i="16"/>
  <c r="W1112" i="16"/>
  <c r="W3268" i="16"/>
  <c r="W1854" i="16"/>
  <c r="W3380" i="16"/>
  <c r="W1038" i="16"/>
  <c r="W2367" i="16"/>
  <c r="W2253" i="16"/>
  <c r="W2888" i="16"/>
  <c r="W3032" i="16"/>
  <c r="W1299" i="16"/>
  <c r="W2240" i="16"/>
  <c r="W1643" i="16"/>
  <c r="W322" i="16"/>
  <c r="W468" i="16"/>
  <c r="W454" i="16"/>
  <c r="W1005" i="16"/>
  <c r="W2488" i="16"/>
  <c r="W2591" i="16"/>
  <c r="W821" i="16"/>
  <c r="W2613" i="16"/>
  <c r="W2075" i="16"/>
  <c r="W2002" i="16"/>
  <c r="W1906" i="16"/>
  <c r="W1738" i="16"/>
  <c r="W2340" i="16"/>
  <c r="W443" i="16"/>
  <c r="W242" i="16"/>
  <c r="W746" i="16"/>
  <c r="W46" i="16"/>
  <c r="W1463" i="16"/>
  <c r="W3341" i="16"/>
  <c r="W2810" i="16"/>
  <c r="W142" i="16"/>
  <c r="W329" i="16"/>
  <c r="W1638" i="16"/>
  <c r="W2574" i="16"/>
  <c r="W2401" i="16"/>
  <c r="W1691" i="16"/>
  <c r="W219" i="16"/>
  <c r="W3033" i="16"/>
  <c r="W1303" i="16"/>
  <c r="W657" i="16"/>
  <c r="W923" i="16"/>
  <c r="W2176" i="16"/>
  <c r="W345" i="16"/>
  <c r="W2139" i="16"/>
  <c r="W3219" i="16"/>
  <c r="W2980" i="16"/>
  <c r="W3283" i="16"/>
  <c r="W3321" i="16"/>
  <c r="W3157" i="16"/>
  <c r="W2069" i="16"/>
  <c r="W1096" i="16"/>
  <c r="W3405" i="16"/>
  <c r="W3346" i="16"/>
  <c r="W2294" i="16"/>
  <c r="W2968" i="16"/>
  <c r="W2478" i="16"/>
  <c r="W693" i="16"/>
  <c r="W2307" i="16"/>
  <c r="W2548" i="16"/>
  <c r="W3497" i="16"/>
  <c r="W881" i="16"/>
  <c r="W879" i="16"/>
  <c r="W2496" i="16"/>
  <c r="W160" i="16"/>
  <c r="W1163" i="16"/>
  <c r="W2602" i="16"/>
  <c r="W3333" i="16"/>
  <c r="W1892" i="16"/>
  <c r="W1557" i="16"/>
  <c r="W1825" i="16"/>
  <c r="W2896" i="16"/>
  <c r="W2553" i="16"/>
  <c r="W2714" i="16"/>
  <c r="W707" i="16"/>
  <c r="W2375" i="16"/>
  <c r="W2163" i="16"/>
  <c r="W433" i="16"/>
  <c r="W906" i="16"/>
  <c r="W3359" i="16"/>
  <c r="W1209" i="16"/>
  <c r="W1791" i="16"/>
  <c r="W2003" i="16"/>
  <c r="W3428" i="16"/>
  <c r="W3464" i="16"/>
  <c r="W2349" i="16"/>
  <c r="W711" i="16"/>
  <c r="W1366" i="16"/>
  <c r="W3331" i="16"/>
  <c r="W1128" i="16"/>
  <c r="W1100" i="16"/>
  <c r="W1197" i="16"/>
  <c r="W1765" i="16"/>
  <c r="W1692" i="16"/>
  <c r="W1488" i="16"/>
  <c r="W2946" i="16"/>
  <c r="W1465" i="16"/>
  <c r="W1675" i="16"/>
  <c r="W3003" i="16"/>
  <c r="W3141" i="16"/>
  <c r="W476" i="16"/>
  <c r="W1059" i="16"/>
  <c r="W779" i="16"/>
  <c r="W421" i="16"/>
  <c r="W1539" i="16"/>
  <c r="W2807" i="16"/>
  <c r="W404" i="16"/>
  <c r="W2237" i="16"/>
  <c r="W847" i="16"/>
  <c r="W49" i="16"/>
  <c r="W2777" i="16"/>
  <c r="W1432" i="16"/>
  <c r="W2047" i="16"/>
  <c r="W1857" i="16"/>
  <c r="W3025" i="16"/>
  <c r="W3001" i="16"/>
  <c r="W2956" i="16"/>
  <c r="W562" i="16"/>
  <c r="W1470" i="16"/>
  <c r="W53" i="16"/>
  <c r="W1816" i="16"/>
  <c r="W3392" i="16"/>
  <c r="W970" i="16"/>
  <c r="W3112" i="16"/>
  <c r="W1180" i="16"/>
  <c r="W1735" i="16"/>
  <c r="W1848" i="16"/>
  <c r="W2979" i="16"/>
  <c r="W3243" i="16"/>
  <c r="W2708" i="16"/>
  <c r="W2883" i="16"/>
  <c r="W1662" i="16"/>
  <c r="W1313" i="16"/>
  <c r="W1690" i="16"/>
  <c r="W2587" i="16"/>
  <c r="W1210" i="16"/>
  <c r="W3476" i="16"/>
  <c r="W630" i="16"/>
  <c r="W1025" i="16"/>
  <c r="W1158" i="16"/>
  <c r="W654" i="16"/>
  <c r="W419" i="16"/>
  <c r="W1760" i="16"/>
  <c r="W2067" i="16"/>
  <c r="W1853" i="16"/>
  <c r="W2252" i="16"/>
  <c r="W557" i="16"/>
  <c r="W2028" i="16"/>
  <c r="W2508" i="16"/>
  <c r="W3105" i="16"/>
  <c r="W2344" i="16"/>
  <c r="W3314" i="16"/>
  <c r="W1437" i="16"/>
  <c r="W55" i="16"/>
  <c r="W2702" i="16"/>
  <c r="W2282" i="16"/>
  <c r="W1817" i="16"/>
  <c r="W2873" i="16"/>
  <c r="W1626" i="16"/>
  <c r="W2320" i="16"/>
  <c r="W1960" i="16"/>
  <c r="W2598" i="16"/>
  <c r="W2967" i="16"/>
  <c r="W515" i="16"/>
  <c r="W2426" i="16"/>
  <c r="W1114" i="16"/>
  <c r="W2390" i="16"/>
  <c r="W1000" i="16"/>
  <c r="W1996" i="16"/>
  <c r="W2465" i="16"/>
  <c r="W3487" i="16"/>
  <c r="W3110" i="16"/>
  <c r="W3206" i="16"/>
  <c r="W313" i="16"/>
  <c r="W2236" i="16"/>
  <c r="W3319" i="16"/>
  <c r="W961" i="16"/>
  <c r="W232" i="16"/>
  <c r="W1046" i="16"/>
  <c r="W736" i="16"/>
  <c r="W1102" i="16"/>
  <c r="W871" i="16"/>
  <c r="W210" i="16"/>
  <c r="W745" i="16"/>
  <c r="W196" i="16"/>
  <c r="W1384" i="16"/>
  <c r="W1784" i="16"/>
  <c r="W3477" i="16"/>
  <c r="W3202" i="16"/>
  <c r="W387" i="16"/>
  <c r="W1814" i="16"/>
  <c r="W3455" i="16"/>
  <c r="W3262" i="16"/>
  <c r="W3065" i="16"/>
  <c r="W276" i="16"/>
  <c r="W325" i="16"/>
  <c r="W1989" i="16"/>
  <c r="W1086" i="16"/>
  <c r="W1676" i="16"/>
  <c r="W2924" i="16"/>
  <c r="W3220" i="16"/>
  <c r="W598" i="16"/>
  <c r="W2914" i="16"/>
  <c r="W2615" i="16"/>
  <c r="W2689" i="16"/>
  <c r="W192" i="16"/>
  <c r="W1242" i="16"/>
  <c r="W56" i="16"/>
  <c r="W1133" i="16"/>
  <c r="W2490" i="16"/>
  <c r="W2541" i="16"/>
  <c r="W2380" i="16"/>
  <c r="W2695" i="16"/>
  <c r="W2397" i="16"/>
  <c r="W1326" i="16"/>
  <c r="W798" i="16"/>
  <c r="W3244" i="16"/>
  <c r="W1245" i="16"/>
  <c r="W2115" i="16"/>
  <c r="W3286" i="16"/>
  <c r="W467" i="16"/>
  <c r="W776" i="16"/>
  <c r="W1737" i="16"/>
  <c r="W271" i="16"/>
  <c r="W3538" i="16"/>
  <c r="W1968" i="16"/>
  <c r="W2199" i="16"/>
  <c r="W1963" i="16"/>
  <c r="W782" i="16"/>
  <c r="W1573" i="16"/>
  <c r="W3374" i="16"/>
  <c r="W133" i="16"/>
  <c r="W2675" i="16"/>
  <c r="W1337" i="16"/>
  <c r="W1633" i="16"/>
  <c r="W2351" i="16"/>
  <c r="W385" i="16"/>
  <c r="W3134" i="16"/>
  <c r="W2198" i="16"/>
  <c r="W3145" i="16"/>
  <c r="W2939" i="16"/>
  <c r="W2607" i="16"/>
  <c r="W1777" i="16"/>
  <c r="W1772" i="16"/>
  <c r="W2841" i="16"/>
  <c r="W2324" i="16"/>
  <c r="W425" i="16"/>
  <c r="W1543" i="16"/>
  <c r="W507" i="16"/>
  <c r="W660" i="16"/>
  <c r="W346" i="16"/>
  <c r="W1403" i="16"/>
  <c r="W1251" i="16"/>
  <c r="W891" i="16"/>
  <c r="W1282" i="16"/>
  <c r="W1248" i="16"/>
  <c r="W3493" i="16"/>
  <c r="W1454" i="16"/>
  <c r="W2100" i="16"/>
  <c r="W2172" i="16"/>
  <c r="W1195" i="16"/>
  <c r="W1396" i="16"/>
  <c r="W2054" i="16"/>
  <c r="W2104" i="16"/>
  <c r="W1277" i="16"/>
  <c r="W674" i="16"/>
  <c r="W1257" i="16"/>
  <c r="W772" i="16"/>
  <c r="W347" i="16"/>
  <c r="W1320" i="16"/>
  <c r="W122" i="16"/>
  <c r="W2538" i="16"/>
  <c r="W3168" i="16"/>
  <c r="W704" i="16"/>
  <c r="W1964" i="16"/>
  <c r="W581" i="16"/>
  <c r="W1200" i="16"/>
  <c r="W1266" i="16"/>
  <c r="W2950" i="16"/>
  <c r="W191" i="16"/>
  <c r="W1700" i="16"/>
  <c r="W3498" i="16"/>
  <c r="W3059" i="16"/>
  <c r="W2193" i="16"/>
  <c r="W2974" i="16"/>
  <c r="W636" i="16"/>
  <c r="W2638" i="16"/>
  <c r="W3393" i="16"/>
  <c r="W1167" i="16"/>
  <c r="W307" i="16"/>
  <c r="W3345" i="16"/>
  <c r="W723" i="16"/>
  <c r="W340" i="16"/>
  <c r="W3400" i="16"/>
  <c r="W1164" i="16"/>
  <c r="W519" i="16"/>
  <c r="W3301" i="16"/>
  <c r="W1014" i="16"/>
  <c r="W926" i="16"/>
  <c r="W2895" i="16"/>
  <c r="W2854" i="16"/>
  <c r="W1269" i="16"/>
  <c r="W561" i="16"/>
  <c r="W1523" i="16"/>
  <c r="W2108" i="16"/>
  <c r="W1165" i="16"/>
  <c r="W3471" i="16"/>
  <c r="W2981" i="16"/>
  <c r="W2479" i="16"/>
  <c r="W2925" i="16"/>
  <c r="W2897" i="16"/>
  <c r="W1565" i="16"/>
  <c r="W2411" i="16"/>
  <c r="W1923" i="16"/>
  <c r="W3291" i="16"/>
  <c r="W1728" i="16"/>
  <c r="W1940" i="16"/>
  <c r="W2080" i="16"/>
  <c r="W2303" i="16"/>
  <c r="W601" i="16"/>
  <c r="W3436" i="16"/>
  <c r="W1070" i="16"/>
  <c r="W275" i="16"/>
  <c r="W2425" i="16"/>
  <c r="W412" i="16"/>
  <c r="W199" i="16"/>
  <c r="W3234" i="16"/>
  <c r="W357" i="16"/>
  <c r="W882" i="16"/>
  <c r="W2618" i="16"/>
  <c r="W1493" i="16"/>
  <c r="W1870" i="16"/>
  <c r="W3416" i="16"/>
  <c r="W3366" i="16"/>
  <c r="W1020" i="16"/>
  <c r="W1614" i="16"/>
  <c r="W1130" i="16"/>
  <c r="W986" i="16"/>
  <c r="W542" i="16"/>
  <c r="W3147" i="16"/>
  <c r="W1182" i="16"/>
  <c r="W2712" i="16"/>
  <c r="W180" i="16"/>
  <c r="W3188" i="16"/>
  <c r="W408" i="16"/>
  <c r="W3326" i="16"/>
  <c r="W355" i="16"/>
  <c r="W2204" i="16"/>
  <c r="W599" i="16"/>
  <c r="W1203" i="16"/>
  <c r="W893" i="16"/>
  <c r="W1359" i="16"/>
  <c r="W348" i="16"/>
  <c r="W1544" i="16"/>
  <c r="W1015" i="16"/>
  <c r="W2486" i="16"/>
  <c r="W793" i="16"/>
  <c r="W1991" i="16"/>
  <c r="W1002" i="16"/>
  <c r="W3197" i="16"/>
  <c r="W2159" i="16"/>
  <c r="W899" i="16"/>
  <c r="W2570" i="16"/>
  <c r="W2680" i="16"/>
  <c r="W569" i="16"/>
  <c r="W3231" i="16"/>
  <c r="W2381" i="16"/>
  <c r="W937" i="16"/>
  <c r="W3408" i="16"/>
  <c r="W501" i="16"/>
  <c r="W312" i="16"/>
  <c r="W2008" i="16"/>
  <c r="W3186" i="16"/>
  <c r="W1423" i="16"/>
  <c r="W941" i="16"/>
  <c r="W3528" i="16"/>
  <c r="W3461" i="16"/>
  <c r="W1037" i="16"/>
  <c r="W2082" i="16"/>
  <c r="W608" i="16"/>
  <c r="W1268" i="16"/>
  <c r="W2869" i="16"/>
  <c r="W1933" i="16"/>
  <c r="W1536" i="16"/>
  <c r="W2097" i="16"/>
  <c r="W3012" i="16"/>
  <c r="W962" i="16"/>
  <c r="W670" i="16"/>
  <c r="W849" i="16"/>
  <c r="W2407" i="16"/>
  <c r="W820" i="16"/>
  <c r="W2386" i="16"/>
  <c r="W2053" i="16"/>
  <c r="W3419" i="16"/>
  <c r="W1532" i="16"/>
  <c r="W207" i="16"/>
  <c r="W1194" i="16"/>
  <c r="W1782" i="16"/>
  <c r="W914" i="16"/>
  <c r="W3036" i="16"/>
  <c r="W2258" i="16"/>
  <c r="W2768" i="16"/>
  <c r="W3247" i="16"/>
  <c r="W2759" i="16"/>
  <c r="W2582" i="16"/>
  <c r="W90" i="16"/>
  <c r="W3011" i="16"/>
  <c r="W2313" i="16"/>
  <c r="W2277" i="16"/>
  <c r="W2276" i="16"/>
  <c r="W2445" i="16"/>
  <c r="W3030" i="16"/>
  <c r="W2688" i="16"/>
  <c r="W2393" i="16"/>
  <c r="W1598" i="16"/>
  <c r="W2422" i="16"/>
  <c r="W3014" i="16"/>
  <c r="W3128" i="16"/>
  <c r="W436" i="16"/>
  <c r="W683" i="16"/>
  <c r="W3352" i="16"/>
  <c r="W1495" i="16"/>
  <c r="W1520" i="16"/>
  <c r="W966" i="16"/>
  <c r="W3121" i="16"/>
  <c r="W3441" i="16"/>
  <c r="W492" i="16"/>
  <c r="W1439" i="16"/>
  <c r="W2715" i="16"/>
  <c r="W2817" i="16"/>
  <c r="W2399" i="16"/>
  <c r="W2860" i="16"/>
  <c r="W2469" i="16"/>
  <c r="W817" i="16"/>
  <c r="W885" i="16"/>
  <c r="W2527" i="16"/>
  <c r="W1980" i="16"/>
  <c r="W308" i="16"/>
  <c r="W3200" i="16"/>
  <c r="W1140" i="16"/>
  <c r="W3143" i="16"/>
  <c r="W398" i="16"/>
  <c r="W1120" i="16"/>
  <c r="W3002" i="16"/>
  <c r="W2394" i="16"/>
  <c r="W171" i="16"/>
  <c r="W1834" i="16"/>
  <c r="W965" i="16"/>
  <c r="W2943" i="16"/>
  <c r="W1537" i="16"/>
  <c r="W2703" i="16"/>
  <c r="W2319" i="16"/>
  <c r="W52" i="16"/>
  <c r="W1466" i="16"/>
  <c r="W1974" i="16"/>
  <c r="W3250" i="16"/>
  <c r="W3006" i="16"/>
  <c r="W319" i="16"/>
  <c r="W2783" i="16"/>
  <c r="W473" i="16"/>
  <c r="W2423" i="16"/>
  <c r="W1976" i="16"/>
  <c r="W1095" i="16"/>
  <c r="W2834" i="16"/>
  <c r="W1971" i="16"/>
  <c r="W2858" i="16"/>
  <c r="W1420" i="16"/>
  <c r="W687" i="16"/>
  <c r="W1850" i="16"/>
  <c r="W2475" i="16"/>
  <c r="W1609" i="16"/>
  <c r="W2220" i="16"/>
  <c r="W2790" i="16"/>
  <c r="W572" i="16"/>
  <c r="W1501" i="16"/>
  <c r="W642" i="16"/>
  <c r="W564" i="16"/>
  <c r="W2851" i="16"/>
  <c r="W889" i="16"/>
  <c r="W415" i="16"/>
  <c r="W2218" i="16"/>
  <c r="W829" i="16"/>
  <c r="W731" i="16"/>
  <c r="W1718" i="16"/>
  <c r="W2323" i="16"/>
  <c r="W2921" i="16"/>
  <c r="W2301" i="16"/>
  <c r="W1483" i="16"/>
  <c r="W2829" i="16"/>
  <c r="W1984" i="16"/>
  <c r="W131" i="16"/>
  <c r="W3305" i="16"/>
  <c r="W3125" i="16"/>
  <c r="W2861" i="16"/>
  <c r="W1871" i="16"/>
  <c r="W1274" i="16"/>
  <c r="W135" i="16"/>
  <c r="W1021" i="16"/>
  <c r="W1884" i="16"/>
  <c r="W1714" i="16"/>
  <c r="W484" i="16"/>
  <c r="W1375" i="16"/>
  <c r="W3208" i="16"/>
  <c r="W1702" i="16"/>
  <c r="W2575" i="16"/>
  <c r="W143" i="16"/>
  <c r="W3226" i="16"/>
  <c r="W2752" i="16"/>
  <c r="W2832" i="16"/>
  <c r="W1753" i="16"/>
  <c r="W1890" i="16"/>
  <c r="W2622" i="16"/>
  <c r="W1193" i="16"/>
  <c r="W1237" i="16"/>
  <c r="W72" i="16"/>
  <c r="W1184" i="16"/>
  <c r="W1042" i="16"/>
  <c r="W990" i="16"/>
  <c r="W2865" i="16"/>
  <c r="W381" i="16"/>
  <c r="W1936" i="16"/>
  <c r="W2515" i="16"/>
  <c r="W796" i="16"/>
  <c r="W2046" i="16"/>
  <c r="W1041" i="16"/>
  <c r="W2417" i="16"/>
  <c r="W414" i="16"/>
  <c r="W3422" i="16"/>
  <c r="W3342" i="16"/>
  <c r="W264" i="16"/>
  <c r="W1199" i="16"/>
  <c r="W858" i="16"/>
  <c r="W2022" i="16"/>
  <c r="W3530" i="16"/>
  <c r="W985" i="16"/>
  <c r="W2213" i="16"/>
  <c r="W1323" i="16"/>
  <c r="W2326" i="16"/>
  <c r="W2748" i="16"/>
  <c r="W423" i="16"/>
  <c r="W851" i="16"/>
  <c r="W933" i="16"/>
  <c r="W3365" i="16"/>
  <c r="W328" i="16"/>
  <c r="W2090" i="16"/>
  <c r="W3522" i="16"/>
  <c r="W188" i="16"/>
  <c r="W3354" i="16"/>
  <c r="W2136" i="16"/>
  <c r="W1745" i="16"/>
  <c r="W606" i="16"/>
  <c r="W2037" i="16"/>
  <c r="W2293" i="16"/>
  <c r="W3282" i="16"/>
  <c r="W750" i="16"/>
  <c r="W3474" i="16"/>
  <c r="W2474" i="16"/>
  <c r="W2539" i="16"/>
  <c r="W2151" i="16"/>
  <c r="W3151" i="16"/>
  <c r="W1723" i="16"/>
  <c r="W2128" i="16"/>
  <c r="W989" i="16"/>
  <c r="W321" i="16"/>
  <c r="W2940" i="16"/>
  <c r="W100" i="16"/>
  <c r="W183" i="16"/>
  <c r="W2754" i="16"/>
  <c r="W709" i="16"/>
  <c r="W1864" i="16"/>
  <c r="W804" i="16"/>
  <c r="W2363" i="16"/>
  <c r="W1418" i="16"/>
  <c r="W1671" i="16"/>
  <c r="W1780" i="16"/>
  <c r="W3040" i="16"/>
  <c r="W2733" i="16"/>
  <c r="W3446" i="16"/>
  <c r="W773" i="16"/>
  <c r="W1192" i="16"/>
  <c r="W457" i="16"/>
  <c r="W2875" i="16"/>
  <c r="W2769" i="16"/>
  <c r="W115" i="16"/>
  <c r="W1453" i="16"/>
  <c r="W1764" i="16"/>
  <c r="W3413" i="16"/>
  <c r="W1478" i="16"/>
  <c r="W2691" i="16"/>
  <c r="W3124" i="16"/>
  <c r="W2586" i="16"/>
  <c r="W943" i="16"/>
  <c r="W2350" i="16"/>
  <c r="W2492" i="16"/>
  <c r="W3307" i="16"/>
  <c r="W2772" i="16"/>
  <c r="W1279" i="16"/>
  <c r="W717" i="16"/>
  <c r="W1652" i="16"/>
  <c r="W2961" i="16"/>
  <c r="W1563" i="16"/>
  <c r="W2993" i="16"/>
  <c r="W1204" i="16"/>
  <c r="W2249" i="16"/>
  <c r="W3389" i="16"/>
  <c r="W3058" i="16"/>
  <c r="W1451" i="16"/>
  <c r="W3123" i="16"/>
  <c r="W511" i="16"/>
  <c r="W2509" i="16"/>
  <c r="W2583" i="16"/>
  <c r="W2918" i="16"/>
  <c r="W868" i="16"/>
  <c r="W1826" i="16"/>
  <c r="W427" i="16"/>
  <c r="W2182" i="16"/>
  <c r="W2396" i="16"/>
  <c r="W1852" i="16"/>
  <c r="W1415" i="16"/>
  <c r="W382" i="16"/>
  <c r="W2958" i="16"/>
  <c r="W2263" i="16"/>
  <c r="W3097" i="16"/>
  <c r="W2247" i="16"/>
  <c r="W2010" i="16"/>
  <c r="W1689" i="16"/>
  <c r="W1983" i="16"/>
  <c r="W2339" i="16"/>
  <c r="W2908" i="16"/>
  <c r="W574" i="16"/>
  <c r="W2285" i="16"/>
  <c r="W832" i="16"/>
  <c r="W1994" i="16"/>
  <c r="W708" i="16"/>
  <c r="W2203" i="16"/>
  <c r="W898" i="16"/>
  <c r="W3290" i="16"/>
  <c r="W3266" i="16"/>
  <c r="W1822" i="16"/>
  <c r="W1990" i="16"/>
  <c r="W2357" i="16"/>
  <c r="W2158" i="16"/>
  <c r="W2138" i="16"/>
  <c r="W1531" i="16"/>
  <c r="W927" i="16"/>
  <c r="W1351" i="16"/>
  <c r="W1348" i="16"/>
  <c r="W2521" i="16"/>
  <c r="W3439" i="16"/>
  <c r="W2736" i="16"/>
  <c r="W2442" i="16"/>
  <c r="W1003" i="16"/>
  <c r="W1022" i="16"/>
  <c r="W3495" i="16"/>
  <c r="W3108" i="16"/>
  <c r="W108" i="16"/>
  <c r="W1065" i="16"/>
  <c r="W1090" i="16"/>
  <c r="W3023" i="16"/>
  <c r="W803" i="16"/>
  <c r="W2559" i="16"/>
  <c r="W3199" i="16"/>
  <c r="W1567" i="16"/>
  <c r="W1901" i="16"/>
  <c r="W1334" i="16"/>
  <c r="W2773" i="16"/>
  <c r="W1751" i="16"/>
  <c r="W3361" i="16"/>
  <c r="W1071" i="16"/>
  <c r="W2438" i="16"/>
  <c r="W809" i="16"/>
  <c r="W432" i="16"/>
  <c r="W2672" i="16"/>
  <c r="W2821" i="16"/>
  <c r="W3398" i="16"/>
  <c r="W3095" i="16"/>
  <c r="W1547" i="16"/>
  <c r="W2886" i="16"/>
  <c r="W1101" i="16"/>
  <c r="W1116" i="16"/>
  <c r="W3253" i="16"/>
  <c r="W1950" i="16"/>
  <c r="W1208" i="16"/>
  <c r="W2173" i="16"/>
  <c r="W491" i="16"/>
  <c r="W3489" i="16"/>
  <c r="W463" i="16"/>
  <c r="W3265" i="16"/>
  <c r="W482" i="16"/>
  <c r="W3269" i="16"/>
  <c r="W2300" i="16"/>
  <c r="W1583" i="16"/>
  <c r="W1993" i="16"/>
  <c r="W3131" i="16"/>
  <c r="W2627" i="16"/>
  <c r="W1550" i="16"/>
  <c r="W2130" i="16"/>
  <c r="W1879" i="16"/>
  <c r="W666" i="16"/>
  <c r="W1568" i="16"/>
  <c r="W2019" i="16"/>
  <c r="W649" i="16"/>
  <c r="W932" i="16"/>
  <c r="W1219" i="16"/>
  <c r="W2502" i="16"/>
  <c r="W3465" i="16"/>
  <c r="W336" i="16"/>
  <c r="W3192" i="16"/>
  <c r="W371" i="16"/>
  <c r="W3376" i="16"/>
  <c r="W3406" i="16"/>
  <c r="W1970" i="16"/>
  <c r="W700" i="16"/>
  <c r="W2920" i="16"/>
  <c r="W238" i="16"/>
  <c r="W497" i="16"/>
  <c r="W1406" i="16"/>
  <c r="W2747" i="16"/>
  <c r="W2774" i="16"/>
  <c r="W3315" i="16"/>
  <c r="W342" i="16"/>
  <c r="W3045" i="16"/>
  <c r="W1796" i="16"/>
  <c r="W277" i="16"/>
  <c r="W530" i="16"/>
  <c r="W1959" i="16"/>
  <c r="W2716" i="16"/>
  <c r="W748" i="16"/>
  <c r="W627" i="16"/>
  <c r="W2011" i="16"/>
  <c r="W622" i="16"/>
  <c r="W632" i="16"/>
  <c r="W655" i="16"/>
  <c r="W2947" i="16"/>
  <c r="W2776" i="16"/>
  <c r="W269" i="16"/>
  <c r="W396" i="16"/>
  <c r="W283" i="16"/>
  <c r="W1106" i="16"/>
  <c r="W3160" i="16"/>
  <c r="W597" i="16"/>
  <c r="W1665" i="16"/>
  <c r="W2572" i="16"/>
  <c r="W2342" i="16"/>
  <c r="W1129" i="16"/>
  <c r="W1943" i="16"/>
  <c r="W3140" i="16"/>
  <c r="W2557" i="16"/>
  <c r="W2520" i="16"/>
  <c r="W3087" i="16"/>
  <c r="W399" i="16"/>
  <c r="W3445" i="16"/>
  <c r="W1172" i="16"/>
  <c r="W645" i="16"/>
  <c r="W2653" i="16"/>
  <c r="W2856" i="16"/>
  <c r="W2171" i="16"/>
  <c r="W1997" i="16"/>
  <c r="W1399" i="16"/>
  <c r="W3190" i="16"/>
  <c r="W3355" i="16"/>
  <c r="W1013" i="16"/>
  <c r="W3232" i="16"/>
  <c r="W3015" i="16"/>
  <c r="W719" i="16"/>
  <c r="W2295" i="16"/>
  <c r="W2122" i="16"/>
  <c r="W2430" i="16"/>
  <c r="W1640" i="16"/>
  <c r="W873" i="16"/>
  <c r="W1146" i="16"/>
  <c r="W1113" i="16"/>
  <c r="W94" i="16"/>
  <c r="W1024" i="16"/>
  <c r="W1916" i="16"/>
  <c r="W3370" i="16"/>
  <c r="W1747" i="16"/>
  <c r="W1759" i="16"/>
  <c r="W2545" i="16"/>
  <c r="W1339" i="16"/>
  <c r="W3181" i="16"/>
  <c r="W3395" i="16"/>
  <c r="W713" i="16"/>
  <c r="W118" i="16"/>
  <c r="W1497" i="16"/>
  <c r="W3175" i="16"/>
  <c r="W1551" i="16"/>
  <c r="W32" i="16"/>
  <c r="W2016" i="16"/>
  <c r="W1147" i="16"/>
  <c r="W499" i="16"/>
  <c r="W1460" i="16"/>
  <c r="W82" i="16"/>
  <c r="W1031" i="16"/>
  <c r="W2992" i="16"/>
  <c r="W22" i="16"/>
  <c r="W1938" i="16"/>
  <c r="W3292" i="16"/>
  <c r="W2141" i="16"/>
  <c r="W2279" i="16"/>
  <c r="W2565" i="16"/>
  <c r="W867" i="16"/>
  <c r="W316" i="16"/>
  <c r="W2910" i="16"/>
  <c r="W257" i="16"/>
  <c r="W1154" i="16"/>
  <c r="W2836" i="16"/>
  <c r="W921" i="16"/>
  <c r="W170" i="16"/>
  <c r="W522" i="16"/>
  <c r="W1231" i="16"/>
  <c r="W2850" i="16"/>
  <c r="W30" i="16"/>
  <c r="W3537" i="16"/>
  <c r="W826" i="16"/>
  <c r="W833" i="16"/>
  <c r="W1527" i="16"/>
  <c r="W157" i="16"/>
  <c r="W1995" i="16"/>
  <c r="W2458" i="16"/>
  <c r="W1044" i="16"/>
  <c r="W272" i="16"/>
  <c r="W3386" i="16"/>
  <c r="W3155" i="16"/>
  <c r="W1105" i="16"/>
  <c r="W984" i="16"/>
  <c r="W2335" i="16"/>
  <c r="W204" i="16"/>
  <c r="W853" i="16"/>
  <c r="W2231" i="16"/>
  <c r="W3417" i="16"/>
  <c r="W570" i="16"/>
  <c r="W3213" i="16"/>
  <c r="W1023" i="16"/>
  <c r="W1619" i="16"/>
  <c r="W173" i="16"/>
  <c r="W3426" i="16"/>
  <c r="W1504" i="16"/>
  <c r="W2580" i="16"/>
  <c r="W3384" i="16"/>
  <c r="W2710" i="16"/>
  <c r="W774" i="16"/>
  <c r="W1056" i="16"/>
  <c r="W2880" i="16"/>
  <c r="W2665" i="16"/>
  <c r="W2626" i="16"/>
  <c r="W940" i="16"/>
  <c r="W25" i="16"/>
  <c r="W1329" i="16"/>
  <c r="W912" i="16"/>
  <c r="W1646" i="16"/>
  <c r="W1344" i="16"/>
  <c r="W755" i="16"/>
  <c r="W1381" i="16"/>
  <c r="W2030" i="16"/>
  <c r="W2585" i="16"/>
  <c r="W1480" i="16"/>
  <c r="W2767" i="16"/>
  <c r="W2409" i="16"/>
  <c r="W1094" i="16"/>
  <c r="W3364" i="16"/>
  <c r="W1954" i="16"/>
  <c r="W2105" i="16"/>
  <c r="W3172" i="16"/>
  <c r="W3368" i="16"/>
  <c r="W656" i="16"/>
  <c r="W117" i="16"/>
  <c r="W217" i="16"/>
  <c r="W695" i="16"/>
  <c r="W2795" i="16"/>
  <c r="W582" i="16"/>
  <c r="W2555" i="16"/>
  <c r="W310" i="16"/>
  <c r="W1143" i="16"/>
  <c r="W2761" i="16"/>
  <c r="W125" i="16"/>
  <c r="W2620" i="16"/>
  <c r="W1289" i="16"/>
  <c r="W3452" i="16"/>
  <c r="W2738" i="16"/>
  <c r="W2118" i="16"/>
  <c r="W1705" i="16"/>
  <c r="W3254" i="16"/>
  <c r="W3312" i="16"/>
  <c r="W2625" i="16"/>
  <c r="W3163" i="16"/>
  <c r="W442" i="16"/>
  <c r="W1688" i="16"/>
  <c r="W1452" i="16"/>
  <c r="W1431" i="16"/>
  <c r="W1183" i="16"/>
  <c r="W1262" i="16"/>
  <c r="W538" i="16"/>
  <c r="W3152" i="16"/>
  <c r="W2408" i="16"/>
  <c r="W2878" i="16"/>
  <c r="W1978" i="16"/>
  <c r="W1641" i="16"/>
  <c r="W2345" i="16"/>
  <c r="W2144" i="16"/>
  <c r="W197" i="16"/>
  <c r="W3432" i="16"/>
  <c r="W337" i="16"/>
  <c r="W2431" i="16"/>
  <c r="W1885" i="16"/>
  <c r="W141" i="16"/>
  <c r="W2631" i="16"/>
  <c r="W639" i="16"/>
  <c r="W2068" i="16"/>
  <c r="W338" i="16"/>
  <c r="W1305" i="16"/>
  <c r="W2938" i="16"/>
  <c r="W2499" i="16"/>
  <c r="W3237" i="16"/>
  <c r="W3132" i="16"/>
  <c r="W164" i="16"/>
  <c r="W1224" i="16"/>
  <c r="W3173" i="16"/>
  <c r="W2092" i="16"/>
  <c r="W3102" i="16"/>
  <c r="W3024" i="16"/>
  <c r="W2148" i="16"/>
  <c r="W2119" i="16"/>
  <c r="W3456" i="16"/>
  <c r="W1715" i="16"/>
  <c r="W1613" i="16"/>
  <c r="W327" i="16"/>
  <c r="W1580" i="16"/>
  <c r="W1185" i="16"/>
  <c r="W2785" i="16"/>
  <c r="W109" i="16"/>
  <c r="W960" i="16"/>
  <c r="W130" i="16"/>
  <c r="W2953" i="16"/>
  <c r="W1310" i="16"/>
  <c r="W1475" i="16"/>
  <c r="W1680" i="16"/>
  <c r="W1774" i="16"/>
  <c r="W1267" i="16"/>
  <c r="W3499" i="16"/>
  <c r="W2403" i="16"/>
  <c r="W2280" i="16"/>
  <c r="W959" i="16"/>
  <c r="W1593" i="16"/>
  <c r="W1077" i="16"/>
  <c r="W2243" i="16"/>
  <c r="W2751" i="16"/>
  <c r="W551" i="16"/>
  <c r="W1058" i="16"/>
  <c r="W593" i="16"/>
  <c r="W3187" i="16"/>
  <c r="W2884" i="16"/>
  <c r="W31" i="16"/>
  <c r="W2718" i="16"/>
  <c r="W720" i="16"/>
  <c r="W2205" i="16"/>
  <c r="W124" i="16"/>
  <c r="W2581" i="16"/>
  <c r="W1511" i="16"/>
  <c r="W3351" i="16"/>
  <c r="W2885" i="16"/>
  <c r="W1896" i="16"/>
  <c r="W98" i="16"/>
  <c r="W995" i="16"/>
  <c r="W2334" i="16"/>
  <c r="W1681" i="16"/>
  <c r="W3052" i="16"/>
  <c r="W1104" i="16"/>
  <c r="W162" i="16"/>
  <c r="W446" i="16"/>
  <c r="W2576" i="16"/>
  <c r="W2623" i="16"/>
  <c r="W1045" i="16"/>
  <c r="W2879" i="16"/>
  <c r="W525" i="16"/>
  <c r="W2825" i="16"/>
  <c r="W788" i="16"/>
  <c r="W845" i="16"/>
  <c r="W460" i="16"/>
  <c r="W2608" i="16"/>
  <c r="W452" i="16"/>
  <c r="W1456" i="16"/>
  <c r="W1187" i="16"/>
  <c r="W2614" i="16"/>
  <c r="W469" i="16"/>
  <c r="W1364" i="16"/>
  <c r="W1778" i="16"/>
  <c r="W1085" i="16"/>
  <c r="W2254" i="16"/>
  <c r="W2208" i="16"/>
  <c r="W1134" i="16"/>
  <c r="W422" i="16"/>
  <c r="W3116" i="16"/>
  <c r="W1306" i="16"/>
  <c r="W724" i="16"/>
  <c r="W121" i="16"/>
  <c r="W786" i="16"/>
  <c r="W1388" i="16"/>
  <c r="W2228" i="16"/>
  <c r="W2690" i="16"/>
  <c r="W556" i="16"/>
  <c r="W819" i="16"/>
  <c r="W1377" i="16"/>
  <c r="W3350" i="16"/>
  <c r="W2510" i="16"/>
  <c r="W2764" i="16"/>
  <c r="W1132" i="16"/>
  <c r="W3435" i="16"/>
  <c r="W1632" i="16"/>
  <c r="W291" i="16"/>
  <c r="W1235" i="16"/>
  <c r="W2838" i="16"/>
  <c r="W434" i="16"/>
  <c r="W139" i="16"/>
  <c r="W1091" i="16"/>
  <c r="W583" i="16"/>
  <c r="W2095" i="16"/>
  <c r="W282" i="16"/>
  <c r="W2443" i="16"/>
  <c r="W3228" i="16"/>
  <c r="W1862" i="16"/>
  <c r="W205" i="16"/>
  <c r="W527" i="16"/>
  <c r="W2257" i="16"/>
  <c r="W3277" i="16"/>
  <c r="W2049" i="16"/>
  <c r="W2722" i="16"/>
  <c r="W1661" i="16"/>
  <c r="W2732" i="16"/>
  <c r="W2235" i="16"/>
  <c r="W93" i="16"/>
  <c r="W721" i="16"/>
  <c r="W1311" i="16"/>
  <c r="W1554" i="16"/>
  <c r="W294" i="16"/>
  <c r="W2183" i="16"/>
  <c r="W372" i="16"/>
  <c r="W1800" i="16"/>
  <c r="W1484" i="16"/>
  <c r="W1250" i="16"/>
  <c r="W1016" i="16"/>
  <c r="W634" i="16"/>
  <c r="W2062" i="16"/>
  <c r="W3139" i="16"/>
  <c r="W80" i="16"/>
  <c r="W2113" i="16"/>
  <c r="W2669" i="16"/>
  <c r="W1054" i="16"/>
  <c r="W2005" i="16"/>
  <c r="W138" i="16"/>
  <c r="W3348" i="16"/>
  <c r="W23" i="16"/>
  <c r="W2215" i="16"/>
  <c r="W2594" i="16"/>
  <c r="W753" i="16"/>
  <c r="W1486" i="16"/>
  <c r="W1295" i="16"/>
  <c r="W2959" i="16"/>
  <c r="W3183" i="16"/>
  <c r="W2134" i="16"/>
  <c r="W1108" i="16"/>
  <c r="W3330" i="16"/>
  <c r="W1019" i="16"/>
  <c r="W76" i="16"/>
  <c r="W1151" i="16"/>
  <c r="W2536" i="16"/>
  <c r="W1374" i="16"/>
  <c r="W856" i="16"/>
  <c r="W2550" i="16"/>
  <c r="W3503" i="16"/>
  <c r="W1736" i="16"/>
  <c r="W1008" i="16"/>
  <c r="W2657" i="16"/>
  <c r="W3281" i="16"/>
  <c r="W3390" i="16"/>
  <c r="W174" i="16"/>
  <c r="W211" i="16"/>
  <c r="W1713" i="16"/>
  <c r="W1731" i="16"/>
  <c r="W621" i="16"/>
  <c r="W1858" i="16"/>
  <c r="W2796" i="16"/>
  <c r="W607" i="16"/>
  <c r="W1703" i="16"/>
  <c r="W1328" i="16"/>
  <c r="W895" i="16"/>
  <c r="W696" i="16"/>
  <c r="W2737" i="16"/>
  <c r="W1088" i="16"/>
  <c r="W2024" i="16"/>
  <c r="W2941" i="16"/>
  <c r="W876" i="16"/>
  <c r="W2174" i="16"/>
  <c r="W1841" i="16"/>
  <c r="W3531" i="16"/>
  <c r="W144" i="16"/>
  <c r="W1349" i="16"/>
  <c r="W907" i="16"/>
  <c r="W43" i="16"/>
  <c r="W988" i="16"/>
  <c r="W1053" i="16"/>
  <c r="W2328" i="16"/>
  <c r="W300" i="16"/>
  <c r="W2540" i="16"/>
  <c r="W1913" i="16"/>
  <c r="W874" i="16"/>
  <c r="W241" i="16"/>
  <c r="W580" i="16"/>
  <c r="W2444" i="16"/>
  <c r="W3070" i="16"/>
  <c r="W3271" i="16"/>
  <c r="W1206" i="16"/>
  <c r="W2269" i="16"/>
  <c r="W981" i="16"/>
  <c r="W3480" i="16"/>
  <c r="W3068" i="16"/>
  <c r="W2780" i="16"/>
  <c r="W3122" i="16"/>
  <c r="W1911" i="16"/>
  <c r="W1868" i="16"/>
  <c r="W418" i="16"/>
  <c r="W3453" i="16"/>
  <c r="W2532" i="16"/>
  <c r="W1578" i="16"/>
  <c r="W646" i="16"/>
  <c r="W2006" i="16"/>
  <c r="W258" i="16"/>
  <c r="W3205" i="16"/>
  <c r="W637" i="16"/>
  <c r="W1711" i="16"/>
  <c r="W2963" i="16"/>
  <c r="W1770" i="16"/>
  <c r="W1293" i="16"/>
  <c r="W2245" i="16"/>
  <c r="W1655" i="16"/>
  <c r="W1985" i="16"/>
  <c r="W2221" i="16"/>
  <c r="W304" i="16"/>
  <c r="W1847" i="16"/>
  <c r="W1624" i="16"/>
  <c r="W1402" i="16"/>
  <c r="W1371" i="16"/>
  <c r="W116" i="16"/>
  <c r="W1412" i="16"/>
  <c r="W1066" i="16"/>
  <c r="W2355" i="16"/>
  <c r="W2255" i="16"/>
  <c r="W920" i="16"/>
  <c r="W2480" i="16"/>
  <c r="W3415" i="16"/>
  <c r="W447" i="16"/>
  <c r="W335" i="16"/>
  <c r="W479" i="16"/>
  <c r="W24" i="16"/>
  <c r="W1073" i="16"/>
  <c r="W455" i="16"/>
  <c r="W901" i="16"/>
  <c r="W2789" i="16"/>
  <c r="W3037" i="16"/>
  <c r="W3297" i="16"/>
  <c r="W284" i="16"/>
  <c r="W631" i="16"/>
  <c r="W1836" i="16"/>
  <c r="W1937" i="16"/>
  <c r="W485" i="16"/>
  <c r="W1119" i="16"/>
  <c r="W1467" i="16"/>
  <c r="W1072" i="16"/>
  <c r="W1839" i="16"/>
  <c r="W1534" i="16"/>
  <c r="W663" i="16"/>
  <c r="W306" i="16"/>
  <c r="W1360" i="16"/>
  <c r="W2477" i="16"/>
  <c r="W675" i="16"/>
  <c r="W166" i="16"/>
  <c r="W1612" i="16"/>
  <c r="W1142" i="16"/>
  <c r="W3185" i="16"/>
  <c r="W252" i="16"/>
  <c r="W3029" i="16"/>
  <c r="W1270" i="16"/>
  <c r="W2246" i="16"/>
  <c r="W113" i="16"/>
  <c r="W3284" i="16"/>
  <c r="W528" i="16"/>
  <c r="W2434" i="16"/>
  <c r="W3467" i="16"/>
  <c r="W1863" i="16"/>
  <c r="W1962" i="16"/>
  <c r="W2913" i="16"/>
  <c r="W1513" i="16"/>
  <c r="W1265" i="16"/>
  <c r="W2646" i="16"/>
  <c r="W3078" i="16"/>
  <c r="W1820" i="16"/>
  <c r="W3038" i="16"/>
  <c r="W3209" i="16"/>
  <c r="W3162" i="16"/>
  <c r="W3544" i="16"/>
  <c r="W364" i="16"/>
  <c r="W2656" i="16"/>
  <c r="W3448" i="16"/>
  <c r="W1519" i="16"/>
  <c r="W3486" i="16"/>
  <c r="W2711" i="16"/>
  <c r="W3472" i="16"/>
  <c r="W1837" i="16"/>
  <c r="W89" i="16"/>
  <c r="W726" i="16"/>
  <c r="W424" i="16"/>
  <c r="W2265" i="16"/>
  <c r="W429" i="16"/>
  <c r="W3201" i="16"/>
  <c r="W605" i="16"/>
  <c r="W1768" i="16"/>
  <c r="W3371" i="16"/>
  <c r="W221" i="16"/>
  <c r="W862" i="16"/>
  <c r="W578" i="16"/>
  <c r="W1087" i="16"/>
  <c r="W2706" i="16"/>
  <c r="W466" i="16"/>
  <c r="W565" i="16"/>
  <c r="W1545" i="16"/>
  <c r="W1052" i="16"/>
  <c r="W1302" i="16"/>
  <c r="W182" i="16"/>
  <c r="W3488" i="16"/>
  <c r="W2934" i="16"/>
  <c r="W1666" i="16"/>
  <c r="W3423" i="16"/>
  <c r="W288" i="16"/>
  <c r="W2261" i="16"/>
  <c r="W488" i="16"/>
  <c r="W2098" i="16"/>
  <c r="W1186" i="16"/>
  <c r="W2907" i="16"/>
  <c r="W2184" i="16"/>
  <c r="W1866" i="16"/>
  <c r="W783" i="16"/>
  <c r="W1448" i="16"/>
  <c r="W226" i="16"/>
  <c r="W1725" i="16"/>
  <c r="W378" i="16"/>
  <c r="W1842" i="16"/>
  <c r="W842" i="16"/>
  <c r="W2225" i="16"/>
  <c r="W444" i="16"/>
  <c r="W974" i="16"/>
  <c r="W1620" i="16"/>
  <c r="W292" i="16"/>
  <c r="W405" i="16"/>
  <c r="W1799" i="16"/>
  <c r="W2649" i="16"/>
  <c r="W2813" i="16"/>
  <c r="W875" i="16"/>
  <c r="W209" i="16"/>
  <c r="W2327" i="16"/>
  <c r="W1634" i="16"/>
  <c r="W2045" i="16"/>
  <c r="W334" i="16"/>
  <c r="W2991" i="16"/>
  <c r="W2745" i="16"/>
  <c r="W2316" i="16"/>
  <c r="W66" i="16"/>
  <c r="W2126" i="16"/>
  <c r="W3397" i="16"/>
  <c r="W1564" i="16"/>
  <c r="W3054" i="16"/>
  <c r="W568" i="16"/>
  <c r="W947" i="16"/>
  <c r="W2466" i="16"/>
  <c r="W1579" i="16"/>
  <c r="W609" i="16"/>
  <c r="W400" i="16"/>
  <c r="W518" i="16"/>
  <c r="W3047" i="16"/>
  <c r="W2633" i="16"/>
  <c r="W547" i="16"/>
  <c r="W3204" i="16"/>
  <c r="W3077" i="16"/>
  <c r="W3031" i="16"/>
  <c r="W2966" i="16"/>
  <c r="W2876" i="16"/>
  <c r="W701" i="16"/>
  <c r="W206" i="16"/>
  <c r="W299" i="16"/>
  <c r="W213" i="16"/>
  <c r="W1697" i="16"/>
  <c r="W925" i="16"/>
  <c r="W1405" i="16"/>
  <c r="W260" i="16"/>
  <c r="W2611" i="16"/>
  <c r="W936" i="16"/>
  <c r="W3148" i="16"/>
  <c r="W120" i="16"/>
  <c r="W2385" i="16"/>
  <c r="W3541" i="16"/>
  <c r="W857" i="16"/>
  <c r="W375" i="16"/>
  <c r="W3508" i="16"/>
  <c r="W972" i="16"/>
  <c r="W2284" i="16"/>
  <c r="W790" i="16"/>
  <c r="W2806" i="16"/>
  <c r="W1476" i="16"/>
  <c r="W2121" i="16"/>
  <c r="W991" i="16"/>
  <c r="W3529" i="16"/>
  <c r="W1577" i="16"/>
  <c r="W2798" i="16"/>
  <c r="W1589" i="16"/>
  <c r="W1118" i="16"/>
  <c r="W1191" i="16"/>
  <c r="W1766" i="16"/>
  <c r="W1719" i="16"/>
  <c r="W3086" i="16"/>
  <c r="W3076" i="16"/>
  <c r="W2707" i="16"/>
  <c r="W2107" i="16"/>
  <c r="W3257" i="16"/>
  <c r="W1677" i="16"/>
  <c r="W2713" i="16"/>
  <c r="W911" i="16"/>
  <c r="W963" i="16"/>
  <c r="W1819" i="16"/>
  <c r="W1092" i="16"/>
  <c r="W1548" i="16"/>
  <c r="W1117" i="16"/>
  <c r="W697" i="16"/>
  <c r="W437" i="16"/>
  <c r="W1068" i="16"/>
  <c r="W2287" i="16"/>
  <c r="W633" i="16"/>
  <c r="W3323" i="16"/>
  <c r="W3195" i="16"/>
  <c r="W2110" i="16"/>
  <c r="W2845" i="16"/>
  <c r="W3280" i="16"/>
  <c r="W1625" i="16"/>
  <c r="W1188" i="16"/>
  <c r="W543" i="16"/>
  <c r="W765" i="16"/>
  <c r="W384" i="16"/>
  <c r="W1546" i="16"/>
  <c r="W3409" i="16"/>
  <c r="W604" i="16"/>
  <c r="W3260" i="16"/>
  <c r="W477" i="16"/>
  <c r="W1525" i="16"/>
  <c r="W2650" i="16"/>
  <c r="W3275" i="16"/>
  <c r="W741" i="16"/>
  <c r="W1217" i="16"/>
  <c r="W1123" i="16"/>
  <c r="W3524" i="16"/>
  <c r="W1581" i="16"/>
  <c r="W369" i="16"/>
  <c r="W841" i="16"/>
  <c r="W3287" i="16"/>
  <c r="W84" i="16"/>
  <c r="W3221" i="16"/>
  <c r="W2700" i="16"/>
  <c r="W3184" i="16"/>
  <c r="W227" i="16"/>
  <c r="W3229" i="16"/>
  <c r="W2296" i="16"/>
  <c r="W1696" i="16"/>
  <c r="W1973" i="16"/>
  <c r="W1909" i="16"/>
  <c r="W784" i="16"/>
  <c r="W1261" i="16"/>
  <c r="W3026" i="16"/>
  <c r="W2029" i="16"/>
  <c r="W1211" i="16"/>
  <c r="W1535" i="16"/>
  <c r="W1988" i="16"/>
  <c r="W1586" i="16"/>
  <c r="W880" i="16"/>
  <c r="W1650" i="16"/>
  <c r="W1127" i="16"/>
  <c r="W1082" i="16"/>
  <c r="W2226" i="16"/>
  <c r="W1345" i="16"/>
  <c r="W1006" i="16"/>
  <c r="W68" i="16"/>
  <c r="W3179" i="16"/>
  <c r="W619" i="16"/>
  <c r="W1603" i="16"/>
  <c r="W45" i="16"/>
  <c r="W2462" i="16"/>
  <c r="W2561" i="16"/>
  <c r="W3367" i="16"/>
  <c r="W2157" i="16"/>
  <c r="W2460" i="16"/>
  <c r="W1220" i="16"/>
  <c r="W1376" i="16"/>
  <c r="W864" i="16"/>
  <c r="W2060" i="16"/>
  <c r="W1294" i="16"/>
  <c r="W614" i="16"/>
  <c r="W3089" i="16"/>
  <c r="W1526" i="16"/>
  <c r="W2058" i="16"/>
  <c r="W681" i="16"/>
  <c r="W1110" i="16"/>
  <c r="W1215" i="16"/>
  <c r="W2450" i="16"/>
  <c r="W1849" i="16"/>
  <c r="W2830" i="16"/>
  <c r="W331" i="16"/>
  <c r="W623" i="16"/>
  <c r="W2428" i="16"/>
  <c r="W2333" i="16"/>
  <c r="W975" i="16"/>
  <c r="W3035" i="16"/>
  <c r="W475" i="16"/>
  <c r="W625" i="16"/>
  <c r="W3067" i="16"/>
  <c r="W1157" i="16"/>
  <c r="W111" i="16"/>
  <c r="W533" i="16"/>
  <c r="W1518" i="16"/>
  <c r="W1910" i="16"/>
  <c r="W2965" i="16"/>
  <c r="W2146" i="16"/>
  <c r="W2552" i="16"/>
  <c r="W1865" i="16"/>
  <c r="W181" i="16"/>
  <c r="W1998" i="16"/>
  <c r="W389" i="16"/>
  <c r="W1601" i="16"/>
  <c r="W20" i="16"/>
  <c r="W2072" i="16"/>
  <c r="W1508" i="16"/>
  <c r="W1482" i="16"/>
  <c r="W610" i="16"/>
  <c r="W3433" i="16"/>
  <c r="W2661" i="16"/>
  <c r="W3248" i="16"/>
  <c r="W495" i="16"/>
  <c r="W600" i="16"/>
  <c r="W215" i="16"/>
  <c r="W1637" i="16"/>
  <c r="W2658" i="16"/>
  <c r="W2441" i="16"/>
  <c r="W1150" i="16"/>
  <c r="W2800" i="16"/>
  <c r="W1457" i="16"/>
  <c r="W1216" i="16"/>
  <c r="W2419" i="16"/>
  <c r="W3466" i="16"/>
  <c r="W2248" i="16"/>
  <c r="W2975" i="16"/>
  <c r="W99" i="16"/>
  <c r="W996" i="16"/>
  <c r="W2642" i="16"/>
  <c r="W1426" i="16"/>
  <c r="W2400" i="16"/>
  <c r="W3217" i="16"/>
  <c r="W665" i="16"/>
  <c r="W386" i="16"/>
  <c r="W1895" i="16"/>
  <c r="W1430" i="16"/>
  <c r="W104" i="16"/>
  <c r="W358" i="16"/>
  <c r="W3442" i="16"/>
  <c r="W954" i="16"/>
  <c r="W220" i="16"/>
  <c r="W2336" i="16"/>
  <c r="W3483" i="16"/>
  <c r="W1135" i="16"/>
  <c r="W383" i="16"/>
  <c r="W2659" i="16"/>
  <c r="W930" i="16"/>
  <c r="W1227" i="16"/>
  <c r="W3263" i="16"/>
  <c r="W1357" i="16"/>
  <c r="W2311" i="16"/>
  <c r="W127" i="16"/>
  <c r="W2948" i="16"/>
  <c r="W2135" i="16"/>
  <c r="W3337" i="16"/>
  <c r="W971" i="16"/>
  <c r="W3473" i="16"/>
  <c r="W1229" i="16"/>
  <c r="W946" i="16"/>
  <c r="W148" i="16"/>
  <c r="W2794" i="16"/>
  <c r="W1051" i="16"/>
  <c r="W3094" i="16"/>
  <c r="W490" i="16"/>
  <c r="W2102" i="16"/>
  <c r="W2666" i="16"/>
  <c r="W1797" i="16"/>
  <c r="W811" i="16"/>
  <c r="W1658" i="16"/>
  <c r="W1912" i="16"/>
  <c r="W1103" i="16"/>
  <c r="W1122" i="16"/>
  <c r="W3449" i="16"/>
  <c r="W2230" i="16"/>
  <c r="W464" i="16"/>
  <c r="W1979" i="16"/>
  <c r="W2662" i="16"/>
  <c r="W1034" i="16"/>
  <c r="W1645" i="16"/>
  <c r="W2867" i="16"/>
  <c r="W3136" i="16"/>
  <c r="W2619" i="16"/>
  <c r="W1447" i="16"/>
  <c r="W2353" i="16"/>
  <c r="W1757" i="16"/>
  <c r="W1660" i="16"/>
  <c r="W2556" i="16"/>
  <c r="W555" i="16"/>
  <c r="W2169" i="16"/>
  <c r="W973" i="16"/>
  <c r="W1040" i="16"/>
  <c r="W2899" i="16"/>
  <c r="W2697" i="16"/>
  <c r="W1875" i="16"/>
  <c r="W777" i="16"/>
  <c r="W1831" i="16"/>
  <c r="W2314" i="16"/>
  <c r="W694" i="16"/>
  <c r="W1079" i="16"/>
  <c r="W3239" i="16"/>
  <c r="W1350" i="16"/>
  <c r="W1830" i="16"/>
  <c r="W1280" i="16"/>
  <c r="W992" i="16"/>
  <c r="W2651" i="16"/>
  <c r="W1882" i="16"/>
  <c r="W2709" i="16"/>
  <c r="W29" i="16"/>
  <c r="W3293" i="16"/>
  <c r="W309" i="16"/>
  <c r="W588" i="16"/>
  <c r="W2801" i="16"/>
  <c r="W60" i="16"/>
  <c r="W3484" i="16"/>
  <c r="W2955" i="16"/>
  <c r="W1542" i="16"/>
  <c r="W406" i="16"/>
  <c r="W3521" i="16"/>
  <c r="W615" i="16"/>
  <c r="W3235" i="16"/>
  <c r="W554" i="16"/>
  <c r="W2503" i="16"/>
  <c r="W2853" i="16"/>
  <c r="W2634" i="16"/>
  <c r="W1240" i="16"/>
  <c r="W2085" i="16"/>
  <c r="W611" i="16"/>
  <c r="W1322" i="16"/>
  <c r="W2762" i="16"/>
  <c r="W3072" i="16"/>
  <c r="W1138" i="16"/>
  <c r="W223" i="16"/>
  <c r="W237" i="16"/>
  <c r="W1421" i="16"/>
  <c r="W318" i="16"/>
  <c r="W360" i="16"/>
  <c r="W800" i="16"/>
  <c r="W1794" i="16"/>
  <c r="W1083" i="16"/>
  <c r="W1801" i="16"/>
  <c r="W3358" i="16"/>
  <c r="W2497" i="16"/>
  <c r="W3431" i="16"/>
  <c r="W1214" i="16"/>
  <c r="W301" i="16"/>
  <c r="W195" i="16"/>
  <c r="W3167" i="16"/>
  <c r="W1741" i="16"/>
  <c r="W1254" i="16"/>
  <c r="W3514" i="16"/>
  <c r="W620" i="16"/>
  <c r="W2365" i="16"/>
  <c r="W540" i="16"/>
  <c r="W132" i="16"/>
  <c r="W3494" i="16"/>
  <c r="W1249" i="16"/>
  <c r="W2348" i="16"/>
  <c r="W861" i="16"/>
  <c r="W3447" i="16"/>
  <c r="W2723" i="16"/>
  <c r="W2815" i="16"/>
  <c r="W2371" i="16"/>
  <c r="W544" i="16"/>
  <c r="W978" i="16"/>
  <c r="W691" i="16"/>
  <c r="W2099" i="16"/>
  <c r="W2632" i="16"/>
  <c r="W1529" i="16"/>
  <c r="W480" i="16"/>
  <c r="W1663" i="16"/>
  <c r="W1561" i="16"/>
  <c r="W2562" i="16"/>
  <c r="W2013" i="16"/>
  <c r="W2370" i="16"/>
  <c r="W63" i="16"/>
  <c r="W1709" i="16"/>
  <c r="W1750" i="16"/>
  <c r="W456" i="16"/>
  <c r="W587" i="16"/>
  <c r="W1502" i="16"/>
  <c r="W1776" i="16"/>
  <c r="W1628" i="16"/>
  <c r="W635" i="16"/>
  <c r="W2007" i="16"/>
  <c r="W1517" i="16"/>
  <c r="W3050" i="16"/>
  <c r="W1686" i="16"/>
  <c r="W768" i="16"/>
  <c r="W1771" i="16"/>
  <c r="W44" i="16"/>
  <c r="W401" i="16"/>
  <c r="W1635" i="16"/>
  <c r="W2600" i="16"/>
  <c r="W1496" i="16"/>
  <c r="W3454" i="16"/>
  <c r="W2472" i="16"/>
  <c r="W3535" i="16"/>
  <c r="W3103" i="16"/>
  <c r="W1506" i="16"/>
  <c r="W2717" i="16"/>
  <c r="W590" i="16"/>
  <c r="W1789" i="16"/>
  <c r="W2373" i="16"/>
  <c r="W3107" i="16"/>
  <c r="W3267" i="16"/>
  <c r="W766" i="16"/>
  <c r="W2734" i="16"/>
  <c r="W651" i="16"/>
  <c r="W1125" i="16"/>
  <c r="W1838" i="16"/>
  <c r="W326" i="16"/>
  <c r="W54" i="16"/>
  <c r="W3512" i="16"/>
  <c r="W955" i="16"/>
  <c r="W2382" i="16"/>
  <c r="W498" i="16"/>
  <c r="W2120" i="16"/>
  <c r="W2361" i="16"/>
  <c r="W2797" i="16"/>
  <c r="W653" i="16"/>
  <c r="W3339" i="16"/>
  <c r="W1929" i="16"/>
  <c r="W1533" i="16"/>
  <c r="W3159" i="16"/>
  <c r="W1716" i="16"/>
  <c r="W229" i="16"/>
  <c r="W110" i="16"/>
  <c r="W1156" i="16"/>
  <c r="W394" i="16"/>
  <c r="W977" i="16"/>
  <c r="W3161" i="16"/>
  <c r="W2677" i="16"/>
  <c r="W1792" i="16"/>
  <c r="W1785" i="16"/>
  <c r="W2609" i="16"/>
  <c r="W1809" i="16"/>
  <c r="W445" i="16"/>
  <c r="W1409" i="16"/>
  <c r="W539" i="16"/>
  <c r="W2150" i="16"/>
  <c r="W75" i="16"/>
  <c r="W2944" i="16"/>
  <c r="W2942" i="16"/>
  <c r="W807" i="16"/>
  <c r="W938" i="16"/>
  <c r="W3308" i="16"/>
  <c r="W101" i="16"/>
  <c r="W2004" i="16"/>
  <c r="W1434" i="16"/>
  <c r="W2244" i="16"/>
  <c r="W296" i="16"/>
  <c r="W2387" i="16"/>
  <c r="W103" i="16"/>
  <c r="W2811" i="16"/>
  <c r="W1433" i="16"/>
  <c r="W1316" i="16"/>
  <c r="W1153" i="16"/>
  <c r="W904" i="16"/>
  <c r="W1699" i="16"/>
  <c r="W3018" i="16"/>
  <c r="W1920" i="16"/>
  <c r="W1394" i="16"/>
  <c r="W1287" i="16"/>
  <c r="W887" i="16"/>
  <c r="W3294" i="16"/>
  <c r="W2741" i="16"/>
  <c r="W3500" i="16"/>
  <c r="W2194" i="16"/>
  <c r="W73" i="16"/>
  <c r="W2433" i="16"/>
  <c r="W808" i="16"/>
  <c r="W430" i="16"/>
  <c r="W534" i="16"/>
  <c r="W1107" i="16"/>
  <c r="W2360" i="16"/>
  <c r="W757" i="16"/>
  <c r="W641" i="16"/>
  <c r="W2283" i="16"/>
  <c r="W74" i="16"/>
  <c r="W3251" i="16"/>
  <c r="W2015" i="16"/>
  <c r="W3027" i="16"/>
  <c r="W1144" i="16"/>
  <c r="W2493" i="16"/>
  <c r="W1758" i="16"/>
  <c r="W1695" i="16"/>
  <c r="W571" i="16"/>
  <c r="W2577" i="16"/>
  <c r="W2012" i="16"/>
  <c r="W177" i="16"/>
  <c r="W2152" i="16"/>
  <c r="W1342" i="16"/>
  <c r="W2405" i="16"/>
  <c r="W3146" i="16"/>
  <c r="W224" i="16"/>
  <c r="W3273" i="16"/>
  <c r="W872" i="16"/>
  <c r="W95" i="16"/>
  <c r="W2227" i="16"/>
  <c r="W1552" i="16"/>
  <c r="W2463" i="16"/>
  <c r="W559" i="16"/>
  <c r="W3150" i="16"/>
  <c r="W1615" i="16"/>
  <c r="W1881" i="16"/>
  <c r="W1648" i="16"/>
  <c r="W3399" i="16"/>
  <c r="W2592" i="16"/>
  <c r="W1616" i="16"/>
  <c r="W2742" i="16"/>
  <c r="W3462" i="16"/>
  <c r="W1411" i="16"/>
  <c r="W2206" i="16"/>
  <c r="W592" i="16"/>
  <c r="W824" i="16"/>
  <c r="W2891" i="16"/>
  <c r="W1540" i="16"/>
  <c r="W451" i="16"/>
  <c r="W3407" i="16"/>
  <c r="W2904" i="16"/>
  <c r="W791" i="16"/>
  <c r="W2765" i="16"/>
  <c r="W3491" i="16"/>
  <c r="W1773" i="16"/>
  <c r="W3322" i="16"/>
  <c r="W3258" i="16"/>
  <c r="W3385" i="16"/>
  <c r="W2112" i="16"/>
  <c r="W1931" i="16"/>
  <c r="W1001" i="16"/>
  <c r="W3028" i="16"/>
  <c r="W2187" i="16"/>
  <c r="W407" i="16"/>
  <c r="W3289" i="16"/>
  <c r="W2684" i="16"/>
  <c r="W2900" i="16"/>
  <c r="W2500" i="16"/>
  <c r="W3182" i="16"/>
  <c r="W1569" i="16"/>
  <c r="W353" i="16"/>
  <c r="W3482" i="16"/>
  <c r="W2412" i="16"/>
  <c r="W504" i="16"/>
  <c r="W70" i="16"/>
  <c r="W2760" i="16"/>
  <c r="W1221" i="16"/>
  <c r="W3212" i="16"/>
  <c r="O68" i="16"/>
  <c r="O58" i="16"/>
  <c r="O62" i="16"/>
  <c r="O25" i="16"/>
  <c r="O54" i="16"/>
  <c r="O23" i="16"/>
  <c r="O22" i="16"/>
  <c r="O64" i="16"/>
  <c r="O30" i="16"/>
  <c r="O46" i="16"/>
  <c r="O20" i="16"/>
  <c r="O77" i="16"/>
  <c r="O50" i="16"/>
  <c r="O56" i="16"/>
  <c r="O29" i="16"/>
  <c r="O71" i="16"/>
  <c r="O19" i="16"/>
  <c r="O16" i="16"/>
  <c r="O74" i="16"/>
  <c r="O32" i="16"/>
  <c r="O47" i="16"/>
  <c r="O31" i="16"/>
  <c r="O48" i="16"/>
  <c r="O44" i="16"/>
  <c r="O55" i="16"/>
  <c r="O63" i="16"/>
  <c r="O24" i="16"/>
  <c r="O17" i="16"/>
  <c r="O57" i="16"/>
  <c r="O67" i="16"/>
  <c r="O52" i="16"/>
  <c r="O75" i="16"/>
  <c r="O60" i="16"/>
  <c r="O59" i="16"/>
  <c r="O39" i="16"/>
  <c r="O21" i="16"/>
  <c r="O70" i="16"/>
  <c r="O42" i="16"/>
  <c r="O26" i="16"/>
  <c r="O18" i="16"/>
  <c r="O49" i="16"/>
  <c r="O45" i="16"/>
  <c r="O69" i="16"/>
  <c r="O37" i="16"/>
  <c r="O28" i="16"/>
  <c r="O43" i="16"/>
  <c r="O76" i="16"/>
  <c r="O51" i="16"/>
  <c r="O61" i="16"/>
  <c r="O40" i="16"/>
  <c r="O73" i="16"/>
  <c r="O27" i="16"/>
  <c r="O33" i="16"/>
  <c r="O65" i="16"/>
  <c r="O36" i="16"/>
  <c r="O66" i="16"/>
  <c r="O72" i="16"/>
  <c r="O41" i="16"/>
  <c r="O38" i="16"/>
  <c r="O53" i="16"/>
  <c r="P31" i="16" l="1"/>
  <c r="P53" i="16"/>
  <c r="P39" i="16"/>
  <c r="P18" i="16"/>
  <c r="P66" i="16"/>
  <c r="P49" i="16"/>
  <c r="P54" i="16"/>
  <c r="P45" i="16"/>
  <c r="P48" i="16"/>
  <c r="P41" i="16"/>
  <c r="P75" i="16"/>
  <c r="P23" i="16"/>
  <c r="P26" i="16"/>
  <c r="P74" i="16"/>
  <c r="P67" i="16"/>
  <c r="P68" i="16"/>
  <c r="P42" i="16"/>
  <c r="P32" i="16"/>
  <c r="P71" i="16"/>
  <c r="P72" i="16"/>
  <c r="P33" i="16"/>
  <c r="P55" i="16"/>
  <c r="P19" i="16"/>
  <c r="P24" i="16"/>
  <c r="P47" i="16"/>
  <c r="P58" i="16"/>
  <c r="P30" i="16"/>
  <c r="P44" i="16"/>
  <c r="P56" i="16"/>
  <c r="P51" i="16"/>
  <c r="P37" i="16"/>
  <c r="P60" i="16"/>
  <c r="P77" i="16"/>
  <c r="P16" i="16"/>
  <c r="P40" i="16"/>
  <c r="P52" i="16"/>
  <c r="P65" i="16"/>
  <c r="P73" i="16"/>
  <c r="P27" i="16"/>
  <c r="P76" i="16"/>
  <c r="P25" i="16"/>
  <c r="P59" i="16"/>
  <c r="P57" i="16"/>
  <c r="P36" i="16"/>
  <c r="P70" i="16"/>
  <c r="P43" i="16"/>
  <c r="P62" i="16"/>
  <c r="P21" i="16"/>
  <c r="P50" i="16"/>
  <c r="P17" i="16"/>
  <c r="P69" i="16"/>
  <c r="P64" i="16"/>
  <c r="P38" i="16"/>
  <c r="P29" i="16"/>
  <c r="P20" i="16"/>
  <c r="P46" i="16"/>
  <c r="P28" i="16"/>
  <c r="P63" i="16"/>
  <c r="P22" i="16"/>
  <c r="P61" i="16"/>
  <c r="Q61" i="16" l="1"/>
  <c r="Q22" i="16"/>
  <c r="Q63" i="16"/>
  <c r="Q28" i="16"/>
  <c r="Q46" i="16"/>
  <c r="Q20" i="16"/>
  <c r="Q29" i="16"/>
  <c r="Q38" i="16"/>
  <c r="Q64" i="16"/>
  <c r="Q69" i="16"/>
  <c r="Q17" i="16"/>
  <c r="Q50" i="16"/>
  <c r="Q21" i="16"/>
  <c r="Q62" i="16"/>
  <c r="Q43" i="16"/>
  <c r="Q36" i="16"/>
  <c r="Q57" i="16"/>
  <c r="Q59" i="16"/>
  <c r="Q25" i="16"/>
  <c r="Q27" i="16"/>
  <c r="Q65" i="16"/>
  <c r="Q52" i="16"/>
  <c r="Q40" i="16"/>
  <c r="Q16" i="16"/>
  <c r="R16" i="16" s="1"/>
  <c r="Q60" i="16"/>
  <c r="Q37" i="16"/>
  <c r="Q51" i="16"/>
  <c r="Q56" i="16"/>
  <c r="Q44" i="16"/>
  <c r="Q30" i="16"/>
  <c r="Q58" i="16"/>
  <c r="Q47" i="16"/>
  <c r="Q24" i="16"/>
  <c r="Q19" i="16"/>
  <c r="Q55" i="16"/>
  <c r="Q33" i="16"/>
  <c r="Q32" i="16"/>
  <c r="Q42" i="16"/>
  <c r="Q68" i="16"/>
  <c r="Q67" i="16"/>
  <c r="Q26" i="16"/>
  <c r="Q23" i="16"/>
  <c r="Q41" i="16"/>
  <c r="Q48" i="16"/>
  <c r="Q45" i="16"/>
  <c r="Q54" i="16"/>
  <c r="Q49" i="16"/>
  <c r="Q66" i="16"/>
  <c r="Q18" i="16"/>
  <c r="Q39" i="16"/>
  <c r="Q53" i="16"/>
  <c r="Q31" i="16"/>
  <c r="R36" i="16" l="1"/>
  <c r="N80" i="16" l="1" a="1"/>
  <c r="N87" i="16"/>
  <c r="N112" i="16"/>
  <c r="N98" i="16"/>
  <c r="N84" i="16"/>
  <c r="N109" i="16"/>
  <c r="N95" i="16"/>
  <c r="N81" i="16"/>
  <c r="N106" i="16"/>
  <c r="N92" i="16"/>
  <c r="N86" i="16"/>
  <c r="N103" i="16"/>
  <c r="N89" i="16"/>
  <c r="N114" i="16"/>
  <c r="N100" i="16"/>
  <c r="N94" i="16"/>
  <c r="N111" i="16"/>
  <c r="N97" i="16"/>
  <c r="N83" i="16"/>
  <c r="N108" i="16"/>
  <c r="N102" i="16"/>
  <c r="N80" i="16"/>
  <c r="N105" i="16"/>
  <c r="N91" i="16"/>
  <c r="N116" i="16"/>
  <c r="N110" i="16"/>
  <c r="N88" i="16"/>
  <c r="N113" i="16"/>
  <c r="N99" i="16"/>
  <c r="N85" i="16"/>
  <c r="N96" i="16"/>
  <c r="N82" i="16"/>
  <c r="N107" i="16"/>
  <c r="N93" i="16"/>
  <c r="N104" i="16"/>
  <c r="N90" i="16"/>
  <c r="N115" i="16"/>
  <c r="N101" i="16"/>
  <c r="O82" i="16"/>
  <c r="O80" i="16"/>
  <c r="O93" i="16"/>
  <c r="O90" i="16"/>
  <c r="O89" i="16"/>
  <c r="O110" i="16"/>
  <c r="O88" i="16"/>
  <c r="O98" i="16"/>
  <c r="O86" i="16"/>
  <c r="O101" i="16"/>
  <c r="O92" i="16"/>
  <c r="O96" i="16"/>
  <c r="O97" i="16"/>
  <c r="O108" i="16"/>
  <c r="O99" i="16"/>
  <c r="O85" i="16"/>
  <c r="O94" i="16"/>
  <c r="O105" i="16"/>
  <c r="O102" i="16"/>
  <c r="O104" i="16"/>
  <c r="O114" i="16"/>
  <c r="O83" i="16"/>
  <c r="O95" i="16"/>
  <c r="O87" i="16"/>
  <c r="O91" i="16"/>
  <c r="O116" i="16"/>
  <c r="O111" i="16"/>
  <c r="O107" i="16"/>
  <c r="O115" i="16"/>
  <c r="O100" i="16"/>
  <c r="O81" i="16"/>
  <c r="O113" i="16"/>
  <c r="O103" i="16"/>
  <c r="O109" i="16"/>
  <c r="O106" i="16"/>
  <c r="O84" i="16"/>
  <c r="O112" i="16"/>
  <c r="P95" i="16"/>
  <c r="P104" i="16"/>
  <c r="P90" i="16"/>
  <c r="P92" i="16"/>
  <c r="P113" i="16"/>
  <c r="P116" i="16"/>
  <c r="P88" i="16"/>
  <c r="P109" i="16"/>
  <c r="P108" i="16"/>
  <c r="P81" i="16"/>
  <c r="P106" i="16"/>
  <c r="P96" i="16"/>
  <c r="P100" i="16"/>
  <c r="P115" i="16"/>
  <c r="P114" i="16"/>
  <c r="P83" i="16"/>
  <c r="P87" i="16"/>
  <c r="P94" i="16"/>
  <c r="P82" i="16"/>
  <c r="P99" i="16"/>
  <c r="P112" i="16"/>
  <c r="P97" i="16"/>
  <c r="P91" i="16"/>
  <c r="P98" i="16"/>
  <c r="P80" i="16"/>
  <c r="P102" i="16"/>
  <c r="P85" i="16"/>
  <c r="P111" i="16"/>
  <c r="P93" i="16"/>
  <c r="P105" i="16"/>
  <c r="P103" i="16"/>
  <c r="P89" i="16"/>
  <c r="P101" i="16"/>
  <c r="P84" i="16"/>
  <c r="P107" i="16"/>
  <c r="P86" i="16"/>
  <c r="P110" i="16"/>
  <c r="Q104" i="16"/>
  <c r="Q113" i="16"/>
  <c r="Q115" i="16"/>
  <c r="Q80" i="16"/>
  <c r="Q108" i="16"/>
  <c r="Q110" i="16"/>
  <c r="Q101" i="16"/>
  <c r="Q81" i="16"/>
  <c r="Q95" i="16"/>
  <c r="Q94" i="16"/>
  <c r="Q102" i="16"/>
  <c r="Q86" i="16"/>
  <c r="Q100" i="16"/>
  <c r="Q89" i="16"/>
  <c r="Q88" i="16"/>
  <c r="Q92" i="16"/>
  <c r="Q82" i="16"/>
  <c r="Q105" i="16"/>
  <c r="Q83" i="16"/>
  <c r="Q112" i="16"/>
  <c r="Q114" i="16"/>
  <c r="Q98" i="16"/>
  <c r="Q107" i="16"/>
  <c r="Q111" i="16"/>
  <c r="Q87" i="16"/>
  <c r="Q116" i="16"/>
  <c r="Q99" i="16"/>
  <c r="Q106" i="16"/>
  <c r="Q96" i="16"/>
  <c r="Q109" i="16"/>
  <c r="Q85" i="16"/>
  <c r="Q91" i="16"/>
  <c r="Q103" i="16"/>
  <c r="Q84" i="16"/>
  <c r="R84" i="16"/>
  <c r="Q93" i="16"/>
  <c r="Q90" i="16"/>
  <c r="Q97"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<sst xmlns="http://schemas.openxmlformats.org/spreadsheetml/2006/main" count="552" uniqueCount="187">
  <si>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</si>
  <si>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</si>
  <si>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</si>
  <si>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</si>
  <si>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</si>
  <si>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</si>
  <si>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</si>
  <si>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</si>
  <si>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</si>
  <si>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</si>
  <si>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</si>
  <si>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</si>
  <si>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</si>
  <si>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</si>
  <si>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</si>
  <si>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</si>
  <si>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</si>
  <si>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</si>
  <si>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</si>
  <si>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</si>
  <si>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</si>
  <si>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</si>
  <si>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</si>
  <si>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</si>
  <si>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</si>
  <si>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</si>
  <si>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</si>
  <si>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</si>
  <si>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</si>
  <si>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</si>
  <si>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</si>
  <si>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</si>
  <si>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</si>
  <si>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</si>
  <si>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</si>
  <si>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</si>
  <si>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</si>
  <si>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</si>
  <si>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</si>
  <si>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</si>
  <si>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</si>
  <si>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</si>
  <si>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</si>
  <si>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</si>
  <si>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</si>
  <si>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</si>
  <si>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</si>
  <si>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</si>
  <si>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</si>
  <si>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</si>
  <si>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</si>
  <si>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</si>
  <si>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</si>
  <si>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</si>
  <si>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</si>
  <si>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</si>
  <si>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</si>
  <si>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</si>
  <si>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</si>
  <si>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</si>
  <si>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</si>
  <si>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</si>
  <si>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</si>
  <si>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</si>
  <si>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</si>
  <si>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</si>
  <si>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</si>
  <si>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</si>
  <si>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</si>
  <si>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</si>
  <si>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</si>
  <si>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</si>
  <si>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</si>
  <si>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</si>
  <si>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</si>
  <si>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</si>
  <si>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</si>
  <si>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</si>
  <si>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</si>
  <si>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</si>
  <si>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</si>
  <si>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</si>
  <si>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</si>
  <si>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</si>
  <si>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</si>
  <si>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</si>
  <si>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</si>
  <si>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</si>
  <si>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</si>
  <si>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</si>
  <si>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</si>
  <si>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</si>
  <si>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</si>
  <si>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</si>
  <si>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</si>
  <si>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</si>
  <si>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</si>
  <si>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</si>
  <si>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</si>
  <si>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</si>
  <si>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</si>
  <si>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</si>
  <si>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</si>
  <si>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</si>
  <si>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</si>
  <si>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</si>
  <si>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</si>
  <si>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</si>
  <si>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</si>
  <si>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</si>
  <si>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</si>
  <si>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</si>
  <si>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</si>
  <si>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</si>
  <si>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</si>
  <si>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</si>
  <si>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</si>
  <si>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</si>
  <si>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</si>
  <si>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</si>
  <si>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</si>
  <si>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</si>
  <si>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</si>
  <si>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</si>
  <si>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EUR_YCRH_Deposits</t>
  </si>
  <si>
    <t>1D</t>
  </si>
  <si>
    <t>0D</t>
  </si>
  <si>
    <t>ConvAdj Quote Object ID</t>
  </si>
  <si>
    <t>Future Code</t>
  </si>
  <si>
    <t>Main Cycle</t>
  </si>
  <si>
    <t>#</t>
  </si>
  <si>
    <t>EUR_YCRH_Futures</t>
  </si>
  <si>
    <t>EUR_YCRH_FRAs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</si>
  <si>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</si>
  <si>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</si>
  <si>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</si>
  <si>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</si>
  <si>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</si>
  <si>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</si>
  <si>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</si>
  <si>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</si>
  <si>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</si>
  <si>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</si>
  <si>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</si>
  <si>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</si>
  <si>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</si>
  <si>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</si>
  <si>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</si>
  <si>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EUR_YCRH_Swaps</t>
  </si>
  <si>
    <t>EUR_YCRH_SwapsFromBasis</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</si>
  <si>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</si>
  <si>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</si>
  <si>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</si>
  <si>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</si>
  <si>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</si>
  <si>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</si>
  <si>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</si>
  <si>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</si>
  <si>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</si>
  <si>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</si>
  <si>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</si>
  <si>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</si>
  <si>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</si>
  <si>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</si>
  <si>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</si>
  <si>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</si>
  <si>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</si>
  <si>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</si>
  <si>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</si>
  <si>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</si>
  <si>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</si>
  <si>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</si>
  <si>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</si>
  <si>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</si>
  <si>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</si>
  <si>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</si>
  <si>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</si>
  <si>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</si>
  <si>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</si>
  <si>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</si>
  <si>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</si>
  <si>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</si>
  <si>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Mkt Futures</t>
  </si>
  <si>
    <t>3M Fwd</t>
  </si>
  <si>
    <t>Repriced Quote</t>
  </si>
  <si>
    <t>IMM</t>
  </si>
  <si>
    <t>Serial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</si>
</sst>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18">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2" borderId="29"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9" fillId="3" borderId="17" xfId="1" applyNumberFormat="1" applyFont="1" applyFill="1" applyBorder="1" applyAlignment="1" applyProtection="1"/>
    <xf numFmtId="0" fontId="8" fillId="2" borderId="29" xfId="1" applyNumberFormat="1" applyFont="1" applyFill="1" applyBorder="1" applyAlignment="1">
      <alignment horizontal="left"/>
    </xf>
    <xf numFmtId="0" fontId="8" fillId="2" borderId="19" xfId="1" applyNumberFormat="1" applyFont="1" applyFill="1" applyBorder="1" applyAlignment="1">
      <alignment horizontal="left"/>
    </xf>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17" xfId="1" applyNumberFormat="1" applyFont="1" applyFill="1" applyBorder="1" applyAlignment="1" applyProtection="1">
      <alignment vertical="center"/>
    </xf>
    <xf numFmtId="0" fontId="9" fillId="3" borderId="22" xfId="1" applyNumberFormat="1" applyFont="1" applyFill="1" applyBorder="1" applyAlignment="1" applyProtection="1">
      <alignment vertical="center"/>
    </xf>
    <xf numFmtId="0" fontId="8" fillId="2" borderId="31" xfId="1" applyNumberFormat="1" applyFont="1" applyFill="1" applyBorder="1" applyAlignment="1">
      <alignment horizontal="left"/>
    </xf>
    <xf numFmtId="0" fontId="8" fillId="2" borderId="22" xfId="1" applyNumberFormat="1" applyFont="1" applyFill="1" applyBorder="1" applyAlignment="1">
      <alignment horizontal="left"/>
    </xf>
    <xf numFmtId="0" fontId="8" fillId="2" borderId="24"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left"/>
    </xf>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5" xfId="1" applyNumberFormat="1" applyFont="1" applyFill="1" applyBorder="1" applyAlignment="1" applyProtection="1">
      <alignment horizontal="left" vertical="center"/>
    </xf>
    <xf numFmtId="0" fontId="8" fillId="2" borderId="25" xfId="1" applyNumberFormat="1" applyFont="1" applyFill="1" applyBorder="1" applyAlignment="1"/>
    <xf numFmtId="0" fontId="8" fillId="2" borderId="25" xfId="1" applyFont="1" applyFill="1" applyBorder="1" applyAlignment="1"/>
    <xf numFmtId="166" fontId="8" fillId="2" borderId="25" xfId="1" applyNumberFormat="1" applyFont="1" applyFill="1" applyBorder="1" applyAlignment="1"/>
    <xf numFmtId="0" fontId="8" fillId="2" borderId="25" xfId="1" applyNumberFormat="1" applyFont="1" applyFill="1" applyBorder="1" applyAlignment="1">
      <alignment horizontal="center"/>
    </xf>
    <xf numFmtId="0" fontId="8" fillId="0" borderId="29" xfId="3" applyNumberFormat="1" applyFont="1" applyFill="1" applyBorder="1" applyAlignment="1">
      <alignment horizontal="center"/>
    </xf>
    <xf numFmtId="0" fontId="8" fillId="2" borderId="25" xfId="1" applyNumberFormat="1" applyFont="1" applyFill="1" applyBorder="1" applyAlignment="1">
      <alignment horizontal="left"/>
    </xf>
    <xf numFmtId="0" fontId="8" fillId="0" borderId="25"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2" xfId="1" applyFont="1" applyBorder="1" applyAlignment="1">
      <alignment horizontal="center"/>
    </xf>
    <xf numFmtId="0" fontId="8" fillId="0" borderId="34" xfId="1" applyFont="1" applyBorder="1" applyAlignment="1">
      <alignment horizontal="center"/>
    </xf>
    <xf numFmtId="0" fontId="8" fillId="0" borderId="33" xfId="1" applyFont="1" applyBorder="1"/>
    <xf numFmtId="173" fontId="21" fillId="3" borderId="25" xfId="1" applyNumberFormat="1" applyFont="1" applyFill="1" applyBorder="1" applyAlignment="1" applyProtection="1">
      <alignment horizontal="left"/>
    </xf>
    <xf numFmtId="0" fontId="8" fillId="2" borderId="25" xfId="1" applyFont="1" applyFill="1" applyBorder="1"/>
    <xf numFmtId="0" fontId="8" fillId="0" borderId="25" xfId="1" applyFont="1" applyBorder="1" applyAlignment="1">
      <alignment horizontal="left"/>
    </xf>
    <xf numFmtId="0" fontId="12" fillId="2" borderId="25" xfId="1" applyFont="1" applyFill="1" applyBorder="1" applyAlignment="1">
      <alignment horizontal="left" vertical="center"/>
    </xf>
    <xf numFmtId="0" fontId="20" fillId="2" borderId="32"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2" xfId="1" applyFont="1" applyBorder="1"/>
    <xf numFmtId="0" fontId="6" fillId="0" borderId="33" xfId="1" applyFont="1" applyBorder="1"/>
    <xf numFmtId="0" fontId="8" fillId="8" borderId="25" xfId="1" applyNumberFormat="1" applyFont="1" applyFill="1" applyBorder="1" applyAlignment="1">
      <alignment horizontal="center"/>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5" fillId="0" borderId="0" xfId="0" applyFont="1"/>
    <xf numFmtId="0" fontId="4" fillId="12"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2" borderId="33" xfId="1" applyFont="1" applyFill="1" applyBorder="1" applyAlignment="1">
      <alignment horizontal="centerContinuous"/>
    </xf>
    <xf numFmtId="0" fontId="4" fillId="12" borderId="34" xfId="1" applyFont="1" applyFill="1" applyBorder="1" applyAlignment="1">
      <alignment horizontal="centerContinuous"/>
    </xf>
    <xf numFmtId="0" fontId="4" fillId="12" borderId="32" xfId="1" applyFont="1" applyFill="1" applyBorder="1" applyAlignment="1">
      <alignment horizontal="centerContinuous"/>
    </xf>
    <xf numFmtId="0" fontId="4" fillId="12" borderId="16" xfId="1" applyFont="1" applyFill="1" applyBorder="1" applyAlignment="1">
      <alignment horizontal="centerContinuous"/>
    </xf>
    <xf numFmtId="0" fontId="4" fillId="12" borderId="37" xfId="1" applyFont="1" applyFill="1" applyBorder="1" applyAlignment="1">
      <alignment horizontal="centerContinuous"/>
    </xf>
    <xf numFmtId="0" fontId="4" fillId="13" borderId="37" xfId="1" applyFont="1" applyFill="1" applyBorder="1" applyAlignment="1">
      <alignment horizontal="center"/>
    </xf>
    <xf numFmtId="0" fontId="2" fillId="11" borderId="30" xfId="1" applyFont="1" applyFill="1" applyBorder="1"/>
    <xf numFmtId="0" fontId="2" fillId="11" borderId="39" xfId="1" applyNumberFormat="1" applyFont="1" applyFill="1" applyBorder="1"/>
    <xf numFmtId="9" fontId="2" fillId="11" borderId="38" xfId="1" applyNumberFormat="1" applyFont="1" applyFill="1" applyBorder="1"/>
    <xf numFmtId="10" fontId="2" fillId="11" borderId="30" xfId="1" applyNumberFormat="1" applyFont="1" applyFill="1" applyBorder="1"/>
    <xf numFmtId="10" fontId="2" fillId="11" borderId="39" xfId="1" applyNumberFormat="1" applyFont="1" applyFill="1" applyBorder="1"/>
    <xf numFmtId="9" fontId="2" fillId="0" borderId="0" xfId="1" applyNumberFormat="1" applyFont="1" applyBorder="1"/>
    <xf numFmtId="178" fontId="2" fillId="0" borderId="0" xfId="1" applyNumberFormat="1" applyFont="1"/>
    <xf numFmtId="0" fontId="4" fillId="13" borderId="0" xfId="1" applyFont="1" applyFill="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4" xfId="1" applyFont="1" applyFill="1" applyBorder="1" applyAlignment="1">
      <alignment horizontal="right"/>
    </xf>
    <xf numFmtId="0" fontId="4" fillId="12" borderId="32"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6" fontId="2" fillId="0" borderId="1" xfId="1" applyNumberFormat="1" applyFont="1" applyBorder="1"/>
    <xf numFmtId="165" fontId="2" fillId="0" borderId="2" xfId="1" applyNumberFormat="1" applyFont="1" applyBorder="1" applyAlignment="1"/>
    <xf numFmtId="0" fontId="4" fillId="12" borderId="35" xfId="1" applyFont="1" applyFill="1" applyBorder="1" applyAlignment="1">
      <alignment horizontal="centerContinuous"/>
    </xf>
    <xf numFmtId="10" fontId="2" fillId="11" borderId="13" xfId="1" applyNumberFormat="1" applyFont="1" applyFill="1" applyBorder="1"/>
    <xf numFmtId="10" fontId="2" fillId="11" borderId="12" xfId="1" applyNumberFormat="1" applyFont="1" applyFill="1" applyBorder="1"/>
    <xf numFmtId="0" fontId="4" fillId="13" borderId="40" xfId="1" applyFont="1" applyFill="1" applyBorder="1" applyAlignment="1">
      <alignment horizontal="center"/>
    </xf>
    <xf numFmtId="0" fontId="4" fillId="13" borderId="41" xfId="1" applyFont="1" applyFill="1" applyBorder="1" applyAlignment="1">
      <alignment horizontal="center"/>
    </xf>
    <xf numFmtId="0" fontId="4" fillId="13" borderId="42" xfId="1" applyFont="1" applyFill="1" applyBorder="1" applyAlignment="1">
      <alignment horizontal="center"/>
    </xf>
    <xf numFmtId="0" fontId="2" fillId="11" borderId="13" xfId="1" applyFont="1" applyFill="1" applyBorder="1"/>
    <xf numFmtId="0" fontId="2" fillId="11" borderId="12" xfId="1" applyFont="1" applyFill="1" applyBorder="1"/>
    <xf numFmtId="9" fontId="2" fillId="11" borderId="14" xfId="1" applyNumberFormat="1" applyFont="1" applyFill="1" applyBorder="1"/>
    <xf numFmtId="0" fontId="2" fillId="14" borderId="5" xfId="1" applyFont="1" applyFill="1" applyBorder="1" applyAlignment="1">
      <alignment vertical="center"/>
    </xf>
    <xf numFmtId="0" fontId="2" fillId="14" borderId="38" xfId="1" applyFont="1" applyFill="1" applyBorder="1"/>
    <xf numFmtId="165" fontId="2" fillId="14" borderId="30" xfId="1" applyNumberFormat="1" applyFont="1" applyFill="1" applyBorder="1"/>
    <xf numFmtId="0" fontId="2" fillId="14" borderId="16" xfId="1" applyFont="1" applyFill="1" applyBorder="1"/>
    <xf numFmtId="0" fontId="2" fillId="14" borderId="14" xfId="1" applyFont="1" applyFill="1" applyBorder="1"/>
    <xf numFmtId="165" fontId="2" fillId="14" borderId="13" xfId="1" applyNumberFormat="1" applyFont="1" applyFill="1" applyBorder="1"/>
    <xf numFmtId="0" fontId="2" fillId="2" borderId="30"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4" xfId="1" applyFont="1" applyFill="1" applyBorder="1" applyAlignment="1">
      <alignment horizontal="center" vertical="center"/>
    </xf>
    <xf numFmtId="166" fontId="2" fillId="0" borderId="4" xfId="1" applyNumberFormat="1" applyFont="1" applyBorder="1" applyAlignment="1">
      <alignment horizontal="right"/>
    </xf>
    <xf numFmtId="0" fontId="2" fillId="0" borderId="4" xfId="1" applyFont="1" applyBorder="1" applyAlignment="1">
      <alignment horizontal="right"/>
    </xf>
    <xf numFmtId="0" fontId="2" fillId="0" borderId="1" xfId="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 fillId="0" borderId="33" xfId="1" applyFont="1" applyBorder="1"/>
    <xf numFmtId="165" fontId="2" fillId="0" borderId="34" xfId="1" applyNumberFormat="1" applyFont="1" applyBorder="1"/>
    <xf numFmtId="10" fontId="2" fillId="0" borderId="34" xfId="1" applyNumberFormat="1" applyFont="1" applyBorder="1"/>
    <xf numFmtId="166" fontId="2" fillId="0" borderId="34" xfId="3" quotePrefix="1" applyNumberFormat="1" applyFont="1" applyBorder="1" applyAlignment="1"/>
    <xf numFmtId="0" fontId="2" fillId="0" borderId="32" xfId="1" applyFont="1" applyBorder="1" applyAlignment="1">
      <alignment horizontal="right"/>
    </xf>
    <xf numFmtId="0" fontId="25" fillId="14" borderId="0" xfId="0" applyFont="1" applyFill="1"/>
    <xf numFmtId="0" fontId="2" fillId="0" borderId="20" xfId="1" applyFont="1" applyBorder="1" applyAlignment="1">
      <alignment horizontal="center"/>
    </xf>
    <xf numFmtId="0" fontId="2" fillId="0" borderId="17" xfId="1" applyFont="1" applyBorder="1" applyAlignment="1">
      <alignment horizontal="center"/>
    </xf>
    <xf numFmtId="0" fontId="2" fillId="0" borderId="21" xfId="1" applyFont="1" applyBorder="1" applyAlignment="1">
      <alignment horizontal="center"/>
    </xf>
    <xf numFmtId="0" fontId="2" fillId="0" borderId="19" xfId="1" applyFont="1" applyBorder="1" applyAlignment="1">
      <alignment horizontal="center"/>
    </xf>
    <xf numFmtId="166" fontId="2" fillId="0" borderId="1" xfId="1" applyNumberFormat="1" applyFont="1" applyBorder="1" applyAlignment="1">
      <alignment horizontal="right"/>
    </xf>
    <xf numFmtId="166" fontId="2" fillId="0" borderId="34" xfId="1" applyNumberFormat="1" applyFont="1" applyBorder="1"/>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Monitor!$W$15</c:f>
              <c:strCache>
                <c:ptCount val="1"/>
                <c:pt idx="0">
                  <c:v>3M Fwd</c:v>
                </c:pt>
              </c:strCache>
            </c:strRef>
          </c:tx>
          <c:marker>
            <c:symbol val="none"/>
          </c:marker>
          <c:cat>
            <c:numRef>
              <c:f>Monitor!$V$16:$V$3549</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Monitor!$W$16:$W$3549</c:f>
              <c:numCache>
                <c:formatCode>0.0000%</c:formatCode>
                <c:ptCount val="3534"/>
                <c:pt idx="0">
                  <c:v>3.0513661533113443E-3</c:v>
                </c:pt>
                <c:pt idx="1">
                  <c:v>3.0119849184642843E-3</c:v>
                </c:pt>
                <c:pt idx="2">
                  <c:v>2.9726641679929935E-3</c:v>
                </c:pt>
                <c:pt idx="3">
                  <c:v>2.9335772858116536E-3</c:v>
                </c:pt>
                <c:pt idx="4">
                  <c:v>2.8692604946378708E-3</c:v>
                </c:pt>
                <c:pt idx="5">
                  <c:v>2.7830358805013907E-3</c:v>
                </c:pt>
                <c:pt idx="6">
                  <c:v>2.747718863777246E-3</c:v>
                </c:pt>
                <c:pt idx="7">
                  <c:v>2.7136758817126114E-3</c:v>
                </c:pt>
                <c:pt idx="8">
                  <c:v>2.6810802756322585E-3</c:v>
                </c:pt>
                <c:pt idx="9">
                  <c:v>2.6298158538123066E-3</c:v>
                </c:pt>
                <c:pt idx="10">
                  <c:v>2.5686383023616815E-3</c:v>
                </c:pt>
                <c:pt idx="11">
                  <c:v>2.5458035457873781E-3</c:v>
                </c:pt>
                <c:pt idx="12">
                  <c:v>2.5249999992645348E-3</c:v>
                </c:pt>
                <c:pt idx="13">
                  <c:v>2.5059420955572073E-3</c:v>
                </c:pt>
                <c:pt idx="14">
                  <c:v>2.4728697268844892E-3</c:v>
                </c:pt>
                <c:pt idx="15">
                  <c:v>2.4412080768813123E-3</c:v>
                </c:pt>
                <c:pt idx="16">
                  <c:v>2.4264463861689086E-3</c:v>
                </c:pt>
                <c:pt idx="17">
                  <c:v>2.411900948624921E-3</c:v>
                </c:pt>
                <c:pt idx="18">
                  <c:v>2.3975361749091787E-3</c:v>
                </c:pt>
                <c:pt idx="19">
                  <c:v>2.3715465064425307E-3</c:v>
                </c:pt>
                <c:pt idx="20">
                  <c:v>2.3411719504961644E-3</c:v>
                </c:pt>
                <c:pt idx="21">
                  <c:v>2.3271766746336062E-3</c:v>
                </c:pt>
                <c:pt idx="22">
                  <c:v>2.3131485377163009E-3</c:v>
                </c:pt>
                <c:pt idx="23">
                  <c:v>2.2990610674416376E-3</c:v>
                </c:pt>
                <c:pt idx="24">
                  <c:v>2.2765175463798576E-3</c:v>
                </c:pt>
                <c:pt idx="25">
                  <c:v>2.2424086126655684E-3</c:v>
                </c:pt>
                <c:pt idx="26">
                  <c:v>2.2282653267344608E-3</c:v>
                </c:pt>
                <c:pt idx="27">
                  <c:v>2.2141681594157604E-3</c:v>
                </c:pt>
                <c:pt idx="28">
                  <c:v>2.2001362039816481E-3</c:v>
                </c:pt>
                <c:pt idx="29">
                  <c:v>2.1809630313737905E-3</c:v>
                </c:pt>
                <c:pt idx="30">
                  <c:v>2.1450423571595825E-3</c:v>
                </c:pt>
                <c:pt idx="31">
                  <c:v>2.1316228509090122E-3</c:v>
                </c:pt>
                <c:pt idx="32">
                  <c:v>2.1183831106509681E-3</c:v>
                </c:pt>
                <c:pt idx="33">
                  <c:v>2.1053422278712345E-3</c:v>
                </c:pt>
                <c:pt idx="34">
                  <c:v>2.0901778226274322E-3</c:v>
                </c:pt>
                <c:pt idx="35">
                  <c:v>2.0555490935389806E-3</c:v>
                </c:pt>
                <c:pt idx="36">
                  <c:v>2.0437888628896759E-3</c:v>
                </c:pt>
                <c:pt idx="37">
                  <c:v>2.0323420342725231E-3</c:v>
                </c:pt>
                <c:pt idx="38">
                  <c:v>2.0212276978361149E-3</c:v>
                </c:pt>
                <c:pt idx="39">
                  <c:v>2.0105711566193486E-3</c:v>
                </c:pt>
                <c:pt idx="40">
                  <c:v>1.9804770725184717E-3</c:v>
                </c:pt>
                <c:pt idx="41">
                  <c:v>1.9713115451014396E-3</c:v>
                </c:pt>
                <c:pt idx="42">
                  <c:v>1.9625930485384804E-3</c:v>
                </c:pt>
                <c:pt idx="43">
                  <c:v>1.9543406724168966E-3</c:v>
                </c:pt>
                <c:pt idx="44">
                  <c:v>1.9485518083410859E-3</c:v>
                </c:pt>
                <c:pt idx="45">
                  <c:v>1.9263741645760546E-3</c:v>
                </c:pt>
                <c:pt idx="46">
                  <c:v>1.9207328008277375E-3</c:v>
                </c:pt>
                <c:pt idx="47">
                  <c:v>1.9156364890760005E-3</c:v>
                </c:pt>
                <c:pt idx="48">
                  <c:v>1.9110687127553369E-3</c:v>
                </c:pt>
                <c:pt idx="49">
                  <c:v>1.9101566031165293E-3</c:v>
                </c:pt>
                <c:pt idx="50">
                  <c:v>1.8977526403575536E-3</c:v>
                </c:pt>
                <c:pt idx="51">
                  <c:v>1.895579802300248E-3</c:v>
                </c:pt>
                <c:pt idx="52">
                  <c:v>1.8938364057453012E-3</c:v>
                </c:pt>
                <c:pt idx="53">
                  <c:v>1.8925059357589448E-3</c:v>
                </c:pt>
                <c:pt idx="54">
                  <c:v>1.8951786346289175E-3</c:v>
                </c:pt>
                <c:pt idx="55">
                  <c:v>1.8909830279886194E-3</c:v>
                </c:pt>
                <c:pt idx="56">
                  <c:v>1.8914694717617078E-3</c:v>
                </c:pt>
                <c:pt idx="57">
                  <c:v>1.8922697552264222E-3</c:v>
                </c:pt>
                <c:pt idx="58">
                  <c:v>1.8933673642127311E-3</c:v>
                </c:pt>
                <c:pt idx="59">
                  <c:v>1.8982304751317808E-3</c:v>
                </c:pt>
                <c:pt idx="60">
                  <c:v>1.9004007735302982E-3</c:v>
                </c:pt>
                <c:pt idx="61">
                  <c:v>1.9027372989729888E-3</c:v>
                </c:pt>
                <c:pt idx="62">
                  <c:v>1.9052720656026238E-3</c:v>
                </c:pt>
                <c:pt idx="63">
                  <c:v>1.9079885593795024E-3</c:v>
                </c:pt>
                <c:pt idx="64">
                  <c:v>1.9093382654783993E-3</c:v>
                </c:pt>
                <c:pt idx="65">
                  <c:v>1.918988486826576E-3</c:v>
                </c:pt>
                <c:pt idx="66">
                  <c:v>1.9224319703310692E-3</c:v>
                </c:pt>
                <c:pt idx="67">
                  <c:v>1.925960999366661E-3</c:v>
                </c:pt>
                <c:pt idx="68">
                  <c:v>1.929558878259936E-3</c:v>
                </c:pt>
                <c:pt idx="69">
                  <c:v>1.9332089112768678E-3</c:v>
                </c:pt>
                <c:pt idx="70">
                  <c:v>1.9443049768684962E-3</c:v>
                </c:pt>
                <c:pt idx="71">
                  <c:v>1.947996667867108E-3</c:v>
                </c:pt>
                <c:pt idx="72">
                  <c:v>1.9516570334215028E-3</c:v>
                </c:pt>
                <c:pt idx="73">
                  <c:v>1.9552693774322334E-3</c:v>
                </c:pt>
                <c:pt idx="74">
                  <c:v>1.9588170037409969E-3</c:v>
                </c:pt>
                <c:pt idx="75">
                  <c:v>1.9689046140291856E-3</c:v>
                </c:pt>
                <c:pt idx="76">
                  <c:v>1.9720264068490388E-3</c:v>
                </c:pt>
                <c:pt idx="77">
                  <c:v>1.9750000003883527E-3</c:v>
                </c:pt>
                <c:pt idx="78">
                  <c:v>1.9778091454016608E-3</c:v>
                </c:pt>
                <c:pt idx="79">
                  <c:v>1.9804421640952866E-3</c:v>
                </c:pt>
                <c:pt idx="80">
                  <c:v>1.9872945946163181E-3</c:v>
                </c:pt>
                <c:pt idx="81">
                  <c:v>1.9892388058997132E-3</c:v>
                </c:pt>
                <c:pt idx="82">
                  <c:v>1.9910175226235138E-3</c:v>
                </c:pt>
                <c:pt idx="83">
                  <c:v>1.9900731199305262E-3</c:v>
                </c:pt>
                <c:pt idx="84">
                  <c:v>1.992026056995732E-3</c:v>
                </c:pt>
                <c:pt idx="85">
                  <c:v>1.9975225926630678E-3</c:v>
                </c:pt>
                <c:pt idx="86">
                  <c:v>1.9974649238328215E-3</c:v>
                </c:pt>
                <c:pt idx="87">
                  <c:v>1.9971210730092147E-3</c:v>
                </c:pt>
                <c:pt idx="88">
                  <c:v>1.998601304097492E-3</c:v>
                </c:pt>
                <c:pt idx="89">
                  <c:v>1.9967672256491539E-3</c:v>
                </c:pt>
                <c:pt idx="90">
                  <c:v>1.9992257221912446E-3</c:v>
                </c:pt>
                <c:pt idx="91">
                  <c:v>1.9990539038673284E-3</c:v>
                </c:pt>
                <c:pt idx="92">
                  <c:v>1.9987562245139872E-3</c:v>
                </c:pt>
                <c:pt idx="93">
                  <c:v>1.9983353382073111E-3</c:v>
                </c:pt>
                <c:pt idx="94">
                  <c:v>1.9950284689998544E-3</c:v>
                </c:pt>
                <c:pt idx="95">
                  <c:v>1.9954728053157181E-3</c:v>
                </c:pt>
                <c:pt idx="96">
                  <c:v>1.9944756957216959E-3</c:v>
                </c:pt>
                <c:pt idx="97">
                  <c:v>1.993371303824632E-3</c:v>
                </c:pt>
                <c:pt idx="98">
                  <c:v>1.992162283757962E-3</c:v>
                </c:pt>
                <c:pt idx="99">
                  <c:v>1.9877007724260769E-3</c:v>
                </c:pt>
                <c:pt idx="100">
                  <c:v>1.9863330046342104E-3</c:v>
                </c:pt>
                <c:pt idx="101">
                  <c:v>1.9846406558835083E-3</c:v>
                </c:pt>
                <c:pt idx="102">
                  <c:v>1.9828596038515642E-3</c:v>
                </c:pt>
                <c:pt idx="103">
                  <c:v>1.9809925026935344E-3</c:v>
                </c:pt>
                <c:pt idx="104">
                  <c:v>1.9756751417518365E-3</c:v>
                </c:pt>
                <c:pt idx="105">
                  <c:v>1.9727166899558245E-3</c:v>
                </c:pt>
                <c:pt idx="106">
                  <c:v>1.9704591555259948E-3</c:v>
                </c:pt>
                <c:pt idx="107">
                  <c:v>1.9681314969036256E-3</c:v>
                </c:pt>
                <c:pt idx="108">
                  <c:v>1.9657363682412665E-3</c:v>
                </c:pt>
                <c:pt idx="109">
                  <c:v>1.9650084942744528E-3</c:v>
                </c:pt>
                <c:pt idx="110">
                  <c:v>1.9555342360717642E-3</c:v>
                </c:pt>
                <c:pt idx="111">
                  <c:v>1.9528415693378328E-3</c:v>
                </c:pt>
                <c:pt idx="112">
                  <c:v>1.9500973573879801E-3</c:v>
                </c:pt>
                <c:pt idx="113">
                  <c:v>1.9473042543417386E-3</c:v>
                </c:pt>
                <c:pt idx="114">
                  <c:v>1.9410941339388082E-3</c:v>
                </c:pt>
                <c:pt idx="115">
                  <c:v>1.9356960134080297E-3</c:v>
                </c:pt>
                <c:pt idx="116">
                  <c:v>1.932698266485161E-3</c:v>
                </c:pt>
                <c:pt idx="117">
                  <c:v>1.9296675530614588E-3</c:v>
                </c:pt>
                <c:pt idx="118">
                  <c:v>1.9266065272121435E-3</c:v>
                </c:pt>
                <c:pt idx="119">
                  <c:v>1.9203207734015356E-3</c:v>
                </c:pt>
                <c:pt idx="120">
                  <c:v>1.9141123807903358E-3</c:v>
                </c:pt>
                <c:pt idx="121">
                  <c:v>1.9109396036675681E-3</c:v>
                </c:pt>
                <c:pt idx="122">
                  <c:v>1.9077524384036872E-3</c:v>
                </c:pt>
                <c:pt idx="123">
                  <c:v>1.9045535390183057E-3</c:v>
                </c:pt>
                <c:pt idx="124">
                  <c:v>1.8984134984032129E-3</c:v>
                </c:pt>
                <c:pt idx="125">
                  <c:v>1.891693680329072E-3</c:v>
                </c:pt>
                <c:pt idx="126">
                  <c:v>1.888475920311504E-3</c:v>
                </c:pt>
                <c:pt idx="127">
                  <c:v>1.885262350103305E-3</c:v>
                </c:pt>
                <c:pt idx="128">
                  <c:v>1.8820556236615292E-3</c:v>
                </c:pt>
                <c:pt idx="129">
                  <c:v>1.8801861561988699E-3</c:v>
                </c:pt>
                <c:pt idx="130">
                  <c:v>1.8705976111683725E-3</c:v>
                </c:pt>
                <c:pt idx="131">
                  <c:v>1.868677236139149E-3</c:v>
                </c:pt>
                <c:pt idx="132">
                  <c:v>1.8655109640048906E-3</c:v>
                </c:pt>
                <c:pt idx="133">
                  <c:v>1.8623692872230535E-3</c:v>
                </c:pt>
                <c:pt idx="134">
                  <c:v>1.8592549186395857E-3</c:v>
                </c:pt>
                <c:pt idx="135">
                  <c:v>1.8490371833472627E-3</c:v>
                </c:pt>
                <c:pt idx="136">
                  <c:v>1.8471247828841797E-3</c:v>
                </c:pt>
                <c:pt idx="137">
                  <c:v>1.8441876476744667E-3</c:v>
                </c:pt>
                <c:pt idx="138">
                  <c:v>1.8412940975638392E-3</c:v>
                </c:pt>
                <c:pt idx="139">
                  <c:v>1.8384468453476188E-3</c:v>
                </c:pt>
                <c:pt idx="140">
                  <c:v>1.829359724703656E-3</c:v>
                </c:pt>
                <c:pt idx="141">
                  <c:v>1.8275750710623484E-3</c:v>
                </c:pt>
                <c:pt idx="142">
                  <c:v>1.8250000000001876E-3</c:v>
                </c:pt>
                <c:pt idx="143">
                  <c:v>1.8224869474998684E-3</c:v>
                </c:pt>
                <c:pt idx="144">
                  <c:v>1.8200358464639521E-3</c:v>
                </c:pt>
                <c:pt idx="145">
                  <c:v>1.8124074234125754E-3</c:v>
                </c:pt>
                <c:pt idx="146">
                  <c:v>1.8108384957544743E-3</c:v>
                </c:pt>
                <c:pt idx="147">
                  <c:v>1.8086878061671641E-3</c:v>
                </c:pt>
                <c:pt idx="148">
                  <c:v>1.798336446531329E-3</c:v>
                </c:pt>
                <c:pt idx="149">
                  <c:v>1.7969843384078032E-3</c:v>
                </c:pt>
                <c:pt idx="150">
                  <c:v>1.7952280571247314E-3</c:v>
                </c:pt>
                <c:pt idx="151">
                  <c:v>1.7918764273741061E-3</c:v>
                </c:pt>
                <c:pt idx="152">
                  <c:v>1.7866473139419147E-3</c:v>
                </c:pt>
                <c:pt idx="153">
                  <c:v>1.7855168643214855E-3</c:v>
                </c:pt>
                <c:pt idx="154">
                  <c:v>1.7844070539316803E-3</c:v>
                </c:pt>
                <c:pt idx="155">
                  <c:v>1.7830641439466888E-3</c:v>
                </c:pt>
                <c:pt idx="156">
                  <c:v>1.7817701018696397E-3</c:v>
                </c:pt>
                <c:pt idx="157">
                  <c:v>1.7780040981813022E-3</c:v>
                </c:pt>
                <c:pt idx="158">
                  <c:v>1.7770701528361244E-3</c:v>
                </c:pt>
                <c:pt idx="159">
                  <c:v>1.7760111054689887E-3</c:v>
                </c:pt>
                <c:pt idx="160">
                  <c:v>1.7749971880958171E-3</c:v>
                </c:pt>
                <c:pt idx="161">
                  <c:v>1.7740277777367197E-3</c:v>
                </c:pt>
                <c:pt idx="162">
                  <c:v>1.7713200416124143E-3</c:v>
                </c:pt>
                <c:pt idx="163">
                  <c:v>1.7705827469720603E-3</c:v>
                </c:pt>
                <c:pt idx="164">
                  <c:v>1.7698265270951197E-3</c:v>
                </c:pt>
                <c:pt idx="165">
                  <c:v>1.7691110764088691E-3</c:v>
                </c:pt>
                <c:pt idx="166">
                  <c:v>1.7684357719485178E-3</c:v>
                </c:pt>
                <c:pt idx="167">
                  <c:v>1.7666756167536465E-3</c:v>
                </c:pt>
                <c:pt idx="168">
                  <c:v>1.7661235571369005E-3</c:v>
                </c:pt>
                <c:pt idx="169">
                  <c:v>1.7656396393963547E-3</c:v>
                </c:pt>
                <c:pt idx="170">
                  <c:v>1.7651921301284901E-3</c:v>
                </c:pt>
                <c:pt idx="171">
                  <c:v>1.7647804063773975E-3</c:v>
                </c:pt>
                <c:pt idx="172">
                  <c:v>1.7638594943388246E-3</c:v>
                </c:pt>
                <c:pt idx="173">
                  <c:v>1.763478907509608E-3</c:v>
                </c:pt>
                <c:pt idx="174">
                  <c:v>1.7631163462159013E-3</c:v>
                </c:pt>
                <c:pt idx="175">
                  <c:v>1.7628972604515397E-3</c:v>
                </c:pt>
                <c:pt idx="176">
                  <c:v>1.7627098793745928E-3</c:v>
                </c:pt>
                <c:pt idx="177">
                  <c:v>1.7626603484432769E-3</c:v>
                </c:pt>
                <c:pt idx="178">
                  <c:v>1.7624351255056681E-3</c:v>
                </c:pt>
                <c:pt idx="179">
                  <c:v>1.7622264963600782E-3</c:v>
                </c:pt>
                <c:pt idx="180">
                  <c:v>1.7622161146502043E-3</c:v>
                </c:pt>
                <c:pt idx="181">
                  <c:v>1.7622330280476284E-3</c:v>
                </c:pt>
                <c:pt idx="182">
                  <c:v>1.7628668555641309E-3</c:v>
                </c:pt>
                <c:pt idx="183">
                  <c:v>1.7627785408667052E-3</c:v>
                </c:pt>
                <c:pt idx="184">
                  <c:v>1.7627049738469232E-3</c:v>
                </c:pt>
                <c:pt idx="185">
                  <c:v>1.762872429216943E-3</c:v>
                </c:pt>
                <c:pt idx="186">
                  <c:v>1.7630627701401907E-3</c:v>
                </c:pt>
                <c:pt idx="187">
                  <c:v>1.7642676938139253E-3</c:v>
                </c:pt>
                <c:pt idx="188">
                  <c:v>1.7642954848646752E-3</c:v>
                </c:pt>
                <c:pt idx="189">
                  <c:v>1.7643357103545505E-3</c:v>
                </c:pt>
                <c:pt idx="190">
                  <c:v>1.7646501359780658E-3</c:v>
                </c:pt>
                <c:pt idx="191">
                  <c:v>1.7655230784084455E-3</c:v>
                </c:pt>
                <c:pt idx="192">
                  <c:v>1.7669375484517743E-3</c:v>
                </c:pt>
                <c:pt idx="193">
                  <c:v>1.7673499819912688E-3</c:v>
                </c:pt>
                <c:pt idx="194">
                  <c:v>1.767777454524292E-3</c:v>
                </c:pt>
                <c:pt idx="195">
                  <c:v>1.7682193566487502E-3</c:v>
                </c:pt>
                <c:pt idx="196">
                  <c:v>1.769284311380088E-3</c:v>
                </c:pt>
                <c:pt idx="197">
                  <c:v>1.7701190730320829E-3</c:v>
                </c:pt>
                <c:pt idx="198">
                  <c:v>1.7706239820901245E-3</c:v>
                </c:pt>
                <c:pt idx="199">
                  <c:v>1.7711396643287746E-3</c:v>
                </c:pt>
                <c:pt idx="200">
                  <c:v>1.7716655103442013E-3</c:v>
                </c:pt>
                <c:pt idx="201">
                  <c:v>1.7728584677586085E-3</c:v>
                </c:pt>
                <c:pt idx="202">
                  <c:v>1.7738583441283204E-3</c:v>
                </c:pt>
                <c:pt idx="203">
                  <c:v>1.7744258679866631E-3</c:v>
                </c:pt>
                <c:pt idx="204">
                  <c:v>1.7750000007697177E-3</c:v>
                </c:pt>
                <c:pt idx="205">
                  <c:v>1.775580668134344E-3</c:v>
                </c:pt>
                <c:pt idx="206">
                  <c:v>1.776872780017383E-3</c:v>
                </c:pt>
                <c:pt idx="207">
                  <c:v>1.7779716778045991E-3</c:v>
                </c:pt>
                <c:pt idx="208">
                  <c:v>1.7785873319314082E-3</c:v>
                </c:pt>
                <c:pt idx="209">
                  <c:v>1.7792104734037435E-3</c:v>
                </c:pt>
                <c:pt idx="210">
                  <c:v>1.7798412655544305E-3</c:v>
                </c:pt>
                <c:pt idx="211">
                  <c:v>1.7812443695358496E-3</c:v>
                </c:pt>
                <c:pt idx="212">
                  <c:v>1.7824442075711406E-3</c:v>
                </c:pt>
                <c:pt idx="213">
                  <c:v>1.7827192439821395E-3</c:v>
                </c:pt>
                <c:pt idx="214">
                  <c:v>1.7833941301457969E-3</c:v>
                </c:pt>
                <c:pt idx="215">
                  <c:v>1.7840776702696402E-3</c:v>
                </c:pt>
                <c:pt idx="216">
                  <c:v>1.787630959741529E-3</c:v>
                </c:pt>
                <c:pt idx="217">
                  <c:v>1.7883698912974726E-3</c:v>
                </c:pt>
                <c:pt idx="218">
                  <c:v>1.7891186327039306E-3</c:v>
                </c:pt>
                <c:pt idx="219">
                  <c:v>1.7898773490894731E-3</c:v>
                </c:pt>
                <c:pt idx="220">
                  <c:v>1.7922149994063089E-3</c:v>
                </c:pt>
                <c:pt idx="221">
                  <c:v>1.7930152669930124E-3</c:v>
                </c:pt>
                <c:pt idx="222">
                  <c:v>1.7938263352025297E-3</c:v>
                </c:pt>
                <c:pt idx="223">
                  <c:v>1.7946483691634308E-3</c:v>
                </c:pt>
                <c:pt idx="224">
                  <c:v>1.7954815340051641E-3</c:v>
                </c:pt>
                <c:pt idx="225">
                  <c:v>1.798049465115994E-3</c:v>
                </c:pt>
                <c:pt idx="226">
                  <c:v>1.798928804781692E-3</c:v>
                </c:pt>
                <c:pt idx="227">
                  <c:v>1.7998201009789788E-3</c:v>
                </c:pt>
                <c:pt idx="228">
                  <c:v>1.8007235188390602E-3</c:v>
                </c:pt>
                <c:pt idx="229">
                  <c:v>1.801639223494898E-3</c:v>
                </c:pt>
                <c:pt idx="230">
                  <c:v>1.8044617095402218E-3</c:v>
                </c:pt>
                <c:pt idx="231">
                  <c:v>1.8054282126893834E-3</c:v>
                </c:pt>
                <c:pt idx="232">
                  <c:v>1.8064078282920859E-3</c:v>
                </c:pt>
                <c:pt idx="233">
                  <c:v>1.8080080170047924E-3</c:v>
                </c:pt>
                <c:pt idx="234">
                  <c:v>1.812150822517347E-3</c:v>
                </c:pt>
                <c:pt idx="235">
                  <c:v>1.8132215758051213E-3</c:v>
                </c:pt>
                <c:pt idx="236">
                  <c:v>1.8143066765387355E-3</c:v>
                </c:pt>
                <c:pt idx="237">
                  <c:v>1.8154062880597044E-3</c:v>
                </c:pt>
                <c:pt idx="238">
                  <c:v>1.8178986074513666E-3</c:v>
                </c:pt>
                <c:pt idx="239">
                  <c:v>1.8199531088552267E-3</c:v>
                </c:pt>
                <c:pt idx="240">
                  <c:v>1.8211277244452378E-3</c:v>
                </c:pt>
                <c:pt idx="241">
                  <c:v>1.822317830877771E-3</c:v>
                </c:pt>
                <c:pt idx="242">
                  <c:v>1.8235235914978154E-3</c:v>
                </c:pt>
                <c:pt idx="243">
                  <c:v>1.8262568731496507E-3</c:v>
                </c:pt>
                <c:pt idx="244">
                  <c:v>1.8285064427398694E-3</c:v>
                </c:pt>
                <c:pt idx="245">
                  <c:v>1.8297929244671036E-3</c:v>
                </c:pt>
                <c:pt idx="246">
                  <c:v>1.8310960404543943E-3</c:v>
                </c:pt>
                <c:pt idx="247">
                  <c:v>1.8324159540467309E-3</c:v>
                </c:pt>
                <c:pt idx="248">
                  <c:v>1.8354040007122767E-3</c:v>
                </c:pt>
                <c:pt idx="249">
                  <c:v>1.8378668514271532E-3</c:v>
                </c:pt>
                <c:pt idx="250">
                  <c:v>1.8392732032664846E-3</c:v>
                </c:pt>
                <c:pt idx="251">
                  <c:v>1.8406973328016533E-3</c:v>
                </c:pt>
                <c:pt idx="252">
                  <c:v>1.8421394033828621E-3</c:v>
                </c:pt>
                <c:pt idx="253">
                  <c:v>1.8453948268250754E-3</c:v>
                </c:pt>
                <c:pt idx="254">
                  <c:v>1.8480903631851902E-3</c:v>
                </c:pt>
                <c:pt idx="255">
                  <c:v>1.8496245892644142E-3</c:v>
                </c:pt>
                <c:pt idx="256">
                  <c:v>1.8511777364995847E-3</c:v>
                </c:pt>
                <c:pt idx="257">
                  <c:v>1.85274996824438E-3</c:v>
                </c:pt>
                <c:pt idx="258">
                  <c:v>1.8562841892776751E-3</c:v>
                </c:pt>
                <c:pt idx="259">
                  <c:v>1.8592330074159676E-3</c:v>
                </c:pt>
                <c:pt idx="260">
                  <c:v>1.860903112034916E-3</c:v>
                </c:pt>
                <c:pt idx="261">
                  <c:v>1.8625932812959859E-3</c:v>
                </c:pt>
                <c:pt idx="262">
                  <c:v>1.8643036785572003E-3</c:v>
                </c:pt>
                <c:pt idx="263">
                  <c:v>1.8681269270944608E-3</c:v>
                </c:pt>
                <c:pt idx="264">
                  <c:v>1.8713508147804665E-3</c:v>
                </c:pt>
                <c:pt idx="265">
                  <c:v>1.8731648024283845E-3</c:v>
                </c:pt>
                <c:pt idx="266">
                  <c:v>1.8749999982350096E-3</c:v>
                </c:pt>
                <c:pt idx="267">
                  <c:v>1.8768565586899464E-3</c:v>
                </c:pt>
                <c:pt idx="268">
                  <c:v>1.8809774235962584E-3</c:v>
                </c:pt>
                <c:pt idx="269">
                  <c:v>1.8844972161905554E-3</c:v>
                </c:pt>
                <c:pt idx="270">
                  <c:v>1.8864608057206599E-3</c:v>
                </c:pt>
                <c:pt idx="271">
                  <c:v>1.8884456829197831E-3</c:v>
                </c:pt>
                <c:pt idx="272">
                  <c:v>1.8904518065904451E-3</c:v>
                </c:pt>
                <c:pt idx="273">
                  <c:v>1.8948692991168185E-3</c:v>
                </c:pt>
                <c:pt idx="274">
                  <c:v>1.8986879420771052E-3</c:v>
                </c:pt>
                <c:pt idx="275">
                  <c:v>1.9007996801727988E-3</c:v>
                </c:pt>
                <c:pt idx="276">
                  <c:v>1.9029324175673138E-3</c:v>
                </c:pt>
                <c:pt idx="277">
                  <c:v>1.9050861130675146E-3</c:v>
                </c:pt>
                <c:pt idx="278">
                  <c:v>1.9097946607408839E-3</c:v>
                </c:pt>
                <c:pt idx="279">
                  <c:v>1.9139096522329162E-3</c:v>
                </c:pt>
                <c:pt idx="280">
                  <c:v>1.9161675203471303E-3</c:v>
                </c:pt>
                <c:pt idx="281">
                  <c:v>1.9184460994047393E-3</c:v>
                </c:pt>
                <c:pt idx="282">
                  <c:v>1.9207453482117389E-3</c:v>
                </c:pt>
                <c:pt idx="283">
                  <c:v>1.9257396797013869E-3</c:v>
                </c:pt>
                <c:pt idx="284">
                  <c:v>1.9301482170874314E-3</c:v>
                </c:pt>
                <c:pt idx="285">
                  <c:v>1.9325501967582465E-3</c:v>
                </c:pt>
                <c:pt idx="286">
                  <c:v>1.9349725990257191E-3</c:v>
                </c:pt>
                <c:pt idx="287">
                  <c:v>1.9374153827001884E-3</c:v>
                </c:pt>
                <c:pt idx="288">
                  <c:v>1.9426905278231265E-3</c:v>
                </c:pt>
                <c:pt idx="289">
                  <c:v>1.9473895076365969E-3</c:v>
                </c:pt>
                <c:pt idx="290">
                  <c:v>1.9499335804776857E-3</c:v>
                </c:pt>
                <c:pt idx="291">
                  <c:v>1.9524977875817269E-3</c:v>
                </c:pt>
                <c:pt idx="292">
                  <c:v>1.9550820877590603E-3</c:v>
                </c:pt>
                <c:pt idx="293">
                  <c:v>1.9606333774862031E-3</c:v>
                </c:pt>
                <c:pt idx="294">
                  <c:v>1.9656193954028949E-3</c:v>
                </c:pt>
                <c:pt idx="295">
                  <c:v>1.9683035431026521E-3</c:v>
                </c:pt>
                <c:pt idx="296">
                  <c:v>1.9710075367403461E-3</c:v>
                </c:pt>
                <c:pt idx="297">
                  <c:v>1.973731335127185E-3</c:v>
                </c:pt>
                <c:pt idx="298">
                  <c:v>1.9749443082007876E-3</c:v>
                </c:pt>
                <c:pt idx="299">
                  <c:v>1.9848237524040624E-3</c:v>
                </c:pt>
                <c:pt idx="300">
                  <c:v>1.9876459567169176E-3</c:v>
                </c:pt>
                <c:pt idx="301">
                  <c:v>1.990487718652251E-3</c:v>
                </c:pt>
                <c:pt idx="302">
                  <c:v>1.99334899702214E-3</c:v>
                </c:pt>
                <c:pt idx="303">
                  <c:v>1.999439773510467E-3</c:v>
                </c:pt>
                <c:pt idx="304">
                  <c:v>2.0049884511139939E-3</c:v>
                </c:pt>
                <c:pt idx="305">
                  <c:v>2.0079466938569355E-3</c:v>
                </c:pt>
                <c:pt idx="306">
                  <c:v>2.0109242059147161E-3</c:v>
                </c:pt>
                <c:pt idx="307">
                  <c:v>2.0139209461028894E-3</c:v>
                </c:pt>
                <c:pt idx="308">
                  <c:v>2.0202756670818097E-3</c:v>
                </c:pt>
                <c:pt idx="309">
                  <c:v>2.0260993644279864E-3</c:v>
                </c:pt>
                <c:pt idx="310">
                  <c:v>2.0291916274762165E-3</c:v>
                </c:pt>
                <c:pt idx="311">
                  <c:v>2.0323028715403357E-3</c:v>
                </c:pt>
                <c:pt idx="312">
                  <c:v>2.0354330554350282E-3</c:v>
                </c:pt>
                <c:pt idx="313">
                  <c:v>2.0420482565425158E-3</c:v>
                </c:pt>
                <c:pt idx="314">
                  <c:v>2.0481423656305902E-3</c:v>
                </c:pt>
                <c:pt idx="315">
                  <c:v>2.051366630910574E-3</c:v>
                </c:pt>
                <c:pt idx="316">
                  <c:v>2.0546095889153173E-3</c:v>
                </c:pt>
                <c:pt idx="317">
                  <c:v>2.0578711984595038E-3</c:v>
                </c:pt>
                <c:pt idx="318">
                  <c:v>2.064743716515998E-3</c:v>
                </c:pt>
                <c:pt idx="319">
                  <c:v>2.0692891941334278E-3</c:v>
                </c:pt>
                <c:pt idx="320">
                  <c:v>2.0726344902131369E-3</c:v>
                </c:pt>
                <c:pt idx="321">
                  <c:v>2.0759981978183371E-3</c:v>
                </c:pt>
                <c:pt idx="322">
                  <c:v>2.0793802753155182E-3</c:v>
                </c:pt>
                <c:pt idx="323">
                  <c:v>2.0827806810650223E-3</c:v>
                </c:pt>
                <c:pt idx="324">
                  <c:v>2.0930914514712875E-3</c:v>
                </c:pt>
                <c:pt idx="325">
                  <c:v>2.0965647538721439E-3</c:v>
                </c:pt>
                <c:pt idx="326">
                  <c:v>2.1000561763454759E-3</c:v>
                </c:pt>
                <c:pt idx="327">
                  <c:v>2.1035656772551382E-3</c:v>
                </c:pt>
                <c:pt idx="328">
                  <c:v>2.1070932149667423E-3</c:v>
                </c:pt>
                <c:pt idx="329">
                  <c:v>2.1177836325500005E-3</c:v>
                </c:pt>
                <c:pt idx="330">
                  <c:v>2.1213829011096793E-3</c:v>
                </c:pt>
                <c:pt idx="331">
                  <c:v>2.1249999982923314E-3</c:v>
                </c:pt>
                <c:pt idx="332">
                  <c:v>2.1286348778870104E-3</c:v>
                </c:pt>
                <c:pt idx="333">
                  <c:v>2.1322874823248208E-3</c:v>
                </c:pt>
                <c:pt idx="334">
                  <c:v>2.1433513289250182E-3</c:v>
                </c:pt>
                <c:pt idx="335">
                  <c:v>2.147074530858151E-3</c:v>
                </c:pt>
                <c:pt idx="336">
                  <c:v>2.1508153136441011E-3</c:v>
                </c:pt>
                <c:pt idx="337">
                  <c:v>2.1545736498753418E-3</c:v>
                </c:pt>
                <c:pt idx="338">
                  <c:v>2.1644735532920954E-3</c:v>
                </c:pt>
                <c:pt idx="339">
                  <c:v>2.1697819810903786E-3</c:v>
                </c:pt>
                <c:pt idx="340">
                  <c:v>2.173627673428144E-3</c:v>
                </c:pt>
                <c:pt idx="341">
                  <c:v>2.1795693632085883E-3</c:v>
                </c:pt>
                <c:pt idx="342">
                  <c:v>2.1897531188098149E-3</c:v>
                </c:pt>
                <c:pt idx="343">
                  <c:v>2.1915725198164648E-3</c:v>
                </c:pt>
                <c:pt idx="344">
                  <c:v>2.1991870270445996E-3</c:v>
                </c:pt>
                <c:pt idx="345">
                  <c:v>2.2031622779721646E-3</c:v>
                </c:pt>
                <c:pt idx="346">
                  <c:v>2.2071547050350267E-3</c:v>
                </c:pt>
                <c:pt idx="347">
                  <c:v>2.2111642811244352E-3</c:v>
                </c:pt>
                <c:pt idx="348">
                  <c:v>2.2195163235027653E-3</c:v>
                </c:pt>
                <c:pt idx="349">
                  <c:v>2.2273735336168477E-3</c:v>
                </c:pt>
                <c:pt idx="350">
                  <c:v>2.2314684482381492E-3</c:v>
                </c:pt>
                <c:pt idx="351">
                  <c:v>2.2355803492430551E-3</c:v>
                </c:pt>
                <c:pt idx="352">
                  <c:v>2.2397092095271594E-3</c:v>
                </c:pt>
                <c:pt idx="353">
                  <c:v>2.248295864943811E-3</c:v>
                </c:pt>
                <c:pt idx="354">
                  <c:v>2.2563937013135764E-3</c:v>
                </c:pt>
                <c:pt idx="355">
                  <c:v>2.2606069513910949E-3</c:v>
                </c:pt>
                <c:pt idx="356">
                  <c:v>2.2648369981092134E-3</c:v>
                </c:pt>
                <c:pt idx="357">
                  <c:v>2.2690838143609197E-3</c:v>
                </c:pt>
                <c:pt idx="358">
                  <c:v>2.277902045007941E-3</c:v>
                </c:pt>
                <c:pt idx="359">
                  <c:v>2.2862382325911815E-3</c:v>
                </c:pt>
                <c:pt idx="360">
                  <c:v>2.2905684899264958E-3</c:v>
                </c:pt>
                <c:pt idx="361">
                  <c:v>2.2949153541611438E-3</c:v>
                </c:pt>
                <c:pt idx="362">
                  <c:v>2.2992787981907202E-3</c:v>
                </c:pt>
                <c:pt idx="363">
                  <c:v>2.3013331435688595E-3</c:v>
                </c:pt>
                <c:pt idx="364">
                  <c:v>2.3168978301502108E-3</c:v>
                </c:pt>
                <c:pt idx="365">
                  <c:v>2.3213437665753106E-3</c:v>
                </c:pt>
                <c:pt idx="366">
                  <c:v>2.3258061201645599E-3</c:v>
                </c:pt>
                <c:pt idx="367">
                  <c:v>2.3302848638135534E-3</c:v>
                </c:pt>
                <c:pt idx="368">
                  <c:v>2.3395579257518358E-3</c:v>
                </c:pt>
                <c:pt idx="369">
                  <c:v>2.3483631969110365E-3</c:v>
                </c:pt>
                <c:pt idx="370">
                  <c:v>2.3529234842883215E-3</c:v>
                </c:pt>
                <c:pt idx="371">
                  <c:v>2.3574999990989168E-3</c:v>
                </c:pt>
                <c:pt idx="372">
                  <c:v>2.3620927142375477E-3</c:v>
                </c:pt>
                <c:pt idx="373">
                  <c:v>2.3715894293783743E-3</c:v>
                </c:pt>
                <c:pt idx="374">
                  <c:v>2.3806250359947397E-3</c:v>
                </c:pt>
                <c:pt idx="375">
                  <c:v>2.3852983462152831E-3</c:v>
                </c:pt>
                <c:pt idx="376">
                  <c:v>2.389987694139166E-3</c:v>
                </c:pt>
                <c:pt idx="377">
                  <c:v>2.3946930526654578E-3</c:v>
                </c:pt>
                <c:pt idx="378">
                  <c:v>2.4044111774832785E-3</c:v>
                </c:pt>
                <c:pt idx="379">
                  <c:v>2.4136740507066019E-3</c:v>
                </c:pt>
                <c:pt idx="380">
                  <c:v>2.4184590556840671E-3</c:v>
                </c:pt>
                <c:pt idx="381">
                  <c:v>2.4232599086418515E-3</c:v>
                </c:pt>
                <c:pt idx="382">
                  <c:v>2.4280765824755499E-3</c:v>
                </c:pt>
                <c:pt idx="383">
                  <c:v>2.43801407202848E-3</c:v>
                </c:pt>
                <c:pt idx="384">
                  <c:v>2.4449330082968786E-3</c:v>
                </c:pt>
                <c:pt idx="385">
                  <c:v>2.4498206853415133E-3</c:v>
                </c:pt>
                <c:pt idx="386">
                  <c:v>2.4547240249193961E-3</c:v>
                </c:pt>
                <c:pt idx="387">
                  <c:v>2.4596429996273927E-3</c:v>
                </c:pt>
                <c:pt idx="388">
                  <c:v>2.4645775820650033E-3</c:v>
                </c:pt>
                <c:pt idx="389">
                  <c:v>2.4794747017373503E-3</c:v>
                </c:pt>
                <c:pt idx="390">
                  <c:v>2.4844714410743687E-3</c:v>
                </c:pt>
                <c:pt idx="391">
                  <c:v>2.4894836511332335E-3</c:v>
                </c:pt>
                <c:pt idx="392">
                  <c:v>2.4945113045108103E-3</c:v>
                </c:pt>
                <c:pt idx="393">
                  <c:v>2.4995543738057205E-3</c:v>
                </c:pt>
                <c:pt idx="394">
                  <c:v>2.5147758031850687E-3</c:v>
                </c:pt>
                <c:pt idx="395">
                  <c:v>2.5198802621364145E-3</c:v>
                </c:pt>
                <c:pt idx="396">
                  <c:v>2.5249999999999617E-3</c:v>
                </c:pt>
                <c:pt idx="397">
                  <c:v>2.5301350158401948E-3</c:v>
                </c:pt>
                <c:pt idx="398">
                  <c:v>2.5352854145991033E-3</c:v>
                </c:pt>
                <c:pt idx="399">
                  <c:v>2.5508302224769358E-3</c:v>
                </c:pt>
                <c:pt idx="400">
                  <c:v>2.556043467008386E-3</c:v>
                </c:pt>
                <c:pt idx="401">
                  <c:v>2.5612727515109462E-3</c:v>
                </c:pt>
                <c:pt idx="402">
                  <c:v>2.5665182073994946E-3</c:v>
                </c:pt>
                <c:pt idx="403">
                  <c:v>2.5904567815042113E-3</c:v>
                </c:pt>
                <c:pt idx="404">
                  <c:v>2.5929926571721541E-3</c:v>
                </c:pt>
                <c:pt idx="405">
                  <c:v>2.5983379011128098E-3</c:v>
                </c:pt>
                <c:pt idx="406">
                  <c:v>2.6037002363602964E-3</c:v>
                </c:pt>
                <c:pt idx="407">
                  <c:v>2.6253231188426295E-3</c:v>
                </c:pt>
                <c:pt idx="408">
                  <c:v>2.6307728819528679E-3</c:v>
                </c:pt>
                <c:pt idx="409">
                  <c:v>2.636240524908403E-3</c:v>
                </c:pt>
                <c:pt idx="410">
                  <c:v>2.6417261791372897E-3</c:v>
                </c:pt>
                <c:pt idx="411">
                  <c:v>2.6472299760658272E-3</c:v>
                </c:pt>
                <c:pt idx="412">
                  <c:v>2.6638515373404344E-3</c:v>
                </c:pt>
                <c:pt idx="413">
                  <c:v>2.6694292193630586E-3</c:v>
                </c:pt>
                <c:pt idx="414">
                  <c:v>2.6750257012387855E-3</c:v>
                </c:pt>
                <c:pt idx="415">
                  <c:v>2.6806411144000629E-3</c:v>
                </c:pt>
                <c:pt idx="416">
                  <c:v>2.6862755902828514E-3</c:v>
                </c:pt>
                <c:pt idx="417">
                  <c:v>2.7032947086119878E-3</c:v>
                </c:pt>
                <c:pt idx="418">
                  <c:v>2.7090067497421884E-3</c:v>
                </c:pt>
                <c:pt idx="419">
                  <c:v>2.7147385107807319E-3</c:v>
                </c:pt>
                <c:pt idx="420">
                  <c:v>2.7204901231688509E-3</c:v>
                </c:pt>
                <c:pt idx="421">
                  <c:v>2.7262617183477765E-3</c:v>
                </c:pt>
                <c:pt idx="422">
                  <c:v>2.7436977150671828E-3</c:v>
                </c:pt>
                <c:pt idx="423">
                  <c:v>2.7495505558506384E-3</c:v>
                </c:pt>
                <c:pt idx="424">
                  <c:v>2.7554240366503835E-3</c:v>
                </c:pt>
                <c:pt idx="425">
                  <c:v>2.7613182889155551E-3</c:v>
                </c:pt>
                <c:pt idx="426">
                  <c:v>2.7672334440952909E-3</c:v>
                </c:pt>
                <c:pt idx="427">
                  <c:v>2.7851056416290671E-3</c:v>
                </c:pt>
                <c:pt idx="428">
                  <c:v>2.7879291622490143E-3</c:v>
                </c:pt>
                <c:pt idx="429">
                  <c:v>2.7939384708695059E-3</c:v>
                </c:pt>
                <c:pt idx="430">
                  <c:v>2.7999694095006689E-3</c:v>
                </c:pt>
                <c:pt idx="431">
                  <c:v>2.8060221110575156E-3</c:v>
                </c:pt>
                <c:pt idx="432">
                  <c:v>2.8275635758506718E-3</c:v>
                </c:pt>
                <c:pt idx="433">
                  <c:v>2.8304532048597508E-3</c:v>
                </c:pt>
                <c:pt idx="434">
                  <c:v>2.8366167147959587E-3</c:v>
                </c:pt>
                <c:pt idx="435">
                  <c:v>2.842802785166576E-3</c:v>
                </c:pt>
                <c:pt idx="436">
                  <c:v>2.849011548895497E-3</c:v>
                </c:pt>
                <c:pt idx="437">
                  <c:v>2.8711166080292077E-3</c:v>
                </c:pt>
                <c:pt idx="438">
                  <c:v>2.8740761958756522E-3</c:v>
                </c:pt>
                <c:pt idx="439">
                  <c:v>2.8804004202713784E-3</c:v>
                </c:pt>
                <c:pt idx="440">
                  <c:v>2.8867481355847602E-3</c:v>
                </c:pt>
                <c:pt idx="441">
                  <c:v>2.8931194747459088E-3</c:v>
                </c:pt>
                <c:pt idx="442">
                  <c:v>2.915809831330799E-3</c:v>
                </c:pt>
                <c:pt idx="443">
                  <c:v>2.9188437285494473E-3</c:v>
                </c:pt>
                <c:pt idx="444">
                  <c:v>2.925335180966826E-3</c:v>
                </c:pt>
                <c:pt idx="445">
                  <c:v>2.9318510548463905E-3</c:v>
                </c:pt>
                <c:pt idx="446">
                  <c:v>2.9383914831280222E-3</c:v>
                </c:pt>
                <c:pt idx="447">
                  <c:v>2.9652243663034982E-3</c:v>
                </c:pt>
                <c:pt idx="448">
                  <c:v>2.9718913166726611E-3</c:v>
                </c:pt>
                <c:pt idx="449">
                  <c:v>2.978583530275069E-3</c:v>
                </c:pt>
                <c:pt idx="450">
                  <c:v>2.9853011371762444E-3</c:v>
                </c:pt>
                <c:pt idx="451">
                  <c:v>2.9992518474091516E-3</c:v>
                </c:pt>
                <c:pt idx="452">
                  <c:v>3.0124280991564289E-3</c:v>
                </c:pt>
                <c:pt idx="453">
                  <c:v>3.0192746236029394E-3</c:v>
                </c:pt>
                <c:pt idx="454">
                  <c:v>3.026147321776983E-3</c:v>
                </c:pt>
                <c:pt idx="455">
                  <c:v>3.0330463237562473E-3</c:v>
                </c:pt>
                <c:pt idx="456">
                  <c:v>3.0473699066271192E-3</c:v>
                </c:pt>
                <c:pt idx="457">
                  <c:v>3.0609079713027286E-3</c:v>
                </c:pt>
                <c:pt idx="458">
                  <c:v>3.0679404435038243E-3</c:v>
                </c:pt>
                <c:pt idx="459">
                  <c:v>3.0749999999997268E-3</c:v>
                </c:pt>
                <c:pt idx="460">
                  <c:v>3.0820867158390993E-3</c:v>
                </c:pt>
                <c:pt idx="461">
                  <c:v>3.096788059525458E-3</c:v>
                </c:pt>
                <c:pt idx="462">
                  <c:v>3.1107017202824457E-3</c:v>
                </c:pt>
                <c:pt idx="463">
                  <c:v>3.1179215059760844E-3</c:v>
                </c:pt>
                <c:pt idx="464">
                  <c:v>3.1251673052236422E-3</c:v>
                </c:pt>
                <c:pt idx="465">
                  <c:v>3.1324389178843466E-3</c:v>
                </c:pt>
                <c:pt idx="466">
                  <c:v>3.169177177377182E-3</c:v>
                </c:pt>
                <c:pt idx="467">
                  <c:v>3.1765994674979605E-3</c:v>
                </c:pt>
                <c:pt idx="468">
                  <c:v>3.1801074818783568E-3</c:v>
                </c:pt>
                <c:pt idx="469">
                  <c:v>3.1875674948689992E-3</c:v>
                </c:pt>
                <c:pt idx="470">
                  <c:v>3.2100917980625934E-3</c:v>
                </c:pt>
                <c:pt idx="471">
                  <c:v>3.21764731269236E-3</c:v>
                </c:pt>
                <c:pt idx="472">
                  <c:v>3.2252261968490994E-3</c:v>
                </c:pt>
                <c:pt idx="473">
                  <c:v>3.2328282481768776E-3</c:v>
                </c:pt>
                <c:pt idx="474">
                  <c:v>3.2404532643188818E-3</c:v>
                </c:pt>
                <c:pt idx="475">
                  <c:v>3.2634640780445563E-3</c:v>
                </c:pt>
                <c:pt idx="476">
                  <c:v>3.2711789298524997E-3</c:v>
                </c:pt>
                <c:pt idx="477">
                  <c:v>3.2789157346730376E-3</c:v>
                </c:pt>
                <c:pt idx="478">
                  <c:v>3.286674290144087E-3</c:v>
                </c:pt>
                <c:pt idx="479">
                  <c:v>3.2944543938974156E-3</c:v>
                </c:pt>
                <c:pt idx="480">
                  <c:v>3.3179219711951106E-3</c:v>
                </c:pt>
                <c:pt idx="481">
                  <c:v>3.3257862444092913E-3</c:v>
                </c:pt>
                <c:pt idx="482">
                  <c:v>3.3336710540637121E-3</c:v>
                </c:pt>
                <c:pt idx="483">
                  <c:v>3.3415761977857502E-3</c:v>
                </c:pt>
                <c:pt idx="484">
                  <c:v>3.349501473201023E-3</c:v>
                </c:pt>
                <c:pt idx="485">
                  <c:v>3.3733960658457562E-3</c:v>
                </c:pt>
                <c:pt idx="486">
                  <c:v>3.3813998442673225E-3</c:v>
                </c:pt>
                <c:pt idx="487">
                  <c:v>3.3894227424935298E-3</c:v>
                </c:pt>
                <c:pt idx="488">
                  <c:v>3.3974645581403341E-3</c:v>
                </c:pt>
                <c:pt idx="489">
                  <c:v>3.4055250888263269E-3</c:v>
                </c:pt>
                <c:pt idx="490">
                  <c:v>3.4340326503097362E-3</c:v>
                </c:pt>
                <c:pt idx="491">
                  <c:v>3.442172671243558E-3</c:v>
                </c:pt>
                <c:pt idx="492">
                  <c:v>3.4503302988282995E-3</c:v>
                </c:pt>
                <c:pt idx="493">
                  <c:v>3.4585053328710551E-3</c:v>
                </c:pt>
                <c:pt idx="494">
                  <c:v>3.4751917198855165E-3</c:v>
                </c:pt>
                <c:pt idx="495">
                  <c:v>3.4913755297354314E-3</c:v>
                </c:pt>
                <c:pt idx="496">
                  <c:v>3.4996345931381794E-3</c:v>
                </c:pt>
                <c:pt idx="497">
                  <c:v>3.507909861817178E-3</c:v>
                </c:pt>
                <c:pt idx="498">
                  <c:v>3.5162011355673586E-3</c:v>
                </c:pt>
                <c:pt idx="499">
                  <c:v>3.5330860859075831E-3</c:v>
                </c:pt>
                <c:pt idx="500">
                  <c:v>3.5495222771984801E-3</c:v>
                </c:pt>
                <c:pt idx="501">
                  <c:v>3.5578905732241745E-3</c:v>
                </c:pt>
                <c:pt idx="502">
                  <c:v>3.5662736730767289E-3</c:v>
                </c:pt>
                <c:pt idx="503">
                  <c:v>3.5746713765423847E-3</c:v>
                </c:pt>
                <c:pt idx="504">
                  <c:v>3.5917380176623483E-3</c:v>
                </c:pt>
                <c:pt idx="505">
                  <c:v>3.6084042222278329E-3</c:v>
                </c:pt>
                <c:pt idx="506">
                  <c:v>3.6168719405117798E-3</c:v>
                </c:pt>
                <c:pt idx="507">
                  <c:v>3.6253530610976035E-3</c:v>
                </c:pt>
                <c:pt idx="508">
                  <c:v>3.6338473837619878E-3</c:v>
                </c:pt>
                <c:pt idx="509">
                  <c:v>3.6510803033893988E-3</c:v>
                </c:pt>
                <c:pt idx="510">
                  <c:v>3.6679526906658252E-3</c:v>
                </c:pt>
                <c:pt idx="511">
                  <c:v>3.6765100203046304E-3</c:v>
                </c:pt>
                <c:pt idx="512">
                  <c:v>3.6850793506429998E-3</c:v>
                </c:pt>
                <c:pt idx="513">
                  <c:v>3.6936604814463221E-3</c:v>
                </c:pt>
                <c:pt idx="514">
                  <c:v>3.7110457275611238E-3</c:v>
                </c:pt>
                <c:pt idx="515">
                  <c:v>3.7280990045387144E-3</c:v>
                </c:pt>
                <c:pt idx="516">
                  <c:v>3.7367361340755133E-3</c:v>
                </c:pt>
                <c:pt idx="517">
                  <c:v>3.745383862629628E-3</c:v>
                </c:pt>
                <c:pt idx="518">
                  <c:v>3.8061979140199703E-3</c:v>
                </c:pt>
                <c:pt idx="519">
                  <c:v>3.8674600293553893E-3</c:v>
                </c:pt>
                <c:pt idx="520">
                  <c:v>3.9291532352948915E-3</c:v>
                </c:pt>
                <c:pt idx="521">
                  <c:v>3.991277518788916E-3</c:v>
                </c:pt>
                <c:pt idx="522">
                  <c:v>4.053832900317602E-3</c:v>
                </c:pt>
                <c:pt idx="523">
                  <c:v>4.1168194005035833E-3</c:v>
                </c:pt>
                <c:pt idx="524">
                  <c:v>4.1802370401119882E-3</c:v>
                </c:pt>
                <c:pt idx="525">
                  <c:v>4.2440858400495723E-3</c:v>
                </c:pt>
                <c:pt idx="526">
                  <c:v>4.3083658213664538E-3</c:v>
                </c:pt>
                <c:pt idx="527">
                  <c:v>4.3730770052535064E-3</c:v>
                </c:pt>
                <c:pt idx="528">
                  <c:v>4.438219413045839E-3</c:v>
                </c:pt>
                <c:pt idx="529">
                  <c:v>4.4989998915003016E-3</c:v>
                </c:pt>
                <c:pt idx="530">
                  <c:v>4.564973174984447E-3</c:v>
                </c:pt>
                <c:pt idx="531">
                  <c:v>4.6313777280424908E-3</c:v>
                </c:pt>
                <c:pt idx="532">
                  <c:v>4.6982135723309566E-3</c:v>
                </c:pt>
                <c:pt idx="533">
                  <c:v>4.7654807296460353E-3</c:v>
                </c:pt>
                <c:pt idx="534">
                  <c:v>4.8381307744676362E-3</c:v>
                </c:pt>
                <c:pt idx="535">
                  <c:v>4.9062923589190842E-3</c:v>
                </c:pt>
                <c:pt idx="536">
                  <c:v>4.9748853430760546E-3</c:v>
                </c:pt>
                <c:pt idx="537">
                  <c:v>5.0439097495569782E-3</c:v>
                </c:pt>
                <c:pt idx="538">
                  <c:v>5.1133656011201709E-3</c:v>
                </c:pt>
                <c:pt idx="539">
                  <c:v>5.1832529206664452E-3</c:v>
                </c:pt>
                <c:pt idx="540">
                  <c:v>5.2535717312399751E-3</c:v>
                </c:pt>
                <c:pt idx="541">
                  <c:v>5.3243220560283003E-3</c:v>
                </c:pt>
                <c:pt idx="542">
                  <c:v>5.3850949657983094E-3</c:v>
                </c:pt>
                <c:pt idx="543">
                  <c:v>5.4566445803381214E-3</c:v>
                </c:pt>
                <c:pt idx="544">
                  <c:v>5.5286257344624445E-3</c:v>
                </c:pt>
                <c:pt idx="545">
                  <c:v>5.6010384513891509E-3</c:v>
                </c:pt>
                <c:pt idx="546">
                  <c:v>5.6843243163839929E-3</c:v>
                </c:pt>
                <c:pt idx="547">
                  <c:v>5.7576618895822662E-3</c:v>
                </c:pt>
                <c:pt idx="548">
                  <c:v>5.8314310994669327E-3</c:v>
                </c:pt>
                <c:pt idx="549">
                  <c:v>5.905631969835845E-3</c:v>
                </c:pt>
                <c:pt idx="550">
                  <c:v>5.9802645246245234E-3</c:v>
                </c:pt>
                <c:pt idx="551">
                  <c:v>6.0498364294162962E-3</c:v>
                </c:pt>
                <c:pt idx="552">
                  <c:v>6.1253003101830591E-3</c:v>
                </c:pt>
                <c:pt idx="553">
                  <c:v>6.2011959230407979E-3</c:v>
                </c:pt>
                <c:pt idx="554">
                  <c:v>6.2775232922002589E-3</c:v>
                </c:pt>
                <c:pt idx="555">
                  <c:v>6.3711547510855613E-3</c:v>
                </c:pt>
                <c:pt idx="556">
                  <c:v>6.4484385291496702E-3</c:v>
                </c:pt>
                <c:pt idx="557">
                  <c:v>6.5261311845544595E-3</c:v>
                </c:pt>
                <c:pt idx="558">
                  <c:v>6.6042097103435901E-3</c:v>
                </c:pt>
                <c:pt idx="559">
                  <c:v>6.6826510978447023E-3</c:v>
                </c:pt>
                <c:pt idx="560">
                  <c:v>6.7556788553139874E-3</c:v>
                </c:pt>
                <c:pt idx="561">
                  <c:v>6.8347588023679792E-3</c:v>
                </c:pt>
                <c:pt idx="562">
                  <c:v>6.9141343584212282E-3</c:v>
                </c:pt>
                <c:pt idx="563">
                  <c:v>6.9937822550096554E-3</c:v>
                </c:pt>
                <c:pt idx="564">
                  <c:v>7.0794955346331146E-3</c:v>
                </c:pt>
                <c:pt idx="565">
                  <c:v>7.1596308115351457E-3</c:v>
                </c:pt>
                <c:pt idx="566">
                  <c:v>7.2399678396963532E-3</c:v>
                </c:pt>
                <c:pt idx="567">
                  <c:v>7.3204835960332991E-3</c:v>
                </c:pt>
                <c:pt idx="568">
                  <c:v>7.4011550555970777E-3</c:v>
                </c:pt>
                <c:pt idx="569">
                  <c:v>7.4819616093740647E-3</c:v>
                </c:pt>
                <c:pt idx="570">
                  <c:v>7.5628975680048401E-3</c:v>
                </c:pt>
                <c:pt idx="571">
                  <c:v>7.6439629282406994E-3</c:v>
                </c:pt>
                <c:pt idx="572">
                  <c:v>7.7251576980387551E-3</c:v>
                </c:pt>
                <c:pt idx="573">
                  <c:v>7.8064818853708908E-3</c:v>
                </c:pt>
                <c:pt idx="574">
                  <c:v>7.8879354982185502E-3</c:v>
                </c:pt>
                <c:pt idx="575">
                  <c:v>7.96951854457968E-3</c:v>
                </c:pt>
                <c:pt idx="576">
                  <c:v>8.0512310324617909E-3</c:v>
                </c:pt>
                <c:pt idx="577">
                  <c:v>8.1330729698871618E-3</c:v>
                </c:pt>
                <c:pt idx="578">
                  <c:v>8.2150443648902321E-3</c:v>
                </c:pt>
                <c:pt idx="579">
                  <c:v>8.2971452255184795E-3</c:v>
                </c:pt>
                <c:pt idx="580">
                  <c:v>8.3793755598315454E-3</c:v>
                </c:pt>
                <c:pt idx="581">
                  <c:v>8.455729122343365E-3</c:v>
                </c:pt>
                <c:pt idx="582">
                  <c:v>8.5382072336581075E-3</c:v>
                </c:pt>
                <c:pt idx="583">
                  <c:v>8.620814820382584E-3</c:v>
                </c:pt>
                <c:pt idx="584">
                  <c:v>8.7035518905393891E-3</c:v>
                </c:pt>
                <c:pt idx="585">
                  <c:v>8.7864184521625338E-3</c:v>
                </c:pt>
                <c:pt idx="586">
                  <c:v>8.875476966092203E-3</c:v>
                </c:pt>
                <c:pt idx="587">
                  <c:v>8.9586138429654169E-3</c:v>
                </c:pt>
                <c:pt idx="588">
                  <c:v>9.0418802584688891E-3</c:v>
                </c:pt>
                <c:pt idx="589">
                  <c:v>9.1252762207743431E-3</c:v>
                </c:pt>
                <c:pt idx="590">
                  <c:v>9.2088017380743542E-3</c:v>
                </c:pt>
                <c:pt idx="591">
                  <c:v>9.2924568185684519E-3</c:v>
                </c:pt>
                <c:pt idx="592">
                  <c:v>9.3762414704709352E-3</c:v>
                </c:pt>
                <c:pt idx="593">
                  <c:v>9.4601557020073997E-3</c:v>
                </c:pt>
                <c:pt idx="594">
                  <c:v>9.5318935877344302E-3</c:v>
                </c:pt>
                <c:pt idx="595">
                  <c:v>9.6160440175632189E-3</c:v>
                </c:pt>
                <c:pt idx="596">
                  <c:v>9.7003240043820327E-3</c:v>
                </c:pt>
                <c:pt idx="597">
                  <c:v>9.7847335562839532E-3</c:v>
                </c:pt>
                <c:pt idx="598">
                  <c:v>9.8813602771254949E-3</c:v>
                </c:pt>
                <c:pt idx="599">
                  <c:v>9.9660474958112033E-3</c:v>
                </c:pt>
                <c:pt idx="600">
                  <c:v>1.0050864305105378E-2</c:v>
                </c:pt>
                <c:pt idx="601">
                  <c:v>1.013581071315528E-2</c:v>
                </c:pt>
                <c:pt idx="602">
                  <c:v>1.0220886728121492E-2</c:v>
                </c:pt>
                <c:pt idx="603">
                  <c:v>1.0299835270027979E-2</c:v>
                </c:pt>
                <c:pt idx="604">
                  <c:v>1.038515881568422E-2</c:v>
                </c:pt>
                <c:pt idx="605">
                  <c:v>1.0470611968287656E-2</c:v>
                </c:pt>
                <c:pt idx="606">
                  <c:v>1.0556194735957638E-2</c:v>
                </c:pt>
                <c:pt idx="607">
                  <c:v>1.0673439914904837E-2</c:v>
                </c:pt>
                <c:pt idx="608">
                  <c:v>1.0759336922745869E-2</c:v>
                </c:pt>
                <c:pt idx="609">
                  <c:v>1.0845339202219162E-2</c:v>
                </c:pt>
                <c:pt idx="610">
                  <c:v>1.0931422267464569E-2</c:v>
                </c:pt>
                <c:pt idx="611">
                  <c:v>1.1047804073162412E-2</c:v>
                </c:pt>
                <c:pt idx="612">
                  <c:v>1.1084738856640226E-2</c:v>
                </c:pt>
                <c:pt idx="613">
                  <c:v>1.1170926618053282E-2</c:v>
                </c:pt>
                <c:pt idx="614">
                  <c:v>1.1257103138819244E-2</c:v>
                </c:pt>
                <c:pt idx="615">
                  <c:v>1.134324311749541E-2</c:v>
                </c:pt>
                <c:pt idx="616">
                  <c:v>1.1448245675701156E-2</c:v>
                </c:pt>
                <c:pt idx="617">
                  <c:v>1.15342084529993E-2</c:v>
                </c:pt>
                <c:pt idx="618">
                  <c:v>1.1620056050196243E-2</c:v>
                </c:pt>
                <c:pt idx="619">
                  <c:v>1.1705763961699537E-2</c:v>
                </c:pt>
                <c:pt idx="620">
                  <c:v>1.1791307679744002E-2</c:v>
                </c:pt>
                <c:pt idx="621">
                  <c:v>1.1876663456271648E-2</c:v>
                </c:pt>
                <c:pt idx="622">
                  <c:v>1.1961820338454898E-2</c:v>
                </c:pt>
                <c:pt idx="623">
                  <c:v>1.2046777991555553E-2</c:v>
                </c:pt>
                <c:pt idx="624">
                  <c:v>1.2112874837637981E-2</c:v>
                </c:pt>
                <c:pt idx="625">
                  <c:v>1.2216095557334597E-2</c:v>
                </c:pt>
                <c:pt idx="626">
                  <c:v>1.230045544350483E-2</c:v>
                </c:pt>
                <c:pt idx="627">
                  <c:v>1.2384616047574454E-2</c:v>
                </c:pt>
                <c:pt idx="628">
                  <c:v>1.2468577356367626E-2</c:v>
                </c:pt>
                <c:pt idx="629">
                  <c:v>1.2552339356736565E-2</c:v>
                </c:pt>
                <c:pt idx="630">
                  <c:v>1.2635902035568356E-2</c:v>
                </c:pt>
                <c:pt idx="631">
                  <c:v>1.2719265379778999E-2</c:v>
                </c:pt>
                <c:pt idx="632">
                  <c:v>1.2802429376313401E-2</c:v>
                </c:pt>
                <c:pt idx="633">
                  <c:v>1.2867038480453423E-2</c:v>
                </c:pt>
                <c:pt idx="634">
                  <c:v>1.2949837575974413E-2</c:v>
                </c:pt>
                <c:pt idx="635">
                  <c:v>1.3032437252290738E-2</c:v>
                </c:pt>
                <c:pt idx="636">
                  <c:v>1.3114837496881422E-2</c:v>
                </c:pt>
                <c:pt idx="637">
                  <c:v>1.3215258689202106E-2</c:v>
                </c:pt>
                <c:pt idx="638">
                  <c:v>1.3297226327321622E-2</c:v>
                </c:pt>
                <c:pt idx="639">
                  <c:v>1.3378994527266225E-2</c:v>
                </c:pt>
                <c:pt idx="640">
                  <c:v>1.3460563276230844E-2</c:v>
                </c:pt>
                <c:pt idx="641">
                  <c:v>1.3541932561443561E-2</c:v>
                </c:pt>
                <c:pt idx="642">
                  <c:v>1.3623102370160534E-2</c:v>
                </c:pt>
                <c:pt idx="643">
                  <c:v>1.3704072689671075E-2</c:v>
                </c:pt>
                <c:pt idx="644">
                  <c:v>1.3784843507295967E-2</c:v>
                </c:pt>
                <c:pt idx="645">
                  <c:v>1.3865414810384053E-2</c:v>
                </c:pt>
                <c:pt idx="646">
                  <c:v>1.3921893931580165E-2</c:v>
                </c:pt>
                <c:pt idx="647">
                  <c:v>1.4002110759439468E-2</c:v>
                </c:pt>
                <c:pt idx="648">
                  <c:v>1.4082127998498173E-2</c:v>
                </c:pt>
                <c:pt idx="649">
                  <c:v>1.4161945636756101E-2</c:v>
                </c:pt>
                <c:pt idx="650">
                  <c:v>1.4263771399623185E-2</c:v>
                </c:pt>
                <c:pt idx="651">
                  <c:v>1.4360871519723815E-2</c:v>
                </c:pt>
                <c:pt idx="652">
                  <c:v>1.4439993619668214E-2</c:v>
                </c:pt>
                <c:pt idx="653">
                  <c:v>1.4524807088353358E-2</c:v>
                </c:pt>
                <c:pt idx="654">
                  <c:v>1.4597638872163357E-2</c:v>
                </c:pt>
                <c:pt idx="655">
                  <c:v>1.4676162000808823E-2</c:v>
                </c:pt>
                <c:pt idx="656">
                  <c:v>1.4754485448499444E-2</c:v>
                </c:pt>
                <c:pt idx="657">
                  <c:v>1.4832609203358122E-2</c:v>
                </c:pt>
                <c:pt idx="658">
                  <c:v>1.4910533253537634E-2</c:v>
                </c:pt>
                <c:pt idx="659">
                  <c:v>1.499408222005575E-2</c:v>
                </c:pt>
                <c:pt idx="660">
                  <c:v>1.5071597062814194E-2</c:v>
                </c:pt>
                <c:pt idx="661">
                  <c:v>1.5148918037876827E-2</c:v>
                </c:pt>
                <c:pt idx="662">
                  <c:v>1.5226050265619948E-2</c:v>
                </c:pt>
                <c:pt idx="663">
                  <c:v>1.5297212861991795E-2</c:v>
                </c:pt>
                <c:pt idx="664">
                  <c:v>1.5373991185299689E-2</c:v>
                </c:pt>
                <c:pt idx="665">
                  <c:v>1.545059566563943E-2</c:v>
                </c:pt>
                <c:pt idx="666">
                  <c:v>1.5548840031331824E-2</c:v>
                </c:pt>
                <c:pt idx="667">
                  <c:v>1.5603303811181858E-2</c:v>
                </c:pt>
                <c:pt idx="668">
                  <c:v>1.5685166733419215E-2</c:v>
                </c:pt>
                <c:pt idx="669">
                  <c:v>1.5761121136346395E-2</c:v>
                </c:pt>
                <c:pt idx="670">
                  <c:v>1.583692777027567E-2</c:v>
                </c:pt>
                <c:pt idx="671">
                  <c:v>1.5912591759378557E-2</c:v>
                </c:pt>
                <c:pt idx="672">
                  <c:v>1.5988118228236686E-2</c:v>
                </c:pt>
                <c:pt idx="673">
                  <c:v>1.6063511446346122E-2</c:v>
                </c:pt>
                <c:pt idx="674">
                  <c:v>1.6138772261492181E-2</c:v>
                </c:pt>
                <c:pt idx="675">
                  <c:v>1.621390066601143E-2</c:v>
                </c:pt>
                <c:pt idx="676">
                  <c:v>1.6288896652255202E-2</c:v>
                </c:pt>
                <c:pt idx="677">
                  <c:v>1.6363760212583525E-2</c:v>
                </c:pt>
                <c:pt idx="678">
                  <c:v>1.6438491339375534E-2</c:v>
                </c:pt>
                <c:pt idx="679">
                  <c:v>1.6513090025019932E-2</c:v>
                </c:pt>
                <c:pt idx="680">
                  <c:v>1.6587556261919316E-2</c:v>
                </c:pt>
                <c:pt idx="681">
                  <c:v>1.6661890042491051E-2</c:v>
                </c:pt>
                <c:pt idx="682">
                  <c:v>1.6736091359164675E-2</c:v>
                </c:pt>
                <c:pt idx="683">
                  <c:v>1.6810160204383626E-2</c:v>
                </c:pt>
                <c:pt idx="684">
                  <c:v>1.6884096570604371E-2</c:v>
                </c:pt>
                <c:pt idx="685">
                  <c:v>1.6952255396621256E-2</c:v>
                </c:pt>
                <c:pt idx="686">
                  <c:v>1.7025932777155382E-2</c:v>
                </c:pt>
                <c:pt idx="687">
                  <c:v>1.7099477647942157E-2</c:v>
                </c:pt>
                <c:pt idx="688">
                  <c:v>1.7172890001573002E-2</c:v>
                </c:pt>
                <c:pt idx="689">
                  <c:v>1.7251790953661951E-2</c:v>
                </c:pt>
                <c:pt idx="690">
                  <c:v>1.7324932288236092E-2</c:v>
                </c:pt>
                <c:pt idx="691">
                  <c:v>1.7397941091385268E-2</c:v>
                </c:pt>
                <c:pt idx="692">
                  <c:v>1.747081735567195E-2</c:v>
                </c:pt>
                <c:pt idx="693">
                  <c:v>1.7543561073675114E-2</c:v>
                </c:pt>
                <c:pt idx="694">
                  <c:v>1.7616172237984173E-2</c:v>
                </c:pt>
                <c:pt idx="695">
                  <c:v>1.7688650841204172E-2</c:v>
                </c:pt>
                <c:pt idx="696">
                  <c:v>1.7760996875951448E-2</c:v>
                </c:pt>
                <c:pt idx="697">
                  <c:v>1.7833210334857984E-2</c:v>
                </c:pt>
                <c:pt idx="698">
                  <c:v>1.7899723473773905E-2</c:v>
                </c:pt>
                <c:pt idx="699">
                  <c:v>1.797167765347853E-2</c:v>
                </c:pt>
                <c:pt idx="700">
                  <c:v>1.80434992281529E-2</c:v>
                </c:pt>
                <c:pt idx="701">
                  <c:v>1.8115188190557973E-2</c:v>
                </c:pt>
                <c:pt idx="702">
                  <c:v>1.8196956041673928E-2</c:v>
                </c:pt>
                <c:pt idx="703">
                  <c:v>1.8268360810627812E-2</c:v>
                </c:pt>
                <c:pt idx="704">
                  <c:v>1.8339632944656237E-2</c:v>
                </c:pt>
                <c:pt idx="705">
                  <c:v>1.841077243657813E-2</c:v>
                </c:pt>
                <c:pt idx="706">
                  <c:v>1.8481779279224723E-2</c:v>
                </c:pt>
                <c:pt idx="707">
                  <c:v>1.8547138991454659E-2</c:v>
                </c:pt>
                <c:pt idx="708">
                  <c:v>1.8617886347191082E-2</c:v>
                </c:pt>
                <c:pt idx="709">
                  <c:v>1.8688501025765802E-2</c:v>
                </c:pt>
                <c:pt idx="710">
                  <c:v>1.8758983020142672E-2</c:v>
                </c:pt>
                <c:pt idx="711">
                  <c:v>1.8840314315940975E-2</c:v>
                </c:pt>
                <c:pt idx="712">
                  <c:v>1.8910518472479543E-2</c:v>
                </c:pt>
                <c:pt idx="713">
                  <c:v>1.8980586097078443E-2</c:v>
                </c:pt>
                <c:pt idx="714">
                  <c:v>1.9050513823235818E-2</c:v>
                </c:pt>
                <c:pt idx="715">
                  <c:v>1.9114834246006466E-2</c:v>
                </c:pt>
                <c:pt idx="716">
                  <c:v>1.9184479677855339E-2</c:v>
                </c:pt>
                <c:pt idx="717">
                  <c:v>1.9273803347900065E-2</c:v>
                </c:pt>
                <c:pt idx="718">
                  <c:v>1.9343101586376862E-2</c:v>
                </c:pt>
                <c:pt idx="719">
                  <c:v>1.941767194035305E-2</c:v>
                </c:pt>
                <c:pt idx="720">
                  <c:v>1.9486643204801458E-2</c:v>
                </c:pt>
                <c:pt idx="721">
                  <c:v>1.9555450036754424E-2</c:v>
                </c:pt>
                <c:pt idx="722">
                  <c:v>1.9624089067891537E-2</c:v>
                </c:pt>
                <c:pt idx="723">
                  <c:v>1.9692556929677783E-2</c:v>
                </c:pt>
                <c:pt idx="724">
                  <c:v>1.9760850266426998E-2</c:v>
                </c:pt>
                <c:pt idx="725">
                  <c:v>1.9828966860144698E-2</c:v>
                </c:pt>
                <c:pt idx="726">
                  <c:v>1.98969064975302E-2</c:v>
                </c:pt>
                <c:pt idx="727">
                  <c:v>1.9964669169372617E-2</c:v>
                </c:pt>
                <c:pt idx="728">
                  <c:v>2.0032254866484508E-2</c:v>
                </c:pt>
                <c:pt idx="729">
                  <c:v>2.0099663579701905E-2</c:v>
                </c:pt>
                <c:pt idx="730">
                  <c:v>2.016689529988603E-2</c:v>
                </c:pt>
                <c:pt idx="731">
                  <c:v>2.0233950017920693E-2</c:v>
                </c:pt>
                <c:pt idx="732">
                  <c:v>2.0300827724713172E-2</c:v>
                </c:pt>
                <c:pt idx="733">
                  <c:v>2.0367528411196805E-2</c:v>
                </c:pt>
                <c:pt idx="734">
                  <c:v>2.0434052068326651E-2</c:v>
                </c:pt>
                <c:pt idx="735">
                  <c:v>2.0500398687082106E-2</c:v>
                </c:pt>
                <c:pt idx="736">
                  <c:v>2.0566568258467748E-2</c:v>
                </c:pt>
                <c:pt idx="737">
                  <c:v>2.0627290681334679E-2</c:v>
                </c:pt>
                <c:pt idx="738">
                  <c:v>2.0693115011467193E-2</c:v>
                </c:pt>
                <c:pt idx="739">
                  <c:v>2.0758762266230833E-2</c:v>
                </c:pt>
                <c:pt idx="740">
                  <c:v>2.0824232436818579E-2</c:v>
                </c:pt>
                <c:pt idx="741">
                  <c:v>2.0910459938916888E-2</c:v>
                </c:pt>
                <c:pt idx="742">
                  <c:v>2.0959867191225796E-2</c:v>
                </c:pt>
                <c:pt idx="743">
                  <c:v>2.1024797181132239E-2</c:v>
                </c:pt>
                <c:pt idx="744">
                  <c:v>2.1089550052557929E-2</c:v>
                </c:pt>
                <c:pt idx="745">
                  <c:v>2.1154125796722933E-2</c:v>
                </c:pt>
                <c:pt idx="746">
                  <c:v>2.1218524404869914E-2</c:v>
                </c:pt>
                <c:pt idx="747">
                  <c:v>2.128274586826585E-2</c:v>
                </c:pt>
                <c:pt idx="748">
                  <c:v>2.1346790178200323E-2</c:v>
                </c:pt>
                <c:pt idx="749">
                  <c:v>2.1410657325988972E-2</c:v>
                </c:pt>
                <c:pt idx="750">
                  <c:v>2.1464037238126288E-2</c:v>
                </c:pt>
                <c:pt idx="751">
                  <c:v>2.1527567781403967E-2</c:v>
                </c:pt>
                <c:pt idx="752">
                  <c:v>2.159092113674177E-2</c:v>
                </c:pt>
                <c:pt idx="753">
                  <c:v>2.1654097295734864E-2</c:v>
                </c:pt>
                <c:pt idx="754">
                  <c:v>2.1717096249999734E-2</c:v>
                </c:pt>
                <c:pt idx="755">
                  <c:v>2.1779917991178621E-2</c:v>
                </c:pt>
                <c:pt idx="756">
                  <c:v>2.184256251093597E-2</c:v>
                </c:pt>
                <c:pt idx="757">
                  <c:v>2.1905029800959319E-2</c:v>
                </c:pt>
                <c:pt idx="758">
                  <c:v>2.1967319852961076E-2</c:v>
                </c:pt>
                <c:pt idx="759">
                  <c:v>2.2024356527827849E-2</c:v>
                </c:pt>
                <c:pt idx="760">
                  <c:v>2.2086300955921744E-2</c:v>
                </c:pt>
                <c:pt idx="761">
                  <c:v>2.214806812212957E-2</c:v>
                </c:pt>
                <c:pt idx="762">
                  <c:v>2.2209658018344555E-2</c:v>
                </c:pt>
                <c:pt idx="763">
                  <c:v>2.2286190515558073E-2</c:v>
                </c:pt>
                <c:pt idx="764">
                  <c:v>2.2347394942414282E-2</c:v>
                </c:pt>
                <c:pt idx="765">
                  <c:v>2.2408406427070881E-2</c:v>
                </c:pt>
                <c:pt idx="766">
                  <c:v>2.2469212792617089E-2</c:v>
                </c:pt>
                <c:pt idx="767">
                  <c:v>2.2524811921188676E-2</c:v>
                </c:pt>
                <c:pt idx="768">
                  <c:v>2.2585187157989909E-2</c:v>
                </c:pt>
                <c:pt idx="769">
                  <c:v>2.2645321797181615E-2</c:v>
                </c:pt>
                <c:pt idx="770">
                  <c:v>2.2705203526238289E-2</c:v>
                </c:pt>
                <c:pt idx="771">
                  <c:v>2.2764820031942232E-2</c:v>
                </c:pt>
                <c:pt idx="772">
                  <c:v>2.2829061487565049E-2</c:v>
                </c:pt>
                <c:pt idx="773">
                  <c:v>2.2888091006129534E-2</c:v>
                </c:pt>
                <c:pt idx="774">
                  <c:v>2.2946817964931556E-2</c:v>
                </c:pt>
                <c:pt idx="775">
                  <c:v>2.3005230180836615E-2</c:v>
                </c:pt>
                <c:pt idx="776">
                  <c:v>2.3063315475974695E-2</c:v>
                </c:pt>
                <c:pt idx="777">
                  <c:v>2.3121064675879394E-2</c:v>
                </c:pt>
                <c:pt idx="778">
                  <c:v>2.3178476488406055E-2</c:v>
                </c:pt>
                <c:pt idx="779">
                  <c:v>2.3235550898765642E-2</c:v>
                </c:pt>
                <c:pt idx="780">
                  <c:v>2.3292287892257738E-2</c:v>
                </c:pt>
                <c:pt idx="781">
                  <c:v>2.3348687454267082E-2</c:v>
                </c:pt>
                <c:pt idx="782">
                  <c:v>2.3404749570267027E-2</c:v>
                </c:pt>
                <c:pt idx="783">
                  <c:v>2.3460474225817821E-2</c:v>
                </c:pt>
                <c:pt idx="784">
                  <c:v>2.3515861406563126E-2</c:v>
                </c:pt>
                <c:pt idx="785">
                  <c:v>2.3570911098238695E-2</c:v>
                </c:pt>
                <c:pt idx="786">
                  <c:v>2.3625623286662831E-2</c:v>
                </c:pt>
                <c:pt idx="787">
                  <c:v>2.3679997957741592E-2</c:v>
                </c:pt>
                <c:pt idx="788">
                  <c:v>2.373403509746792E-2</c:v>
                </c:pt>
                <c:pt idx="789">
                  <c:v>2.3783178784394961E-2</c:v>
                </c:pt>
                <c:pt idx="790">
                  <c:v>2.3836561412098726E-2</c:v>
                </c:pt>
                <c:pt idx="791">
                  <c:v>2.3889606482392772E-2</c:v>
                </c:pt>
                <c:pt idx="792">
                  <c:v>2.3942313981758244E-2</c:v>
                </c:pt>
                <c:pt idx="793">
                  <c:v>2.3999157341674241E-2</c:v>
                </c:pt>
                <c:pt idx="794">
                  <c:v>2.4051169004014751E-2</c:v>
                </c:pt>
                <c:pt idx="795">
                  <c:v>2.4102843039388012E-2</c:v>
                </c:pt>
                <c:pt idx="796">
                  <c:v>2.4154179434482056E-2</c:v>
                </c:pt>
                <c:pt idx="797">
                  <c:v>2.4205178176071814E-2</c:v>
                </c:pt>
                <c:pt idx="798">
                  <c:v>2.4255839251019099E-2</c:v>
                </c:pt>
                <c:pt idx="799">
                  <c:v>2.4306162646274349E-2</c:v>
                </c:pt>
                <c:pt idx="800">
                  <c:v>2.4356148348870548E-2</c:v>
                </c:pt>
                <c:pt idx="801">
                  <c:v>2.4405796345931034E-2</c:v>
                </c:pt>
                <c:pt idx="802">
                  <c:v>2.444653090721971E-2</c:v>
                </c:pt>
                <c:pt idx="803">
                  <c:v>2.4495545060657875E-2</c:v>
                </c:pt>
                <c:pt idx="804">
                  <c:v>2.4544221504881669E-2</c:v>
                </c:pt>
                <c:pt idx="805">
                  <c:v>2.4592560227621796E-2</c:v>
                </c:pt>
                <c:pt idx="806">
                  <c:v>2.4640561216697776E-2</c:v>
                </c:pt>
                <c:pt idx="807">
                  <c:v>2.4688224460009067E-2</c:v>
                </c:pt>
                <c:pt idx="808">
                  <c:v>2.4735549945543056E-2</c:v>
                </c:pt>
                <c:pt idx="809">
                  <c:v>2.4782537661373283E-2</c:v>
                </c:pt>
                <c:pt idx="810">
                  <c:v>2.4829187595654112E-2</c:v>
                </c:pt>
                <c:pt idx="811">
                  <c:v>2.4871397015258936E-2</c:v>
                </c:pt>
                <c:pt idx="812">
                  <c:v>2.4917392310168349E-2</c:v>
                </c:pt>
                <c:pt idx="813">
                  <c:v>2.4963049806843437E-2</c:v>
                </c:pt>
                <c:pt idx="814">
                  <c:v>2.5008369493902737E-2</c:v>
                </c:pt>
                <c:pt idx="815">
                  <c:v>2.5065402216402174E-2</c:v>
                </c:pt>
                <c:pt idx="816">
                  <c:v>2.5109981846994405E-2</c:v>
                </c:pt>
                <c:pt idx="817">
                  <c:v>2.5154217606944237E-2</c:v>
                </c:pt>
                <c:pt idx="818">
                  <c:v>2.5198104260092346E-2</c:v>
                </c:pt>
                <c:pt idx="819">
                  <c:v>2.5237711282827858E-2</c:v>
                </c:pt>
                <c:pt idx="820">
                  <c:v>2.5280907959480205E-2</c:v>
                </c:pt>
                <c:pt idx="821">
                  <c:v>2.5323740300611682E-2</c:v>
                </c:pt>
                <c:pt idx="822">
                  <c:v>2.5366203012627271E-2</c:v>
                </c:pt>
                <c:pt idx="823">
                  <c:v>2.5408290801805469E-2</c:v>
                </c:pt>
                <c:pt idx="824">
                  <c:v>2.5453799694121856E-2</c:v>
                </c:pt>
                <c:pt idx="825">
                  <c:v>2.5495095975984667E-2</c:v>
                </c:pt>
                <c:pt idx="826">
                  <c:v>2.5536001257107862E-2</c:v>
                </c:pt>
                <c:pt idx="827">
                  <c:v>2.55765103002356E-2</c:v>
                </c:pt>
                <c:pt idx="828">
                  <c:v>2.5616617868019064E-2</c:v>
                </c:pt>
                <c:pt idx="829">
                  <c:v>2.5656319593880723E-2</c:v>
                </c:pt>
                <c:pt idx="830">
                  <c:v>2.5695614594668757E-2</c:v>
                </c:pt>
                <c:pt idx="831">
                  <c:v>2.5734502858202481E-2</c:v>
                </c:pt>
                <c:pt idx="832">
                  <c:v>2.5772984372426321E-2</c:v>
                </c:pt>
                <c:pt idx="833">
                  <c:v>2.5811059125411553E-2</c:v>
                </c:pt>
                <c:pt idx="834">
                  <c:v>2.5848727105352843E-2</c:v>
                </c:pt>
                <c:pt idx="835">
                  <c:v>2.5885988300576049E-2</c:v>
                </c:pt>
                <c:pt idx="836">
                  <c:v>2.5922842699528673E-2</c:v>
                </c:pt>
                <c:pt idx="837">
                  <c:v>2.595929029078594E-2</c:v>
                </c:pt>
                <c:pt idx="838">
                  <c:v>2.5995331063048195E-2</c:v>
                </c:pt>
                <c:pt idx="839">
                  <c:v>2.6030965005143503E-2</c:v>
                </c:pt>
                <c:pt idx="840">
                  <c:v>2.6066192106024181E-2</c:v>
                </c:pt>
                <c:pt idx="841">
                  <c:v>2.6097658142399109E-2</c:v>
                </c:pt>
                <c:pt idx="842">
                  <c:v>2.6132098100560917E-2</c:v>
                </c:pt>
                <c:pt idx="843">
                  <c:v>2.6166131212076681E-2</c:v>
                </c:pt>
                <c:pt idx="844">
                  <c:v>2.6199757466510796E-2</c:v>
                </c:pt>
                <c:pt idx="845">
                  <c:v>2.6232976853551505E-2</c:v>
                </c:pt>
                <c:pt idx="846">
                  <c:v>2.6269010443061413E-2</c:v>
                </c:pt>
                <c:pt idx="847">
                  <c:v>2.6301389356716894E-2</c:v>
                </c:pt>
                <c:pt idx="848">
                  <c:v>2.6333361345321327E-2</c:v>
                </c:pt>
                <c:pt idx="849">
                  <c:v>2.6364926398961774E-2</c:v>
                </c:pt>
                <c:pt idx="850">
                  <c:v>2.6396084507853884E-2</c:v>
                </c:pt>
                <c:pt idx="851">
                  <c:v>2.6426835662335828E-2</c:v>
                </c:pt>
                <c:pt idx="852">
                  <c:v>2.6457179852874355E-2</c:v>
                </c:pt>
                <c:pt idx="853">
                  <c:v>2.648711707006221E-2</c:v>
                </c:pt>
                <c:pt idx="854">
                  <c:v>2.6510631601821544E-2</c:v>
                </c:pt>
                <c:pt idx="855">
                  <c:v>2.653980870203565E-2</c:v>
                </c:pt>
                <c:pt idx="856">
                  <c:v>2.6568578857873781E-2</c:v>
                </c:pt>
                <c:pt idx="857">
                  <c:v>2.6596942060613138E-2</c:v>
                </c:pt>
                <c:pt idx="858">
                  <c:v>2.6624898301648159E-2</c:v>
                </c:pt>
                <c:pt idx="859">
                  <c:v>2.6652447572500293E-2</c:v>
                </c:pt>
                <c:pt idx="860">
                  <c:v>2.6679589864814446E-2</c:v>
                </c:pt>
                <c:pt idx="861">
                  <c:v>2.6706325170358092E-2</c:v>
                </c:pt>
                <c:pt idx="862">
                  <c:v>2.6732653481021273E-2</c:v>
                </c:pt>
                <c:pt idx="863">
                  <c:v>2.675580663317282E-2</c:v>
                </c:pt>
                <c:pt idx="864">
                  <c:v>2.6781348110084719E-2</c:v>
                </c:pt>
                <c:pt idx="865">
                  <c:v>2.6806482597478577E-2</c:v>
                </c:pt>
                <c:pt idx="866">
                  <c:v>2.6831210087816151E-2</c:v>
                </c:pt>
                <c:pt idx="867">
                  <c:v>2.6863500940729253E-2</c:v>
                </c:pt>
                <c:pt idx="868">
                  <c:v>2.6887340253120347E-2</c:v>
                </c:pt>
                <c:pt idx="869">
                  <c:v>2.6910818890861294E-2</c:v>
                </c:pt>
                <c:pt idx="870">
                  <c:v>2.6933983279751824E-2</c:v>
                </c:pt>
                <c:pt idx="871">
                  <c:v>2.6956879846765504E-2</c:v>
                </c:pt>
                <c:pt idx="872">
                  <c:v>2.6976966626819684E-2</c:v>
                </c:pt>
                <c:pt idx="873">
                  <c:v>2.6999465569345866E-2</c:v>
                </c:pt>
                <c:pt idx="874">
                  <c:v>2.7021832341517386E-2</c:v>
                </c:pt>
                <c:pt idx="875">
                  <c:v>2.7044113881406137E-2</c:v>
                </c:pt>
                <c:pt idx="876">
                  <c:v>2.7068970376191621E-2</c:v>
                </c:pt>
                <c:pt idx="877">
                  <c:v>2.7091235040584635E-2</c:v>
                </c:pt>
                <c:pt idx="878">
                  <c:v>2.7113556902634697E-2</c:v>
                </c:pt>
                <c:pt idx="879">
                  <c:v>2.7135982397939778E-2</c:v>
                </c:pt>
                <c:pt idx="880">
                  <c:v>2.7158557963164829E-2</c:v>
                </c:pt>
                <c:pt idx="881">
                  <c:v>2.7181325162390722E-2</c:v>
                </c:pt>
                <c:pt idx="882">
                  <c:v>2.7204295483696638E-2</c:v>
                </c:pt>
                <c:pt idx="883">
                  <c:v>2.7227468953198216E-2</c:v>
                </c:pt>
                <c:pt idx="884">
                  <c:v>2.7250845574476931E-2</c:v>
                </c:pt>
                <c:pt idx="885">
                  <c:v>2.7274425351148154E-2</c:v>
                </c:pt>
                <c:pt idx="886">
                  <c:v>2.7298208286857664E-2</c:v>
                </c:pt>
                <c:pt idx="887">
                  <c:v>2.7322194385279913E-2</c:v>
                </c:pt>
                <c:pt idx="888">
                  <c:v>2.7346383650126718E-2</c:v>
                </c:pt>
                <c:pt idx="889">
                  <c:v>2.7370776085135086E-2</c:v>
                </c:pt>
                <c:pt idx="890">
                  <c:v>2.7395371694077655E-2</c:v>
                </c:pt>
                <c:pt idx="891">
                  <c:v>2.7420170480757466E-2</c:v>
                </c:pt>
                <c:pt idx="892">
                  <c:v>2.7445172449007106E-2</c:v>
                </c:pt>
                <c:pt idx="893">
                  <c:v>2.7467493427479311E-2</c:v>
                </c:pt>
                <c:pt idx="894">
                  <c:v>2.74928853250072E-2</c:v>
                </c:pt>
                <c:pt idx="895">
                  <c:v>2.7518480398257491E-2</c:v>
                </c:pt>
                <c:pt idx="896">
                  <c:v>2.7544278651143533E-2</c:v>
                </c:pt>
                <c:pt idx="897">
                  <c:v>2.7570280087611185E-2</c:v>
                </c:pt>
                <c:pt idx="898">
                  <c:v>2.7599451290161656E-2</c:v>
                </c:pt>
                <c:pt idx="899">
                  <c:v>2.7625875639401675E-2</c:v>
                </c:pt>
                <c:pt idx="900">
                  <c:v>2.765250320201652E-2</c:v>
                </c:pt>
                <c:pt idx="901">
                  <c:v>2.7679333982122897E-2</c:v>
                </c:pt>
                <c:pt idx="902">
                  <c:v>2.7706367983871393E-2</c:v>
                </c:pt>
                <c:pt idx="903">
                  <c:v>2.7733605211438674E-2</c:v>
                </c:pt>
                <c:pt idx="904">
                  <c:v>2.7761045669038757E-2</c:v>
                </c:pt>
                <c:pt idx="905">
                  <c:v>2.7788689360912597E-2</c:v>
                </c:pt>
                <c:pt idx="906">
                  <c:v>2.7813436943367496E-2</c:v>
                </c:pt>
                <c:pt idx="907">
                  <c:v>2.7841470439485365E-2</c:v>
                </c:pt>
                <c:pt idx="908">
                  <c:v>2.7869707164635958E-2</c:v>
                </c:pt>
                <c:pt idx="909">
                  <c:v>2.7898147123137578E-2</c:v>
                </c:pt>
                <c:pt idx="910">
                  <c:v>2.7927731998781624E-2</c:v>
                </c:pt>
                <c:pt idx="911">
                  <c:v>2.7959774268825698E-2</c:v>
                </c:pt>
                <c:pt idx="912">
                  <c:v>2.7988852989177766E-2</c:v>
                </c:pt>
                <c:pt idx="913">
                  <c:v>2.8018134961102767E-2</c:v>
                </c:pt>
                <c:pt idx="914">
                  <c:v>2.8047620189080635E-2</c:v>
                </c:pt>
                <c:pt idx="915">
                  <c:v>2.8074057946994913E-2</c:v>
                </c:pt>
                <c:pt idx="916">
                  <c:v>2.8103932858380531E-2</c:v>
                </c:pt>
                <c:pt idx="917">
                  <c:v>2.8134011020819472E-2</c:v>
                </c:pt>
                <c:pt idx="918">
                  <c:v>2.8164292438861871E-2</c:v>
                </c:pt>
                <c:pt idx="919">
                  <c:v>2.820806068110663E-2</c:v>
                </c:pt>
                <c:pt idx="920">
                  <c:v>2.8238810869826228E-2</c:v>
                </c:pt>
                <c:pt idx="921">
                  <c:v>2.8269731764913163E-2</c:v>
                </c:pt>
                <c:pt idx="922">
                  <c:v>2.8300790731824711E-2</c:v>
                </c:pt>
                <c:pt idx="923">
                  <c:v>2.8339720475846077E-2</c:v>
                </c:pt>
                <c:pt idx="924">
                  <c:v>2.8353115864705753E-2</c:v>
                </c:pt>
                <c:pt idx="925">
                  <c:v>2.8384402337402716E-2</c:v>
                </c:pt>
                <c:pt idx="926">
                  <c:v>2.8415704315215111E-2</c:v>
                </c:pt>
                <c:pt idx="927">
                  <c:v>2.8446988090517239E-2</c:v>
                </c:pt>
                <c:pt idx="928">
                  <c:v>2.8494909271020673E-2</c:v>
                </c:pt>
                <c:pt idx="929">
                  <c:v>2.8525996433328524E-2</c:v>
                </c:pt>
                <c:pt idx="930">
                  <c:v>2.8556948708626122E-2</c:v>
                </c:pt>
                <c:pt idx="931">
                  <c:v>2.8587732748329566E-2</c:v>
                </c:pt>
                <c:pt idx="932">
                  <c:v>2.8618315202836649E-2</c:v>
                </c:pt>
                <c:pt idx="933">
                  <c:v>2.8648668279187262E-2</c:v>
                </c:pt>
                <c:pt idx="934">
                  <c:v>2.8678786414383518E-2</c:v>
                </c:pt>
                <c:pt idx="935">
                  <c:v>2.8708669603038424E-2</c:v>
                </c:pt>
                <c:pt idx="936">
                  <c:v>2.8738317839802342E-2</c:v>
                </c:pt>
                <c:pt idx="937">
                  <c:v>2.8767731119372558E-2</c:v>
                </c:pt>
                <c:pt idx="938">
                  <c:v>2.8796909436484591E-2</c:v>
                </c:pt>
                <c:pt idx="939">
                  <c:v>2.8825852785917396E-2</c:v>
                </c:pt>
                <c:pt idx="940">
                  <c:v>2.8854561162493377E-2</c:v>
                </c:pt>
                <c:pt idx="941">
                  <c:v>2.8883034561074036E-2</c:v>
                </c:pt>
                <c:pt idx="942">
                  <c:v>2.8911272976565185E-2</c:v>
                </c:pt>
                <c:pt idx="943">
                  <c:v>2.8939276403913479E-2</c:v>
                </c:pt>
                <c:pt idx="944">
                  <c:v>2.8967044838108139E-2</c:v>
                </c:pt>
                <c:pt idx="945">
                  <c:v>2.8991491432431935E-2</c:v>
                </c:pt>
                <c:pt idx="946">
                  <c:v>2.9018804459136446E-2</c:v>
                </c:pt>
                <c:pt idx="947">
                  <c:v>2.9045882495087067E-2</c:v>
                </c:pt>
                <c:pt idx="948">
                  <c:v>2.9072725535490271E-2</c:v>
                </c:pt>
                <c:pt idx="949">
                  <c:v>2.9102361939340994E-2</c:v>
                </c:pt>
                <c:pt idx="950">
                  <c:v>2.9128720311739634E-2</c:v>
                </c:pt>
                <c:pt idx="951">
                  <c:v>2.9154843657086541E-2</c:v>
                </c:pt>
                <c:pt idx="952">
                  <c:v>2.9180731970705455E-2</c:v>
                </c:pt>
                <c:pt idx="953">
                  <c:v>2.920638524796269E-2</c:v>
                </c:pt>
                <c:pt idx="954">
                  <c:v>2.9231803484270614E-2</c:v>
                </c:pt>
                <c:pt idx="955">
                  <c:v>2.9256986675078953E-2</c:v>
                </c:pt>
                <c:pt idx="956">
                  <c:v>2.9281934815881747E-2</c:v>
                </c:pt>
                <c:pt idx="957">
                  <c:v>2.9306647902214739E-2</c:v>
                </c:pt>
                <c:pt idx="958">
                  <c:v>2.9328230159740416E-2</c:v>
                </c:pt>
                <c:pt idx="959">
                  <c:v>2.9352487944692147E-2</c:v>
                </c:pt>
                <c:pt idx="960">
                  <c:v>2.9376510679827786E-2</c:v>
                </c:pt>
                <c:pt idx="961">
                  <c:v>2.9400298360893147E-2</c:v>
                </c:pt>
                <c:pt idx="962">
                  <c:v>2.9424360934107163E-2</c:v>
                </c:pt>
                <c:pt idx="963">
                  <c:v>2.9447659806147719E-2</c:v>
                </c:pt>
                <c:pt idx="964">
                  <c:v>2.9470723628993056E-2</c:v>
                </c:pt>
                <c:pt idx="965">
                  <c:v>2.9496343188780902E-2</c:v>
                </c:pt>
                <c:pt idx="966">
                  <c:v>2.9516146110983854E-2</c:v>
                </c:pt>
                <c:pt idx="967">
                  <c:v>2.9538504762176565E-2</c:v>
                </c:pt>
                <c:pt idx="968">
                  <c:v>2.9560628348270335E-2</c:v>
                </c:pt>
                <c:pt idx="969">
                  <c:v>2.9582516865389152E-2</c:v>
                </c:pt>
                <c:pt idx="970">
                  <c:v>2.9604170309704081E-2</c:v>
                </c:pt>
                <c:pt idx="971">
                  <c:v>2.963098906676415E-2</c:v>
                </c:pt>
                <c:pt idx="972">
                  <c:v>2.9652142240537624E-2</c:v>
                </c:pt>
                <c:pt idx="973">
                  <c:v>2.9673060293590812E-2</c:v>
                </c:pt>
                <c:pt idx="974">
                  <c:v>2.9693743222180623E-2</c:v>
                </c:pt>
                <c:pt idx="975">
                  <c:v>2.9711551815045631E-2</c:v>
                </c:pt>
                <c:pt idx="976">
                  <c:v>2.9731779615244421E-2</c:v>
                </c:pt>
                <c:pt idx="977">
                  <c:v>2.9751772298488736E-2</c:v>
                </c:pt>
                <c:pt idx="978">
                  <c:v>2.9777131693277666E-2</c:v>
                </c:pt>
                <c:pt idx="979">
                  <c:v>2.98070593154952E-2</c:v>
                </c:pt>
                <c:pt idx="980">
                  <c:v>2.9818366100930256E-2</c:v>
                </c:pt>
                <c:pt idx="981">
                  <c:v>2.9837335870789537E-2</c:v>
                </c:pt>
                <c:pt idx="982">
                  <c:v>2.9856070486785482E-2</c:v>
                </c:pt>
                <c:pt idx="983">
                  <c:v>2.9874569945564249E-2</c:v>
                </c:pt>
                <c:pt idx="984">
                  <c:v>2.9892834243817178E-2</c:v>
                </c:pt>
                <c:pt idx="985">
                  <c:v>2.991086337827472E-2</c:v>
                </c:pt>
                <c:pt idx="986">
                  <c:v>2.9928657345709011E-2</c:v>
                </c:pt>
                <c:pt idx="987">
                  <c:v>2.9946216142936518E-2</c:v>
                </c:pt>
                <c:pt idx="988">
                  <c:v>2.9963539766814533E-2</c:v>
                </c:pt>
                <c:pt idx="989">
                  <c:v>2.998062821424206E-2</c:v>
                </c:pt>
                <c:pt idx="990">
                  <c:v>2.9997481482161546E-2</c:v>
                </c:pt>
                <c:pt idx="991">
                  <c:v>3.0014099567557143E-2</c:v>
                </c:pt>
                <c:pt idx="992">
                  <c:v>3.0030482467452969E-2</c:v>
                </c:pt>
                <c:pt idx="993">
                  <c:v>3.0046630178919193E-2</c:v>
                </c:pt>
                <c:pt idx="994">
                  <c:v>3.0062542699065085E-2</c:v>
                </c:pt>
                <c:pt idx="995">
                  <c:v>3.007822002504075E-2</c:v>
                </c:pt>
                <c:pt idx="996">
                  <c:v>3.0093662154043216E-2</c:v>
                </c:pt>
                <c:pt idx="997">
                  <c:v>3.0106571533271821E-2</c:v>
                </c:pt>
                <c:pt idx="998">
                  <c:v>3.0121558811487658E-2</c:v>
                </c:pt>
                <c:pt idx="999">
                  <c:v>3.0136310903746629E-2</c:v>
                </c:pt>
                <c:pt idx="1000">
                  <c:v>3.0159822970286854E-2</c:v>
                </c:pt>
                <c:pt idx="1001">
                  <c:v>3.0167344749180681E-2</c:v>
                </c:pt>
                <c:pt idx="1002">
                  <c:v>3.0181375639771798E-2</c:v>
                </c:pt>
                <c:pt idx="1003">
                  <c:v>3.019517131492535E-2</c:v>
                </c:pt>
                <c:pt idx="1004">
                  <c:v>3.0208731772173751E-2</c:v>
                </c:pt>
                <c:pt idx="1005">
                  <c:v>3.0222057009089375E-2</c:v>
                </c:pt>
                <c:pt idx="1006">
                  <c:v>3.0235147023287171E-2</c:v>
                </c:pt>
                <c:pt idx="1007">
                  <c:v>3.0248001812423802E-2</c:v>
                </c:pt>
                <c:pt idx="1008">
                  <c:v>3.0260621374199364E-2</c:v>
                </c:pt>
                <c:pt idx="1009">
                  <c:v>3.0273005706355664E-2</c:v>
                </c:pt>
                <c:pt idx="1010">
                  <c:v>3.0280965658922021E-2</c:v>
                </c:pt>
                <c:pt idx="1011">
                  <c:v>3.0292911127891564E-2</c:v>
                </c:pt>
                <c:pt idx="1012">
                  <c:v>3.0304621399679377E-2</c:v>
                </c:pt>
                <c:pt idx="1013">
                  <c:v>3.0324586807509921E-2</c:v>
                </c:pt>
                <c:pt idx="1014">
                  <c:v>3.0328922839241379E-2</c:v>
                </c:pt>
                <c:pt idx="1015">
                  <c:v>3.0338341011663772E-2</c:v>
                </c:pt>
                <c:pt idx="1016">
                  <c:v>3.0349110474637619E-2</c:v>
                </c:pt>
                <c:pt idx="1017">
                  <c:v>3.0359644730591384E-2</c:v>
                </c:pt>
                <c:pt idx="1018">
                  <c:v>3.0369943777680319E-2</c:v>
                </c:pt>
                <c:pt idx="1019">
                  <c:v>3.0378053832404644E-2</c:v>
                </c:pt>
                <c:pt idx="1020">
                  <c:v>3.0387898429640927E-2</c:v>
                </c:pt>
                <c:pt idx="1021">
                  <c:v>3.0397507832364359E-2</c:v>
                </c:pt>
                <c:pt idx="1022">
                  <c:v>3.0406882038910649E-2</c:v>
                </c:pt>
                <c:pt idx="1023">
                  <c:v>3.0421686178178621E-2</c:v>
                </c:pt>
                <c:pt idx="1024">
                  <c:v>3.0430545296486262E-2</c:v>
                </c:pt>
                <c:pt idx="1025">
                  <c:v>3.0439179648332811E-2</c:v>
                </c:pt>
                <c:pt idx="1026">
                  <c:v>3.0447596577743648E-2</c:v>
                </c:pt>
                <c:pt idx="1027">
                  <c:v>3.0453971947191676E-2</c:v>
                </c:pt>
                <c:pt idx="1028">
                  <c:v>3.0461988024108648E-2</c:v>
                </c:pt>
                <c:pt idx="1029">
                  <c:v>3.0469808104980737E-2</c:v>
                </c:pt>
                <c:pt idx="1030">
                  <c:v>3.0477439614310268E-2</c:v>
                </c:pt>
                <c:pt idx="1031">
                  <c:v>3.0486676935987948E-2</c:v>
                </c:pt>
                <c:pt idx="1032">
                  <c:v>3.0493943560670794E-2</c:v>
                </c:pt>
                <c:pt idx="1033">
                  <c:v>3.0501044173684013E-2</c:v>
                </c:pt>
                <c:pt idx="1034">
                  <c:v>3.0507986119748955E-2</c:v>
                </c:pt>
                <c:pt idx="1035">
                  <c:v>3.0514776743655617E-2</c:v>
                </c:pt>
                <c:pt idx="1036">
                  <c:v>3.052142336170895E-2</c:v>
                </c:pt>
                <c:pt idx="1037">
                  <c:v>3.0527930802467376E-2</c:v>
                </c:pt>
                <c:pt idx="1038">
                  <c:v>3.0534299511407594E-2</c:v>
                </c:pt>
                <c:pt idx="1039">
                  <c:v>3.0540529487854493E-2</c:v>
                </c:pt>
                <c:pt idx="1040">
                  <c:v>3.0546620731154682E-2</c:v>
                </c:pt>
                <c:pt idx="1041">
                  <c:v>3.0552573240661723E-2</c:v>
                </c:pt>
                <c:pt idx="1042">
                  <c:v>3.0558387015750029E-2</c:v>
                </c:pt>
                <c:pt idx="1043">
                  <c:v>3.0564062055804437E-2</c:v>
                </c:pt>
                <c:pt idx="1044">
                  <c:v>3.0569598360226297E-2</c:v>
                </c:pt>
                <c:pt idx="1045">
                  <c:v>3.0574995928431731E-2</c:v>
                </c:pt>
                <c:pt idx="1046">
                  <c:v>3.0580254759849889E-2</c:v>
                </c:pt>
                <c:pt idx="1047">
                  <c:v>3.0585374853927299E-2</c:v>
                </c:pt>
                <c:pt idx="1048">
                  <c:v>3.0590356210121791E-2</c:v>
                </c:pt>
                <c:pt idx="1049">
                  <c:v>3.0593582464976354E-2</c:v>
                </c:pt>
                <c:pt idx="1050">
                  <c:v>3.0598295854749779E-2</c:v>
                </c:pt>
                <c:pt idx="1051">
                  <c:v>3.0602870516829257E-2</c:v>
                </c:pt>
                <c:pt idx="1052">
                  <c:v>3.060730645073605E-2</c:v>
                </c:pt>
                <c:pt idx="1053">
                  <c:v>3.0617911712384663E-2</c:v>
                </c:pt>
                <c:pt idx="1054">
                  <c:v>3.061733082335618E-2</c:v>
                </c:pt>
                <c:pt idx="1055">
                  <c:v>3.0621341000476986E-2</c:v>
                </c:pt>
                <c:pt idx="1056">
                  <c:v>3.062521243591965E-2</c:v>
                </c:pt>
                <c:pt idx="1057">
                  <c:v>3.0628945129275796E-2</c:v>
                </c:pt>
                <c:pt idx="1058">
                  <c:v>3.0632539080150959E-2</c:v>
                </c:pt>
                <c:pt idx="1059">
                  <c:v>3.0635994288168048E-2</c:v>
                </c:pt>
                <c:pt idx="1060">
                  <c:v>3.0639310752958667E-2</c:v>
                </c:pt>
                <c:pt idx="1061">
                  <c:v>3.0642488474176135E-2</c:v>
                </c:pt>
                <c:pt idx="1062">
                  <c:v>3.0642543002089795E-2</c:v>
                </c:pt>
                <c:pt idx="1063">
                  <c:v>3.064546256063494E-2</c:v>
                </c:pt>
                <c:pt idx="1064">
                  <c:v>3.0648243398169406E-2</c:v>
                </c:pt>
                <c:pt idx="1065">
                  <c:v>3.0650885514405424E-2</c:v>
                </c:pt>
                <c:pt idx="1066">
                  <c:v>3.0653388909071211E-2</c:v>
                </c:pt>
                <c:pt idx="1067">
                  <c:v>3.0655753581909195E-2</c:v>
                </c:pt>
                <c:pt idx="1068">
                  <c:v>3.0657979532672464E-2</c:v>
                </c:pt>
                <c:pt idx="1069">
                  <c:v>3.0660066761132754E-2</c:v>
                </c:pt>
                <c:pt idx="1070">
                  <c:v>3.0662015267075127E-2</c:v>
                </c:pt>
                <c:pt idx="1071">
                  <c:v>3.0662418935022206E-2</c:v>
                </c:pt>
                <c:pt idx="1072">
                  <c:v>3.0664099761499756E-2</c:v>
                </c:pt>
                <c:pt idx="1073">
                  <c:v>3.0665641876673293E-2</c:v>
                </c:pt>
                <c:pt idx="1074">
                  <c:v>3.0667045280384737E-2</c:v>
                </c:pt>
                <c:pt idx="1075">
                  <c:v>3.0672408334717436E-2</c:v>
                </c:pt>
                <c:pt idx="1076">
                  <c:v>3.0673504870269361E-2</c:v>
                </c:pt>
                <c:pt idx="1077">
                  <c:v>3.0674462658638844E-2</c:v>
                </c:pt>
                <c:pt idx="1078">
                  <c:v>3.0675281699722497E-2</c:v>
                </c:pt>
                <c:pt idx="1079">
                  <c:v>3.0674636069137104E-2</c:v>
                </c:pt>
                <c:pt idx="1080">
                  <c:v>3.0675187479138718E-2</c:v>
                </c:pt>
                <c:pt idx="1081">
                  <c:v>3.0675600153417644E-2</c:v>
                </c:pt>
                <c:pt idx="1082">
                  <c:v>3.067587409193347E-2</c:v>
                </c:pt>
                <c:pt idx="1083">
                  <c:v>3.0676009294656335E-2</c:v>
                </c:pt>
                <c:pt idx="1084">
                  <c:v>3.0677282249432735E-2</c:v>
                </c:pt>
                <c:pt idx="1085">
                  <c:v>3.0677130057922906E-2</c:v>
                </c:pt>
                <c:pt idx="1086">
                  <c:v>3.0676839118847464E-2</c:v>
                </c:pt>
                <c:pt idx="1087">
                  <c:v>3.0676409432236824E-2</c:v>
                </c:pt>
                <c:pt idx="1088">
                  <c:v>3.0675840998135296E-2</c:v>
                </c:pt>
                <c:pt idx="1089">
                  <c:v>3.067513381660544E-2</c:v>
                </c:pt>
                <c:pt idx="1090">
                  <c:v>3.0674287887718501E-2</c:v>
                </c:pt>
                <c:pt idx="1091">
                  <c:v>3.0673303211565712E-2</c:v>
                </c:pt>
                <c:pt idx="1092">
                  <c:v>3.0672179788250466E-2</c:v>
                </c:pt>
                <c:pt idx="1093">
                  <c:v>3.0670917617891803E-2</c:v>
                </c:pt>
                <c:pt idx="1094">
                  <c:v>3.0669516700622658E-2</c:v>
                </c:pt>
                <c:pt idx="1095">
                  <c:v>3.0667977036589866E-2</c:v>
                </c:pt>
                <c:pt idx="1096">
                  <c:v>3.0666298625957652E-2</c:v>
                </c:pt>
                <c:pt idx="1097">
                  <c:v>3.0664481468903257E-2</c:v>
                </c:pt>
                <c:pt idx="1098">
                  <c:v>3.0662525565616966E-2</c:v>
                </c:pt>
                <c:pt idx="1099">
                  <c:v>3.0660430916306443E-2</c:v>
                </c:pt>
                <c:pt idx="1100">
                  <c:v>3.0658197521191508E-2</c:v>
                </c:pt>
                <c:pt idx="1101">
                  <c:v>3.065471917710785E-2</c:v>
                </c:pt>
                <c:pt idx="1102">
                  <c:v>3.0652218413589827E-2</c:v>
                </c:pt>
                <c:pt idx="1103">
                  <c:v>3.0649578916748074E-2</c:v>
                </c:pt>
                <c:pt idx="1104">
                  <c:v>3.0646800686859293E-2</c:v>
                </c:pt>
                <c:pt idx="1105">
                  <c:v>3.0644949367326261E-2</c:v>
                </c:pt>
                <c:pt idx="1106">
                  <c:v>3.0641883502851793E-2</c:v>
                </c:pt>
                <c:pt idx="1107">
                  <c:v>3.0638678894532218E-2</c:v>
                </c:pt>
                <c:pt idx="1108">
                  <c:v>3.0635335542703784E-2</c:v>
                </c:pt>
                <c:pt idx="1109">
                  <c:v>3.0631853447720996E-2</c:v>
                </c:pt>
                <c:pt idx="1110">
                  <c:v>3.0628232609950515E-2</c:v>
                </c:pt>
                <c:pt idx="1111">
                  <c:v>3.0624473029775511E-2</c:v>
                </c:pt>
                <c:pt idx="1112">
                  <c:v>3.062057470759132E-2</c:v>
                </c:pt>
                <c:pt idx="1113">
                  <c:v>3.0616537643809789E-2</c:v>
                </c:pt>
                <c:pt idx="1114">
                  <c:v>3.061138814130137E-2</c:v>
                </c:pt>
                <c:pt idx="1115">
                  <c:v>3.0607083870214123E-2</c:v>
                </c:pt>
                <c:pt idx="1116">
                  <c:v>3.0602640870513228E-2</c:v>
                </c:pt>
                <c:pt idx="1117">
                  <c:v>3.0598059142666001E-2</c:v>
                </c:pt>
                <c:pt idx="1118">
                  <c:v>3.0593338687148541E-2</c:v>
                </c:pt>
                <c:pt idx="1119">
                  <c:v>3.0588479504455399E-2</c:v>
                </c:pt>
                <c:pt idx="1120">
                  <c:v>3.0583481595092547E-2</c:v>
                </c:pt>
                <c:pt idx="1121">
                  <c:v>3.0578344959581762E-2</c:v>
                </c:pt>
                <c:pt idx="1122">
                  <c:v>3.0573069598458881E-2</c:v>
                </c:pt>
                <c:pt idx="1123">
                  <c:v>3.0566773764838295E-2</c:v>
                </c:pt>
                <c:pt idx="1124">
                  <c:v>3.0561231331788008E-2</c:v>
                </c:pt>
                <c:pt idx="1125">
                  <c:v>3.0555550186424085E-2</c:v>
                </c:pt>
                <c:pt idx="1126">
                  <c:v>3.0549730329332725E-2</c:v>
                </c:pt>
                <c:pt idx="1127">
                  <c:v>3.0545451148444001E-2</c:v>
                </c:pt>
                <c:pt idx="1128">
                  <c:v>3.0539333020038365E-2</c:v>
                </c:pt>
                <c:pt idx="1129">
                  <c:v>3.0533076158609399E-2</c:v>
                </c:pt>
                <c:pt idx="1130">
                  <c:v>3.0526680564818314E-2</c:v>
                </c:pt>
                <c:pt idx="1131">
                  <c:v>3.052014623934109E-2</c:v>
                </c:pt>
                <c:pt idx="1132">
                  <c:v>3.051268620694382E-2</c:v>
                </c:pt>
                <c:pt idx="1133">
                  <c:v>3.0505884903630751E-2</c:v>
                </c:pt>
                <c:pt idx="1134">
                  <c:v>3.0498944882271402E-2</c:v>
                </c:pt>
                <c:pt idx="1135">
                  <c:v>3.0491866143589588E-2</c:v>
                </c:pt>
                <c:pt idx="1136">
                  <c:v>3.0485393661296219E-2</c:v>
                </c:pt>
                <c:pt idx="1137">
                  <c:v>3.0478026960691039E-2</c:v>
                </c:pt>
                <c:pt idx="1138">
                  <c:v>3.0470521533533006E-2</c:v>
                </c:pt>
                <c:pt idx="1139">
                  <c:v>3.0462877380616267E-2</c:v>
                </c:pt>
                <c:pt idx="1140">
                  <c:v>3.0455094502746263E-2</c:v>
                </c:pt>
                <c:pt idx="1141">
                  <c:v>3.0447172900743211E-2</c:v>
                </c:pt>
                <c:pt idx="1142">
                  <c:v>3.0439112575445567E-2</c:v>
                </c:pt>
                <c:pt idx="1143">
                  <c:v>3.0430913527703086E-2</c:v>
                </c:pt>
                <c:pt idx="1144">
                  <c:v>3.0422575758380296E-2</c:v>
                </c:pt>
                <c:pt idx="1145">
                  <c:v>3.0414099268358231E-2</c:v>
                </c:pt>
                <c:pt idx="1146">
                  <c:v>3.0405484058531825E-2</c:v>
                </c:pt>
                <c:pt idx="1147">
                  <c:v>3.0396730129808182E-2</c:v>
                </c:pt>
                <c:pt idx="1148">
                  <c:v>3.0387837483113519E-2</c:v>
                </c:pt>
                <c:pt idx="1149">
                  <c:v>3.0378806119386207E-2</c:v>
                </c:pt>
                <c:pt idx="1150">
                  <c:v>3.0369636039577669E-2</c:v>
                </c:pt>
                <c:pt idx="1151">
                  <c:v>3.0360327244655819E-2</c:v>
                </c:pt>
                <c:pt idx="1152">
                  <c:v>3.0350879735605962E-2</c:v>
                </c:pt>
                <c:pt idx="1153">
                  <c:v>3.0340729097808217E-2</c:v>
                </c:pt>
                <c:pt idx="1154">
                  <c:v>3.0331014886917584E-2</c:v>
                </c:pt>
                <c:pt idx="1155">
                  <c:v>3.0321161976235956E-2</c:v>
                </c:pt>
                <c:pt idx="1156">
                  <c:v>3.0311170366791089E-2</c:v>
                </c:pt>
                <c:pt idx="1157">
                  <c:v>3.0301040059626534E-2</c:v>
                </c:pt>
                <c:pt idx="1158">
                  <c:v>3.029128174143576E-2</c:v>
                </c:pt>
                <c:pt idx="1159">
                  <c:v>3.0280863262213808E-2</c:v>
                </c:pt>
                <c:pt idx="1160">
                  <c:v>3.0270306077248448E-2</c:v>
                </c:pt>
                <c:pt idx="1161">
                  <c:v>3.0259610187653562E-2</c:v>
                </c:pt>
                <c:pt idx="1162">
                  <c:v>3.024877559455956E-2</c:v>
                </c:pt>
                <c:pt idx="1163">
                  <c:v>3.0237802299107261E-2</c:v>
                </c:pt>
                <c:pt idx="1164">
                  <c:v>3.0226690302457476E-2</c:v>
                </c:pt>
                <c:pt idx="1165">
                  <c:v>3.0215439605781446E-2</c:v>
                </c:pt>
                <c:pt idx="1166">
                  <c:v>3.0203200930470686E-2</c:v>
                </c:pt>
                <c:pt idx="1167">
                  <c:v>3.0191694574326355E-2</c:v>
                </c:pt>
                <c:pt idx="1168">
                  <c:v>3.018004954402187E-2</c:v>
                </c:pt>
                <c:pt idx="1169">
                  <c:v>3.0168265840758046E-2</c:v>
                </c:pt>
                <c:pt idx="1170">
                  <c:v>3.0154628949253137E-2</c:v>
                </c:pt>
                <c:pt idx="1171">
                  <c:v>3.0142548093765598E-2</c:v>
                </c:pt>
                <c:pt idx="1172">
                  <c:v>3.0130328569192066E-2</c:v>
                </c:pt>
                <c:pt idx="1173">
                  <c:v>3.011797037679198E-2</c:v>
                </c:pt>
                <c:pt idx="1174">
                  <c:v>3.0105473517843429E-2</c:v>
                </c:pt>
                <c:pt idx="1175">
                  <c:v>3.0092511593276569E-2</c:v>
                </c:pt>
                <c:pt idx="1176">
                  <c:v>3.0079748372325441E-2</c:v>
                </c:pt>
                <c:pt idx="1177">
                  <c:v>3.0066846499731337E-2</c:v>
                </c:pt>
                <c:pt idx="1178">
                  <c:v>3.0053805976811853E-2</c:v>
                </c:pt>
                <c:pt idx="1179">
                  <c:v>3.0042028780722159E-2</c:v>
                </c:pt>
                <c:pt idx="1180">
                  <c:v>3.0028657815755439E-2</c:v>
                </c:pt>
                <c:pt idx="1181">
                  <c:v>3.001515970951589E-2</c:v>
                </c:pt>
                <c:pt idx="1182">
                  <c:v>3.0001546022954007E-2</c:v>
                </c:pt>
                <c:pt idx="1183">
                  <c:v>2.9979218056260255E-2</c:v>
                </c:pt>
                <c:pt idx="1184">
                  <c:v>2.9973294891288131E-2</c:v>
                </c:pt>
                <c:pt idx="1185">
                  <c:v>2.9959415732183491E-2</c:v>
                </c:pt>
                <c:pt idx="1186">
                  <c:v>2.9945464420352862E-2</c:v>
                </c:pt>
                <c:pt idx="1187">
                  <c:v>2.9931452894083079E-2</c:v>
                </c:pt>
                <c:pt idx="1188">
                  <c:v>2.9918084110526801E-2</c:v>
                </c:pt>
                <c:pt idx="1189">
                  <c:v>2.9903985055193358E-2</c:v>
                </c:pt>
                <c:pt idx="1190">
                  <c:v>2.9889862901440571E-2</c:v>
                </c:pt>
                <c:pt idx="1191">
                  <c:v>2.9875729208760523E-2</c:v>
                </c:pt>
                <c:pt idx="1192">
                  <c:v>2.9861595536477777E-2</c:v>
                </c:pt>
                <c:pt idx="1193">
                  <c:v>2.9847473084280315E-2</c:v>
                </c:pt>
                <c:pt idx="1194">
                  <c:v>2.9833367013766949E-2</c:v>
                </c:pt>
                <c:pt idx="1195">
                  <c:v>2.9819277476408852E-2</c:v>
                </c:pt>
                <c:pt idx="1196">
                  <c:v>2.9804518612352199E-2</c:v>
                </c:pt>
                <c:pt idx="1197">
                  <c:v>2.9791148000433944E-2</c:v>
                </c:pt>
                <c:pt idx="1198">
                  <c:v>2.9777108061456569E-2</c:v>
                </c:pt>
                <c:pt idx="1199">
                  <c:v>2.9763084654912491E-2</c:v>
                </c:pt>
                <c:pt idx="1200">
                  <c:v>2.9749077780621424E-2</c:v>
                </c:pt>
                <c:pt idx="1201">
                  <c:v>2.9735087438403938E-2</c:v>
                </c:pt>
                <c:pt idx="1202">
                  <c:v>2.9721113628081459E-2</c:v>
                </c:pt>
                <c:pt idx="1203">
                  <c:v>2.9707156349473695E-2</c:v>
                </c:pt>
                <c:pt idx="1204">
                  <c:v>2.9693215602402075E-2</c:v>
                </c:pt>
                <c:pt idx="1205">
                  <c:v>2.9678604738527185E-2</c:v>
                </c:pt>
                <c:pt idx="1206">
                  <c:v>2.966469693812486E-2</c:v>
                </c:pt>
                <c:pt idx="1207">
                  <c:v>2.965080566309174E-2</c:v>
                </c:pt>
                <c:pt idx="1208">
                  <c:v>2.9636930913256535E-2</c:v>
                </c:pt>
                <c:pt idx="1209">
                  <c:v>2.9623759833838297E-2</c:v>
                </c:pt>
                <c:pt idx="1210">
                  <c:v>2.9609918272236725E-2</c:v>
                </c:pt>
                <c:pt idx="1211">
                  <c:v>2.9596093240924631E-2</c:v>
                </c:pt>
                <c:pt idx="1212">
                  <c:v>2.9582284739724286E-2</c:v>
                </c:pt>
                <c:pt idx="1213">
                  <c:v>2.9568492768459659E-2</c:v>
                </c:pt>
                <c:pt idx="1214">
                  <c:v>2.9554717326952168E-2</c:v>
                </c:pt>
                <c:pt idx="1215">
                  <c:v>2.9540958415026634E-2</c:v>
                </c:pt>
                <c:pt idx="1216">
                  <c:v>2.952721603250618E-2</c:v>
                </c:pt>
                <c:pt idx="1217">
                  <c:v>2.9513490179213925E-2</c:v>
                </c:pt>
                <c:pt idx="1218">
                  <c:v>2.9498862769528955E-2</c:v>
                </c:pt>
                <c:pt idx="1219">
                  <c:v>2.9485169723015403E-2</c:v>
                </c:pt>
                <c:pt idx="1220">
                  <c:v>2.9471493197793741E-2</c:v>
                </c:pt>
                <c:pt idx="1221">
                  <c:v>2.9457833193695215E-2</c:v>
                </c:pt>
                <c:pt idx="1222">
                  <c:v>2.9437888050142753E-2</c:v>
                </c:pt>
                <c:pt idx="1223">
                  <c:v>2.9424957533927213E-2</c:v>
                </c:pt>
                <c:pt idx="1224">
                  <c:v>2.9411354244969518E-2</c:v>
                </c:pt>
                <c:pt idx="1225">
                  <c:v>2.9397997500205039E-2</c:v>
                </c:pt>
                <c:pt idx="1226">
                  <c:v>2.9384197233560637E-2</c:v>
                </c:pt>
                <c:pt idx="1227">
                  <c:v>2.9370643510772135E-2</c:v>
                </c:pt>
                <c:pt idx="1228">
                  <c:v>2.9357106309703011E-2</c:v>
                </c:pt>
                <c:pt idx="1229">
                  <c:v>2.9343585630186363E-2</c:v>
                </c:pt>
                <c:pt idx="1230">
                  <c:v>2.9330081472051781E-2</c:v>
                </c:pt>
                <c:pt idx="1231">
                  <c:v>2.9316824343150753E-2</c:v>
                </c:pt>
                <c:pt idx="1232">
                  <c:v>2.9303353314703236E-2</c:v>
                </c:pt>
                <c:pt idx="1233">
                  <c:v>2.9289898808965011E-2</c:v>
                </c:pt>
                <c:pt idx="1234">
                  <c:v>2.9276460825766643E-2</c:v>
                </c:pt>
                <c:pt idx="1235">
                  <c:v>2.926280849627802E-2</c:v>
                </c:pt>
                <c:pt idx="1236">
                  <c:v>2.9249403462932692E-2</c:v>
                </c:pt>
                <c:pt idx="1237">
                  <c:v>2.9236014949802012E-2</c:v>
                </c:pt>
                <c:pt idx="1238">
                  <c:v>2.9218825421539679E-2</c:v>
                </c:pt>
                <c:pt idx="1239">
                  <c:v>2.9209287483519631E-2</c:v>
                </c:pt>
                <c:pt idx="1240">
                  <c:v>2.9196179890487946E-2</c:v>
                </c:pt>
                <c:pt idx="1241">
                  <c:v>2.9182857560361045E-2</c:v>
                </c:pt>
                <c:pt idx="1242">
                  <c:v>2.9169551751428994E-2</c:v>
                </c:pt>
                <c:pt idx="1243">
                  <c:v>2.9156262463528437E-2</c:v>
                </c:pt>
                <c:pt idx="1244">
                  <c:v>2.9142989696489083E-2</c:v>
                </c:pt>
                <c:pt idx="1245">
                  <c:v>2.9129733450146716E-2</c:v>
                </c:pt>
                <c:pt idx="1246">
                  <c:v>2.9116493724334506E-2</c:v>
                </c:pt>
                <c:pt idx="1247">
                  <c:v>2.9103270518886507E-2</c:v>
                </c:pt>
                <c:pt idx="1248">
                  <c:v>2.9090063833636756E-2</c:v>
                </c:pt>
                <c:pt idx="1249">
                  <c:v>2.9076873668418438E-2</c:v>
                </c:pt>
                <c:pt idx="1250">
                  <c:v>2.9063700023068205E-2</c:v>
                </c:pt>
                <c:pt idx="1251">
                  <c:v>2.905054289741749E-2</c:v>
                </c:pt>
                <c:pt idx="1252">
                  <c:v>2.9037402291303815E-2</c:v>
                </c:pt>
                <c:pt idx="1253">
                  <c:v>2.90242782045621E-2</c:v>
                </c:pt>
                <c:pt idx="1254">
                  <c:v>2.9011170637026389E-2</c:v>
                </c:pt>
                <c:pt idx="1255">
                  <c:v>2.8998079588533333E-2</c:v>
                </c:pt>
                <c:pt idx="1256">
                  <c:v>2.8985005058916977E-2</c:v>
                </c:pt>
                <c:pt idx="1257">
                  <c:v>2.897171367779967E-2</c:v>
                </c:pt>
                <c:pt idx="1258">
                  <c:v>2.8958672051099782E-2</c:v>
                </c:pt>
                <c:pt idx="1259">
                  <c:v>2.8945646941005116E-2</c:v>
                </c:pt>
                <c:pt idx="1260">
                  <c:v>2.8932638347354048E-2</c:v>
                </c:pt>
                <c:pt idx="1261">
                  <c:v>2.8919880188272032E-2</c:v>
                </c:pt>
                <c:pt idx="1262">
                  <c:v>2.8906904768486456E-2</c:v>
                </c:pt>
                <c:pt idx="1263">
                  <c:v>2.8893945866433277E-2</c:v>
                </c:pt>
                <c:pt idx="1264">
                  <c:v>2.8881003481951755E-2</c:v>
                </c:pt>
                <c:pt idx="1265">
                  <c:v>2.8868077614878546E-2</c:v>
                </c:pt>
                <c:pt idx="1266">
                  <c:v>2.8855168265052907E-2</c:v>
                </c:pt>
                <c:pt idx="1267">
                  <c:v>2.8842275432309751E-2</c:v>
                </c:pt>
                <c:pt idx="1268">
                  <c:v>2.8829399116490944E-2</c:v>
                </c:pt>
                <c:pt idx="1269">
                  <c:v>2.8816539317433141E-2</c:v>
                </c:pt>
                <c:pt idx="1270">
                  <c:v>2.8803460779842735E-2</c:v>
                </c:pt>
                <c:pt idx="1271">
                  <c:v>2.8790633856463462E-2</c:v>
                </c:pt>
                <c:pt idx="1272">
                  <c:v>2.8777823447604049E-2</c:v>
                </c:pt>
                <c:pt idx="1273">
                  <c:v>2.8765029553106385E-2</c:v>
                </c:pt>
                <c:pt idx="1274">
                  <c:v>2.8750192290713628E-2</c:v>
                </c:pt>
                <c:pt idx="1275">
                  <c:v>2.8737433619137498E-2</c:v>
                </c:pt>
                <c:pt idx="1276">
                  <c:v>2.8724927680486418E-2</c:v>
                </c:pt>
                <c:pt idx="1277">
                  <c:v>2.871196581216573E-2</c:v>
                </c:pt>
                <c:pt idx="1278">
                  <c:v>2.8699256676455676E-2</c:v>
                </c:pt>
                <c:pt idx="1279">
                  <c:v>2.8686564052391006E-2</c:v>
                </c:pt>
                <c:pt idx="1280">
                  <c:v>2.8673887939811848E-2</c:v>
                </c:pt>
                <c:pt idx="1281">
                  <c:v>2.8661228338565437E-2</c:v>
                </c:pt>
                <c:pt idx="1282">
                  <c:v>2.8648585248495451E-2</c:v>
                </c:pt>
                <c:pt idx="1283">
                  <c:v>2.8636433565618048E-2</c:v>
                </c:pt>
                <c:pt idx="1284">
                  <c:v>2.8623823857909611E-2</c:v>
                </c:pt>
                <c:pt idx="1285">
                  <c:v>2.8611230664382505E-2</c:v>
                </c:pt>
                <c:pt idx="1286">
                  <c:v>2.8598653984877719E-2</c:v>
                </c:pt>
                <c:pt idx="1287">
                  <c:v>2.8585855624531586E-2</c:v>
                </c:pt>
                <c:pt idx="1288">
                  <c:v>2.8573311785350157E-2</c:v>
                </c:pt>
                <c:pt idx="1289">
                  <c:v>2.8557208254364981E-2</c:v>
                </c:pt>
                <c:pt idx="1290">
                  <c:v>2.8544702156263261E-2</c:v>
                </c:pt>
                <c:pt idx="1291">
                  <c:v>2.8531146895997311E-2</c:v>
                </c:pt>
                <c:pt idx="1292">
                  <c:v>2.85199786983217E-2</c:v>
                </c:pt>
                <c:pt idx="1293">
                  <c:v>2.8507522330522731E-2</c:v>
                </c:pt>
                <c:pt idx="1294">
                  <c:v>2.8495082475446257E-2</c:v>
                </c:pt>
                <c:pt idx="1295">
                  <c:v>2.8482659132935011E-2</c:v>
                </c:pt>
                <c:pt idx="1296">
                  <c:v>2.8470252302834332E-2</c:v>
                </c:pt>
                <c:pt idx="1297">
                  <c:v>2.8457861984988696E-2</c:v>
                </c:pt>
                <c:pt idx="1298">
                  <c:v>2.8445488179240835E-2</c:v>
                </c:pt>
                <c:pt idx="1299">
                  <c:v>2.8433130885437832E-2</c:v>
                </c:pt>
                <c:pt idx="1300">
                  <c:v>2.8420790103421547E-2</c:v>
                </c:pt>
                <c:pt idx="1301">
                  <c:v>2.840846583303993E-2</c:v>
                </c:pt>
                <c:pt idx="1302">
                  <c:v>2.8396158074136587E-2</c:v>
                </c:pt>
                <c:pt idx="1303">
                  <c:v>2.838386682655946E-2</c:v>
                </c:pt>
                <c:pt idx="1304">
                  <c:v>2.8371592090151287E-2</c:v>
                </c:pt>
                <c:pt idx="1305">
                  <c:v>2.8359333864760018E-2</c:v>
                </c:pt>
                <c:pt idx="1306">
                  <c:v>2.8347092150230992E-2</c:v>
                </c:pt>
                <c:pt idx="1307">
                  <c:v>2.8334866946410416E-2</c:v>
                </c:pt>
                <c:pt idx="1308">
                  <c:v>2.8322658253147111E-2</c:v>
                </c:pt>
                <c:pt idx="1309">
                  <c:v>2.8310223295409841E-2</c:v>
                </c:pt>
                <c:pt idx="1310">
                  <c:v>2.8298047397435581E-2</c:v>
                </c:pt>
                <c:pt idx="1311">
                  <c:v>2.8285888007868271E-2</c:v>
                </c:pt>
                <c:pt idx="1312">
                  <c:v>2.8274719159636419E-2</c:v>
                </c:pt>
                <c:pt idx="1313">
                  <c:v>2.8261862439802624E-2</c:v>
                </c:pt>
                <c:pt idx="1314">
                  <c:v>2.8249752806661161E-2</c:v>
                </c:pt>
                <c:pt idx="1315">
                  <c:v>2.8237659683008259E-2</c:v>
                </c:pt>
                <c:pt idx="1316">
                  <c:v>2.8225583068690125E-2</c:v>
                </c:pt>
                <c:pt idx="1317">
                  <c:v>2.8213522963556448E-2</c:v>
                </c:pt>
                <c:pt idx="1318">
                  <c:v>2.8201479367455169E-2</c:v>
                </c:pt>
                <c:pt idx="1319">
                  <c:v>2.8189452280236848E-2</c:v>
                </c:pt>
                <c:pt idx="1320">
                  <c:v>2.8177441701748563E-2</c:v>
                </c:pt>
                <c:pt idx="1321">
                  <c:v>2.8165447631841735E-2</c:v>
                </c:pt>
                <c:pt idx="1322">
                  <c:v>2.8153224234405347E-2</c:v>
                </c:pt>
                <c:pt idx="1323">
                  <c:v>2.8141262933998056E-2</c:v>
                </c:pt>
                <c:pt idx="1324">
                  <c:v>2.812931814005026E-2</c:v>
                </c:pt>
                <c:pt idx="1325">
                  <c:v>2.8110827825498716E-2</c:v>
                </c:pt>
                <c:pt idx="1326">
                  <c:v>2.8103777735307933E-2</c:v>
                </c:pt>
                <c:pt idx="1327">
                  <c:v>2.8093582795484594E-2</c:v>
                </c:pt>
                <c:pt idx="1328">
                  <c:v>2.8081704025897283E-2</c:v>
                </c:pt>
                <c:pt idx="1329">
                  <c:v>2.806984176202984E-2</c:v>
                </c:pt>
                <c:pt idx="1330">
                  <c:v>2.8057996003737328E-2</c:v>
                </c:pt>
                <c:pt idx="1331">
                  <c:v>2.8045918668033742E-2</c:v>
                </c:pt>
                <c:pt idx="1332">
                  <c:v>2.8034105658439223E-2</c:v>
                </c:pt>
                <c:pt idx="1333">
                  <c:v>2.8022309152323288E-2</c:v>
                </c:pt>
                <c:pt idx="1334">
                  <c:v>2.8010529149540275E-2</c:v>
                </c:pt>
                <c:pt idx="1335">
                  <c:v>2.7999263970150862E-2</c:v>
                </c:pt>
                <c:pt idx="1336">
                  <c:v>2.7987517511002018E-2</c:v>
                </c:pt>
                <c:pt idx="1337">
                  <c:v>2.7975787558051322E-2</c:v>
                </c:pt>
                <c:pt idx="1338">
                  <c:v>2.7964074111149328E-2</c:v>
                </c:pt>
                <c:pt idx="1339">
                  <c:v>2.7952126905725124E-2</c:v>
                </c:pt>
                <c:pt idx="1340">
                  <c:v>2.7940446195116264E-2</c:v>
                </c:pt>
                <c:pt idx="1341">
                  <c:v>2.7928781988477459E-2</c:v>
                </c:pt>
                <c:pt idx="1342">
                  <c:v>2.7917134285659385E-2</c:v>
                </c:pt>
                <c:pt idx="1343">
                  <c:v>2.7905503086520608E-2</c:v>
                </c:pt>
                <c:pt idx="1344">
                  <c:v>2.7894140048575346E-2</c:v>
                </c:pt>
                <c:pt idx="1345">
                  <c:v>2.7882542139920148E-2</c:v>
                </c:pt>
                <c:pt idx="1346">
                  <c:v>2.787096073614502E-2</c:v>
                </c:pt>
                <c:pt idx="1347">
                  <c:v>2.7859395837104867E-2</c:v>
                </c:pt>
                <c:pt idx="1348">
                  <c:v>2.7847847442654578E-2</c:v>
                </c:pt>
                <c:pt idx="1349">
                  <c:v>2.7836315552648188E-2</c:v>
                </c:pt>
                <c:pt idx="1350">
                  <c:v>2.7824800166942335E-2</c:v>
                </c:pt>
                <c:pt idx="1351">
                  <c:v>2.7813301285391043E-2</c:v>
                </c:pt>
                <c:pt idx="1352">
                  <c:v>2.7801818907852695E-2</c:v>
                </c:pt>
                <c:pt idx="1353">
                  <c:v>2.7790353034181311E-2</c:v>
                </c:pt>
                <c:pt idx="1354">
                  <c:v>2.7778903664230928E-2</c:v>
                </c:pt>
                <c:pt idx="1355">
                  <c:v>2.7767470797862525E-2</c:v>
                </c:pt>
                <c:pt idx="1356">
                  <c:v>2.7756054434929261E-2</c:v>
                </c:pt>
                <c:pt idx="1357">
                  <c:v>2.7744654575291249E-2</c:v>
                </c:pt>
                <c:pt idx="1358">
                  <c:v>2.7733271218799913E-2</c:v>
                </c:pt>
                <c:pt idx="1359">
                  <c:v>2.7721904365317969E-2</c:v>
                </c:pt>
                <c:pt idx="1360">
                  <c:v>2.7710554014699448E-2</c:v>
                </c:pt>
                <c:pt idx="1361">
                  <c:v>2.7698963467488385E-2</c:v>
                </c:pt>
                <c:pt idx="1362">
                  <c:v>2.7687645811048229E-2</c:v>
                </c:pt>
                <c:pt idx="1363">
                  <c:v>2.7676344655439545E-2</c:v>
                </c:pt>
                <c:pt idx="1364">
                  <c:v>2.7665060000520904E-2</c:v>
                </c:pt>
                <c:pt idx="1365">
                  <c:v>2.7654049799599567E-2</c:v>
                </c:pt>
                <c:pt idx="1366">
                  <c:v>2.7642798463185708E-2</c:v>
                </c:pt>
                <c:pt idx="1367">
                  <c:v>2.7631563628643024E-2</c:v>
                </c:pt>
                <c:pt idx="1368">
                  <c:v>2.7620345295831628E-2</c:v>
                </c:pt>
                <c:pt idx="1369">
                  <c:v>2.7609143464611626E-2</c:v>
                </c:pt>
                <c:pt idx="1370">
                  <c:v>2.7597958134839659E-2</c:v>
                </c:pt>
                <c:pt idx="1371">
                  <c:v>2.7586789306378447E-2</c:v>
                </c:pt>
                <c:pt idx="1372">
                  <c:v>2.7575636979086361E-2</c:v>
                </c:pt>
                <c:pt idx="1373">
                  <c:v>2.7564501152823512E-2</c:v>
                </c:pt>
                <c:pt idx="1374">
                  <c:v>2.7552860134758994E-2</c:v>
                </c:pt>
                <c:pt idx="1375">
                  <c:v>2.7541756646498605E-2</c:v>
                </c:pt>
                <c:pt idx="1376">
                  <c:v>2.7530669655672746E-2</c:v>
                </c:pt>
                <c:pt idx="1377">
                  <c:v>2.7519599162147301E-2</c:v>
                </c:pt>
                <c:pt idx="1378">
                  <c:v>2.7508545165784604E-2</c:v>
                </c:pt>
                <c:pt idx="1379">
                  <c:v>2.7497507666450538E-2</c:v>
                </c:pt>
                <c:pt idx="1380">
                  <c:v>2.7486486664008325E-2</c:v>
                </c:pt>
                <c:pt idx="1381">
                  <c:v>2.747548215832385E-2</c:v>
                </c:pt>
                <c:pt idx="1382">
                  <c:v>2.746449414926122E-2</c:v>
                </c:pt>
                <c:pt idx="1383">
                  <c:v>2.7453258816654703E-2</c:v>
                </c:pt>
                <c:pt idx="1384">
                  <c:v>2.7442303454623219E-2</c:v>
                </c:pt>
                <c:pt idx="1385">
                  <c:v>2.7431364587234691E-2</c:v>
                </c:pt>
                <c:pt idx="1386">
                  <c:v>2.7420442214356192E-2</c:v>
                </c:pt>
                <c:pt idx="1387">
                  <c:v>2.7410332115368138E-2</c:v>
                </c:pt>
                <c:pt idx="1388">
                  <c:v>2.7399443787897187E-2</c:v>
                </c:pt>
                <c:pt idx="1389">
                  <c:v>2.7388571959244198E-2</c:v>
                </c:pt>
                <c:pt idx="1390">
                  <c:v>2.737771662927363E-2</c:v>
                </c:pt>
                <c:pt idx="1391">
                  <c:v>2.7366611071789042E-2</c:v>
                </c:pt>
                <c:pt idx="1392">
                  <c:v>2.7355788380090607E-2</c:v>
                </c:pt>
                <c:pt idx="1393">
                  <c:v>2.7344982185102982E-2</c:v>
                </c:pt>
                <c:pt idx="1394">
                  <c:v>2.7334192486693526E-2</c:v>
                </c:pt>
                <c:pt idx="1395">
                  <c:v>2.7323419284729599E-2</c:v>
                </c:pt>
                <c:pt idx="1396">
                  <c:v>2.7312931114173218E-2</c:v>
                </c:pt>
                <c:pt idx="1397">
                  <c:v>2.7302191271179152E-2</c:v>
                </c:pt>
                <c:pt idx="1398">
                  <c:v>2.7291467925784029E-2</c:v>
                </c:pt>
                <c:pt idx="1399">
                  <c:v>2.7280761077852298E-2</c:v>
                </c:pt>
                <c:pt idx="1400">
                  <c:v>2.7270070727251027E-2</c:v>
                </c:pt>
                <c:pt idx="1401">
                  <c:v>2.7259396873844668E-2</c:v>
                </c:pt>
                <c:pt idx="1402">
                  <c:v>2.7248739517501157E-2</c:v>
                </c:pt>
                <c:pt idx="1403">
                  <c:v>2.723809865808495E-2</c:v>
                </c:pt>
                <c:pt idx="1404">
                  <c:v>2.7227474295464845E-2</c:v>
                </c:pt>
                <c:pt idx="1405">
                  <c:v>2.7216866429504428E-2</c:v>
                </c:pt>
                <c:pt idx="1406">
                  <c:v>2.7206275060073372E-2</c:v>
                </c:pt>
                <c:pt idx="1407">
                  <c:v>2.7195700187037004E-2</c:v>
                </c:pt>
                <c:pt idx="1408">
                  <c:v>2.7185141810264119E-2</c:v>
                </c:pt>
                <c:pt idx="1409">
                  <c:v>2.7174599929621783E-2</c:v>
                </c:pt>
                <c:pt idx="1410">
                  <c:v>2.7164074544976189E-2</c:v>
                </c:pt>
                <c:pt idx="1411">
                  <c:v>2.7153565656197875E-2</c:v>
                </c:pt>
                <c:pt idx="1412">
                  <c:v>2.7143073263153038E-2</c:v>
                </c:pt>
                <c:pt idx="1413">
                  <c:v>2.7132322389917637E-2</c:v>
                </c:pt>
                <c:pt idx="1414">
                  <c:v>2.712186259522659E-2</c:v>
                </c:pt>
                <c:pt idx="1415">
                  <c:v>2.7111419294344938E-2</c:v>
                </c:pt>
                <c:pt idx="1416">
                  <c:v>2.7100992487143555E-2</c:v>
                </c:pt>
                <c:pt idx="1417">
                  <c:v>2.7090582173492434E-2</c:v>
                </c:pt>
                <c:pt idx="1418">
                  <c:v>2.7080465307945899E-2</c:v>
                </c:pt>
                <c:pt idx="1419">
                  <c:v>2.7070088381366146E-2</c:v>
                </c:pt>
                <c:pt idx="1420">
                  <c:v>2.7059727949474616E-2</c:v>
                </c:pt>
                <c:pt idx="1421">
                  <c:v>2.7049384012138373E-2</c:v>
                </c:pt>
                <c:pt idx="1422">
                  <c:v>2.7039056569228826E-2</c:v>
                </c:pt>
                <c:pt idx="1423">
                  <c:v>2.7028745620618248E-2</c:v>
                </c:pt>
                <c:pt idx="1424">
                  <c:v>2.7018451166176311E-2</c:v>
                </c:pt>
                <c:pt idx="1425">
                  <c:v>2.700817320577268E-2</c:v>
                </c:pt>
                <c:pt idx="1426">
                  <c:v>2.6997351392433977E-2</c:v>
                </c:pt>
                <c:pt idx="1427">
                  <c:v>2.6987105594869831E-2</c:v>
                </c:pt>
                <c:pt idx="1428">
                  <c:v>2.6976876287934104E-2</c:v>
                </c:pt>
                <c:pt idx="1429">
                  <c:v>2.6966663471501562E-2</c:v>
                </c:pt>
                <c:pt idx="1430">
                  <c:v>2.6956467145446972E-2</c:v>
                </c:pt>
                <c:pt idx="1431">
                  <c:v>2.6946287309643324E-2</c:v>
                </c:pt>
                <c:pt idx="1432">
                  <c:v>2.6936123963968939E-2</c:v>
                </c:pt>
                <c:pt idx="1433">
                  <c:v>2.6925977108296806E-2</c:v>
                </c:pt>
                <c:pt idx="1434">
                  <c:v>2.6915846742504357E-2</c:v>
                </c:pt>
                <c:pt idx="1435">
                  <c:v>2.690544900911512E-2</c:v>
                </c:pt>
                <c:pt idx="1436">
                  <c:v>2.6895351196957445E-2</c:v>
                </c:pt>
                <c:pt idx="1437">
                  <c:v>2.6885269872805338E-2</c:v>
                </c:pt>
                <c:pt idx="1438">
                  <c:v>2.6875205036538445E-2</c:v>
                </c:pt>
                <c:pt idx="1439">
                  <c:v>2.6866013562405189E-2</c:v>
                </c:pt>
                <c:pt idx="1440">
                  <c:v>2.6855982733323056E-2</c:v>
                </c:pt>
                <c:pt idx="1441">
                  <c:v>2.6845966812789227E-2</c:v>
                </c:pt>
                <c:pt idx="1442">
                  <c:v>2.6835964217242603E-2</c:v>
                </c:pt>
                <c:pt idx="1443">
                  <c:v>2.6825973363135101E-2</c:v>
                </c:pt>
                <c:pt idx="1444">
                  <c:v>2.6815707228975832E-2</c:v>
                </c:pt>
                <c:pt idx="1445">
                  <c:v>2.6805735646917305E-2</c:v>
                </c:pt>
                <c:pt idx="1446">
                  <c:v>2.67957711792461E-2</c:v>
                </c:pt>
                <c:pt idx="1447">
                  <c:v>2.67858122251961E-2</c:v>
                </c:pt>
                <c:pt idx="1448">
                  <c:v>2.6776139791205231E-2</c:v>
                </c:pt>
                <c:pt idx="1449">
                  <c:v>2.6766186132166494E-2</c:v>
                </c:pt>
                <c:pt idx="1450">
                  <c:v>2.6756233130192594E-2</c:v>
                </c:pt>
                <c:pt idx="1451">
                  <c:v>2.6746279201866657E-2</c:v>
                </c:pt>
                <c:pt idx="1452">
                  <c:v>2.6736322763786576E-2</c:v>
                </c:pt>
                <c:pt idx="1453">
                  <c:v>2.6726362398754686E-2</c:v>
                </c:pt>
                <c:pt idx="1454">
                  <c:v>2.6716397715182489E-2</c:v>
                </c:pt>
                <c:pt idx="1455">
                  <c:v>2.6706428712333183E-2</c:v>
                </c:pt>
                <c:pt idx="1456">
                  <c:v>2.6696455390240653E-2</c:v>
                </c:pt>
                <c:pt idx="1457">
                  <c:v>2.6686477748936181E-2</c:v>
                </c:pt>
                <c:pt idx="1458">
                  <c:v>2.6676495788453644E-2</c:v>
                </c:pt>
                <c:pt idx="1459">
                  <c:v>2.6666509508825202E-2</c:v>
                </c:pt>
                <c:pt idx="1460">
                  <c:v>2.6656518910085601E-2</c:v>
                </c:pt>
                <c:pt idx="1461">
                  <c:v>2.6646523992266125E-2</c:v>
                </c:pt>
                <c:pt idx="1462">
                  <c:v>2.663652475540066E-2</c:v>
                </c:pt>
                <c:pt idx="1463">
                  <c:v>2.6626521199521351E-2</c:v>
                </c:pt>
                <c:pt idx="1464">
                  <c:v>2.6616513324662954E-2</c:v>
                </c:pt>
                <c:pt idx="1465">
                  <c:v>2.6606236096408831E-2</c:v>
                </c:pt>
                <c:pt idx="1466">
                  <c:v>2.6596220629795411E-2</c:v>
                </c:pt>
                <c:pt idx="1467">
                  <c:v>2.6586200844339568E-2</c:v>
                </c:pt>
                <c:pt idx="1468">
                  <c:v>2.6576176740074675E-2</c:v>
                </c:pt>
                <c:pt idx="1469">
                  <c:v>2.6566148317031482E-2</c:v>
                </c:pt>
                <c:pt idx="1470">
                  <c:v>2.655637537877463E-2</c:v>
                </c:pt>
                <c:pt idx="1471">
                  <c:v>2.6546337271981021E-2</c:v>
                </c:pt>
                <c:pt idx="1472">
                  <c:v>2.6536294846470718E-2</c:v>
                </c:pt>
                <c:pt idx="1473">
                  <c:v>2.6526248102277616E-2</c:v>
                </c:pt>
                <c:pt idx="1474">
                  <c:v>2.6516197039436463E-2</c:v>
                </c:pt>
                <c:pt idx="1475">
                  <c:v>2.6506141657978544E-2</c:v>
                </c:pt>
                <c:pt idx="1476">
                  <c:v>2.6496081957938608E-2</c:v>
                </c:pt>
                <c:pt idx="1477">
                  <c:v>2.6486017939348811E-2</c:v>
                </c:pt>
                <c:pt idx="1478">
                  <c:v>2.6475446650499279E-2</c:v>
                </c:pt>
                <c:pt idx="1479">
                  <c:v>2.6465376088014914E-2</c:v>
                </c:pt>
                <c:pt idx="1480">
                  <c:v>2.645530120714934E-2</c:v>
                </c:pt>
                <c:pt idx="1481">
                  <c:v>2.6445222007934532E-2</c:v>
                </c:pt>
                <c:pt idx="1482">
                  <c:v>2.6433944819171683E-2</c:v>
                </c:pt>
                <c:pt idx="1483">
                  <c:v>2.642360918267439E-2</c:v>
                </c:pt>
                <c:pt idx="1484">
                  <c:v>2.6413516411716742E-2</c:v>
                </c:pt>
                <c:pt idx="1485">
                  <c:v>2.6403419322544863E-2</c:v>
                </c:pt>
                <c:pt idx="1486">
                  <c:v>2.6393317915192505E-2</c:v>
                </c:pt>
                <c:pt idx="1487">
                  <c:v>2.6382970151543245E-2</c:v>
                </c:pt>
                <c:pt idx="1488">
                  <c:v>2.637286115468656E-2</c:v>
                </c:pt>
                <c:pt idx="1489">
                  <c:v>2.6362747839778339E-2</c:v>
                </c:pt>
                <c:pt idx="1490">
                  <c:v>2.6352630206848228E-2</c:v>
                </c:pt>
                <c:pt idx="1491">
                  <c:v>2.6343696628140203E-2</c:v>
                </c:pt>
                <c:pt idx="1492">
                  <c:v>2.6333565124266899E-2</c:v>
                </c:pt>
                <c:pt idx="1493">
                  <c:v>2.6323429302322589E-2</c:v>
                </c:pt>
                <c:pt idx="1494">
                  <c:v>2.6307025253249836E-2</c:v>
                </c:pt>
                <c:pt idx="1495">
                  <c:v>2.6302444510973112E-2</c:v>
                </c:pt>
                <c:pt idx="1496">
                  <c:v>2.6292298876543826E-2</c:v>
                </c:pt>
                <c:pt idx="1497">
                  <c:v>2.6282148924263848E-2</c:v>
                </c:pt>
                <c:pt idx="1498">
                  <c:v>2.6271994654168317E-2</c:v>
                </c:pt>
                <c:pt idx="1499">
                  <c:v>2.626183606628885E-2</c:v>
                </c:pt>
                <c:pt idx="1500">
                  <c:v>2.6252357645641034E-2</c:v>
                </c:pt>
                <c:pt idx="1501">
                  <c:v>2.6242187280371927E-2</c:v>
                </c:pt>
                <c:pt idx="1502">
                  <c:v>2.6232012597341352E-2</c:v>
                </c:pt>
                <c:pt idx="1503">
                  <c:v>2.6221833596584178E-2</c:v>
                </c:pt>
                <c:pt idx="1504">
                  <c:v>2.6211650278134414E-2</c:v>
                </c:pt>
                <c:pt idx="1505">
                  <c:v>2.620146264202608E-2</c:v>
                </c:pt>
                <c:pt idx="1506">
                  <c:v>2.6191270688293192E-2</c:v>
                </c:pt>
                <c:pt idx="1507">
                  <c:v>2.6181074416971463E-2</c:v>
                </c:pt>
                <c:pt idx="1508">
                  <c:v>2.617021448059647E-2</c:v>
                </c:pt>
                <c:pt idx="1509">
                  <c:v>2.6160668921695846E-2</c:v>
                </c:pt>
                <c:pt idx="1510">
                  <c:v>2.6150459697811691E-2</c:v>
                </c:pt>
                <c:pt idx="1511">
                  <c:v>2.6140246156474759E-2</c:v>
                </c:pt>
                <c:pt idx="1512">
                  <c:v>2.6130028297720761E-2</c:v>
                </c:pt>
                <c:pt idx="1513">
                  <c:v>2.6119806121582868E-2</c:v>
                </c:pt>
                <c:pt idx="1514">
                  <c:v>2.6109579628097644E-2</c:v>
                </c:pt>
                <c:pt idx="1515">
                  <c:v>2.6099348817297405E-2</c:v>
                </c:pt>
                <c:pt idx="1516">
                  <c:v>2.6089113689217864E-2</c:v>
                </c:pt>
                <c:pt idx="1517">
                  <c:v>2.6078243181374746E-2</c:v>
                </c:pt>
                <c:pt idx="1518">
                  <c:v>2.6068002561928687E-2</c:v>
                </c:pt>
                <c:pt idx="1519">
                  <c:v>2.6057757625364535E-2</c:v>
                </c:pt>
                <c:pt idx="1520">
                  <c:v>2.6047508371719187E-2</c:v>
                </c:pt>
                <c:pt idx="1521">
                  <c:v>2.6037873290835657E-2</c:v>
                </c:pt>
                <c:pt idx="1522">
                  <c:v>2.6027612259803993E-2</c:v>
                </c:pt>
                <c:pt idx="1523">
                  <c:v>2.6017346911735389E-2</c:v>
                </c:pt>
                <c:pt idx="1524">
                  <c:v>2.6007077246663009E-2</c:v>
                </c:pt>
                <c:pt idx="1525">
                  <c:v>2.5996803264621716E-2</c:v>
                </c:pt>
                <c:pt idx="1526">
                  <c:v>2.5986524965648083E-2</c:v>
                </c:pt>
                <c:pt idx="1527">
                  <c:v>2.5976242349774421E-2</c:v>
                </c:pt>
                <c:pt idx="1528">
                  <c:v>2.5965955417037296E-2</c:v>
                </c:pt>
                <c:pt idx="1529">
                  <c:v>2.5955664167469875E-2</c:v>
                </c:pt>
                <c:pt idx="1530">
                  <c:v>2.594477840300722E-2</c:v>
                </c:pt>
                <c:pt idx="1531">
                  <c:v>2.5934481663651563E-2</c:v>
                </c:pt>
                <c:pt idx="1532">
                  <c:v>2.5924180607612628E-2</c:v>
                </c:pt>
                <c:pt idx="1533">
                  <c:v>2.5913875234926435E-2</c:v>
                </c:pt>
                <c:pt idx="1534">
                  <c:v>2.5899145785951636E-2</c:v>
                </c:pt>
                <c:pt idx="1535">
                  <c:v>2.5888829930117905E-2</c:v>
                </c:pt>
                <c:pt idx="1536">
                  <c:v>2.5878699844386163E-2</c:v>
                </c:pt>
                <c:pt idx="1537">
                  <c:v>2.5868185268889024E-2</c:v>
                </c:pt>
                <c:pt idx="1538">
                  <c:v>2.5857856463561511E-2</c:v>
                </c:pt>
                <c:pt idx="1539">
                  <c:v>2.5847523341801949E-2</c:v>
                </c:pt>
                <c:pt idx="1540">
                  <c:v>2.5837185903645477E-2</c:v>
                </c:pt>
                <c:pt idx="1541">
                  <c:v>2.5826844149124596E-2</c:v>
                </c:pt>
                <c:pt idx="1542">
                  <c:v>2.5816498078274446E-2</c:v>
                </c:pt>
                <c:pt idx="1543">
                  <c:v>2.5806330441827723E-2</c:v>
                </c:pt>
                <c:pt idx="1544">
                  <c:v>2.5795974690385266E-2</c:v>
                </c:pt>
                <c:pt idx="1545">
                  <c:v>2.578561462270414E-2</c:v>
                </c:pt>
                <c:pt idx="1546">
                  <c:v>2.5775250238819963E-2</c:v>
                </c:pt>
                <c:pt idx="1547">
                  <c:v>2.5764702980260807E-2</c:v>
                </c:pt>
                <c:pt idx="1548">
                  <c:v>2.5754331012142147E-2</c:v>
                </c:pt>
                <c:pt idx="1549">
                  <c:v>2.5740989282551148E-2</c:v>
                </c:pt>
                <c:pt idx="1550">
                  <c:v>2.5733574127660159E-2</c:v>
                </c:pt>
                <c:pt idx="1551">
                  <c:v>2.5723189211363587E-2</c:v>
                </c:pt>
                <c:pt idx="1552">
                  <c:v>2.5711488619052418E-2</c:v>
                </c:pt>
                <c:pt idx="1553">
                  <c:v>2.5701093406135873E-2</c:v>
                </c:pt>
                <c:pt idx="1554">
                  <c:v>2.569069387729345E-2</c:v>
                </c:pt>
                <c:pt idx="1555">
                  <c:v>2.5680290032560775E-2</c:v>
                </c:pt>
                <c:pt idx="1556">
                  <c:v>2.5669881871972597E-2</c:v>
                </c:pt>
                <c:pt idx="1557">
                  <c:v>2.5659469395561071E-2</c:v>
                </c:pt>
                <c:pt idx="1558">
                  <c:v>2.5649052603363556E-2</c:v>
                </c:pt>
                <c:pt idx="1559">
                  <c:v>2.5638631495412196E-2</c:v>
                </c:pt>
                <c:pt idx="1560">
                  <c:v>2.5628206071741752E-2</c:v>
                </c:pt>
                <c:pt idx="1561">
                  <c:v>2.5617776332387848E-2</c:v>
                </c:pt>
                <c:pt idx="1562">
                  <c:v>2.5607342277382626E-2</c:v>
                </c:pt>
                <c:pt idx="1563">
                  <c:v>2.559690390676345E-2</c:v>
                </c:pt>
                <c:pt idx="1564">
                  <c:v>2.5586461220561602E-2</c:v>
                </c:pt>
                <c:pt idx="1565">
                  <c:v>2.5576014218815311E-2</c:v>
                </c:pt>
                <c:pt idx="1566">
                  <c:v>2.5565562901556722E-2</c:v>
                </c:pt>
                <c:pt idx="1567">
                  <c:v>2.5555107268817989E-2</c:v>
                </c:pt>
                <c:pt idx="1568">
                  <c:v>2.5544647320639075E-2</c:v>
                </c:pt>
                <c:pt idx="1569">
                  <c:v>2.5534027707184433E-2</c:v>
                </c:pt>
                <c:pt idx="1570">
                  <c:v>2.5523560176388883E-2</c:v>
                </c:pt>
                <c:pt idx="1571">
                  <c:v>2.5513088330253161E-2</c:v>
                </c:pt>
                <c:pt idx="1572">
                  <c:v>2.550261216881328E-2</c:v>
                </c:pt>
                <c:pt idx="1573">
                  <c:v>2.5492282849302633E-2</c:v>
                </c:pt>
                <c:pt idx="1574">
                  <c:v>2.5481797009189903E-2</c:v>
                </c:pt>
                <c:pt idx="1575">
                  <c:v>2.5471306853875934E-2</c:v>
                </c:pt>
                <c:pt idx="1576">
                  <c:v>2.546081238339722E-2</c:v>
                </c:pt>
                <c:pt idx="1577">
                  <c:v>2.5450313597785906E-2</c:v>
                </c:pt>
                <c:pt idx="1578">
                  <c:v>2.5439810497076748E-2</c:v>
                </c:pt>
                <c:pt idx="1579">
                  <c:v>2.542930308130624E-2</c:v>
                </c:pt>
                <c:pt idx="1580">
                  <c:v>2.5418791350506526E-2</c:v>
                </c:pt>
                <c:pt idx="1581">
                  <c:v>2.540827530471497E-2</c:v>
                </c:pt>
                <c:pt idx="1582">
                  <c:v>2.5397471403083571E-2</c:v>
                </c:pt>
                <c:pt idx="1583">
                  <c:v>2.538694882363135E-2</c:v>
                </c:pt>
                <c:pt idx="1584">
                  <c:v>2.5376421929281356E-2</c:v>
                </c:pt>
                <c:pt idx="1585">
                  <c:v>2.5365890720065565E-2</c:v>
                </c:pt>
                <c:pt idx="1586">
                  <c:v>2.5353849768927184E-2</c:v>
                </c:pt>
                <c:pt idx="1587">
                  <c:v>2.5343309313687001E-2</c:v>
                </c:pt>
                <c:pt idx="1588">
                  <c:v>2.5332764543690267E-2</c:v>
                </c:pt>
                <c:pt idx="1589">
                  <c:v>2.5322215458968067E-2</c:v>
                </c:pt>
                <c:pt idx="1590">
                  <c:v>2.5311662059558593E-2</c:v>
                </c:pt>
                <c:pt idx="1591">
                  <c:v>2.5300972016977504E-2</c:v>
                </c:pt>
                <c:pt idx="1592">
                  <c:v>2.5290411036265531E-2</c:v>
                </c:pt>
                <c:pt idx="1593">
                  <c:v>2.5279845740958137E-2</c:v>
                </c:pt>
                <c:pt idx="1594">
                  <c:v>2.5269276131087655E-2</c:v>
                </c:pt>
                <c:pt idx="1595">
                  <c:v>2.5259086334904819E-2</c:v>
                </c:pt>
                <c:pt idx="1596">
                  <c:v>2.5248504952040122E-2</c:v>
                </c:pt>
                <c:pt idx="1597">
                  <c:v>2.5237919254746607E-2</c:v>
                </c:pt>
                <c:pt idx="1598">
                  <c:v>2.5227329243055558E-2</c:v>
                </c:pt>
                <c:pt idx="1599">
                  <c:v>2.5216611160296016E-2</c:v>
                </c:pt>
                <c:pt idx="1600">
                  <c:v>2.5204499273959943E-2</c:v>
                </c:pt>
                <c:pt idx="1601">
                  <c:v>2.51938967509527E-2</c:v>
                </c:pt>
                <c:pt idx="1602">
                  <c:v>2.5183289913681343E-2</c:v>
                </c:pt>
                <c:pt idx="1603">
                  <c:v>2.5172798177257885E-2</c:v>
                </c:pt>
                <c:pt idx="1604">
                  <c:v>2.5162181663617507E-2</c:v>
                </c:pt>
                <c:pt idx="1605">
                  <c:v>2.5151560835830696E-2</c:v>
                </c:pt>
                <c:pt idx="1606">
                  <c:v>2.5140935693931343E-2</c:v>
                </c:pt>
                <c:pt idx="1607">
                  <c:v>2.513030623795854E-2</c:v>
                </c:pt>
                <c:pt idx="1608">
                  <c:v>2.5119672467942701E-2</c:v>
                </c:pt>
                <c:pt idx="1609">
                  <c:v>2.5109034383923798E-2</c:v>
                </c:pt>
                <c:pt idx="1610">
                  <c:v>2.5098391985931365E-2</c:v>
                </c:pt>
                <c:pt idx="1611">
                  <c:v>2.5087745274006243E-2</c:v>
                </c:pt>
                <c:pt idx="1612">
                  <c:v>2.5077094248178843E-2</c:v>
                </c:pt>
                <c:pt idx="1613">
                  <c:v>2.5066438908488264E-2</c:v>
                </c:pt>
                <c:pt idx="1614">
                  <c:v>2.5055779254966652E-2</c:v>
                </c:pt>
                <c:pt idx="1615">
                  <c:v>2.5045115287649636E-2</c:v>
                </c:pt>
                <c:pt idx="1616">
                  <c:v>2.5034447006574569E-2</c:v>
                </c:pt>
                <c:pt idx="1617">
                  <c:v>2.5023774411774474E-2</c:v>
                </c:pt>
                <c:pt idx="1618">
                  <c:v>2.5013097503285845E-2</c:v>
                </c:pt>
                <c:pt idx="1619">
                  <c:v>2.5002416281141693E-2</c:v>
                </c:pt>
                <c:pt idx="1620">
                  <c:v>2.4991730745381122E-2</c:v>
                </c:pt>
                <c:pt idx="1621">
                  <c:v>2.4980940341711839E-2</c:v>
                </c:pt>
                <c:pt idx="1622">
                  <c:v>2.4970247226472855E-2</c:v>
                </c:pt>
                <c:pt idx="1623">
                  <c:v>2.4959549797701482E-2</c:v>
                </c:pt>
                <c:pt idx="1624">
                  <c:v>2.4948848055430226E-2</c:v>
                </c:pt>
                <c:pt idx="1625">
                  <c:v>2.4938526882403819E-2</c:v>
                </c:pt>
                <c:pt idx="1626">
                  <c:v>2.4927526946796535E-2</c:v>
                </c:pt>
                <c:pt idx="1627">
                  <c:v>2.4916811216694156E-2</c:v>
                </c:pt>
                <c:pt idx="1628">
                  <c:v>2.490609117325426E-2</c:v>
                </c:pt>
                <c:pt idx="1629">
                  <c:v>2.4895366816514213E-2</c:v>
                </c:pt>
                <c:pt idx="1630">
                  <c:v>2.4884638146507904E-2</c:v>
                </c:pt>
                <c:pt idx="1631">
                  <c:v>2.4873905163272685E-2</c:v>
                </c:pt>
                <c:pt idx="1632">
                  <c:v>2.4863167866843318E-2</c:v>
                </c:pt>
                <c:pt idx="1633">
                  <c:v>2.4852426257255426E-2</c:v>
                </c:pt>
                <c:pt idx="1634">
                  <c:v>2.4841506365696375E-2</c:v>
                </c:pt>
                <c:pt idx="1635">
                  <c:v>2.4830758224575256E-2</c:v>
                </c:pt>
                <c:pt idx="1636">
                  <c:v>2.4820005770351372E-2</c:v>
                </c:pt>
                <c:pt idx="1637">
                  <c:v>2.4809249003060252E-2</c:v>
                </c:pt>
                <c:pt idx="1638">
                  <c:v>2.4798487922734758E-2</c:v>
                </c:pt>
                <c:pt idx="1639">
                  <c:v>2.4787722529411305E-2</c:v>
                </c:pt>
                <c:pt idx="1640">
                  <c:v>2.4776952823124532E-2</c:v>
                </c:pt>
                <c:pt idx="1641">
                  <c:v>2.476617880390819E-2</c:v>
                </c:pt>
                <c:pt idx="1642">
                  <c:v>2.4755400471798694E-2</c:v>
                </c:pt>
                <c:pt idx="1643">
                  <c:v>2.4744540123126487E-2</c:v>
                </c:pt>
                <c:pt idx="1644">
                  <c:v>2.4733754212362406E-2</c:v>
                </c:pt>
                <c:pt idx="1645">
                  <c:v>2.4722963988781252E-2</c:v>
                </c:pt>
                <c:pt idx="1646">
                  <c:v>2.471216945241626E-2</c:v>
                </c:pt>
                <c:pt idx="1647">
                  <c:v>2.4701590861205585E-2</c:v>
                </c:pt>
                <c:pt idx="1648">
                  <c:v>2.4690784558494661E-2</c:v>
                </c:pt>
                <c:pt idx="1649">
                  <c:v>2.4679973943194319E-2</c:v>
                </c:pt>
                <c:pt idx="1650">
                  <c:v>2.4669159015339316E-2</c:v>
                </c:pt>
                <c:pt idx="1651">
                  <c:v>2.4658270639965497E-2</c:v>
                </c:pt>
                <c:pt idx="1652">
                  <c:v>2.4647448133993662E-2</c:v>
                </c:pt>
                <c:pt idx="1653">
                  <c:v>2.4636621315543537E-2</c:v>
                </c:pt>
                <c:pt idx="1654">
                  <c:v>2.4625790184648506E-2</c:v>
                </c:pt>
                <c:pt idx="1655">
                  <c:v>2.4614954741345466E-2</c:v>
                </c:pt>
                <c:pt idx="1656">
                  <c:v>2.4604178886571987E-2</c:v>
                </c:pt>
                <c:pt idx="1657">
                  <c:v>2.4593333771836163E-2</c:v>
                </c:pt>
                <c:pt idx="1658">
                  <c:v>2.4582484344833275E-2</c:v>
                </c:pt>
                <c:pt idx="1659">
                  <c:v>2.4571630605598076E-2</c:v>
                </c:pt>
                <c:pt idx="1660">
                  <c:v>2.456077255416619E-2</c:v>
                </c:pt>
                <c:pt idx="1661">
                  <c:v>2.454991019057411E-2</c:v>
                </c:pt>
                <c:pt idx="1662">
                  <c:v>2.4539043514855724E-2</c:v>
                </c:pt>
                <c:pt idx="1663">
                  <c:v>2.4528172527049256E-2</c:v>
                </c:pt>
                <c:pt idx="1664">
                  <c:v>2.4517297227187731E-2</c:v>
                </c:pt>
                <c:pt idx="1665">
                  <c:v>2.450641761531111E-2</c:v>
                </c:pt>
                <c:pt idx="1666">
                  <c:v>2.4495533691451549E-2</c:v>
                </c:pt>
                <c:pt idx="1667">
                  <c:v>2.4484645455647269E-2</c:v>
                </c:pt>
                <c:pt idx="1668">
                  <c:v>2.4473752907933032E-2</c:v>
                </c:pt>
                <c:pt idx="1669">
                  <c:v>2.4462856048344458E-2</c:v>
                </c:pt>
                <c:pt idx="1670">
                  <c:v>2.445195487691891E-2</c:v>
                </c:pt>
                <c:pt idx="1671">
                  <c:v>2.4441049393692009E-2</c:v>
                </c:pt>
                <c:pt idx="1672">
                  <c:v>2.4430139598699385E-2</c:v>
                </c:pt>
                <c:pt idx="1673">
                  <c:v>2.441917938050046E-2</c:v>
                </c:pt>
                <c:pt idx="1674">
                  <c:v>2.4408262008179121E-2</c:v>
                </c:pt>
                <c:pt idx="1675">
                  <c:v>2.439734032416041E-2</c:v>
                </c:pt>
                <c:pt idx="1676">
                  <c:v>2.438641432848122E-2</c:v>
                </c:pt>
                <c:pt idx="1677">
                  <c:v>2.4375525948508472E-2</c:v>
                </c:pt>
                <c:pt idx="1678">
                  <c:v>2.436459028367827E-2</c:v>
                </c:pt>
                <c:pt idx="1679">
                  <c:v>2.4353650307334315E-2</c:v>
                </c:pt>
                <c:pt idx="1680">
                  <c:v>2.4342706019513095E-2</c:v>
                </c:pt>
                <c:pt idx="1681">
                  <c:v>2.4331757420251975E-2</c:v>
                </c:pt>
                <c:pt idx="1682">
                  <c:v>2.432080450958397E-2</c:v>
                </c:pt>
                <c:pt idx="1683">
                  <c:v>2.4309847287548182E-2</c:v>
                </c:pt>
                <c:pt idx="1684">
                  <c:v>2.4298885754179364E-2</c:v>
                </c:pt>
                <c:pt idx="1685">
                  <c:v>2.4287919909514011E-2</c:v>
                </c:pt>
                <c:pt idx="1686">
                  <c:v>2.4276884624408801E-2</c:v>
                </c:pt>
                <c:pt idx="1687">
                  <c:v>2.4265912248298882E-2</c:v>
                </c:pt>
                <c:pt idx="1688">
                  <c:v>2.425493556090963E-2</c:v>
                </c:pt>
                <c:pt idx="1689">
                  <c:v>2.4243954562276571E-2</c:v>
                </c:pt>
                <c:pt idx="1690">
                  <c:v>2.4232969252435232E-2</c:v>
                </c:pt>
                <c:pt idx="1691">
                  <c:v>2.4221979631422919E-2</c:v>
                </c:pt>
                <c:pt idx="1692">
                  <c:v>2.4210985699272491E-2</c:v>
                </c:pt>
                <c:pt idx="1693">
                  <c:v>2.4199987456022143E-2</c:v>
                </c:pt>
                <c:pt idx="1694">
                  <c:v>2.4188984901703847E-2</c:v>
                </c:pt>
                <c:pt idx="1695">
                  <c:v>2.4177954731891479E-2</c:v>
                </c:pt>
                <c:pt idx="1696">
                  <c:v>2.4166944600581445E-2</c:v>
                </c:pt>
                <c:pt idx="1697">
                  <c:v>2.4155930158263231E-2</c:v>
                </c:pt>
                <c:pt idx="1698">
                  <c:v>2.4144911404972765E-2</c:v>
                </c:pt>
                <c:pt idx="1699">
                  <c:v>2.4133945420747968E-2</c:v>
                </c:pt>
                <c:pt idx="1700">
                  <c:v>2.4122916130488618E-2</c:v>
                </c:pt>
                <c:pt idx="1701">
                  <c:v>2.4111888142542306E-2</c:v>
                </c:pt>
                <c:pt idx="1702">
                  <c:v>2.4100866368290771E-2</c:v>
                </c:pt>
                <c:pt idx="1703">
                  <c:v>2.4089835727636653E-2</c:v>
                </c:pt>
                <c:pt idx="1704">
                  <c:v>2.4078839497358666E-2</c:v>
                </c:pt>
                <c:pt idx="1705">
                  <c:v>2.4067863781141459E-2</c:v>
                </c:pt>
                <c:pt idx="1706">
                  <c:v>2.40569135437925E-2</c:v>
                </c:pt>
                <c:pt idx="1707">
                  <c:v>2.4045993750069182E-2</c:v>
                </c:pt>
                <c:pt idx="1708">
                  <c:v>2.40351412408546E-2</c:v>
                </c:pt>
                <c:pt idx="1709">
                  <c:v>2.4024300476563128E-2</c:v>
                </c:pt>
                <c:pt idx="1710">
                  <c:v>2.4013505215061019E-2</c:v>
                </c:pt>
                <c:pt idx="1711">
                  <c:v>2.4002760367239966E-2</c:v>
                </c:pt>
                <c:pt idx="1712">
                  <c:v>2.399207084394735E-2</c:v>
                </c:pt>
                <c:pt idx="1713">
                  <c:v>2.3981440737435796E-2</c:v>
                </c:pt>
                <c:pt idx="1714">
                  <c:v>2.3970870865760489E-2</c:v>
                </c:pt>
                <c:pt idx="1715">
                  <c:v>2.3960361228439211E-2</c:v>
                </c:pt>
                <c:pt idx="1716">
                  <c:v>2.3949911824987128E-2</c:v>
                </c:pt>
                <c:pt idx="1717">
                  <c:v>2.3939522654926364E-2</c:v>
                </c:pt>
                <c:pt idx="1718">
                  <c:v>2.392919371777991E-2</c:v>
                </c:pt>
                <c:pt idx="1719">
                  <c:v>2.3918925013074226E-2</c:v>
                </c:pt>
                <c:pt idx="1720">
                  <c:v>2.3908716540336654E-2</c:v>
                </c:pt>
                <c:pt idx="1721">
                  <c:v>2.3898568299099737E-2</c:v>
                </c:pt>
                <c:pt idx="1722">
                  <c:v>2.3888480288897763E-2</c:v>
                </c:pt>
                <c:pt idx="1723">
                  <c:v>2.3878452509269361E-2</c:v>
                </c:pt>
                <c:pt idx="1724">
                  <c:v>2.3868484959751423E-2</c:v>
                </c:pt>
                <c:pt idx="1725">
                  <c:v>2.3858484913335563E-2</c:v>
                </c:pt>
                <c:pt idx="1726">
                  <c:v>2.3848634171396484E-2</c:v>
                </c:pt>
                <c:pt idx="1727">
                  <c:v>2.3838843653993972E-2</c:v>
                </c:pt>
                <c:pt idx="1728">
                  <c:v>2.382911336068267E-2</c:v>
                </c:pt>
                <c:pt idx="1729">
                  <c:v>2.381944329102249E-2</c:v>
                </c:pt>
                <c:pt idx="1730">
                  <c:v>2.3809944469582976E-2</c:v>
                </c:pt>
                <c:pt idx="1731">
                  <c:v>2.3800398518199702E-2</c:v>
                </c:pt>
                <c:pt idx="1732">
                  <c:v>2.3790912793346278E-2</c:v>
                </c:pt>
                <c:pt idx="1733">
                  <c:v>2.3781487294588271E-2</c:v>
                </c:pt>
                <c:pt idx="1734">
                  <c:v>2.3772122021493848E-2</c:v>
                </c:pt>
                <c:pt idx="1735">
                  <c:v>2.3762816973632923E-2</c:v>
                </c:pt>
                <c:pt idx="1736">
                  <c:v>2.3753572150578009E-2</c:v>
                </c:pt>
                <c:pt idx="1737">
                  <c:v>2.3744387551905968E-2</c:v>
                </c:pt>
                <c:pt idx="1738">
                  <c:v>2.3735122656828863E-2</c:v>
                </c:pt>
                <c:pt idx="1739">
                  <c:v>2.372605479998368E-2</c:v>
                </c:pt>
                <c:pt idx="1740">
                  <c:v>2.3717047162112041E-2</c:v>
                </c:pt>
                <c:pt idx="1741">
                  <c:v>2.3708099742806361E-2</c:v>
                </c:pt>
                <c:pt idx="1742">
                  <c:v>2.3699212541657296E-2</c:v>
                </c:pt>
                <c:pt idx="1743">
                  <c:v>2.3690385558263409E-2</c:v>
                </c:pt>
                <c:pt idx="1744">
                  <c:v>2.368161879222502E-2</c:v>
                </c:pt>
                <c:pt idx="1745">
                  <c:v>2.3672912243140689E-2</c:v>
                </c:pt>
                <c:pt idx="1746">
                  <c:v>2.3664265910619525E-2</c:v>
                </c:pt>
                <c:pt idx="1747">
                  <c:v>2.3655506138312354E-2</c:v>
                </c:pt>
                <c:pt idx="1748">
                  <c:v>2.364697649539238E-2</c:v>
                </c:pt>
                <c:pt idx="1749">
                  <c:v>2.3638507063748371E-2</c:v>
                </c:pt>
                <c:pt idx="1750">
                  <c:v>2.3630097843001963E-2</c:v>
                </c:pt>
                <c:pt idx="1751">
                  <c:v>2.3622126499655054E-2</c:v>
                </c:pt>
                <c:pt idx="1752">
                  <c:v>2.3613845217694877E-2</c:v>
                </c:pt>
                <c:pt idx="1753">
                  <c:v>2.3605624153703576E-2</c:v>
                </c:pt>
                <c:pt idx="1754">
                  <c:v>2.3597463307307529E-2</c:v>
                </c:pt>
                <c:pt idx="1755">
                  <c:v>2.358936267813052E-2</c:v>
                </c:pt>
                <c:pt idx="1756">
                  <c:v>2.3581114411300085E-2</c:v>
                </c:pt>
                <c:pt idx="1757">
                  <c:v>2.3573130435656835E-2</c:v>
                </c:pt>
                <c:pt idx="1758">
                  <c:v>2.3565206672044991E-2</c:v>
                </c:pt>
                <c:pt idx="1759">
                  <c:v>2.3557343120108796E-2</c:v>
                </c:pt>
                <c:pt idx="1760">
                  <c:v>2.3549101668253074E-2</c:v>
                </c:pt>
                <c:pt idx="1761">
                  <c:v>2.3541378531796754E-2</c:v>
                </c:pt>
                <c:pt idx="1762">
                  <c:v>2.3533715618093178E-2</c:v>
                </c:pt>
                <c:pt idx="1763">
                  <c:v>2.3526112926785182E-2</c:v>
                </c:pt>
                <c:pt idx="1764">
                  <c:v>2.3518570457515604E-2</c:v>
                </c:pt>
                <c:pt idx="1765">
                  <c:v>2.351108820992899E-2</c:v>
                </c:pt>
                <c:pt idx="1766">
                  <c:v>2.3503666183676674E-2</c:v>
                </c:pt>
                <c:pt idx="1767">
                  <c:v>2.3496304378410857E-2</c:v>
                </c:pt>
                <c:pt idx="1768">
                  <c:v>2.3488239583151081E-2</c:v>
                </c:pt>
                <c:pt idx="1769">
                  <c:v>2.3481761429458532E-2</c:v>
                </c:pt>
                <c:pt idx="1770">
                  <c:v>2.3474580285090019E-2</c:v>
                </c:pt>
                <c:pt idx="1771">
                  <c:v>2.3467459360344837E-2</c:v>
                </c:pt>
                <c:pt idx="1772">
                  <c:v>2.3460398654887936E-2</c:v>
                </c:pt>
                <c:pt idx="1773">
                  <c:v>2.3453398168388512E-2</c:v>
                </c:pt>
                <c:pt idx="1774">
                  <c:v>2.344645790051747E-2</c:v>
                </c:pt>
                <c:pt idx="1775">
                  <c:v>2.3439577850950816E-2</c:v>
                </c:pt>
                <c:pt idx="1776">
                  <c:v>2.343275801936625E-2</c:v>
                </c:pt>
                <c:pt idx="1777">
                  <c:v>2.3425131359629398E-2</c:v>
                </c:pt>
                <c:pt idx="1778">
                  <c:v>2.3418420365537526E-2</c:v>
                </c:pt>
                <c:pt idx="1779">
                  <c:v>2.3411769576457624E-2</c:v>
                </c:pt>
                <c:pt idx="1780">
                  <c:v>2.340517899208663E-2</c:v>
                </c:pt>
                <c:pt idx="1781">
                  <c:v>2.3399562120073866E-2</c:v>
                </c:pt>
                <c:pt idx="1782">
                  <c:v>2.3393103589763306E-2</c:v>
                </c:pt>
                <c:pt idx="1783">
                  <c:v>2.3386705275256155E-2</c:v>
                </c:pt>
                <c:pt idx="1784">
                  <c:v>2.3380367176251374E-2</c:v>
                </c:pt>
                <c:pt idx="1785">
                  <c:v>2.3374089292452178E-2</c:v>
                </c:pt>
                <c:pt idx="1786">
                  <c:v>2.3367871623565191E-2</c:v>
                </c:pt>
                <c:pt idx="1787">
                  <c:v>2.3361714169298727E-2</c:v>
                </c:pt>
                <c:pt idx="1788">
                  <c:v>2.3355616929362805E-2</c:v>
                </c:pt>
                <c:pt idx="1789">
                  <c:v>2.3349579903471699E-2</c:v>
                </c:pt>
                <c:pt idx="1790">
                  <c:v>2.3342245536833062E-2</c:v>
                </c:pt>
                <c:pt idx="1791">
                  <c:v>2.3336313268537801E-2</c:v>
                </c:pt>
                <c:pt idx="1792">
                  <c:v>2.3330441197574991E-2</c:v>
                </c:pt>
                <c:pt idx="1793">
                  <c:v>2.332462932368351E-2</c:v>
                </c:pt>
                <c:pt idx="1794">
                  <c:v>2.3315719878944048E-2</c:v>
                </c:pt>
                <c:pt idx="1795">
                  <c:v>2.3311125502927951E-2</c:v>
                </c:pt>
                <c:pt idx="1796">
                  <c:v>2.3305523955132672E-2</c:v>
                </c:pt>
                <c:pt idx="1797">
                  <c:v>2.3300350995037977E-2</c:v>
                </c:pt>
                <c:pt idx="1798">
                  <c:v>2.3294501458953586E-2</c:v>
                </c:pt>
                <c:pt idx="1799">
                  <c:v>2.3289080510071711E-2</c:v>
                </c:pt>
                <c:pt idx="1800">
                  <c:v>2.3283719760331334E-2</c:v>
                </c:pt>
                <c:pt idx="1801">
                  <c:v>2.3278419209490888E-2</c:v>
                </c:pt>
                <c:pt idx="1802">
                  <c:v>2.3273178857308809E-2</c:v>
                </c:pt>
                <c:pt idx="1803">
                  <c:v>2.3268390829859258E-2</c:v>
                </c:pt>
                <c:pt idx="1804">
                  <c:v>2.3263274844490003E-2</c:v>
                </c:pt>
                <c:pt idx="1805">
                  <c:v>2.3258219061008573E-2</c:v>
                </c:pt>
                <c:pt idx="1806">
                  <c:v>2.3253223479180369E-2</c:v>
                </c:pt>
                <c:pt idx="1807">
                  <c:v>2.3247880068049266E-2</c:v>
                </c:pt>
                <c:pt idx="1808">
                  <c:v>2.3243000902921081E-2</c:v>
                </c:pt>
                <c:pt idx="1809">
                  <c:v>2.3238181934842873E-2</c:v>
                </c:pt>
                <c:pt idx="1810">
                  <c:v>2.3232074571202122E-2</c:v>
                </c:pt>
                <c:pt idx="1811">
                  <c:v>2.3228724588969411E-2</c:v>
                </c:pt>
                <c:pt idx="1812">
                  <c:v>2.3224514210336389E-2</c:v>
                </c:pt>
                <c:pt idx="1813">
                  <c:v>2.3219940033833601E-2</c:v>
                </c:pt>
                <c:pt idx="1814">
                  <c:v>2.3215426057228056E-2</c:v>
                </c:pt>
                <c:pt idx="1815">
                  <c:v>2.3210972280315566E-2</c:v>
                </c:pt>
                <c:pt idx="1816">
                  <c:v>2.320657870289021E-2</c:v>
                </c:pt>
                <c:pt idx="1817">
                  <c:v>2.3202245324750414E-2</c:v>
                </c:pt>
                <c:pt idx="1818">
                  <c:v>2.3197972145698069E-2</c:v>
                </c:pt>
                <c:pt idx="1819">
                  <c:v>2.3193759165537682E-2</c:v>
                </c:pt>
                <c:pt idx="1820">
                  <c:v>2.3189606384073757E-2</c:v>
                </c:pt>
                <c:pt idx="1821">
                  <c:v>2.3185513801116883E-2</c:v>
                </c:pt>
                <c:pt idx="1822">
                  <c:v>2.318148141648025E-2</c:v>
                </c:pt>
                <c:pt idx="1823">
                  <c:v>2.3177509229978788E-2</c:v>
                </c:pt>
                <c:pt idx="1824">
                  <c:v>2.3173597241429169E-2</c:v>
                </c:pt>
                <c:pt idx="1825">
                  <c:v>2.3169745450650665E-2</c:v>
                </c:pt>
                <c:pt idx="1826">
                  <c:v>2.3165953857470369E-2</c:v>
                </c:pt>
                <c:pt idx="1827">
                  <c:v>2.3162222461711037E-2</c:v>
                </c:pt>
                <c:pt idx="1828">
                  <c:v>2.3158551263204104E-2</c:v>
                </c:pt>
                <c:pt idx="1829">
                  <c:v>2.3154443637278276E-2</c:v>
                </c:pt>
                <c:pt idx="1830">
                  <c:v>2.3150888760969348E-2</c:v>
                </c:pt>
                <c:pt idx="1831">
                  <c:v>2.3147394077531771E-2</c:v>
                </c:pt>
                <c:pt idx="1832">
                  <c:v>2.3143959586806546E-2</c:v>
                </c:pt>
                <c:pt idx="1833">
                  <c:v>2.3141098223630537E-2</c:v>
                </c:pt>
                <c:pt idx="1834">
                  <c:v>2.3137788205186853E-2</c:v>
                </c:pt>
                <c:pt idx="1835">
                  <c:v>2.3134538382875595E-2</c:v>
                </c:pt>
                <c:pt idx="1836">
                  <c:v>2.3131348756542106E-2</c:v>
                </c:pt>
                <c:pt idx="1837">
                  <c:v>2.3128219326046494E-2</c:v>
                </c:pt>
                <c:pt idx="1838">
                  <c:v>2.3125150091239319E-2</c:v>
                </c:pt>
                <c:pt idx="1839">
                  <c:v>2.3122141051983295E-2</c:v>
                </c:pt>
                <c:pt idx="1840">
                  <c:v>2.3119192208140273E-2</c:v>
                </c:pt>
                <c:pt idx="1841">
                  <c:v>2.3116303559572969E-2</c:v>
                </c:pt>
                <c:pt idx="1842">
                  <c:v>2.3112925245822893E-2</c:v>
                </c:pt>
                <c:pt idx="1843">
                  <c:v>2.3110152865252503E-2</c:v>
                </c:pt>
                <c:pt idx="1844">
                  <c:v>2.3107440675704392E-2</c:v>
                </c:pt>
                <c:pt idx="1845">
                  <c:v>2.3104788677057331E-2</c:v>
                </c:pt>
                <c:pt idx="1846">
                  <c:v>2.3101264980321723E-2</c:v>
                </c:pt>
                <c:pt idx="1847">
                  <c:v>2.3099308505898267E-2</c:v>
                </c:pt>
                <c:pt idx="1848">
                  <c:v>2.3096270854643386E-2</c:v>
                </c:pt>
                <c:pt idx="1849">
                  <c:v>2.3093864071700665E-2</c:v>
                </c:pt>
                <c:pt idx="1850">
                  <c:v>2.3091517475207546E-2</c:v>
                </c:pt>
                <c:pt idx="1851">
                  <c:v>2.3089231065062776E-2</c:v>
                </c:pt>
                <c:pt idx="1852">
                  <c:v>2.3087004841161551E-2</c:v>
                </c:pt>
                <c:pt idx="1853">
                  <c:v>2.3084838803402619E-2</c:v>
                </c:pt>
                <c:pt idx="1854">
                  <c:v>2.3082732951692719E-2</c:v>
                </c:pt>
                <c:pt idx="1855">
                  <c:v>2.3081895552938634E-2</c:v>
                </c:pt>
                <c:pt idx="1856">
                  <c:v>2.3079918418244409E-2</c:v>
                </c:pt>
                <c:pt idx="1857">
                  <c:v>2.3078001477022998E-2</c:v>
                </c:pt>
                <c:pt idx="1858">
                  <c:v>2.3076144729189254E-2</c:v>
                </c:pt>
                <c:pt idx="1859">
                  <c:v>2.3073727114675795E-2</c:v>
                </c:pt>
                <c:pt idx="1860">
                  <c:v>2.3071500320385737E-2</c:v>
                </c:pt>
                <c:pt idx="1861">
                  <c:v>2.3069837157014318E-2</c:v>
                </c:pt>
                <c:pt idx="1862">
                  <c:v>2.3068234182837186E-2</c:v>
                </c:pt>
                <c:pt idx="1863">
                  <c:v>2.3068396110463945E-2</c:v>
                </c:pt>
                <c:pt idx="1864">
                  <c:v>2.3065852043368217E-2</c:v>
                </c:pt>
                <c:pt idx="1865">
                  <c:v>2.3064433844958203E-2</c:v>
                </c:pt>
                <c:pt idx="1866">
                  <c:v>2.3063075839313746E-2</c:v>
                </c:pt>
                <c:pt idx="1867">
                  <c:v>2.3061778026371417E-2</c:v>
                </c:pt>
                <c:pt idx="1868">
                  <c:v>2.306054040607039E-2</c:v>
                </c:pt>
                <c:pt idx="1869">
                  <c:v>2.3059362978355934E-2</c:v>
                </c:pt>
                <c:pt idx="1870">
                  <c:v>2.3058245743174173E-2</c:v>
                </c:pt>
                <c:pt idx="1871">
                  <c:v>2.3057188700472978E-2</c:v>
                </c:pt>
                <c:pt idx="1872">
                  <c:v>2.3056191850203692E-2</c:v>
                </c:pt>
                <c:pt idx="1873">
                  <c:v>2.3055255192320261E-2</c:v>
                </c:pt>
                <c:pt idx="1874">
                  <c:v>2.3054378726781854E-2</c:v>
                </c:pt>
                <c:pt idx="1875">
                  <c:v>2.3053562453545895E-2</c:v>
                </c:pt>
                <c:pt idx="1876">
                  <c:v>2.3052806372575889E-2</c:v>
                </c:pt>
                <c:pt idx="1877">
                  <c:v>2.305211048383795E-2</c:v>
                </c:pt>
                <c:pt idx="1878">
                  <c:v>2.3051474787298194E-2</c:v>
                </c:pt>
                <c:pt idx="1879">
                  <c:v>2.3050899282928815E-2</c:v>
                </c:pt>
                <c:pt idx="1880">
                  <c:v>2.3050383970703751E-2</c:v>
                </c:pt>
                <c:pt idx="1881">
                  <c:v>2.3049213539791533E-2</c:v>
                </c:pt>
                <c:pt idx="1882">
                  <c:v>2.3048814337834768E-2</c:v>
                </c:pt>
                <c:pt idx="1883">
                  <c:v>2.3048475324120084E-2</c:v>
                </c:pt>
                <c:pt idx="1884">
                  <c:v>2.3051111714453305E-2</c:v>
                </c:pt>
                <c:pt idx="1885">
                  <c:v>2.3048710291001966E-2</c:v>
                </c:pt>
                <c:pt idx="1886">
                  <c:v>2.304855613123875E-2</c:v>
                </c:pt>
                <c:pt idx="1887">
                  <c:v>2.3048462163512105E-2</c:v>
                </c:pt>
                <c:pt idx="1888">
                  <c:v>2.304842838781769E-2</c:v>
                </c:pt>
                <c:pt idx="1889">
                  <c:v>2.3048454804152029E-2</c:v>
                </c:pt>
                <c:pt idx="1890">
                  <c:v>2.3048541412520333E-2</c:v>
                </c:pt>
                <c:pt idx="1891">
                  <c:v>2.304868821292173E-2</c:v>
                </c:pt>
                <c:pt idx="1892">
                  <c:v>2.3048895205367525E-2</c:v>
                </c:pt>
                <c:pt idx="1893">
                  <c:v>2.3049162389864659E-2</c:v>
                </c:pt>
                <c:pt idx="1894">
                  <c:v>2.3047947867980589E-2</c:v>
                </c:pt>
                <c:pt idx="1895">
                  <c:v>2.3048326789367302E-2</c:v>
                </c:pt>
                <c:pt idx="1896">
                  <c:v>2.3048765895160805E-2</c:v>
                </c:pt>
                <c:pt idx="1897">
                  <c:v>2.3051150332471709E-2</c:v>
                </c:pt>
                <c:pt idx="1898">
                  <c:v>2.3049909498024768E-2</c:v>
                </c:pt>
                <c:pt idx="1899">
                  <c:v>2.3050444319202334E-2</c:v>
                </c:pt>
                <c:pt idx="1900">
                  <c:v>2.3051124162853043E-2</c:v>
                </c:pt>
                <c:pt idx="1901">
                  <c:v>2.3051864191037552E-2</c:v>
                </c:pt>
                <c:pt idx="1902">
                  <c:v>2.3052664403788725E-2</c:v>
                </c:pt>
                <c:pt idx="1903">
                  <c:v>2.3052715476025502E-2</c:v>
                </c:pt>
                <c:pt idx="1904">
                  <c:v>2.3053631700606651E-2</c:v>
                </c:pt>
                <c:pt idx="1905">
                  <c:v>2.3054608106022494E-2</c:v>
                </c:pt>
                <c:pt idx="1906">
                  <c:v>2.3055644692317048E-2</c:v>
                </c:pt>
                <c:pt idx="1907">
                  <c:v>2.305922315014779E-2</c:v>
                </c:pt>
                <c:pt idx="1908">
                  <c:v>2.3060393218438741E-2</c:v>
                </c:pt>
                <c:pt idx="1909">
                  <c:v>2.3061623479310182E-2</c:v>
                </c:pt>
                <c:pt idx="1910">
                  <c:v>2.3062913932815971E-2</c:v>
                </c:pt>
                <c:pt idx="1911">
                  <c:v>2.3063419377640886E-2</c:v>
                </c:pt>
                <c:pt idx="1912">
                  <c:v>2.3064825827261388E-2</c:v>
                </c:pt>
                <c:pt idx="1913">
                  <c:v>2.3066292465848671E-2</c:v>
                </c:pt>
                <c:pt idx="1914">
                  <c:v>2.3067819293467733E-2</c:v>
                </c:pt>
                <c:pt idx="1915">
                  <c:v>2.3070269092048946E-2</c:v>
                </c:pt>
                <c:pt idx="1916">
                  <c:v>2.3071920702709355E-2</c:v>
                </c:pt>
                <c:pt idx="1917">
                  <c:v>2.3073632506477655E-2</c:v>
                </c:pt>
                <c:pt idx="1918">
                  <c:v>2.3075404503432911E-2</c:v>
                </c:pt>
                <c:pt idx="1919">
                  <c:v>2.3077236693655929E-2</c:v>
                </c:pt>
                <c:pt idx="1920">
                  <c:v>2.3079129077230986E-2</c:v>
                </c:pt>
                <c:pt idx="1921">
                  <c:v>2.3081081654243236E-2</c:v>
                </c:pt>
                <c:pt idx="1922">
                  <c:v>2.3083094424787384E-2</c:v>
                </c:pt>
                <c:pt idx="1923">
                  <c:v>2.3085167388948582E-2</c:v>
                </c:pt>
                <c:pt idx="1924">
                  <c:v>2.3087300546827613E-2</c:v>
                </c:pt>
                <c:pt idx="1925">
                  <c:v>2.3089493898519189E-2</c:v>
                </c:pt>
                <c:pt idx="1926">
                  <c:v>2.3091747444127571E-2</c:v>
                </c:pt>
                <c:pt idx="1927">
                  <c:v>2.3094061183750944E-2</c:v>
                </c:pt>
                <c:pt idx="1928">
                  <c:v>2.3096435117499651E-2</c:v>
                </c:pt>
                <c:pt idx="1929">
                  <c:v>2.30988692454797E-2</c:v>
                </c:pt>
                <c:pt idx="1930">
                  <c:v>2.3101363567805774E-2</c:v>
                </c:pt>
                <c:pt idx="1931">
                  <c:v>2.3103918084590835E-2</c:v>
                </c:pt>
                <c:pt idx="1932">
                  <c:v>2.3106532795950437E-2</c:v>
                </c:pt>
                <c:pt idx="1933">
                  <c:v>2.3108265042902192E-2</c:v>
                </c:pt>
                <c:pt idx="1934">
                  <c:v>2.3110995669352419E-2</c:v>
                </c:pt>
                <c:pt idx="1935">
                  <c:v>2.3113786486865334E-2</c:v>
                </c:pt>
                <c:pt idx="1936">
                  <c:v>2.3116637495563905E-2</c:v>
                </c:pt>
                <c:pt idx="1937">
                  <c:v>2.3123393832097886E-2</c:v>
                </c:pt>
                <c:pt idx="1938">
                  <c:v>2.3123485157122658E-2</c:v>
                </c:pt>
                <c:pt idx="1939">
                  <c:v>2.3126521234029928E-2</c:v>
                </c:pt>
                <c:pt idx="1940">
                  <c:v>2.3129617506549176E-2</c:v>
                </c:pt>
                <c:pt idx="1941">
                  <c:v>2.3132773974824626E-2</c:v>
                </c:pt>
                <c:pt idx="1942">
                  <c:v>2.3135990638999647E-2</c:v>
                </c:pt>
                <c:pt idx="1943">
                  <c:v>2.3139267499221947E-2</c:v>
                </c:pt>
                <c:pt idx="1944">
                  <c:v>2.3142604555641835E-2</c:v>
                </c:pt>
                <c:pt idx="1945">
                  <c:v>2.3146001808411368E-2</c:v>
                </c:pt>
                <c:pt idx="1946">
                  <c:v>2.3148458127696673E-2</c:v>
                </c:pt>
                <c:pt idx="1947">
                  <c:v>2.3151971248599433E-2</c:v>
                </c:pt>
                <c:pt idx="1948">
                  <c:v>2.3155544562423608E-2</c:v>
                </c:pt>
                <c:pt idx="1949">
                  <c:v>2.3159178069330828E-2</c:v>
                </c:pt>
                <c:pt idx="1950">
                  <c:v>2.3162871769485359E-2</c:v>
                </c:pt>
                <c:pt idx="1951">
                  <c:v>2.316662566305322E-2</c:v>
                </c:pt>
                <c:pt idx="1952">
                  <c:v>2.3170439750208337E-2</c:v>
                </c:pt>
                <c:pt idx="1953">
                  <c:v>2.3174314031121124E-2</c:v>
                </c:pt>
                <c:pt idx="1954">
                  <c:v>2.3178248505969026E-2</c:v>
                </c:pt>
                <c:pt idx="1955">
                  <c:v>2.3181201658275974E-2</c:v>
                </c:pt>
                <c:pt idx="1956">
                  <c:v>2.3185251961836961E-2</c:v>
                </c:pt>
                <c:pt idx="1957">
                  <c:v>2.3189362455950935E-2</c:v>
                </c:pt>
                <c:pt idx="1958">
                  <c:v>2.3193533140801748E-2</c:v>
                </c:pt>
                <c:pt idx="1959">
                  <c:v>2.3199884053471908E-2</c:v>
                </c:pt>
                <c:pt idx="1960">
                  <c:v>2.3204182796662882E-2</c:v>
                </c:pt>
                <c:pt idx="1961">
                  <c:v>2.3208534949539231E-2</c:v>
                </c:pt>
                <c:pt idx="1962">
                  <c:v>2.3212934571477301E-2</c:v>
                </c:pt>
                <c:pt idx="1963">
                  <c:v>2.3216303476101485E-2</c:v>
                </c:pt>
                <c:pt idx="1964">
                  <c:v>2.3220778842377734E-2</c:v>
                </c:pt>
                <c:pt idx="1965">
                  <c:v>2.3225284375945066E-2</c:v>
                </c:pt>
                <c:pt idx="1966">
                  <c:v>2.3229814071179352E-2</c:v>
                </c:pt>
                <c:pt idx="1967">
                  <c:v>2.3234361922424836E-2</c:v>
                </c:pt>
                <c:pt idx="1968">
                  <c:v>2.3239996474977143E-2</c:v>
                </c:pt>
                <c:pt idx="1969">
                  <c:v>2.32445620405888E-2</c:v>
                </c:pt>
                <c:pt idx="1970">
                  <c:v>2.3249127549297279E-2</c:v>
                </c:pt>
                <c:pt idx="1971">
                  <c:v>2.3253687060238257E-2</c:v>
                </c:pt>
                <c:pt idx="1972">
                  <c:v>2.3258234632514398E-2</c:v>
                </c:pt>
                <c:pt idx="1973">
                  <c:v>2.3262765315351121E-2</c:v>
                </c:pt>
                <c:pt idx="1974">
                  <c:v>2.3267278118541391E-2</c:v>
                </c:pt>
                <c:pt idx="1975">
                  <c:v>2.3271773042026118E-2</c:v>
                </c:pt>
                <c:pt idx="1976">
                  <c:v>2.3276250085740136E-2</c:v>
                </c:pt>
                <c:pt idx="1977">
                  <c:v>2.328070924962523E-2</c:v>
                </c:pt>
                <c:pt idx="1978">
                  <c:v>2.3285150533620586E-2</c:v>
                </c:pt>
                <c:pt idx="1979">
                  <c:v>2.3289573937663639E-2</c:v>
                </c:pt>
                <c:pt idx="1980">
                  <c:v>2.3293979461697045E-2</c:v>
                </c:pt>
                <c:pt idx="1981">
                  <c:v>2.3298367105657376E-2</c:v>
                </c:pt>
                <c:pt idx="1982">
                  <c:v>2.3302736869488156E-2</c:v>
                </c:pt>
                <c:pt idx="1983">
                  <c:v>2.3307088753127696E-2</c:v>
                </c:pt>
                <c:pt idx="1984">
                  <c:v>2.3311422756517781E-2</c:v>
                </c:pt>
                <c:pt idx="1985">
                  <c:v>2.3314680459389902E-2</c:v>
                </c:pt>
                <c:pt idx="1986">
                  <c:v>2.3318979701627721E-2</c:v>
                </c:pt>
                <c:pt idx="1987">
                  <c:v>2.3323261064547296E-2</c:v>
                </c:pt>
                <c:pt idx="1988">
                  <c:v>2.3327524548090648E-2</c:v>
                </c:pt>
                <c:pt idx="1989">
                  <c:v>2.3331770152200684E-2</c:v>
                </c:pt>
                <c:pt idx="1990">
                  <c:v>2.3337051288316292E-2</c:v>
                </c:pt>
                <c:pt idx="1991">
                  <c:v>2.3341260128316287E-2</c:v>
                </c:pt>
                <c:pt idx="1992">
                  <c:v>2.3345451087600246E-2</c:v>
                </c:pt>
                <c:pt idx="1993">
                  <c:v>2.3349624166111693E-2</c:v>
                </c:pt>
                <c:pt idx="1994">
                  <c:v>2.3353779363793278E-2</c:v>
                </c:pt>
                <c:pt idx="1995">
                  <c:v>2.3357916680588526E-2</c:v>
                </c:pt>
                <c:pt idx="1996">
                  <c:v>2.336203611644096E-2</c:v>
                </c:pt>
                <c:pt idx="1997">
                  <c:v>2.3366137671294973E-2</c:v>
                </c:pt>
                <c:pt idx="1998">
                  <c:v>2.3368130613909521E-2</c:v>
                </c:pt>
                <c:pt idx="1999">
                  <c:v>2.3372198434412184E-2</c:v>
                </c:pt>
                <c:pt idx="2000">
                  <c:v>2.3376248375980957E-2</c:v>
                </c:pt>
                <c:pt idx="2001">
                  <c:v>2.3380280438560774E-2</c:v>
                </c:pt>
                <c:pt idx="2002">
                  <c:v>2.3384294622100121E-2</c:v>
                </c:pt>
                <c:pt idx="2003">
                  <c:v>2.3388290926543043E-2</c:v>
                </c:pt>
                <c:pt idx="2004">
                  <c:v>2.3392269351837136E-2</c:v>
                </c:pt>
                <c:pt idx="2005">
                  <c:v>2.3396229897929999E-2</c:v>
                </c:pt>
                <c:pt idx="2006">
                  <c:v>2.340017256476834E-2</c:v>
                </c:pt>
                <c:pt idx="2007">
                  <c:v>2.3403061072731633E-2</c:v>
                </c:pt>
                <c:pt idx="2008">
                  <c:v>2.3406969004659356E-2</c:v>
                </c:pt>
                <c:pt idx="2009">
                  <c:v>2.3410859058295871E-2</c:v>
                </c:pt>
                <c:pt idx="2010">
                  <c:v>2.3414731233591782E-2</c:v>
                </c:pt>
                <c:pt idx="2011">
                  <c:v>2.3421681903507758E-2</c:v>
                </c:pt>
                <c:pt idx="2012">
                  <c:v>2.3425515236807241E-2</c:v>
                </c:pt>
                <c:pt idx="2013">
                  <c:v>2.3429330688242038E-2</c:v>
                </c:pt>
                <c:pt idx="2014">
                  <c:v>2.3433128257760887E-2</c:v>
                </c:pt>
                <c:pt idx="2015">
                  <c:v>2.3436907945312523E-2</c:v>
                </c:pt>
                <c:pt idx="2016">
                  <c:v>2.3439642833884604E-2</c:v>
                </c:pt>
                <c:pt idx="2017">
                  <c:v>2.3443387791498072E-2</c:v>
                </c:pt>
                <c:pt idx="2018">
                  <c:v>2.3447114868117271E-2</c:v>
                </c:pt>
                <c:pt idx="2019">
                  <c:v>2.3450824063690374E-2</c:v>
                </c:pt>
                <c:pt idx="2020">
                  <c:v>2.3455538151757896E-2</c:v>
                </c:pt>
                <c:pt idx="2021">
                  <c:v>2.3459210546428865E-2</c:v>
                </c:pt>
                <c:pt idx="2022">
                  <c:v>2.3462865058777257E-2</c:v>
                </c:pt>
                <c:pt idx="2023">
                  <c:v>2.3466501688750935E-2</c:v>
                </c:pt>
                <c:pt idx="2024">
                  <c:v>2.3470120436303855E-2</c:v>
                </c:pt>
                <c:pt idx="2025">
                  <c:v>2.3473721301383879E-2</c:v>
                </c:pt>
                <c:pt idx="2026">
                  <c:v>2.3477304283942353E-2</c:v>
                </c:pt>
                <c:pt idx="2027">
                  <c:v>2.3480869383932356E-2</c:v>
                </c:pt>
                <c:pt idx="2028">
                  <c:v>2.348441660130263E-2</c:v>
                </c:pt>
                <c:pt idx="2029">
                  <c:v>2.3487945936006248E-2</c:v>
                </c:pt>
                <c:pt idx="2030">
                  <c:v>2.349145738799456E-2</c:v>
                </c:pt>
                <c:pt idx="2031">
                  <c:v>2.3494950957220644E-2</c:v>
                </c:pt>
                <c:pt idx="2032">
                  <c:v>2.3498426643636709E-2</c:v>
                </c:pt>
                <c:pt idx="2033">
                  <c:v>2.3501884447193238E-2</c:v>
                </c:pt>
                <c:pt idx="2034">
                  <c:v>2.3505324367846782E-2</c:v>
                </c:pt>
                <c:pt idx="2035">
                  <c:v>2.3508746405546944E-2</c:v>
                </c:pt>
                <c:pt idx="2036">
                  <c:v>2.3512150560249415E-2</c:v>
                </c:pt>
                <c:pt idx="2037">
                  <c:v>2.3514531869334911E-2</c:v>
                </c:pt>
                <c:pt idx="2038">
                  <c:v>2.3517901315812346E-2</c:v>
                </c:pt>
                <c:pt idx="2039">
                  <c:v>2.3521252880287967E-2</c:v>
                </c:pt>
                <c:pt idx="2040">
                  <c:v>2.3524586562719611E-2</c:v>
                </c:pt>
                <c:pt idx="2041">
                  <c:v>2.352790236306072E-2</c:v>
                </c:pt>
                <c:pt idx="2042">
                  <c:v>2.3532199942914809E-2</c:v>
                </c:pt>
                <c:pt idx="2043">
                  <c:v>2.3535478915342301E-2</c:v>
                </c:pt>
                <c:pt idx="2044">
                  <c:v>2.3538740004407175E-2</c:v>
                </c:pt>
                <c:pt idx="2045">
                  <c:v>2.3541983210065121E-2</c:v>
                </c:pt>
                <c:pt idx="2046">
                  <c:v>2.3545208532270955E-2</c:v>
                </c:pt>
                <c:pt idx="2047">
                  <c:v>2.3548415970982103E-2</c:v>
                </c:pt>
                <c:pt idx="2048">
                  <c:v>2.3551605526152521E-2</c:v>
                </c:pt>
                <c:pt idx="2049">
                  <c:v>2.355477719774136E-2</c:v>
                </c:pt>
                <c:pt idx="2050">
                  <c:v>2.3555948684622408E-2</c:v>
                </c:pt>
                <c:pt idx="2051">
                  <c:v>2.3559086734218582E-2</c:v>
                </c:pt>
                <c:pt idx="2052">
                  <c:v>2.3562206902389526E-2</c:v>
                </c:pt>
                <c:pt idx="2053">
                  <c:v>2.3565309189092609E-2</c:v>
                </c:pt>
                <c:pt idx="2054">
                  <c:v>2.356981949306158E-2</c:v>
                </c:pt>
                <c:pt idx="2055">
                  <c:v>2.3571896733015407E-2</c:v>
                </c:pt>
                <c:pt idx="2056">
                  <c:v>2.357494282055228E-2</c:v>
                </c:pt>
                <c:pt idx="2057">
                  <c:v>2.3577971026450761E-2</c:v>
                </c:pt>
                <c:pt idx="2058">
                  <c:v>2.3580981350672658E-2</c:v>
                </c:pt>
                <c:pt idx="2059">
                  <c:v>2.3582992401437377E-2</c:v>
                </c:pt>
                <c:pt idx="2060">
                  <c:v>2.3585968045071792E-2</c:v>
                </c:pt>
                <c:pt idx="2061">
                  <c:v>2.3588925808058235E-2</c:v>
                </c:pt>
                <c:pt idx="2062">
                  <c:v>2.3591865690352695E-2</c:v>
                </c:pt>
                <c:pt idx="2063">
                  <c:v>2.3599672346404518E-2</c:v>
                </c:pt>
                <c:pt idx="2064">
                  <c:v>2.3602571028293929E-2</c:v>
                </c:pt>
                <c:pt idx="2065">
                  <c:v>2.3605451823636631E-2</c:v>
                </c:pt>
                <c:pt idx="2066">
                  <c:v>2.3607996753411579E-2</c:v>
                </c:pt>
                <c:pt idx="2067">
                  <c:v>2.3608242221325678E-2</c:v>
                </c:pt>
                <c:pt idx="2068">
                  <c:v>2.3611072634375108E-2</c:v>
                </c:pt>
                <c:pt idx="2069">
                  <c:v>2.3613885164168347E-2</c:v>
                </c:pt>
                <c:pt idx="2070">
                  <c:v>2.3616679810667618E-2</c:v>
                </c:pt>
                <c:pt idx="2071">
                  <c:v>2.3619456573833391E-2</c:v>
                </c:pt>
                <c:pt idx="2072">
                  <c:v>2.362511656433797E-2</c:v>
                </c:pt>
                <c:pt idx="2073">
                  <c:v>2.3627854265870676E-2</c:v>
                </c:pt>
                <c:pt idx="2074">
                  <c:v>2.3630574080502915E-2</c:v>
                </c:pt>
                <c:pt idx="2075">
                  <c:v>2.3633276008197261E-2</c:v>
                </c:pt>
                <c:pt idx="2076">
                  <c:v>2.3635960048915453E-2</c:v>
                </c:pt>
                <c:pt idx="2077">
                  <c:v>2.3638626202619223E-2</c:v>
                </c:pt>
                <c:pt idx="2078">
                  <c:v>2.3641274469273704E-2</c:v>
                </c:pt>
                <c:pt idx="2079">
                  <c:v>2.364390484884148E-2</c:v>
                </c:pt>
                <c:pt idx="2080">
                  <c:v>2.364364268630794E-2</c:v>
                </c:pt>
                <c:pt idx="2081">
                  <c:v>2.3649111946568099E-2</c:v>
                </c:pt>
                <c:pt idx="2082">
                  <c:v>2.3651688664654658E-2</c:v>
                </c:pt>
                <c:pt idx="2083">
                  <c:v>2.3654247495509095E-2</c:v>
                </c:pt>
                <c:pt idx="2084">
                  <c:v>2.3656788439095695E-2</c:v>
                </c:pt>
                <c:pt idx="2085">
                  <c:v>2.3659311495378744E-2</c:v>
                </c:pt>
                <c:pt idx="2086">
                  <c:v>2.3661816664323373E-2</c:v>
                </c:pt>
                <c:pt idx="2087">
                  <c:v>2.3664303945895568E-2</c:v>
                </c:pt>
                <c:pt idx="2088">
                  <c:v>2.3666773340057911E-2</c:v>
                </c:pt>
                <c:pt idx="2089">
                  <c:v>2.3666380219588307E-2</c:v>
                </c:pt>
                <c:pt idx="2090">
                  <c:v>2.3668817192613444E-2</c:v>
                </c:pt>
                <c:pt idx="2091">
                  <c:v>2.3671236281603225E-2</c:v>
                </c:pt>
                <c:pt idx="2092">
                  <c:v>2.367363748652428E-2</c:v>
                </c:pt>
                <c:pt idx="2093">
                  <c:v>2.3678851998561939E-2</c:v>
                </c:pt>
                <c:pt idx="2094">
                  <c:v>2.368121406756446E-2</c:v>
                </c:pt>
                <c:pt idx="2095">
                  <c:v>2.3683558248922425E-2</c:v>
                </c:pt>
                <c:pt idx="2096">
                  <c:v>2.3685884542605215E-2</c:v>
                </c:pt>
                <c:pt idx="2097">
                  <c:v>2.3688192948579673E-2</c:v>
                </c:pt>
                <c:pt idx="2098">
                  <c:v>2.3690483466813479E-2</c:v>
                </c:pt>
                <c:pt idx="2099">
                  <c:v>2.3692756097273469E-2</c:v>
                </c:pt>
                <c:pt idx="2100">
                  <c:v>2.3695010839930732E-2</c:v>
                </c:pt>
                <c:pt idx="2101">
                  <c:v>2.3697247694752101E-2</c:v>
                </c:pt>
                <c:pt idx="2102">
                  <c:v>2.3695732185046836E-2</c:v>
                </c:pt>
                <c:pt idx="2103">
                  <c:v>2.3697937795844837E-2</c:v>
                </c:pt>
                <c:pt idx="2104">
                  <c:v>2.3700125523365756E-2</c:v>
                </c:pt>
                <c:pt idx="2105">
                  <c:v>2.3702295367580284E-2</c:v>
                </c:pt>
                <c:pt idx="2106">
                  <c:v>2.3703506529454008E-2</c:v>
                </c:pt>
                <c:pt idx="2107">
                  <c:v>2.3708418093184507E-2</c:v>
                </c:pt>
                <c:pt idx="2108">
                  <c:v>2.371145183381141E-2</c:v>
                </c:pt>
                <c:pt idx="2109">
                  <c:v>2.371261499016215E-2</c:v>
                </c:pt>
                <c:pt idx="2110">
                  <c:v>2.371468661172655E-2</c:v>
                </c:pt>
                <c:pt idx="2111">
                  <c:v>2.3716740348638073E-2</c:v>
                </c:pt>
                <c:pt idx="2112">
                  <c:v>2.3718776200869485E-2</c:v>
                </c:pt>
                <c:pt idx="2113">
                  <c:v>2.3720794168390923E-2</c:v>
                </c:pt>
                <c:pt idx="2114">
                  <c:v>2.3722794251177785E-2</c:v>
                </c:pt>
                <c:pt idx="2115">
                  <c:v>2.3725694792217138E-2</c:v>
                </c:pt>
                <c:pt idx="2116">
                  <c:v>2.3727657956957474E-2</c:v>
                </c:pt>
                <c:pt idx="2117">
                  <c:v>2.372960323571555E-2</c:v>
                </c:pt>
                <c:pt idx="2118">
                  <c:v>2.373153062846443E-2</c:v>
                </c:pt>
                <c:pt idx="2119">
                  <c:v>2.3732526393144823E-2</c:v>
                </c:pt>
                <c:pt idx="2120">
                  <c:v>2.3734419166961184E-2</c:v>
                </c:pt>
                <c:pt idx="2121">
                  <c:v>2.3736826453410485E-2</c:v>
                </c:pt>
                <c:pt idx="2122">
                  <c:v>2.3738151059809556E-2</c:v>
                </c:pt>
                <c:pt idx="2123">
                  <c:v>2.3739990178792376E-2</c:v>
                </c:pt>
                <c:pt idx="2124">
                  <c:v>2.3742719377320542E-2</c:v>
                </c:pt>
                <c:pt idx="2125">
                  <c:v>2.3744521567285629E-2</c:v>
                </c:pt>
                <c:pt idx="2126">
                  <c:v>2.3746305871039076E-2</c:v>
                </c:pt>
                <c:pt idx="2127">
                  <c:v>2.3748072288555681E-2</c:v>
                </c:pt>
                <c:pt idx="2128">
                  <c:v>2.3749820819813725E-2</c:v>
                </c:pt>
                <c:pt idx="2129">
                  <c:v>2.3751551464784536E-2</c:v>
                </c:pt>
                <c:pt idx="2130">
                  <c:v>2.3753264223448128E-2</c:v>
                </c:pt>
                <c:pt idx="2131">
                  <c:v>2.3754959095781913E-2</c:v>
                </c:pt>
                <c:pt idx="2132">
                  <c:v>2.3756636081759822E-2</c:v>
                </c:pt>
                <c:pt idx="2133">
                  <c:v>2.3758295181361001E-2</c:v>
                </c:pt>
                <c:pt idx="2134">
                  <c:v>2.3759936394562867E-2</c:v>
                </c:pt>
                <c:pt idx="2135">
                  <c:v>2.3761559721341953E-2</c:v>
                </c:pt>
                <c:pt idx="2136">
                  <c:v>2.3763165161675669E-2</c:v>
                </c:pt>
                <c:pt idx="2137">
                  <c:v>2.3764752715544034E-2</c:v>
                </c:pt>
                <c:pt idx="2138">
                  <c:v>2.3766322382924455E-2</c:v>
                </c:pt>
                <c:pt idx="2139">
                  <c:v>2.3767874163796953E-2</c:v>
                </c:pt>
                <c:pt idx="2140">
                  <c:v>2.3769408058137192E-2</c:v>
                </c:pt>
                <c:pt idx="2141">
                  <c:v>2.3770035963597575E-2</c:v>
                </c:pt>
                <c:pt idx="2142">
                  <c:v>2.3771535263723383E-2</c:v>
                </c:pt>
                <c:pt idx="2143">
                  <c:v>2.3773016678429456E-2</c:v>
                </c:pt>
                <c:pt idx="2144">
                  <c:v>2.3774480207695584E-2</c:v>
                </c:pt>
                <c:pt idx="2145">
                  <c:v>2.3776809231161204E-2</c:v>
                </c:pt>
                <c:pt idx="2146">
                  <c:v>2.3778235805889118E-2</c:v>
                </c:pt>
                <c:pt idx="2147">
                  <c:v>2.3779644493944017E-2</c:v>
                </c:pt>
                <c:pt idx="2148">
                  <c:v>2.3781035295309397E-2</c:v>
                </c:pt>
                <c:pt idx="2149">
                  <c:v>2.3782408209965269E-2</c:v>
                </c:pt>
                <c:pt idx="2150">
                  <c:v>2.3783763237891657E-2</c:v>
                </c:pt>
                <c:pt idx="2151">
                  <c:v>2.3785100379071177E-2</c:v>
                </c:pt>
                <c:pt idx="2152">
                  <c:v>2.3786419633485583E-2</c:v>
                </c:pt>
                <c:pt idx="2153">
                  <c:v>2.37877210011175E-2</c:v>
                </c:pt>
                <c:pt idx="2154">
                  <c:v>2.3788131796962084E-2</c:v>
                </c:pt>
                <c:pt idx="2155">
                  <c:v>2.3789398585144127E-2</c:v>
                </c:pt>
                <c:pt idx="2156">
                  <c:v>2.3790647487664868E-2</c:v>
                </c:pt>
                <c:pt idx="2157">
                  <c:v>2.3791878504508496E-2</c:v>
                </c:pt>
                <c:pt idx="2158">
                  <c:v>2.3793263480051976E-2</c:v>
                </c:pt>
                <c:pt idx="2159">
                  <c:v>2.3794456170387921E-2</c:v>
                </c:pt>
                <c:pt idx="2160">
                  <c:v>2.379563097499756E-2</c:v>
                </c:pt>
                <c:pt idx="2161">
                  <c:v>2.3796787893861564E-2</c:v>
                </c:pt>
                <c:pt idx="2162">
                  <c:v>2.3797926926965005E-2</c:v>
                </c:pt>
                <c:pt idx="2163">
                  <c:v>2.3798186274146538E-2</c:v>
                </c:pt>
                <c:pt idx="2164">
                  <c:v>2.3799290740441847E-2</c:v>
                </c:pt>
                <c:pt idx="2165">
                  <c:v>2.3800377322109156E-2</c:v>
                </c:pt>
                <c:pt idx="2166">
                  <c:v>2.3801446019133365E-2</c:v>
                </c:pt>
                <c:pt idx="2167">
                  <c:v>2.3804210701904065E-2</c:v>
                </c:pt>
                <c:pt idx="2168">
                  <c:v>2.3805241210505125E-2</c:v>
                </c:pt>
                <c:pt idx="2169">
                  <c:v>2.3806253832065642E-2</c:v>
                </c:pt>
                <c:pt idx="2170">
                  <c:v>2.380724856657258E-2</c:v>
                </c:pt>
                <c:pt idx="2171">
                  <c:v>2.3807373363242606E-2</c:v>
                </c:pt>
                <c:pt idx="2172">
                  <c:v>2.3808604588400478E-2</c:v>
                </c:pt>
                <c:pt idx="2173">
                  <c:v>2.3809541766919004E-2</c:v>
                </c:pt>
                <c:pt idx="2174">
                  <c:v>2.3810461059506551E-2</c:v>
                </c:pt>
                <c:pt idx="2175">
                  <c:v>2.3812209304316646E-2</c:v>
                </c:pt>
                <c:pt idx="2176">
                  <c:v>2.3813091605614754E-2</c:v>
                </c:pt>
                <c:pt idx="2177">
                  <c:v>2.3813956019766318E-2</c:v>
                </c:pt>
                <c:pt idx="2178">
                  <c:v>2.3814802546759169E-2</c:v>
                </c:pt>
                <c:pt idx="2179">
                  <c:v>2.3815631186582014E-2</c:v>
                </c:pt>
                <c:pt idx="2180">
                  <c:v>2.381644193922269E-2</c:v>
                </c:pt>
                <c:pt idx="2181">
                  <c:v>2.3817234804671638E-2</c:v>
                </c:pt>
                <c:pt idx="2182">
                  <c:v>2.3818009782917562E-2</c:v>
                </c:pt>
                <c:pt idx="2183">
                  <c:v>2.3818766873949168E-2</c:v>
                </c:pt>
                <c:pt idx="2184">
                  <c:v>2.3819506077756895E-2</c:v>
                </c:pt>
                <c:pt idx="2185">
                  <c:v>2.3820227394330325E-2</c:v>
                </c:pt>
                <c:pt idx="2186">
                  <c:v>2.3820930823660762E-2</c:v>
                </c:pt>
                <c:pt idx="2187">
                  <c:v>2.3821616365736042E-2</c:v>
                </c:pt>
                <c:pt idx="2188">
                  <c:v>2.3822284020548347E-2</c:v>
                </c:pt>
                <c:pt idx="2189">
                  <c:v>2.3822933788088991E-2</c:v>
                </c:pt>
                <c:pt idx="2190">
                  <c:v>2.3823565668350147E-2</c:v>
                </c:pt>
                <c:pt idx="2191">
                  <c:v>2.382417966131966E-2</c:v>
                </c:pt>
                <c:pt idx="2192">
                  <c:v>2.3824775766991439E-2</c:v>
                </c:pt>
                <c:pt idx="2193">
                  <c:v>2.3824529276522496E-2</c:v>
                </c:pt>
                <c:pt idx="2194">
                  <c:v>2.3825090848185512E-2</c:v>
                </c:pt>
                <c:pt idx="2195">
                  <c:v>2.382563453370673E-2</c:v>
                </c:pt>
                <c:pt idx="2196">
                  <c:v>2.3826160333081759E-2</c:v>
                </c:pt>
                <c:pt idx="2197">
                  <c:v>2.3829946707110979E-2</c:v>
                </c:pt>
                <c:pt idx="2198">
                  <c:v>2.3827976767331883E-2</c:v>
                </c:pt>
                <c:pt idx="2199">
                  <c:v>2.3828447661704943E-2</c:v>
                </c:pt>
                <c:pt idx="2200">
                  <c:v>2.3828900668722057E-2</c:v>
                </c:pt>
                <c:pt idx="2201">
                  <c:v>2.3829335788377148E-2</c:v>
                </c:pt>
                <c:pt idx="2202">
                  <c:v>2.3829753020663261E-2</c:v>
                </c:pt>
                <c:pt idx="2203">
                  <c:v>2.3830152365576049E-2</c:v>
                </c:pt>
                <c:pt idx="2204">
                  <c:v>2.3830533823109436E-2</c:v>
                </c:pt>
                <c:pt idx="2205">
                  <c:v>2.3830897393258207E-2</c:v>
                </c:pt>
                <c:pt idx="2206">
                  <c:v>2.38296260141313E-2</c:v>
                </c:pt>
                <c:pt idx="2207">
                  <c:v>2.3829956321237411E-2</c:v>
                </c:pt>
                <c:pt idx="2208">
                  <c:v>2.3830268743306071E-2</c:v>
                </c:pt>
                <c:pt idx="2209">
                  <c:v>2.3830563280331951E-2</c:v>
                </c:pt>
                <c:pt idx="2210">
                  <c:v>2.3830839932312387E-2</c:v>
                </c:pt>
                <c:pt idx="2211">
                  <c:v>2.3831098699244713E-2</c:v>
                </c:pt>
                <c:pt idx="2212">
                  <c:v>2.3831339581121824E-2</c:v>
                </c:pt>
                <c:pt idx="2213">
                  <c:v>2.3831562577943721E-2</c:v>
                </c:pt>
                <c:pt idx="2214">
                  <c:v>2.3831767689706851E-2</c:v>
                </c:pt>
                <c:pt idx="2215">
                  <c:v>2.3831157602256087E-2</c:v>
                </c:pt>
                <c:pt idx="2216">
                  <c:v>2.3831328210135373E-2</c:v>
                </c:pt>
                <c:pt idx="2217">
                  <c:v>2.3831480934128825E-2</c:v>
                </c:pt>
                <c:pt idx="2218">
                  <c:v>2.3831615774235548E-2</c:v>
                </c:pt>
                <c:pt idx="2219">
                  <c:v>2.3834109197633707E-2</c:v>
                </c:pt>
                <c:pt idx="2220">
                  <c:v>2.3834204456555329E-2</c:v>
                </c:pt>
                <c:pt idx="2221">
                  <c:v>2.3834281828043674E-2</c:v>
                </c:pt>
                <c:pt idx="2222">
                  <c:v>2.3834341312096143E-2</c:v>
                </c:pt>
                <c:pt idx="2223">
                  <c:v>2.3833595931652025E-2</c:v>
                </c:pt>
                <c:pt idx="2224">
                  <c:v>2.3833620916857142E-2</c:v>
                </c:pt>
                <c:pt idx="2225">
                  <c:v>2.3833628015804506E-2</c:v>
                </c:pt>
                <c:pt idx="2226">
                  <c:v>2.3833617228495876E-2</c:v>
                </c:pt>
                <c:pt idx="2227">
                  <c:v>2.383358855492862E-2</c:v>
                </c:pt>
                <c:pt idx="2228">
                  <c:v>2.3834322580234862E-2</c:v>
                </c:pt>
                <c:pt idx="2229">
                  <c:v>2.3834256852229216E-2</c:v>
                </c:pt>
                <c:pt idx="2230">
                  <c:v>2.3834173236787687E-2</c:v>
                </c:pt>
                <c:pt idx="2231">
                  <c:v>2.3834071733912016E-2</c:v>
                </c:pt>
                <c:pt idx="2232">
                  <c:v>2.3833952343603942E-2</c:v>
                </c:pt>
                <c:pt idx="2233">
                  <c:v>2.38338150658652E-2</c:v>
                </c:pt>
                <c:pt idx="2234">
                  <c:v>2.383365990069666E-2</c:v>
                </c:pt>
                <c:pt idx="2235">
                  <c:v>2.3833486848100931E-2</c:v>
                </c:pt>
                <c:pt idx="2236">
                  <c:v>2.3833295908080612E-2</c:v>
                </c:pt>
                <c:pt idx="2237">
                  <c:v>2.3833087080637451E-2</c:v>
                </c:pt>
                <c:pt idx="2238">
                  <c:v>2.3832860365774915E-2</c:v>
                </c:pt>
                <c:pt idx="2239">
                  <c:v>2.383261576349735E-2</c:v>
                </c:pt>
                <c:pt idx="2240">
                  <c:v>2.3832353273806499E-2</c:v>
                </c:pt>
                <c:pt idx="2241">
                  <c:v>2.383207289670583E-2</c:v>
                </c:pt>
                <c:pt idx="2242">
                  <c:v>2.3831774632199695E-2</c:v>
                </c:pt>
                <c:pt idx="2243">
                  <c:v>2.3831458480292431E-2</c:v>
                </c:pt>
                <c:pt idx="2244">
                  <c:v>2.3831124440989258E-2</c:v>
                </c:pt>
                <c:pt idx="2245">
                  <c:v>2.3830013882462014E-2</c:v>
                </c:pt>
                <c:pt idx="2246">
                  <c:v>2.3829645370369086E-2</c:v>
                </c:pt>
                <c:pt idx="2247">
                  <c:v>2.3829258972071991E-2</c:v>
                </c:pt>
                <c:pt idx="2248">
                  <c:v>2.3828854687576877E-2</c:v>
                </c:pt>
                <c:pt idx="2249">
                  <c:v>2.3829185933676326E-2</c:v>
                </c:pt>
                <c:pt idx="2250">
                  <c:v>2.382874457009412E-2</c:v>
                </c:pt>
                <c:pt idx="2251">
                  <c:v>2.3828285319150759E-2</c:v>
                </c:pt>
                <c:pt idx="2252">
                  <c:v>2.3827808180852325E-2</c:v>
                </c:pt>
                <c:pt idx="2253">
                  <c:v>2.382731315520837E-2</c:v>
                </c:pt>
                <c:pt idx="2254">
                  <c:v>2.382680024222324E-2</c:v>
                </c:pt>
                <c:pt idx="2255">
                  <c:v>2.3826269441905627E-2</c:v>
                </c:pt>
                <c:pt idx="2256">
                  <c:v>2.3825720754259008E-2</c:v>
                </c:pt>
                <c:pt idx="2257">
                  <c:v>2.3825154179294671E-2</c:v>
                </c:pt>
                <c:pt idx="2258">
                  <c:v>2.3823086396111748E-2</c:v>
                </c:pt>
                <c:pt idx="2259">
                  <c:v>2.3822486681002175E-2</c:v>
                </c:pt>
                <c:pt idx="2260">
                  <c:v>2.3821869080953739E-2</c:v>
                </c:pt>
                <c:pt idx="2261">
                  <c:v>2.382123359597621E-2</c:v>
                </c:pt>
                <c:pt idx="2262">
                  <c:v>2.3820580226077581E-2</c:v>
                </c:pt>
                <c:pt idx="2263">
                  <c:v>2.3819908971265846E-2</c:v>
                </c:pt>
                <c:pt idx="2264">
                  <c:v>2.3819219831550775E-2</c:v>
                </c:pt>
                <c:pt idx="2265">
                  <c:v>2.381851280694125E-2</c:v>
                </c:pt>
                <c:pt idx="2266">
                  <c:v>2.3817787897445264E-2</c:v>
                </c:pt>
                <c:pt idx="2267">
                  <c:v>2.3816315198359597E-2</c:v>
                </c:pt>
                <c:pt idx="2268">
                  <c:v>2.3815555846702089E-2</c:v>
                </c:pt>
                <c:pt idx="2269">
                  <c:v>2.3814778611367118E-2</c:v>
                </c:pt>
                <c:pt idx="2270">
                  <c:v>2.3813983492363671E-2</c:v>
                </c:pt>
                <c:pt idx="2271">
                  <c:v>2.3815343966078113E-2</c:v>
                </c:pt>
                <c:pt idx="2272">
                  <c:v>2.3814509082393315E-2</c:v>
                </c:pt>
                <c:pt idx="2273">
                  <c:v>2.3813656311543731E-2</c:v>
                </c:pt>
                <c:pt idx="2274">
                  <c:v>2.3812785653537168E-2</c:v>
                </c:pt>
                <c:pt idx="2275">
                  <c:v>2.3811178049067901E-2</c:v>
                </c:pt>
                <c:pt idx="2276">
                  <c:v>2.3810272954127368E-2</c:v>
                </c:pt>
                <c:pt idx="2277">
                  <c:v>2.3809349973243556E-2</c:v>
                </c:pt>
                <c:pt idx="2278">
                  <c:v>2.3808409106430527E-2</c:v>
                </c:pt>
                <c:pt idx="2279">
                  <c:v>2.3807450353703206E-2</c:v>
                </c:pt>
                <c:pt idx="2280">
                  <c:v>2.3807186075943388E-2</c:v>
                </c:pt>
                <c:pt idx="2281">
                  <c:v>2.3806190208201204E-2</c:v>
                </c:pt>
                <c:pt idx="2282">
                  <c:v>2.3805176453408919E-2</c:v>
                </c:pt>
                <c:pt idx="2283">
                  <c:v>2.380414481157609E-2</c:v>
                </c:pt>
                <c:pt idx="2284">
                  <c:v>2.380309528272009E-2</c:v>
                </c:pt>
                <c:pt idx="2285">
                  <c:v>2.3802027866851354E-2</c:v>
                </c:pt>
                <c:pt idx="2286">
                  <c:v>2.3800942563988122E-2</c:v>
                </c:pt>
                <c:pt idx="2287">
                  <c:v>2.3799839374143431E-2</c:v>
                </c:pt>
                <c:pt idx="2288">
                  <c:v>2.3798718297331177E-2</c:v>
                </c:pt>
                <c:pt idx="2289">
                  <c:v>2.3797579333569612E-2</c:v>
                </c:pt>
                <c:pt idx="2290">
                  <c:v>2.3796422482872635E-2</c:v>
                </c:pt>
                <c:pt idx="2291">
                  <c:v>2.3795247745256758E-2</c:v>
                </c:pt>
                <c:pt idx="2292">
                  <c:v>2.3794055120735007E-2</c:v>
                </c:pt>
                <c:pt idx="2293">
                  <c:v>2.3792844609327374E-2</c:v>
                </c:pt>
                <c:pt idx="2294">
                  <c:v>2.3791616211049495E-2</c:v>
                </c:pt>
                <c:pt idx="2295">
                  <c:v>2.3790369925916141E-2</c:v>
                </c:pt>
                <c:pt idx="2296">
                  <c:v>2.3789105753947295E-2</c:v>
                </c:pt>
                <c:pt idx="2297">
                  <c:v>2.3787134328716063E-2</c:v>
                </c:pt>
                <c:pt idx="2298">
                  <c:v>2.3785835746299958E-2</c:v>
                </c:pt>
                <c:pt idx="2299">
                  <c:v>2.3784519278269984E-2</c:v>
                </c:pt>
                <c:pt idx="2300">
                  <c:v>2.3783184924646348E-2</c:v>
                </c:pt>
                <c:pt idx="2301">
                  <c:v>2.3781832685446612E-2</c:v>
                </c:pt>
                <c:pt idx="2302">
                  <c:v>2.3781145099534239E-2</c:v>
                </c:pt>
                <c:pt idx="2303">
                  <c:v>2.3779755720200049E-2</c:v>
                </c:pt>
                <c:pt idx="2304">
                  <c:v>2.3778348454174598E-2</c:v>
                </c:pt>
                <c:pt idx="2305">
                  <c:v>2.3776923301476138E-2</c:v>
                </c:pt>
                <c:pt idx="2306">
                  <c:v>2.3775480262123776E-2</c:v>
                </c:pt>
                <c:pt idx="2307">
                  <c:v>2.3774019336137504E-2</c:v>
                </c:pt>
                <c:pt idx="2308">
                  <c:v>2.3772540523537302E-2</c:v>
                </c:pt>
                <c:pt idx="2309">
                  <c:v>2.3771043824342288E-2</c:v>
                </c:pt>
                <c:pt idx="2310">
                  <c:v>2.3768186029019311E-2</c:v>
                </c:pt>
                <c:pt idx="2311">
                  <c:v>2.3766656313316759E-2</c:v>
                </c:pt>
                <c:pt idx="2312">
                  <c:v>2.3765108713421412E-2</c:v>
                </c:pt>
                <c:pt idx="2313">
                  <c:v>2.3763543229353701E-2</c:v>
                </c:pt>
                <c:pt idx="2314">
                  <c:v>2.3761959861132276E-2</c:v>
                </c:pt>
                <c:pt idx="2315">
                  <c:v>2.376035860878023E-2</c:v>
                </c:pt>
                <c:pt idx="2316">
                  <c:v>2.3758739472318879E-2</c:v>
                </c:pt>
                <c:pt idx="2317">
                  <c:v>2.3757102451769541E-2</c:v>
                </c:pt>
                <c:pt idx="2318">
                  <c:v>2.375544754715353E-2</c:v>
                </c:pt>
                <c:pt idx="2319">
                  <c:v>2.3753115445302619E-2</c:v>
                </c:pt>
                <c:pt idx="2320">
                  <c:v>2.3751426161183292E-2</c:v>
                </c:pt>
                <c:pt idx="2321">
                  <c:v>2.3749718994229872E-2</c:v>
                </c:pt>
                <c:pt idx="2322">
                  <c:v>2.3747993944468408E-2</c:v>
                </c:pt>
                <c:pt idx="2323">
                  <c:v>2.3748211955108785E-2</c:v>
                </c:pt>
                <c:pt idx="2324">
                  <c:v>2.3746446959587744E-2</c:v>
                </c:pt>
                <c:pt idx="2325">
                  <c:v>2.3744664077828995E-2</c:v>
                </c:pt>
                <c:pt idx="2326">
                  <c:v>2.3742863309855998E-2</c:v>
                </c:pt>
                <c:pt idx="2327">
                  <c:v>2.3741044655693079E-2</c:v>
                </c:pt>
                <c:pt idx="2328">
                  <c:v>2.373856155139226E-2</c:v>
                </c:pt>
                <c:pt idx="2329">
                  <c:v>2.3736708524329478E-2</c:v>
                </c:pt>
                <c:pt idx="2330">
                  <c:v>2.3734837612314277E-2</c:v>
                </c:pt>
                <c:pt idx="2331">
                  <c:v>2.3732948815374764E-2</c:v>
                </c:pt>
                <c:pt idx="2332">
                  <c:v>2.3731683092912452E-2</c:v>
                </c:pt>
                <c:pt idx="2333">
                  <c:v>2.3729757122140892E-2</c:v>
                </c:pt>
                <c:pt idx="2334">
                  <c:v>2.3727813265360134E-2</c:v>
                </c:pt>
                <c:pt idx="2335">
                  <c:v>2.3725851522592774E-2</c:v>
                </c:pt>
                <c:pt idx="2336">
                  <c:v>2.3723871893869219E-2</c:v>
                </c:pt>
                <c:pt idx="2337">
                  <c:v>2.3721874379214664E-2</c:v>
                </c:pt>
                <c:pt idx="2338">
                  <c:v>2.3719858978657787E-2</c:v>
                </c:pt>
                <c:pt idx="2339">
                  <c:v>2.3717825692222912E-2</c:v>
                </c:pt>
                <c:pt idx="2340">
                  <c:v>2.3715774519940454E-2</c:v>
                </c:pt>
                <c:pt idx="2341">
                  <c:v>2.3713705461838212E-2</c:v>
                </c:pt>
                <c:pt idx="2342">
                  <c:v>2.3711618517943126E-2</c:v>
                </c:pt>
                <c:pt idx="2343">
                  <c:v>2.3709513688284733E-2</c:v>
                </c:pt>
                <c:pt idx="2344">
                  <c:v>2.3707390972891706E-2</c:v>
                </c:pt>
                <c:pt idx="2345">
                  <c:v>2.3705250371792722E-2</c:v>
                </c:pt>
                <c:pt idx="2346">
                  <c:v>2.3703091885016448E-2</c:v>
                </c:pt>
                <c:pt idx="2347">
                  <c:v>2.3700915512593301E-2</c:v>
                </c:pt>
                <c:pt idx="2348">
                  <c:v>2.3698721254552815E-2</c:v>
                </c:pt>
                <c:pt idx="2349">
                  <c:v>2.3695892178516816E-2</c:v>
                </c:pt>
                <c:pt idx="2350">
                  <c:v>2.369366357311813E-2</c:v>
                </c:pt>
                <c:pt idx="2351">
                  <c:v>2.3691417083351173E-2</c:v>
                </c:pt>
                <c:pt idx="2352">
                  <c:v>2.3689152709244054E-2</c:v>
                </c:pt>
                <c:pt idx="2353">
                  <c:v>2.3686870450826635E-2</c:v>
                </c:pt>
                <c:pt idx="2354">
                  <c:v>2.3685180110023664E-2</c:v>
                </c:pt>
                <c:pt idx="2355">
                  <c:v>2.3682860653508116E-2</c:v>
                </c:pt>
                <c:pt idx="2356">
                  <c:v>2.3680523311622858E-2</c:v>
                </c:pt>
                <c:pt idx="2357">
                  <c:v>2.3678168084396569E-2</c:v>
                </c:pt>
                <c:pt idx="2358">
                  <c:v>2.3675794971862261E-2</c:v>
                </c:pt>
                <c:pt idx="2359">
                  <c:v>2.3673403974053823E-2</c:v>
                </c:pt>
                <c:pt idx="2360">
                  <c:v>2.3670995091001661E-2</c:v>
                </c:pt>
                <c:pt idx="2361">
                  <c:v>2.3668568322739666E-2</c:v>
                </c:pt>
                <c:pt idx="2362">
                  <c:v>2.3665525336337524E-2</c:v>
                </c:pt>
                <c:pt idx="2363">
                  <c:v>2.3663064236564318E-2</c:v>
                </c:pt>
                <c:pt idx="2364">
                  <c:v>2.3660585252833058E-2</c:v>
                </c:pt>
                <c:pt idx="2365">
                  <c:v>2.3658088385179764E-2</c:v>
                </c:pt>
                <c:pt idx="2366">
                  <c:v>2.3655212923506162E-2</c:v>
                </c:pt>
                <c:pt idx="2367">
                  <c:v>2.3652677733273474E-2</c:v>
                </c:pt>
                <c:pt idx="2368">
                  <c:v>2.36501246592224E-2</c:v>
                </c:pt>
                <c:pt idx="2369">
                  <c:v>2.3649905149261692E-2</c:v>
                </c:pt>
                <c:pt idx="2370">
                  <c:v>2.3644964859805658E-2</c:v>
                </c:pt>
                <c:pt idx="2371">
                  <c:v>2.3641772886597856E-2</c:v>
                </c:pt>
                <c:pt idx="2372">
                  <c:v>2.3639149726782271E-2</c:v>
                </c:pt>
                <c:pt idx="2373">
                  <c:v>2.3636508684474755E-2</c:v>
                </c:pt>
                <c:pt idx="2374">
                  <c:v>2.363384975970817E-2</c:v>
                </c:pt>
                <c:pt idx="2375">
                  <c:v>2.3633490049836142E-2</c:v>
                </c:pt>
                <c:pt idx="2376">
                  <c:v>2.3630789544194057E-2</c:v>
                </c:pt>
                <c:pt idx="2377">
                  <c:v>2.3628071151611533E-2</c:v>
                </c:pt>
                <c:pt idx="2378">
                  <c:v>2.3625334872125987E-2</c:v>
                </c:pt>
                <c:pt idx="2379">
                  <c:v>2.3620860522742169E-2</c:v>
                </c:pt>
                <c:pt idx="2380">
                  <c:v>2.3618092845637529E-2</c:v>
                </c:pt>
                <c:pt idx="2381">
                  <c:v>2.361530728518358E-2</c:v>
                </c:pt>
                <c:pt idx="2382">
                  <c:v>2.3610893844320698E-2</c:v>
                </c:pt>
                <c:pt idx="2383">
                  <c:v>2.3609682514372704E-2</c:v>
                </c:pt>
                <c:pt idx="2384">
                  <c:v>2.360618660224436E-2</c:v>
                </c:pt>
                <c:pt idx="2385">
                  <c:v>2.3603320379818004E-2</c:v>
                </c:pt>
                <c:pt idx="2386">
                  <c:v>2.3600436273103681E-2</c:v>
                </c:pt>
                <c:pt idx="2387">
                  <c:v>2.3597534282142233E-2</c:v>
                </c:pt>
                <c:pt idx="2388">
                  <c:v>2.3594614406970152E-2</c:v>
                </c:pt>
                <c:pt idx="2389">
                  <c:v>2.3591676647630011E-2</c:v>
                </c:pt>
                <c:pt idx="2390">
                  <c:v>2.358872100416004E-2</c:v>
                </c:pt>
                <c:pt idx="2391">
                  <c:v>2.3585747476602813E-2</c:v>
                </c:pt>
                <c:pt idx="2392">
                  <c:v>2.3582756064997434E-2</c:v>
                </c:pt>
                <c:pt idx="2393">
                  <c:v>2.3579746769384735E-2</c:v>
                </c:pt>
                <c:pt idx="2394">
                  <c:v>2.3576719589806422E-2</c:v>
                </c:pt>
                <c:pt idx="2395">
                  <c:v>2.3573674526302466E-2</c:v>
                </c:pt>
                <c:pt idx="2396">
                  <c:v>2.3570611578914571E-2</c:v>
                </c:pt>
                <c:pt idx="2397">
                  <c:v>2.3567530747685309E-2</c:v>
                </c:pt>
                <c:pt idx="2398">
                  <c:v>2.3564432032657259E-2</c:v>
                </c:pt>
                <c:pt idx="2399">
                  <c:v>2.356131543387039E-2</c:v>
                </c:pt>
                <c:pt idx="2400">
                  <c:v>2.3558180951369877E-2</c:v>
                </c:pt>
                <c:pt idx="2401">
                  <c:v>2.3554488063803135E-2</c:v>
                </c:pt>
                <c:pt idx="2402">
                  <c:v>2.3551319298105826E-2</c:v>
                </c:pt>
                <c:pt idx="2403">
                  <c:v>2.3548132649958711E-2</c:v>
                </c:pt>
                <c:pt idx="2404">
                  <c:v>2.3544928119404829E-2</c:v>
                </c:pt>
                <c:pt idx="2405">
                  <c:v>2.3542240284644137E-2</c:v>
                </c:pt>
                <c:pt idx="2406">
                  <c:v>2.3538998500757587E-2</c:v>
                </c:pt>
                <c:pt idx="2407">
                  <c:v>2.3535738833461502E-2</c:v>
                </c:pt>
                <c:pt idx="2408">
                  <c:v>2.3532461282799323E-2</c:v>
                </c:pt>
                <c:pt idx="2409">
                  <c:v>2.3529165848814499E-2</c:v>
                </c:pt>
                <c:pt idx="2410">
                  <c:v>2.3525852531553943E-2</c:v>
                </c:pt>
                <c:pt idx="2411">
                  <c:v>2.35225213310611E-2</c:v>
                </c:pt>
                <c:pt idx="2412">
                  <c:v>2.351917224738289E-2</c:v>
                </c:pt>
                <c:pt idx="2413">
                  <c:v>2.3515805280562758E-2</c:v>
                </c:pt>
                <c:pt idx="2414">
                  <c:v>2.3511899291058218E-2</c:v>
                </c:pt>
                <c:pt idx="2415">
                  <c:v>2.3508498056921685E-2</c:v>
                </c:pt>
                <c:pt idx="2416">
                  <c:v>2.3505078940914224E-2</c:v>
                </c:pt>
                <c:pt idx="2417">
                  <c:v>2.3501641943077998E-2</c:v>
                </c:pt>
                <c:pt idx="2418">
                  <c:v>2.3497177005666892E-2</c:v>
                </c:pt>
                <c:pt idx="2419">
                  <c:v>2.3494216733617082E-2</c:v>
                </c:pt>
                <c:pt idx="2420">
                  <c:v>2.3490211500002189E-2</c:v>
                </c:pt>
                <c:pt idx="2421">
                  <c:v>2.3486701926385578E-2</c:v>
                </c:pt>
                <c:pt idx="2422">
                  <c:v>2.3483174472308299E-2</c:v>
                </c:pt>
                <c:pt idx="2423">
                  <c:v>2.347962913781565E-2</c:v>
                </c:pt>
                <c:pt idx="2424">
                  <c:v>2.3476065922958256E-2</c:v>
                </c:pt>
                <c:pt idx="2425">
                  <c:v>2.3472484827782303E-2</c:v>
                </c:pt>
                <c:pt idx="2426">
                  <c:v>2.3468885852333976E-2</c:v>
                </c:pt>
                <c:pt idx="2427">
                  <c:v>2.346627182084449E-2</c:v>
                </c:pt>
                <c:pt idx="2428">
                  <c:v>2.3462634057932717E-2</c:v>
                </c:pt>
                <c:pt idx="2429">
                  <c:v>2.3458978412648841E-2</c:v>
                </c:pt>
                <c:pt idx="2430">
                  <c:v>2.3455304885045863E-2</c:v>
                </c:pt>
                <c:pt idx="2431">
                  <c:v>2.3451118185593471E-2</c:v>
                </c:pt>
                <c:pt idx="2432">
                  <c:v>2.3446347763331425E-2</c:v>
                </c:pt>
                <c:pt idx="2433">
                  <c:v>2.3442616999431416E-2</c:v>
                </c:pt>
                <c:pt idx="2434">
                  <c:v>2.34388683545468E-2</c:v>
                </c:pt>
                <c:pt idx="2435">
                  <c:v>2.3436027595757157E-2</c:v>
                </c:pt>
                <c:pt idx="2436">
                  <c:v>2.3431804674662111E-2</c:v>
                </c:pt>
                <c:pt idx="2437">
                  <c:v>2.3428000863111153E-2</c:v>
                </c:pt>
                <c:pt idx="2438">
                  <c:v>2.3424179169661625E-2</c:v>
                </c:pt>
                <c:pt idx="2439">
                  <c:v>2.3420339594364792E-2</c:v>
                </c:pt>
                <c:pt idx="2440">
                  <c:v>2.3416482137275388E-2</c:v>
                </c:pt>
                <c:pt idx="2441">
                  <c:v>2.3412606798445548E-2</c:v>
                </c:pt>
                <c:pt idx="2442">
                  <c:v>2.3408713577929143E-2</c:v>
                </c:pt>
                <c:pt idx="2443">
                  <c:v>2.3404802475775695E-2</c:v>
                </c:pt>
                <c:pt idx="2444">
                  <c:v>2.3400873492039946E-2</c:v>
                </c:pt>
                <c:pt idx="2445">
                  <c:v>2.3396926626777507E-2</c:v>
                </c:pt>
                <c:pt idx="2446">
                  <c:v>2.3392961880040499E-2</c:v>
                </c:pt>
                <c:pt idx="2447">
                  <c:v>2.3388979251881936E-2</c:v>
                </c:pt>
                <c:pt idx="2448">
                  <c:v>2.3384978742359154E-2</c:v>
                </c:pt>
                <c:pt idx="2449">
                  <c:v>2.3380960351524292E-2</c:v>
                </c:pt>
                <c:pt idx="2450">
                  <c:v>2.3376924079431215E-2</c:v>
                </c:pt>
                <c:pt idx="2451">
                  <c:v>2.3372869926136401E-2</c:v>
                </c:pt>
                <c:pt idx="2452">
                  <c:v>2.3368797891697195E-2</c:v>
                </c:pt>
                <c:pt idx="2453">
                  <c:v>2.3364246783207133E-2</c:v>
                </c:pt>
                <c:pt idx="2454">
                  <c:v>2.3360140529552671E-2</c:v>
                </c:pt>
                <c:pt idx="2455">
                  <c:v>2.3356016396025678E-2</c:v>
                </c:pt>
                <c:pt idx="2456">
                  <c:v>2.3353699859603151E-2</c:v>
                </c:pt>
                <c:pt idx="2457">
                  <c:v>2.3348169504247684E-2</c:v>
                </c:pt>
                <c:pt idx="2458">
                  <c:v>2.3343990184102943E-2</c:v>
                </c:pt>
                <c:pt idx="2459">
                  <c:v>2.3339792983203933E-2</c:v>
                </c:pt>
                <c:pt idx="2460">
                  <c:v>2.3335577901611473E-2</c:v>
                </c:pt>
                <c:pt idx="2461">
                  <c:v>2.3331344939378568E-2</c:v>
                </c:pt>
                <c:pt idx="2462">
                  <c:v>2.3327094096565172E-2</c:v>
                </c:pt>
                <c:pt idx="2463">
                  <c:v>2.3322825373230362E-2</c:v>
                </c:pt>
                <c:pt idx="2464">
                  <c:v>2.3318538769430616E-2</c:v>
                </c:pt>
                <c:pt idx="2465">
                  <c:v>2.331423428522415E-2</c:v>
                </c:pt>
                <c:pt idx="2466">
                  <c:v>2.3309029693156624E-2</c:v>
                </c:pt>
                <c:pt idx="2467">
                  <c:v>2.3304692562621909E-2</c:v>
                </c:pt>
                <c:pt idx="2468">
                  <c:v>2.3300337554052142E-2</c:v>
                </c:pt>
                <c:pt idx="2469">
                  <c:v>2.3294328943287666E-2</c:v>
                </c:pt>
                <c:pt idx="2470">
                  <c:v>2.329094519156083E-2</c:v>
                </c:pt>
                <c:pt idx="2471">
                  <c:v>2.3287165260722276E-2</c:v>
                </c:pt>
                <c:pt idx="2472">
                  <c:v>2.3282738740601161E-2</c:v>
                </c:pt>
                <c:pt idx="2473">
                  <c:v>2.3278294342738093E-2</c:v>
                </c:pt>
                <c:pt idx="2474">
                  <c:v>2.3273832067191691E-2</c:v>
                </c:pt>
                <c:pt idx="2475">
                  <c:v>2.326892465752586E-2</c:v>
                </c:pt>
                <c:pt idx="2476">
                  <c:v>2.3264428193540892E-2</c:v>
                </c:pt>
                <c:pt idx="2477">
                  <c:v>2.3259913853145457E-2</c:v>
                </c:pt>
                <c:pt idx="2478">
                  <c:v>2.3255381636396146E-2</c:v>
                </c:pt>
                <c:pt idx="2479">
                  <c:v>2.3252094133082858E-2</c:v>
                </c:pt>
                <c:pt idx="2480">
                  <c:v>2.3247522749863067E-2</c:v>
                </c:pt>
                <c:pt idx="2481">
                  <c:v>2.3242937414950433E-2</c:v>
                </c:pt>
                <c:pt idx="2482">
                  <c:v>2.3238340877813433E-2</c:v>
                </c:pt>
                <c:pt idx="2483">
                  <c:v>2.323331812617101E-2</c:v>
                </c:pt>
                <c:pt idx="2484">
                  <c:v>2.3228707446196054E-2</c:v>
                </c:pt>
                <c:pt idx="2485">
                  <c:v>2.3224093579400619E-2</c:v>
                </c:pt>
                <c:pt idx="2486">
                  <c:v>2.3219479305239613E-2</c:v>
                </c:pt>
                <c:pt idx="2487">
                  <c:v>2.3215286389310825E-2</c:v>
                </c:pt>
                <c:pt idx="2488">
                  <c:v>2.32106803769732E-2</c:v>
                </c:pt>
                <c:pt idx="2489">
                  <c:v>2.32060824083378E-2</c:v>
                </c:pt>
                <c:pt idx="2490">
                  <c:v>2.3201495232773185E-2</c:v>
                </c:pt>
                <c:pt idx="2491">
                  <c:v>2.3196921599629671E-2</c:v>
                </c:pt>
                <c:pt idx="2492">
                  <c:v>2.3192364247566117E-2</c:v>
                </c:pt>
                <c:pt idx="2493">
                  <c:v>2.3187824984061908E-2</c:v>
                </c:pt>
                <c:pt idx="2494">
                  <c:v>2.3183303976049601E-2</c:v>
                </c:pt>
                <c:pt idx="2495">
                  <c:v>2.3178801223467504E-2</c:v>
                </c:pt>
                <c:pt idx="2496">
                  <c:v>2.3174316726252191E-2</c:v>
                </c:pt>
                <c:pt idx="2497">
                  <c:v>2.3169850484340237E-2</c:v>
                </c:pt>
                <c:pt idx="2498">
                  <c:v>2.3165402497669945E-2</c:v>
                </c:pt>
                <c:pt idx="2499">
                  <c:v>2.3160972766180499E-2</c:v>
                </c:pt>
                <c:pt idx="2500">
                  <c:v>2.3156561289809342E-2</c:v>
                </c:pt>
                <c:pt idx="2501">
                  <c:v>2.3152168068495647E-2</c:v>
                </c:pt>
                <c:pt idx="2502">
                  <c:v>2.3147793102178599E-2</c:v>
                </c:pt>
                <c:pt idx="2503">
                  <c:v>2.3143436390795639E-2</c:v>
                </c:pt>
                <c:pt idx="2504">
                  <c:v>2.3139097934286808E-2</c:v>
                </c:pt>
                <c:pt idx="2505">
                  <c:v>2.3134340971814583E-2</c:v>
                </c:pt>
                <c:pt idx="2506">
                  <c:v>2.3130037996664764E-2</c:v>
                </c:pt>
                <c:pt idx="2507">
                  <c:v>2.3125753274993669E-2</c:v>
                </c:pt>
                <c:pt idx="2508">
                  <c:v>2.3121486806739817E-2</c:v>
                </c:pt>
                <c:pt idx="2509">
                  <c:v>2.3119002820053809E-2</c:v>
                </c:pt>
                <c:pt idx="2510">
                  <c:v>2.3113450544244636E-2</c:v>
                </c:pt>
                <c:pt idx="2511">
                  <c:v>2.310923987018304E-2</c:v>
                </c:pt>
                <c:pt idx="2512">
                  <c:v>2.3105047450521176E-2</c:v>
                </c:pt>
                <c:pt idx="2513">
                  <c:v>2.3100873285199088E-2</c:v>
                </c:pt>
                <c:pt idx="2514">
                  <c:v>2.3096717374161174E-2</c:v>
                </c:pt>
                <c:pt idx="2515">
                  <c:v>2.309257971734574E-2</c:v>
                </c:pt>
                <c:pt idx="2516">
                  <c:v>2.3088460314698047E-2</c:v>
                </c:pt>
                <c:pt idx="2517">
                  <c:v>2.3084359166160754E-2</c:v>
                </c:pt>
                <c:pt idx="2518">
                  <c:v>2.30793759461001E-2</c:v>
                </c:pt>
                <c:pt idx="2519">
                  <c:v>2.3075309217827744E-2</c:v>
                </c:pt>
                <c:pt idx="2520">
                  <c:v>2.3071260741076571E-2</c:v>
                </c:pt>
                <c:pt idx="2521">
                  <c:v>2.3067230515795956E-2</c:v>
                </c:pt>
                <c:pt idx="2522">
                  <c:v>2.3063218541927277E-2</c:v>
                </c:pt>
                <c:pt idx="2523">
                  <c:v>2.3059224819417246E-2</c:v>
                </c:pt>
                <c:pt idx="2524">
                  <c:v>2.305524934821257E-2</c:v>
                </c:pt>
                <c:pt idx="2525">
                  <c:v>2.3051292128258183E-2</c:v>
                </c:pt>
                <c:pt idx="2526">
                  <c:v>2.3047353159500794E-2</c:v>
                </c:pt>
                <c:pt idx="2527">
                  <c:v>2.304297302090241E-2</c:v>
                </c:pt>
                <c:pt idx="2528">
                  <c:v>2.303906949986791E-2</c:v>
                </c:pt>
                <c:pt idx="2529">
                  <c:v>2.3035184228666516E-2</c:v>
                </c:pt>
                <c:pt idx="2530">
                  <c:v>2.3031317207246136E-2</c:v>
                </c:pt>
                <c:pt idx="2531">
                  <c:v>2.3028859736683404E-2</c:v>
                </c:pt>
                <c:pt idx="2532">
                  <c:v>2.3025032393090911E-2</c:v>
                </c:pt>
                <c:pt idx="2533">
                  <c:v>2.3021223302724311E-2</c:v>
                </c:pt>
                <c:pt idx="2534">
                  <c:v>2.30174324655332E-2</c:v>
                </c:pt>
                <c:pt idx="2535">
                  <c:v>2.301319174788705E-2</c:v>
                </c:pt>
                <c:pt idx="2536">
                  <c:v>2.3009436352458577E-2</c:v>
                </c:pt>
                <c:pt idx="2537">
                  <c:v>2.300569920884862E-2</c:v>
                </c:pt>
                <c:pt idx="2538">
                  <c:v>2.300198031700711E-2</c:v>
                </c:pt>
                <c:pt idx="2539">
                  <c:v>2.2998279676882224E-2</c:v>
                </c:pt>
                <c:pt idx="2540">
                  <c:v>2.2995070756115125E-2</c:v>
                </c:pt>
                <c:pt idx="2541">
                  <c:v>2.2991407689684076E-2</c:v>
                </c:pt>
                <c:pt idx="2542">
                  <c:v>2.298776287601146E-2</c:v>
                </c:pt>
                <c:pt idx="2543">
                  <c:v>2.2984136315049492E-2</c:v>
                </c:pt>
                <c:pt idx="2544">
                  <c:v>2.29805280067443E-2</c:v>
                </c:pt>
                <c:pt idx="2545">
                  <c:v>2.2976937951049835E-2</c:v>
                </c:pt>
                <c:pt idx="2546">
                  <c:v>2.297336614791223E-2</c:v>
                </c:pt>
                <c:pt idx="2547">
                  <c:v>2.2969812597283694E-2</c:v>
                </c:pt>
                <c:pt idx="2548">
                  <c:v>2.2966277299115569E-2</c:v>
                </c:pt>
                <c:pt idx="2549">
                  <c:v>2.2962760253356595E-2</c:v>
                </c:pt>
                <c:pt idx="2550">
                  <c:v>2.295926145995985E-2</c:v>
                </c:pt>
                <c:pt idx="2551">
                  <c:v>2.2955780918874073E-2</c:v>
                </c:pt>
                <c:pt idx="2552">
                  <c:v>2.295231863005321E-2</c:v>
                </c:pt>
                <c:pt idx="2553">
                  <c:v>2.2948874593449478E-2</c:v>
                </c:pt>
                <c:pt idx="2554">
                  <c:v>2.294544880901335E-2</c:v>
                </c:pt>
                <c:pt idx="2555">
                  <c:v>2.2942041276697904E-2</c:v>
                </c:pt>
                <c:pt idx="2556">
                  <c:v>2.2938651996455357E-2</c:v>
                </c:pt>
                <c:pt idx="2557">
                  <c:v>2.2934789141270864E-2</c:v>
                </c:pt>
                <c:pt idx="2558">
                  <c:v>2.2931435274365346E-2</c:v>
                </c:pt>
                <c:pt idx="2559">
                  <c:v>2.2928099658205799E-2</c:v>
                </c:pt>
                <c:pt idx="2560">
                  <c:v>2.2924782292747421E-2</c:v>
                </c:pt>
                <c:pt idx="2561">
                  <c:v>2.2921979374698247E-2</c:v>
                </c:pt>
                <c:pt idx="2562">
                  <c:v>2.2918699605912127E-2</c:v>
                </c:pt>
                <c:pt idx="2563">
                  <c:v>2.2915438088875681E-2</c:v>
                </c:pt>
                <c:pt idx="2564">
                  <c:v>2.2912194823541992E-2</c:v>
                </c:pt>
                <c:pt idx="2565">
                  <c:v>2.290896980986588E-2</c:v>
                </c:pt>
                <c:pt idx="2566">
                  <c:v>2.2905763047803031E-2</c:v>
                </c:pt>
                <c:pt idx="2567">
                  <c:v>2.2902574537309137E-2</c:v>
                </c:pt>
                <c:pt idx="2568">
                  <c:v>2.2899404278339881E-2</c:v>
                </c:pt>
                <c:pt idx="2569">
                  <c:v>2.2896252270849217E-2</c:v>
                </c:pt>
                <c:pt idx="2570">
                  <c:v>2.2892612416720193E-2</c:v>
                </c:pt>
                <c:pt idx="2571">
                  <c:v>2.2889495806001241E-2</c:v>
                </c:pt>
                <c:pt idx="2572">
                  <c:v>2.2886397445449382E-2</c:v>
                </c:pt>
                <c:pt idx="2573">
                  <c:v>2.2883317335023329E-2</c:v>
                </c:pt>
                <c:pt idx="2574">
                  <c:v>2.2880255474682674E-2</c:v>
                </c:pt>
                <c:pt idx="2575">
                  <c:v>2.2877211864382619E-2</c:v>
                </c:pt>
                <c:pt idx="2576">
                  <c:v>2.2874186504081878E-2</c:v>
                </c:pt>
                <c:pt idx="2577">
                  <c:v>2.2871179393738287E-2</c:v>
                </c:pt>
                <c:pt idx="2578">
                  <c:v>2.2868190533313196E-2</c:v>
                </c:pt>
                <c:pt idx="2579">
                  <c:v>2.286470395601814E-2</c:v>
                </c:pt>
                <c:pt idx="2580">
                  <c:v>2.2861750478789133E-2</c:v>
                </c:pt>
                <c:pt idx="2581">
                  <c:v>2.2858815250177855E-2</c:v>
                </c:pt>
                <c:pt idx="2582">
                  <c:v>2.2855898270144337E-2</c:v>
                </c:pt>
                <c:pt idx="2583">
                  <c:v>2.2854040547301342E-2</c:v>
                </c:pt>
                <c:pt idx="2584">
                  <c:v>2.2851162306891853E-2</c:v>
                </c:pt>
                <c:pt idx="2585">
                  <c:v>2.2848302317291926E-2</c:v>
                </c:pt>
                <c:pt idx="2586">
                  <c:v>2.2845460578462456E-2</c:v>
                </c:pt>
                <c:pt idx="2587">
                  <c:v>2.2842637090360874E-2</c:v>
                </c:pt>
                <c:pt idx="2588">
                  <c:v>2.2839305665540831E-2</c:v>
                </c:pt>
                <c:pt idx="2589">
                  <c:v>2.2836517551538305E-2</c:v>
                </c:pt>
                <c:pt idx="2590">
                  <c:v>2.2833747686975537E-2</c:v>
                </c:pt>
                <c:pt idx="2591">
                  <c:v>2.2830996071813003E-2</c:v>
                </c:pt>
                <c:pt idx="2592">
                  <c:v>2.282879340943492E-2</c:v>
                </c:pt>
                <c:pt idx="2593">
                  <c:v>2.2826079424896076E-2</c:v>
                </c:pt>
                <c:pt idx="2594">
                  <c:v>2.2823383690817507E-2</c:v>
                </c:pt>
                <c:pt idx="2595">
                  <c:v>2.2820706207160979E-2</c:v>
                </c:pt>
                <c:pt idx="2596">
                  <c:v>2.2818046973890001E-2</c:v>
                </c:pt>
                <c:pt idx="2597">
                  <c:v>2.2815405990968082E-2</c:v>
                </c:pt>
                <c:pt idx="2598">
                  <c:v>2.2812783258356992E-2</c:v>
                </c:pt>
                <c:pt idx="2599">
                  <c:v>2.2810178776021105E-2</c:v>
                </c:pt>
                <c:pt idx="2600">
                  <c:v>2.2807592543923064E-2</c:v>
                </c:pt>
                <c:pt idx="2601">
                  <c:v>2.2805024562029843E-2</c:v>
                </c:pt>
                <c:pt idx="2602">
                  <c:v>2.2802474830303222E-2</c:v>
                </c:pt>
                <c:pt idx="2603">
                  <c:v>2.279994334870844E-2</c:v>
                </c:pt>
                <c:pt idx="2604">
                  <c:v>2.2797430117209874E-2</c:v>
                </c:pt>
                <c:pt idx="2605">
                  <c:v>2.279493513577277E-2</c:v>
                </c:pt>
                <c:pt idx="2606">
                  <c:v>2.2792458404362375E-2</c:v>
                </c:pt>
                <c:pt idx="2607">
                  <c:v>2.2789999922943931E-2</c:v>
                </c:pt>
                <c:pt idx="2608">
                  <c:v>2.2787559691486162E-2</c:v>
                </c:pt>
                <c:pt idx="2609">
                  <c:v>2.2784587604628658E-2</c:v>
                </c:pt>
                <c:pt idx="2610">
                  <c:v>2.2782182721190775E-2</c:v>
                </c:pt>
                <c:pt idx="2611">
                  <c:v>2.2779796086443361E-2</c:v>
                </c:pt>
                <c:pt idx="2612">
                  <c:v>2.2777427700354794E-2</c:v>
                </c:pt>
                <c:pt idx="2613">
                  <c:v>2.2775077562894333E-2</c:v>
                </c:pt>
                <c:pt idx="2614">
                  <c:v>2.2773301549967404E-2</c:v>
                </c:pt>
                <c:pt idx="2615">
                  <c:v>2.2770989067280326E-2</c:v>
                </c:pt>
                <c:pt idx="2616">
                  <c:v>2.2768694834284571E-2</c:v>
                </c:pt>
                <c:pt idx="2617">
                  <c:v>2.2766418850951466E-2</c:v>
                </c:pt>
                <c:pt idx="2618">
                  <c:v>2.2764161117249732E-2</c:v>
                </c:pt>
                <c:pt idx="2619">
                  <c:v>2.2761921633147223E-2</c:v>
                </c:pt>
                <c:pt idx="2620">
                  <c:v>2.2759700398609181E-2</c:v>
                </c:pt>
                <c:pt idx="2621">
                  <c:v>2.2757497413610411E-2</c:v>
                </c:pt>
                <c:pt idx="2622">
                  <c:v>2.2754182474336027E-2</c:v>
                </c:pt>
                <c:pt idx="2623">
                  <c:v>2.2752013654648628E-2</c:v>
                </c:pt>
                <c:pt idx="2624">
                  <c:v>2.2749863082084154E-2</c:v>
                </c:pt>
                <c:pt idx="2625">
                  <c:v>2.2747730756615958E-2</c:v>
                </c:pt>
                <c:pt idx="2626">
                  <c:v>2.2745886032185168E-2</c:v>
                </c:pt>
                <c:pt idx="2627">
                  <c:v>2.2743222931916662E-2</c:v>
                </c:pt>
                <c:pt idx="2628">
                  <c:v>2.2741147954271845E-2</c:v>
                </c:pt>
                <c:pt idx="2629">
                  <c:v>2.2739091223604291E-2</c:v>
                </c:pt>
                <c:pt idx="2630">
                  <c:v>2.2737052739882913E-2</c:v>
                </c:pt>
                <c:pt idx="2631">
                  <c:v>2.2734456894536795E-2</c:v>
                </c:pt>
                <c:pt idx="2632">
                  <c:v>2.273245372742955E-2</c:v>
                </c:pt>
                <c:pt idx="2633">
                  <c:v>2.273046880603017E-2</c:v>
                </c:pt>
                <c:pt idx="2634">
                  <c:v>2.272850213031171E-2</c:v>
                </c:pt>
                <c:pt idx="2635">
                  <c:v>2.2729456693083783E-2</c:v>
                </c:pt>
                <c:pt idx="2636">
                  <c:v>2.2727532419379998E-2</c:v>
                </c:pt>
                <c:pt idx="2637">
                  <c:v>2.2725626397062149E-2</c:v>
                </c:pt>
                <c:pt idx="2638">
                  <c:v>2.2723738626105574E-2</c:v>
                </c:pt>
                <c:pt idx="2639">
                  <c:v>2.27201126908761E-2</c:v>
                </c:pt>
                <c:pt idx="2640">
                  <c:v>2.2718257861767333E-2</c:v>
                </c:pt>
                <c:pt idx="2641">
                  <c:v>2.2716421280471497E-2</c:v>
                </c:pt>
                <c:pt idx="2642">
                  <c:v>2.2713572092117239E-2</c:v>
                </c:pt>
                <c:pt idx="2643">
                  <c:v>2.2712802861215846E-2</c:v>
                </c:pt>
                <c:pt idx="2644">
                  <c:v>2.2712795277436627E-2</c:v>
                </c:pt>
                <c:pt idx="2645">
                  <c:v>2.2711035265264027E-2</c:v>
                </c:pt>
                <c:pt idx="2646">
                  <c:v>2.2709293504241806E-2</c:v>
                </c:pt>
                <c:pt idx="2647">
                  <c:v>2.2707569994348708E-2</c:v>
                </c:pt>
                <c:pt idx="2648">
                  <c:v>2.2705864735558363E-2</c:v>
                </c:pt>
                <c:pt idx="2649">
                  <c:v>2.2704177727848666E-2</c:v>
                </c:pt>
                <c:pt idx="2650">
                  <c:v>2.2702508971192401E-2</c:v>
                </c:pt>
                <c:pt idx="2651">
                  <c:v>2.2700858465568314E-2</c:v>
                </c:pt>
                <c:pt idx="2652">
                  <c:v>2.2697423234799487E-2</c:v>
                </c:pt>
                <c:pt idx="2653">
                  <c:v>2.2697612207322269E-2</c:v>
                </c:pt>
                <c:pt idx="2654">
                  <c:v>2.269601645465354E-2</c:v>
                </c:pt>
                <c:pt idx="2655">
                  <c:v>2.2694438952921746E-2</c:v>
                </c:pt>
                <c:pt idx="2656">
                  <c:v>2.2692879702109876E-2</c:v>
                </c:pt>
                <c:pt idx="2657">
                  <c:v>2.2691338702189867E-2</c:v>
                </c:pt>
                <c:pt idx="2658">
                  <c:v>2.2689815953144711E-2</c:v>
                </c:pt>
                <c:pt idx="2659">
                  <c:v>2.2688311454951447E-2</c:v>
                </c:pt>
                <c:pt idx="2660">
                  <c:v>2.2686825207585418E-2</c:v>
                </c:pt>
                <c:pt idx="2661">
                  <c:v>2.2683521658114967E-2</c:v>
                </c:pt>
                <c:pt idx="2662">
                  <c:v>2.268206827543395E-2</c:v>
                </c:pt>
                <c:pt idx="2663">
                  <c:v>2.2680633140066044E-2</c:v>
                </c:pt>
                <c:pt idx="2664">
                  <c:v>2.26792162519928E-2</c:v>
                </c:pt>
                <c:pt idx="2665">
                  <c:v>2.2679667732476649E-2</c:v>
                </c:pt>
                <c:pt idx="2666">
                  <c:v>2.2678290989655629E-2</c:v>
                </c:pt>
                <c:pt idx="2667">
                  <c:v>2.2676932497522374E-2</c:v>
                </c:pt>
                <c:pt idx="2668">
                  <c:v>2.2675592256054779E-2</c:v>
                </c:pt>
                <c:pt idx="2669">
                  <c:v>2.267427026523754E-2</c:v>
                </c:pt>
                <c:pt idx="2670">
                  <c:v>2.2672966525051092E-2</c:v>
                </c:pt>
                <c:pt idx="2671">
                  <c:v>2.2671681035476728E-2</c:v>
                </c:pt>
                <c:pt idx="2672">
                  <c:v>2.2670413796494045E-2</c:v>
                </c:pt>
                <c:pt idx="2673">
                  <c:v>2.2669164808087727E-2</c:v>
                </c:pt>
                <c:pt idx="2674">
                  <c:v>2.2665423554346198E-2</c:v>
                </c:pt>
                <c:pt idx="2675">
                  <c:v>2.2664206158354183E-2</c:v>
                </c:pt>
                <c:pt idx="2676">
                  <c:v>2.266300700829138E-2</c:v>
                </c:pt>
                <c:pt idx="2677">
                  <c:v>2.2661826104141802E-2</c:v>
                </c:pt>
                <c:pt idx="2678">
                  <c:v>2.2658905468733677E-2</c:v>
                </c:pt>
                <c:pt idx="2679">
                  <c:v>2.2659668244804462E-2</c:v>
                </c:pt>
                <c:pt idx="2680">
                  <c:v>2.2659186596881275E-2</c:v>
                </c:pt>
                <c:pt idx="2681">
                  <c:v>2.2657452264414509E-2</c:v>
                </c:pt>
                <c:pt idx="2682">
                  <c:v>2.2656371644691572E-2</c:v>
                </c:pt>
                <c:pt idx="2683">
                  <c:v>2.2655309271927746E-2</c:v>
                </c:pt>
                <c:pt idx="2684">
                  <c:v>2.2654265146111609E-2</c:v>
                </c:pt>
                <c:pt idx="2685">
                  <c:v>2.2653239267228228E-2</c:v>
                </c:pt>
                <c:pt idx="2686">
                  <c:v>2.2652231635261793E-2</c:v>
                </c:pt>
                <c:pt idx="2687">
                  <c:v>2.2651886381353539E-2</c:v>
                </c:pt>
                <c:pt idx="2688">
                  <c:v>2.2650916485681939E-2</c:v>
                </c:pt>
                <c:pt idx="2689">
                  <c:v>2.2649964838033429E-2</c:v>
                </c:pt>
                <c:pt idx="2690">
                  <c:v>2.2649031438396715E-2</c:v>
                </c:pt>
                <c:pt idx="2691">
                  <c:v>2.2647467178724363E-2</c:v>
                </c:pt>
                <c:pt idx="2692">
                  <c:v>2.2646569027986403E-2</c:v>
                </c:pt>
                <c:pt idx="2693">
                  <c:v>2.2645441074407954E-2</c:v>
                </c:pt>
                <c:pt idx="2694">
                  <c:v>2.2644827466970566E-2</c:v>
                </c:pt>
                <c:pt idx="2695">
                  <c:v>2.2643984056673359E-2</c:v>
                </c:pt>
                <c:pt idx="2696">
                  <c:v>2.2643814248077824E-2</c:v>
                </c:pt>
                <c:pt idx="2697">
                  <c:v>2.2643008584163977E-2</c:v>
                </c:pt>
                <c:pt idx="2698">
                  <c:v>2.264222116816288E-2</c:v>
                </c:pt>
                <c:pt idx="2699">
                  <c:v>2.2641452000064972E-2</c:v>
                </c:pt>
                <c:pt idx="2700">
                  <c:v>2.2640701079858955E-2</c:v>
                </c:pt>
                <c:pt idx="2701">
                  <c:v>2.2639968407533535E-2</c:v>
                </c:pt>
                <c:pt idx="2702">
                  <c:v>2.2639253983080025E-2</c:v>
                </c:pt>
                <c:pt idx="2703">
                  <c:v>2.2638557806488869E-2</c:v>
                </c:pt>
                <c:pt idx="2704">
                  <c:v>2.2637879877747898E-2</c:v>
                </c:pt>
                <c:pt idx="2705">
                  <c:v>2.2637220196849297E-2</c:v>
                </c:pt>
                <c:pt idx="2706">
                  <c:v>2.2636578763785241E-2</c:v>
                </c:pt>
                <c:pt idx="2707">
                  <c:v>2.263595557854357E-2</c:v>
                </c:pt>
                <c:pt idx="2708">
                  <c:v>2.263535064111907E-2</c:v>
                </c:pt>
                <c:pt idx="2709">
                  <c:v>2.2634763951500443E-2</c:v>
                </c:pt>
                <c:pt idx="2710">
                  <c:v>2.2634195509681609E-2</c:v>
                </c:pt>
                <c:pt idx="2711">
                  <c:v>2.263364531565475E-2</c:v>
                </c:pt>
                <c:pt idx="2712">
                  <c:v>2.2633113369408566E-2</c:v>
                </c:pt>
                <c:pt idx="2713">
                  <c:v>2.2631922862497204E-2</c:v>
                </c:pt>
                <c:pt idx="2714">
                  <c:v>2.2631426139523243E-2</c:v>
                </c:pt>
                <c:pt idx="2715">
                  <c:v>2.263094766316932E-2</c:v>
                </c:pt>
                <c:pt idx="2716">
                  <c:v>2.2630487433424898E-2</c:v>
                </c:pt>
                <c:pt idx="2717">
                  <c:v>2.263072735468364E-2</c:v>
                </c:pt>
                <c:pt idx="2718">
                  <c:v>2.2630304894994669E-2</c:v>
                </c:pt>
                <c:pt idx="2719">
                  <c:v>2.2629900683040327E-2</c:v>
                </c:pt>
                <c:pt idx="2720">
                  <c:v>2.2629514718816267E-2</c:v>
                </c:pt>
                <c:pt idx="2721">
                  <c:v>2.2629147002319886E-2</c:v>
                </c:pt>
                <c:pt idx="2722">
                  <c:v>2.2628797533543358E-2</c:v>
                </c:pt>
                <c:pt idx="2723">
                  <c:v>2.2628466312483213E-2</c:v>
                </c:pt>
                <c:pt idx="2724">
                  <c:v>2.262815333913424E-2</c:v>
                </c:pt>
                <c:pt idx="2725">
                  <c:v>2.2627858613492084E-2</c:v>
                </c:pt>
                <c:pt idx="2726">
                  <c:v>2.2626888698344415E-2</c:v>
                </c:pt>
                <c:pt idx="2727">
                  <c:v>2.2626629180963642E-2</c:v>
                </c:pt>
                <c:pt idx="2728">
                  <c:v>2.2626387910135271E-2</c:v>
                </c:pt>
                <c:pt idx="2729">
                  <c:v>2.2626164885853152E-2</c:v>
                </c:pt>
                <c:pt idx="2730">
                  <c:v>2.2622440743938706E-2</c:v>
                </c:pt>
                <c:pt idx="2731">
                  <c:v>2.2625048502728617E-2</c:v>
                </c:pt>
                <c:pt idx="2732">
                  <c:v>2.2624881531863927E-2</c:v>
                </c:pt>
                <c:pt idx="2733">
                  <c:v>2.2624732806395542E-2</c:v>
                </c:pt>
                <c:pt idx="2734">
                  <c:v>2.2624602326316356E-2</c:v>
                </c:pt>
                <c:pt idx="2735">
                  <c:v>2.2624490091629923E-2</c:v>
                </c:pt>
                <c:pt idx="2736">
                  <c:v>2.2624396102331801E-2</c:v>
                </c:pt>
                <c:pt idx="2737">
                  <c:v>2.2624320358420213E-2</c:v>
                </c:pt>
                <c:pt idx="2738">
                  <c:v>2.2624262859896049E-2</c:v>
                </c:pt>
                <c:pt idx="2739">
                  <c:v>2.2625644343216254E-2</c:v>
                </c:pt>
                <c:pt idx="2740">
                  <c:v>2.2625625939639332E-2</c:v>
                </c:pt>
                <c:pt idx="2741">
                  <c:v>2.2625625783735347E-2</c:v>
                </c:pt>
                <c:pt idx="2742">
                  <c:v>2.2625643875500822E-2</c:v>
                </c:pt>
                <c:pt idx="2743">
                  <c:v>2.2624977915298779E-2</c:v>
                </c:pt>
                <c:pt idx="2744">
                  <c:v>2.2625036408960561E-2</c:v>
                </c:pt>
                <c:pt idx="2745">
                  <c:v>2.2625113149151027E-2</c:v>
                </c:pt>
                <c:pt idx="2746">
                  <c:v>2.262520813587281E-2</c:v>
                </c:pt>
                <c:pt idx="2747">
                  <c:v>2.2627503869919526E-2</c:v>
                </c:pt>
                <c:pt idx="2748">
                  <c:v>2.2626175429660642E-2</c:v>
                </c:pt>
                <c:pt idx="2749">
                  <c:v>2.2626326468774032E-2</c:v>
                </c:pt>
                <c:pt idx="2750">
                  <c:v>2.2626495755569919E-2</c:v>
                </c:pt>
                <c:pt idx="2751">
                  <c:v>2.2626683290050038E-2</c:v>
                </c:pt>
                <c:pt idx="2752">
                  <c:v>2.2626889072215259E-2</c:v>
                </c:pt>
                <c:pt idx="2753">
                  <c:v>2.2627113102070794E-2</c:v>
                </c:pt>
                <c:pt idx="2754">
                  <c:v>2.2627355379617513E-2</c:v>
                </c:pt>
                <c:pt idx="2755">
                  <c:v>2.262761590486324E-2</c:v>
                </c:pt>
                <c:pt idx="2756">
                  <c:v>2.2627894677804492E-2</c:v>
                </c:pt>
                <c:pt idx="2757">
                  <c:v>2.2628191698451698E-2</c:v>
                </c:pt>
                <c:pt idx="2758">
                  <c:v>2.2628506966805732E-2</c:v>
                </c:pt>
                <c:pt idx="2759">
                  <c:v>2.262884048287267E-2</c:v>
                </c:pt>
                <c:pt idx="2760">
                  <c:v>2.2629192246654252E-2</c:v>
                </c:pt>
                <c:pt idx="2761">
                  <c:v>2.2629562258159163E-2</c:v>
                </c:pt>
                <c:pt idx="2762">
                  <c:v>2.2629950517390016E-2</c:v>
                </c:pt>
                <c:pt idx="2763">
                  <c:v>2.2630357024351153E-2</c:v>
                </c:pt>
                <c:pt idx="2764">
                  <c:v>2.2630781779052131E-2</c:v>
                </c:pt>
                <c:pt idx="2765">
                  <c:v>2.2630479727740894E-2</c:v>
                </c:pt>
                <c:pt idx="2766">
                  <c:v>2.263093964569253E-2</c:v>
                </c:pt>
                <c:pt idx="2767">
                  <c:v>2.2631417810254541E-2</c:v>
                </c:pt>
                <c:pt idx="2768">
                  <c:v>2.2634911389519872E-2</c:v>
                </c:pt>
                <c:pt idx="2769">
                  <c:v>2.2633179268832748E-2</c:v>
                </c:pt>
                <c:pt idx="2770">
                  <c:v>2.2633713510090935E-2</c:v>
                </c:pt>
                <c:pt idx="2771">
                  <c:v>2.2634265999134144E-2</c:v>
                </c:pt>
                <c:pt idx="2772">
                  <c:v>2.2634836735969329E-2</c:v>
                </c:pt>
                <c:pt idx="2773">
                  <c:v>2.2635425720606912E-2</c:v>
                </c:pt>
                <c:pt idx="2774">
                  <c:v>2.2636032953048633E-2</c:v>
                </c:pt>
                <c:pt idx="2775">
                  <c:v>2.2636658433307526E-2</c:v>
                </c:pt>
                <c:pt idx="2776">
                  <c:v>2.2637302161393143E-2</c:v>
                </c:pt>
                <c:pt idx="2777">
                  <c:v>2.2637964137314181E-2</c:v>
                </c:pt>
                <c:pt idx="2778">
                  <c:v>2.2637881898849042E-2</c:v>
                </c:pt>
                <c:pt idx="2779">
                  <c:v>2.2638579023332019E-2</c:v>
                </c:pt>
                <c:pt idx="2780">
                  <c:v>2.263929439453078E-2</c:v>
                </c:pt>
                <c:pt idx="2781">
                  <c:v>2.2640455415110675E-2</c:v>
                </c:pt>
                <c:pt idx="2782">
                  <c:v>2.2640888775884757E-2</c:v>
                </c:pt>
                <c:pt idx="2783">
                  <c:v>2.2641549988525439E-2</c:v>
                </c:pt>
                <c:pt idx="2784">
                  <c:v>2.2642338346690122E-2</c:v>
                </c:pt>
                <c:pt idx="2785">
                  <c:v>2.264314495162242E-2</c:v>
                </c:pt>
                <c:pt idx="2786">
                  <c:v>2.2643969803335506E-2</c:v>
                </c:pt>
                <c:pt idx="2787">
                  <c:v>2.2644038435990943E-2</c:v>
                </c:pt>
                <c:pt idx="2788">
                  <c:v>2.264489842400863E-2</c:v>
                </c:pt>
                <c:pt idx="2789">
                  <c:v>2.2645776657690853E-2</c:v>
                </c:pt>
                <c:pt idx="2790">
                  <c:v>2.2646673137054485E-2</c:v>
                </c:pt>
                <c:pt idx="2791">
                  <c:v>2.2649147828398698E-2</c:v>
                </c:pt>
                <c:pt idx="2792">
                  <c:v>2.2650083523076962E-2</c:v>
                </c:pt>
                <c:pt idx="2793">
                  <c:v>2.2651037465769623E-2</c:v>
                </c:pt>
                <c:pt idx="2794">
                  <c:v>2.2652009656487119E-2</c:v>
                </c:pt>
                <c:pt idx="2795">
                  <c:v>2.2652214575761605E-2</c:v>
                </c:pt>
                <c:pt idx="2796">
                  <c:v>2.2653221895930862E-2</c:v>
                </c:pt>
                <c:pt idx="2797">
                  <c:v>2.2654247463018817E-2</c:v>
                </c:pt>
                <c:pt idx="2798">
                  <c:v>2.2655291277036894E-2</c:v>
                </c:pt>
                <c:pt idx="2799">
                  <c:v>2.2656353338001783E-2</c:v>
                </c:pt>
                <c:pt idx="2800">
                  <c:v>2.2658226010098117E-2</c:v>
                </c:pt>
                <c:pt idx="2801">
                  <c:v>2.2659325937384758E-2</c:v>
                </c:pt>
                <c:pt idx="2802">
                  <c:v>2.2660444112813531E-2</c:v>
                </c:pt>
                <c:pt idx="2803">
                  <c:v>2.2661580536395724E-2</c:v>
                </c:pt>
                <c:pt idx="2804">
                  <c:v>2.2662735208151326E-2</c:v>
                </c:pt>
                <c:pt idx="2805">
                  <c:v>2.2663908128096842E-2</c:v>
                </c:pt>
                <c:pt idx="2806">
                  <c:v>2.266509929624444E-2</c:v>
                </c:pt>
                <c:pt idx="2807">
                  <c:v>2.2666308712614099E-2</c:v>
                </c:pt>
                <c:pt idx="2808">
                  <c:v>2.2667536377219726E-2</c:v>
                </c:pt>
                <c:pt idx="2809">
                  <c:v>2.2668782290083039E-2</c:v>
                </c:pt>
                <c:pt idx="2810">
                  <c:v>2.2670046451215335E-2</c:v>
                </c:pt>
                <c:pt idx="2811">
                  <c:v>2.2671328860639207E-2</c:v>
                </c:pt>
                <c:pt idx="2812">
                  <c:v>2.267262951836942E-2</c:v>
                </c:pt>
                <c:pt idx="2813">
                  <c:v>2.2673948424426833E-2</c:v>
                </c:pt>
                <c:pt idx="2814">
                  <c:v>2.2675285578826213E-2</c:v>
                </c:pt>
                <c:pt idx="2815">
                  <c:v>2.2676640981590151E-2</c:v>
                </c:pt>
                <c:pt idx="2816">
                  <c:v>2.2678014632734288E-2</c:v>
                </c:pt>
                <c:pt idx="2817">
                  <c:v>2.2678590681057965E-2</c:v>
                </c:pt>
                <c:pt idx="2818">
                  <c:v>2.2679999437063003E-2</c:v>
                </c:pt>
                <c:pt idx="2819">
                  <c:v>2.2681426440357436E-2</c:v>
                </c:pt>
                <c:pt idx="2820">
                  <c:v>2.2682871690954436E-2</c:v>
                </c:pt>
                <c:pt idx="2821">
                  <c:v>2.2685156614854776E-2</c:v>
                </c:pt>
                <c:pt idx="2822">
                  <c:v>2.2686639756698029E-2</c:v>
                </c:pt>
                <c:pt idx="2823">
                  <c:v>2.2688141147061369E-2</c:v>
                </c:pt>
                <c:pt idx="2824">
                  <c:v>2.2689660785967382E-2</c:v>
                </c:pt>
                <c:pt idx="2825">
                  <c:v>2.2691198673434321E-2</c:v>
                </c:pt>
                <c:pt idx="2826">
                  <c:v>2.2692754809486512E-2</c:v>
                </c:pt>
                <c:pt idx="2827">
                  <c:v>2.2694329194143069E-2</c:v>
                </c:pt>
                <c:pt idx="2828">
                  <c:v>2.2695921827427454E-2</c:v>
                </c:pt>
                <c:pt idx="2829">
                  <c:v>2.2697532709361385E-2</c:v>
                </c:pt>
                <c:pt idx="2830">
                  <c:v>2.2697493935687874E-2</c:v>
                </c:pt>
                <c:pt idx="2831">
                  <c:v>2.2699138501219629E-2</c:v>
                </c:pt>
                <c:pt idx="2832">
                  <c:v>2.2700801313153995E-2</c:v>
                </c:pt>
                <c:pt idx="2833">
                  <c:v>2.2702482371518506E-2</c:v>
                </c:pt>
                <c:pt idx="2834">
                  <c:v>2.2704181676330926E-2</c:v>
                </c:pt>
                <c:pt idx="2835">
                  <c:v>2.270589922761701E-2</c:v>
                </c:pt>
                <c:pt idx="2836">
                  <c:v>2.2707635025398965E-2</c:v>
                </c:pt>
                <c:pt idx="2837">
                  <c:v>2.2709389069701658E-2</c:v>
                </c:pt>
                <c:pt idx="2838">
                  <c:v>2.271116136054907E-2</c:v>
                </c:pt>
                <c:pt idx="2839">
                  <c:v>2.271210549820751E-2</c:v>
                </c:pt>
                <c:pt idx="2840">
                  <c:v>2.271391286516922E-2</c:v>
                </c:pt>
                <c:pt idx="2841">
                  <c:v>2.2715738477591802E-2</c:v>
                </c:pt>
                <c:pt idx="2842">
                  <c:v>2.2717582335495017E-2</c:v>
                </c:pt>
                <c:pt idx="2843">
                  <c:v>2.2722001177657245E-2</c:v>
                </c:pt>
                <c:pt idx="2844">
                  <c:v>2.2723885792166911E-2</c:v>
                </c:pt>
                <c:pt idx="2845">
                  <c:v>2.2725788655714514E-2</c:v>
                </c:pt>
                <c:pt idx="2846">
                  <c:v>2.2727709768326984E-2</c:v>
                </c:pt>
                <c:pt idx="2847">
                  <c:v>2.2728791017337071E-2</c:v>
                </c:pt>
                <c:pt idx="2848">
                  <c:v>2.2730747201488877E-2</c:v>
                </c:pt>
                <c:pt idx="2849">
                  <c:v>2.2732721633625785E-2</c:v>
                </c:pt>
                <c:pt idx="2850">
                  <c:v>2.2734714313772386E-2</c:v>
                </c:pt>
                <c:pt idx="2851">
                  <c:v>2.273672524196119E-2</c:v>
                </c:pt>
                <c:pt idx="2852">
                  <c:v>2.2739619675884545E-2</c:v>
                </c:pt>
                <c:pt idx="2853">
                  <c:v>2.2741668532715698E-2</c:v>
                </c:pt>
                <c:pt idx="2854">
                  <c:v>2.274373563883067E-2</c:v>
                </c:pt>
                <c:pt idx="2855">
                  <c:v>2.2745820994263352E-2</c:v>
                </c:pt>
                <c:pt idx="2856">
                  <c:v>2.2747924599038075E-2</c:v>
                </c:pt>
                <c:pt idx="2857">
                  <c:v>2.2750046453185242E-2</c:v>
                </c:pt>
                <c:pt idx="2858">
                  <c:v>2.2752186556736137E-2</c:v>
                </c:pt>
                <c:pt idx="2859">
                  <c:v>2.2754344909718564E-2</c:v>
                </c:pt>
                <c:pt idx="2860">
                  <c:v>2.2756521512163803E-2</c:v>
                </c:pt>
                <c:pt idx="2861">
                  <c:v>2.2758716364100522E-2</c:v>
                </c:pt>
                <c:pt idx="2862">
                  <c:v>2.2760929465561745E-2</c:v>
                </c:pt>
                <c:pt idx="2863">
                  <c:v>2.2763160816576138E-2</c:v>
                </c:pt>
                <c:pt idx="2864">
                  <c:v>2.2765410417174115E-2</c:v>
                </c:pt>
                <c:pt idx="2865">
                  <c:v>2.2767678267389561E-2</c:v>
                </c:pt>
                <c:pt idx="2866">
                  <c:v>2.2769964367252888E-2</c:v>
                </c:pt>
                <c:pt idx="2867">
                  <c:v>2.2772268716796242E-2</c:v>
                </c:pt>
                <c:pt idx="2868">
                  <c:v>2.2774591316049166E-2</c:v>
                </c:pt>
                <c:pt idx="2869">
                  <c:v>2.2776042396752853E-2</c:v>
                </c:pt>
                <c:pt idx="2870">
                  <c:v>2.2778400043222995E-2</c:v>
                </c:pt>
                <c:pt idx="2871">
                  <c:v>2.2780775938333536E-2</c:v>
                </c:pt>
                <c:pt idx="2872">
                  <c:v>2.2783170082116978E-2</c:v>
                </c:pt>
                <c:pt idx="2873">
                  <c:v>2.2785582474606707E-2</c:v>
                </c:pt>
                <c:pt idx="2874">
                  <c:v>2.2788910157345302E-2</c:v>
                </c:pt>
                <c:pt idx="2875">
                  <c:v>2.2791360505498379E-2</c:v>
                </c:pt>
                <c:pt idx="2876">
                  <c:v>2.2793829103629506E-2</c:v>
                </c:pt>
                <c:pt idx="2877">
                  <c:v>2.2796315951772572E-2</c:v>
                </c:pt>
                <c:pt idx="2878">
                  <c:v>2.2798821049960592E-2</c:v>
                </c:pt>
                <c:pt idx="2879">
                  <c:v>2.2801344398230054E-2</c:v>
                </c:pt>
                <c:pt idx="2880">
                  <c:v>2.2803885996614853E-2</c:v>
                </c:pt>
                <c:pt idx="2881">
                  <c:v>2.2806445845151475E-2</c:v>
                </c:pt>
                <c:pt idx="2882">
                  <c:v>2.2807206642993627E-2</c:v>
                </c:pt>
                <c:pt idx="2883">
                  <c:v>2.2809800057050467E-2</c:v>
                </c:pt>
                <c:pt idx="2884">
                  <c:v>2.2812411719018044E-2</c:v>
                </c:pt>
                <c:pt idx="2885">
                  <c:v>2.2815041628930999E-2</c:v>
                </c:pt>
                <c:pt idx="2886">
                  <c:v>2.2817689786826634E-2</c:v>
                </c:pt>
                <c:pt idx="2887">
                  <c:v>2.28203561927387E-2</c:v>
                </c:pt>
                <c:pt idx="2888">
                  <c:v>2.2823040846705389E-2</c:v>
                </c:pt>
                <c:pt idx="2889">
                  <c:v>2.2825743748763117E-2</c:v>
                </c:pt>
                <c:pt idx="2890">
                  <c:v>2.2828464898947409E-2</c:v>
                </c:pt>
                <c:pt idx="2891">
                  <c:v>2.2830282667252278E-2</c:v>
                </c:pt>
                <c:pt idx="2892">
                  <c:v>2.2833038836043897E-2</c:v>
                </c:pt>
                <c:pt idx="2893">
                  <c:v>2.2835813251894217E-2</c:v>
                </c:pt>
                <c:pt idx="2894">
                  <c:v>2.2838605914844545E-2</c:v>
                </c:pt>
                <c:pt idx="2895">
                  <c:v>2.2844200010965116E-2</c:v>
                </c:pt>
                <c:pt idx="2896">
                  <c:v>2.2847033616187753E-2</c:v>
                </c:pt>
                <c:pt idx="2897">
                  <c:v>2.2849885472160866E-2</c:v>
                </c:pt>
                <c:pt idx="2898">
                  <c:v>2.2852755578925292E-2</c:v>
                </c:pt>
                <c:pt idx="2899">
                  <c:v>2.2855643936522736E-2</c:v>
                </c:pt>
                <c:pt idx="2900">
                  <c:v>2.2857615209805747E-2</c:v>
                </c:pt>
                <c:pt idx="2901">
                  <c:v>2.2860538580446694E-2</c:v>
                </c:pt>
                <c:pt idx="2902">
                  <c:v>2.2863480200858564E-2</c:v>
                </c:pt>
                <c:pt idx="2903">
                  <c:v>2.2866440071080889E-2</c:v>
                </c:pt>
                <c:pt idx="2904">
                  <c:v>2.2870359488386744E-2</c:v>
                </c:pt>
                <c:pt idx="2905">
                  <c:v>2.2873357351822502E-2</c:v>
                </c:pt>
                <c:pt idx="2906">
                  <c:v>2.2876373466374524E-2</c:v>
                </c:pt>
                <c:pt idx="2907">
                  <c:v>2.2879407832088871E-2</c:v>
                </c:pt>
                <c:pt idx="2908">
                  <c:v>2.2882460449003768E-2</c:v>
                </c:pt>
                <c:pt idx="2909">
                  <c:v>2.2885531317162661E-2</c:v>
                </c:pt>
                <c:pt idx="2910">
                  <c:v>2.2888620436610729E-2</c:v>
                </c:pt>
                <c:pt idx="2911">
                  <c:v>2.2891727807385333E-2</c:v>
                </c:pt>
                <c:pt idx="2912">
                  <c:v>2.2894853429535129E-2</c:v>
                </c:pt>
                <c:pt idx="2913">
                  <c:v>2.2897997303101828E-2</c:v>
                </c:pt>
                <c:pt idx="2914">
                  <c:v>2.2901159428129737E-2</c:v>
                </c:pt>
                <c:pt idx="2915">
                  <c:v>2.2904339804659692E-2</c:v>
                </c:pt>
                <c:pt idx="2916">
                  <c:v>2.2907538432739488E-2</c:v>
                </c:pt>
                <c:pt idx="2917">
                  <c:v>2.2910755312412562E-2</c:v>
                </c:pt>
                <c:pt idx="2918">
                  <c:v>2.2913990443724101E-2</c:v>
                </c:pt>
                <c:pt idx="2919">
                  <c:v>2.2917243826717542E-2</c:v>
                </c:pt>
                <c:pt idx="2920">
                  <c:v>2.2920515461439809E-2</c:v>
                </c:pt>
                <c:pt idx="2921">
                  <c:v>2.2922838500338633E-2</c:v>
                </c:pt>
                <c:pt idx="2922">
                  <c:v>2.292614512498569E-2</c:v>
                </c:pt>
                <c:pt idx="2923">
                  <c:v>2.2929470000306693E-2</c:v>
                </c:pt>
                <c:pt idx="2924">
                  <c:v>2.2932813126347307E-2</c:v>
                </c:pt>
                <c:pt idx="2925">
                  <c:v>2.293617450315058E-2</c:v>
                </c:pt>
                <c:pt idx="2926">
                  <c:v>2.2940528558630574E-2</c:v>
                </c:pt>
                <c:pt idx="2927">
                  <c:v>2.2943927956737928E-2</c:v>
                </c:pt>
                <c:pt idx="2928">
                  <c:v>2.2947345606945984E-2</c:v>
                </c:pt>
                <c:pt idx="2929">
                  <c:v>2.2950781509299922E-2</c:v>
                </c:pt>
                <c:pt idx="2930">
                  <c:v>2.2954235663847525E-2</c:v>
                </c:pt>
                <c:pt idx="2931">
                  <c:v>2.2957708070639196E-2</c:v>
                </c:pt>
                <c:pt idx="2932">
                  <c:v>2.2961198729722718E-2</c:v>
                </c:pt>
                <c:pt idx="2933">
                  <c:v>2.2964707641144142E-2</c:v>
                </c:pt>
                <c:pt idx="2934">
                  <c:v>2.2966261755717809E-2</c:v>
                </c:pt>
                <c:pt idx="2935">
                  <c:v>2.2969804113723846E-2</c:v>
                </c:pt>
                <c:pt idx="2936">
                  <c:v>2.2973364721819323E-2</c:v>
                </c:pt>
                <c:pt idx="2937">
                  <c:v>2.2976943580050424E-2</c:v>
                </c:pt>
                <c:pt idx="2938">
                  <c:v>2.2982048824054312E-2</c:v>
                </c:pt>
                <c:pt idx="2939">
                  <c:v>2.2984674016741202E-2</c:v>
                </c:pt>
                <c:pt idx="2940">
                  <c:v>2.2988310232861409E-2</c:v>
                </c:pt>
                <c:pt idx="2941">
                  <c:v>2.2991964699320633E-2</c:v>
                </c:pt>
                <c:pt idx="2942">
                  <c:v>2.2995637416168613E-2</c:v>
                </c:pt>
                <c:pt idx="2943">
                  <c:v>2.2998328117620731E-2</c:v>
                </c:pt>
                <c:pt idx="2944">
                  <c:v>2.3002035795568761E-2</c:v>
                </c:pt>
                <c:pt idx="2945">
                  <c:v>2.3005761722852319E-2</c:v>
                </c:pt>
                <c:pt idx="2946">
                  <c:v>2.3009505899520805E-2</c:v>
                </c:pt>
                <c:pt idx="2947">
                  <c:v>2.3018302388639698E-2</c:v>
                </c:pt>
                <c:pt idx="2948">
                  <c:v>2.3022090789357935E-2</c:v>
                </c:pt>
                <c:pt idx="2949">
                  <c:v>2.3025897445649392E-2</c:v>
                </c:pt>
                <c:pt idx="2950">
                  <c:v>2.3029722357569352E-2</c:v>
                </c:pt>
                <c:pt idx="2951">
                  <c:v>2.3030525952705834E-2</c:v>
                </c:pt>
                <c:pt idx="2952">
                  <c:v>2.3034382725905543E-2</c:v>
                </c:pt>
                <c:pt idx="2953">
                  <c:v>2.3040480246343996E-2</c:v>
                </c:pt>
                <c:pt idx="2954">
                  <c:v>2.3042151028845357E-2</c:v>
                </c:pt>
                <c:pt idx="2955">
                  <c:v>2.3046062558692633E-2</c:v>
                </c:pt>
                <c:pt idx="2956">
                  <c:v>2.3053055200332784E-2</c:v>
                </c:pt>
                <c:pt idx="2957">
                  <c:v>2.3057007903183772E-2</c:v>
                </c:pt>
                <c:pt idx="2958">
                  <c:v>2.3060978862103756E-2</c:v>
                </c:pt>
                <c:pt idx="2959">
                  <c:v>2.3064968077150562E-2</c:v>
                </c:pt>
                <c:pt idx="2960">
                  <c:v>2.3068975548378615E-2</c:v>
                </c:pt>
                <c:pt idx="2961">
                  <c:v>2.3073001275847445E-2</c:v>
                </c:pt>
                <c:pt idx="2962">
                  <c:v>2.3077045259613172E-2</c:v>
                </c:pt>
                <c:pt idx="2963">
                  <c:v>2.3081107499734476E-2</c:v>
                </c:pt>
                <c:pt idx="2964">
                  <c:v>2.3082087688375521E-2</c:v>
                </c:pt>
                <c:pt idx="2965">
                  <c:v>2.3089286749271715E-2</c:v>
                </c:pt>
                <c:pt idx="2966">
                  <c:v>2.3093403758803303E-2</c:v>
                </c:pt>
                <c:pt idx="2967">
                  <c:v>2.3097539024920923E-2</c:v>
                </c:pt>
                <c:pt idx="2968">
                  <c:v>2.31016925476858E-2</c:v>
                </c:pt>
                <c:pt idx="2969">
                  <c:v>2.3105864327157458E-2</c:v>
                </c:pt>
                <c:pt idx="2970">
                  <c:v>2.311005436339118E-2</c:v>
                </c:pt>
                <c:pt idx="2971">
                  <c:v>2.3114262656447337E-2</c:v>
                </c:pt>
                <c:pt idx="2972">
                  <c:v>2.3118489206388006E-2</c:v>
                </c:pt>
                <c:pt idx="2973">
                  <c:v>2.3119591296493471E-2</c:v>
                </c:pt>
                <c:pt idx="2974">
                  <c:v>2.3123849629961293E-2</c:v>
                </c:pt>
                <c:pt idx="2975">
                  <c:v>2.3128126216821757E-2</c:v>
                </c:pt>
                <c:pt idx="2976">
                  <c:v>2.3132421057138114E-2</c:v>
                </c:pt>
                <c:pt idx="2977">
                  <c:v>2.3139895811460386E-2</c:v>
                </c:pt>
                <c:pt idx="2978">
                  <c:v>2.3144231903972669E-2</c:v>
                </c:pt>
                <c:pt idx="2979">
                  <c:v>2.3148586253794654E-2</c:v>
                </c:pt>
                <c:pt idx="2980">
                  <c:v>2.3152958860989278E-2</c:v>
                </c:pt>
                <c:pt idx="2981">
                  <c:v>2.3157349725617764E-2</c:v>
                </c:pt>
                <c:pt idx="2982">
                  <c:v>2.316175884774049E-2</c:v>
                </c:pt>
                <c:pt idx="2983">
                  <c:v>2.3166186227422083E-2</c:v>
                </c:pt>
                <c:pt idx="2984">
                  <c:v>2.3170631864726326E-2</c:v>
                </c:pt>
                <c:pt idx="2985">
                  <c:v>2.3175095759713594E-2</c:v>
                </c:pt>
                <c:pt idx="2986">
                  <c:v>2.3176373413258473E-2</c:v>
                </c:pt>
                <c:pt idx="2987">
                  <c:v>2.3180869045498577E-2</c:v>
                </c:pt>
                <c:pt idx="2988">
                  <c:v>2.3185382931917506E-2</c:v>
                </c:pt>
                <c:pt idx="2989">
                  <c:v>2.3189915072574997E-2</c:v>
                </c:pt>
                <c:pt idx="2990">
                  <c:v>2.319642122487147E-2</c:v>
                </c:pt>
                <c:pt idx="2991">
                  <c:v>2.3202074326550463E-2</c:v>
                </c:pt>
                <c:pt idx="2992">
                  <c:v>2.320559242461397E-2</c:v>
                </c:pt>
                <c:pt idx="2993">
                  <c:v>2.3210205406229124E-2</c:v>
                </c:pt>
                <c:pt idx="2994">
                  <c:v>2.3214836642425421E-2</c:v>
                </c:pt>
                <c:pt idx="2995">
                  <c:v>2.3219486133267866E-2</c:v>
                </c:pt>
                <c:pt idx="2996">
                  <c:v>2.3224153878817946E-2</c:v>
                </c:pt>
                <c:pt idx="2997">
                  <c:v>2.3228839879142423E-2</c:v>
                </c:pt>
                <c:pt idx="2998">
                  <c:v>2.3233544134305416E-2</c:v>
                </c:pt>
                <c:pt idx="2999">
                  <c:v>2.3239356101243103E-2</c:v>
                </c:pt>
                <c:pt idx="3000">
                  <c:v>2.3244097955110926E-2</c:v>
                </c:pt>
                <c:pt idx="3001">
                  <c:v>2.324885567022324E-2</c:v>
                </c:pt>
                <c:pt idx="3002">
                  <c:v>2.3253627150978097E-2</c:v>
                </c:pt>
                <c:pt idx="3003">
                  <c:v>2.3257316637084021E-2</c:v>
                </c:pt>
                <c:pt idx="3004">
                  <c:v>2.3263479597431792E-2</c:v>
                </c:pt>
                <c:pt idx="3005">
                  <c:v>2.3266908793363839E-2</c:v>
                </c:pt>
                <c:pt idx="3006">
                  <c:v>2.3271714246672962E-2</c:v>
                </c:pt>
                <c:pt idx="3007">
                  <c:v>2.3276523125376557E-2</c:v>
                </c:pt>
                <c:pt idx="3008">
                  <c:v>2.3283114886743436E-2</c:v>
                </c:pt>
                <c:pt idx="3009">
                  <c:v>2.3287923749227304E-2</c:v>
                </c:pt>
                <c:pt idx="3010">
                  <c:v>2.3292729312825663E-2</c:v>
                </c:pt>
                <c:pt idx="3011">
                  <c:v>2.3297529481846192E-2</c:v>
                </c:pt>
                <c:pt idx="3012">
                  <c:v>2.3302322161606208E-2</c:v>
                </c:pt>
                <c:pt idx="3013">
                  <c:v>2.3307105774716182E-2</c:v>
                </c:pt>
                <c:pt idx="3014">
                  <c:v>2.3311880101186871E-2</c:v>
                </c:pt>
                <c:pt idx="3015">
                  <c:v>2.3316645140983524E-2</c:v>
                </c:pt>
                <c:pt idx="3016">
                  <c:v>2.3321400894073991E-2</c:v>
                </c:pt>
                <c:pt idx="3017">
                  <c:v>2.3326147360424383E-2</c:v>
                </c:pt>
                <c:pt idx="3018">
                  <c:v>2.3330884539999947E-2</c:v>
                </c:pt>
                <c:pt idx="3019">
                  <c:v>2.3335612432768538E-2</c:v>
                </c:pt>
                <c:pt idx="3020">
                  <c:v>2.3340331038696267E-2</c:v>
                </c:pt>
                <c:pt idx="3021">
                  <c:v>2.334504035774751E-2</c:v>
                </c:pt>
                <c:pt idx="3022">
                  <c:v>2.3349740389893594E-2</c:v>
                </c:pt>
                <c:pt idx="3023">
                  <c:v>2.3354431135097161E-2</c:v>
                </c:pt>
                <c:pt idx="3024">
                  <c:v>2.335911259332606E-2</c:v>
                </c:pt>
                <c:pt idx="3025">
                  <c:v>2.3362696186448449E-2</c:v>
                </c:pt>
                <c:pt idx="3026">
                  <c:v>2.3367359432215126E-2</c:v>
                </c:pt>
                <c:pt idx="3027">
                  <c:v>2.3372013391449821E-2</c:v>
                </c:pt>
                <c:pt idx="3028">
                  <c:v>2.3376658064124423E-2</c:v>
                </c:pt>
                <c:pt idx="3029">
                  <c:v>2.3382380578697549E-2</c:v>
                </c:pt>
                <c:pt idx="3030">
                  <c:v>2.3387006314385953E-2</c:v>
                </c:pt>
                <c:pt idx="3031">
                  <c:v>2.3391622762871173E-2</c:v>
                </c:pt>
                <c:pt idx="3032">
                  <c:v>2.3396229924116725E-2</c:v>
                </c:pt>
                <c:pt idx="3033">
                  <c:v>2.3400827798092192E-2</c:v>
                </c:pt>
                <c:pt idx="3034">
                  <c:v>2.3405416384764559E-2</c:v>
                </c:pt>
                <c:pt idx="3035">
                  <c:v>2.3409995684101674E-2</c:v>
                </c:pt>
                <c:pt idx="3036">
                  <c:v>2.3414565696071397E-2</c:v>
                </c:pt>
                <c:pt idx="3037">
                  <c:v>2.3419126420642439E-2</c:v>
                </c:pt>
                <c:pt idx="3038">
                  <c:v>2.3421510199453266E-2</c:v>
                </c:pt>
                <c:pt idx="3039">
                  <c:v>2.3426053086421206E-2</c:v>
                </c:pt>
                <c:pt idx="3040">
                  <c:v>2.3430586686989052E-2</c:v>
                </c:pt>
                <c:pt idx="3041">
                  <c:v>2.3435111001123943E-2</c:v>
                </c:pt>
                <c:pt idx="3042">
                  <c:v>2.3440270274669217E-2</c:v>
                </c:pt>
                <c:pt idx="3043">
                  <c:v>2.3444774689201253E-2</c:v>
                </c:pt>
                <c:pt idx="3044">
                  <c:v>2.3449269817201746E-2</c:v>
                </c:pt>
                <c:pt idx="3045">
                  <c:v>2.3453755658642272E-2</c:v>
                </c:pt>
                <c:pt idx="3046">
                  <c:v>2.3458232213489083E-2</c:v>
                </c:pt>
                <c:pt idx="3047">
                  <c:v>2.3461619060175833E-2</c:v>
                </c:pt>
                <c:pt idx="3048">
                  <c:v>2.3466077415326959E-2</c:v>
                </c:pt>
                <c:pt idx="3049">
                  <c:v>2.3470526484342183E-2</c:v>
                </c:pt>
                <c:pt idx="3050">
                  <c:v>2.3474966267191859E-2</c:v>
                </c:pt>
                <c:pt idx="3051">
                  <c:v>2.3482633568236218E-2</c:v>
                </c:pt>
                <c:pt idx="3052">
                  <c:v>2.3487053651123746E-2</c:v>
                </c:pt>
                <c:pt idx="3053">
                  <c:v>2.349146444609649E-2</c:v>
                </c:pt>
                <c:pt idx="3054">
                  <c:v>2.3495865953123165E-2</c:v>
                </c:pt>
                <c:pt idx="3055">
                  <c:v>2.3499807489077425E-2</c:v>
                </c:pt>
                <c:pt idx="3056">
                  <c:v>2.3504189471461406E-2</c:v>
                </c:pt>
                <c:pt idx="3057">
                  <c:v>2.3508562166355929E-2</c:v>
                </c:pt>
                <c:pt idx="3058">
                  <c:v>2.3512925573730251E-2</c:v>
                </c:pt>
                <c:pt idx="3059">
                  <c:v>2.3518355562195586E-2</c:v>
                </c:pt>
                <c:pt idx="3060">
                  <c:v>2.3522700014025177E-2</c:v>
                </c:pt>
                <c:pt idx="3061">
                  <c:v>2.3527035177688879E-2</c:v>
                </c:pt>
                <c:pt idx="3062">
                  <c:v>2.3531361053155411E-2</c:v>
                </c:pt>
                <c:pt idx="3063">
                  <c:v>2.3535677640395235E-2</c:v>
                </c:pt>
                <c:pt idx="3064">
                  <c:v>2.353998493937794E-2</c:v>
                </c:pt>
                <c:pt idx="3065">
                  <c:v>2.3544282950072243E-2</c:v>
                </c:pt>
                <c:pt idx="3066">
                  <c:v>2.3548571672445999E-2</c:v>
                </c:pt>
                <c:pt idx="3067">
                  <c:v>2.3552851106472275E-2</c:v>
                </c:pt>
                <c:pt idx="3068">
                  <c:v>2.355712125211892E-2</c:v>
                </c:pt>
                <c:pt idx="3069">
                  <c:v>2.3561382109356391E-2</c:v>
                </c:pt>
                <c:pt idx="3070">
                  <c:v>2.3565633678153411E-2</c:v>
                </c:pt>
                <c:pt idx="3071">
                  <c:v>2.3569875958480438E-2</c:v>
                </c:pt>
                <c:pt idx="3072">
                  <c:v>2.35741089503088E-2</c:v>
                </c:pt>
                <c:pt idx="3073">
                  <c:v>2.3578332653605476E-2</c:v>
                </c:pt>
                <c:pt idx="3074">
                  <c:v>2.3582547068343538E-2</c:v>
                </c:pt>
                <c:pt idx="3075">
                  <c:v>2.358675219449257E-2</c:v>
                </c:pt>
                <c:pt idx="3076">
                  <c:v>2.3590948032022163E-2</c:v>
                </c:pt>
                <c:pt idx="3077">
                  <c:v>2.3594065644971528E-2</c:v>
                </c:pt>
                <c:pt idx="3078">
                  <c:v>2.3598243295635615E-2</c:v>
                </c:pt>
                <c:pt idx="3079">
                  <c:v>2.3602411658147915E-2</c:v>
                </c:pt>
                <c:pt idx="3080">
                  <c:v>2.3606570732486471E-2</c:v>
                </c:pt>
                <c:pt idx="3081">
                  <c:v>2.3614990055689979E-2</c:v>
                </c:pt>
                <c:pt idx="3082">
                  <c:v>2.3615927994526751E-2</c:v>
                </c:pt>
                <c:pt idx="3083">
                  <c:v>2.3620058810893109E-2</c:v>
                </c:pt>
                <c:pt idx="3084">
                  <c:v>2.3624180338401954E-2</c:v>
                </c:pt>
                <c:pt idx="3085">
                  <c:v>2.3628292577028098E-2</c:v>
                </c:pt>
                <c:pt idx="3086">
                  <c:v>2.3632395526739382E-2</c:v>
                </c:pt>
                <c:pt idx="3087">
                  <c:v>2.3636489187508009E-2</c:v>
                </c:pt>
                <c:pt idx="3088">
                  <c:v>2.3640573559306176E-2</c:v>
                </c:pt>
                <c:pt idx="3089">
                  <c:v>2.3644648642100863E-2</c:v>
                </c:pt>
                <c:pt idx="3090">
                  <c:v>2.3646586812172465E-2</c:v>
                </c:pt>
                <c:pt idx="3091">
                  <c:v>2.3650644112375829E-2</c:v>
                </c:pt>
                <c:pt idx="3092">
                  <c:v>2.3654692124624788E-2</c:v>
                </c:pt>
                <c:pt idx="3093">
                  <c:v>2.3658730848886478E-2</c:v>
                </c:pt>
                <c:pt idx="3094">
                  <c:v>2.3662760285136919E-2</c:v>
                </c:pt>
                <c:pt idx="3095">
                  <c:v>2.3666780433347689E-2</c:v>
                </c:pt>
                <c:pt idx="3096">
                  <c:v>2.3670791293488591E-2</c:v>
                </c:pt>
                <c:pt idx="3097">
                  <c:v>2.3674792865533867E-2</c:v>
                </c:pt>
                <c:pt idx="3098">
                  <c:v>2.3678785149455983E-2</c:v>
                </c:pt>
                <c:pt idx="3099">
                  <c:v>2.3681707945337447E-2</c:v>
                </c:pt>
                <c:pt idx="3100">
                  <c:v>2.3685682055677136E-2</c:v>
                </c:pt>
                <c:pt idx="3101">
                  <c:v>2.36896468783774E-2</c:v>
                </c:pt>
                <c:pt idx="3102">
                  <c:v>2.3693602413411299E-2</c:v>
                </c:pt>
                <c:pt idx="3103">
                  <c:v>2.370072444016846E-2</c:v>
                </c:pt>
                <c:pt idx="3104">
                  <c:v>2.3704660184530182E-2</c:v>
                </c:pt>
                <c:pt idx="3105">
                  <c:v>2.3708586639440084E-2</c:v>
                </c:pt>
                <c:pt idx="3106">
                  <c:v>2.3712503804867762E-2</c:v>
                </c:pt>
                <c:pt idx="3107">
                  <c:v>2.3715354704009584E-2</c:v>
                </c:pt>
                <c:pt idx="3108">
                  <c:v>2.3719253697816963E-2</c:v>
                </c:pt>
                <c:pt idx="3109">
                  <c:v>2.3723143402629272E-2</c:v>
                </c:pt>
                <c:pt idx="3110">
                  <c:v>2.3727023818421039E-2</c:v>
                </c:pt>
                <c:pt idx="3111">
                  <c:v>2.3730894945163276E-2</c:v>
                </c:pt>
                <c:pt idx="3112">
                  <c:v>2.3735811716757864E-2</c:v>
                </c:pt>
                <c:pt idx="3113">
                  <c:v>2.3739663855036657E-2</c:v>
                </c:pt>
                <c:pt idx="3114">
                  <c:v>2.3743506703614269E-2</c:v>
                </c:pt>
                <c:pt idx="3115">
                  <c:v>2.3747340262462027E-2</c:v>
                </c:pt>
                <c:pt idx="3116">
                  <c:v>2.3751164531553862E-2</c:v>
                </c:pt>
                <c:pt idx="3117">
                  <c:v>2.3754979510861102E-2</c:v>
                </c:pt>
                <c:pt idx="3118">
                  <c:v>2.3758785200358554E-2</c:v>
                </c:pt>
                <c:pt idx="3119">
                  <c:v>2.3762581600019279E-2</c:v>
                </c:pt>
                <c:pt idx="3120">
                  <c:v>2.3766368709812868E-2</c:v>
                </c:pt>
                <c:pt idx="3121">
                  <c:v>2.3770146529716731E-2</c:v>
                </c:pt>
                <c:pt idx="3122">
                  <c:v>2.3773915059703062E-2</c:v>
                </c:pt>
                <c:pt idx="3123">
                  <c:v>2.3777674299744058E-2</c:v>
                </c:pt>
                <c:pt idx="3124">
                  <c:v>2.3781424249814522E-2</c:v>
                </c:pt>
                <c:pt idx="3125">
                  <c:v>2.3785164909885782E-2</c:v>
                </c:pt>
                <c:pt idx="3126">
                  <c:v>2.3788896279934375E-2</c:v>
                </c:pt>
                <c:pt idx="3127">
                  <c:v>2.3792618359930764E-2</c:v>
                </c:pt>
                <c:pt idx="3128">
                  <c:v>2.3796331149850622E-2</c:v>
                </c:pt>
                <c:pt idx="3129">
                  <c:v>2.3798986768500858E-2</c:v>
                </c:pt>
                <c:pt idx="3130">
                  <c:v>2.3802681398229168E-2</c:v>
                </c:pt>
                <c:pt idx="3131">
                  <c:v>2.3806366738377386E-2</c:v>
                </c:pt>
                <c:pt idx="3132">
                  <c:v>2.381004278892267E-2</c:v>
                </c:pt>
                <c:pt idx="3133">
                  <c:v>2.381475574737393E-2</c:v>
                </c:pt>
                <c:pt idx="3134">
                  <c:v>2.3818412796281982E-2</c:v>
                </c:pt>
                <c:pt idx="3135">
                  <c:v>2.3822060554928425E-2</c:v>
                </c:pt>
                <c:pt idx="3136">
                  <c:v>2.382569902328981E-2</c:v>
                </c:pt>
                <c:pt idx="3137">
                  <c:v>2.382932820134093E-2</c:v>
                </c:pt>
                <c:pt idx="3138">
                  <c:v>2.3832948089053122E-2</c:v>
                </c:pt>
                <c:pt idx="3139">
                  <c:v>2.3836558686403785E-2</c:v>
                </c:pt>
                <c:pt idx="3140">
                  <c:v>2.3840159993365993E-2</c:v>
                </c:pt>
                <c:pt idx="3141">
                  <c:v>2.3843752009914544E-2</c:v>
                </c:pt>
                <c:pt idx="3142">
                  <c:v>2.3845249989991046E-2</c:v>
                </c:pt>
                <c:pt idx="3143">
                  <c:v>2.3848824280689129E-2</c:v>
                </c:pt>
                <c:pt idx="3144">
                  <c:v>2.3852389282057906E-2</c:v>
                </c:pt>
                <c:pt idx="3145">
                  <c:v>2.3855944994072509E-2</c:v>
                </c:pt>
                <c:pt idx="3146">
                  <c:v>2.3859491416708067E-2</c:v>
                </c:pt>
                <c:pt idx="3147">
                  <c:v>2.3863028549940601E-2</c:v>
                </c:pt>
                <c:pt idx="3148">
                  <c:v>2.386655639374613E-2</c:v>
                </c:pt>
                <c:pt idx="3149">
                  <c:v>2.387007494809712E-2</c:v>
                </c:pt>
                <c:pt idx="3150">
                  <c:v>2.3873584212971366E-2</c:v>
                </c:pt>
                <c:pt idx="3151">
                  <c:v>2.3876045690710442E-2</c:v>
                </c:pt>
                <c:pt idx="3152">
                  <c:v>2.3879536809215739E-2</c:v>
                </c:pt>
                <c:pt idx="3153">
                  <c:v>2.388301863875503E-2</c:v>
                </c:pt>
                <c:pt idx="3154">
                  <c:v>2.3886491179303176E-2</c:v>
                </c:pt>
                <c:pt idx="3155">
                  <c:v>2.3893064734019549E-2</c:v>
                </c:pt>
                <c:pt idx="3156">
                  <c:v>2.3896517391345677E-2</c:v>
                </c:pt>
                <c:pt idx="3157">
                  <c:v>2.3899960757859339E-2</c:v>
                </c:pt>
                <c:pt idx="3158">
                  <c:v>2.3903394833533598E-2</c:v>
                </c:pt>
                <c:pt idx="3159">
                  <c:v>2.3905784590411726E-2</c:v>
                </c:pt>
                <c:pt idx="3160">
                  <c:v>2.3909200521800025E-2</c:v>
                </c:pt>
                <c:pt idx="3161">
                  <c:v>2.3912607162865088E-2</c:v>
                </c:pt>
                <c:pt idx="3162">
                  <c:v>2.3916004513580565E-2</c:v>
                </c:pt>
                <c:pt idx="3163">
                  <c:v>2.3919392573922733E-2</c:v>
                </c:pt>
                <c:pt idx="3164">
                  <c:v>2.3923804178649272E-2</c:v>
                </c:pt>
                <c:pt idx="3165">
                  <c:v>2.3927173217788242E-2</c:v>
                </c:pt>
                <c:pt idx="3166">
                  <c:v>2.3930532965896662E-2</c:v>
                </c:pt>
                <c:pt idx="3167">
                  <c:v>2.3933883422950199E-2</c:v>
                </c:pt>
                <c:pt idx="3168">
                  <c:v>2.3937224588927129E-2</c:v>
                </c:pt>
                <c:pt idx="3169">
                  <c:v>2.394055646380313E-2</c:v>
                </c:pt>
                <c:pt idx="3170">
                  <c:v>2.3943879047554739E-2</c:v>
                </c:pt>
                <c:pt idx="3171">
                  <c:v>2.3947192340156759E-2</c:v>
                </c:pt>
                <c:pt idx="3172">
                  <c:v>2.3950496341588336E-2</c:v>
                </c:pt>
                <c:pt idx="3173">
                  <c:v>2.3953791051824276E-2</c:v>
                </c:pt>
                <c:pt idx="3174">
                  <c:v>2.3957076470841117E-2</c:v>
                </c:pt>
                <c:pt idx="3175">
                  <c:v>2.3960352598616268E-2</c:v>
                </c:pt>
                <c:pt idx="3176">
                  <c:v>2.3963619435127141E-2</c:v>
                </c:pt>
                <c:pt idx="3177">
                  <c:v>2.3966876980350275E-2</c:v>
                </c:pt>
                <c:pt idx="3178">
                  <c:v>2.3970125234262209E-2</c:v>
                </c:pt>
                <c:pt idx="3179">
                  <c:v>2.3973364196839483E-2</c:v>
                </c:pt>
                <c:pt idx="3180">
                  <c:v>2.3976593868060378E-2</c:v>
                </c:pt>
                <c:pt idx="3181">
                  <c:v>2.39787889795786E-2</c:v>
                </c:pt>
                <c:pt idx="3182">
                  <c:v>2.398200051840161E-2</c:v>
                </c:pt>
                <c:pt idx="3183">
                  <c:v>2.3985202766389265E-2</c:v>
                </c:pt>
                <c:pt idx="3184">
                  <c:v>2.398839572351873E-2</c:v>
                </c:pt>
                <c:pt idx="3185">
                  <c:v>2.399157938976804E-2</c:v>
                </c:pt>
                <c:pt idx="3186">
                  <c:v>2.3995776775608896E-2</c:v>
                </c:pt>
                <c:pt idx="3187">
                  <c:v>2.3998941406694778E-2</c:v>
                </c:pt>
                <c:pt idx="3188">
                  <c:v>2.4002096746240945E-2</c:v>
                </c:pt>
                <c:pt idx="3189">
                  <c:v>2.4005242794225678E-2</c:v>
                </c:pt>
                <c:pt idx="3190">
                  <c:v>2.4008379550628997E-2</c:v>
                </c:pt>
                <c:pt idx="3191">
                  <c:v>2.4011507015428306E-2</c:v>
                </c:pt>
                <c:pt idx="3192">
                  <c:v>2.4014625188597542E-2</c:v>
                </c:pt>
                <c:pt idx="3193">
                  <c:v>2.4017734070120193E-2</c:v>
                </c:pt>
                <c:pt idx="3194">
                  <c:v>2.4019814292761264E-2</c:v>
                </c:pt>
                <c:pt idx="3195">
                  <c:v>2.4022905048995947E-2</c:v>
                </c:pt>
                <c:pt idx="3196">
                  <c:v>2.4025986514107155E-2</c:v>
                </c:pt>
                <c:pt idx="3197">
                  <c:v>2.4029058688079075E-2</c:v>
                </c:pt>
                <c:pt idx="3198">
                  <c:v>2.4032121570881845E-2</c:v>
                </c:pt>
                <c:pt idx="3199">
                  <c:v>2.4035175162499652E-2</c:v>
                </c:pt>
                <c:pt idx="3200">
                  <c:v>2.403821946291141E-2</c:v>
                </c:pt>
                <c:pt idx="3201">
                  <c:v>2.4041254472093404E-2</c:v>
                </c:pt>
                <c:pt idx="3202">
                  <c:v>2.4044280190026312E-2</c:v>
                </c:pt>
                <c:pt idx="3203">
                  <c:v>2.4046281394406677E-2</c:v>
                </c:pt>
                <c:pt idx="3204">
                  <c:v>2.4049288993130524E-2</c:v>
                </c:pt>
                <c:pt idx="3205">
                  <c:v>2.4052287301135067E-2</c:v>
                </c:pt>
                <c:pt idx="3206">
                  <c:v>2.4055276318398988E-2</c:v>
                </c:pt>
                <c:pt idx="3207">
                  <c:v>2.406028277604572E-2</c:v>
                </c:pt>
                <c:pt idx="3208">
                  <c:v>2.4063252280223924E-2</c:v>
                </c:pt>
                <c:pt idx="3209">
                  <c:v>2.4066212492408867E-2</c:v>
                </c:pt>
                <c:pt idx="3210">
                  <c:v>2.4069163412577088E-2</c:v>
                </c:pt>
                <c:pt idx="3211">
                  <c:v>2.4072105040713818E-2</c:v>
                </c:pt>
                <c:pt idx="3212">
                  <c:v>2.4074026345952439E-2</c:v>
                </c:pt>
                <c:pt idx="3213">
                  <c:v>2.4076949858746047E-2</c:v>
                </c:pt>
                <c:pt idx="3214">
                  <c:v>2.407986408004022E-2</c:v>
                </c:pt>
                <c:pt idx="3215">
                  <c:v>2.408276900981475E-2</c:v>
                </c:pt>
                <c:pt idx="3216">
                  <c:v>2.408910480626527E-2</c:v>
                </c:pt>
                <c:pt idx="3217">
                  <c:v>2.4091988411540682E-2</c:v>
                </c:pt>
                <c:pt idx="3218">
                  <c:v>2.4094862723436413E-2</c:v>
                </c:pt>
                <c:pt idx="3219">
                  <c:v>2.40977277419295E-2</c:v>
                </c:pt>
                <c:pt idx="3220">
                  <c:v>2.4100583467003785E-2</c:v>
                </c:pt>
                <c:pt idx="3221">
                  <c:v>2.410342989863631E-2</c:v>
                </c:pt>
                <c:pt idx="3222">
                  <c:v>2.4106267036804113E-2</c:v>
                </c:pt>
                <c:pt idx="3223">
                  <c:v>2.4109094881490187E-2</c:v>
                </c:pt>
                <c:pt idx="3224">
                  <c:v>2.4108897541108492E-2</c:v>
                </c:pt>
                <c:pt idx="3225">
                  <c:v>2.4114722690330413E-2</c:v>
                </c:pt>
                <c:pt idx="3226">
                  <c:v>2.4117522654443741E-2</c:v>
                </c:pt>
                <c:pt idx="3227">
                  <c:v>2.4120313324992006E-2</c:v>
                </c:pt>
                <c:pt idx="3228">
                  <c:v>2.4123094701957348E-2</c:v>
                </c:pt>
                <c:pt idx="3229">
                  <c:v>2.412586678531765E-2</c:v>
                </c:pt>
                <c:pt idx="3230">
                  <c:v>2.4128629575050811E-2</c:v>
                </c:pt>
                <c:pt idx="3231">
                  <c:v>2.4131383071139823E-2</c:v>
                </c:pt>
                <c:pt idx="3232">
                  <c:v>2.413412727356597E-2</c:v>
                </c:pt>
                <c:pt idx="3233">
                  <c:v>2.4133859211317117E-2</c:v>
                </c:pt>
                <c:pt idx="3234">
                  <c:v>2.4136586270992338E-2</c:v>
                </c:pt>
                <c:pt idx="3235">
                  <c:v>2.4139304038749115E-2</c:v>
                </c:pt>
                <c:pt idx="3236">
                  <c:v>2.4142012514569003E-2</c:v>
                </c:pt>
                <c:pt idx="3237">
                  <c:v>2.4147708880022472E-2</c:v>
                </c:pt>
                <c:pt idx="3238">
                  <c:v>2.4150397320043714E-2</c:v>
                </c:pt>
                <c:pt idx="3239">
                  <c:v>2.4153076466261782E-2</c:v>
                </c:pt>
                <c:pt idx="3240">
                  <c:v>2.4155746318658817E-2</c:v>
                </c:pt>
                <c:pt idx="3241">
                  <c:v>2.4158406877213563E-2</c:v>
                </c:pt>
                <c:pt idx="3242">
                  <c:v>2.4161058141909008E-2</c:v>
                </c:pt>
                <c:pt idx="3243">
                  <c:v>2.4163700112724742E-2</c:v>
                </c:pt>
                <c:pt idx="3244">
                  <c:v>2.4166332789641212E-2</c:v>
                </c:pt>
                <c:pt idx="3245">
                  <c:v>2.4168956172639706E-2</c:v>
                </c:pt>
                <c:pt idx="3246">
                  <c:v>2.4167591524281384E-2</c:v>
                </c:pt>
                <c:pt idx="3247">
                  <c:v>2.4170198276796562E-2</c:v>
                </c:pt>
                <c:pt idx="3248">
                  <c:v>2.417279573775577E-2</c:v>
                </c:pt>
                <c:pt idx="3249">
                  <c:v>2.4175383907141246E-2</c:v>
                </c:pt>
                <c:pt idx="3250">
                  <c:v>2.4177080132880811E-2</c:v>
                </c:pt>
                <c:pt idx="3251">
                  <c:v>2.4182622802634099E-2</c:v>
                </c:pt>
                <c:pt idx="3252">
                  <c:v>2.4186170151897165E-2</c:v>
                </c:pt>
                <c:pt idx="3253">
                  <c:v>2.4187725150179008E-2</c:v>
                </c:pt>
                <c:pt idx="3254">
                  <c:v>2.4190262385544992E-2</c:v>
                </c:pt>
                <c:pt idx="3255">
                  <c:v>2.4192790328618326E-2</c:v>
                </c:pt>
                <c:pt idx="3256">
                  <c:v>2.4195308979378806E-2</c:v>
                </c:pt>
                <c:pt idx="3257">
                  <c:v>2.4197818337811497E-2</c:v>
                </c:pt>
                <c:pt idx="3258">
                  <c:v>2.4200318403896203E-2</c:v>
                </c:pt>
                <c:pt idx="3259">
                  <c:v>2.4203797241810959E-2</c:v>
                </c:pt>
                <c:pt idx="3260">
                  <c:v>2.4206278225699724E-2</c:v>
                </c:pt>
                <c:pt idx="3261">
                  <c:v>2.4208749916581257E-2</c:v>
                </c:pt>
                <c:pt idx="3262">
                  <c:v>2.4211212314439047E-2</c:v>
                </c:pt>
                <c:pt idx="3263">
                  <c:v>2.4212679348507817E-2</c:v>
                </c:pt>
                <c:pt idx="3264">
                  <c:v>2.4215123660146186E-2</c:v>
                </c:pt>
                <c:pt idx="3265">
                  <c:v>2.4218252692296931E-2</c:v>
                </c:pt>
                <c:pt idx="3266">
                  <c:v>2.4219984406001233E-2</c:v>
                </c:pt>
                <c:pt idx="3267">
                  <c:v>2.4222400840184531E-2</c:v>
                </c:pt>
                <c:pt idx="3268">
                  <c:v>2.4225791547111471E-2</c:v>
                </c:pt>
                <c:pt idx="3269">
                  <c:v>2.4228188893319107E-2</c:v>
                </c:pt>
                <c:pt idx="3270">
                  <c:v>2.4230576946362246E-2</c:v>
                </c:pt>
                <c:pt idx="3271">
                  <c:v>2.4232955706228722E-2</c:v>
                </c:pt>
                <c:pt idx="3272">
                  <c:v>2.4235325172899416E-2</c:v>
                </c:pt>
                <c:pt idx="3273">
                  <c:v>2.4237685346356959E-2</c:v>
                </c:pt>
                <c:pt idx="3274">
                  <c:v>2.4240036226587443E-2</c:v>
                </c:pt>
                <c:pt idx="3275">
                  <c:v>2.4242377813570883E-2</c:v>
                </c:pt>
                <c:pt idx="3276">
                  <c:v>2.4244710107292514E-2</c:v>
                </c:pt>
                <c:pt idx="3277">
                  <c:v>2.4247033107735825E-2</c:v>
                </c:pt>
                <c:pt idx="3278">
                  <c:v>2.4249346814884304E-2</c:v>
                </c:pt>
                <c:pt idx="3279">
                  <c:v>2.4251651228720576E-2</c:v>
                </c:pt>
                <c:pt idx="3280">
                  <c:v>2.4253946349230743E-2</c:v>
                </c:pt>
                <c:pt idx="3281">
                  <c:v>2.4256232176395682E-2</c:v>
                </c:pt>
                <c:pt idx="3282">
                  <c:v>2.42585087102015E-2</c:v>
                </c:pt>
                <c:pt idx="3283">
                  <c:v>2.4260775950629941E-2</c:v>
                </c:pt>
                <c:pt idx="3284">
                  <c:v>2.4263033897666243E-2</c:v>
                </c:pt>
                <c:pt idx="3285">
                  <c:v>2.4264307618634566E-2</c:v>
                </c:pt>
                <c:pt idx="3286">
                  <c:v>2.4266547492137063E-2</c:v>
                </c:pt>
                <c:pt idx="3287">
                  <c:v>2.4268778072808441E-2</c:v>
                </c:pt>
                <c:pt idx="3288">
                  <c:v>2.4270999360636404E-2</c:v>
                </c:pt>
                <c:pt idx="3289">
                  <c:v>2.427418423140518E-2</c:v>
                </c:pt>
                <c:pt idx="3290">
                  <c:v>2.4276386417753239E-2</c:v>
                </c:pt>
                <c:pt idx="3291">
                  <c:v>2.4278579310600547E-2</c:v>
                </c:pt>
                <c:pt idx="3292">
                  <c:v>2.4280762909927121E-2</c:v>
                </c:pt>
                <c:pt idx="3293">
                  <c:v>2.4282937215719926E-2</c:v>
                </c:pt>
                <c:pt idx="3294">
                  <c:v>2.4285102227963321E-2</c:v>
                </c:pt>
                <c:pt idx="3295">
                  <c:v>2.4287257946645144E-2</c:v>
                </c:pt>
                <c:pt idx="3296">
                  <c:v>2.4289404371744542E-2</c:v>
                </c:pt>
                <c:pt idx="3297">
                  <c:v>2.4291541503248481E-2</c:v>
                </c:pt>
                <c:pt idx="3298">
                  <c:v>2.4292701129118008E-2</c:v>
                </c:pt>
                <c:pt idx="3299">
                  <c:v>2.4294820194650284E-2</c:v>
                </c:pt>
                <c:pt idx="3300">
                  <c:v>2.4296929967157311E-2</c:v>
                </c:pt>
                <c:pt idx="3301">
                  <c:v>2.4299030446623276E-2</c:v>
                </c:pt>
                <c:pt idx="3302">
                  <c:v>2.4296589273619853E-2</c:v>
                </c:pt>
                <c:pt idx="3303">
                  <c:v>2.4302534649687679E-2</c:v>
                </c:pt>
                <c:pt idx="3304">
                  <c:v>2.4304606446702515E-2</c:v>
                </c:pt>
                <c:pt idx="3305">
                  <c:v>2.4306668951229682E-2</c:v>
                </c:pt>
                <c:pt idx="3306">
                  <c:v>2.4308722163256746E-2</c:v>
                </c:pt>
                <c:pt idx="3307">
                  <c:v>2.4310766082766833E-2</c:v>
                </c:pt>
                <c:pt idx="3308">
                  <c:v>2.4312800709746618E-2</c:v>
                </c:pt>
                <c:pt idx="3309">
                  <c:v>2.4314826044184557E-2</c:v>
                </c:pt>
                <c:pt idx="3310">
                  <c:v>2.4316842086064661E-2</c:v>
                </c:pt>
                <c:pt idx="3311">
                  <c:v>2.4320771466881483E-2</c:v>
                </c:pt>
                <c:pt idx="3312">
                  <c:v>2.4322767864990921E-2</c:v>
                </c:pt>
                <c:pt idx="3313">
                  <c:v>2.4324754969269433E-2</c:v>
                </c:pt>
                <c:pt idx="3314">
                  <c:v>2.4326732779703122E-2</c:v>
                </c:pt>
                <c:pt idx="3315">
                  <c:v>2.4328302983419557E-2</c:v>
                </c:pt>
                <c:pt idx="3316">
                  <c:v>2.4330260082710976E-2</c:v>
                </c:pt>
                <c:pt idx="3317">
                  <c:v>2.4332207888729428E-2</c:v>
                </c:pt>
                <c:pt idx="3318">
                  <c:v>2.4334146401457351E-2</c:v>
                </c:pt>
                <c:pt idx="3319">
                  <c:v>2.4339220934490969E-2</c:v>
                </c:pt>
                <c:pt idx="3320">
                  <c:v>2.4338951920021824E-2</c:v>
                </c:pt>
                <c:pt idx="3321">
                  <c:v>2.4340862017733129E-2</c:v>
                </c:pt>
                <c:pt idx="3322">
                  <c:v>2.4342762821486653E-2</c:v>
                </c:pt>
                <c:pt idx="3323">
                  <c:v>2.4344654331265026E-2</c:v>
                </c:pt>
                <c:pt idx="3324">
                  <c:v>2.4346536547059556E-2</c:v>
                </c:pt>
                <c:pt idx="3325">
                  <c:v>2.4348409468851993E-2</c:v>
                </c:pt>
                <c:pt idx="3326">
                  <c:v>2.4350273096631916E-2</c:v>
                </c:pt>
                <c:pt idx="3327">
                  <c:v>2.4352127430387158E-2</c:v>
                </c:pt>
                <c:pt idx="3328">
                  <c:v>2.4353972470101213E-2</c:v>
                </c:pt>
                <c:pt idx="3329">
                  <c:v>2.435580821576452E-2</c:v>
                </c:pt>
                <c:pt idx="3330">
                  <c:v>2.435763466736144E-2</c:v>
                </c:pt>
                <c:pt idx="3331">
                  <c:v>2.4359451824880682E-2</c:v>
                </c:pt>
                <c:pt idx="3332">
                  <c:v>2.4361259688309204E-2</c:v>
                </c:pt>
                <c:pt idx="3333">
                  <c:v>2.4363058257632245E-2</c:v>
                </c:pt>
                <c:pt idx="3334">
                  <c:v>2.4364847532839375E-2</c:v>
                </c:pt>
                <c:pt idx="3335">
                  <c:v>2.436662751391756E-2</c:v>
                </c:pt>
                <c:pt idx="3336">
                  <c:v>2.4368398200853764E-2</c:v>
                </c:pt>
                <c:pt idx="3337">
                  <c:v>2.4369212400881066E-2</c:v>
                </c:pt>
                <c:pt idx="3338">
                  <c:v>2.4370965045080507E-2</c:v>
                </c:pt>
                <c:pt idx="3339">
                  <c:v>2.4372708395719742E-2</c:v>
                </c:pt>
                <c:pt idx="3340">
                  <c:v>2.4378224611255616E-2</c:v>
                </c:pt>
                <c:pt idx="3341">
                  <c:v>2.437711222296635E-2</c:v>
                </c:pt>
                <c:pt idx="3342">
                  <c:v>2.4378827144790897E-2</c:v>
                </c:pt>
                <c:pt idx="3343">
                  <c:v>2.4380532772383969E-2</c:v>
                </c:pt>
                <c:pt idx="3344">
                  <c:v>2.4382229105738625E-2</c:v>
                </c:pt>
                <c:pt idx="3345">
                  <c:v>2.4383916144840083E-2</c:v>
                </c:pt>
                <c:pt idx="3346">
                  <c:v>2.4385593889677926E-2</c:v>
                </c:pt>
                <c:pt idx="3347">
                  <c:v>2.4387262340238244E-2</c:v>
                </c:pt>
                <c:pt idx="3348">
                  <c:v>2.4388921496511486E-2</c:v>
                </c:pt>
                <c:pt idx="3349">
                  <c:v>2.4390571358485481E-2</c:v>
                </c:pt>
                <c:pt idx="3350">
                  <c:v>2.4390331812123023E-2</c:v>
                </c:pt>
                <c:pt idx="3351">
                  <c:v>2.4391964192683524E-2</c:v>
                </c:pt>
                <c:pt idx="3352">
                  <c:v>2.4393587280150619E-2</c:v>
                </c:pt>
                <c:pt idx="3353">
                  <c:v>2.4397057152665366E-2</c:v>
                </c:pt>
                <c:pt idx="3354">
                  <c:v>2.4397034031607312E-2</c:v>
                </c:pt>
                <c:pt idx="3355">
                  <c:v>2.4398400783888441E-2</c:v>
                </c:pt>
                <c:pt idx="3356">
                  <c:v>2.4399986698875331E-2</c:v>
                </c:pt>
                <c:pt idx="3357">
                  <c:v>2.4401563320714637E-2</c:v>
                </c:pt>
                <c:pt idx="3358">
                  <c:v>2.4403130649396587E-2</c:v>
                </c:pt>
                <c:pt idx="3359">
                  <c:v>2.4403753615963648E-2</c:v>
                </c:pt>
                <c:pt idx="3360">
                  <c:v>2.4405302917378899E-2</c:v>
                </c:pt>
                <c:pt idx="3361">
                  <c:v>2.4406842926224737E-2</c:v>
                </c:pt>
                <c:pt idx="3362">
                  <c:v>2.4408373642491286E-2</c:v>
                </c:pt>
                <c:pt idx="3363">
                  <c:v>2.4412693518200003E-2</c:v>
                </c:pt>
                <c:pt idx="3364">
                  <c:v>2.44142039643108E-2</c:v>
                </c:pt>
                <c:pt idx="3365">
                  <c:v>2.4415705115940756E-2</c:v>
                </c:pt>
                <c:pt idx="3366">
                  <c:v>2.4417196973082925E-2</c:v>
                </c:pt>
                <c:pt idx="3367">
                  <c:v>2.4417748980602592E-2</c:v>
                </c:pt>
                <c:pt idx="3368">
                  <c:v>2.4419222812961605E-2</c:v>
                </c:pt>
                <c:pt idx="3369">
                  <c:v>2.4420687351424854E-2</c:v>
                </c:pt>
                <c:pt idx="3370">
                  <c:v>2.4422142595980044E-2</c:v>
                </c:pt>
                <c:pt idx="3371">
                  <c:v>2.4424516841081618E-2</c:v>
                </c:pt>
                <c:pt idx="3372">
                  <c:v>2.4425952931066808E-2</c:v>
                </c:pt>
                <c:pt idx="3373">
                  <c:v>2.442737972648688E-2</c:v>
                </c:pt>
                <c:pt idx="3374">
                  <c:v>2.4428797227338359E-2</c:v>
                </c:pt>
                <c:pt idx="3375">
                  <c:v>2.4430205433607344E-2</c:v>
                </c:pt>
                <c:pt idx="3376">
                  <c:v>2.4431604345282538E-2</c:v>
                </c:pt>
                <c:pt idx="3377">
                  <c:v>2.4432993962356993E-2</c:v>
                </c:pt>
                <c:pt idx="3378">
                  <c:v>2.4434374284820277E-2</c:v>
                </c:pt>
                <c:pt idx="3379">
                  <c:v>2.4435745312658495E-2</c:v>
                </c:pt>
                <c:pt idx="3380">
                  <c:v>2.4437107045868166E-2</c:v>
                </c:pt>
                <c:pt idx="3381">
                  <c:v>2.443845948443539E-2</c:v>
                </c:pt>
                <c:pt idx="3382">
                  <c:v>2.4439802628353217E-2</c:v>
                </c:pt>
                <c:pt idx="3383">
                  <c:v>2.4441136477610349E-2</c:v>
                </c:pt>
                <c:pt idx="3384">
                  <c:v>2.4442461032196362E-2</c:v>
                </c:pt>
                <c:pt idx="3385">
                  <c:v>2.4443776292105174E-2</c:v>
                </c:pt>
                <c:pt idx="3386">
                  <c:v>2.4445082257323749E-2</c:v>
                </c:pt>
                <c:pt idx="3387">
                  <c:v>2.4446378927846877E-2</c:v>
                </c:pt>
                <c:pt idx="3388">
                  <c:v>2.4447666303663261E-2</c:v>
                </c:pt>
                <c:pt idx="3389">
                  <c:v>2.444802638683137E-2</c:v>
                </c:pt>
                <c:pt idx="3390">
                  <c:v>2.4449295751171603E-2</c:v>
                </c:pt>
                <c:pt idx="3391">
                  <c:v>2.4450555821403496E-2</c:v>
                </c:pt>
                <c:pt idx="3392">
                  <c:v>2.4451806597519141E-2</c:v>
                </c:pt>
                <c:pt idx="3393">
                  <c:v>2.4456710724533211E-2</c:v>
                </c:pt>
                <c:pt idx="3394">
                  <c:v>2.4455195369206456E-2</c:v>
                </c:pt>
                <c:pt idx="3395">
                  <c:v>2.4456417681824535E-2</c:v>
                </c:pt>
                <c:pt idx="3396">
                  <c:v>2.4457630699662884E-2</c:v>
                </c:pt>
                <c:pt idx="3397">
                  <c:v>2.445883442271542E-2</c:v>
                </c:pt>
                <c:pt idx="3398">
                  <c:v>2.4460028850972593E-2</c:v>
                </c:pt>
                <c:pt idx="3399">
                  <c:v>2.4461213984426574E-2</c:v>
                </c:pt>
                <c:pt idx="3400">
                  <c:v>2.4462389823069548E-2</c:v>
                </c:pt>
                <c:pt idx="3401">
                  <c:v>2.4463556366891088E-2</c:v>
                </c:pt>
                <c:pt idx="3402">
                  <c:v>2.4463803180323217E-2</c:v>
                </c:pt>
                <c:pt idx="3403">
                  <c:v>2.4464951720586554E-2</c:v>
                </c:pt>
                <c:pt idx="3404">
                  <c:v>2.4466090966628232E-2</c:v>
                </c:pt>
                <c:pt idx="3405">
                  <c:v>2.4467220918445619E-2</c:v>
                </c:pt>
                <c:pt idx="3406">
                  <c:v>2.4468341576029933E-2</c:v>
                </c:pt>
                <c:pt idx="3407">
                  <c:v>2.4469452939370629E-2</c:v>
                </c:pt>
                <c:pt idx="3408">
                  <c:v>2.4470555008461559E-2</c:v>
                </c:pt>
                <c:pt idx="3409">
                  <c:v>2.4471647783296576E-2</c:v>
                </c:pt>
                <c:pt idx="3410">
                  <c:v>2.4472731263866017E-2</c:v>
                </c:pt>
                <c:pt idx="3411">
                  <c:v>2.4472900296571787E-2</c:v>
                </c:pt>
                <c:pt idx="3412">
                  <c:v>2.447396578025085E-2</c:v>
                </c:pt>
                <c:pt idx="3413">
                  <c:v>2.447502197026985E-2</c:v>
                </c:pt>
                <c:pt idx="3414">
                  <c:v>2.4476068866621681E-2</c:v>
                </c:pt>
                <c:pt idx="3415">
                  <c:v>2.4478912019775114E-2</c:v>
                </c:pt>
                <c:pt idx="3416">
                  <c:v>2.4479939140339368E-2</c:v>
                </c:pt>
                <c:pt idx="3417">
                  <c:v>2.4480956965961413E-2</c:v>
                </c:pt>
                <c:pt idx="3418">
                  <c:v>2.4481965496630825E-2</c:v>
                </c:pt>
                <c:pt idx="3419">
                  <c:v>2.448206434583482E-2</c:v>
                </c:pt>
                <c:pt idx="3420">
                  <c:v>2.448305488334793E-2</c:v>
                </c:pt>
                <c:pt idx="3421">
                  <c:v>2.4484036126517287E-2</c:v>
                </c:pt>
                <c:pt idx="3422">
                  <c:v>2.4485008075333225E-2</c:v>
                </c:pt>
                <c:pt idx="3423">
                  <c:v>2.4485970729789593E-2</c:v>
                </c:pt>
                <c:pt idx="3424">
                  <c:v>2.4487821486265771E-2</c:v>
                </c:pt>
                <c:pt idx="3425">
                  <c:v>2.4488764952077333E-2</c:v>
                </c:pt>
                <c:pt idx="3426">
                  <c:v>2.4489699122881525E-2</c:v>
                </c:pt>
                <c:pt idx="3427">
                  <c:v>2.4490623998670521E-2</c:v>
                </c:pt>
                <c:pt idx="3428">
                  <c:v>2.4491539579442591E-2</c:v>
                </c:pt>
                <c:pt idx="3429">
                  <c:v>2.4492445865187302E-2</c:v>
                </c:pt>
                <c:pt idx="3430">
                  <c:v>2.4493342855898576E-2</c:v>
                </c:pt>
                <c:pt idx="3431">
                  <c:v>2.4494230551569456E-2</c:v>
                </c:pt>
                <c:pt idx="3432">
                  <c:v>2.4495108952195605E-2</c:v>
                </c:pt>
                <c:pt idx="3433">
                  <c:v>2.4495978057770939E-2</c:v>
                </c:pt>
                <c:pt idx="3434">
                  <c:v>2.4496837868286769E-2</c:v>
                </c:pt>
                <c:pt idx="3435">
                  <c:v>2.4497688383738749E-2</c:v>
                </c:pt>
                <c:pt idx="3436">
                  <c:v>2.4498529604121667E-2</c:v>
                </c:pt>
                <c:pt idx="3437">
                  <c:v>2.4499361529426833E-2</c:v>
                </c:pt>
                <c:pt idx="3438">
                  <c:v>2.4500184159649902E-2</c:v>
                </c:pt>
                <c:pt idx="3439">
                  <c:v>2.4500997494786535E-2</c:v>
                </c:pt>
                <c:pt idx="3440">
                  <c:v>2.4501801534829774E-2</c:v>
                </c:pt>
                <c:pt idx="3441">
                  <c:v>2.4501709167341477E-2</c:v>
                </c:pt>
                <c:pt idx="3442">
                  <c:v>2.4502495227780197E-2</c:v>
                </c:pt>
                <c:pt idx="3443">
                  <c:v>2.4503271993736368E-2</c:v>
                </c:pt>
                <c:pt idx="3444">
                  <c:v>2.4504039465206479E-2</c:v>
                </c:pt>
                <c:pt idx="3445">
                  <c:v>2.4504797642185262E-2</c:v>
                </c:pt>
                <c:pt idx="3446">
                  <c:v>2.4506430577805667E-2</c:v>
                </c:pt>
                <c:pt idx="3447">
                  <c:v>2.4507169552037907E-2</c:v>
                </c:pt>
                <c:pt idx="3448">
                  <c:v>2.4507899231132446E-2</c:v>
                </c:pt>
                <c:pt idx="3449">
                  <c:v>2.4508619615084066E-2</c:v>
                </c:pt>
                <c:pt idx="3450">
                  <c:v>2.4509330703888429E-2</c:v>
                </c:pt>
                <c:pt idx="3451">
                  <c:v>2.4510032497540316E-2</c:v>
                </c:pt>
                <c:pt idx="3452">
                  <c:v>2.4510724996034516E-2</c:v>
                </c:pt>
                <c:pt idx="3453">
                  <c:v>2.4511408199365817E-2</c:v>
                </c:pt>
                <c:pt idx="3454">
                  <c:v>2.4510323837241721E-2</c:v>
                </c:pt>
                <c:pt idx="3455">
                  <c:v>2.4510989687716922E-2</c:v>
                </c:pt>
                <c:pt idx="3456">
                  <c:v>2.4511646244277152E-2</c:v>
                </c:pt>
                <c:pt idx="3457">
                  <c:v>2.4512293506916194E-2</c:v>
                </c:pt>
                <c:pt idx="3458">
                  <c:v>2.4512931475628719E-2</c:v>
                </c:pt>
                <c:pt idx="3459">
                  <c:v>2.4513560150411173E-2</c:v>
                </c:pt>
                <c:pt idx="3460">
                  <c:v>2.4514179531259117E-2</c:v>
                </c:pt>
                <c:pt idx="3461">
                  <c:v>2.4514789618168109E-2</c:v>
                </c:pt>
                <c:pt idx="3462">
                  <c:v>2.4515390411134597E-2</c:v>
                </c:pt>
                <c:pt idx="3463">
                  <c:v>2.4515108336363733E-2</c:v>
                </c:pt>
                <c:pt idx="3464">
                  <c:v>2.4515691165715257E-2</c:v>
                </c:pt>
                <c:pt idx="3465">
                  <c:v>2.4516264701741119E-2</c:v>
                </c:pt>
                <c:pt idx="3466">
                  <c:v>2.4516828944436832E-2</c:v>
                </c:pt>
                <c:pt idx="3467">
                  <c:v>2.4519997051369341E-2</c:v>
                </c:pt>
                <c:pt idx="3468">
                  <c:v>2.4520540826719305E-2</c:v>
                </c:pt>
                <c:pt idx="3469">
                  <c:v>2.4521075306839467E-2</c:v>
                </c:pt>
                <c:pt idx="3470">
                  <c:v>2.4521600491722875E-2</c:v>
                </c:pt>
                <c:pt idx="3471">
                  <c:v>2.4522116381366924E-2</c:v>
                </c:pt>
                <c:pt idx="3472">
                  <c:v>2.4521755084806342E-2</c:v>
                </c:pt>
                <c:pt idx="3473">
                  <c:v>2.4522253014092714E-2</c:v>
                </c:pt>
                <c:pt idx="3474">
                  <c:v>2.4522741648761268E-2</c:v>
                </c:pt>
                <c:pt idx="3475">
                  <c:v>2.4523220988804967E-2</c:v>
                </c:pt>
                <c:pt idx="3476">
                  <c:v>2.452455640087076E-2</c:v>
                </c:pt>
                <c:pt idx="3477">
                  <c:v>2.452501651900392E-2</c:v>
                </c:pt>
                <c:pt idx="3478">
                  <c:v>2.4525467341872522E-2</c:v>
                </c:pt>
                <c:pt idx="3479">
                  <c:v>2.4525908869473957E-2</c:v>
                </c:pt>
                <c:pt idx="3480">
                  <c:v>2.4526341101808229E-2</c:v>
                </c:pt>
                <c:pt idx="3481">
                  <c:v>2.4526764038866649E-2</c:v>
                </c:pt>
                <c:pt idx="3482">
                  <c:v>2.4527177680650082E-2</c:v>
                </c:pt>
                <c:pt idx="3483">
                  <c:v>2.4527582027155059E-2</c:v>
                </c:pt>
                <c:pt idx="3484">
                  <c:v>2.4527977078376357E-2</c:v>
                </c:pt>
                <c:pt idx="3485">
                  <c:v>2.4528362834314855E-2</c:v>
                </c:pt>
                <c:pt idx="3486">
                  <c:v>2.4528739294966202E-2</c:v>
                </c:pt>
                <c:pt idx="3487">
                  <c:v>2.452910646032519E-2</c:v>
                </c:pt>
                <c:pt idx="3488">
                  <c:v>2.452946433039355E-2</c:v>
                </c:pt>
                <c:pt idx="3489">
                  <c:v>2.4529812905166076E-2</c:v>
                </c:pt>
                <c:pt idx="3490">
                  <c:v>2.4530152184641895E-2</c:v>
                </c:pt>
                <c:pt idx="3491">
                  <c:v>2.4530482168816661E-2</c:v>
                </c:pt>
                <c:pt idx="3492">
                  <c:v>2.453080285768864E-2</c:v>
                </c:pt>
                <c:pt idx="3493">
                  <c:v>2.4530259725584331E-2</c:v>
                </c:pt>
                <c:pt idx="3494">
                  <c:v>2.453056246723059E-2</c:v>
                </c:pt>
                <c:pt idx="3495">
                  <c:v>2.4530855914196657E-2</c:v>
                </c:pt>
                <c:pt idx="3496">
                  <c:v>2.4531140066486923E-2</c:v>
                </c:pt>
                <c:pt idx="3497">
                  <c:v>2.4531414924094368E-2</c:v>
                </c:pt>
                <c:pt idx="3498">
                  <c:v>2.4532531789452482E-2</c:v>
                </c:pt>
                <c:pt idx="3499">
                  <c:v>2.4532787411148466E-2</c:v>
                </c:pt>
                <c:pt idx="3500">
                  <c:v>2.4533033737526026E-2</c:v>
                </c:pt>
                <c:pt idx="3501">
                  <c:v>2.4533270768583415E-2</c:v>
                </c:pt>
                <c:pt idx="3502">
                  <c:v>2.4533498504317165E-2</c:v>
                </c:pt>
                <c:pt idx="3503">
                  <c:v>2.453371694472814E-2</c:v>
                </c:pt>
                <c:pt idx="3504">
                  <c:v>2.4533926089814608E-2</c:v>
                </c:pt>
                <c:pt idx="3505">
                  <c:v>2.4534125939573957E-2</c:v>
                </c:pt>
                <c:pt idx="3506">
                  <c:v>2.4532624245346746E-2</c:v>
                </c:pt>
                <c:pt idx="3507">
                  <c:v>2.4532806807544105E-2</c:v>
                </c:pt>
                <c:pt idx="3508">
                  <c:v>2.4532980075675503E-2</c:v>
                </c:pt>
                <c:pt idx="3509">
                  <c:v>2.4533144049737388E-2</c:v>
                </c:pt>
                <c:pt idx="3510">
                  <c:v>2.4534163501205335E-2</c:v>
                </c:pt>
                <c:pt idx="3511">
                  <c:v>2.4533464126364812E-2</c:v>
                </c:pt>
                <c:pt idx="3512">
                  <c:v>2.4533598890486452E-2</c:v>
                </c:pt>
                <c:pt idx="3513">
                  <c:v>2.4533724360535913E-2</c:v>
                </c:pt>
                <c:pt idx="3514">
                  <c:v>2.4533840536510532E-2</c:v>
                </c:pt>
                <c:pt idx="3515">
                  <c:v>2.4533107237670642E-2</c:v>
                </c:pt>
                <c:pt idx="3516">
                  <c:v>2.4533205482682768E-2</c:v>
                </c:pt>
                <c:pt idx="3517">
                  <c:v>2.4533294434249779E-2</c:v>
                </c:pt>
                <c:pt idx="3518">
                  <c:v>2.4533374092369879E-2</c:v>
                </c:pt>
                <c:pt idx="3519">
                  <c:v>2.4537631948171032E-2</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val>
          <c:smooth val="0"/>
        </c:ser>
        <c:dLbls>
          <c:showLegendKey val="0"/>
          <c:showVal val="0"/>
          <c:showCatName val="0"/>
          <c:showSerName val="0"/>
          <c:showPercent val="0"/>
          <c:showBubbleSize val="0"/>
        </c:dLbls>
        <c:marker val="1"/>
        <c:smooth val="0"/>
        <c:axId val="361542400"/>
        <c:axId val="361544320"/>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8"/>
                <c:pt idx="0">
                  <c:v>41822</c:v>
                </c:pt>
                <c:pt idx="1">
                  <c:v>41855</c:v>
                </c:pt>
                <c:pt idx="2">
                  <c:v>41884</c:v>
                </c:pt>
                <c:pt idx="3">
                  <c:v>41914</c:v>
                </c:pt>
                <c:pt idx="4">
                  <c:v>41946</c:v>
                </c:pt>
                <c:pt idx="5">
                  <c:v>41975</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2.47E-3</c:v>
                </c:pt>
                <c:pt idx="1">
                  <c:v>2.2500000000000003E-3</c:v>
                </c:pt>
                <c:pt idx="2">
                  <c:v>2.0700000000000002E-3</c:v>
                </c:pt>
                <c:pt idx="3">
                  <c:v>1.92E-3</c:v>
                </c:pt>
                <c:pt idx="4">
                  <c:v>1.9300000000000001E-3</c:v>
                </c:pt>
                <c:pt idx="5">
                  <c:v>1.8599999999999999E-3</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61542400"/>
        <c:axId val="361544320"/>
      </c:scatterChart>
      <c:dateAx>
        <c:axId val="361542400"/>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61544320"/>
        <c:crosses val="autoZero"/>
        <c:auto val="1"/>
        <c:lblOffset val="100"/>
        <c:baseTimeUnit val="days"/>
        <c:majorUnit val="3"/>
        <c:majorTimeUnit val="months"/>
        <c:minorUnit val="1"/>
        <c:minorTimeUnit val="years"/>
      </c:dateAx>
      <c:valAx>
        <c:axId val="361544320"/>
        <c:scaling>
          <c:orientation val="minMax"/>
          <c:max val="4.4999999999999997E-3"/>
          <c:min val="0"/>
        </c:scaling>
        <c:delete val="0"/>
        <c:axPos val="l"/>
        <c:majorGridlines/>
        <c:numFmt formatCode="0.00%" sourceLinked="0"/>
        <c:majorTickMark val="out"/>
        <c:minorTickMark val="none"/>
        <c:tickLblPos val="nextTo"/>
        <c:crossAx val="361542400"/>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Monitor!$V$16:$V$3549</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Monitor!$X$16:$X$3549</c:f>
              <c:numCache>
                <c:formatCode>0.0000%</c:formatCode>
                <c:ptCount val="3534"/>
                <c:pt idx="0">
                  <c:v>5.3391592005169741E-3</c:v>
                </c:pt>
                <c:pt idx="1">
                  <c:v>5.3245565299242514E-3</c:v>
                </c:pt>
                <c:pt idx="2">
                  <c:v>5.2953511904973993E-3</c:v>
                </c:pt>
                <c:pt idx="3">
                  <c:v>5.2515431858335404E-3</c:v>
                </c:pt>
                <c:pt idx="4">
                  <c:v>5.1153243329427056E-3</c:v>
                </c:pt>
                <c:pt idx="5">
                  <c:v>4.9302846477417006E-3</c:v>
                </c:pt>
                <c:pt idx="6">
                  <c:v>4.813463432320475E-3</c:v>
                </c:pt>
                <c:pt idx="7">
                  <c:v>4.6820396100955008E-3</c:v>
                </c:pt>
                <c:pt idx="8">
                  <c:v>4.5360131973737339E-3</c:v>
                </c:pt>
                <c:pt idx="9">
                  <c:v>4.1953340215439283E-3</c:v>
                </c:pt>
                <c:pt idx="10">
                  <c:v>3.8128719016494728E-3</c:v>
                </c:pt>
                <c:pt idx="11">
                  <c:v>3.6357720886748268E-3</c:v>
                </c:pt>
                <c:pt idx="12">
                  <c:v>3.4860090059396498E-3</c:v>
                </c:pt>
                <c:pt idx="13">
                  <c:v>3.3635826195510532E-3</c:v>
                </c:pt>
                <c:pt idx="14">
                  <c:v>3.2098806578062522E-3</c:v>
                </c:pt>
                <c:pt idx="15">
                  <c:v>3.143202555273561E-3</c:v>
                </c:pt>
                <c:pt idx="16">
                  <c:v>3.1332132543671065E-3</c:v>
                </c:pt>
                <c:pt idx="17">
                  <c:v>3.1263144702631251E-3</c:v>
                </c:pt>
                <c:pt idx="18">
                  <c:v>3.1225062025619366E-3</c:v>
                </c:pt>
                <c:pt idx="19">
                  <c:v>3.1252185189067916E-3</c:v>
                </c:pt>
                <c:pt idx="20">
                  <c:v>3.1381782965844707E-3</c:v>
                </c:pt>
                <c:pt idx="21">
                  <c:v>3.1498226116166705E-3</c:v>
                </c:pt>
                <c:pt idx="22">
                  <c:v>3.1637194977385263E-3</c:v>
                </c:pt>
                <c:pt idx="23">
                  <c:v>3.1765171703401762E-3</c:v>
                </c:pt>
                <c:pt idx="24">
                  <c:v>3.1956836831170676E-3</c:v>
                </c:pt>
                <c:pt idx="25">
                  <c:v>3.2083362609025556E-3</c:v>
                </c:pt>
                <c:pt idx="26">
                  <c:v>3.211448132942607E-3</c:v>
                </c:pt>
                <c:pt idx="27">
                  <c:v>3.2126228447104666E-3</c:v>
                </c:pt>
                <c:pt idx="28">
                  <c:v>3.2118603958863901E-3</c:v>
                </c:pt>
                <c:pt idx="29">
                  <c:v>3.2039068107891921E-3</c:v>
                </c:pt>
                <c:pt idx="30">
                  <c:v>3.1894389977882298E-3</c:v>
                </c:pt>
                <c:pt idx="31">
                  <c:v>3.1789907479229385E-3</c:v>
                </c:pt>
                <c:pt idx="32">
                  <c:v>3.1666053381051995E-3</c:v>
                </c:pt>
                <c:pt idx="33">
                  <c:v>3.1522827687346933E-3</c:v>
                </c:pt>
                <c:pt idx="34">
                  <c:v>3.1172074231466951E-3</c:v>
                </c:pt>
                <c:pt idx="35">
                  <c:v>3.0756208996418621E-3</c:v>
                </c:pt>
                <c:pt idx="36">
                  <c:v>3.0516125360247059E-3</c:v>
                </c:pt>
                <c:pt idx="37">
                  <c:v>3.0256670146133757E-3</c:v>
                </c:pt>
                <c:pt idx="38">
                  <c:v>2.9977843358075518E-3</c:v>
                </c:pt>
                <c:pt idx="39">
                  <c:v>2.9355857259449891E-3</c:v>
                </c:pt>
                <c:pt idx="40">
                  <c:v>2.8668820563115816E-3</c:v>
                </c:pt>
                <c:pt idx="41">
                  <c:v>2.8293135980472783E-3</c:v>
                </c:pt>
                <c:pt idx="42">
                  <c:v>2.7898079855059876E-3</c:v>
                </c:pt>
                <c:pt idx="43">
                  <c:v>2.748365219407134E-3</c:v>
                </c:pt>
                <c:pt idx="44">
                  <c:v>2.6590421501193617E-3</c:v>
                </c:pt>
                <c:pt idx="45">
                  <c:v>2.5637683413837209E-3</c:v>
                </c:pt>
                <c:pt idx="46">
                  <c:v>2.5159140672403879E-3</c:v>
                </c:pt>
                <c:pt idx="47">
                  <c:v>2.4693968918487741E-3</c:v>
                </c:pt>
                <c:pt idx="48">
                  <c:v>2.4242168147292631E-3</c:v>
                </c:pt>
                <c:pt idx="49">
                  <c:v>2.3383288385847578E-3</c:v>
                </c:pt>
                <c:pt idx="50">
                  <c:v>2.256867478820368E-3</c:v>
                </c:pt>
                <c:pt idx="51">
                  <c:v>2.2183728856273177E-3</c:v>
                </c:pt>
                <c:pt idx="52">
                  <c:v>2.1812153879086082E-3</c:v>
                </c:pt>
                <c:pt idx="53">
                  <c:v>2.1453949853444954E-3</c:v>
                </c:pt>
                <c:pt idx="54">
                  <c:v>2.0782231576443877E-3</c:v>
                </c:pt>
                <c:pt idx="55">
                  <c:v>2.0154843173614267E-3</c:v>
                </c:pt>
                <c:pt idx="56">
                  <c:v>1.9863493841754121E-3</c:v>
                </c:pt>
                <c:pt idx="57">
                  <c:v>1.9585515439057843E-3</c:v>
                </c:pt>
                <c:pt idx="58">
                  <c:v>1.9320907962327993E-3</c:v>
                </c:pt>
                <c:pt idx="59">
                  <c:v>1.8836361297136506E-3</c:v>
                </c:pt>
                <c:pt idx="60">
                  <c:v>1.8396187251923379E-3</c:v>
                </c:pt>
                <c:pt idx="61">
                  <c:v>1.8198434361860194E-3</c:v>
                </c:pt>
                <c:pt idx="62">
                  <c:v>1.8014052381776224E-3</c:v>
                </c:pt>
                <c:pt idx="63">
                  <c:v>1.7843041309273389E-3</c:v>
                </c:pt>
                <c:pt idx="64">
                  <c:v>1.7545674360608388E-3</c:v>
                </c:pt>
                <c:pt idx="65">
                  <c:v>1.7292706064697683E-3</c:v>
                </c:pt>
                <c:pt idx="66">
                  <c:v>1.718854950771842E-3</c:v>
                </c:pt>
                <c:pt idx="67">
                  <c:v>1.7097763848727965E-3</c:v>
                </c:pt>
                <c:pt idx="68">
                  <c:v>1.7020349088525677E-3</c:v>
                </c:pt>
                <c:pt idx="69">
                  <c:v>1.6910168652817248E-3</c:v>
                </c:pt>
                <c:pt idx="70">
                  <c:v>1.6844399008419941E-3</c:v>
                </c:pt>
                <c:pt idx="71">
                  <c:v>1.6833838727770001E-3</c:v>
                </c:pt>
                <c:pt idx="72">
                  <c:v>1.6836649341112064E-3</c:v>
                </c:pt>
                <c:pt idx="73">
                  <c:v>1.6852830849245493E-3</c:v>
                </c:pt>
                <c:pt idx="74">
                  <c:v>1.6929843132995614E-3</c:v>
                </c:pt>
                <c:pt idx="75">
                  <c:v>1.7051265838485818E-3</c:v>
                </c:pt>
                <c:pt idx="76">
                  <c:v>1.7134301827770315E-3</c:v>
                </c:pt>
                <c:pt idx="77">
                  <c:v>1.7230708715043619E-3</c:v>
                </c:pt>
                <c:pt idx="78">
                  <c:v>1.7337955511287362E-3</c:v>
                </c:pt>
                <c:pt idx="79">
                  <c:v>1.7551546524963157E-3</c:v>
                </c:pt>
                <c:pt idx="80">
                  <c:v>1.7758916269539071E-3</c:v>
                </c:pt>
                <c:pt idx="81">
                  <c:v>1.7859618861404414E-3</c:v>
                </c:pt>
                <c:pt idx="82">
                  <c:v>1.7958506413151554E-3</c:v>
                </c:pt>
                <c:pt idx="83">
                  <c:v>1.8055578926379212E-3</c:v>
                </c:pt>
                <c:pt idx="84">
                  <c:v>1.8243766271819339E-3</c:v>
                </c:pt>
                <c:pt idx="85">
                  <c:v>1.8425718578107819E-3</c:v>
                </c:pt>
                <c:pt idx="86">
                  <c:v>1.8513715891543825E-3</c:v>
                </c:pt>
                <c:pt idx="87">
                  <c:v>1.8599898163262907E-3</c:v>
                </c:pt>
                <c:pt idx="88">
                  <c:v>1.8684265394863786E-3</c:v>
                </c:pt>
                <c:pt idx="89">
                  <c:v>1.8847048391279486E-3</c:v>
                </c:pt>
                <c:pt idx="90">
                  <c:v>1.9003583914489752E-3</c:v>
                </c:pt>
                <c:pt idx="91">
                  <c:v>1.9078875941502815E-3</c:v>
                </c:pt>
                <c:pt idx="92">
                  <c:v>1.9152352927598315E-3</c:v>
                </c:pt>
                <c:pt idx="93">
                  <c:v>1.9224014871976891E-3</c:v>
                </c:pt>
                <c:pt idx="94">
                  <c:v>1.9361392749850381E-3</c:v>
                </c:pt>
                <c:pt idx="95">
                  <c:v>1.9492512233920678E-3</c:v>
                </c:pt>
                <c:pt idx="96">
                  <c:v>1.9555098969714635E-3</c:v>
                </c:pt>
                <c:pt idx="97">
                  <c:v>1.9615870664591029E-3</c:v>
                </c:pt>
                <c:pt idx="98">
                  <c:v>1.9674827316151777E-3</c:v>
                </c:pt>
                <c:pt idx="99">
                  <c:v>1.9786799232957009E-3</c:v>
                </c:pt>
                <c:pt idx="100">
                  <c:v>1.9892503501228731E-3</c:v>
                </c:pt>
                <c:pt idx="101">
                  <c:v>1.9942384941806779E-3</c:v>
                </c:pt>
                <c:pt idx="102">
                  <c:v>1.9990451339868542E-3</c:v>
                </c:pt>
                <c:pt idx="103">
                  <c:v>2.0036702694614661E-3</c:v>
                </c:pt>
                <c:pt idx="104">
                  <c:v>2.0123267746008366E-3</c:v>
                </c:pt>
                <c:pt idx="105">
                  <c:v>2.020355768763693E-3</c:v>
                </c:pt>
                <c:pt idx="106">
                  <c:v>2.0240733828202906E-3</c:v>
                </c:pt>
                <c:pt idx="107">
                  <c:v>2.0276094925453236E-3</c:v>
                </c:pt>
                <c:pt idx="108">
                  <c:v>2.0309640980986643E-3</c:v>
                </c:pt>
                <c:pt idx="109">
                  <c:v>2.0370798214663921E-3</c:v>
                </c:pt>
                <c:pt idx="110">
                  <c:v>2.0425674768365099E-3</c:v>
                </c:pt>
                <c:pt idx="111">
                  <c:v>2.045014560652092E-3</c:v>
                </c:pt>
                <c:pt idx="112">
                  <c:v>2.0472801402160457E-3</c:v>
                </c:pt>
                <c:pt idx="113">
                  <c:v>2.0493642154484348E-3</c:v>
                </c:pt>
                <c:pt idx="114">
                  <c:v>2.0529390582968432E-3</c:v>
                </c:pt>
                <c:pt idx="115">
                  <c:v>2.0558854727426024E-3</c:v>
                </c:pt>
                <c:pt idx="116">
                  <c:v>2.057062026237233E-3</c:v>
                </c:pt>
                <c:pt idx="117">
                  <c:v>2.0580570753203631E-3</c:v>
                </c:pt>
                <c:pt idx="118">
                  <c:v>2.0588706200719287E-3</c:v>
                </c:pt>
                <c:pt idx="119">
                  <c:v>2.0599044816282941E-3</c:v>
                </c:pt>
                <c:pt idx="120">
                  <c:v>2.0603097555227379E-3</c:v>
                </c:pt>
                <c:pt idx="121">
                  <c:v>2.0602157784566089E-3</c:v>
                </c:pt>
                <c:pt idx="122">
                  <c:v>2.0599402971388514E-3</c:v>
                </c:pt>
                <c:pt idx="123">
                  <c:v>2.0594833114095934E-3</c:v>
                </c:pt>
                <c:pt idx="124">
                  <c:v>2.0579760899153143E-3</c:v>
                </c:pt>
                <c:pt idx="125">
                  <c:v>2.0558403249371082E-3</c:v>
                </c:pt>
                <c:pt idx="126">
                  <c:v>2.0544758173901556E-3</c:v>
                </c:pt>
                <c:pt idx="127">
                  <c:v>2.0529298055116385E-3</c:v>
                </c:pt>
                <c:pt idx="128">
                  <c:v>2.0512022893015569E-3</c:v>
                </c:pt>
                <c:pt idx="129">
                  <c:v>2.0471538835575842E-3</c:v>
                </c:pt>
                <c:pt idx="130">
                  <c:v>2.0424771811455855E-3</c:v>
                </c:pt>
                <c:pt idx="131">
                  <c:v>2.0398421431977454E-3</c:v>
                </c:pt>
                <c:pt idx="132">
                  <c:v>2.0370256010782128E-3</c:v>
                </c:pt>
                <c:pt idx="133">
                  <c:v>2.0340275544672437E-3</c:v>
                </c:pt>
                <c:pt idx="134">
                  <c:v>2.0274378649798308E-3</c:v>
                </c:pt>
                <c:pt idx="135">
                  <c:v>2.0202203252672746E-3</c:v>
                </c:pt>
                <c:pt idx="136">
                  <c:v>2.0163147571583551E-3</c:v>
                </c:pt>
                <c:pt idx="137">
                  <c:v>2.0122276847978071E-3</c:v>
                </c:pt>
                <c:pt idx="138">
                  <c:v>2.0079591081056947E-3</c:v>
                </c:pt>
                <c:pt idx="139">
                  <c:v>1.998828038551892E-3</c:v>
                </c:pt>
                <c:pt idx="140">
                  <c:v>1.9890697588209605E-3</c:v>
                </c:pt>
                <c:pt idx="141">
                  <c:v>1.9838936608707058E-3</c:v>
                </c:pt>
                <c:pt idx="142">
                  <c:v>1.9785767334923321E-3</c:v>
                </c:pt>
                <c:pt idx="143">
                  <c:v>1.9732816760598126E-3</c:v>
                </c:pt>
                <c:pt idx="144">
                  <c:v>1.9629107466645479E-3</c:v>
                </c:pt>
                <c:pt idx="145">
                  <c:v>1.9527268944230514E-3</c:v>
                </c:pt>
                <c:pt idx="146">
                  <c:v>1.9477445609972222E-3</c:v>
                </c:pt>
                <c:pt idx="147">
                  <c:v>1.9332561375442481E-3</c:v>
                </c:pt>
                <c:pt idx="148">
                  <c:v>1.9191640007587552E-3</c:v>
                </c:pt>
                <c:pt idx="149">
                  <c:v>1.9146194807984074E-3</c:v>
                </c:pt>
                <c:pt idx="150">
                  <c:v>1.907932846152427E-3</c:v>
                </c:pt>
                <c:pt idx="151">
                  <c:v>1.8970976938170736E-3</c:v>
                </c:pt>
                <c:pt idx="152">
                  <c:v>1.8886658009531487E-3</c:v>
                </c:pt>
                <c:pt idx="153">
                  <c:v>1.8845590942984103E-3</c:v>
                </c:pt>
                <c:pt idx="154">
                  <c:v>1.8805149323330994E-3</c:v>
                </c:pt>
                <c:pt idx="155">
                  <c:v>1.8765333152170882E-3</c:v>
                </c:pt>
                <c:pt idx="156">
                  <c:v>1.8687882643497744E-3</c:v>
                </c:pt>
                <c:pt idx="157">
                  <c:v>1.8612322941269355E-3</c:v>
                </c:pt>
                <c:pt idx="158">
                  <c:v>1.8575634006978703E-3</c:v>
                </c:pt>
                <c:pt idx="159">
                  <c:v>1.8539570519582327E-3</c:v>
                </c:pt>
                <c:pt idx="160">
                  <c:v>1.8504132480678948E-3</c:v>
                </c:pt>
                <c:pt idx="161">
                  <c:v>1.8435435631936059E-3</c:v>
                </c:pt>
                <c:pt idx="162">
                  <c:v>1.8368634795606908E-3</c:v>
                </c:pt>
                <c:pt idx="163">
                  <c:v>1.8336323992773629E-3</c:v>
                </c:pt>
                <c:pt idx="164">
                  <c:v>1.8304638636834625E-3</c:v>
                </c:pt>
                <c:pt idx="165">
                  <c:v>1.8273578728589257E-3</c:v>
                </c:pt>
                <c:pt idx="166">
                  <c:v>1.8213635884301027E-3</c:v>
                </c:pt>
                <c:pt idx="167">
                  <c:v>1.8155593566948625E-3</c:v>
                </c:pt>
                <c:pt idx="168">
                  <c:v>1.8127660895572717E-3</c:v>
                </c:pt>
                <c:pt idx="169">
                  <c:v>1.8100353669492364E-3</c:v>
                </c:pt>
                <c:pt idx="170">
                  <c:v>1.8073671891905008E-3</c:v>
                </c:pt>
                <c:pt idx="171">
                  <c:v>1.8022483383273169E-3</c:v>
                </c:pt>
                <c:pt idx="172">
                  <c:v>1.797319925049834E-3</c:v>
                </c:pt>
                <c:pt idx="173">
                  <c:v>1.7949644707382362E-3</c:v>
                </c:pt>
                <c:pt idx="174">
                  <c:v>1.7926715612759381E-3</c:v>
                </c:pt>
                <c:pt idx="175">
                  <c:v>1.7904411964231315E-3</c:v>
                </c:pt>
                <c:pt idx="176">
                  <c:v>1.7861978114730448E-3</c:v>
                </c:pt>
                <c:pt idx="177">
                  <c:v>1.7821451840660529E-3</c:v>
                </c:pt>
                <c:pt idx="178">
                  <c:v>1.7802275426603842E-3</c:v>
                </c:pt>
                <c:pt idx="179">
                  <c:v>1.7783724461040151E-3</c:v>
                </c:pt>
                <c:pt idx="180">
                  <c:v>1.7765798940772015E-3</c:v>
                </c:pt>
                <c:pt idx="181">
                  <c:v>1.7732120066149548E-3</c:v>
                </c:pt>
                <c:pt idx="182">
                  <c:v>1.7700351333438391E-3</c:v>
                </c:pt>
                <c:pt idx="183">
                  <c:v>1.7685553048440994E-3</c:v>
                </c:pt>
                <c:pt idx="184">
                  <c:v>1.7671380211137233E-3</c:v>
                </c:pt>
                <c:pt idx="185">
                  <c:v>1.7657832819928387E-3</c:v>
                </c:pt>
                <c:pt idx="186">
                  <c:v>1.7632909227405236E-3</c:v>
                </c:pt>
                <c:pt idx="187">
                  <c:v>1.7609897725634482E-3</c:v>
                </c:pt>
                <c:pt idx="188">
                  <c:v>1.7599477569696376E-3</c:v>
                </c:pt>
                <c:pt idx="189">
                  <c:v>1.7589682860652545E-3</c:v>
                </c:pt>
                <c:pt idx="190">
                  <c:v>1.7580513597703629E-3</c:v>
                </c:pt>
                <c:pt idx="191">
                  <c:v>1.7564345591036812E-3</c:v>
                </c:pt>
                <c:pt idx="192">
                  <c:v>1.7550091016449443E-3</c:v>
                </c:pt>
                <c:pt idx="193">
                  <c:v>1.7544048987971905E-3</c:v>
                </c:pt>
                <c:pt idx="194">
                  <c:v>1.7538632407188004E-3</c:v>
                </c:pt>
                <c:pt idx="195">
                  <c:v>1.7533841272499018E-3</c:v>
                </c:pt>
                <c:pt idx="196">
                  <c:v>1.752642915198166E-3</c:v>
                </c:pt>
                <c:pt idx="197">
                  <c:v>1.752093120268583E-3</c:v>
                </c:pt>
                <c:pt idx="198">
                  <c:v>1.7519267301668862E-3</c:v>
                </c:pt>
                <c:pt idx="199">
                  <c:v>1.751822884914489E-3</c:v>
                </c:pt>
                <c:pt idx="200">
                  <c:v>1.7517815841916473E-3</c:v>
                </c:pt>
                <c:pt idx="201">
                  <c:v>1.7519159907042336E-3</c:v>
                </c:pt>
                <c:pt idx="202">
                  <c:v>1.7522418284343644E-3</c:v>
                </c:pt>
                <c:pt idx="203">
                  <c:v>1.7525039111099261E-3</c:v>
                </c:pt>
                <c:pt idx="204">
                  <c:v>1.7527818382312432E-3</c:v>
                </c:pt>
                <c:pt idx="205">
                  <c:v>1.7530662697495814E-3</c:v>
                </c:pt>
                <c:pt idx="206">
                  <c:v>1.7536653563965388E-3</c:v>
                </c:pt>
                <c:pt idx="207">
                  <c:v>1.7542690391536553E-3</c:v>
                </c:pt>
                <c:pt idx="208">
                  <c:v>1.7545859924172902E-3</c:v>
                </c:pt>
                <c:pt idx="209">
                  <c:v>1.75490944999801E-3</c:v>
                </c:pt>
                <c:pt idx="210">
                  <c:v>1.7552394119757508E-3</c:v>
                </c:pt>
                <c:pt idx="211">
                  <c:v>1.755929581710447E-3</c:v>
                </c:pt>
                <c:pt idx="212">
                  <c:v>1.7566243033773077E-3</c:v>
                </c:pt>
                <c:pt idx="213">
                  <c:v>1.7569867871802813E-3</c:v>
                </c:pt>
                <c:pt idx="214">
                  <c:v>1.7573557752204039E-3</c:v>
                </c:pt>
                <c:pt idx="215">
                  <c:v>1.7585254498495573E-3</c:v>
                </c:pt>
                <c:pt idx="216">
                  <c:v>1.7597062953189635E-3</c:v>
                </c:pt>
                <c:pt idx="217">
                  <c:v>1.7601208138984248E-3</c:v>
                </c:pt>
                <c:pt idx="218">
                  <c:v>1.7605418368749071E-3</c:v>
                </c:pt>
                <c:pt idx="219">
                  <c:v>1.7614141821642448E-3</c:v>
                </c:pt>
                <c:pt idx="220">
                  <c:v>1.7622909722714297E-3</c:v>
                </c:pt>
                <c:pt idx="221">
                  <c:v>1.7627445169932088E-3</c:v>
                </c:pt>
                <c:pt idx="222">
                  <c:v>1.7632045661120088E-3</c:v>
                </c:pt>
                <c:pt idx="223">
                  <c:v>1.7636711195478938E-3</c:v>
                </c:pt>
                <c:pt idx="224">
                  <c:v>1.7646345573307798E-3</c:v>
                </c:pt>
                <c:pt idx="225">
                  <c:v>1.7656023768619633E-3</c:v>
                </c:pt>
                <c:pt idx="226">
                  <c:v>1.7661014521230811E-3</c:v>
                </c:pt>
                <c:pt idx="227">
                  <c:v>1.7666070317012839E-3</c:v>
                </c:pt>
                <c:pt idx="228">
                  <c:v>1.7671191155965715E-3</c:v>
                </c:pt>
                <c:pt idx="229">
                  <c:v>1.7681736491770295E-3</c:v>
                </c:pt>
                <c:pt idx="230">
                  <c:v>1.76923249498806E-3</c:v>
                </c:pt>
                <c:pt idx="231">
                  <c:v>1.7697771007085805E-3</c:v>
                </c:pt>
                <c:pt idx="232">
                  <c:v>1.770328210746186E-3</c:v>
                </c:pt>
                <c:pt idx="233">
                  <c:v>1.7717515872428535E-3</c:v>
                </c:pt>
                <c:pt idx="234">
                  <c:v>1.7731813265697838E-3</c:v>
                </c:pt>
                <c:pt idx="235">
                  <c:v>1.773771462829643E-3</c:v>
                </c:pt>
                <c:pt idx="236">
                  <c:v>1.7743681034065872E-3</c:v>
                </c:pt>
                <c:pt idx="237">
                  <c:v>1.7749712483006164E-3</c:v>
                </c:pt>
                <c:pt idx="238">
                  <c:v>1.776207982988609E-3</c:v>
                </c:pt>
                <c:pt idx="239">
                  <c:v>1.7774488716870707E-3</c:v>
                </c:pt>
                <c:pt idx="240">
                  <c:v>1.7780845384063326E-3</c:v>
                </c:pt>
                <c:pt idx="241">
                  <c:v>1.7787267095226156E-3</c:v>
                </c:pt>
                <c:pt idx="242">
                  <c:v>1.7793753849559835E-3</c:v>
                </c:pt>
                <c:pt idx="243">
                  <c:v>1.7807032250072297E-3</c:v>
                </c:pt>
                <c:pt idx="244">
                  <c:v>1.7820351302599846E-3</c:v>
                </c:pt>
                <c:pt idx="245">
                  <c:v>1.7827163275185853E-3</c:v>
                </c:pt>
                <c:pt idx="246">
                  <c:v>1.783404029094271E-3</c:v>
                </c:pt>
                <c:pt idx="247">
                  <c:v>1.7840982350669776E-3</c:v>
                </c:pt>
                <c:pt idx="248">
                  <c:v>1.7855171838121464E-3</c:v>
                </c:pt>
                <c:pt idx="249">
                  <c:v>1.7869401023684617E-3</c:v>
                </c:pt>
                <c:pt idx="250">
                  <c:v>1.7876668301664012E-3</c:v>
                </c:pt>
                <c:pt idx="251">
                  <c:v>1.7884000622014895E-3</c:v>
                </c:pt>
                <c:pt idx="252">
                  <c:v>1.7891397987135349E-3</c:v>
                </c:pt>
                <c:pt idx="253">
                  <c:v>1.79064985945665E-3</c:v>
                </c:pt>
                <c:pt idx="254">
                  <c:v>1.7921637880125019E-3</c:v>
                </c:pt>
                <c:pt idx="255">
                  <c:v>1.7929360463497801E-3</c:v>
                </c:pt>
                <c:pt idx="256">
                  <c:v>1.7937148089242072E-3</c:v>
                </c:pt>
                <c:pt idx="257">
                  <c:v>1.7945000758956553E-3</c:v>
                </c:pt>
                <c:pt idx="258">
                  <c:v>1.7961012519673858E-3</c:v>
                </c:pt>
                <c:pt idx="259">
                  <c:v>1.7977061872720412E-3</c:v>
                </c:pt>
                <c:pt idx="260">
                  <c:v>1.7985239760687222E-3</c:v>
                </c:pt>
                <c:pt idx="261">
                  <c:v>1.799348269182488E-3</c:v>
                </c:pt>
                <c:pt idx="262">
                  <c:v>1.8001790666133388E-3</c:v>
                </c:pt>
                <c:pt idx="263">
                  <c:v>1.8018713613976445E-3</c:v>
                </c:pt>
                <c:pt idx="264">
                  <c:v>1.8035673000671437E-3</c:v>
                </c:pt>
                <c:pt idx="265">
                  <c:v>1.8044306193232273E-3</c:v>
                </c:pt>
                <c:pt idx="266">
                  <c:v>1.805300442976332E-3</c:v>
                </c:pt>
                <c:pt idx="267">
                  <c:v>1.8061792741441707E-3</c:v>
                </c:pt>
                <c:pt idx="268">
                  <c:v>1.8080127562836168E-3</c:v>
                </c:pt>
                <c:pt idx="269">
                  <c:v>1.8098998238524899E-3</c:v>
                </c:pt>
                <c:pt idx="270">
                  <c:v>1.810883770696492E-3</c:v>
                </c:pt>
                <c:pt idx="271">
                  <c:v>1.8118892414431542E-3</c:v>
                </c:pt>
                <c:pt idx="272">
                  <c:v>1.8129162358526685E-3</c:v>
                </c:pt>
                <c:pt idx="273">
                  <c:v>1.8150511216941112E-3</c:v>
                </c:pt>
                <c:pt idx="274">
                  <c:v>1.8172394513982226E-3</c:v>
                </c:pt>
                <c:pt idx="275">
                  <c:v>1.8183740646815494E-3</c:v>
                </c:pt>
                <c:pt idx="276">
                  <c:v>1.8195302017876003E-3</c:v>
                </c:pt>
                <c:pt idx="277">
                  <c:v>1.8207078627163753E-3</c:v>
                </c:pt>
                <c:pt idx="278">
                  <c:v>1.8231441632643453E-3</c:v>
                </c:pt>
                <c:pt idx="279">
                  <c:v>1.8256337440991643E-3</c:v>
                </c:pt>
                <c:pt idx="280">
                  <c:v>1.8269190239017519E-3</c:v>
                </c:pt>
                <c:pt idx="281">
                  <c:v>1.8282258274471275E-3</c:v>
                </c:pt>
                <c:pt idx="282">
                  <c:v>1.8295541548951633E-3</c:v>
                </c:pt>
                <c:pt idx="283">
                  <c:v>1.8322918812607725E-3</c:v>
                </c:pt>
                <c:pt idx="284">
                  <c:v>1.8350827021951233E-3</c:v>
                </c:pt>
                <c:pt idx="285">
                  <c:v>1.8365186484370355E-3</c:v>
                </c:pt>
                <c:pt idx="286">
                  <c:v>1.8379761185016719E-3</c:v>
                </c:pt>
                <c:pt idx="287">
                  <c:v>1.8394551123890324E-3</c:v>
                </c:pt>
                <c:pt idx="288">
                  <c:v>1.842494275923201E-3</c:v>
                </c:pt>
                <c:pt idx="289">
                  <c:v>1.8455863256061633E-3</c:v>
                </c:pt>
                <c:pt idx="290">
                  <c:v>1.8471729383673363E-3</c:v>
                </c:pt>
                <c:pt idx="291">
                  <c:v>1.8487810749512334E-3</c:v>
                </c:pt>
                <c:pt idx="292">
                  <c:v>1.8504107353578547E-3</c:v>
                </c:pt>
                <c:pt idx="293">
                  <c:v>1.8537513474381484E-3</c:v>
                </c:pt>
                <c:pt idx="294">
                  <c:v>1.8571446146520287E-3</c:v>
                </c:pt>
                <c:pt idx="295">
                  <c:v>1.8588818939324625E-3</c:v>
                </c:pt>
                <c:pt idx="296">
                  <c:v>1.8606406970356204E-3</c:v>
                </c:pt>
                <c:pt idx="297">
                  <c:v>1.8624210238016303E-3</c:v>
                </c:pt>
                <c:pt idx="298">
                  <c:v>1.8660630962052949E-3</c:v>
                </c:pt>
                <c:pt idx="299">
                  <c:v>1.8697575692527835E-3</c:v>
                </c:pt>
                <c:pt idx="300">
                  <c:v>1.8716455149725419E-3</c:v>
                </c:pt>
                <c:pt idx="301">
                  <c:v>1.8735549845949606E-3</c:v>
                </c:pt>
                <c:pt idx="302">
                  <c:v>1.8754859780401034E-3</c:v>
                </c:pt>
                <c:pt idx="303">
                  <c:v>1.879429522491094E-3</c:v>
                </c:pt>
                <c:pt idx="304">
                  <c:v>1.8834251894883636E-3</c:v>
                </c:pt>
                <c:pt idx="305">
                  <c:v>1.8854638018872549E-3</c:v>
                </c:pt>
                <c:pt idx="306">
                  <c:v>1.8875239379489983E-3</c:v>
                </c:pt>
                <c:pt idx="307">
                  <c:v>1.8896055979134019E-3</c:v>
                </c:pt>
                <c:pt idx="308">
                  <c:v>1.8938506266685806E-3</c:v>
                </c:pt>
                <c:pt idx="309">
                  <c:v>1.8981474755985772E-3</c:v>
                </c:pt>
                <c:pt idx="310">
                  <c:v>1.9003367545167293E-3</c:v>
                </c:pt>
                <c:pt idx="311">
                  <c:v>1.9025475572576056E-3</c:v>
                </c:pt>
                <c:pt idx="312">
                  <c:v>1.9047798837412699E-3</c:v>
                </c:pt>
                <c:pt idx="313">
                  <c:v>1.9093264090841444E-3</c:v>
                </c:pt>
                <c:pt idx="314">
                  <c:v>1.9139244277432965E-3</c:v>
                </c:pt>
                <c:pt idx="315">
                  <c:v>1.9162643731807094E-3</c:v>
                </c:pt>
                <c:pt idx="316">
                  <c:v>1.9186258424408464E-3</c:v>
                </c:pt>
                <c:pt idx="317">
                  <c:v>1.9210088356036437E-3</c:v>
                </c:pt>
                <c:pt idx="318">
                  <c:v>1.9258568702174017E-3</c:v>
                </c:pt>
                <c:pt idx="319">
                  <c:v>1.9307560459225215E-3</c:v>
                </c:pt>
                <c:pt idx="320">
                  <c:v>1.9332466579591312E-3</c:v>
                </c:pt>
                <c:pt idx="321">
                  <c:v>1.9357587938984011E-3</c:v>
                </c:pt>
                <c:pt idx="322">
                  <c:v>1.9382924535804591E-3</c:v>
                </c:pt>
                <c:pt idx="323">
                  <c:v>1.9434420104147421E-3</c:v>
                </c:pt>
                <c:pt idx="324">
                  <c:v>1.9486423303760603E-3</c:v>
                </c:pt>
                <c:pt idx="325">
                  <c:v>1.9512836090918029E-3</c:v>
                </c:pt>
                <c:pt idx="326">
                  <c:v>1.9539464115503336E-3</c:v>
                </c:pt>
                <c:pt idx="327">
                  <c:v>1.9566307379115244E-3</c:v>
                </c:pt>
                <c:pt idx="328">
                  <c:v>1.9620818302090726E-3</c:v>
                </c:pt>
                <c:pt idx="329">
                  <c:v>1.967583281183849E-3</c:v>
                </c:pt>
                <c:pt idx="330">
                  <c:v>1.9703752265787244E-3</c:v>
                </c:pt>
                <c:pt idx="331">
                  <c:v>1.973188695716388E-3</c:v>
                </c:pt>
                <c:pt idx="332">
                  <c:v>1.976023056782239E-3</c:v>
                </c:pt>
                <c:pt idx="333">
                  <c:v>1.9817630606144832E-3</c:v>
                </c:pt>
                <c:pt idx="334">
                  <c:v>1.9875403544578063E-3</c:v>
                </c:pt>
                <c:pt idx="335">
                  <c:v>1.9904640102552662E-3</c:v>
                </c:pt>
                <c:pt idx="336">
                  <c:v>1.9934053987480382E-3</c:v>
                </c:pt>
                <c:pt idx="337">
                  <c:v>1.9963645197762503E-3</c:v>
                </c:pt>
                <c:pt idx="338">
                  <c:v>2.0023530075352625E-3</c:v>
                </c:pt>
                <c:pt idx="339">
                  <c:v>2.008378329643179E-3</c:v>
                </c:pt>
                <c:pt idx="340">
                  <c:v>2.0114261135084632E-3</c:v>
                </c:pt>
                <c:pt idx="341">
                  <c:v>2.0144916299891236E-3</c:v>
                </c:pt>
                <c:pt idx="342">
                  <c:v>2.01757487908516E-3</c:v>
                </c:pt>
                <c:pt idx="343">
                  <c:v>2.0238118630544477E-3</c:v>
                </c:pt>
                <c:pt idx="344">
                  <c:v>2.0300852013033222E-3</c:v>
                </c:pt>
                <c:pt idx="345">
                  <c:v>2.0332571133163668E-3</c:v>
                </c:pt>
                <c:pt idx="346">
                  <c:v>2.0364467579447876E-3</c:v>
                </c:pt>
                <c:pt idx="347">
                  <c:v>2.0396541351086483E-3</c:v>
                </c:pt>
                <c:pt idx="348">
                  <c:v>2.0461396276516552E-3</c:v>
                </c:pt>
                <c:pt idx="349">
                  <c:v>2.052660969678044E-3</c:v>
                </c:pt>
                <c:pt idx="350">
                  <c:v>2.0559570098388491E-3</c:v>
                </c:pt>
                <c:pt idx="351">
                  <c:v>2.0592707825350942E-3</c:v>
                </c:pt>
                <c:pt idx="352">
                  <c:v>2.0626022878467154E-3</c:v>
                </c:pt>
                <c:pt idx="353">
                  <c:v>2.0693363018065014E-3</c:v>
                </c:pt>
                <c:pt idx="354">
                  <c:v>2.0761056349272167E-3</c:v>
                </c:pt>
                <c:pt idx="355">
                  <c:v>2.0795258031558461E-3</c:v>
                </c:pt>
                <c:pt idx="356">
                  <c:v>2.0829637040797877E-3</c:v>
                </c:pt>
                <c:pt idx="357">
                  <c:v>2.0864193374592332E-3</c:v>
                </c:pt>
                <c:pt idx="358">
                  <c:v>2.0934018860252479E-3</c:v>
                </c:pt>
                <c:pt idx="359">
                  <c:v>2.1004191972107122E-3</c:v>
                </c:pt>
                <c:pt idx="360">
                  <c:v>2.1039634936670382E-3</c:v>
                </c:pt>
                <c:pt idx="361">
                  <c:v>2.1075255226588041E-3</c:v>
                </c:pt>
                <c:pt idx="362">
                  <c:v>2.1111052841860101E-3</c:v>
                </c:pt>
                <c:pt idx="363">
                  <c:v>2.1183363808408018E-3</c:v>
                </c:pt>
                <c:pt idx="364">
                  <c:v>2.1256016566084668E-3</c:v>
                </c:pt>
                <c:pt idx="365">
                  <c:v>2.1292700812125531E-3</c:v>
                </c:pt>
                <c:pt idx="366">
                  <c:v>2.1329562384320155E-3</c:v>
                </c:pt>
                <c:pt idx="367">
                  <c:v>2.136660128266854E-3</c:v>
                </c:pt>
                <c:pt idx="368">
                  <c:v>2.1441397867594247E-3</c:v>
                </c:pt>
                <c:pt idx="369">
                  <c:v>2.1516530134402245E-3</c:v>
                </c:pt>
                <c:pt idx="370">
                  <c:v>2.1554455662720073E-3</c:v>
                </c:pt>
                <c:pt idx="371">
                  <c:v>2.1592558517191662E-3</c:v>
                </c:pt>
                <c:pt idx="372">
                  <c:v>2.1630838697017651E-3</c:v>
                </c:pt>
                <c:pt idx="373">
                  <c:v>2.1708121043673145E-3</c:v>
                </c:pt>
                <c:pt idx="374">
                  <c:v>2.1785732678658576E-3</c:v>
                </c:pt>
                <c:pt idx="375">
                  <c:v>2.1824899489253369E-3</c:v>
                </c:pt>
                <c:pt idx="376">
                  <c:v>2.1864243626001922E-3</c:v>
                </c:pt>
                <c:pt idx="377">
                  <c:v>2.1903765088104876E-3</c:v>
                </c:pt>
                <c:pt idx="378">
                  <c:v>2.1983533342506689E-3</c:v>
                </c:pt>
                <c:pt idx="379">
                  <c:v>2.2063624200452381E-3</c:v>
                </c:pt>
                <c:pt idx="380">
                  <c:v>2.2104032292524778E-3</c:v>
                </c:pt>
                <c:pt idx="381">
                  <c:v>2.2144617713149017E-3</c:v>
                </c:pt>
                <c:pt idx="382">
                  <c:v>2.2185380458328297E-3</c:v>
                </c:pt>
                <c:pt idx="383">
                  <c:v>2.2267634769956857E-3</c:v>
                </c:pt>
                <c:pt idx="384">
                  <c:v>2.2350204701382381E-3</c:v>
                </c:pt>
                <c:pt idx="385">
                  <c:v>2.2391854077330464E-3</c:v>
                </c:pt>
                <c:pt idx="386">
                  <c:v>2.2433680780231668E-3</c:v>
                </c:pt>
                <c:pt idx="387">
                  <c:v>2.2475684808487273E-3</c:v>
                </c:pt>
                <c:pt idx="388">
                  <c:v>2.2560425332152079E-3</c:v>
                </c:pt>
                <c:pt idx="389">
                  <c:v>2.2645474183846659E-3</c:v>
                </c:pt>
                <c:pt idx="390">
                  <c:v>2.2688364843670428E-3</c:v>
                </c:pt>
                <c:pt idx="391">
                  <c:v>2.2731432828848597E-3</c:v>
                </c:pt>
                <c:pt idx="392">
                  <c:v>2.2774678140979887E-3</c:v>
                </c:pt>
                <c:pt idx="393">
                  <c:v>2.286190503548724E-3</c:v>
                </c:pt>
                <c:pt idx="394">
                  <c:v>2.2949432651042656E-3</c:v>
                </c:pt>
                <c:pt idx="395">
                  <c:v>2.299356459314339E-3</c:v>
                </c:pt>
                <c:pt idx="396">
                  <c:v>2.3037869700726077E-3</c:v>
                </c:pt>
                <c:pt idx="397">
                  <c:v>2.3082331323109884E-3</c:v>
                </c:pt>
                <c:pt idx="398">
                  <c:v>2.3171911558339531E-3</c:v>
                </c:pt>
                <c:pt idx="399">
                  <c:v>2.3261701341148466E-3</c:v>
                </c:pt>
                <c:pt idx="400">
                  <c:v>2.3306924728583311E-3</c:v>
                </c:pt>
                <c:pt idx="401">
                  <c:v>2.3352300469348108E-3</c:v>
                </c:pt>
                <c:pt idx="402">
                  <c:v>2.346673103357233E-3</c:v>
                </c:pt>
                <c:pt idx="403">
                  <c:v>2.3581464465127766E-3</c:v>
                </c:pt>
                <c:pt idx="404">
                  <c:v>2.3627754322674832E-3</c:v>
                </c:pt>
                <c:pt idx="405">
                  <c:v>2.3674196534351211E-3</c:v>
                </c:pt>
                <c:pt idx="406">
                  <c:v>2.3791299667941246E-3</c:v>
                </c:pt>
                <c:pt idx="407">
                  <c:v>2.3908692886287497E-3</c:v>
                </c:pt>
                <c:pt idx="408">
                  <c:v>2.3956049216344866E-3</c:v>
                </c:pt>
                <c:pt idx="409">
                  <c:v>2.4003557898932826E-3</c:v>
                </c:pt>
                <c:pt idx="410">
                  <c:v>2.4051218934051377E-3</c:v>
                </c:pt>
                <c:pt idx="411">
                  <c:v>2.4147210816760634E-3</c:v>
                </c:pt>
                <c:pt idx="412">
                  <c:v>2.4243386608624462E-3</c:v>
                </c:pt>
                <c:pt idx="413">
                  <c:v>2.4291809410392773E-3</c:v>
                </c:pt>
                <c:pt idx="414">
                  <c:v>2.4340384564691675E-3</c:v>
                </c:pt>
                <c:pt idx="415">
                  <c:v>2.4389112072320529E-3</c:v>
                </c:pt>
                <c:pt idx="416">
                  <c:v>2.4487241491577549E-3</c:v>
                </c:pt>
                <c:pt idx="417">
                  <c:v>2.4585545633737382E-3</c:v>
                </c:pt>
                <c:pt idx="418">
                  <c:v>2.4635034907216635E-3</c:v>
                </c:pt>
                <c:pt idx="419">
                  <c:v>2.468467653402584E-3</c:v>
                </c:pt>
                <c:pt idx="420">
                  <c:v>2.4734470513365636E-3</c:v>
                </c:pt>
                <c:pt idx="421">
                  <c:v>2.4834737637835502E-3</c:v>
                </c:pt>
                <c:pt idx="422">
                  <c:v>2.493516996402434E-3</c:v>
                </c:pt>
                <c:pt idx="423">
                  <c:v>2.4985725709214535E-3</c:v>
                </c:pt>
                <c:pt idx="424">
                  <c:v>2.5036433807734682E-3</c:v>
                </c:pt>
                <c:pt idx="425">
                  <c:v>2.5087294260384141E-3</c:v>
                </c:pt>
                <c:pt idx="426">
                  <c:v>2.518969926219583E-3</c:v>
                </c:pt>
                <c:pt idx="427">
                  <c:v>2.5292259601084055E-3</c:v>
                </c:pt>
                <c:pt idx="428">
                  <c:v>2.5343881819583913E-3</c:v>
                </c:pt>
                <c:pt idx="429">
                  <c:v>2.5395656390614363E-3</c:v>
                </c:pt>
                <c:pt idx="430">
                  <c:v>2.5447583315774125E-3</c:v>
                </c:pt>
                <c:pt idx="431">
                  <c:v>2.5552126370786965E-3</c:v>
                </c:pt>
                <c:pt idx="432">
                  <c:v>2.565681454731461E-3</c:v>
                </c:pt>
                <c:pt idx="433">
                  <c:v>2.5709503238324771E-3</c:v>
                </c:pt>
                <c:pt idx="434">
                  <c:v>2.5762344282664884E-3</c:v>
                </c:pt>
                <c:pt idx="435">
                  <c:v>2.5815337680334949E-3</c:v>
                </c:pt>
                <c:pt idx="436">
                  <c:v>2.5922018971069605E-3</c:v>
                </c:pt>
                <c:pt idx="437">
                  <c:v>2.6028834805114087E-3</c:v>
                </c:pt>
                <c:pt idx="438">
                  <c:v>2.6082589969433911E-3</c:v>
                </c:pt>
                <c:pt idx="439">
                  <c:v>2.6136497487083687E-3</c:v>
                </c:pt>
                <c:pt idx="440">
                  <c:v>2.6190557358063415E-3</c:v>
                </c:pt>
                <c:pt idx="441">
                  <c:v>2.6299377069438634E-3</c:v>
                </c:pt>
                <c:pt idx="442">
                  <c:v>2.6408320376081207E-3</c:v>
                </c:pt>
                <c:pt idx="443">
                  <c:v>2.6463142014510055E-3</c:v>
                </c:pt>
                <c:pt idx="444">
                  <c:v>2.6518116005469494E-3</c:v>
                </c:pt>
                <c:pt idx="445">
                  <c:v>2.6573242350558246E-3</c:v>
                </c:pt>
                <c:pt idx="446">
                  <c:v>2.6684200673088299E-3</c:v>
                </c:pt>
                <c:pt idx="447">
                  <c:v>2.6795271264212772E-3</c:v>
                </c:pt>
                <c:pt idx="448">
                  <c:v>2.6851159375951283E-3</c:v>
                </c:pt>
                <c:pt idx="449">
                  <c:v>2.6907199841019747E-3</c:v>
                </c:pt>
                <c:pt idx="450">
                  <c:v>2.6963392660217522E-3</c:v>
                </c:pt>
                <c:pt idx="451">
                  <c:v>2.7076489789212843E-3</c:v>
                </c:pt>
                <c:pt idx="452">
                  <c:v>2.7189687470308144E-3</c:v>
                </c:pt>
                <c:pt idx="453">
                  <c:v>2.7246642056955039E-3</c:v>
                </c:pt>
                <c:pt idx="454">
                  <c:v>2.7303748996931887E-3</c:v>
                </c:pt>
                <c:pt idx="455">
                  <c:v>2.7361008289439326E-3</c:v>
                </c:pt>
                <c:pt idx="456">
                  <c:v>2.7476244425006513E-3</c:v>
                </c:pt>
                <c:pt idx="457">
                  <c:v>2.7591568998364124E-3</c:v>
                </c:pt>
                <c:pt idx="458">
                  <c:v>2.7649590059120044E-3</c:v>
                </c:pt>
                <c:pt idx="459">
                  <c:v>2.7707783382080464E-3</c:v>
                </c:pt>
                <c:pt idx="460">
                  <c:v>2.7766228601944221E-3</c:v>
                </c:pt>
                <c:pt idx="461">
                  <c:v>2.7884241037767765E-3</c:v>
                </c:pt>
                <c:pt idx="462">
                  <c:v>2.8002727536780014E-3</c:v>
                </c:pt>
                <c:pt idx="463">
                  <c:v>2.8062531783934475E-3</c:v>
                </c:pt>
                <c:pt idx="464">
                  <c:v>2.8122607838465541E-3</c:v>
                </c:pt>
                <c:pt idx="465">
                  <c:v>2.8305183727113103E-3</c:v>
                </c:pt>
                <c:pt idx="466">
                  <c:v>2.8488772074997115E-3</c:v>
                </c:pt>
                <c:pt idx="467">
                  <c:v>2.8550750767575295E-3</c:v>
                </c:pt>
                <c:pt idx="468">
                  <c:v>2.8613001265931359E-3</c:v>
                </c:pt>
                <c:pt idx="469">
                  <c:v>2.8738637697856007E-3</c:v>
                </c:pt>
                <c:pt idx="470">
                  <c:v>2.8864721317134467E-3</c:v>
                </c:pt>
                <c:pt idx="471">
                  <c:v>2.8928330843580596E-3</c:v>
                </c:pt>
                <c:pt idx="472">
                  <c:v>2.8992212176603971E-3</c:v>
                </c:pt>
                <c:pt idx="473">
                  <c:v>2.905636531540523E-3</c:v>
                </c:pt>
                <c:pt idx="474">
                  <c:v>2.9185814222998374E-3</c:v>
                </c:pt>
                <c:pt idx="475">
                  <c:v>2.9315695927589758E-3</c:v>
                </c:pt>
                <c:pt idx="476">
                  <c:v>2.9381208096079803E-3</c:v>
                </c:pt>
                <c:pt idx="477">
                  <c:v>2.9446992069548372E-3</c:v>
                </c:pt>
                <c:pt idx="478">
                  <c:v>2.9513047849594187E-3</c:v>
                </c:pt>
                <c:pt idx="479">
                  <c:v>2.9646309564324014E-3</c:v>
                </c:pt>
                <c:pt idx="480">
                  <c:v>2.9779989027556297E-3</c:v>
                </c:pt>
                <c:pt idx="481">
                  <c:v>2.9847403835692177E-3</c:v>
                </c:pt>
                <c:pt idx="482">
                  <c:v>2.9915090451204662E-3</c:v>
                </c:pt>
                <c:pt idx="483">
                  <c:v>2.9983048872495033E-3</c:v>
                </c:pt>
                <c:pt idx="484">
                  <c:v>3.0120123737553683E-3</c:v>
                </c:pt>
                <c:pt idx="485">
                  <c:v>3.0257600618632807E-3</c:v>
                </c:pt>
                <c:pt idx="486">
                  <c:v>3.0326918069611963E-3</c:v>
                </c:pt>
                <c:pt idx="487">
                  <c:v>3.0396507327967726E-3</c:v>
                </c:pt>
                <c:pt idx="488">
                  <c:v>3.0466368391302012E-3</c:v>
                </c:pt>
                <c:pt idx="489">
                  <c:v>3.0607256758408141E-3</c:v>
                </c:pt>
                <c:pt idx="490">
                  <c:v>3.0748530707214172E-3</c:v>
                </c:pt>
                <c:pt idx="491">
                  <c:v>3.0819750801835966E-3</c:v>
                </c:pt>
                <c:pt idx="492">
                  <c:v>3.0891242703035005E-3</c:v>
                </c:pt>
                <c:pt idx="493">
                  <c:v>3.0963006409212568E-3</c:v>
                </c:pt>
                <c:pt idx="494">
                  <c:v>3.1107708642874599E-3</c:v>
                </c:pt>
                <c:pt idx="495">
                  <c:v>3.1252779300494637E-3</c:v>
                </c:pt>
                <c:pt idx="496">
                  <c:v>3.1325902038759068E-3</c:v>
                </c:pt>
                <c:pt idx="497">
                  <c:v>3.1399296582801384E-3</c:v>
                </c:pt>
                <c:pt idx="498">
                  <c:v>3.1472962934220305E-3</c:v>
                </c:pt>
                <c:pt idx="499">
                  <c:v>3.1621479407473174E-3</c:v>
                </c:pt>
                <c:pt idx="500">
                  <c:v>3.1770346401671645E-3</c:v>
                </c:pt>
                <c:pt idx="501">
                  <c:v>3.1845371784378074E-3</c:v>
                </c:pt>
                <c:pt idx="502">
                  <c:v>3.1920668973661748E-3</c:v>
                </c:pt>
                <c:pt idx="503">
                  <c:v>3.1996237969522667E-3</c:v>
                </c:pt>
                <c:pt idx="504">
                  <c:v>3.2148569070056254E-3</c:v>
                </c:pt>
                <c:pt idx="505">
                  <c:v>3.2301232017939441E-3</c:v>
                </c:pt>
                <c:pt idx="506">
                  <c:v>3.2378160046686588E-3</c:v>
                </c:pt>
                <c:pt idx="507">
                  <c:v>3.2455359881211621E-3</c:v>
                </c:pt>
                <c:pt idx="508">
                  <c:v>3.2532831522313899E-3</c:v>
                </c:pt>
                <c:pt idx="509">
                  <c:v>3.2688977647410411E-3</c:v>
                </c:pt>
                <c:pt idx="510">
                  <c:v>3.2845436154893548E-3</c:v>
                </c:pt>
                <c:pt idx="511">
                  <c:v>3.2924266828882054E-3</c:v>
                </c:pt>
                <c:pt idx="512">
                  <c:v>3.3003369311046526E-3</c:v>
                </c:pt>
                <c:pt idx="513">
                  <c:v>3.3082743598988884E-3</c:v>
                </c:pt>
                <c:pt idx="514">
                  <c:v>3.3242705157920938E-3</c:v>
                </c:pt>
                <c:pt idx="515">
                  <c:v>3.3402958818129491E-3</c:v>
                </c:pt>
                <c:pt idx="516">
                  <c:v>3.3483692139757437E-3</c:v>
                </c:pt>
                <c:pt idx="517">
                  <c:v>3.3564697268761989E-3</c:v>
                </c:pt>
                <c:pt idx="518">
                  <c:v>3.4139343761552254E-3</c:v>
                </c:pt>
                <c:pt idx="519">
                  <c:v>3.4723411652404224E-3</c:v>
                </c:pt>
                <c:pt idx="520">
                  <c:v>3.5311807042415211E-3</c:v>
                </c:pt>
                <c:pt idx="521">
                  <c:v>3.590449924812944E-3</c:v>
                </c:pt>
                <c:pt idx="522">
                  <c:v>3.6501488271145632E-3</c:v>
                </c:pt>
                <c:pt idx="523">
                  <c:v>3.7102774113062509E-3</c:v>
                </c:pt>
                <c:pt idx="524">
                  <c:v>3.7708356777077512E-3</c:v>
                </c:pt>
                <c:pt idx="525">
                  <c:v>3.8318236264789363E-3</c:v>
                </c:pt>
                <c:pt idx="526">
                  <c:v>3.8932412579395503E-3</c:v>
                </c:pt>
                <c:pt idx="527">
                  <c:v>3.9550885721695295E-3</c:v>
                </c:pt>
                <c:pt idx="528">
                  <c:v>4.0173655694086818E-3</c:v>
                </c:pt>
                <c:pt idx="529">
                  <c:v>4.0800722498968156E-3</c:v>
                </c:pt>
                <c:pt idx="530">
                  <c:v>4.143208613873739E-3</c:v>
                </c:pt>
                <c:pt idx="531">
                  <c:v>4.2067746616591961E-3</c:v>
                </c:pt>
                <c:pt idx="532">
                  <c:v>4.2707703933331231E-3</c:v>
                </c:pt>
                <c:pt idx="533">
                  <c:v>4.3351958091353282E-3</c:v>
                </c:pt>
                <c:pt idx="534">
                  <c:v>4.4000509093855555E-3</c:v>
                </c:pt>
                <c:pt idx="535">
                  <c:v>4.4653356943236133E-3</c:v>
                </c:pt>
                <c:pt idx="536">
                  <c:v>4.5310501640294376E-3</c:v>
                </c:pt>
                <c:pt idx="537">
                  <c:v>4.5971943189027087E-3</c:v>
                </c:pt>
                <c:pt idx="538">
                  <c:v>4.6637681591032987E-3</c:v>
                </c:pt>
                <c:pt idx="539">
                  <c:v>4.7307716848710157E-3</c:v>
                </c:pt>
                <c:pt idx="540">
                  <c:v>4.7982048965256041E-3</c:v>
                </c:pt>
                <c:pt idx="541">
                  <c:v>4.8660677941469999E-3</c:v>
                </c:pt>
                <c:pt idx="542">
                  <c:v>4.9343603781348833E-3</c:v>
                </c:pt>
                <c:pt idx="543">
                  <c:v>5.0030826486491264E-3</c:v>
                </c:pt>
                <c:pt idx="544">
                  <c:v>5.0722346059295376E-3</c:v>
                </c:pt>
                <c:pt idx="545">
                  <c:v>5.1418162503757969E-3</c:v>
                </c:pt>
                <c:pt idx="546">
                  <c:v>5.2218642773027568E-3</c:v>
                </c:pt>
                <c:pt idx="547">
                  <c:v>5.2923666804183256E-3</c:v>
                </c:pt>
                <c:pt idx="548">
                  <c:v>5.3632987714191671E-3</c:v>
                </c:pt>
                <c:pt idx="549">
                  <c:v>5.4346605505450896E-3</c:v>
                </c:pt>
                <c:pt idx="550">
                  <c:v>5.5064520179559651E-3</c:v>
                </c:pt>
                <c:pt idx="551">
                  <c:v>5.5786731738916018E-3</c:v>
                </c:pt>
                <c:pt idx="552">
                  <c:v>5.65132401875168E-3</c:v>
                </c:pt>
                <c:pt idx="553">
                  <c:v>5.7244045526960718E-3</c:v>
                </c:pt>
                <c:pt idx="554">
                  <c:v>5.7979147761244576E-3</c:v>
                </c:pt>
                <c:pt idx="555">
                  <c:v>5.8718546890368373E-3</c:v>
                </c:pt>
                <c:pt idx="556">
                  <c:v>5.9462242919927633E-3</c:v>
                </c:pt>
                <c:pt idx="557">
                  <c:v>6.0210235849922356E-3</c:v>
                </c:pt>
                <c:pt idx="558">
                  <c:v>6.0962525685948066E-3</c:v>
                </c:pt>
                <c:pt idx="559">
                  <c:v>6.1719112428004763E-3</c:v>
                </c:pt>
                <c:pt idx="560">
                  <c:v>6.2479996080089251E-3</c:v>
                </c:pt>
                <c:pt idx="561">
                  <c:v>6.3466914267582553E-3</c:v>
                </c:pt>
                <c:pt idx="562">
                  <c:v>6.4014654123933923E-3</c:v>
                </c:pt>
                <c:pt idx="563">
                  <c:v>6.4788428522088992E-3</c:v>
                </c:pt>
                <c:pt idx="564">
                  <c:v>6.5566499840663539E-3</c:v>
                </c:pt>
                <c:pt idx="565">
                  <c:v>6.6348868082855006E-3</c:v>
                </c:pt>
                <c:pt idx="566">
                  <c:v>6.7135533251061474E-3</c:v>
                </c:pt>
                <c:pt idx="567">
                  <c:v>6.7926495348480387E-3</c:v>
                </c:pt>
                <c:pt idx="568">
                  <c:v>6.8721754379108546E-3</c:v>
                </c:pt>
                <c:pt idx="569">
                  <c:v>6.9520004957546178E-3</c:v>
                </c:pt>
                <c:pt idx="570">
                  <c:v>7.0319540834251626E-3</c:v>
                </c:pt>
                <c:pt idx="571">
                  <c:v>7.1120351730247222E-3</c:v>
                </c:pt>
                <c:pt idx="572">
                  <c:v>7.1922437647131687E-3</c:v>
                </c:pt>
                <c:pt idx="573">
                  <c:v>7.2725798586503743E-3</c:v>
                </c:pt>
                <c:pt idx="574">
                  <c:v>7.3530434547564028E-3</c:v>
                </c:pt>
                <c:pt idx="575">
                  <c:v>7.4336345532710624E-3</c:v>
                </c:pt>
                <c:pt idx="576">
                  <c:v>7.5143531541943531E-3</c:v>
                </c:pt>
                <c:pt idx="577">
                  <c:v>7.595199257526275E-3</c:v>
                </c:pt>
                <c:pt idx="578">
                  <c:v>7.6761728635865722E-3</c:v>
                </c:pt>
                <c:pt idx="579">
                  <c:v>7.7572739722153727E-3</c:v>
                </c:pt>
                <c:pt idx="580">
                  <c:v>7.8385025837324207E-3</c:v>
                </c:pt>
                <c:pt idx="581">
                  <c:v>7.919858697977844E-3</c:v>
                </c:pt>
                <c:pt idx="582">
                  <c:v>8.001342315271387E-3</c:v>
                </c:pt>
                <c:pt idx="583">
                  <c:v>8.0829534355331134E-3</c:v>
                </c:pt>
                <c:pt idx="584">
                  <c:v>8.1646920589228955E-3</c:v>
                </c:pt>
                <c:pt idx="585">
                  <c:v>8.2465581855206693E-3</c:v>
                </c:pt>
                <c:pt idx="586">
                  <c:v>8.3285518154063709E-3</c:v>
                </c:pt>
                <c:pt idx="587">
                  <c:v>8.4106729486599363E-3</c:v>
                </c:pt>
                <c:pt idx="588">
                  <c:v>8.4929215853613016E-3</c:v>
                </c:pt>
                <c:pt idx="589">
                  <c:v>8.5752977255904028E-3</c:v>
                </c:pt>
                <c:pt idx="590">
                  <c:v>8.6578013695071121E-3</c:v>
                </c:pt>
                <c:pt idx="591">
                  <c:v>8.7404325171913655E-3</c:v>
                </c:pt>
                <c:pt idx="592">
                  <c:v>8.823191168643163E-3</c:v>
                </c:pt>
                <c:pt idx="593">
                  <c:v>8.9060773239424407E-3</c:v>
                </c:pt>
                <c:pt idx="594">
                  <c:v>8.9890909832490706E-3</c:v>
                </c:pt>
                <c:pt idx="595">
                  <c:v>9.0722321466429889E-3</c:v>
                </c:pt>
                <c:pt idx="596">
                  <c:v>9.1555008142041316E-3</c:v>
                </c:pt>
                <c:pt idx="597">
                  <c:v>9.2388969860124348E-3</c:v>
                </c:pt>
                <c:pt idx="598">
                  <c:v>9.3526475175864654E-3</c:v>
                </c:pt>
                <c:pt idx="599">
                  <c:v>9.4302434821535996E-3</c:v>
                </c:pt>
                <c:pt idx="600">
                  <c:v>9.5140630076873123E-3</c:v>
                </c:pt>
                <c:pt idx="601">
                  <c:v>9.5980100836978721E-3</c:v>
                </c:pt>
                <c:pt idx="602">
                  <c:v>9.6820847104517327E-3</c:v>
                </c:pt>
                <c:pt idx="603">
                  <c:v>9.7662868881620568E-3</c:v>
                </c:pt>
                <c:pt idx="604">
                  <c:v>9.8506166171752341E-3</c:v>
                </c:pt>
                <c:pt idx="605">
                  <c:v>9.9350738976777819E-3</c:v>
                </c:pt>
                <c:pt idx="606">
                  <c:v>1.0019658730042735E-2</c:v>
                </c:pt>
                <c:pt idx="607">
                  <c:v>1.0104371114429966E-2</c:v>
                </c:pt>
                <c:pt idx="608">
                  <c:v>1.0189211051185865E-2</c:v>
                </c:pt>
                <c:pt idx="609">
                  <c:v>1.0274178540576884E-2</c:v>
                </c:pt>
                <c:pt idx="610">
                  <c:v>1.0359273582816186E-2</c:v>
                </c:pt>
                <c:pt idx="611">
                  <c:v>1.0480753196038251E-2</c:v>
                </c:pt>
                <c:pt idx="612">
                  <c:v>1.0529846327038683E-2</c:v>
                </c:pt>
                <c:pt idx="613">
                  <c:v>1.061532402958143E-2</c:v>
                </c:pt>
                <c:pt idx="614">
                  <c:v>1.070092928606492E-2</c:v>
                </c:pt>
                <c:pt idx="615">
                  <c:v>1.0786662096835542E-2</c:v>
                </c:pt>
                <c:pt idx="616">
                  <c:v>1.087252246210646E-2</c:v>
                </c:pt>
                <c:pt idx="617">
                  <c:v>1.0958510382170772E-2</c:v>
                </c:pt>
                <c:pt idx="618">
                  <c:v>1.1044625857268286E-2</c:v>
                </c:pt>
                <c:pt idx="619">
                  <c:v>1.1130868887745393E-2</c:v>
                </c:pt>
                <c:pt idx="620">
                  <c:v>1.1217239473815255E-2</c:v>
                </c:pt>
                <c:pt idx="621">
                  <c:v>1.1303633861086126E-2</c:v>
                </c:pt>
                <c:pt idx="622">
                  <c:v>1.1389837846236261E-2</c:v>
                </c:pt>
                <c:pt idx="623">
                  <c:v>1.1475841388044472E-2</c:v>
                </c:pt>
                <c:pt idx="624">
                  <c:v>1.1561644486084433E-2</c:v>
                </c:pt>
                <c:pt idx="625">
                  <c:v>1.1647247139929817E-2</c:v>
                </c:pt>
                <c:pt idx="626">
                  <c:v>1.1732649349127655E-2</c:v>
                </c:pt>
                <c:pt idx="627">
                  <c:v>1.1817851113304911E-2</c:v>
                </c:pt>
                <c:pt idx="628">
                  <c:v>1.190285243198197E-2</c:v>
                </c:pt>
                <c:pt idx="629">
                  <c:v>1.1987653304759149E-2</c:v>
                </c:pt>
                <c:pt idx="630">
                  <c:v>1.2072253731210125E-2</c:v>
                </c:pt>
                <c:pt idx="631">
                  <c:v>1.2156653710881926E-2</c:v>
                </c:pt>
                <c:pt idx="632">
                  <c:v>1.2240853243374872E-2</c:v>
                </c:pt>
                <c:pt idx="633">
                  <c:v>1.2324852328289282E-2</c:v>
                </c:pt>
                <c:pt idx="634">
                  <c:v>1.2408650965172185E-2</c:v>
                </c:pt>
                <c:pt idx="635">
                  <c:v>1.2492249153597257E-2</c:v>
                </c:pt>
                <c:pt idx="636">
                  <c:v>1.2575646893191461E-2</c:v>
                </c:pt>
                <c:pt idx="637">
                  <c:v>1.2658844183475182E-2</c:v>
                </c:pt>
                <c:pt idx="638">
                  <c:v>1.274184102410203E-2</c:v>
                </c:pt>
                <c:pt idx="639">
                  <c:v>1.2824637414592388E-2</c:v>
                </c:pt>
                <c:pt idx="640">
                  <c:v>1.2907233354546577E-2</c:v>
                </c:pt>
                <c:pt idx="641">
                  <c:v>1.2989628843564915E-2</c:v>
                </c:pt>
                <c:pt idx="642">
                  <c:v>1.3071823881221079E-2</c:v>
                </c:pt>
                <c:pt idx="643">
                  <c:v>1.3153818467142031E-2</c:v>
                </c:pt>
                <c:pt idx="644">
                  <c:v>1.3235612600874802E-2</c:v>
                </c:pt>
                <c:pt idx="645">
                  <c:v>1.3317206281993066E-2</c:v>
                </c:pt>
                <c:pt idx="646">
                  <c:v>1.3398599510150433E-2</c:v>
                </c:pt>
                <c:pt idx="647">
                  <c:v>1.3479792284893932E-2</c:v>
                </c:pt>
                <c:pt idx="648">
                  <c:v>1.3560784605823883E-2</c:v>
                </c:pt>
                <c:pt idx="649">
                  <c:v>1.3641576472540606E-2</c:v>
                </c:pt>
                <c:pt idx="650">
                  <c:v>1.3750640196765751E-2</c:v>
                </c:pt>
                <c:pt idx="651">
                  <c:v>1.3824961309989447E-2</c:v>
                </c:pt>
                <c:pt idx="652">
                  <c:v>1.3905088366419349E-2</c:v>
                </c:pt>
                <c:pt idx="653">
                  <c:v>1.3985014946893415E-2</c:v>
                </c:pt>
                <c:pt idx="654">
                  <c:v>1.40647410510919E-2</c:v>
                </c:pt>
                <c:pt idx="655">
                  <c:v>1.4144266679094741E-2</c:v>
                </c:pt>
                <c:pt idx="656">
                  <c:v>1.4223591830502258E-2</c:v>
                </c:pt>
                <c:pt idx="657">
                  <c:v>1.4302716505474322E-2</c:v>
                </c:pt>
                <c:pt idx="658">
                  <c:v>1.438164070369119E-2</c:v>
                </c:pt>
                <c:pt idx="659">
                  <c:v>1.4460364425072925E-2</c:v>
                </c:pt>
                <c:pt idx="660">
                  <c:v>1.4538887669539591E-2</c:v>
                </c:pt>
                <c:pt idx="661">
                  <c:v>1.4617210436771444E-2</c:v>
                </c:pt>
                <c:pt idx="662">
                  <c:v>1.469533272684842E-2</c:v>
                </c:pt>
                <c:pt idx="663">
                  <c:v>1.4773254539610647E-2</c:v>
                </c:pt>
                <c:pt idx="664">
                  <c:v>1.4850975874898253E-2</c:v>
                </c:pt>
                <c:pt idx="665">
                  <c:v>1.4928496732551366E-2</c:v>
                </c:pt>
                <c:pt idx="666">
                  <c:v>1.5027871827104633E-2</c:v>
                </c:pt>
                <c:pt idx="667">
                  <c:v>1.508293701439456E-2</c:v>
                </c:pt>
                <c:pt idx="668">
                  <c:v>1.5159856438424768E-2</c:v>
                </c:pt>
                <c:pt idx="669">
                  <c:v>1.5236575384260931E-2</c:v>
                </c:pt>
                <c:pt idx="670">
                  <c:v>1.5313093851903048E-2</c:v>
                </c:pt>
                <c:pt idx="671">
                  <c:v>1.5389411841031375E-2</c:v>
                </c:pt>
                <c:pt idx="672">
                  <c:v>1.5465529580342974E-2</c:v>
                </c:pt>
                <c:pt idx="673">
                  <c:v>1.554148500613195E-2</c:v>
                </c:pt>
                <c:pt idx="674">
                  <c:v>1.5617307142301584E-2</c:v>
                </c:pt>
                <c:pt idx="675">
                  <c:v>1.5692995988771941E-2</c:v>
                </c:pt>
                <c:pt idx="676">
                  <c:v>1.5768551545383147E-2</c:v>
                </c:pt>
                <c:pt idx="677">
                  <c:v>1.5843973812135204E-2</c:v>
                </c:pt>
                <c:pt idx="678">
                  <c:v>1.5919262788868238E-2</c:v>
                </c:pt>
                <c:pt idx="679">
                  <c:v>1.599441847558225E-2</c:v>
                </c:pt>
                <c:pt idx="680">
                  <c:v>1.6069440872117369E-2</c:v>
                </c:pt>
                <c:pt idx="681">
                  <c:v>1.6144329978393657E-2</c:v>
                </c:pt>
                <c:pt idx="682">
                  <c:v>1.6219085794411114E-2</c:v>
                </c:pt>
                <c:pt idx="683">
                  <c:v>1.629370832000987E-2</c:v>
                </c:pt>
                <c:pt idx="684">
                  <c:v>1.6368197555189923E-2</c:v>
                </c:pt>
                <c:pt idx="685">
                  <c:v>1.6442553499711465E-2</c:v>
                </c:pt>
                <c:pt idx="686">
                  <c:v>1.6516776153654433E-2</c:v>
                </c:pt>
                <c:pt idx="687">
                  <c:v>1.6590865516779019E-2</c:v>
                </c:pt>
                <c:pt idx="688">
                  <c:v>1.6664821589165157E-2</c:v>
                </c:pt>
                <c:pt idx="689">
                  <c:v>1.6738644370732914E-2</c:v>
                </c:pt>
                <c:pt idx="690">
                  <c:v>1.6812333861162543E-2</c:v>
                </c:pt>
                <c:pt idx="691">
                  <c:v>1.6885890060613917E-2</c:v>
                </c:pt>
                <c:pt idx="692">
                  <c:v>1.6959312968927165E-2</c:v>
                </c:pt>
                <c:pt idx="693">
                  <c:v>1.703260258602235E-2</c:v>
                </c:pt>
                <c:pt idx="694">
                  <c:v>1.7105758911819535E-2</c:v>
                </c:pt>
                <c:pt idx="695">
                  <c:v>1.7178781946318722E-2</c:v>
                </c:pt>
                <c:pt idx="696">
                  <c:v>1.7251671689280101E-2</c:v>
                </c:pt>
                <c:pt idx="697">
                  <c:v>1.7324428140623738E-2</c:v>
                </c:pt>
                <c:pt idx="698">
                  <c:v>1.7397051300429567E-2</c:v>
                </c:pt>
                <c:pt idx="699">
                  <c:v>1.7469541168537717E-2</c:v>
                </c:pt>
                <c:pt idx="700">
                  <c:v>1.7541897744788315E-2</c:v>
                </c:pt>
                <c:pt idx="701">
                  <c:v>1.7614121029261298E-2</c:v>
                </c:pt>
                <c:pt idx="702">
                  <c:v>1.7702076401326927E-2</c:v>
                </c:pt>
                <c:pt idx="703">
                  <c:v>1.7768436369847151E-2</c:v>
                </c:pt>
                <c:pt idx="704">
                  <c:v>1.7840240736459734E-2</c:v>
                </c:pt>
                <c:pt idx="705">
                  <c:v>1.791191181089502E-2</c:v>
                </c:pt>
                <c:pt idx="706">
                  <c:v>1.7983449592993139E-2</c:v>
                </c:pt>
                <c:pt idx="707">
                  <c:v>1.805485408275409E-2</c:v>
                </c:pt>
                <c:pt idx="708">
                  <c:v>1.8126125280097938E-2</c:v>
                </c:pt>
                <c:pt idx="709">
                  <c:v>1.8197263184944745E-2</c:v>
                </c:pt>
                <c:pt idx="710">
                  <c:v>1.8268267797214577E-2</c:v>
                </c:pt>
                <c:pt idx="711">
                  <c:v>1.833913911674756E-2</c:v>
                </c:pt>
                <c:pt idx="712">
                  <c:v>1.8409877143543696E-2</c:v>
                </c:pt>
                <c:pt idx="713">
                  <c:v>1.8480481877523047E-2</c:v>
                </c:pt>
                <c:pt idx="714">
                  <c:v>1.8550953318605679E-2</c:v>
                </c:pt>
                <c:pt idx="715">
                  <c:v>1.8621291466631718E-2</c:v>
                </c:pt>
                <c:pt idx="716">
                  <c:v>1.86914963216811E-2</c:v>
                </c:pt>
                <c:pt idx="717">
                  <c:v>1.8781563847438676E-2</c:v>
                </c:pt>
                <c:pt idx="718">
                  <c:v>1.8851464032278997E-2</c:v>
                </c:pt>
                <c:pt idx="719">
                  <c:v>1.8937656058255481E-2</c:v>
                </c:pt>
                <c:pt idx="720">
                  <c:v>1.8990864521910567E-2</c:v>
                </c:pt>
                <c:pt idx="721">
                  <c:v>1.9060364826621878E-2</c:v>
                </c:pt>
                <c:pt idx="722">
                  <c:v>1.9129731837717046E-2</c:v>
                </c:pt>
                <c:pt idx="723">
                  <c:v>1.9198965555196068E-2</c:v>
                </c:pt>
                <c:pt idx="724">
                  <c:v>1.9268063139490366E-2</c:v>
                </c:pt>
                <c:pt idx="725">
                  <c:v>1.9336992608902648E-2</c:v>
                </c:pt>
                <c:pt idx="726">
                  <c:v>1.9405744846965334E-2</c:v>
                </c:pt>
                <c:pt idx="727">
                  <c:v>1.9474319853758359E-2</c:v>
                </c:pt>
                <c:pt idx="728">
                  <c:v>1.9542717628882045E-2</c:v>
                </c:pt>
                <c:pt idx="729">
                  <c:v>1.9610938172576198E-2</c:v>
                </c:pt>
                <c:pt idx="730">
                  <c:v>1.967898148460101E-2</c:v>
                </c:pt>
                <c:pt idx="731">
                  <c:v>1.974684756479661E-2</c:v>
                </c:pt>
                <c:pt idx="732">
                  <c:v>1.9814536413162998E-2</c:v>
                </c:pt>
                <c:pt idx="733">
                  <c:v>1.9882048029460364E-2</c:v>
                </c:pt>
                <c:pt idx="734">
                  <c:v>1.9949382413768646E-2</c:v>
                </c:pt>
                <c:pt idx="735">
                  <c:v>2.0016539565848035E-2</c:v>
                </c:pt>
                <c:pt idx="736">
                  <c:v>2.0083519485698531E-2</c:v>
                </c:pt>
                <c:pt idx="737">
                  <c:v>2.0150322173160262E-2</c:v>
                </c:pt>
                <c:pt idx="738">
                  <c:v>2.0216947628153292E-2</c:v>
                </c:pt>
                <c:pt idx="739">
                  <c:v>2.0283395850517749E-2</c:v>
                </c:pt>
                <c:pt idx="740">
                  <c:v>2.0349666840253633E-2</c:v>
                </c:pt>
                <c:pt idx="741">
                  <c:v>2.0415760597281007E-2</c:v>
                </c:pt>
                <c:pt idx="742">
                  <c:v>2.0481677121360065E-2</c:v>
                </c:pt>
                <c:pt idx="743">
                  <c:v>2.0547416412490804E-2</c:v>
                </c:pt>
                <c:pt idx="744">
                  <c:v>2.0612978470513355E-2</c:v>
                </c:pt>
                <c:pt idx="745">
                  <c:v>2.0678363295507651E-2</c:v>
                </c:pt>
                <c:pt idx="746">
                  <c:v>2.074357088715395E-2</c:v>
                </c:pt>
                <c:pt idx="747">
                  <c:v>2.0808601245452252E-2</c:v>
                </c:pt>
                <c:pt idx="748">
                  <c:v>2.0873454370322619E-2</c:v>
                </c:pt>
                <c:pt idx="749">
                  <c:v>2.0938130261605181E-2</c:v>
                </c:pt>
                <c:pt idx="750">
                  <c:v>2.1002628919299937E-2</c:v>
                </c:pt>
                <c:pt idx="751">
                  <c:v>2.1066950343247015E-2</c:v>
                </c:pt>
                <c:pt idx="752">
                  <c:v>2.1131094533446415E-2</c:v>
                </c:pt>
                <c:pt idx="753">
                  <c:v>2.1210617660489817E-2</c:v>
                </c:pt>
                <c:pt idx="754">
                  <c:v>2.1274380688987016E-2</c:v>
                </c:pt>
                <c:pt idx="755">
                  <c:v>2.1322463699799954E-2</c:v>
                </c:pt>
                <c:pt idx="756">
                  <c:v>2.1385898953729665E-2</c:v>
                </c:pt>
                <c:pt idx="757">
                  <c:v>2.144915697327221E-2</c:v>
                </c:pt>
                <c:pt idx="758">
                  <c:v>2.1512237758507524E-2</c:v>
                </c:pt>
                <c:pt idx="759">
                  <c:v>2.1575141309115864E-2</c:v>
                </c:pt>
                <c:pt idx="760">
                  <c:v>2.1637867625257101E-2</c:v>
                </c:pt>
                <c:pt idx="761">
                  <c:v>2.1700416706691428E-2</c:v>
                </c:pt>
                <c:pt idx="762">
                  <c:v>2.1762788553418844E-2</c:v>
                </c:pt>
                <c:pt idx="763">
                  <c:v>2.1824983165199541E-2</c:v>
                </c:pt>
                <c:pt idx="764">
                  <c:v>2.1887000542113455E-2</c:v>
                </c:pt>
                <c:pt idx="765">
                  <c:v>2.1948840683920778E-2</c:v>
                </c:pt>
                <c:pt idx="766">
                  <c:v>2.2010503590621511E-2</c:v>
                </c:pt>
                <c:pt idx="767">
                  <c:v>2.2092231408638696E-2</c:v>
                </c:pt>
                <c:pt idx="768">
                  <c:v>2.2133297698303522E-2</c:v>
                </c:pt>
                <c:pt idx="769">
                  <c:v>2.2194428899044993E-2</c:v>
                </c:pt>
                <c:pt idx="770">
                  <c:v>2.2255382864280193E-2</c:v>
                </c:pt>
                <c:pt idx="771">
                  <c:v>2.2316159594009122E-2</c:v>
                </c:pt>
                <c:pt idx="772">
                  <c:v>2.2376759088071907E-2</c:v>
                </c:pt>
                <c:pt idx="773">
                  <c:v>2.2437181346228741E-2</c:v>
                </c:pt>
                <c:pt idx="774">
                  <c:v>2.2497426368639495E-2</c:v>
                </c:pt>
                <c:pt idx="775">
                  <c:v>2.2557494155144298E-2</c:v>
                </c:pt>
                <c:pt idx="776">
                  <c:v>2.26173809194119E-2</c:v>
                </c:pt>
                <c:pt idx="777">
                  <c:v>2.2676980649443124E-2</c:v>
                </c:pt>
                <c:pt idx="778">
                  <c:v>2.273624412509001E-2</c:v>
                </c:pt>
                <c:pt idx="779">
                  <c:v>2.2795171346352561E-2</c:v>
                </c:pt>
                <c:pt idx="780">
                  <c:v>2.2853762312831094E-2</c:v>
                </c:pt>
                <c:pt idx="781">
                  <c:v>2.2912017024605547E-2</c:v>
                </c:pt>
                <c:pt idx="782">
                  <c:v>2.2969935481356174E-2</c:v>
                </c:pt>
                <c:pt idx="783">
                  <c:v>2.3027517683082976E-2</c:v>
                </c:pt>
                <c:pt idx="784">
                  <c:v>2.3084763629386273E-2</c:v>
                </c:pt>
                <c:pt idx="785">
                  <c:v>2.3141673320266065E-2</c:v>
                </c:pt>
                <c:pt idx="786">
                  <c:v>2.3198246755642415E-2</c:v>
                </c:pt>
                <c:pt idx="787">
                  <c:v>2.3254483935115644E-2</c:v>
                </c:pt>
                <c:pt idx="788">
                  <c:v>2.3310384858685751E-2</c:v>
                </c:pt>
                <c:pt idx="789">
                  <c:v>2.3365949526112928E-2</c:v>
                </c:pt>
                <c:pt idx="790">
                  <c:v>2.3421177937397175E-2</c:v>
                </c:pt>
                <c:pt idx="791">
                  <c:v>2.3476070092218748E-2</c:v>
                </c:pt>
                <c:pt idx="792">
                  <c:v>2.3530625990497711E-2</c:v>
                </c:pt>
                <c:pt idx="793">
                  <c:v>2.3584845632154128E-2</c:v>
                </c:pt>
                <c:pt idx="794">
                  <c:v>2.3638729016868254E-2</c:v>
                </c:pt>
                <c:pt idx="795">
                  <c:v>2.369227614464009E-2</c:v>
                </c:pt>
                <c:pt idx="796">
                  <c:v>2.3745487015149891E-2</c:v>
                </c:pt>
                <c:pt idx="797">
                  <c:v>2.3798361628397657E-2</c:v>
                </c:pt>
                <c:pt idx="798">
                  <c:v>2.3850899984223517E-2</c:v>
                </c:pt>
                <c:pt idx="799">
                  <c:v>2.3903102082387662E-2</c:v>
                </c:pt>
                <c:pt idx="800">
                  <c:v>2.3954967922970027E-2</c:v>
                </c:pt>
                <c:pt idx="801">
                  <c:v>2.4006497505490998E-2</c:v>
                </c:pt>
                <c:pt idx="802">
                  <c:v>2.4057690830030509E-2</c:v>
                </c:pt>
                <c:pt idx="803">
                  <c:v>2.4108547896348753E-2</c:v>
                </c:pt>
                <c:pt idx="804">
                  <c:v>2.4159068704365794E-2</c:v>
                </c:pt>
                <c:pt idx="805">
                  <c:v>2.4209253253921759E-2</c:v>
                </c:pt>
                <c:pt idx="806">
                  <c:v>2.4259101544856776E-2</c:v>
                </c:pt>
                <c:pt idx="807">
                  <c:v>2.430861357709091E-2</c:v>
                </c:pt>
                <c:pt idx="808">
                  <c:v>2.4357789350384351E-2</c:v>
                </c:pt>
                <c:pt idx="809">
                  <c:v>2.4406628864657165E-2</c:v>
                </c:pt>
                <c:pt idx="810">
                  <c:v>2.4455132119749479E-2</c:v>
                </c:pt>
                <c:pt idx="811">
                  <c:v>2.4503299115581356E-2</c:v>
                </c:pt>
                <c:pt idx="812">
                  <c:v>2.4551129852072862E-2</c:v>
                </c:pt>
                <c:pt idx="813">
                  <c:v>2.4598624328904251E-2</c:v>
                </c:pt>
                <c:pt idx="814">
                  <c:v>2.4645782546075523E-2</c:v>
                </c:pt>
                <c:pt idx="815">
                  <c:v>2.4692604503426807E-2</c:v>
                </c:pt>
                <c:pt idx="816">
                  <c:v>2.4739090200718294E-2</c:v>
                </c:pt>
                <c:pt idx="817">
                  <c:v>2.4785239638029921E-2</c:v>
                </c:pt>
                <c:pt idx="818">
                  <c:v>2.4831052815041943E-2</c:v>
                </c:pt>
                <c:pt idx="819">
                  <c:v>2.487652973175436E-2</c:v>
                </c:pt>
                <c:pt idx="820">
                  <c:v>2.49216703880073E-2</c:v>
                </c:pt>
                <c:pt idx="821">
                  <c:v>2.4982674104181868E-2</c:v>
                </c:pt>
                <c:pt idx="822">
                  <c:v>2.501094291849526E-2</c:v>
                </c:pt>
                <c:pt idx="823">
                  <c:v>2.5055074792570409E-2</c:v>
                </c:pt>
                <c:pt idx="824">
                  <c:v>2.5098870405626528E-2</c:v>
                </c:pt>
                <c:pt idx="825">
                  <c:v>2.5142329757583681E-2</c:v>
                </c:pt>
                <c:pt idx="826">
                  <c:v>2.5185452848281997E-2</c:v>
                </c:pt>
                <c:pt idx="827">
                  <c:v>2.5228239677721476E-2</c:v>
                </c:pt>
                <c:pt idx="828">
                  <c:v>2.5270690013527997E-2</c:v>
                </c:pt>
                <c:pt idx="829">
                  <c:v>2.5312765330758324E-2</c:v>
                </c:pt>
                <c:pt idx="830">
                  <c:v>2.5354436155069493E-2</c:v>
                </c:pt>
                <c:pt idx="831">
                  <c:v>2.5395702486461502E-2</c:v>
                </c:pt>
                <c:pt idx="832">
                  <c:v>2.5436564324854416E-2</c:v>
                </c:pt>
                <c:pt idx="833">
                  <c:v>2.547702166992849E-2</c:v>
                </c:pt>
                <c:pt idx="834">
                  <c:v>2.5517074521683725E-2</c:v>
                </c:pt>
                <c:pt idx="835">
                  <c:v>2.5556722879960247E-2</c:v>
                </c:pt>
                <c:pt idx="836">
                  <c:v>2.5595966744598186E-2</c:v>
                </c:pt>
                <c:pt idx="837">
                  <c:v>2.5634806115437669E-2</c:v>
                </c:pt>
                <c:pt idx="838">
                  <c:v>2.567324099239876E-2</c:v>
                </c:pt>
                <c:pt idx="839">
                  <c:v>2.5711271375401523E-2</c:v>
                </c:pt>
                <c:pt idx="840">
                  <c:v>2.574889726420615E-2</c:v>
                </c:pt>
                <c:pt idx="841">
                  <c:v>2.5786118658732704E-2</c:v>
                </c:pt>
                <c:pt idx="842">
                  <c:v>2.5822935558821314E-2</c:v>
                </c:pt>
                <c:pt idx="843">
                  <c:v>2.5859347964471979E-2</c:v>
                </c:pt>
                <c:pt idx="844">
                  <c:v>2.5895355875444892E-2</c:v>
                </c:pt>
                <c:pt idx="845">
                  <c:v>2.5930959291660116E-2</c:v>
                </c:pt>
                <c:pt idx="846">
                  <c:v>2.5966158212957779E-2</c:v>
                </c:pt>
                <c:pt idx="847">
                  <c:v>2.6000952639257946E-2</c:v>
                </c:pt>
                <c:pt idx="848">
                  <c:v>2.6035342570400744E-2</c:v>
                </c:pt>
                <c:pt idx="849">
                  <c:v>2.6069328006386172E-2</c:v>
                </c:pt>
                <c:pt idx="850">
                  <c:v>2.6102908946974424E-2</c:v>
                </c:pt>
                <c:pt idx="851">
                  <c:v>2.6136085392085562E-2</c:v>
                </c:pt>
                <c:pt idx="852">
                  <c:v>2.6168857341639651E-2</c:v>
                </c:pt>
                <c:pt idx="853">
                  <c:v>2.6201224795476818E-2</c:v>
                </c:pt>
                <c:pt idx="854">
                  <c:v>2.6233187753517129E-2</c:v>
                </c:pt>
                <c:pt idx="855">
                  <c:v>2.6264746215600709E-2</c:v>
                </c:pt>
                <c:pt idx="856">
                  <c:v>2.6295900181807497E-2</c:v>
                </c:pt>
                <c:pt idx="857">
                  <c:v>2.6326649651817746E-2</c:v>
                </c:pt>
                <c:pt idx="858">
                  <c:v>2.6356994625631458E-2</c:v>
                </c:pt>
                <c:pt idx="859">
                  <c:v>2.638693510308876E-2</c:v>
                </c:pt>
                <c:pt idx="860">
                  <c:v>2.6416471084109716E-2</c:v>
                </c:pt>
                <c:pt idx="861">
                  <c:v>2.644560256861439E-2</c:v>
                </c:pt>
                <c:pt idx="862">
                  <c:v>2.647432955644291E-2</c:v>
                </c:pt>
                <c:pt idx="863">
                  <c:v>2.6502652047675213E-2</c:v>
                </c:pt>
                <c:pt idx="864">
                  <c:v>2.6530570041991552E-2</c:v>
                </c:pt>
                <c:pt idx="865">
                  <c:v>2.655808353939193E-2</c:v>
                </c:pt>
                <c:pt idx="866">
                  <c:v>2.6585192539876346E-2</c:v>
                </c:pt>
                <c:pt idx="867">
                  <c:v>2.6611897043204991E-2</c:v>
                </c:pt>
                <c:pt idx="868">
                  <c:v>2.6638197049457801E-2</c:v>
                </c:pt>
                <c:pt idx="869">
                  <c:v>2.6664092558315033E-2</c:v>
                </c:pt>
                <c:pt idx="870">
                  <c:v>2.6689583569856623E-2</c:v>
                </c:pt>
                <c:pt idx="871">
                  <c:v>2.6714670083922698E-2</c:v>
                </c:pt>
                <c:pt idx="872">
                  <c:v>2.6750296103912774E-2</c:v>
                </c:pt>
                <c:pt idx="873">
                  <c:v>2.6763629619388496E-2</c:v>
                </c:pt>
                <c:pt idx="874">
                  <c:v>2.6787502640628347E-2</c:v>
                </c:pt>
                <c:pt idx="875">
                  <c:v>2.6810971164152875E-2</c:v>
                </c:pt>
                <c:pt idx="876">
                  <c:v>2.6834035189802208E-2</c:v>
                </c:pt>
                <c:pt idx="877">
                  <c:v>2.685669471749641E-2</c:v>
                </c:pt>
                <c:pt idx="878">
                  <c:v>2.6878949747155545E-2</c:v>
                </c:pt>
                <c:pt idx="879">
                  <c:v>2.6900800278779613E-2</c:v>
                </c:pt>
                <c:pt idx="880">
                  <c:v>2.6922246312208742E-2</c:v>
                </c:pt>
                <c:pt idx="881">
                  <c:v>2.6943549677360679E-2</c:v>
                </c:pt>
                <c:pt idx="882">
                  <c:v>2.6965052608636242E-2</c:v>
                </c:pt>
                <c:pt idx="883">
                  <c:v>2.698675716782617E-2</c:v>
                </c:pt>
                <c:pt idx="884">
                  <c:v>2.7008663354850526E-2</c:v>
                </c:pt>
                <c:pt idx="885">
                  <c:v>2.7030771169869183E-2</c:v>
                </c:pt>
                <c:pt idx="886">
                  <c:v>2.7053080612882141E-2</c:v>
                </c:pt>
                <c:pt idx="887">
                  <c:v>2.7075591683809463E-2</c:v>
                </c:pt>
                <c:pt idx="888">
                  <c:v>2.7098304382731087E-2</c:v>
                </c:pt>
                <c:pt idx="889">
                  <c:v>2.7121218709806882E-2</c:v>
                </c:pt>
                <c:pt idx="890">
                  <c:v>2.7144334664956915E-2</c:v>
                </c:pt>
                <c:pt idx="891">
                  <c:v>2.716765224826112E-2</c:v>
                </c:pt>
                <c:pt idx="892">
                  <c:v>2.7191171459799435E-2</c:v>
                </c:pt>
                <c:pt idx="893">
                  <c:v>2.7214892299491922E-2</c:v>
                </c:pt>
                <c:pt idx="894">
                  <c:v>2.7238814767498454E-2</c:v>
                </c:pt>
                <c:pt idx="895">
                  <c:v>2.7262938863739095E-2</c:v>
                </c:pt>
                <c:pt idx="896">
                  <c:v>2.7287264588453652E-2</c:v>
                </c:pt>
                <c:pt idx="897">
                  <c:v>2.7311791941482255E-2</c:v>
                </c:pt>
                <c:pt idx="898">
                  <c:v>2.7336520922984775E-2</c:v>
                </c:pt>
                <c:pt idx="899">
                  <c:v>2.7361451532961212E-2</c:v>
                </c:pt>
                <c:pt idx="900">
                  <c:v>2.738658377133163E-2</c:v>
                </c:pt>
                <c:pt idx="901">
                  <c:v>2.7411917638415773E-2</c:v>
                </c:pt>
                <c:pt idx="902">
                  <c:v>2.7437453134053769E-2</c:v>
                </c:pt>
                <c:pt idx="903">
                  <c:v>2.7463190258325554E-2</c:v>
                </c:pt>
                <c:pt idx="904">
                  <c:v>2.7489129011231128E-2</c:v>
                </c:pt>
                <c:pt idx="905">
                  <c:v>2.7515269392930364E-2</c:v>
                </c:pt>
                <c:pt idx="906">
                  <c:v>2.7541611403423261E-2</c:v>
                </c:pt>
                <c:pt idx="907">
                  <c:v>2.7568155042709819E-2</c:v>
                </c:pt>
                <c:pt idx="908">
                  <c:v>2.7594900310790038E-2</c:v>
                </c:pt>
                <c:pt idx="909">
                  <c:v>2.7621847207823791E-2</c:v>
                </c:pt>
                <c:pt idx="910">
                  <c:v>2.766193076050083E-2</c:v>
                </c:pt>
                <c:pt idx="911">
                  <c:v>2.7686327609082184E-2</c:v>
                </c:pt>
                <c:pt idx="912">
                  <c:v>2.7713941250055996E-2</c:v>
                </c:pt>
                <c:pt idx="913">
                  <c:v>2.774175655547495E-2</c:v>
                </c:pt>
                <c:pt idx="914">
                  <c:v>2.7769773525418984E-2</c:v>
                </c:pt>
                <c:pt idx="915">
                  <c:v>2.7797992160047968E-2</c:v>
                </c:pt>
                <c:pt idx="916">
                  <c:v>2.7826412459521777E-2</c:v>
                </c:pt>
                <c:pt idx="917">
                  <c:v>2.7855034423973635E-2</c:v>
                </c:pt>
                <c:pt idx="918">
                  <c:v>2.7883858053563415E-2</c:v>
                </c:pt>
                <c:pt idx="919">
                  <c:v>2.7912883348424344E-2</c:v>
                </c:pt>
                <c:pt idx="920">
                  <c:v>2.7942110308689649E-2</c:v>
                </c:pt>
                <c:pt idx="921">
                  <c:v>2.7971538934519202E-2</c:v>
                </c:pt>
                <c:pt idx="922">
                  <c:v>2.8001169226072875E-2</c:v>
                </c:pt>
                <c:pt idx="923">
                  <c:v>2.804166235063299E-2</c:v>
                </c:pt>
                <c:pt idx="924">
                  <c:v>2.8061034806885488E-2</c:v>
                </c:pt>
                <c:pt idx="925">
                  <c:v>2.8091270096464172E-2</c:v>
                </c:pt>
                <c:pt idx="926">
                  <c:v>2.8121707052353173E-2</c:v>
                </c:pt>
                <c:pt idx="927">
                  <c:v>2.8152345674685719E-2</c:v>
                </c:pt>
                <c:pt idx="928">
                  <c:v>2.8189825679918457E-2</c:v>
                </c:pt>
                <c:pt idx="929">
                  <c:v>2.8220920382091563E-2</c:v>
                </c:pt>
                <c:pt idx="930">
                  <c:v>2.8252216714257372E-2</c:v>
                </c:pt>
                <c:pt idx="931">
                  <c:v>2.8283714676575755E-2</c:v>
                </c:pt>
                <c:pt idx="932">
                  <c:v>2.8315412788870731E-2</c:v>
                </c:pt>
                <c:pt idx="933">
                  <c:v>2.834706537726106E-2</c:v>
                </c:pt>
                <c:pt idx="934">
                  <c:v>2.8378484486175637E-2</c:v>
                </c:pt>
                <c:pt idx="935">
                  <c:v>2.840967011561446E-2</c:v>
                </c:pt>
                <c:pt idx="936">
                  <c:v>2.8440622265497595E-2</c:v>
                </c:pt>
                <c:pt idx="937">
                  <c:v>2.8471340935745104E-2</c:v>
                </c:pt>
                <c:pt idx="938">
                  <c:v>2.8501826126356988E-2</c:v>
                </c:pt>
                <c:pt idx="939">
                  <c:v>2.8532077837093439E-2</c:v>
                </c:pt>
                <c:pt idx="940">
                  <c:v>2.8562096068114329E-2</c:v>
                </c:pt>
                <c:pt idx="941">
                  <c:v>2.8591880819259785E-2</c:v>
                </c:pt>
                <c:pt idx="942">
                  <c:v>2.8621432090529808E-2</c:v>
                </c:pt>
                <c:pt idx="943">
                  <c:v>2.8650749881764526E-2</c:v>
                </c:pt>
                <c:pt idx="944">
                  <c:v>2.8679834193043874E-2</c:v>
                </c:pt>
                <c:pt idx="945">
                  <c:v>2.8708685024207981E-2</c:v>
                </c:pt>
                <c:pt idx="946">
                  <c:v>2.873730237517691E-2</c:v>
                </c:pt>
                <c:pt idx="947">
                  <c:v>2.8765686245950661E-2</c:v>
                </c:pt>
                <c:pt idx="948">
                  <c:v>2.8793836636529235E-2</c:v>
                </c:pt>
                <c:pt idx="949">
                  <c:v>2.8821753546672824E-2</c:v>
                </c:pt>
                <c:pt idx="950">
                  <c:v>2.8849436976541298E-2</c:v>
                </c:pt>
                <c:pt idx="951">
                  <c:v>2.8876886925974787E-2</c:v>
                </c:pt>
                <c:pt idx="952">
                  <c:v>2.8904103394973291E-2</c:v>
                </c:pt>
                <c:pt idx="953">
                  <c:v>2.8931086383376936E-2</c:v>
                </c:pt>
                <c:pt idx="954">
                  <c:v>2.8957835891345596E-2</c:v>
                </c:pt>
                <c:pt idx="955">
                  <c:v>2.8984351918559526E-2</c:v>
                </c:pt>
                <c:pt idx="956">
                  <c:v>2.9010634465098661E-2</c:v>
                </c:pt>
                <c:pt idx="957">
                  <c:v>2.9036683530883067E-2</c:v>
                </c:pt>
                <c:pt idx="958">
                  <c:v>2.9062499115912743E-2</c:v>
                </c:pt>
                <c:pt idx="959">
                  <c:v>2.9088081220107753E-2</c:v>
                </c:pt>
                <c:pt idx="960">
                  <c:v>2.9113429843388161E-2</c:v>
                </c:pt>
                <c:pt idx="961">
                  <c:v>2.9138544985753967E-2</c:v>
                </c:pt>
                <c:pt idx="962">
                  <c:v>2.9169909146862238E-2</c:v>
                </c:pt>
                <c:pt idx="963">
                  <c:v>2.9191576936584696E-2</c:v>
                </c:pt>
                <c:pt idx="964">
                  <c:v>2.9215958281367804E-2</c:v>
                </c:pt>
                <c:pt idx="965">
                  <c:v>2.9240106145076439E-2</c:v>
                </c:pt>
                <c:pt idx="966">
                  <c:v>2.9264020527630663E-2</c:v>
                </c:pt>
                <c:pt idx="967">
                  <c:v>2.9287701428950541E-2</c:v>
                </c:pt>
                <c:pt idx="968">
                  <c:v>2.9311148849036073E-2</c:v>
                </c:pt>
                <c:pt idx="969">
                  <c:v>2.9334362787727386E-2</c:v>
                </c:pt>
                <c:pt idx="970">
                  <c:v>2.9357343245104417E-2</c:v>
                </c:pt>
                <c:pt idx="971">
                  <c:v>2.9380090221007293E-2</c:v>
                </c:pt>
                <c:pt idx="972">
                  <c:v>2.9402603715515951E-2</c:v>
                </c:pt>
                <c:pt idx="973">
                  <c:v>2.9424883728470519E-2</c:v>
                </c:pt>
                <c:pt idx="974">
                  <c:v>2.9446930259950932E-2</c:v>
                </c:pt>
                <c:pt idx="975">
                  <c:v>2.9468743309797318E-2</c:v>
                </c:pt>
                <c:pt idx="976">
                  <c:v>2.9490322878089614E-2</c:v>
                </c:pt>
                <c:pt idx="977">
                  <c:v>2.9511668964667948E-2</c:v>
                </c:pt>
                <c:pt idx="978">
                  <c:v>2.953877085795753E-2</c:v>
                </c:pt>
                <c:pt idx="979">
                  <c:v>2.9567913375077026E-2</c:v>
                </c:pt>
                <c:pt idx="980">
                  <c:v>2.9580162204307925E-2</c:v>
                </c:pt>
                <c:pt idx="981">
                  <c:v>2.960050765467237E-2</c:v>
                </c:pt>
                <c:pt idx="982">
                  <c:v>2.9620619623242916E-2</c:v>
                </c:pt>
                <c:pt idx="983">
                  <c:v>2.9640498109779756E-2</c:v>
                </c:pt>
                <c:pt idx="984">
                  <c:v>2.9660143114442761E-2</c:v>
                </c:pt>
                <c:pt idx="985">
                  <c:v>2.9679554637151995E-2</c:v>
                </c:pt>
                <c:pt idx="986">
                  <c:v>2.9698732677747586E-2</c:v>
                </c:pt>
                <c:pt idx="987">
                  <c:v>2.971767723630947E-2</c:v>
                </c:pt>
                <c:pt idx="988">
                  <c:v>2.9736388312757711E-2</c:v>
                </c:pt>
                <c:pt idx="989">
                  <c:v>2.9754865907012373E-2</c:v>
                </c:pt>
                <c:pt idx="990">
                  <c:v>2.9773110019153393E-2</c:v>
                </c:pt>
                <c:pt idx="991">
                  <c:v>2.9791120649020897E-2</c:v>
                </c:pt>
                <c:pt idx="992">
                  <c:v>2.9808897796694822E-2</c:v>
                </c:pt>
                <c:pt idx="993">
                  <c:v>2.9826441462015296E-2</c:v>
                </c:pt>
                <c:pt idx="994">
                  <c:v>2.9843751645062255E-2</c:v>
                </c:pt>
                <c:pt idx="995">
                  <c:v>2.9860828345755763E-2</c:v>
                </c:pt>
                <c:pt idx="996">
                  <c:v>2.987767156409582E-2</c:v>
                </c:pt>
                <c:pt idx="997">
                  <c:v>2.9894281299922554E-2</c:v>
                </c:pt>
                <c:pt idx="998">
                  <c:v>2.9910657553395836E-2</c:v>
                </c:pt>
                <c:pt idx="999">
                  <c:v>2.992680032427586E-2</c:v>
                </c:pt>
                <c:pt idx="1000">
                  <c:v>2.9942709612802432E-2</c:v>
                </c:pt>
                <c:pt idx="1001">
                  <c:v>2.9958385418655809E-2</c:v>
                </c:pt>
                <c:pt idx="1002">
                  <c:v>2.9973827741915926E-2</c:v>
                </c:pt>
                <c:pt idx="1003">
                  <c:v>2.998903658266272E-2</c:v>
                </c:pt>
                <c:pt idx="1004">
                  <c:v>3.0004011940656383E-2</c:v>
                </c:pt>
                <c:pt idx="1005">
                  <c:v>3.0018753816056787E-2</c:v>
                </c:pt>
                <c:pt idx="1006">
                  <c:v>3.0033262208783995E-2</c:v>
                </c:pt>
                <c:pt idx="1007">
                  <c:v>3.0047537118758072E-2</c:v>
                </c:pt>
                <c:pt idx="1008">
                  <c:v>3.0061578545979017E-2</c:v>
                </c:pt>
                <c:pt idx="1009">
                  <c:v>3.0075386490446832E-2</c:v>
                </c:pt>
                <c:pt idx="1010">
                  <c:v>3.0088960952081578E-2</c:v>
                </c:pt>
                <c:pt idx="1011">
                  <c:v>3.0102301930883257E-2</c:v>
                </c:pt>
                <c:pt idx="1012">
                  <c:v>3.0115409426851869E-2</c:v>
                </c:pt>
                <c:pt idx="1013">
                  <c:v>3.0135535189748097E-2</c:v>
                </c:pt>
                <c:pt idx="1014">
                  <c:v>3.0147015287473877E-2</c:v>
                </c:pt>
                <c:pt idx="1015">
                  <c:v>3.0153331017279683E-2</c:v>
                </c:pt>
                <c:pt idx="1016">
                  <c:v>3.0165504581516345E-2</c:v>
                </c:pt>
                <c:pt idx="1017">
                  <c:v>3.0177444662840003E-2</c:v>
                </c:pt>
                <c:pt idx="1018">
                  <c:v>3.0189151261170721E-2</c:v>
                </c:pt>
                <c:pt idx="1019">
                  <c:v>3.02006243765085E-2</c:v>
                </c:pt>
                <c:pt idx="1020">
                  <c:v>3.0211864008693468E-2</c:v>
                </c:pt>
                <c:pt idx="1021">
                  <c:v>3.0222870157805559E-2</c:v>
                </c:pt>
                <c:pt idx="1022">
                  <c:v>3.0233642823844775E-2</c:v>
                </c:pt>
                <c:pt idx="1023">
                  <c:v>3.0244182006811116E-2</c:v>
                </c:pt>
                <c:pt idx="1024">
                  <c:v>3.0254487706624644E-2</c:v>
                </c:pt>
                <c:pt idx="1025">
                  <c:v>3.0264559923285361E-2</c:v>
                </c:pt>
                <c:pt idx="1026">
                  <c:v>3.0274398656713331E-2</c:v>
                </c:pt>
                <c:pt idx="1027">
                  <c:v>3.0291797066897885E-2</c:v>
                </c:pt>
                <c:pt idx="1028">
                  <c:v>3.029337567419077E-2</c:v>
                </c:pt>
                <c:pt idx="1029">
                  <c:v>3.0302513958080368E-2</c:v>
                </c:pt>
                <c:pt idx="1030">
                  <c:v>3.0311418758577346E-2</c:v>
                </c:pt>
                <c:pt idx="1031">
                  <c:v>3.0325745986221619E-2</c:v>
                </c:pt>
                <c:pt idx="1032">
                  <c:v>3.0328527909952996E-2</c:v>
                </c:pt>
                <c:pt idx="1033">
                  <c:v>3.0336732260751731E-2</c:v>
                </c:pt>
                <c:pt idx="1034">
                  <c:v>3.0344703128237782E-2</c:v>
                </c:pt>
                <c:pt idx="1035">
                  <c:v>3.0352440512331214E-2</c:v>
                </c:pt>
                <c:pt idx="1036">
                  <c:v>3.0359950604559316E-2</c:v>
                </c:pt>
                <c:pt idx="1037">
                  <c:v>3.0367303139300361E-2</c:v>
                </c:pt>
                <c:pt idx="1038">
                  <c:v>3.0374517994413708E-2</c:v>
                </c:pt>
                <c:pt idx="1039">
                  <c:v>3.0381595169579612E-2</c:v>
                </c:pt>
                <c:pt idx="1040">
                  <c:v>3.0388534665037881E-2</c:v>
                </c:pt>
                <c:pt idx="1041">
                  <c:v>3.0395336480708579E-2</c:v>
                </c:pt>
                <c:pt idx="1042">
                  <c:v>3.0402000616591707E-2</c:v>
                </c:pt>
                <c:pt idx="1043">
                  <c:v>3.0408527072687264E-2</c:v>
                </c:pt>
                <c:pt idx="1044">
                  <c:v>3.041491584899525E-2</c:v>
                </c:pt>
                <c:pt idx="1045">
                  <c:v>3.0421166945435729E-2</c:v>
                </c:pt>
                <c:pt idx="1046">
                  <c:v>3.0427280362008702E-2</c:v>
                </c:pt>
                <c:pt idx="1047">
                  <c:v>3.043325609887404E-2</c:v>
                </c:pt>
                <c:pt idx="1048">
                  <c:v>3.0439094155791935E-2</c:v>
                </c:pt>
                <c:pt idx="1049">
                  <c:v>3.0444794532842323E-2</c:v>
                </c:pt>
                <c:pt idx="1050">
                  <c:v>3.0450357230105141E-2</c:v>
                </c:pt>
                <c:pt idx="1051">
                  <c:v>3.0455782247500451E-2</c:v>
                </c:pt>
                <c:pt idx="1052">
                  <c:v>3.0461069584948319E-2</c:v>
                </c:pt>
                <c:pt idx="1053">
                  <c:v>3.0466219242608616E-2</c:v>
                </c:pt>
                <c:pt idx="1054">
                  <c:v>3.0471231220401407E-2</c:v>
                </c:pt>
                <c:pt idx="1055">
                  <c:v>3.0476105518246754E-2</c:v>
                </c:pt>
                <c:pt idx="1056">
                  <c:v>3.0480842136304531E-2</c:v>
                </c:pt>
                <c:pt idx="1057">
                  <c:v>3.0485441074414865E-2</c:v>
                </c:pt>
                <c:pt idx="1058">
                  <c:v>3.0489902332577756E-2</c:v>
                </c:pt>
                <c:pt idx="1059">
                  <c:v>3.0494225910873141E-2</c:v>
                </c:pt>
                <c:pt idx="1060">
                  <c:v>3.0498411809221082E-2</c:v>
                </c:pt>
                <c:pt idx="1061">
                  <c:v>3.0502460027701517E-2</c:v>
                </c:pt>
                <c:pt idx="1062">
                  <c:v>3.0506370566154573E-2</c:v>
                </c:pt>
                <c:pt idx="1063">
                  <c:v>3.0510143424820058E-2</c:v>
                </c:pt>
                <c:pt idx="1064">
                  <c:v>3.05137786035381E-2</c:v>
                </c:pt>
                <c:pt idx="1065">
                  <c:v>3.0521886736523118E-2</c:v>
                </c:pt>
                <c:pt idx="1066">
                  <c:v>3.052521789954854E-2</c:v>
                </c:pt>
                <c:pt idx="1067">
                  <c:v>3.0523858059927633E-2</c:v>
                </c:pt>
                <c:pt idx="1068">
                  <c:v>3.0526942518855904E-2</c:v>
                </c:pt>
                <c:pt idx="1069">
                  <c:v>3.0529889297836732E-2</c:v>
                </c:pt>
                <c:pt idx="1070">
                  <c:v>3.0532698396790181E-2</c:v>
                </c:pt>
                <c:pt idx="1071">
                  <c:v>3.0535369815876123E-2</c:v>
                </c:pt>
                <c:pt idx="1072">
                  <c:v>3.0537903555014623E-2</c:v>
                </c:pt>
                <c:pt idx="1073">
                  <c:v>3.0540299614205679E-2</c:v>
                </c:pt>
                <c:pt idx="1074">
                  <c:v>3.0542557993369357E-2</c:v>
                </c:pt>
                <c:pt idx="1075">
                  <c:v>3.0544678692585592E-2</c:v>
                </c:pt>
                <c:pt idx="1076">
                  <c:v>3.0546661711774448E-2</c:v>
                </c:pt>
                <c:pt idx="1077">
                  <c:v>3.0548507051095797E-2</c:v>
                </c:pt>
                <c:pt idx="1078">
                  <c:v>3.0555860197971185E-2</c:v>
                </c:pt>
                <c:pt idx="1079">
                  <c:v>3.0551784689736294E-2</c:v>
                </c:pt>
                <c:pt idx="1080">
                  <c:v>3.0553216989055443E-2</c:v>
                </c:pt>
                <c:pt idx="1081">
                  <c:v>3.0554511608347212E-2</c:v>
                </c:pt>
                <c:pt idx="1082">
                  <c:v>3.0555668547771475E-2</c:v>
                </c:pt>
                <c:pt idx="1083">
                  <c:v>3.0556687807248295E-2</c:v>
                </c:pt>
                <c:pt idx="1084">
                  <c:v>3.05575693866178E-2</c:v>
                </c:pt>
                <c:pt idx="1085">
                  <c:v>3.0558313286119798E-2</c:v>
                </c:pt>
                <c:pt idx="1086">
                  <c:v>3.0558919505514481E-2</c:v>
                </c:pt>
                <c:pt idx="1087">
                  <c:v>3.0559388044961722E-2</c:v>
                </c:pt>
                <c:pt idx="1088">
                  <c:v>3.0559718904461519E-2</c:v>
                </c:pt>
                <c:pt idx="1089">
                  <c:v>3.0559912083933938E-2</c:v>
                </c:pt>
                <c:pt idx="1090">
                  <c:v>3.055996758353885E-2</c:v>
                </c:pt>
                <c:pt idx="1091">
                  <c:v>3.0559885403036446E-2</c:v>
                </c:pt>
                <c:pt idx="1092">
                  <c:v>3.0559665542506664E-2</c:v>
                </c:pt>
                <c:pt idx="1093">
                  <c:v>3.0559308002109375E-2</c:v>
                </c:pt>
                <c:pt idx="1094">
                  <c:v>3.0558812781684708E-2</c:v>
                </c:pt>
                <c:pt idx="1095">
                  <c:v>3.0558179881232661E-2</c:v>
                </c:pt>
                <c:pt idx="1096">
                  <c:v>3.0557409300833172E-2</c:v>
                </c:pt>
                <c:pt idx="1097">
                  <c:v>3.0556501040406303E-2</c:v>
                </c:pt>
                <c:pt idx="1098">
                  <c:v>3.0555455100031992E-2</c:v>
                </c:pt>
                <c:pt idx="1099">
                  <c:v>3.0554271479710238E-2</c:v>
                </c:pt>
                <c:pt idx="1100">
                  <c:v>3.0552950179361105E-2</c:v>
                </c:pt>
                <c:pt idx="1101">
                  <c:v>3.0551491199064529E-2</c:v>
                </c:pt>
                <c:pt idx="1102">
                  <c:v>3.054989453882051E-2</c:v>
                </c:pt>
                <c:pt idx="1103">
                  <c:v>3.0548160198549112E-2</c:v>
                </c:pt>
                <c:pt idx="1104">
                  <c:v>3.0546288178330272E-2</c:v>
                </c:pt>
                <c:pt idx="1105">
                  <c:v>3.0544278478084053E-2</c:v>
                </c:pt>
                <c:pt idx="1106">
                  <c:v>3.054213109789039E-2</c:v>
                </c:pt>
                <c:pt idx="1107">
                  <c:v>3.0539846037749285E-2</c:v>
                </c:pt>
                <c:pt idx="1108">
                  <c:v>3.0537423297660737E-2</c:v>
                </c:pt>
                <c:pt idx="1109">
                  <c:v>3.0534862877624747E-2</c:v>
                </c:pt>
                <c:pt idx="1110">
                  <c:v>3.0532164777561377E-2</c:v>
                </c:pt>
                <c:pt idx="1111">
                  <c:v>3.05293289976305E-2</c:v>
                </c:pt>
                <c:pt idx="1112">
                  <c:v>3.0526355537672245E-2</c:v>
                </c:pt>
                <c:pt idx="1113">
                  <c:v>3.0523244397846483E-2</c:v>
                </c:pt>
                <c:pt idx="1114">
                  <c:v>3.0519995577913406E-2</c:v>
                </c:pt>
                <c:pt idx="1115">
                  <c:v>3.0516609078192758E-2</c:v>
                </c:pt>
                <c:pt idx="1116">
                  <c:v>3.0513084898444731E-2</c:v>
                </c:pt>
                <c:pt idx="1117">
                  <c:v>3.0509423038829198E-2</c:v>
                </c:pt>
                <c:pt idx="1118">
                  <c:v>3.0505623499346157E-2</c:v>
                </c:pt>
                <c:pt idx="1119">
                  <c:v>3.0501686279835738E-2</c:v>
                </c:pt>
                <c:pt idx="1120">
                  <c:v>3.0497611380457812E-2</c:v>
                </c:pt>
                <c:pt idx="1121">
                  <c:v>3.0493398801132443E-2</c:v>
                </c:pt>
                <c:pt idx="1122">
                  <c:v>3.0489048541859631E-2</c:v>
                </c:pt>
                <c:pt idx="1123">
                  <c:v>3.0484560602719313E-2</c:v>
                </c:pt>
                <c:pt idx="1124">
                  <c:v>3.0479934983711487E-2</c:v>
                </c:pt>
                <c:pt idx="1125">
                  <c:v>3.0475171684756219E-2</c:v>
                </c:pt>
                <c:pt idx="1126">
                  <c:v>3.0470270705933444E-2</c:v>
                </c:pt>
                <c:pt idx="1127">
                  <c:v>3.0465232047243163E-2</c:v>
                </c:pt>
                <c:pt idx="1128">
                  <c:v>3.0460055708605438E-2</c:v>
                </c:pt>
                <c:pt idx="1129">
                  <c:v>3.0454741690260079E-2</c:v>
                </c:pt>
                <c:pt idx="1130">
                  <c:v>3.0449289991887341E-2</c:v>
                </c:pt>
                <c:pt idx="1131">
                  <c:v>3.0443700613727032E-2</c:v>
                </c:pt>
                <c:pt idx="1132">
                  <c:v>3.0437973555699216E-2</c:v>
                </c:pt>
                <c:pt idx="1133">
                  <c:v>3.0435550012844814E-2</c:v>
                </c:pt>
                <c:pt idx="1134">
                  <c:v>3.0426106400041064E-2</c:v>
                </c:pt>
                <c:pt idx="1135">
                  <c:v>3.0419966302490664E-2</c:v>
                </c:pt>
                <c:pt idx="1136">
                  <c:v>3.0413688525152693E-2</c:v>
                </c:pt>
                <c:pt idx="1137">
                  <c:v>3.0407273067947216E-2</c:v>
                </c:pt>
                <c:pt idx="1138">
                  <c:v>3.0400719930954168E-2</c:v>
                </c:pt>
                <c:pt idx="1139">
                  <c:v>3.0394029114093613E-2</c:v>
                </c:pt>
                <c:pt idx="1140">
                  <c:v>3.0387200617525423E-2</c:v>
                </c:pt>
                <c:pt idx="1141">
                  <c:v>3.0380234441089726E-2</c:v>
                </c:pt>
                <c:pt idx="1142">
                  <c:v>3.0373130584866459E-2</c:v>
                </c:pt>
                <c:pt idx="1143">
                  <c:v>3.0365889048935557E-2</c:v>
                </c:pt>
                <c:pt idx="1144">
                  <c:v>3.0358509833217084E-2</c:v>
                </c:pt>
                <c:pt idx="1145">
                  <c:v>3.0350992937711041E-2</c:v>
                </c:pt>
                <c:pt idx="1146">
                  <c:v>3.0343338362577299E-2</c:v>
                </c:pt>
                <c:pt idx="1147">
                  <c:v>3.033554610757605E-2</c:v>
                </c:pt>
                <c:pt idx="1148">
                  <c:v>3.0327616172867167E-2</c:v>
                </c:pt>
                <c:pt idx="1149">
                  <c:v>3.0319548558530585E-2</c:v>
                </c:pt>
                <c:pt idx="1150">
                  <c:v>3.0311343264406432E-2</c:v>
                </c:pt>
                <c:pt idx="1151">
                  <c:v>3.0303000290574644E-2</c:v>
                </c:pt>
                <c:pt idx="1152">
                  <c:v>3.0294519637115158E-2</c:v>
                </c:pt>
                <c:pt idx="1153">
                  <c:v>3.0285901303868101E-2</c:v>
                </c:pt>
                <c:pt idx="1154">
                  <c:v>3.0277145290993346E-2</c:v>
                </c:pt>
                <c:pt idx="1155">
                  <c:v>3.0268251598490892E-2</c:v>
                </c:pt>
                <c:pt idx="1156">
                  <c:v>3.0259220226360739E-2</c:v>
                </c:pt>
                <c:pt idx="1157">
                  <c:v>3.0250051174522952E-2</c:v>
                </c:pt>
                <c:pt idx="1158">
                  <c:v>3.0240744443057466E-2</c:v>
                </c:pt>
                <c:pt idx="1159">
                  <c:v>3.0231300031964281E-2</c:v>
                </c:pt>
                <c:pt idx="1160">
                  <c:v>3.0221717941323334E-2</c:v>
                </c:pt>
                <c:pt idx="1161">
                  <c:v>3.0211998170974752E-2</c:v>
                </c:pt>
                <c:pt idx="1162">
                  <c:v>3.0202140721078408E-2</c:v>
                </c:pt>
                <c:pt idx="1163">
                  <c:v>3.0192145591714237E-2</c:v>
                </c:pt>
                <c:pt idx="1164">
                  <c:v>3.0182012782722367E-2</c:v>
                </c:pt>
                <c:pt idx="1165">
                  <c:v>3.0171742294102799E-2</c:v>
                </c:pt>
                <c:pt idx="1166">
                  <c:v>3.0161334126015404E-2</c:v>
                </c:pt>
                <c:pt idx="1167">
                  <c:v>3.0150788278460183E-2</c:v>
                </c:pt>
                <c:pt idx="1168">
                  <c:v>3.0140104751277264E-2</c:v>
                </c:pt>
                <c:pt idx="1169">
                  <c:v>3.0129283544626517E-2</c:v>
                </c:pt>
                <c:pt idx="1170">
                  <c:v>3.0118154507374761E-2</c:v>
                </c:pt>
                <c:pt idx="1171">
                  <c:v>3.0106548859638593E-2</c:v>
                </c:pt>
                <c:pt idx="1172">
                  <c:v>3.0095273392412025E-2</c:v>
                </c:pt>
                <c:pt idx="1173">
                  <c:v>3.0083860223388825E-2</c:v>
                </c:pt>
                <c:pt idx="1174">
                  <c:v>3.0072309352675575E-2</c:v>
                </c:pt>
                <c:pt idx="1175">
                  <c:v>3.0060620780245628E-2</c:v>
                </c:pt>
                <c:pt idx="1176">
                  <c:v>3.0048794506232213E-2</c:v>
                </c:pt>
                <c:pt idx="1177">
                  <c:v>3.0036830530608682E-2</c:v>
                </c:pt>
                <c:pt idx="1178">
                  <c:v>3.0024728853401683E-2</c:v>
                </c:pt>
                <c:pt idx="1179">
                  <c:v>3.0012489474717796E-2</c:v>
                </c:pt>
                <c:pt idx="1180">
                  <c:v>3.0000112394583667E-2</c:v>
                </c:pt>
                <c:pt idx="1181">
                  <c:v>2.9987597612999295E-2</c:v>
                </c:pt>
                <c:pt idx="1182">
                  <c:v>2.9974945130017971E-2</c:v>
                </c:pt>
                <c:pt idx="1183">
                  <c:v>2.9954139789847289E-2</c:v>
                </c:pt>
                <c:pt idx="1184">
                  <c:v>2.9949227060104278E-2</c:v>
                </c:pt>
                <c:pt idx="1185">
                  <c:v>2.9936161473225198E-2</c:v>
                </c:pt>
                <c:pt idx="1186">
                  <c:v>2.9922958185162329E-2</c:v>
                </c:pt>
                <c:pt idx="1187">
                  <c:v>2.9909617195942317E-2</c:v>
                </c:pt>
                <c:pt idx="1188">
                  <c:v>2.9896138505591807E-2</c:v>
                </c:pt>
                <c:pt idx="1189">
                  <c:v>2.988252211416409E-2</c:v>
                </c:pt>
                <c:pt idx="1190">
                  <c:v>2.9868768021739101E-2</c:v>
                </c:pt>
                <c:pt idx="1191">
                  <c:v>2.9854876228343485E-2</c:v>
                </c:pt>
                <c:pt idx="1192">
                  <c:v>2.984084673400389E-2</c:v>
                </c:pt>
                <c:pt idx="1193">
                  <c:v>2.9826728272324132E-2</c:v>
                </c:pt>
                <c:pt idx="1194">
                  <c:v>2.981262145447694E-2</c:v>
                </c:pt>
                <c:pt idx="1195">
                  <c:v>2.9798530996609784E-2</c:v>
                </c:pt>
                <c:pt idx="1196">
                  <c:v>2.9784456898722667E-2</c:v>
                </c:pt>
                <c:pt idx="1197">
                  <c:v>2.9770399160815586E-2</c:v>
                </c:pt>
                <c:pt idx="1198">
                  <c:v>2.9756357782861897E-2</c:v>
                </c:pt>
                <c:pt idx="1199">
                  <c:v>2.9742332764888246E-2</c:v>
                </c:pt>
                <c:pt idx="1200">
                  <c:v>2.9728324106867987E-2</c:v>
                </c:pt>
                <c:pt idx="1201">
                  <c:v>2.9714331808774475E-2</c:v>
                </c:pt>
                <c:pt idx="1202">
                  <c:v>2.9700355870634354E-2</c:v>
                </c:pt>
                <c:pt idx="1203">
                  <c:v>2.9686396292447625E-2</c:v>
                </c:pt>
                <c:pt idx="1204">
                  <c:v>2.9672453074160998E-2</c:v>
                </c:pt>
                <c:pt idx="1205">
                  <c:v>2.9658526215801118E-2</c:v>
                </c:pt>
                <c:pt idx="1206">
                  <c:v>2.9644615717367984E-2</c:v>
                </c:pt>
                <c:pt idx="1207">
                  <c:v>2.9630721578861596E-2</c:v>
                </c:pt>
                <c:pt idx="1208">
                  <c:v>2.961684380025531E-2</c:v>
                </c:pt>
                <c:pt idx="1209">
                  <c:v>2.9602982381549126E-2</c:v>
                </c:pt>
                <c:pt idx="1210">
                  <c:v>2.9589137322769687E-2</c:v>
                </c:pt>
                <c:pt idx="1211">
                  <c:v>2.957530862383706E-2</c:v>
                </c:pt>
                <c:pt idx="1212">
                  <c:v>2.9561496284804534E-2</c:v>
                </c:pt>
                <c:pt idx="1213">
                  <c:v>2.9547700305645463E-2</c:v>
                </c:pt>
                <c:pt idx="1214">
                  <c:v>2.9533920686359849E-2</c:v>
                </c:pt>
                <c:pt idx="1215">
                  <c:v>2.9520157426974336E-2</c:v>
                </c:pt>
                <c:pt idx="1216">
                  <c:v>2.9506410527435634E-2</c:v>
                </c:pt>
                <c:pt idx="1217">
                  <c:v>2.9492679987770387E-2</c:v>
                </c:pt>
                <c:pt idx="1218">
                  <c:v>2.9478965807898661E-2</c:v>
                </c:pt>
                <c:pt idx="1219">
                  <c:v>2.9465267987927035E-2</c:v>
                </c:pt>
                <c:pt idx="1220">
                  <c:v>2.9451586527775575E-2</c:v>
                </c:pt>
                <c:pt idx="1221">
                  <c:v>2.9437921427470926E-2</c:v>
                </c:pt>
                <c:pt idx="1222">
                  <c:v>2.9418200077957479E-2</c:v>
                </c:pt>
                <c:pt idx="1223">
                  <c:v>2.9404346458665742E-2</c:v>
                </c:pt>
                <c:pt idx="1224">
                  <c:v>2.9390737334757944E-2</c:v>
                </c:pt>
                <c:pt idx="1225">
                  <c:v>2.9377144567046543E-2</c:v>
                </c:pt>
                <c:pt idx="1226">
                  <c:v>2.9363568155371667E-2</c:v>
                </c:pt>
                <c:pt idx="1227">
                  <c:v>2.9350008099813252E-2</c:v>
                </c:pt>
                <c:pt idx="1228">
                  <c:v>2.9336464400371298E-2</c:v>
                </c:pt>
                <c:pt idx="1229">
                  <c:v>2.9322937057045806E-2</c:v>
                </c:pt>
                <c:pt idx="1230">
                  <c:v>2.9309426069756839E-2</c:v>
                </c:pt>
                <c:pt idx="1231">
                  <c:v>2.9295931438664269E-2</c:v>
                </c:pt>
                <c:pt idx="1232">
                  <c:v>2.9282453163608224E-2</c:v>
                </c:pt>
                <c:pt idx="1233">
                  <c:v>2.9268991244668641E-2</c:v>
                </c:pt>
                <c:pt idx="1234">
                  <c:v>2.9255545681925454E-2</c:v>
                </c:pt>
                <c:pt idx="1235">
                  <c:v>2.9242116475138857E-2</c:v>
                </c:pt>
                <c:pt idx="1236">
                  <c:v>2.9228703624468722E-2</c:v>
                </c:pt>
                <c:pt idx="1237">
                  <c:v>2.9215307129915047E-2</c:v>
                </c:pt>
                <c:pt idx="1238">
                  <c:v>2.9198107098995507E-2</c:v>
                </c:pt>
                <c:pt idx="1239">
                  <c:v>2.9188563209077145E-2</c:v>
                </c:pt>
                <c:pt idx="1240">
                  <c:v>2.9175215782792918E-2</c:v>
                </c:pt>
                <c:pt idx="1241">
                  <c:v>2.9161884712625152E-2</c:v>
                </c:pt>
                <c:pt idx="1242">
                  <c:v>2.9148569998413976E-2</c:v>
                </c:pt>
                <c:pt idx="1243">
                  <c:v>2.9135271640399196E-2</c:v>
                </c:pt>
                <c:pt idx="1244">
                  <c:v>2.9121989638420942E-2</c:v>
                </c:pt>
                <c:pt idx="1245">
                  <c:v>2.9108723992559149E-2</c:v>
                </c:pt>
                <c:pt idx="1246">
                  <c:v>2.9095474702653945E-2</c:v>
                </c:pt>
                <c:pt idx="1247">
                  <c:v>2.9082241768945138E-2</c:v>
                </c:pt>
                <c:pt idx="1248">
                  <c:v>2.9069025191272857E-2</c:v>
                </c:pt>
                <c:pt idx="1249">
                  <c:v>2.9055824969637101E-2</c:v>
                </c:pt>
                <c:pt idx="1250">
                  <c:v>2.9042641104117806E-2</c:v>
                </c:pt>
                <c:pt idx="1251">
                  <c:v>2.90294735945551E-2</c:v>
                </c:pt>
                <c:pt idx="1252">
                  <c:v>2.9016322441188791E-2</c:v>
                </c:pt>
                <c:pt idx="1253">
                  <c:v>2.9003187643859007E-2</c:v>
                </c:pt>
                <c:pt idx="1254">
                  <c:v>2.8990069202565749E-2</c:v>
                </c:pt>
                <c:pt idx="1255">
                  <c:v>2.8976967117309016E-2</c:v>
                </c:pt>
                <c:pt idx="1256">
                  <c:v>2.8963881388088808E-2</c:v>
                </c:pt>
                <c:pt idx="1257">
                  <c:v>2.8950812014985061E-2</c:v>
                </c:pt>
                <c:pt idx="1258">
                  <c:v>2.893775899791784E-2</c:v>
                </c:pt>
                <c:pt idx="1259">
                  <c:v>2.8924722336887143E-2</c:v>
                </c:pt>
                <c:pt idx="1260">
                  <c:v>2.8911702031972908E-2</c:v>
                </c:pt>
                <c:pt idx="1261">
                  <c:v>2.8898698083015262E-2</c:v>
                </c:pt>
                <c:pt idx="1262">
                  <c:v>2.8885710490094141E-2</c:v>
                </c:pt>
                <c:pt idx="1263">
                  <c:v>2.8872739253289481E-2</c:v>
                </c:pt>
                <c:pt idx="1264">
                  <c:v>2.885978437244141E-2</c:v>
                </c:pt>
                <c:pt idx="1265">
                  <c:v>2.8846845847709801E-2</c:v>
                </c:pt>
                <c:pt idx="1266">
                  <c:v>2.8833923679014717E-2</c:v>
                </c:pt>
                <c:pt idx="1267">
                  <c:v>2.8821017866356158E-2</c:v>
                </c:pt>
                <c:pt idx="1268">
                  <c:v>2.8808128409734124E-2</c:v>
                </c:pt>
                <c:pt idx="1269">
                  <c:v>2.8795255309068679E-2</c:v>
                </c:pt>
                <c:pt idx="1270">
                  <c:v>2.8782398564599632E-2</c:v>
                </c:pt>
                <c:pt idx="1271">
                  <c:v>2.8769558175927301E-2</c:v>
                </c:pt>
                <c:pt idx="1272">
                  <c:v>2.8756734143371432E-2</c:v>
                </c:pt>
                <c:pt idx="1273">
                  <c:v>2.8743926466932024E-2</c:v>
                </c:pt>
                <c:pt idx="1274">
                  <c:v>2.8729542597716318E-2</c:v>
                </c:pt>
                <c:pt idx="1275">
                  <c:v>2.8716536522299663E-2</c:v>
                </c:pt>
                <c:pt idx="1276">
                  <c:v>2.8703780250500799E-2</c:v>
                </c:pt>
                <c:pt idx="1277">
                  <c:v>2.8691040334578588E-2</c:v>
                </c:pt>
                <c:pt idx="1278">
                  <c:v>2.8678316774772838E-2</c:v>
                </c:pt>
                <c:pt idx="1279">
                  <c:v>2.8665609571003614E-2</c:v>
                </c:pt>
                <c:pt idx="1280">
                  <c:v>2.8652918723190979E-2</c:v>
                </c:pt>
                <c:pt idx="1281">
                  <c:v>2.8640244231414869E-2</c:v>
                </c:pt>
                <c:pt idx="1282">
                  <c:v>2.8627586095675284E-2</c:v>
                </c:pt>
                <c:pt idx="1283">
                  <c:v>2.8614944315812352E-2</c:v>
                </c:pt>
                <c:pt idx="1284">
                  <c:v>2.8602318892145817E-2</c:v>
                </c:pt>
                <c:pt idx="1285">
                  <c:v>2.8589709824435872E-2</c:v>
                </c:pt>
                <c:pt idx="1286">
                  <c:v>2.8577117112682515E-2</c:v>
                </c:pt>
                <c:pt idx="1287">
                  <c:v>2.8564540756885748E-2</c:v>
                </c:pt>
                <c:pt idx="1288">
                  <c:v>2.8551980757205442E-2</c:v>
                </c:pt>
                <c:pt idx="1289">
                  <c:v>2.8535856219340516E-2</c:v>
                </c:pt>
                <c:pt idx="1290">
                  <c:v>2.8523333604795198E-2</c:v>
                </c:pt>
                <c:pt idx="1291">
                  <c:v>2.8509514703651817E-2</c:v>
                </c:pt>
                <c:pt idx="1292">
                  <c:v>2.8498337443574329E-2</c:v>
                </c:pt>
                <c:pt idx="1293">
                  <c:v>2.8485863896898778E-2</c:v>
                </c:pt>
                <c:pt idx="1294">
                  <c:v>2.8473406706339688E-2</c:v>
                </c:pt>
                <c:pt idx="1295">
                  <c:v>2.8460965871657251E-2</c:v>
                </c:pt>
                <c:pt idx="1296">
                  <c:v>2.844854139301134E-2</c:v>
                </c:pt>
                <c:pt idx="1297">
                  <c:v>2.8436133270322017E-2</c:v>
                </c:pt>
                <c:pt idx="1298">
                  <c:v>2.8423741503589284E-2</c:v>
                </c:pt>
                <c:pt idx="1299">
                  <c:v>2.8411366092973012E-2</c:v>
                </c:pt>
                <c:pt idx="1300">
                  <c:v>2.8399007038153457E-2</c:v>
                </c:pt>
                <c:pt idx="1301">
                  <c:v>2.8386664339450363E-2</c:v>
                </c:pt>
                <c:pt idx="1302">
                  <c:v>2.8374337996623922E-2</c:v>
                </c:pt>
                <c:pt idx="1303">
                  <c:v>2.8362028009834006E-2</c:v>
                </c:pt>
                <c:pt idx="1304">
                  <c:v>2.8349734378920743E-2</c:v>
                </c:pt>
                <c:pt idx="1305">
                  <c:v>2.8337457104123942E-2</c:v>
                </c:pt>
                <c:pt idx="1306">
                  <c:v>2.832519618528373E-2</c:v>
                </c:pt>
                <c:pt idx="1307">
                  <c:v>2.831295162232017E-2</c:v>
                </c:pt>
                <c:pt idx="1308">
                  <c:v>2.83007234153132E-2</c:v>
                </c:pt>
                <c:pt idx="1309">
                  <c:v>2.8288511564342755E-2</c:v>
                </c:pt>
                <c:pt idx="1310">
                  <c:v>2.82763160693289E-2</c:v>
                </c:pt>
                <c:pt idx="1311">
                  <c:v>2.8264136930271633E-2</c:v>
                </c:pt>
                <c:pt idx="1312">
                  <c:v>2.8251974147170955E-2</c:v>
                </c:pt>
                <c:pt idx="1313">
                  <c:v>2.8239827720026867E-2</c:v>
                </c:pt>
                <c:pt idx="1314">
                  <c:v>2.8227697648759431E-2</c:v>
                </c:pt>
                <c:pt idx="1315">
                  <c:v>2.8215583933528521E-2</c:v>
                </c:pt>
                <c:pt idx="1316">
                  <c:v>2.82034865742542E-2</c:v>
                </c:pt>
                <c:pt idx="1317">
                  <c:v>2.8191405570856531E-2</c:v>
                </c:pt>
                <c:pt idx="1318">
                  <c:v>2.8179340923495388E-2</c:v>
                </c:pt>
                <c:pt idx="1319">
                  <c:v>2.8167292632090835E-2</c:v>
                </c:pt>
                <c:pt idx="1320">
                  <c:v>2.8155260696482998E-2</c:v>
                </c:pt>
                <c:pt idx="1321">
                  <c:v>2.8143245117071558E-2</c:v>
                </c:pt>
                <c:pt idx="1322">
                  <c:v>2.8131245893296963E-2</c:v>
                </c:pt>
                <c:pt idx="1323">
                  <c:v>2.811926302563883E-2</c:v>
                </c:pt>
                <c:pt idx="1324">
                  <c:v>2.8107296513937285E-2</c:v>
                </c:pt>
                <c:pt idx="1325">
                  <c:v>2.8088525041161105E-2</c:v>
                </c:pt>
                <c:pt idx="1326">
                  <c:v>2.8082196314498376E-2</c:v>
                </c:pt>
                <c:pt idx="1327">
                  <c:v>2.8071495114332379E-2</c:v>
                </c:pt>
                <c:pt idx="1328">
                  <c:v>2.8059594026377255E-2</c:v>
                </c:pt>
                <c:pt idx="1329">
                  <c:v>2.8047709294298784E-2</c:v>
                </c:pt>
                <c:pt idx="1330">
                  <c:v>2.8035840918176902E-2</c:v>
                </c:pt>
                <c:pt idx="1331">
                  <c:v>2.8023988897931673E-2</c:v>
                </c:pt>
                <c:pt idx="1332">
                  <c:v>2.801215323372297E-2</c:v>
                </c:pt>
                <c:pt idx="1333">
                  <c:v>2.8000333925310983E-2</c:v>
                </c:pt>
                <c:pt idx="1334">
                  <c:v>2.7988530972935521E-2</c:v>
                </c:pt>
                <c:pt idx="1335">
                  <c:v>2.7976744376436713E-2</c:v>
                </c:pt>
                <c:pt idx="1336">
                  <c:v>2.7964974135814558E-2</c:v>
                </c:pt>
                <c:pt idx="1337">
                  <c:v>2.7953220251148991E-2</c:v>
                </c:pt>
                <c:pt idx="1338">
                  <c:v>2.7942469146374549E-2</c:v>
                </c:pt>
                <c:pt idx="1339">
                  <c:v>2.792976154960769E-2</c:v>
                </c:pt>
                <c:pt idx="1340">
                  <c:v>2.7918056732652019E-2</c:v>
                </c:pt>
                <c:pt idx="1341">
                  <c:v>2.7906368271652937E-2</c:v>
                </c:pt>
                <c:pt idx="1342">
                  <c:v>2.7894696166530508E-2</c:v>
                </c:pt>
                <c:pt idx="1343">
                  <c:v>2.7883040417284732E-2</c:v>
                </c:pt>
                <c:pt idx="1344">
                  <c:v>2.7871401023995546E-2</c:v>
                </c:pt>
                <c:pt idx="1345">
                  <c:v>2.7859777986662948E-2</c:v>
                </c:pt>
                <c:pt idx="1346">
                  <c:v>2.7848171305127067E-2</c:v>
                </c:pt>
                <c:pt idx="1347">
                  <c:v>2.7836580979627712E-2</c:v>
                </c:pt>
                <c:pt idx="1348">
                  <c:v>2.7825007009925073E-2</c:v>
                </c:pt>
                <c:pt idx="1349">
                  <c:v>2.7813449396179024E-2</c:v>
                </c:pt>
                <c:pt idx="1350">
                  <c:v>2.7801908138229692E-2</c:v>
                </c:pt>
                <c:pt idx="1351">
                  <c:v>2.7790383236316885E-2</c:v>
                </c:pt>
                <c:pt idx="1352">
                  <c:v>2.7778874690200794E-2</c:v>
                </c:pt>
                <c:pt idx="1353">
                  <c:v>2.7767382500041293E-2</c:v>
                </c:pt>
                <c:pt idx="1354">
                  <c:v>2.7755906665678509E-2</c:v>
                </c:pt>
                <c:pt idx="1355">
                  <c:v>2.7744447187272314E-2</c:v>
                </c:pt>
                <c:pt idx="1356">
                  <c:v>2.7733004064822708E-2</c:v>
                </c:pt>
                <c:pt idx="1357">
                  <c:v>2.7721577298249755E-2</c:v>
                </c:pt>
                <c:pt idx="1358">
                  <c:v>2.7710166887313648E-2</c:v>
                </c:pt>
                <c:pt idx="1359">
                  <c:v>2.7698772832494001E-2</c:v>
                </c:pt>
                <c:pt idx="1360">
                  <c:v>2.7687395133471071E-2</c:v>
                </c:pt>
                <c:pt idx="1361">
                  <c:v>2.767603379040473E-2</c:v>
                </c:pt>
                <c:pt idx="1362">
                  <c:v>2.7664688803215043E-2</c:v>
                </c:pt>
                <c:pt idx="1363">
                  <c:v>2.7653360171822072E-2</c:v>
                </c:pt>
                <c:pt idx="1364">
                  <c:v>2.7642047896305755E-2</c:v>
                </c:pt>
                <c:pt idx="1365">
                  <c:v>2.7630751976746026E-2</c:v>
                </c:pt>
                <c:pt idx="1366">
                  <c:v>2.7619472413142887E-2</c:v>
                </c:pt>
                <c:pt idx="1367">
                  <c:v>2.7608209205176593E-2</c:v>
                </c:pt>
                <c:pt idx="1368">
                  <c:v>2.7596962353246823E-2</c:v>
                </c:pt>
                <c:pt idx="1369">
                  <c:v>2.7585731857033835E-2</c:v>
                </c:pt>
                <c:pt idx="1370">
                  <c:v>2.7574517716857372E-2</c:v>
                </c:pt>
                <c:pt idx="1371">
                  <c:v>2.7563319932477626E-2</c:v>
                </c:pt>
                <c:pt idx="1372">
                  <c:v>2.7552138503974533E-2</c:v>
                </c:pt>
                <c:pt idx="1373">
                  <c:v>2.7540973431268156E-2</c:v>
                </c:pt>
                <c:pt idx="1374">
                  <c:v>2.7529824714438433E-2</c:v>
                </c:pt>
                <c:pt idx="1375">
                  <c:v>2.7518692353485363E-2</c:v>
                </c:pt>
                <c:pt idx="1376">
                  <c:v>2.7507576348408946E-2</c:v>
                </c:pt>
                <c:pt idx="1377">
                  <c:v>2.7496476699209182E-2</c:v>
                </c:pt>
                <c:pt idx="1378">
                  <c:v>2.7485393405806136E-2</c:v>
                </c:pt>
                <c:pt idx="1379">
                  <c:v>2.7474326468359678E-2</c:v>
                </c:pt>
                <c:pt idx="1380">
                  <c:v>2.7463275886630001E-2</c:v>
                </c:pt>
                <c:pt idx="1381">
                  <c:v>2.7452241660856913E-2</c:v>
                </c:pt>
                <c:pt idx="1382">
                  <c:v>2.7441223790880542E-2</c:v>
                </c:pt>
                <c:pt idx="1383">
                  <c:v>2.7430222276780825E-2</c:v>
                </c:pt>
                <c:pt idx="1384">
                  <c:v>2.7419237118477824E-2</c:v>
                </c:pt>
                <c:pt idx="1385">
                  <c:v>2.7408268316051476E-2</c:v>
                </c:pt>
                <c:pt idx="1386">
                  <c:v>2.7397315869501782E-2</c:v>
                </c:pt>
                <c:pt idx="1387">
                  <c:v>2.7386379778748804E-2</c:v>
                </c:pt>
                <c:pt idx="1388">
                  <c:v>2.7375460043872479E-2</c:v>
                </c:pt>
                <c:pt idx="1389">
                  <c:v>2.7364556664712936E-2</c:v>
                </c:pt>
                <c:pt idx="1390">
                  <c:v>2.7353669641430045E-2</c:v>
                </c:pt>
                <c:pt idx="1391">
                  <c:v>2.7342798974103744E-2</c:v>
                </c:pt>
                <c:pt idx="1392">
                  <c:v>2.7331944662494223E-2</c:v>
                </c:pt>
                <c:pt idx="1393">
                  <c:v>2.7322159766448806E-2</c:v>
                </c:pt>
                <c:pt idx="1394">
                  <c:v>2.7310285106905141E-2</c:v>
                </c:pt>
                <c:pt idx="1395">
                  <c:v>2.7299479862845644E-2</c:v>
                </c:pt>
                <c:pt idx="1396">
                  <c:v>2.7288690974502927E-2</c:v>
                </c:pt>
                <c:pt idx="1397">
                  <c:v>2.7277918442196736E-2</c:v>
                </c:pt>
                <c:pt idx="1398">
                  <c:v>2.7267162265527389E-2</c:v>
                </c:pt>
                <c:pt idx="1399">
                  <c:v>2.7256422444734696E-2</c:v>
                </c:pt>
                <c:pt idx="1400">
                  <c:v>2.7245698979898592E-2</c:v>
                </c:pt>
                <c:pt idx="1401">
                  <c:v>2.7234991870699332E-2</c:v>
                </c:pt>
                <c:pt idx="1402">
                  <c:v>2.7224301117376726E-2</c:v>
                </c:pt>
                <c:pt idx="1403">
                  <c:v>2.7213626719850836E-2</c:v>
                </c:pt>
                <c:pt idx="1404">
                  <c:v>2.7202968678281536E-2</c:v>
                </c:pt>
                <c:pt idx="1405">
                  <c:v>2.7192326992269145E-2</c:v>
                </c:pt>
                <c:pt idx="1406">
                  <c:v>2.7181701662373214E-2</c:v>
                </c:pt>
                <c:pt idx="1407">
                  <c:v>2.7171092688114129E-2</c:v>
                </c:pt>
                <c:pt idx="1408">
                  <c:v>2.7160500069651761E-2</c:v>
                </c:pt>
                <c:pt idx="1409">
                  <c:v>2.7149923806986109E-2</c:v>
                </c:pt>
                <c:pt idx="1410">
                  <c:v>2.7139363900117175E-2</c:v>
                </c:pt>
                <c:pt idx="1411">
                  <c:v>2.712882034920483E-2</c:v>
                </c:pt>
                <c:pt idx="1412">
                  <c:v>2.7118293154009265E-2</c:v>
                </c:pt>
                <c:pt idx="1413">
                  <c:v>2.7107782314530482E-2</c:v>
                </c:pt>
                <c:pt idx="1414">
                  <c:v>2.7097287830928352E-2</c:v>
                </c:pt>
                <c:pt idx="1415">
                  <c:v>2.7086809703202874E-2</c:v>
                </c:pt>
                <c:pt idx="1416">
                  <c:v>2.7076347931194178E-2</c:v>
                </c:pt>
                <c:pt idx="1417">
                  <c:v>2.7065902514982199E-2</c:v>
                </c:pt>
                <c:pt idx="1418">
                  <c:v>2.7055473454566936E-2</c:v>
                </c:pt>
                <c:pt idx="1419">
                  <c:v>2.7045060749948391E-2</c:v>
                </c:pt>
                <c:pt idx="1420">
                  <c:v>2.7034664401126562E-2</c:v>
                </c:pt>
                <c:pt idx="1421">
                  <c:v>2.7024284408101451E-2</c:v>
                </c:pt>
                <c:pt idx="1422">
                  <c:v>2.7013920770873057E-2</c:v>
                </c:pt>
                <c:pt idx="1423">
                  <c:v>2.7003573489441379E-2</c:v>
                </c:pt>
                <c:pt idx="1424">
                  <c:v>2.6993242563806419E-2</c:v>
                </c:pt>
                <c:pt idx="1425">
                  <c:v>2.6982927993888239E-2</c:v>
                </c:pt>
                <c:pt idx="1426">
                  <c:v>2.6972629779846713E-2</c:v>
                </c:pt>
                <c:pt idx="1427">
                  <c:v>2.6962347921442031E-2</c:v>
                </c:pt>
                <c:pt idx="1428">
                  <c:v>2.6952082418993939E-2</c:v>
                </c:pt>
                <c:pt idx="1429">
                  <c:v>2.6941833272262627E-2</c:v>
                </c:pt>
                <c:pt idx="1430">
                  <c:v>2.6931600481248097E-2</c:v>
                </c:pt>
                <c:pt idx="1431">
                  <c:v>2.6921384046030283E-2</c:v>
                </c:pt>
                <c:pt idx="1432">
                  <c:v>2.6911183966609187E-2</c:v>
                </c:pt>
                <c:pt idx="1433">
                  <c:v>2.6901000242984807E-2</c:v>
                </c:pt>
                <c:pt idx="1434">
                  <c:v>2.6890832875157145E-2</c:v>
                </c:pt>
                <c:pt idx="1435">
                  <c:v>2.6880681863046263E-2</c:v>
                </c:pt>
                <c:pt idx="1436">
                  <c:v>2.6870547206732098E-2</c:v>
                </c:pt>
                <c:pt idx="1437">
                  <c:v>2.6860428906134715E-2</c:v>
                </c:pt>
                <c:pt idx="1438">
                  <c:v>2.6850326961334048E-2</c:v>
                </c:pt>
                <c:pt idx="1439">
                  <c:v>2.6840241372330098E-2</c:v>
                </c:pt>
                <c:pt idx="1440">
                  <c:v>2.6830172139042929E-2</c:v>
                </c:pt>
                <c:pt idx="1441">
                  <c:v>2.6820119261632414E-2</c:v>
                </c:pt>
                <c:pt idx="1442">
                  <c:v>2.6810082739938679E-2</c:v>
                </c:pt>
                <c:pt idx="1443">
                  <c:v>2.6800062573881789E-2</c:v>
                </c:pt>
                <c:pt idx="1444">
                  <c:v>2.6791190579494639E-2</c:v>
                </c:pt>
                <c:pt idx="1445">
                  <c:v>2.6780071309238096E-2</c:v>
                </c:pt>
                <c:pt idx="1446">
                  <c:v>2.6770100210491421E-2</c:v>
                </c:pt>
                <c:pt idx="1447">
                  <c:v>2.6760145467621399E-2</c:v>
                </c:pt>
                <c:pt idx="1448">
                  <c:v>2.6750207080388222E-2</c:v>
                </c:pt>
                <c:pt idx="1449">
                  <c:v>2.6740285048951762E-2</c:v>
                </c:pt>
                <c:pt idx="1450">
                  <c:v>2.6730379373312019E-2</c:v>
                </c:pt>
                <c:pt idx="1451">
                  <c:v>2.6720490053389057E-2</c:v>
                </c:pt>
                <c:pt idx="1452">
                  <c:v>2.6710617089182875E-2</c:v>
                </c:pt>
                <c:pt idx="1453">
                  <c:v>2.6700751551596014E-2</c:v>
                </c:pt>
                <c:pt idx="1454">
                  <c:v>2.6690881769164676E-2</c:v>
                </c:pt>
                <c:pt idx="1455">
                  <c:v>2.6681007671545132E-2</c:v>
                </c:pt>
                <c:pt idx="1456">
                  <c:v>2.6671129258977189E-2</c:v>
                </c:pt>
                <c:pt idx="1457">
                  <c:v>2.6661246531300975E-2</c:v>
                </c:pt>
                <c:pt idx="1458">
                  <c:v>2.6651359488516491E-2</c:v>
                </c:pt>
                <c:pt idx="1459">
                  <c:v>2.6641468130703672E-2</c:v>
                </c:pt>
                <c:pt idx="1460">
                  <c:v>2.6631572457862518E-2</c:v>
                </c:pt>
                <c:pt idx="1461">
                  <c:v>2.6621672469833157E-2</c:v>
                </c:pt>
                <c:pt idx="1462">
                  <c:v>2.6611768166775462E-2</c:v>
                </c:pt>
                <c:pt idx="1463">
                  <c:v>2.6601859548609497E-2</c:v>
                </c:pt>
                <c:pt idx="1464">
                  <c:v>2.6591946615415196E-2</c:v>
                </c:pt>
                <c:pt idx="1465">
                  <c:v>2.6582029367112625E-2</c:v>
                </c:pt>
                <c:pt idx="1466">
                  <c:v>2.6572107803701783E-2</c:v>
                </c:pt>
                <c:pt idx="1467">
                  <c:v>2.6562181925262607E-2</c:v>
                </c:pt>
                <c:pt idx="1468">
                  <c:v>2.6552251731795096E-2</c:v>
                </c:pt>
                <c:pt idx="1469">
                  <c:v>2.6542317223219314E-2</c:v>
                </c:pt>
                <c:pt idx="1470">
                  <c:v>2.6532378399535261E-2</c:v>
                </c:pt>
                <c:pt idx="1471">
                  <c:v>2.6522435260742938E-2</c:v>
                </c:pt>
                <c:pt idx="1472">
                  <c:v>2.651248780692228E-2</c:v>
                </c:pt>
                <c:pt idx="1473">
                  <c:v>2.6502536037993352E-2</c:v>
                </c:pt>
                <c:pt idx="1474">
                  <c:v>2.6492579954116025E-2</c:v>
                </c:pt>
                <c:pt idx="1475">
                  <c:v>2.6482619555050491E-2</c:v>
                </c:pt>
                <c:pt idx="1476">
                  <c:v>2.6472654840956622E-2</c:v>
                </c:pt>
                <c:pt idx="1477">
                  <c:v>2.6462685811754483E-2</c:v>
                </c:pt>
                <c:pt idx="1478">
                  <c:v>2.6452712467524009E-2</c:v>
                </c:pt>
                <c:pt idx="1479">
                  <c:v>2.6442734808185264E-2</c:v>
                </c:pt>
                <c:pt idx="1480">
                  <c:v>2.6432752833818185E-2</c:v>
                </c:pt>
                <c:pt idx="1481">
                  <c:v>2.6422766544342835E-2</c:v>
                </c:pt>
                <c:pt idx="1482">
                  <c:v>2.6412112933968945E-2</c:v>
                </c:pt>
                <c:pt idx="1483">
                  <c:v>2.6401860543279199E-2</c:v>
                </c:pt>
                <c:pt idx="1484">
                  <c:v>2.6391858609198238E-2</c:v>
                </c:pt>
                <c:pt idx="1485">
                  <c:v>2.6381852360009006E-2</c:v>
                </c:pt>
                <c:pt idx="1486">
                  <c:v>2.6371841795684858E-2</c:v>
                </c:pt>
                <c:pt idx="1487">
                  <c:v>2.6361826916199149E-2</c:v>
                </c:pt>
                <c:pt idx="1488">
                  <c:v>2.6351807721551879E-2</c:v>
                </c:pt>
                <c:pt idx="1489">
                  <c:v>2.6341784211796337E-2</c:v>
                </c:pt>
                <c:pt idx="1490">
                  <c:v>2.6331756386879235E-2</c:v>
                </c:pt>
                <c:pt idx="1491">
                  <c:v>2.6321724246827216E-2</c:v>
                </c:pt>
                <c:pt idx="1492">
                  <c:v>2.6311687791640281E-2</c:v>
                </c:pt>
                <c:pt idx="1493">
                  <c:v>2.6301647021318431E-2</c:v>
                </c:pt>
                <c:pt idx="1494">
                  <c:v>2.6285376335932753E-2</c:v>
                </c:pt>
                <c:pt idx="1495">
                  <c:v>2.6281552535296626E-2</c:v>
                </c:pt>
                <c:pt idx="1496">
                  <c:v>2.6271498819570027E-2</c:v>
                </c:pt>
                <c:pt idx="1497">
                  <c:v>2.6261440788708512E-2</c:v>
                </c:pt>
                <c:pt idx="1498">
                  <c:v>2.6251378442685436E-2</c:v>
                </c:pt>
                <c:pt idx="1499">
                  <c:v>2.6241311781607379E-2</c:v>
                </c:pt>
                <c:pt idx="1500">
                  <c:v>2.6231240805341116E-2</c:v>
                </c:pt>
                <c:pt idx="1501">
                  <c:v>2.6221165513966582E-2</c:v>
                </c:pt>
                <c:pt idx="1502">
                  <c:v>2.6211085907457132E-2</c:v>
                </c:pt>
                <c:pt idx="1503">
                  <c:v>2.6201001985839412E-2</c:v>
                </c:pt>
                <c:pt idx="1504">
                  <c:v>2.619091374906013E-2</c:v>
                </c:pt>
                <c:pt idx="1505">
                  <c:v>2.6180821197199222E-2</c:v>
                </c:pt>
                <c:pt idx="1506">
                  <c:v>2.6170724330203399E-2</c:v>
                </c:pt>
                <c:pt idx="1507">
                  <c:v>2.6160623148072659E-2</c:v>
                </c:pt>
                <c:pt idx="1508">
                  <c:v>2.6150517650833649E-2</c:v>
                </c:pt>
                <c:pt idx="1509">
                  <c:v>2.6140407838459723E-2</c:v>
                </c:pt>
                <c:pt idx="1510">
                  <c:v>2.6130293711004171E-2</c:v>
                </c:pt>
                <c:pt idx="1511">
                  <c:v>2.6120175268360413E-2</c:v>
                </c:pt>
                <c:pt idx="1512">
                  <c:v>2.611005251068832E-2</c:v>
                </c:pt>
                <c:pt idx="1513">
                  <c:v>2.6099925437854665E-2</c:v>
                </c:pt>
                <c:pt idx="1514">
                  <c:v>2.608979404991274E-2</c:v>
                </c:pt>
                <c:pt idx="1515">
                  <c:v>2.6079658346862544E-2</c:v>
                </c:pt>
                <c:pt idx="1516">
                  <c:v>2.6069518328677432E-2</c:v>
                </c:pt>
                <c:pt idx="1517">
                  <c:v>2.6059373995410695E-2</c:v>
                </c:pt>
                <c:pt idx="1518">
                  <c:v>2.6049225347035687E-2</c:v>
                </c:pt>
                <c:pt idx="1519">
                  <c:v>2.6039072383525763E-2</c:v>
                </c:pt>
                <c:pt idx="1520">
                  <c:v>2.6028915104934214E-2</c:v>
                </c:pt>
                <c:pt idx="1521">
                  <c:v>2.6018753511207748E-2</c:v>
                </c:pt>
                <c:pt idx="1522">
                  <c:v>2.6008587602399658E-2</c:v>
                </c:pt>
                <c:pt idx="1523">
                  <c:v>2.5998417378509941E-2</c:v>
                </c:pt>
                <c:pt idx="1524">
                  <c:v>2.5988242839458664E-2</c:v>
                </c:pt>
                <c:pt idx="1525">
                  <c:v>2.5978063985325761E-2</c:v>
                </c:pt>
                <c:pt idx="1526">
                  <c:v>2.5967880816111233E-2</c:v>
                </c:pt>
                <c:pt idx="1527">
                  <c:v>2.5957693331788434E-2</c:v>
                </c:pt>
                <c:pt idx="1528">
                  <c:v>2.5947501532357364E-2</c:v>
                </c:pt>
                <c:pt idx="1529">
                  <c:v>2.5937305417844669E-2</c:v>
                </c:pt>
                <c:pt idx="1530">
                  <c:v>2.5927104988223704E-2</c:v>
                </c:pt>
                <c:pt idx="1531">
                  <c:v>2.5916900243521113E-2</c:v>
                </c:pt>
                <c:pt idx="1532">
                  <c:v>2.5906691183736896E-2</c:v>
                </c:pt>
                <c:pt idx="1533">
                  <c:v>2.5896477808791118E-2</c:v>
                </c:pt>
                <c:pt idx="1534">
                  <c:v>2.5881679575752159E-2</c:v>
                </c:pt>
                <c:pt idx="1535">
                  <c:v>2.5871257505345469E-2</c:v>
                </c:pt>
                <c:pt idx="1536">
                  <c:v>2.5861031421925418E-2</c:v>
                </c:pt>
                <c:pt idx="1537">
                  <c:v>2.5850801023397096E-2</c:v>
                </c:pt>
                <c:pt idx="1538">
                  <c:v>2.584056630984044E-2</c:v>
                </c:pt>
                <c:pt idx="1539">
                  <c:v>2.5830327281175514E-2</c:v>
                </c:pt>
                <c:pt idx="1540">
                  <c:v>2.5820083937482252E-2</c:v>
                </c:pt>
                <c:pt idx="1541">
                  <c:v>2.580983627868072E-2</c:v>
                </c:pt>
                <c:pt idx="1542">
                  <c:v>2.5799584304930789E-2</c:v>
                </c:pt>
                <c:pt idx="1543">
                  <c:v>2.5789328015992652E-2</c:v>
                </c:pt>
                <c:pt idx="1544">
                  <c:v>2.5779067412106116E-2</c:v>
                </c:pt>
                <c:pt idx="1545">
                  <c:v>2.5768802493191245E-2</c:v>
                </c:pt>
                <c:pt idx="1546">
                  <c:v>2.5758533259168104E-2</c:v>
                </c:pt>
                <c:pt idx="1547">
                  <c:v>2.5748259710196564E-2</c:v>
                </c:pt>
                <c:pt idx="1548">
                  <c:v>2.5737981846116753E-2</c:v>
                </c:pt>
                <c:pt idx="1549">
                  <c:v>2.5724761108971705E-2</c:v>
                </c:pt>
                <c:pt idx="1550">
                  <c:v>2.5717413172792192E-2</c:v>
                </c:pt>
                <c:pt idx="1551">
                  <c:v>2.5707122363547441E-2</c:v>
                </c:pt>
                <c:pt idx="1552">
                  <c:v>2.5695356155059912E-2</c:v>
                </c:pt>
                <c:pt idx="1553">
                  <c:v>2.568505609937155E-2</c:v>
                </c:pt>
                <c:pt idx="1554">
                  <c:v>2.5674751728574918E-2</c:v>
                </c:pt>
                <c:pt idx="1555">
                  <c:v>2.5664443042749951E-2</c:v>
                </c:pt>
                <c:pt idx="1556">
                  <c:v>2.565413004189665E-2</c:v>
                </c:pt>
                <c:pt idx="1557">
                  <c:v>2.5643812725935078E-2</c:v>
                </c:pt>
                <c:pt idx="1558">
                  <c:v>2.5633491095105043E-2</c:v>
                </c:pt>
                <c:pt idx="1559">
                  <c:v>2.5623165149006866E-2</c:v>
                </c:pt>
                <c:pt idx="1560">
                  <c:v>2.5612834888040226E-2</c:v>
                </c:pt>
                <c:pt idx="1561">
                  <c:v>2.5602500311965315E-2</c:v>
                </c:pt>
                <c:pt idx="1562">
                  <c:v>2.559216142086207E-2</c:v>
                </c:pt>
                <c:pt idx="1563">
                  <c:v>2.558181821473049E-2</c:v>
                </c:pt>
                <c:pt idx="1564">
                  <c:v>2.5571470693410703E-2</c:v>
                </c:pt>
                <c:pt idx="1565">
                  <c:v>2.5561118857222453E-2</c:v>
                </c:pt>
                <c:pt idx="1566">
                  <c:v>2.555076270600587E-2</c:v>
                </c:pt>
                <c:pt idx="1567">
                  <c:v>2.5540402239681015E-2</c:v>
                </c:pt>
                <c:pt idx="1568">
                  <c:v>2.5530037458327826E-2</c:v>
                </c:pt>
                <c:pt idx="1569">
                  <c:v>2.5519668362026238E-2</c:v>
                </c:pt>
                <c:pt idx="1570">
                  <c:v>2.5509294950536443E-2</c:v>
                </c:pt>
                <c:pt idx="1571">
                  <c:v>2.549891722409825E-2</c:v>
                </c:pt>
                <c:pt idx="1572">
                  <c:v>2.5488535182631722E-2</c:v>
                </c:pt>
                <c:pt idx="1573">
                  <c:v>2.5478148826056923E-2</c:v>
                </c:pt>
                <c:pt idx="1574">
                  <c:v>2.546775815445379E-2</c:v>
                </c:pt>
                <c:pt idx="1575">
                  <c:v>2.5457363167902258E-2</c:v>
                </c:pt>
                <c:pt idx="1576">
                  <c:v>2.5446963866242456E-2</c:v>
                </c:pt>
                <c:pt idx="1577">
                  <c:v>2.5436560249634255E-2</c:v>
                </c:pt>
                <c:pt idx="1578">
                  <c:v>2.5426152317917783E-2</c:v>
                </c:pt>
                <c:pt idx="1579">
                  <c:v>2.5415740071252912E-2</c:v>
                </c:pt>
                <c:pt idx="1580">
                  <c:v>2.5405323509319899E-2</c:v>
                </c:pt>
                <c:pt idx="1581">
                  <c:v>2.539490263259836E-2</c:v>
                </c:pt>
                <c:pt idx="1582">
                  <c:v>2.5384477440688613E-2</c:v>
                </c:pt>
                <c:pt idx="1583">
                  <c:v>2.5374047933910404E-2</c:v>
                </c:pt>
                <c:pt idx="1584">
                  <c:v>2.5363614112023924E-2</c:v>
                </c:pt>
                <c:pt idx="1585">
                  <c:v>2.5353175975029174E-2</c:v>
                </c:pt>
                <c:pt idx="1586">
                  <c:v>2.5341387144517391E-2</c:v>
                </c:pt>
                <c:pt idx="1587">
                  <c:v>2.5330794008588953E-2</c:v>
                </c:pt>
                <c:pt idx="1588">
                  <c:v>2.5320342310202193E-2</c:v>
                </c:pt>
                <c:pt idx="1589">
                  <c:v>2.5309886296627226E-2</c:v>
                </c:pt>
                <c:pt idx="1590">
                  <c:v>2.5299425968023925E-2</c:v>
                </c:pt>
                <c:pt idx="1591">
                  <c:v>2.5288961324472226E-2</c:v>
                </c:pt>
                <c:pt idx="1592">
                  <c:v>2.5278492365972127E-2</c:v>
                </c:pt>
                <c:pt idx="1593">
                  <c:v>2.5268019092363758E-2</c:v>
                </c:pt>
                <c:pt idx="1594">
                  <c:v>2.5257541503727055E-2</c:v>
                </c:pt>
                <c:pt idx="1595">
                  <c:v>2.5247059600062016E-2</c:v>
                </c:pt>
                <c:pt idx="1596">
                  <c:v>2.5236573381288707E-2</c:v>
                </c:pt>
                <c:pt idx="1597">
                  <c:v>2.5226082847646936E-2</c:v>
                </c:pt>
                <c:pt idx="1598">
                  <c:v>2.5215587998896893E-2</c:v>
                </c:pt>
                <c:pt idx="1599">
                  <c:v>2.5205088835118516E-2</c:v>
                </c:pt>
                <c:pt idx="1600">
                  <c:v>2.5193084507106889E-2</c:v>
                </c:pt>
                <c:pt idx="1601">
                  <c:v>2.5182576096884901E-2</c:v>
                </c:pt>
                <c:pt idx="1602">
                  <c:v>2.5172063371554643E-2</c:v>
                </c:pt>
                <c:pt idx="1603">
                  <c:v>2.5161929644457182E-2</c:v>
                </c:pt>
                <c:pt idx="1604">
                  <c:v>2.5151024975889058E-2</c:v>
                </c:pt>
                <c:pt idx="1605">
                  <c:v>2.5140499305553732E-2</c:v>
                </c:pt>
                <c:pt idx="1606">
                  <c:v>2.5129969320190071E-2</c:v>
                </c:pt>
                <c:pt idx="1607">
                  <c:v>2.5119435019798075E-2</c:v>
                </c:pt>
                <c:pt idx="1608">
                  <c:v>2.5108896404377745E-2</c:v>
                </c:pt>
                <c:pt idx="1609">
                  <c:v>2.5098353474009016E-2</c:v>
                </c:pt>
                <c:pt idx="1610">
                  <c:v>2.5087806228452081E-2</c:v>
                </c:pt>
                <c:pt idx="1611">
                  <c:v>2.5077254668026683E-2</c:v>
                </c:pt>
                <c:pt idx="1612">
                  <c:v>2.5066698792413078E-2</c:v>
                </c:pt>
                <c:pt idx="1613">
                  <c:v>2.5056138601931011E-2</c:v>
                </c:pt>
                <c:pt idx="1614">
                  <c:v>2.5045574096340673E-2</c:v>
                </c:pt>
                <c:pt idx="1615">
                  <c:v>2.5035005275801936E-2</c:v>
                </c:pt>
                <c:pt idx="1616">
                  <c:v>2.5024432140234865E-2</c:v>
                </c:pt>
                <c:pt idx="1617">
                  <c:v>2.5013854689639459E-2</c:v>
                </c:pt>
                <c:pt idx="1618">
                  <c:v>2.5003272924015718E-2</c:v>
                </c:pt>
                <c:pt idx="1619">
                  <c:v>2.4992686843283707E-2</c:v>
                </c:pt>
                <c:pt idx="1620">
                  <c:v>2.4982096447763169E-2</c:v>
                </c:pt>
                <c:pt idx="1621">
                  <c:v>2.4971501736974488E-2</c:v>
                </c:pt>
                <c:pt idx="1622">
                  <c:v>2.4960902711237409E-2</c:v>
                </c:pt>
                <c:pt idx="1623">
                  <c:v>2.4950299370471996E-2</c:v>
                </c:pt>
                <c:pt idx="1624">
                  <c:v>2.4939691714838119E-2</c:v>
                </c:pt>
                <c:pt idx="1625">
                  <c:v>2.4929079744016036E-2</c:v>
                </c:pt>
                <c:pt idx="1626">
                  <c:v>2.491846345832549E-2</c:v>
                </c:pt>
                <c:pt idx="1627">
                  <c:v>2.4907842857526674E-2</c:v>
                </c:pt>
                <c:pt idx="1628">
                  <c:v>2.4897217941699523E-2</c:v>
                </c:pt>
                <c:pt idx="1629">
                  <c:v>2.4886588710844038E-2</c:v>
                </c:pt>
                <c:pt idx="1630">
                  <c:v>2.4875955165040153E-2</c:v>
                </c:pt>
                <c:pt idx="1631">
                  <c:v>2.4865317304207935E-2</c:v>
                </c:pt>
                <c:pt idx="1632">
                  <c:v>2.4854675128267445E-2</c:v>
                </c:pt>
                <c:pt idx="1633">
                  <c:v>2.4844028637538429E-2</c:v>
                </c:pt>
                <c:pt idx="1634">
                  <c:v>2.483337783154127E-2</c:v>
                </c:pt>
                <c:pt idx="1635">
                  <c:v>2.4822722710675649E-2</c:v>
                </c:pt>
                <c:pt idx="1636">
                  <c:v>2.4812063274701757E-2</c:v>
                </c:pt>
                <c:pt idx="1637">
                  <c:v>2.4801676419126117E-2</c:v>
                </c:pt>
                <c:pt idx="1638">
                  <c:v>2.4791005224018559E-2</c:v>
                </c:pt>
                <c:pt idx="1639">
                  <c:v>2.4780059076929817E-2</c:v>
                </c:pt>
                <c:pt idx="1640">
                  <c:v>2.4769382381002458E-2</c:v>
                </c:pt>
                <c:pt idx="1641">
                  <c:v>2.4758701370046765E-2</c:v>
                </c:pt>
                <c:pt idx="1642">
                  <c:v>2.4748016044142673E-2</c:v>
                </c:pt>
                <c:pt idx="1643">
                  <c:v>2.4737326403050375E-2</c:v>
                </c:pt>
                <c:pt idx="1644">
                  <c:v>2.4726632447009678E-2</c:v>
                </c:pt>
                <c:pt idx="1645">
                  <c:v>2.4715934176100518E-2</c:v>
                </c:pt>
                <c:pt idx="1646">
                  <c:v>2.4705231590083088E-2</c:v>
                </c:pt>
                <c:pt idx="1647">
                  <c:v>2.4694524689117259E-2</c:v>
                </c:pt>
                <c:pt idx="1648">
                  <c:v>2.4683813472963223E-2</c:v>
                </c:pt>
                <c:pt idx="1649">
                  <c:v>2.4673097941940725E-2</c:v>
                </c:pt>
                <c:pt idx="1650">
                  <c:v>2.4662378095889892E-2</c:v>
                </c:pt>
                <c:pt idx="1651">
                  <c:v>2.4651653934810724E-2</c:v>
                </c:pt>
                <c:pt idx="1652">
                  <c:v>2.4640925458783158E-2</c:v>
                </c:pt>
                <c:pt idx="1653">
                  <c:v>2.4630192667807194E-2</c:v>
                </c:pt>
                <c:pt idx="1654">
                  <c:v>2.4619753647263209E-2</c:v>
                </c:pt>
                <c:pt idx="1655">
                  <c:v>2.4608714140610388E-2</c:v>
                </c:pt>
                <c:pt idx="1656">
                  <c:v>2.4597968404629356E-2</c:v>
                </c:pt>
                <c:pt idx="1657">
                  <c:v>2.4587218353460116E-2</c:v>
                </c:pt>
                <c:pt idx="1658">
                  <c:v>2.4576463987342478E-2</c:v>
                </c:pt>
                <c:pt idx="1659">
                  <c:v>2.4565705306276442E-2</c:v>
                </c:pt>
                <c:pt idx="1660">
                  <c:v>2.4554942310182071E-2</c:v>
                </c:pt>
                <c:pt idx="1661">
                  <c:v>2.4544174999139301E-2</c:v>
                </c:pt>
                <c:pt idx="1662">
                  <c:v>2.4533403372988261E-2</c:v>
                </c:pt>
                <c:pt idx="1663">
                  <c:v>2.4522627431888822E-2</c:v>
                </c:pt>
                <c:pt idx="1664">
                  <c:v>2.4511847175761048E-2</c:v>
                </c:pt>
                <c:pt idx="1665">
                  <c:v>2.4501062604764812E-2</c:v>
                </c:pt>
                <c:pt idx="1666">
                  <c:v>2.4490273718580369E-2</c:v>
                </c:pt>
                <c:pt idx="1667">
                  <c:v>2.4479480517527463E-2</c:v>
                </c:pt>
                <c:pt idx="1668">
                  <c:v>2.4468683001446223E-2</c:v>
                </c:pt>
                <c:pt idx="1669">
                  <c:v>2.4457881170256712E-2</c:v>
                </c:pt>
                <c:pt idx="1670">
                  <c:v>2.4447075024198739E-2</c:v>
                </c:pt>
                <c:pt idx="1671">
                  <c:v>2.4436264563032495E-2</c:v>
                </c:pt>
                <c:pt idx="1672">
                  <c:v>2.4425449786997788E-2</c:v>
                </c:pt>
                <c:pt idx="1673">
                  <c:v>2.4414630695934747E-2</c:v>
                </c:pt>
                <c:pt idx="1674">
                  <c:v>2.4403807289843371E-2</c:v>
                </c:pt>
                <c:pt idx="1675">
                  <c:v>2.4392979568643725E-2</c:v>
                </c:pt>
                <c:pt idx="1676">
                  <c:v>2.4382147532735488E-2</c:v>
                </c:pt>
                <c:pt idx="1677">
                  <c:v>2.4371311181559108E-2</c:v>
                </c:pt>
                <c:pt idx="1678">
                  <c:v>2.4360470515434329E-2</c:v>
                </c:pt>
                <c:pt idx="1679">
                  <c:v>2.4349625534441088E-2</c:v>
                </c:pt>
                <c:pt idx="1680">
                  <c:v>2.4338776238259641E-2</c:v>
                </c:pt>
                <c:pt idx="1681">
                  <c:v>2.4327922627289666E-2</c:v>
                </c:pt>
                <c:pt idx="1682">
                  <c:v>2.4317064701131486E-2</c:v>
                </c:pt>
                <c:pt idx="1683">
                  <c:v>2.4306202460184778E-2</c:v>
                </c:pt>
                <c:pt idx="1684">
                  <c:v>2.42953359041298E-2</c:v>
                </c:pt>
                <c:pt idx="1685">
                  <c:v>2.4284465033046487E-2</c:v>
                </c:pt>
                <c:pt idx="1686">
                  <c:v>2.4273589847014776E-2</c:v>
                </c:pt>
                <c:pt idx="1687">
                  <c:v>2.4262710346034666E-2</c:v>
                </c:pt>
                <c:pt idx="1688">
                  <c:v>2.4251826529946285E-2</c:v>
                </c:pt>
                <c:pt idx="1689">
                  <c:v>2.4240938398909506E-2</c:v>
                </c:pt>
                <c:pt idx="1690">
                  <c:v>2.4230045952924328E-2</c:v>
                </c:pt>
                <c:pt idx="1691">
                  <c:v>2.4219149191990752E-2</c:v>
                </c:pt>
                <c:pt idx="1692">
                  <c:v>2.4208248115948905E-2</c:v>
                </c:pt>
                <c:pt idx="1693">
                  <c:v>2.4197342725038595E-2</c:v>
                </c:pt>
                <c:pt idx="1694">
                  <c:v>2.4186433019020015E-2</c:v>
                </c:pt>
                <c:pt idx="1695">
                  <c:v>2.4175518998053036E-2</c:v>
                </c:pt>
                <c:pt idx="1696">
                  <c:v>2.4164600662137659E-2</c:v>
                </c:pt>
                <c:pt idx="1697">
                  <c:v>2.4153678011193946E-2</c:v>
                </c:pt>
                <c:pt idx="1698">
                  <c:v>2.4142751045301836E-2</c:v>
                </c:pt>
                <c:pt idx="1699">
                  <c:v>2.413181976438139E-2</c:v>
                </c:pt>
                <c:pt idx="1700">
                  <c:v>2.4120884168512546E-2</c:v>
                </c:pt>
                <c:pt idx="1701">
                  <c:v>2.4109944257615368E-2</c:v>
                </c:pt>
                <c:pt idx="1702">
                  <c:v>2.4099000031689854E-2</c:v>
                </c:pt>
                <c:pt idx="1703">
                  <c:v>2.4088051490975815E-2</c:v>
                </c:pt>
                <c:pt idx="1704">
                  <c:v>2.4077188337670918E-2</c:v>
                </c:pt>
                <c:pt idx="1705">
                  <c:v>2.4066141464302859E-2</c:v>
                </c:pt>
                <c:pt idx="1706">
                  <c:v>2.4055179978343944E-2</c:v>
                </c:pt>
                <c:pt idx="1707">
                  <c:v>2.4044214177596501E-2</c:v>
                </c:pt>
                <c:pt idx="1708">
                  <c:v>2.4033244061820724E-2</c:v>
                </c:pt>
                <c:pt idx="1709">
                  <c:v>2.4022269631096549E-2</c:v>
                </c:pt>
                <c:pt idx="1710">
                  <c:v>2.4011290885423975E-2</c:v>
                </c:pt>
                <c:pt idx="1711">
                  <c:v>2.4000307824563194E-2</c:v>
                </c:pt>
                <c:pt idx="1712">
                  <c:v>2.3989320667139324E-2</c:v>
                </c:pt>
                <c:pt idx="1713">
                  <c:v>2.3978365638654964E-2</c:v>
                </c:pt>
                <c:pt idx="1714">
                  <c:v>2.3967470454060447E-2</c:v>
                </c:pt>
                <c:pt idx="1715">
                  <c:v>2.3956635113275837E-2</c:v>
                </c:pt>
                <c:pt idx="1716">
                  <c:v>2.3945859616461007E-2</c:v>
                </c:pt>
                <c:pt idx="1717">
                  <c:v>2.3935143963456085E-2</c:v>
                </c:pt>
                <c:pt idx="1718">
                  <c:v>2.3924488154341006E-2</c:v>
                </c:pt>
                <c:pt idx="1719">
                  <c:v>2.3913892189115771E-2</c:v>
                </c:pt>
                <c:pt idx="1720">
                  <c:v>2.3903356067700443E-2</c:v>
                </c:pt>
                <c:pt idx="1721">
                  <c:v>2.3892879790095023E-2</c:v>
                </c:pt>
                <c:pt idx="1722">
                  <c:v>2.388246335629951E-2</c:v>
                </c:pt>
                <c:pt idx="1723">
                  <c:v>2.3872106766553713E-2</c:v>
                </c:pt>
                <c:pt idx="1724">
                  <c:v>2.3861810020457952E-2</c:v>
                </c:pt>
                <c:pt idx="1725">
                  <c:v>2.3851573118172098E-2</c:v>
                </c:pt>
                <c:pt idx="1726">
                  <c:v>2.3841396059776088E-2</c:v>
                </c:pt>
                <c:pt idx="1727">
                  <c:v>2.3831278845110049E-2</c:v>
                </c:pt>
                <c:pt idx="1728">
                  <c:v>2.382122147441379E-2</c:v>
                </c:pt>
                <c:pt idx="1729">
                  <c:v>2.3811223947447502E-2</c:v>
                </c:pt>
                <c:pt idx="1730">
                  <c:v>2.3801286264211186E-2</c:v>
                </c:pt>
                <c:pt idx="1731">
                  <c:v>2.3791408424784777E-2</c:v>
                </c:pt>
                <c:pt idx="1732">
                  <c:v>2.3781590429248212E-2</c:v>
                </c:pt>
                <c:pt idx="1733">
                  <c:v>2.3771832277361682E-2</c:v>
                </c:pt>
                <c:pt idx="1734">
                  <c:v>2.376213396928506E-2</c:v>
                </c:pt>
                <c:pt idx="1735">
                  <c:v>2.3752495505098281E-2</c:v>
                </c:pt>
                <c:pt idx="1736">
                  <c:v>2.3742916884641474E-2</c:v>
                </c:pt>
                <c:pt idx="1737">
                  <c:v>2.3733398107834702E-2</c:v>
                </c:pt>
                <c:pt idx="1738">
                  <c:v>2.3723939174837838E-2</c:v>
                </c:pt>
                <c:pt idx="1739">
                  <c:v>2.3714540085730818E-2</c:v>
                </c:pt>
                <c:pt idx="1740">
                  <c:v>2.370520084011396E-2</c:v>
                </c:pt>
                <c:pt idx="1741">
                  <c:v>2.3695921438466883E-2</c:v>
                </c:pt>
                <c:pt idx="1742">
                  <c:v>2.368670188046984E-2</c:v>
                </c:pt>
                <c:pt idx="1743">
                  <c:v>2.3677542166282706E-2</c:v>
                </c:pt>
                <c:pt idx="1744">
                  <c:v>2.3668442295825542E-2</c:v>
                </c:pt>
                <c:pt idx="1745">
                  <c:v>2.3659402269018415E-2</c:v>
                </c:pt>
                <c:pt idx="1746">
                  <c:v>2.3650422086021194E-2</c:v>
                </c:pt>
                <c:pt idx="1747">
                  <c:v>2.3641501746594074E-2</c:v>
                </c:pt>
                <c:pt idx="1748">
                  <c:v>2.3632641251056796E-2</c:v>
                </c:pt>
                <c:pt idx="1749">
                  <c:v>2.3623840599089618E-2</c:v>
                </c:pt>
                <c:pt idx="1750">
                  <c:v>2.3615099791012284E-2</c:v>
                </c:pt>
                <c:pt idx="1751">
                  <c:v>2.3606418826425113E-2</c:v>
                </c:pt>
                <c:pt idx="1752">
                  <c:v>2.3597797705647849E-2</c:v>
                </c:pt>
                <c:pt idx="1753">
                  <c:v>2.3589236428600557E-2</c:v>
                </c:pt>
                <c:pt idx="1754">
                  <c:v>2.3580734995123365E-2</c:v>
                </c:pt>
                <c:pt idx="1755">
                  <c:v>2.3572980270436972E-2</c:v>
                </c:pt>
                <c:pt idx="1756">
                  <c:v>2.356391165943883E-2</c:v>
                </c:pt>
                <c:pt idx="1757">
                  <c:v>2.3555589756991679E-2</c:v>
                </c:pt>
                <c:pt idx="1758">
                  <c:v>2.3547327698274501E-2</c:v>
                </c:pt>
                <c:pt idx="1759">
                  <c:v>2.3539125483287293E-2</c:v>
                </c:pt>
                <c:pt idx="1760">
                  <c:v>2.3530205925235137E-2</c:v>
                </c:pt>
                <c:pt idx="1761">
                  <c:v>2.3522139441567447E-2</c:v>
                </c:pt>
                <c:pt idx="1762">
                  <c:v>2.3514132809783206E-2</c:v>
                </c:pt>
                <c:pt idx="1763">
                  <c:v>2.3506186029775833E-2</c:v>
                </c:pt>
                <c:pt idx="1764">
                  <c:v>2.3498299101598619E-2</c:v>
                </c:pt>
                <c:pt idx="1765">
                  <c:v>2.3490472025198272E-2</c:v>
                </c:pt>
                <c:pt idx="1766">
                  <c:v>2.3482704800628085E-2</c:v>
                </c:pt>
                <c:pt idx="1767">
                  <c:v>2.347499742780812E-2</c:v>
                </c:pt>
                <c:pt idx="1768">
                  <c:v>2.3467349906765023E-2</c:v>
                </c:pt>
                <c:pt idx="1769">
                  <c:v>2.3459762237445503E-2</c:v>
                </c:pt>
                <c:pt idx="1770">
                  <c:v>2.3452234419876206E-2</c:v>
                </c:pt>
                <c:pt idx="1771">
                  <c:v>2.3444766454057131E-2</c:v>
                </c:pt>
                <c:pt idx="1772">
                  <c:v>2.3437358339934988E-2</c:v>
                </c:pt>
                <c:pt idx="1773">
                  <c:v>2.3430010077536423E-2</c:v>
                </c:pt>
                <c:pt idx="1774">
                  <c:v>2.3422721666808144E-2</c:v>
                </c:pt>
                <c:pt idx="1775">
                  <c:v>2.3415493107776797E-2</c:v>
                </c:pt>
                <c:pt idx="1776">
                  <c:v>2.3408324400415736E-2</c:v>
                </c:pt>
                <c:pt idx="1777">
                  <c:v>2.3401215544724963E-2</c:v>
                </c:pt>
                <c:pt idx="1778">
                  <c:v>2.339416654067783E-2</c:v>
                </c:pt>
                <c:pt idx="1779">
                  <c:v>2.3387177388274338E-2</c:v>
                </c:pt>
                <c:pt idx="1780">
                  <c:v>2.3380248087514488E-2</c:v>
                </c:pt>
                <c:pt idx="1781">
                  <c:v>2.3373378638344988E-2</c:v>
                </c:pt>
                <c:pt idx="1782">
                  <c:v>2.336656904081913E-2</c:v>
                </c:pt>
                <c:pt idx="1783">
                  <c:v>2.3359819294910267E-2</c:v>
                </c:pt>
                <c:pt idx="1784">
                  <c:v>2.3353129400565109E-2</c:v>
                </c:pt>
                <c:pt idx="1785">
                  <c:v>2.3346499357810302E-2</c:v>
                </c:pt>
                <c:pt idx="1786">
                  <c:v>2.33399291666192E-2</c:v>
                </c:pt>
                <c:pt idx="1787">
                  <c:v>2.3333418826991803E-2</c:v>
                </c:pt>
                <c:pt idx="1788">
                  <c:v>2.3326968338901466E-2</c:v>
                </c:pt>
                <c:pt idx="1789">
                  <c:v>2.3320577702374834E-2</c:v>
                </c:pt>
                <c:pt idx="1790">
                  <c:v>2.3314246917358616E-2</c:v>
                </c:pt>
                <c:pt idx="1791">
                  <c:v>2.3307975983879459E-2</c:v>
                </c:pt>
                <c:pt idx="1792">
                  <c:v>2.3301764901910715E-2</c:v>
                </c:pt>
                <c:pt idx="1793">
                  <c:v>2.3295613671479032E-2</c:v>
                </c:pt>
                <c:pt idx="1794">
                  <c:v>2.3286607919188462E-2</c:v>
                </c:pt>
                <c:pt idx="1795">
                  <c:v>2.3280272549639491E-2</c:v>
                </c:pt>
                <c:pt idx="1796">
                  <c:v>2.32743187441109E-2</c:v>
                </c:pt>
                <c:pt idx="1797">
                  <c:v>2.3268424781992536E-2</c:v>
                </c:pt>
                <c:pt idx="1798">
                  <c:v>2.3262590663444271E-2</c:v>
                </c:pt>
                <c:pt idx="1799">
                  <c:v>2.3256816388466106E-2</c:v>
                </c:pt>
                <c:pt idx="1800">
                  <c:v>2.3251101956898168E-2</c:v>
                </c:pt>
                <c:pt idx="1801">
                  <c:v>2.3245447368900329E-2</c:v>
                </c:pt>
                <c:pt idx="1802">
                  <c:v>2.3239852624392654E-2</c:v>
                </c:pt>
                <c:pt idx="1803">
                  <c:v>2.3234317723455078E-2</c:v>
                </c:pt>
                <c:pt idx="1804">
                  <c:v>2.3228842666007665E-2</c:v>
                </c:pt>
                <c:pt idx="1805">
                  <c:v>2.322342745197048E-2</c:v>
                </c:pt>
                <c:pt idx="1806">
                  <c:v>2.321807208158333E-2</c:v>
                </c:pt>
                <c:pt idx="1807">
                  <c:v>2.3212776554686343E-2</c:v>
                </c:pt>
                <c:pt idx="1808">
                  <c:v>2.3207540871279519E-2</c:v>
                </c:pt>
                <c:pt idx="1809">
                  <c:v>2.3202365031282923E-2</c:v>
                </c:pt>
                <c:pt idx="1810">
                  <c:v>2.3195798313313531E-2</c:v>
                </c:pt>
                <c:pt idx="1811">
                  <c:v>2.3192192881920093E-2</c:v>
                </c:pt>
                <c:pt idx="1812">
                  <c:v>2.3187196572473923E-2</c:v>
                </c:pt>
                <c:pt idx="1813">
                  <c:v>2.3182260106597852E-2</c:v>
                </c:pt>
                <c:pt idx="1814">
                  <c:v>2.3177383483972136E-2</c:v>
                </c:pt>
                <c:pt idx="1815">
                  <c:v>2.3172566704996456E-2</c:v>
                </c:pt>
                <c:pt idx="1816">
                  <c:v>2.3167809769590875E-2</c:v>
                </c:pt>
                <c:pt idx="1817">
                  <c:v>2.3163112677595521E-2</c:v>
                </c:pt>
                <c:pt idx="1818">
                  <c:v>2.3158475429010394E-2</c:v>
                </c:pt>
                <c:pt idx="1819">
                  <c:v>2.3153898023835495E-2</c:v>
                </c:pt>
                <c:pt idx="1820">
                  <c:v>2.3149380462310631E-2</c:v>
                </c:pt>
                <c:pt idx="1821">
                  <c:v>2.3144922744116059E-2</c:v>
                </c:pt>
                <c:pt idx="1822">
                  <c:v>2.3140524869411649E-2</c:v>
                </c:pt>
                <c:pt idx="1823">
                  <c:v>2.3136186838277339E-2</c:v>
                </c:pt>
                <c:pt idx="1824">
                  <c:v>2.3131908650473321E-2</c:v>
                </c:pt>
                <c:pt idx="1825">
                  <c:v>2.3127690306159465E-2</c:v>
                </c:pt>
                <c:pt idx="1826">
                  <c:v>2.3123531805415709E-2</c:v>
                </c:pt>
                <c:pt idx="1827">
                  <c:v>2.3119433148002244E-2</c:v>
                </c:pt>
                <c:pt idx="1828">
                  <c:v>2.3115394334158879E-2</c:v>
                </c:pt>
                <c:pt idx="1829">
                  <c:v>2.311141536372574E-2</c:v>
                </c:pt>
                <c:pt idx="1830">
                  <c:v>2.3107496236622893E-2</c:v>
                </c:pt>
                <c:pt idx="1831">
                  <c:v>2.3103636953090145E-2</c:v>
                </c:pt>
                <c:pt idx="1832">
                  <c:v>2.3099837513047561E-2</c:v>
                </c:pt>
                <c:pt idx="1833">
                  <c:v>2.3096097916335268E-2</c:v>
                </c:pt>
                <c:pt idx="1834">
                  <c:v>2.3092418163113138E-2</c:v>
                </c:pt>
                <c:pt idx="1835">
                  <c:v>2.3088798253381171E-2</c:v>
                </c:pt>
                <c:pt idx="1836">
                  <c:v>2.3085238186979495E-2</c:v>
                </c:pt>
                <c:pt idx="1837">
                  <c:v>2.3081737964147919E-2</c:v>
                </c:pt>
                <c:pt idx="1838">
                  <c:v>2.3078297584566698E-2</c:v>
                </c:pt>
                <c:pt idx="1839">
                  <c:v>2.3074917048555577E-2</c:v>
                </c:pt>
                <c:pt idx="1840">
                  <c:v>2.3071596355954682E-2</c:v>
                </c:pt>
                <c:pt idx="1841">
                  <c:v>2.3068335506843951E-2</c:v>
                </c:pt>
                <c:pt idx="1842">
                  <c:v>2.3065134501063511E-2</c:v>
                </c:pt>
                <c:pt idx="1843">
                  <c:v>2.3061993338693298E-2</c:v>
                </c:pt>
                <c:pt idx="1844">
                  <c:v>2.3058912019813249E-2</c:v>
                </c:pt>
                <c:pt idx="1845">
                  <c:v>2.3055890544423363E-2</c:v>
                </c:pt>
                <c:pt idx="1846">
                  <c:v>2.305304028287658E-2</c:v>
                </c:pt>
                <c:pt idx="1847">
                  <c:v>2.304961746772527E-2</c:v>
                </c:pt>
                <c:pt idx="1848">
                  <c:v>2.3046784071487636E-2</c:v>
                </c:pt>
                <c:pt idx="1849">
                  <c:v>2.3044010518820102E-2</c:v>
                </c:pt>
                <c:pt idx="1850">
                  <c:v>2.3041296809562795E-2</c:v>
                </c:pt>
                <c:pt idx="1851">
                  <c:v>2.3038642943715715E-2</c:v>
                </c:pt>
                <c:pt idx="1852">
                  <c:v>2.3036048921198926E-2</c:v>
                </c:pt>
                <c:pt idx="1853">
                  <c:v>2.3033514742172301E-2</c:v>
                </c:pt>
                <c:pt idx="1854">
                  <c:v>2.3031040406475967E-2</c:v>
                </c:pt>
                <c:pt idx="1855">
                  <c:v>2.302862591418986E-2</c:v>
                </c:pt>
                <c:pt idx="1856">
                  <c:v>2.3026271265473852E-2</c:v>
                </c:pt>
                <c:pt idx="1857">
                  <c:v>2.30239764600082E-2</c:v>
                </c:pt>
                <c:pt idx="1858">
                  <c:v>2.3021741498032711E-2</c:v>
                </c:pt>
                <c:pt idx="1859">
                  <c:v>2.3019566379307577E-2</c:v>
                </c:pt>
                <c:pt idx="1860">
                  <c:v>2.3016857731521512E-2</c:v>
                </c:pt>
                <c:pt idx="1861">
                  <c:v>2.3014819397779718E-2</c:v>
                </c:pt>
                <c:pt idx="1862">
                  <c:v>2.3012840907448151E-2</c:v>
                </c:pt>
                <c:pt idx="1863">
                  <c:v>2.3011856277657117E-2</c:v>
                </c:pt>
                <c:pt idx="1864">
                  <c:v>2.3009063457175571E-2</c:v>
                </c:pt>
                <c:pt idx="1865">
                  <c:v>2.3007264497074686E-2</c:v>
                </c:pt>
                <c:pt idx="1866">
                  <c:v>2.3005525380384029E-2</c:v>
                </c:pt>
                <c:pt idx="1867">
                  <c:v>2.3003846107103598E-2</c:v>
                </c:pt>
                <c:pt idx="1868">
                  <c:v>2.3002226677153459E-2</c:v>
                </c:pt>
                <c:pt idx="1869">
                  <c:v>2.3000667090773419E-2</c:v>
                </c:pt>
                <c:pt idx="1870">
                  <c:v>2.2999167347643734E-2</c:v>
                </c:pt>
                <c:pt idx="1871">
                  <c:v>2.2997727448004213E-2</c:v>
                </c:pt>
                <c:pt idx="1872">
                  <c:v>2.2996347391615046E-2</c:v>
                </c:pt>
                <c:pt idx="1873">
                  <c:v>2.2995027178716043E-2</c:v>
                </c:pt>
                <c:pt idx="1874">
                  <c:v>2.2993766809307203E-2</c:v>
                </c:pt>
                <c:pt idx="1875">
                  <c:v>2.2992566283068783E-2</c:v>
                </c:pt>
                <c:pt idx="1876">
                  <c:v>2.2991425600320525E-2</c:v>
                </c:pt>
                <c:pt idx="1877">
                  <c:v>2.2990344761062431E-2</c:v>
                </c:pt>
                <c:pt idx="1878">
                  <c:v>2.2989323765134628E-2</c:v>
                </c:pt>
                <c:pt idx="1879">
                  <c:v>2.2988362612537117E-2</c:v>
                </c:pt>
                <c:pt idx="1880">
                  <c:v>2.2987461303349832E-2</c:v>
                </c:pt>
                <c:pt idx="1881">
                  <c:v>2.2986619837572775E-2</c:v>
                </c:pt>
                <c:pt idx="1882">
                  <c:v>2.2985838215205945E-2</c:v>
                </c:pt>
                <c:pt idx="1883">
                  <c:v>2.2985116436169406E-2</c:v>
                </c:pt>
                <c:pt idx="1884">
                  <c:v>2.2984454500623031E-2</c:v>
                </c:pt>
                <c:pt idx="1885">
                  <c:v>2.2983852408406946E-2</c:v>
                </c:pt>
                <c:pt idx="1886">
                  <c:v>2.2983310159441217E-2</c:v>
                </c:pt>
                <c:pt idx="1887">
                  <c:v>2.2982827754045587E-2</c:v>
                </c:pt>
                <c:pt idx="1888">
                  <c:v>2.2982405191980249E-2</c:v>
                </c:pt>
                <c:pt idx="1889">
                  <c:v>2.2982042473245201E-2</c:v>
                </c:pt>
                <c:pt idx="1890">
                  <c:v>2.2981739598000317E-2</c:v>
                </c:pt>
                <c:pt idx="1891">
                  <c:v>2.2981496566005788E-2</c:v>
                </c:pt>
                <c:pt idx="1892">
                  <c:v>2.2981313377501422E-2</c:v>
                </c:pt>
                <c:pt idx="1893">
                  <c:v>2.2981190032407284E-2</c:v>
                </c:pt>
                <c:pt idx="1894">
                  <c:v>2.2981126530643436E-2</c:v>
                </c:pt>
                <c:pt idx="1895">
                  <c:v>2.2981122872369752E-2</c:v>
                </c:pt>
                <c:pt idx="1896">
                  <c:v>2.2981179057266488E-2</c:v>
                </c:pt>
                <c:pt idx="1897">
                  <c:v>2.2981388256084756E-2</c:v>
                </c:pt>
                <c:pt idx="1898">
                  <c:v>2.2982999722245268E-2</c:v>
                </c:pt>
                <c:pt idx="1899">
                  <c:v>2.2981706672737801E-2</c:v>
                </c:pt>
                <c:pt idx="1900">
                  <c:v>2.2982002231275445E-2</c:v>
                </c:pt>
                <c:pt idx="1901">
                  <c:v>2.2982357633223316E-2</c:v>
                </c:pt>
                <c:pt idx="1902">
                  <c:v>2.2982772878501478E-2</c:v>
                </c:pt>
                <c:pt idx="1903">
                  <c:v>2.298324796734974E-2</c:v>
                </c:pt>
                <c:pt idx="1904">
                  <c:v>2.2983782899288485E-2</c:v>
                </c:pt>
                <c:pt idx="1905">
                  <c:v>2.2984377674797329E-2</c:v>
                </c:pt>
                <c:pt idx="1906">
                  <c:v>2.2985032293716401E-2</c:v>
                </c:pt>
                <c:pt idx="1907">
                  <c:v>2.29857467560457E-2</c:v>
                </c:pt>
                <c:pt idx="1908">
                  <c:v>2.298652106170529E-2</c:v>
                </c:pt>
                <c:pt idx="1909">
                  <c:v>2.2987355210775107E-2</c:v>
                </c:pt>
                <c:pt idx="1910">
                  <c:v>2.299145298508698E-2</c:v>
                </c:pt>
                <c:pt idx="1911">
                  <c:v>2.2989203039065487E-2</c:v>
                </c:pt>
                <c:pt idx="1912">
                  <c:v>2.2990216718206113E-2</c:v>
                </c:pt>
                <c:pt idx="1913">
                  <c:v>2.299129024091684E-2</c:v>
                </c:pt>
                <c:pt idx="1914">
                  <c:v>2.2992423606797985E-2</c:v>
                </c:pt>
                <c:pt idx="1915">
                  <c:v>2.299608414087384E-2</c:v>
                </c:pt>
                <c:pt idx="1916">
                  <c:v>2.2994869869030765E-2</c:v>
                </c:pt>
                <c:pt idx="1917">
                  <c:v>2.2996182765222528E-2</c:v>
                </c:pt>
                <c:pt idx="1918">
                  <c:v>2.2997555504824518E-2</c:v>
                </c:pt>
                <c:pt idx="1919">
                  <c:v>2.29989880877568E-2</c:v>
                </c:pt>
                <c:pt idx="1920">
                  <c:v>2.3000480514099308E-2</c:v>
                </c:pt>
                <c:pt idx="1921">
                  <c:v>2.3002032783772108E-2</c:v>
                </c:pt>
                <c:pt idx="1922">
                  <c:v>2.3003644897094944E-2</c:v>
                </c:pt>
                <c:pt idx="1923">
                  <c:v>2.3005316853588198E-2</c:v>
                </c:pt>
                <c:pt idx="1924">
                  <c:v>2.3007048653411744E-2</c:v>
                </c:pt>
                <c:pt idx="1925">
                  <c:v>2.3008840296805388E-2</c:v>
                </c:pt>
                <c:pt idx="1926">
                  <c:v>2.3010691783609261E-2</c:v>
                </c:pt>
                <c:pt idx="1927">
                  <c:v>2.3012603113663488E-2</c:v>
                </c:pt>
                <c:pt idx="1928">
                  <c:v>2.3014574287287815E-2</c:v>
                </c:pt>
                <c:pt idx="1929">
                  <c:v>2.301660530408256E-2</c:v>
                </c:pt>
                <c:pt idx="1930">
                  <c:v>2.3018696164447405E-2</c:v>
                </c:pt>
                <c:pt idx="1931">
                  <c:v>2.3020846868302414E-2</c:v>
                </c:pt>
                <c:pt idx="1932">
                  <c:v>2.3023057415407777E-2</c:v>
                </c:pt>
                <c:pt idx="1933">
                  <c:v>2.302532780608324E-2</c:v>
                </c:pt>
                <c:pt idx="1934">
                  <c:v>2.3027658040009058E-2</c:v>
                </c:pt>
                <c:pt idx="1935">
                  <c:v>2.3030048117504975E-2</c:v>
                </c:pt>
                <c:pt idx="1936">
                  <c:v>2.3032498038171312E-2</c:v>
                </c:pt>
                <c:pt idx="1937">
                  <c:v>2.3035007802407748E-2</c:v>
                </c:pt>
                <c:pt idx="1938">
                  <c:v>2.3037577409894539E-2</c:v>
                </c:pt>
                <c:pt idx="1939">
                  <c:v>2.3040206861111301E-2</c:v>
                </c:pt>
                <c:pt idx="1940">
                  <c:v>2.3042896155418546E-2</c:v>
                </c:pt>
                <c:pt idx="1941">
                  <c:v>2.3045645293375827E-2</c:v>
                </c:pt>
                <c:pt idx="1942">
                  <c:v>2.3048454274663399E-2</c:v>
                </c:pt>
                <c:pt idx="1943">
                  <c:v>2.3051323099361198E-2</c:v>
                </c:pt>
                <c:pt idx="1944">
                  <c:v>2.3054251767469225E-2</c:v>
                </c:pt>
                <c:pt idx="1945">
                  <c:v>2.3057240278987479E-2</c:v>
                </c:pt>
                <c:pt idx="1946">
                  <c:v>2.3060288633995896E-2</c:v>
                </c:pt>
                <c:pt idx="1947">
                  <c:v>2.3063396832254668E-2</c:v>
                </c:pt>
                <c:pt idx="1948">
                  <c:v>2.3066564874163475E-2</c:v>
                </c:pt>
                <c:pt idx="1949">
                  <c:v>2.3072710791458562E-2</c:v>
                </c:pt>
                <c:pt idx="1950">
                  <c:v>2.3076011978362398E-2</c:v>
                </c:pt>
                <c:pt idx="1951">
                  <c:v>2.3076428060111454E-2</c:v>
                </c:pt>
                <c:pt idx="1952">
                  <c:v>2.3079835475741106E-2</c:v>
                </c:pt>
                <c:pt idx="1953">
                  <c:v>2.308330273470105E-2</c:v>
                </c:pt>
                <c:pt idx="1954">
                  <c:v>2.3086829837151157E-2</c:v>
                </c:pt>
                <c:pt idx="1955">
                  <c:v>2.3090416783011491E-2</c:v>
                </c:pt>
                <c:pt idx="1956">
                  <c:v>2.3094063572361989E-2</c:v>
                </c:pt>
                <c:pt idx="1957">
                  <c:v>2.3097770205122714E-2</c:v>
                </c:pt>
                <c:pt idx="1958">
                  <c:v>2.310153668121373E-2</c:v>
                </c:pt>
                <c:pt idx="1959">
                  <c:v>2.3105363000874846E-2</c:v>
                </c:pt>
                <c:pt idx="1960">
                  <c:v>2.3109249163946188E-2</c:v>
                </c:pt>
                <c:pt idx="1961">
                  <c:v>2.3113195170427758E-2</c:v>
                </c:pt>
                <c:pt idx="1962">
                  <c:v>2.3117201020399492E-2</c:v>
                </c:pt>
                <c:pt idx="1963">
                  <c:v>2.3121266713781452E-2</c:v>
                </c:pt>
                <c:pt idx="1964">
                  <c:v>2.3125392250813448E-2</c:v>
                </c:pt>
                <c:pt idx="1965">
                  <c:v>2.3133758264902937E-2</c:v>
                </c:pt>
                <c:pt idx="1966">
                  <c:v>2.3133822854948249E-2</c:v>
                </c:pt>
                <c:pt idx="1967">
                  <c:v>2.3138127922130991E-2</c:v>
                </c:pt>
                <c:pt idx="1968">
                  <c:v>2.3142492832883832E-2</c:v>
                </c:pt>
                <c:pt idx="1969">
                  <c:v>2.3146917587126836E-2</c:v>
                </c:pt>
                <c:pt idx="1970">
                  <c:v>2.3151402184700132E-2</c:v>
                </c:pt>
                <c:pt idx="1971">
                  <c:v>2.3155946625843526E-2</c:v>
                </c:pt>
                <c:pt idx="1972">
                  <c:v>2.3160550646448286E-2</c:v>
                </c:pt>
                <c:pt idx="1973">
                  <c:v>2.3165170418133485E-2</c:v>
                </c:pt>
                <c:pt idx="1974">
                  <c:v>2.3169772409561418E-2</c:v>
                </c:pt>
                <c:pt idx="1975">
                  <c:v>2.317435662081202E-2</c:v>
                </c:pt>
                <c:pt idx="1976">
                  <c:v>2.3178923051805356E-2</c:v>
                </c:pt>
                <c:pt idx="1977">
                  <c:v>2.3183471702541425E-2</c:v>
                </c:pt>
                <c:pt idx="1978">
                  <c:v>2.3188002573100164E-2</c:v>
                </c:pt>
                <c:pt idx="1979">
                  <c:v>2.31925156633217E-2</c:v>
                </c:pt>
                <c:pt idx="1980">
                  <c:v>2.3197010973445842E-2</c:v>
                </c:pt>
                <c:pt idx="1981">
                  <c:v>2.3201488503232781E-2</c:v>
                </c:pt>
                <c:pt idx="1982">
                  <c:v>2.3205948252922326E-2</c:v>
                </c:pt>
                <c:pt idx="1983">
                  <c:v>2.3210390222194732E-2</c:v>
                </c:pt>
                <c:pt idx="1984">
                  <c:v>2.3214814411369744E-2</c:v>
                </c:pt>
                <c:pt idx="1985">
                  <c:v>2.3219220820207553E-2</c:v>
                </c:pt>
                <c:pt idx="1986">
                  <c:v>2.3223609448868032E-2</c:v>
                </c:pt>
                <c:pt idx="1987">
                  <c:v>2.3227980297271245E-2</c:v>
                </c:pt>
                <c:pt idx="1988">
                  <c:v>2.323233336541719E-2</c:v>
                </c:pt>
                <c:pt idx="1989">
                  <c:v>2.3236668653385806E-2</c:v>
                </c:pt>
                <c:pt idx="1990">
                  <c:v>2.3240986161017219E-2</c:v>
                </c:pt>
                <c:pt idx="1991">
                  <c:v>2.3245285888471301E-2</c:v>
                </c:pt>
                <c:pt idx="1992">
                  <c:v>2.3249567835748053E-2</c:v>
                </c:pt>
                <c:pt idx="1993">
                  <c:v>2.3253832002687602E-2</c:v>
                </c:pt>
                <c:pt idx="1994">
                  <c:v>2.3258078389449821E-2</c:v>
                </c:pt>
                <c:pt idx="1995">
                  <c:v>2.3262306995874837E-2</c:v>
                </c:pt>
                <c:pt idx="1996">
                  <c:v>2.3266517822122523E-2</c:v>
                </c:pt>
                <c:pt idx="1997">
                  <c:v>2.3270710868112943E-2</c:v>
                </c:pt>
                <c:pt idx="1998">
                  <c:v>2.3274886133846096E-2</c:v>
                </c:pt>
                <c:pt idx="1999">
                  <c:v>2.3279043619321982E-2</c:v>
                </c:pt>
                <c:pt idx="2000">
                  <c:v>2.3283183324620538E-2</c:v>
                </c:pt>
                <c:pt idx="2001">
                  <c:v>2.3287305249661827E-2</c:v>
                </c:pt>
                <c:pt idx="2002">
                  <c:v>2.329140939444585E-2</c:v>
                </c:pt>
                <c:pt idx="2003">
                  <c:v>2.329549575889267E-2</c:v>
                </c:pt>
                <c:pt idx="2004">
                  <c:v>2.3299564343242096E-2</c:v>
                </c:pt>
                <c:pt idx="2005">
                  <c:v>2.3303615147174384E-2</c:v>
                </c:pt>
                <c:pt idx="2006">
                  <c:v>2.330764817092934E-2</c:v>
                </c:pt>
                <c:pt idx="2007">
                  <c:v>2.3311663414506967E-2</c:v>
                </c:pt>
                <c:pt idx="2008">
                  <c:v>2.3315660877747391E-2</c:v>
                </c:pt>
                <c:pt idx="2009">
                  <c:v>2.3319640560730548E-2</c:v>
                </c:pt>
                <c:pt idx="2010">
                  <c:v>2.3323602463536375E-2</c:v>
                </c:pt>
                <c:pt idx="2011">
                  <c:v>2.3327546586004999E-2</c:v>
                </c:pt>
                <c:pt idx="2012">
                  <c:v>2.3331472928296293E-2</c:v>
                </c:pt>
                <c:pt idx="2013">
                  <c:v>2.333538149033032E-2</c:v>
                </c:pt>
                <c:pt idx="2014">
                  <c:v>2.3339272271947209E-2</c:v>
                </c:pt>
                <c:pt idx="2015">
                  <c:v>2.3343145273466703E-2</c:v>
                </c:pt>
                <c:pt idx="2016">
                  <c:v>2.3351127074862532E-2</c:v>
                </c:pt>
                <c:pt idx="2017">
                  <c:v>2.3350837935653956E-2</c:v>
                </c:pt>
                <c:pt idx="2018">
                  <c:v>2.3354657596481587E-2</c:v>
                </c:pt>
                <c:pt idx="2019">
                  <c:v>2.3358459476892079E-2</c:v>
                </c:pt>
                <c:pt idx="2020">
                  <c:v>2.3362243577205177E-2</c:v>
                </c:pt>
                <c:pt idx="2021">
                  <c:v>2.3366009897101137E-2</c:v>
                </c:pt>
                <c:pt idx="2022">
                  <c:v>2.3369758436819765E-2</c:v>
                </c:pt>
                <c:pt idx="2023">
                  <c:v>2.3373489196121255E-2</c:v>
                </c:pt>
                <c:pt idx="2024">
                  <c:v>2.3377202175325351E-2</c:v>
                </c:pt>
                <c:pt idx="2025">
                  <c:v>2.338089737427218E-2</c:v>
                </c:pt>
                <c:pt idx="2026">
                  <c:v>2.3384574792881807E-2</c:v>
                </c:pt>
                <c:pt idx="2027">
                  <c:v>2.3388234431314103E-2</c:v>
                </c:pt>
                <c:pt idx="2028">
                  <c:v>2.3391876289409197E-2</c:v>
                </c:pt>
                <c:pt idx="2029">
                  <c:v>2.339550036732696E-2</c:v>
                </c:pt>
                <c:pt idx="2030">
                  <c:v>2.3399106664827585E-2</c:v>
                </c:pt>
                <c:pt idx="2031">
                  <c:v>2.3402695182230815E-2</c:v>
                </c:pt>
                <c:pt idx="2032">
                  <c:v>2.3406265919216906E-2</c:v>
                </c:pt>
                <c:pt idx="2033">
                  <c:v>2.3409818876025668E-2</c:v>
                </c:pt>
                <c:pt idx="2034">
                  <c:v>2.3413354052577162E-2</c:v>
                </c:pt>
                <c:pt idx="2035">
                  <c:v>2.341687144887139E-2</c:v>
                </c:pt>
                <c:pt idx="2036">
                  <c:v>2.3420371064828416E-2</c:v>
                </c:pt>
                <c:pt idx="2037">
                  <c:v>2.3423852900608111E-2</c:v>
                </c:pt>
                <c:pt idx="2038">
                  <c:v>2.3427316956130539E-2</c:v>
                </c:pt>
                <c:pt idx="2039">
                  <c:v>2.3430763231315765E-2</c:v>
                </c:pt>
                <c:pt idx="2040">
                  <c:v>2.3434191726243725E-2</c:v>
                </c:pt>
                <c:pt idx="2041">
                  <c:v>2.3437602440914418E-2</c:v>
                </c:pt>
                <c:pt idx="2042">
                  <c:v>2.3440995375247908E-2</c:v>
                </c:pt>
                <c:pt idx="2043">
                  <c:v>2.3444370529404068E-2</c:v>
                </c:pt>
                <c:pt idx="2044">
                  <c:v>2.3447727903223026E-2</c:v>
                </c:pt>
                <c:pt idx="2045">
                  <c:v>2.3451067496864653E-2</c:v>
                </c:pt>
                <c:pt idx="2046">
                  <c:v>2.3454389310089141E-2</c:v>
                </c:pt>
                <c:pt idx="2047">
                  <c:v>2.3457693343216235E-2</c:v>
                </c:pt>
                <c:pt idx="2048">
                  <c:v>2.346097959592619E-2</c:v>
                </c:pt>
                <c:pt idx="2049">
                  <c:v>2.3464248068458815E-2</c:v>
                </c:pt>
                <c:pt idx="2050">
                  <c:v>2.3467498760654237E-2</c:v>
                </c:pt>
                <c:pt idx="2051">
                  <c:v>2.3470731672672329E-2</c:v>
                </c:pt>
                <c:pt idx="2052">
                  <c:v>2.3473946804273282E-2</c:v>
                </c:pt>
                <c:pt idx="2053">
                  <c:v>2.3477144155696905E-2</c:v>
                </c:pt>
                <c:pt idx="2054">
                  <c:v>2.3483752263318003E-2</c:v>
                </c:pt>
                <c:pt idx="2055">
                  <c:v>2.3485917522929611E-2</c:v>
                </c:pt>
                <c:pt idx="2056">
                  <c:v>2.3489056862997515E-2</c:v>
                </c:pt>
                <c:pt idx="2057">
                  <c:v>2.3492178420516652E-2</c:v>
                </c:pt>
                <c:pt idx="2058">
                  <c:v>2.3495282195460376E-2</c:v>
                </c:pt>
                <c:pt idx="2059">
                  <c:v>2.3498368187908625E-2</c:v>
                </c:pt>
                <c:pt idx="2060">
                  <c:v>2.3501436397754816E-2</c:v>
                </c:pt>
                <c:pt idx="2061">
                  <c:v>2.3504486825132176E-2</c:v>
                </c:pt>
                <c:pt idx="2062">
                  <c:v>2.3507519469907479E-2</c:v>
                </c:pt>
                <c:pt idx="2063">
                  <c:v>2.3510534332134014E-2</c:v>
                </c:pt>
                <c:pt idx="2064">
                  <c:v>2.3513531411811783E-2</c:v>
                </c:pt>
                <c:pt idx="2065">
                  <c:v>2.3516510708940785E-2</c:v>
                </c:pt>
                <c:pt idx="2066">
                  <c:v>2.3519199552541892E-2</c:v>
                </c:pt>
                <c:pt idx="2067">
                  <c:v>2.3522415955499199E-2</c:v>
                </c:pt>
                <c:pt idx="2068">
                  <c:v>2.35253419049819E-2</c:v>
                </c:pt>
                <c:pt idx="2069">
                  <c:v>2.3528250071835899E-2</c:v>
                </c:pt>
                <c:pt idx="2070">
                  <c:v>2.3531140456194422E-2</c:v>
                </c:pt>
                <c:pt idx="2071">
                  <c:v>2.3534013057977532E-2</c:v>
                </c:pt>
                <c:pt idx="2072">
                  <c:v>2.353686787718523E-2</c:v>
                </c:pt>
                <c:pt idx="2073">
                  <c:v>2.3539704913870807E-2</c:v>
                </c:pt>
                <c:pt idx="2074">
                  <c:v>2.3542524167901036E-2</c:v>
                </c:pt>
                <c:pt idx="2075">
                  <c:v>2.3545325639462433E-2</c:v>
                </c:pt>
                <c:pt idx="2076">
                  <c:v>2.3548109328395128E-2</c:v>
                </c:pt>
                <c:pt idx="2077">
                  <c:v>2.3550875234752411E-2</c:v>
                </c:pt>
                <c:pt idx="2078">
                  <c:v>2.3553623358587572E-2</c:v>
                </c:pt>
                <c:pt idx="2079">
                  <c:v>2.3556353699820676E-2</c:v>
                </c:pt>
                <c:pt idx="2080">
                  <c:v>2.3559066258478367E-2</c:v>
                </c:pt>
                <c:pt idx="2081">
                  <c:v>2.3561761034560647E-2</c:v>
                </c:pt>
                <c:pt idx="2082">
                  <c:v>2.3564438028094159E-2</c:v>
                </c:pt>
                <c:pt idx="2083">
                  <c:v>2.3567097239025614E-2</c:v>
                </c:pt>
                <c:pt idx="2084">
                  <c:v>2.3569738667408302E-2</c:v>
                </c:pt>
                <c:pt idx="2085">
                  <c:v>2.3572362313162287E-2</c:v>
                </c:pt>
                <c:pt idx="2086">
                  <c:v>2.3574968176367506E-2</c:v>
                </c:pt>
                <c:pt idx="2087">
                  <c:v>2.3577556256997312E-2</c:v>
                </c:pt>
                <c:pt idx="2088">
                  <c:v>2.358012655502506E-2</c:v>
                </c:pt>
                <c:pt idx="2089">
                  <c:v>2.3582679070504042E-2</c:v>
                </c:pt>
                <c:pt idx="2090">
                  <c:v>2.3585213803354321E-2</c:v>
                </c:pt>
                <c:pt idx="2091">
                  <c:v>2.3587730753655833E-2</c:v>
                </c:pt>
                <c:pt idx="2092">
                  <c:v>2.3590229921355288E-2</c:v>
                </c:pt>
                <c:pt idx="2093">
                  <c:v>2.3592711306452685E-2</c:v>
                </c:pt>
                <c:pt idx="2094">
                  <c:v>2.3595174909001315E-2</c:v>
                </c:pt>
                <c:pt idx="2095">
                  <c:v>2.3597620728921243E-2</c:v>
                </c:pt>
                <c:pt idx="2096">
                  <c:v>2.3600048766239112E-2</c:v>
                </c:pt>
                <c:pt idx="2097">
                  <c:v>2.3602459021008215E-2</c:v>
                </c:pt>
                <c:pt idx="2098">
                  <c:v>2.3604851493175261E-2</c:v>
                </c:pt>
                <c:pt idx="2099">
                  <c:v>2.3607226182713603E-2</c:v>
                </c:pt>
                <c:pt idx="2100">
                  <c:v>2.3609583089703179E-2</c:v>
                </c:pt>
                <c:pt idx="2101">
                  <c:v>2.3611922214064052E-2</c:v>
                </c:pt>
                <c:pt idx="2102">
                  <c:v>2.3614243555849512E-2</c:v>
                </c:pt>
                <c:pt idx="2103">
                  <c:v>2.3616547115032915E-2</c:v>
                </c:pt>
                <c:pt idx="2104">
                  <c:v>2.3618832891587616E-2</c:v>
                </c:pt>
                <c:pt idx="2105">
                  <c:v>2.3621100885566904E-2</c:v>
                </c:pt>
                <c:pt idx="2106">
                  <c:v>2.3623375438179828E-2</c:v>
                </c:pt>
                <c:pt idx="2107">
                  <c:v>2.3624667836248392E-2</c:v>
                </c:pt>
                <c:pt idx="2108">
                  <c:v>2.3626877111810884E-2</c:v>
                </c:pt>
                <c:pt idx="2109">
                  <c:v>2.3629068606956238E-2</c:v>
                </c:pt>
                <c:pt idx="2110">
                  <c:v>2.3631242321684454E-2</c:v>
                </c:pt>
                <c:pt idx="2111">
                  <c:v>2.3633398256235338E-2</c:v>
                </c:pt>
                <c:pt idx="2112">
                  <c:v>2.3635536410528957E-2</c:v>
                </c:pt>
                <c:pt idx="2113">
                  <c:v>2.3637656784485372E-2</c:v>
                </c:pt>
                <c:pt idx="2114">
                  <c:v>2.3639759378104586E-2</c:v>
                </c:pt>
                <c:pt idx="2115">
                  <c:v>2.3641844191546468E-2</c:v>
                </c:pt>
                <c:pt idx="2116">
                  <c:v>2.3643911224571212E-2</c:v>
                </c:pt>
                <c:pt idx="2117">
                  <c:v>2.3645960477258754E-2</c:v>
                </c:pt>
                <c:pt idx="2118">
                  <c:v>2.3647991949689029E-2</c:v>
                </c:pt>
                <c:pt idx="2119">
                  <c:v>2.3650005641862037E-2</c:v>
                </c:pt>
                <c:pt idx="2120">
                  <c:v>2.3652001553697843E-2</c:v>
                </c:pt>
                <c:pt idx="2121">
                  <c:v>2.3654541599871237E-2</c:v>
                </c:pt>
                <c:pt idx="2122">
                  <c:v>2.3655940036437784E-2</c:v>
                </c:pt>
                <c:pt idx="2123">
                  <c:v>2.3657882607421854E-2</c:v>
                </c:pt>
                <c:pt idx="2124">
                  <c:v>2.3659807398068722E-2</c:v>
                </c:pt>
                <c:pt idx="2125">
                  <c:v>2.3661714408378387E-2</c:v>
                </c:pt>
                <c:pt idx="2126">
                  <c:v>2.3663603638430786E-2</c:v>
                </c:pt>
                <c:pt idx="2127">
                  <c:v>2.3665475088225918E-2</c:v>
                </c:pt>
                <c:pt idx="2128">
                  <c:v>2.3667328757603912E-2</c:v>
                </c:pt>
                <c:pt idx="2129">
                  <c:v>2.3669164646644703E-2</c:v>
                </c:pt>
                <c:pt idx="2130">
                  <c:v>2.3670982755508163E-2</c:v>
                </c:pt>
                <c:pt idx="2131">
                  <c:v>2.3672783084034421E-2</c:v>
                </c:pt>
                <c:pt idx="2132">
                  <c:v>2.3674565632223477E-2</c:v>
                </c:pt>
                <c:pt idx="2133">
                  <c:v>2.3676330400075329E-2</c:v>
                </c:pt>
                <c:pt idx="2134">
                  <c:v>2.3678077387749852E-2</c:v>
                </c:pt>
                <c:pt idx="2135">
                  <c:v>2.3679806595087172E-2</c:v>
                </c:pt>
                <c:pt idx="2136">
                  <c:v>2.3681518021927417E-2</c:v>
                </c:pt>
                <c:pt idx="2137">
                  <c:v>2.3683211668670268E-2</c:v>
                </c:pt>
                <c:pt idx="2138">
                  <c:v>2.3684887535075916E-2</c:v>
                </c:pt>
                <c:pt idx="2139">
                  <c:v>2.3686545621064425E-2</c:v>
                </c:pt>
                <c:pt idx="2140">
                  <c:v>2.3688185926795668E-2</c:v>
                </c:pt>
                <c:pt idx="2141">
                  <c:v>2.3689808452349581E-2</c:v>
                </c:pt>
                <c:pt idx="2142">
                  <c:v>2.3691413197486355E-2</c:v>
                </c:pt>
                <c:pt idx="2143">
                  <c:v>2.3693000162285927E-2</c:v>
                </c:pt>
                <c:pt idx="2144">
                  <c:v>2.3694569346908168E-2</c:v>
                </c:pt>
                <c:pt idx="2145">
                  <c:v>2.3696120751033334E-2</c:v>
                </c:pt>
                <c:pt idx="2146">
                  <c:v>2.369765437498117E-2</c:v>
                </c:pt>
                <c:pt idx="2147">
                  <c:v>2.3699170218511867E-2</c:v>
                </c:pt>
                <c:pt idx="2148">
                  <c:v>2.3700668281865234E-2</c:v>
                </c:pt>
                <c:pt idx="2149">
                  <c:v>2.3702148564881398E-2</c:v>
                </c:pt>
                <c:pt idx="2150">
                  <c:v>2.370361106756036E-2</c:v>
                </c:pt>
                <c:pt idx="2151">
                  <c:v>2.3705055789902119E-2</c:v>
                </c:pt>
                <c:pt idx="2152">
                  <c:v>2.3706482731986611E-2</c:v>
                </c:pt>
                <c:pt idx="2153">
                  <c:v>2.3707891893733901E-2</c:v>
                </c:pt>
                <c:pt idx="2154">
                  <c:v>2.3709283275143989E-2</c:v>
                </c:pt>
                <c:pt idx="2155">
                  <c:v>2.3710656876376746E-2</c:v>
                </c:pt>
                <c:pt idx="2156">
                  <c:v>2.3712012697112428E-2</c:v>
                </c:pt>
                <c:pt idx="2157">
                  <c:v>2.371335073767078E-2</c:v>
                </c:pt>
                <c:pt idx="2158">
                  <c:v>2.371573266176874E-2</c:v>
                </c:pt>
                <c:pt idx="2159">
                  <c:v>2.371615809481753E-2</c:v>
                </c:pt>
                <c:pt idx="2160">
                  <c:v>2.3717440254475974E-2</c:v>
                </c:pt>
                <c:pt idx="2161">
                  <c:v>2.3718704633637344E-2</c:v>
                </c:pt>
                <c:pt idx="2162">
                  <c:v>2.3719951232541447E-2</c:v>
                </c:pt>
                <c:pt idx="2163">
                  <c:v>2.3721180051108348E-2</c:v>
                </c:pt>
                <c:pt idx="2164">
                  <c:v>2.3722391089417982E-2</c:v>
                </c:pt>
                <c:pt idx="2165">
                  <c:v>2.372358434747035E-2</c:v>
                </c:pt>
                <c:pt idx="2166">
                  <c:v>2.3724759825025643E-2</c:v>
                </c:pt>
                <c:pt idx="2167">
                  <c:v>2.3725917522483542E-2</c:v>
                </c:pt>
                <c:pt idx="2168">
                  <c:v>2.3727057439524302E-2</c:v>
                </c:pt>
                <c:pt idx="2169">
                  <c:v>2.3728179576227859E-2</c:v>
                </c:pt>
                <c:pt idx="2170">
                  <c:v>2.3729283932594214E-2</c:v>
                </c:pt>
                <c:pt idx="2171">
                  <c:v>2.3730370508703302E-2</c:v>
                </c:pt>
                <c:pt idx="2172">
                  <c:v>2.3731741408976603E-2</c:v>
                </c:pt>
                <c:pt idx="2173">
                  <c:v>2.3732787344314943E-2</c:v>
                </c:pt>
                <c:pt idx="2174">
                  <c:v>2.3733815499475952E-2</c:v>
                </c:pt>
                <c:pt idx="2175">
                  <c:v>2.3737387246673958E-2</c:v>
                </c:pt>
                <c:pt idx="2176">
                  <c:v>2.3735818468626491E-2</c:v>
                </c:pt>
                <c:pt idx="2177">
                  <c:v>2.3736793282775892E-2</c:v>
                </c:pt>
                <c:pt idx="2178">
                  <c:v>2.3737750316588091E-2</c:v>
                </c:pt>
                <c:pt idx="2179">
                  <c:v>2.3738689570063087E-2</c:v>
                </c:pt>
                <c:pt idx="2180">
                  <c:v>2.3739611043200881E-2</c:v>
                </c:pt>
                <c:pt idx="2181">
                  <c:v>2.3740514736161344E-2</c:v>
                </c:pt>
                <c:pt idx="2182">
                  <c:v>2.3741400648704669E-2</c:v>
                </c:pt>
                <c:pt idx="2183">
                  <c:v>2.3742268780990727E-2</c:v>
                </c:pt>
                <c:pt idx="2184">
                  <c:v>2.3743119132859647E-2</c:v>
                </c:pt>
                <c:pt idx="2185">
                  <c:v>2.3743951704551236E-2</c:v>
                </c:pt>
                <c:pt idx="2186">
                  <c:v>2.3744766495825687E-2</c:v>
                </c:pt>
                <c:pt idx="2187">
                  <c:v>2.3745563506762934E-2</c:v>
                </c:pt>
                <c:pt idx="2188">
                  <c:v>2.3746342737522852E-2</c:v>
                </c:pt>
                <c:pt idx="2189">
                  <c:v>2.3747104187865631E-2</c:v>
                </c:pt>
                <c:pt idx="2190">
                  <c:v>2.3747847857951143E-2</c:v>
                </c:pt>
                <c:pt idx="2191">
                  <c:v>2.3748573747539581E-2</c:v>
                </c:pt>
                <c:pt idx="2192">
                  <c:v>2.3749281857030624E-2</c:v>
                </c:pt>
                <c:pt idx="2193">
                  <c:v>2.3749972186104529E-2</c:v>
                </c:pt>
                <c:pt idx="2194">
                  <c:v>2.3750644734841231E-2</c:v>
                </c:pt>
                <c:pt idx="2195">
                  <c:v>2.3751299503320666E-2</c:v>
                </c:pt>
                <c:pt idx="2196">
                  <c:v>2.3751936491462899E-2</c:v>
                </c:pt>
                <c:pt idx="2197">
                  <c:v>2.3752555699347866E-2</c:v>
                </c:pt>
                <c:pt idx="2198">
                  <c:v>2.3753157126735758E-2</c:v>
                </c:pt>
                <c:pt idx="2199">
                  <c:v>2.3753740774026255E-2</c:v>
                </c:pt>
                <c:pt idx="2200">
                  <c:v>2.375430664097955E-2</c:v>
                </c:pt>
                <c:pt idx="2201">
                  <c:v>2.375485472743577E-2</c:v>
                </c:pt>
                <c:pt idx="2202">
                  <c:v>2.3755385033634724E-2</c:v>
                </c:pt>
                <c:pt idx="2203">
                  <c:v>2.3755897559656347E-2</c:v>
                </c:pt>
                <c:pt idx="2204">
                  <c:v>2.3756392305260832E-2</c:v>
                </c:pt>
                <c:pt idx="2205">
                  <c:v>2.3756869270528114E-2</c:v>
                </c:pt>
                <c:pt idx="2206">
                  <c:v>2.3757328455538129E-2</c:v>
                </c:pt>
                <c:pt idx="2207">
                  <c:v>2.3757769860131006E-2</c:v>
                </c:pt>
                <c:pt idx="2208">
                  <c:v>2.3758193484546553E-2</c:v>
                </c:pt>
                <c:pt idx="2209">
                  <c:v>2.3761035837939204E-2</c:v>
                </c:pt>
                <c:pt idx="2210">
                  <c:v>2.3761420167667247E-2</c:v>
                </c:pt>
                <c:pt idx="2211">
                  <c:v>2.375935767569004E-2</c:v>
                </c:pt>
                <c:pt idx="2212">
                  <c:v>2.3759710178676841E-2</c:v>
                </c:pt>
                <c:pt idx="2213">
                  <c:v>2.3760044901406374E-2</c:v>
                </c:pt>
                <c:pt idx="2214">
                  <c:v>2.3760361843958577E-2</c:v>
                </c:pt>
                <c:pt idx="2215">
                  <c:v>2.3760661006093642E-2</c:v>
                </c:pt>
                <c:pt idx="2216">
                  <c:v>2.3760942387811568E-2</c:v>
                </c:pt>
                <c:pt idx="2217">
                  <c:v>2.3761205989352163E-2</c:v>
                </c:pt>
                <c:pt idx="2218">
                  <c:v>2.376145181047562E-2</c:v>
                </c:pt>
                <c:pt idx="2219">
                  <c:v>2.376167985134181E-2</c:v>
                </c:pt>
                <c:pt idx="2220">
                  <c:v>2.3761890111870798E-2</c:v>
                </c:pt>
                <c:pt idx="2221">
                  <c:v>2.3762082592142519E-2</c:v>
                </c:pt>
                <c:pt idx="2222">
                  <c:v>2.3762257291997102E-2</c:v>
                </c:pt>
                <c:pt idx="2223">
                  <c:v>2.3762414211594418E-2</c:v>
                </c:pt>
                <c:pt idx="2224">
                  <c:v>2.3762553350854532E-2</c:v>
                </c:pt>
                <c:pt idx="2225">
                  <c:v>2.376584299656237E-2</c:v>
                </c:pt>
                <c:pt idx="2226">
                  <c:v>2.3762778288443087E-2</c:v>
                </c:pt>
                <c:pt idx="2227">
                  <c:v>2.3762864086691593E-2</c:v>
                </c:pt>
                <c:pt idx="2228">
                  <c:v>2.3762932104762768E-2</c:v>
                </c:pt>
                <c:pt idx="2229">
                  <c:v>2.3762982342416805E-2</c:v>
                </c:pt>
                <c:pt idx="2230">
                  <c:v>2.3763014799733639E-2</c:v>
                </c:pt>
                <c:pt idx="2231">
                  <c:v>2.3763029476713271E-2</c:v>
                </c:pt>
                <c:pt idx="2232">
                  <c:v>2.3763026373515572E-2</c:v>
                </c:pt>
                <c:pt idx="2233">
                  <c:v>2.3763005489900735E-2</c:v>
                </c:pt>
                <c:pt idx="2234">
                  <c:v>2.3762966825948695E-2</c:v>
                </c:pt>
                <c:pt idx="2235">
                  <c:v>2.3762910381739388E-2</c:v>
                </c:pt>
                <c:pt idx="2236">
                  <c:v>2.3762836157272815E-2</c:v>
                </c:pt>
                <c:pt idx="2237">
                  <c:v>2.3762744152389104E-2</c:v>
                </c:pt>
                <c:pt idx="2238">
                  <c:v>2.3762634367088253E-2</c:v>
                </c:pt>
                <c:pt idx="2239">
                  <c:v>2.3762506801610073E-2</c:v>
                </c:pt>
                <c:pt idx="2240">
                  <c:v>2.3762361455874625E-2</c:v>
                </c:pt>
                <c:pt idx="2241">
                  <c:v>2.3762198329642104E-2</c:v>
                </c:pt>
                <c:pt idx="2242">
                  <c:v>2.3762017423232251E-2</c:v>
                </c:pt>
                <c:pt idx="2243">
                  <c:v>2.376181873640526E-2</c:v>
                </c:pt>
                <c:pt idx="2244">
                  <c:v>2.3761602269400939E-2</c:v>
                </c:pt>
                <c:pt idx="2245">
                  <c:v>2.3761368021899543E-2</c:v>
                </c:pt>
                <c:pt idx="2246">
                  <c:v>2.3761115994220816E-2</c:v>
                </c:pt>
                <c:pt idx="2247">
                  <c:v>2.3760846186204887E-2</c:v>
                </c:pt>
                <c:pt idx="2248">
                  <c:v>2.3760558597771819E-2</c:v>
                </c:pt>
                <c:pt idx="2249">
                  <c:v>2.3760253229081485E-2</c:v>
                </c:pt>
                <c:pt idx="2250">
                  <c:v>2.3759930080133884E-2</c:v>
                </c:pt>
                <c:pt idx="2251">
                  <c:v>2.3759589150769145E-2</c:v>
                </c:pt>
                <c:pt idx="2252">
                  <c:v>2.3759230441067203E-2</c:v>
                </c:pt>
                <c:pt idx="2253">
                  <c:v>2.375885395118793E-2</c:v>
                </c:pt>
                <c:pt idx="2254">
                  <c:v>2.3758459680971455E-2</c:v>
                </c:pt>
                <c:pt idx="2255">
                  <c:v>2.3758047630337842E-2</c:v>
                </c:pt>
                <c:pt idx="2256">
                  <c:v>2.3757617799367026E-2</c:v>
                </c:pt>
                <c:pt idx="2257">
                  <c:v>2.3757170188218879E-2</c:v>
                </c:pt>
                <c:pt idx="2258">
                  <c:v>2.3756704796653594E-2</c:v>
                </c:pt>
                <c:pt idx="2259">
                  <c:v>2.3756221624751106E-2</c:v>
                </c:pt>
                <c:pt idx="2260">
                  <c:v>2.3755720672591352E-2</c:v>
                </c:pt>
                <c:pt idx="2261">
                  <c:v>2.3755201940174331E-2</c:v>
                </c:pt>
                <c:pt idx="2262">
                  <c:v>2.3754665427340171E-2</c:v>
                </c:pt>
                <c:pt idx="2263">
                  <c:v>2.3754111134168809E-2</c:v>
                </c:pt>
                <c:pt idx="2264">
                  <c:v>2.3753539060820117E-2</c:v>
                </c:pt>
                <c:pt idx="2265">
                  <c:v>2.375294920697435E-2</c:v>
                </c:pt>
                <c:pt idx="2266">
                  <c:v>2.3752341572871316E-2</c:v>
                </c:pt>
                <c:pt idx="2267">
                  <c:v>2.3751716158511016E-2</c:v>
                </c:pt>
                <c:pt idx="2268">
                  <c:v>2.3751072963893449E-2</c:v>
                </c:pt>
                <c:pt idx="2269">
                  <c:v>2.3750411988858744E-2</c:v>
                </c:pt>
                <c:pt idx="2270">
                  <c:v>2.37497332334069E-2</c:v>
                </c:pt>
                <c:pt idx="2271">
                  <c:v>2.3749036697777726E-2</c:v>
                </c:pt>
                <c:pt idx="2272">
                  <c:v>2.3748322381811349E-2</c:v>
                </c:pt>
                <c:pt idx="2273">
                  <c:v>2.3747590285587705E-2</c:v>
                </c:pt>
                <c:pt idx="2274">
                  <c:v>2.3746840408946923E-2</c:v>
                </c:pt>
                <c:pt idx="2275">
                  <c:v>2.3746072752048875E-2</c:v>
                </c:pt>
                <c:pt idx="2276">
                  <c:v>2.3748191859050749E-2</c:v>
                </c:pt>
                <c:pt idx="2277">
                  <c:v>2.374448409724117E-2</c:v>
                </c:pt>
                <c:pt idx="2278">
                  <c:v>2.3743663099411449E-2</c:v>
                </c:pt>
                <c:pt idx="2279">
                  <c:v>2.3742824321244527E-2</c:v>
                </c:pt>
                <c:pt idx="2280">
                  <c:v>2.3741967762820337E-2</c:v>
                </c:pt>
                <c:pt idx="2281">
                  <c:v>2.3741093423819137E-2</c:v>
                </c:pt>
                <c:pt idx="2282">
                  <c:v>2.3740201304800479E-2</c:v>
                </c:pt>
                <c:pt idx="2283">
                  <c:v>2.3739291405444618E-2</c:v>
                </c:pt>
                <c:pt idx="2284">
                  <c:v>2.3738363725671618E-2</c:v>
                </c:pt>
                <c:pt idx="2285">
                  <c:v>2.373741826548148E-2</c:v>
                </c:pt>
                <c:pt idx="2286">
                  <c:v>2.3736455025193948E-2</c:v>
                </c:pt>
                <c:pt idx="2287">
                  <c:v>2.3735474004489276E-2</c:v>
                </c:pt>
                <c:pt idx="2288">
                  <c:v>2.3734475203447403E-2</c:v>
                </c:pt>
                <c:pt idx="2289">
                  <c:v>2.3733458622068326E-2</c:v>
                </c:pt>
                <c:pt idx="2290">
                  <c:v>2.373242426051192E-2</c:v>
                </c:pt>
                <c:pt idx="2291">
                  <c:v>2.373137211861831E-2</c:v>
                </c:pt>
                <c:pt idx="2292">
                  <c:v>2.3730302196227626E-2</c:v>
                </c:pt>
                <c:pt idx="2293">
                  <c:v>2.3729214493739548E-2</c:v>
                </c:pt>
                <c:pt idx="2294">
                  <c:v>2.3728109010834331E-2</c:v>
                </c:pt>
                <c:pt idx="2295">
                  <c:v>2.3726985747591911E-2</c:v>
                </c:pt>
                <c:pt idx="2296">
                  <c:v>2.3725844704092225E-2</c:v>
                </c:pt>
                <c:pt idx="2297">
                  <c:v>2.3724685880335272E-2</c:v>
                </c:pt>
                <c:pt idx="2298">
                  <c:v>2.3723509276161181E-2</c:v>
                </c:pt>
                <c:pt idx="2299">
                  <c:v>2.3722314891649887E-2</c:v>
                </c:pt>
                <c:pt idx="2300">
                  <c:v>2.3721102726961263E-2</c:v>
                </c:pt>
                <c:pt idx="2301">
                  <c:v>2.3719872781935436E-2</c:v>
                </c:pt>
                <c:pt idx="2302">
                  <c:v>2.3718625056572407E-2</c:v>
                </c:pt>
                <c:pt idx="2303">
                  <c:v>2.3717359550792239E-2</c:v>
                </c:pt>
                <c:pt idx="2304">
                  <c:v>2.371607626483474E-2</c:v>
                </c:pt>
                <c:pt idx="2305">
                  <c:v>2.3714775198460103E-2</c:v>
                </c:pt>
                <c:pt idx="2306">
                  <c:v>2.3713456351828199E-2</c:v>
                </c:pt>
                <c:pt idx="2307">
                  <c:v>2.3712119724859093E-2</c:v>
                </c:pt>
                <c:pt idx="2308">
                  <c:v>2.371076531763272E-2</c:v>
                </c:pt>
                <c:pt idx="2309">
                  <c:v>2.3709393130149081E-2</c:v>
                </c:pt>
                <c:pt idx="2310">
                  <c:v>2.3708003162248303E-2</c:v>
                </c:pt>
                <c:pt idx="2311">
                  <c:v>2.3706595414010323E-2</c:v>
                </c:pt>
                <c:pt idx="2312">
                  <c:v>2.3705169885595012E-2</c:v>
                </c:pt>
                <c:pt idx="2313">
                  <c:v>2.3703726576762563E-2</c:v>
                </c:pt>
                <c:pt idx="2314">
                  <c:v>2.3702265487592911E-2</c:v>
                </c:pt>
                <c:pt idx="2315">
                  <c:v>2.3700786618325864E-2</c:v>
                </c:pt>
                <c:pt idx="2316">
                  <c:v>2.3699289968481807E-2</c:v>
                </c:pt>
                <c:pt idx="2317">
                  <c:v>2.3697775538460419E-2</c:v>
                </c:pt>
                <c:pt idx="2318">
                  <c:v>2.3696243328181765E-2</c:v>
                </c:pt>
                <c:pt idx="2319">
                  <c:v>2.3694693337485973E-2</c:v>
                </c:pt>
                <c:pt idx="2320">
                  <c:v>2.3693125566532913E-2</c:v>
                </c:pt>
                <c:pt idx="2321">
                  <c:v>2.3691540015242651E-2</c:v>
                </c:pt>
                <c:pt idx="2322">
                  <c:v>2.3689936683775059E-2</c:v>
                </c:pt>
                <c:pt idx="2323">
                  <c:v>2.3688315571810392E-2</c:v>
                </c:pt>
                <c:pt idx="2324">
                  <c:v>2.3686676679588459E-2</c:v>
                </c:pt>
                <c:pt idx="2325">
                  <c:v>2.3685020007109259E-2</c:v>
                </c:pt>
                <c:pt idx="2326">
                  <c:v>2.3683345554372792E-2</c:v>
                </c:pt>
                <c:pt idx="2327">
                  <c:v>2.368428194476202E-2</c:v>
                </c:pt>
                <c:pt idx="2328">
                  <c:v>2.3679943307728379E-2</c:v>
                </c:pt>
                <c:pt idx="2329">
                  <c:v>2.3678215514140177E-2</c:v>
                </c:pt>
                <c:pt idx="2330">
                  <c:v>2.3676469940134837E-2</c:v>
                </c:pt>
                <c:pt idx="2331">
                  <c:v>2.3674706585712357E-2</c:v>
                </c:pt>
                <c:pt idx="2332">
                  <c:v>2.3672925451112548E-2</c:v>
                </c:pt>
                <c:pt idx="2333">
                  <c:v>2.3671126536175535E-2</c:v>
                </c:pt>
                <c:pt idx="2334">
                  <c:v>2.366930984090132E-2</c:v>
                </c:pt>
                <c:pt idx="2335">
                  <c:v>2.3667475365369839E-2</c:v>
                </c:pt>
                <c:pt idx="2336">
                  <c:v>2.3665623109501155E-2</c:v>
                </c:pt>
                <c:pt idx="2337">
                  <c:v>2.3663753073375204E-2</c:v>
                </c:pt>
                <c:pt idx="2338">
                  <c:v>2.3661865256991987E-2</c:v>
                </c:pt>
                <c:pt idx="2339">
                  <c:v>2.3659959660111696E-2</c:v>
                </c:pt>
                <c:pt idx="2340">
                  <c:v>2.365803628313401E-2</c:v>
                </c:pt>
                <c:pt idx="2341">
                  <c:v>2.3656095125819121E-2</c:v>
                </c:pt>
                <c:pt idx="2342">
                  <c:v>2.3654136188007158E-2</c:v>
                </c:pt>
                <c:pt idx="2343">
                  <c:v>2.36521594700978E-2</c:v>
                </c:pt>
                <c:pt idx="2344">
                  <c:v>2.3650164971931176E-2</c:v>
                </c:pt>
                <c:pt idx="2345">
                  <c:v>2.3648152693267477E-2</c:v>
                </c:pt>
                <c:pt idx="2346">
                  <c:v>2.3646122634346511E-2</c:v>
                </c:pt>
                <c:pt idx="2347">
                  <c:v>2.3644074795248216E-2</c:v>
                </c:pt>
                <c:pt idx="2348">
                  <c:v>2.3642009175812717E-2</c:v>
                </c:pt>
                <c:pt idx="2349">
                  <c:v>2.363992577596008E-2</c:v>
                </c:pt>
                <c:pt idx="2350">
                  <c:v>2.3637824595930113E-2</c:v>
                </c:pt>
                <c:pt idx="2351">
                  <c:v>2.3635705635562942E-2</c:v>
                </c:pt>
                <c:pt idx="2352">
                  <c:v>2.363356889485857E-2</c:v>
                </c:pt>
                <c:pt idx="2353">
                  <c:v>2.3631414373816995E-2</c:v>
                </c:pt>
                <c:pt idx="2354">
                  <c:v>2.3629242072598089E-2</c:v>
                </c:pt>
                <c:pt idx="2355">
                  <c:v>2.3627051991041981E-2</c:v>
                </c:pt>
                <c:pt idx="2356">
                  <c:v>2.3624844129228606E-2</c:v>
                </c:pt>
                <c:pt idx="2357">
                  <c:v>2.3622618486998093E-2</c:v>
                </c:pt>
                <c:pt idx="2358">
                  <c:v>2.3620375064590249E-2</c:v>
                </c:pt>
                <c:pt idx="2359">
                  <c:v>2.3618113861845202E-2</c:v>
                </c:pt>
                <c:pt idx="2360">
                  <c:v>2.3615834878762954E-2</c:v>
                </c:pt>
                <c:pt idx="2361">
                  <c:v>2.3613538115343502E-2</c:v>
                </c:pt>
                <c:pt idx="2362">
                  <c:v>2.361122357174672E-2</c:v>
                </c:pt>
                <c:pt idx="2363">
                  <c:v>2.3608891247812736E-2</c:v>
                </c:pt>
                <c:pt idx="2364">
                  <c:v>2.3606541143541548E-2</c:v>
                </c:pt>
                <c:pt idx="2365">
                  <c:v>2.3604173259093031E-2</c:v>
                </c:pt>
                <c:pt idx="2366">
                  <c:v>2.3603251986514806E-2</c:v>
                </c:pt>
                <c:pt idx="2367">
                  <c:v>2.3600241037504688E-2</c:v>
                </c:pt>
                <c:pt idx="2368">
                  <c:v>2.359781441390929E-2</c:v>
                </c:pt>
                <c:pt idx="2369">
                  <c:v>2.3595370007711836E-2</c:v>
                </c:pt>
                <c:pt idx="2370">
                  <c:v>2.3592907818965614E-2</c:v>
                </c:pt>
                <c:pt idx="2371">
                  <c:v>2.3590427847617335E-2</c:v>
                </c:pt>
                <c:pt idx="2372">
                  <c:v>2.3587930093666998E-2</c:v>
                </c:pt>
                <c:pt idx="2373">
                  <c:v>2.3585414557141249E-2</c:v>
                </c:pt>
                <c:pt idx="2374">
                  <c:v>2.3582881238013442E-2</c:v>
                </c:pt>
                <c:pt idx="2375">
                  <c:v>2.3580330136336869E-2</c:v>
                </c:pt>
                <c:pt idx="2376">
                  <c:v>2.3577761252004947E-2</c:v>
                </c:pt>
                <c:pt idx="2377">
                  <c:v>2.3575174585150904E-2</c:v>
                </c:pt>
                <c:pt idx="2378">
                  <c:v>2.3572570135721449E-2</c:v>
                </c:pt>
                <c:pt idx="2379">
                  <c:v>2.3569947903689936E-2</c:v>
                </c:pt>
                <c:pt idx="2380">
                  <c:v>2.3567307889083011E-2</c:v>
                </c:pt>
                <c:pt idx="2381">
                  <c:v>2.3564650091874029E-2</c:v>
                </c:pt>
                <c:pt idx="2382">
                  <c:v>2.355928070182145E-2</c:v>
                </c:pt>
                <c:pt idx="2383">
                  <c:v>2.3559281149756472E-2</c:v>
                </c:pt>
                <c:pt idx="2384">
                  <c:v>2.3554251094450862E-2</c:v>
                </c:pt>
                <c:pt idx="2385">
                  <c:v>2.3551517444024839E-2</c:v>
                </c:pt>
                <c:pt idx="2386">
                  <c:v>2.3548766013181677E-2</c:v>
                </c:pt>
                <c:pt idx="2387">
                  <c:v>2.3545996802161184E-2</c:v>
                </c:pt>
                <c:pt idx="2388">
                  <c:v>2.3543209810723553E-2</c:v>
                </c:pt>
                <c:pt idx="2389">
                  <c:v>2.3540405039108592E-2</c:v>
                </c:pt>
                <c:pt idx="2390">
                  <c:v>2.3537582487076492E-2</c:v>
                </c:pt>
                <c:pt idx="2391">
                  <c:v>2.3534742154867061E-2</c:v>
                </c:pt>
                <c:pt idx="2392">
                  <c:v>2.3531884042400364E-2</c:v>
                </c:pt>
                <c:pt idx="2393">
                  <c:v>2.3529008149596464E-2</c:v>
                </c:pt>
                <c:pt idx="2394">
                  <c:v>2.3526114476615234E-2</c:v>
                </c:pt>
                <c:pt idx="2395">
                  <c:v>2.3523203023136929E-2</c:v>
                </c:pt>
                <c:pt idx="2396">
                  <c:v>2.3520273789481294E-2</c:v>
                </c:pt>
                <c:pt idx="2397">
                  <c:v>2.3517326775568392E-2</c:v>
                </c:pt>
                <c:pt idx="2398">
                  <c:v>2.351436198147816E-2</c:v>
                </c:pt>
                <c:pt idx="2399">
                  <c:v>2.3511379406890853E-2</c:v>
                </c:pt>
                <c:pt idx="2400">
                  <c:v>2.3508379052206152E-2</c:v>
                </c:pt>
                <c:pt idx="2401">
                  <c:v>2.3505360917104312E-2</c:v>
                </c:pt>
                <c:pt idx="2402">
                  <c:v>2.3502325001745206E-2</c:v>
                </c:pt>
                <c:pt idx="2403">
                  <c:v>2.3499271306128833E-2</c:v>
                </c:pt>
                <c:pt idx="2404">
                  <c:v>2.3496199830335129E-2</c:v>
                </c:pt>
                <c:pt idx="2405">
                  <c:v>2.3493110574124287E-2</c:v>
                </c:pt>
                <c:pt idx="2406">
                  <c:v>2.3490003537576243E-2</c:v>
                </c:pt>
                <c:pt idx="2407">
                  <c:v>2.348687872101074E-2</c:v>
                </c:pt>
                <c:pt idx="2408">
                  <c:v>2.3483736124028098E-2</c:v>
                </c:pt>
                <c:pt idx="2409">
                  <c:v>2.3480575746708254E-2</c:v>
                </c:pt>
                <c:pt idx="2410">
                  <c:v>2.3477397589131144E-2</c:v>
                </c:pt>
                <c:pt idx="2411">
                  <c:v>2.3474201651376703E-2</c:v>
                </c:pt>
                <c:pt idx="2412">
                  <c:v>2.3470987933205123E-2</c:v>
                </c:pt>
                <c:pt idx="2413">
                  <c:v>2.3467756434856213E-2</c:v>
                </c:pt>
                <c:pt idx="2414">
                  <c:v>2.3464507156250036E-2</c:v>
                </c:pt>
                <c:pt idx="2415">
                  <c:v>2.3461240097306657E-2</c:v>
                </c:pt>
                <c:pt idx="2416">
                  <c:v>2.3457955258185947E-2</c:v>
                </c:pt>
                <c:pt idx="2417">
                  <c:v>2.3454652638568163E-2</c:v>
                </c:pt>
                <c:pt idx="2418">
                  <c:v>2.345138215980036E-2</c:v>
                </c:pt>
                <c:pt idx="2419">
                  <c:v>2.3447515724548396E-2</c:v>
                </c:pt>
                <c:pt idx="2420">
                  <c:v>2.3444157224270512E-2</c:v>
                </c:pt>
                <c:pt idx="2421">
                  <c:v>2.3440780943655426E-2</c:v>
                </c:pt>
                <c:pt idx="2422">
                  <c:v>2.3437386882783073E-2</c:v>
                </c:pt>
                <c:pt idx="2423">
                  <c:v>2.343397504173339E-2</c:v>
                </c:pt>
                <c:pt idx="2424">
                  <c:v>2.3430545420266569E-2</c:v>
                </c:pt>
                <c:pt idx="2425">
                  <c:v>2.342709801854248E-2</c:v>
                </c:pt>
                <c:pt idx="2426">
                  <c:v>2.3423632836641062E-2</c:v>
                </c:pt>
                <c:pt idx="2427">
                  <c:v>2.3420149874482377E-2</c:v>
                </c:pt>
                <c:pt idx="2428">
                  <c:v>2.3416649132066425E-2</c:v>
                </c:pt>
                <c:pt idx="2429">
                  <c:v>2.3413130609233335E-2</c:v>
                </c:pt>
                <c:pt idx="2430">
                  <c:v>2.340959430630285E-2</c:v>
                </c:pt>
                <c:pt idx="2431">
                  <c:v>2.3406040223035163E-2</c:v>
                </c:pt>
                <c:pt idx="2432">
                  <c:v>2.3401444561264029E-2</c:v>
                </c:pt>
                <c:pt idx="2433">
                  <c:v>2.3397849837385465E-2</c:v>
                </c:pt>
                <c:pt idx="2434">
                  <c:v>2.3394237333249635E-2</c:v>
                </c:pt>
                <c:pt idx="2435">
                  <c:v>2.3391086114843418E-2</c:v>
                </c:pt>
                <c:pt idx="2436">
                  <c:v>2.3386958984126238E-2</c:v>
                </c:pt>
                <c:pt idx="2437">
                  <c:v>2.3383293139298544E-2</c:v>
                </c:pt>
                <c:pt idx="2438">
                  <c:v>2.3379609514053712E-2</c:v>
                </c:pt>
                <c:pt idx="2439">
                  <c:v>2.3375908108551613E-2</c:v>
                </c:pt>
                <c:pt idx="2440">
                  <c:v>2.3372188922872184E-2</c:v>
                </c:pt>
                <c:pt idx="2441">
                  <c:v>2.3368451956935488E-2</c:v>
                </c:pt>
                <c:pt idx="2442">
                  <c:v>2.3364697210661589E-2</c:v>
                </c:pt>
                <c:pt idx="2443">
                  <c:v>2.3360924684130424E-2</c:v>
                </c:pt>
                <c:pt idx="2444">
                  <c:v>2.3357134377501865E-2</c:v>
                </c:pt>
                <c:pt idx="2445">
                  <c:v>2.3353326290456167E-2</c:v>
                </c:pt>
                <c:pt idx="2446">
                  <c:v>2.3349500423153202E-2</c:v>
                </c:pt>
                <c:pt idx="2447">
                  <c:v>2.3345656775592971E-2</c:v>
                </c:pt>
                <c:pt idx="2448">
                  <c:v>2.334179534785541E-2</c:v>
                </c:pt>
                <c:pt idx="2449">
                  <c:v>2.3337916139860582E-2</c:v>
                </c:pt>
                <c:pt idx="2450">
                  <c:v>2.3334019151608487E-2</c:v>
                </c:pt>
                <c:pt idx="2451">
                  <c:v>2.333010438301919E-2</c:v>
                </c:pt>
                <c:pt idx="2452">
                  <c:v>2.3326171834252563E-2</c:v>
                </c:pt>
                <c:pt idx="2453">
                  <c:v>2.3322221505068796E-2</c:v>
                </c:pt>
                <c:pt idx="2454">
                  <c:v>2.3318253395787636E-2</c:v>
                </c:pt>
                <c:pt idx="2455">
                  <c:v>2.3314267506329145E-2</c:v>
                </c:pt>
                <c:pt idx="2456">
                  <c:v>2.3310263836533451E-2</c:v>
                </c:pt>
                <c:pt idx="2457">
                  <c:v>2.3306242386480491E-2</c:v>
                </c:pt>
                <c:pt idx="2458">
                  <c:v>2.3302203156170265E-2</c:v>
                </c:pt>
                <c:pt idx="2459">
                  <c:v>2.3298146145682708E-2</c:v>
                </c:pt>
                <c:pt idx="2460">
                  <c:v>2.3294071354857948E-2</c:v>
                </c:pt>
                <c:pt idx="2461">
                  <c:v>2.3289978783775922E-2</c:v>
                </c:pt>
                <c:pt idx="2462">
                  <c:v>2.3285868432516565E-2</c:v>
                </c:pt>
                <c:pt idx="2463">
                  <c:v>2.3281740300920006E-2</c:v>
                </c:pt>
                <c:pt idx="2464">
                  <c:v>2.3277594389066181E-2</c:v>
                </c:pt>
                <c:pt idx="2465">
                  <c:v>2.3273430697035025E-2</c:v>
                </c:pt>
                <c:pt idx="2466">
                  <c:v>2.3269249224746602E-2</c:v>
                </c:pt>
                <c:pt idx="2467">
                  <c:v>2.3265049972280849E-2</c:v>
                </c:pt>
                <c:pt idx="2468">
                  <c:v>2.3260832939477893E-2</c:v>
                </c:pt>
                <c:pt idx="2469">
                  <c:v>2.3254170250437411E-2</c:v>
                </c:pt>
                <c:pt idx="2470">
                  <c:v>2.3252628860301883E-2</c:v>
                </c:pt>
                <c:pt idx="2471">
                  <c:v>2.32480751596853E-2</c:v>
                </c:pt>
                <c:pt idx="2472">
                  <c:v>2.3243787005933214E-2</c:v>
                </c:pt>
                <c:pt idx="2473">
                  <c:v>2.3239481072003798E-2</c:v>
                </c:pt>
                <c:pt idx="2474">
                  <c:v>2.3235157357737179E-2</c:v>
                </c:pt>
                <c:pt idx="2475">
                  <c:v>2.323081586329323E-2</c:v>
                </c:pt>
                <c:pt idx="2476">
                  <c:v>2.3226456588592015E-2</c:v>
                </c:pt>
                <c:pt idx="2477">
                  <c:v>2.3222079533713469E-2</c:v>
                </c:pt>
                <c:pt idx="2478">
                  <c:v>2.3217684698417784E-2</c:v>
                </c:pt>
                <c:pt idx="2479">
                  <c:v>2.3213272083024705E-2</c:v>
                </c:pt>
                <c:pt idx="2480">
                  <c:v>2.320884168737436E-2</c:v>
                </c:pt>
                <c:pt idx="2481">
                  <c:v>2.3204393511546684E-2</c:v>
                </c:pt>
                <c:pt idx="2482">
                  <c:v>2.3201638005675207E-2</c:v>
                </c:pt>
                <c:pt idx="2483">
                  <c:v>2.319544381895966E-2</c:v>
                </c:pt>
                <c:pt idx="2484">
                  <c:v>2.3190942302520057E-2</c:v>
                </c:pt>
                <c:pt idx="2485">
                  <c:v>2.3186423005663315E-2</c:v>
                </c:pt>
                <c:pt idx="2486">
                  <c:v>2.318188592846937E-2</c:v>
                </c:pt>
                <c:pt idx="2487">
                  <c:v>2.317859068357242E-2</c:v>
                </c:pt>
                <c:pt idx="2488">
                  <c:v>2.3172758433789298E-2</c:v>
                </c:pt>
                <c:pt idx="2489">
                  <c:v>2.316816801590349E-2</c:v>
                </c:pt>
                <c:pt idx="2490">
                  <c:v>2.3163559818000223E-2</c:v>
                </c:pt>
                <c:pt idx="2491">
                  <c:v>2.315893383983969E-2</c:v>
                </c:pt>
                <c:pt idx="2492">
                  <c:v>2.3154292403004817E-2</c:v>
                </c:pt>
                <c:pt idx="2493">
                  <c:v>2.3149661656498566E-2</c:v>
                </c:pt>
                <c:pt idx="2494">
                  <c:v>2.314504905403858E-2</c:v>
                </c:pt>
                <c:pt idx="2495">
                  <c:v>2.314045459562486E-2</c:v>
                </c:pt>
                <c:pt idx="2496">
                  <c:v>2.3135878281097533E-2</c:v>
                </c:pt>
                <c:pt idx="2497">
                  <c:v>2.3131320110536535E-2</c:v>
                </c:pt>
                <c:pt idx="2498">
                  <c:v>2.3126780084101739E-2</c:v>
                </c:pt>
                <c:pt idx="2499">
                  <c:v>2.3122258201553336E-2</c:v>
                </c:pt>
                <c:pt idx="2500">
                  <c:v>2.3117754462891327E-2</c:v>
                </c:pt>
                <c:pt idx="2501">
                  <c:v>2.3113268868435455E-2</c:v>
                </c:pt>
                <c:pt idx="2502">
                  <c:v>2.3108801417945912E-2</c:v>
                </c:pt>
                <c:pt idx="2503">
                  <c:v>2.3104352111342763E-2</c:v>
                </c:pt>
                <c:pt idx="2504">
                  <c:v>2.3099920948705943E-2</c:v>
                </c:pt>
                <c:pt idx="2505">
                  <c:v>2.3095507930195325E-2</c:v>
                </c:pt>
                <c:pt idx="2506">
                  <c:v>2.30911130555711E-2</c:v>
                </c:pt>
                <c:pt idx="2507">
                  <c:v>2.308673632499314E-2</c:v>
                </c:pt>
                <c:pt idx="2508">
                  <c:v>2.3082377738221638E-2</c:v>
                </c:pt>
                <c:pt idx="2509">
                  <c:v>2.3078037295656273E-2</c:v>
                </c:pt>
                <c:pt idx="2510">
                  <c:v>2.3073714996977301E-2</c:v>
                </c:pt>
                <c:pt idx="2511">
                  <c:v>2.3069410842264659E-2</c:v>
                </c:pt>
                <c:pt idx="2512">
                  <c:v>2.3065124831518347E-2</c:v>
                </c:pt>
                <c:pt idx="2513">
                  <c:v>2.3060856964898235E-2</c:v>
                </c:pt>
                <c:pt idx="2514">
                  <c:v>2.3056607242164517E-2</c:v>
                </c:pt>
                <c:pt idx="2515">
                  <c:v>2.3052375663397129E-2</c:v>
                </c:pt>
                <c:pt idx="2516">
                  <c:v>2.304816222859607E-2</c:v>
                </c:pt>
                <c:pt idx="2517">
                  <c:v>2.304396693776134E-2</c:v>
                </c:pt>
                <c:pt idx="2518">
                  <c:v>2.3039789790972875E-2</c:v>
                </c:pt>
                <c:pt idx="2519">
                  <c:v>2.303563078815074E-2</c:v>
                </c:pt>
                <c:pt idx="2520">
                  <c:v>2.3031489929294935E-2</c:v>
                </c:pt>
                <c:pt idx="2521">
                  <c:v>2.3028695707880686E-2</c:v>
                </c:pt>
                <c:pt idx="2522">
                  <c:v>2.3024594238076901E-2</c:v>
                </c:pt>
                <c:pt idx="2523">
                  <c:v>2.3019176216525494E-2</c:v>
                </c:pt>
                <c:pt idx="2524">
                  <c:v>2.3015107933614942E-2</c:v>
                </c:pt>
                <c:pt idx="2525">
                  <c:v>2.301105779467072E-2</c:v>
                </c:pt>
                <c:pt idx="2526">
                  <c:v>2.300702579961289E-2</c:v>
                </c:pt>
                <c:pt idx="2527">
                  <c:v>2.3003011948601326E-2</c:v>
                </c:pt>
                <c:pt idx="2528">
                  <c:v>2.2999016241476156E-2</c:v>
                </c:pt>
                <c:pt idx="2529">
                  <c:v>2.2995038678317314E-2</c:v>
                </c:pt>
                <c:pt idx="2530">
                  <c:v>2.2991079259204739E-2</c:v>
                </c:pt>
                <c:pt idx="2531">
                  <c:v>2.2987137984138428E-2</c:v>
                </c:pt>
                <c:pt idx="2532">
                  <c:v>2.2983214852958511E-2</c:v>
                </c:pt>
                <c:pt idx="2533">
                  <c:v>2.2979309865664987E-2</c:v>
                </c:pt>
                <c:pt idx="2534">
                  <c:v>2.2975423022417729E-2</c:v>
                </c:pt>
                <c:pt idx="2535">
                  <c:v>2.2971554323216736E-2</c:v>
                </c:pt>
                <c:pt idx="2536">
                  <c:v>2.2967703767822201E-2</c:v>
                </c:pt>
                <c:pt idx="2537">
                  <c:v>2.2965709656386224E-2</c:v>
                </c:pt>
                <c:pt idx="2538">
                  <c:v>2.2960057089171926E-2</c:v>
                </c:pt>
                <c:pt idx="2539">
                  <c:v>2.2956260965756314E-2</c:v>
                </c:pt>
                <c:pt idx="2540">
                  <c:v>2.2952482986227096E-2</c:v>
                </c:pt>
                <c:pt idx="2541">
                  <c:v>2.294872315082408E-2</c:v>
                </c:pt>
                <c:pt idx="2542">
                  <c:v>2.2944981459307456E-2</c:v>
                </c:pt>
                <c:pt idx="2543">
                  <c:v>2.2941257911757162E-2</c:v>
                </c:pt>
                <c:pt idx="2544">
                  <c:v>2.2937552508013326E-2</c:v>
                </c:pt>
                <c:pt idx="2545">
                  <c:v>2.2933865248475627E-2</c:v>
                </c:pt>
                <c:pt idx="2546">
                  <c:v>2.2930196132824321E-2</c:v>
                </c:pt>
                <c:pt idx="2547">
                  <c:v>2.2926545161059408E-2</c:v>
                </c:pt>
                <c:pt idx="2548">
                  <c:v>2.2922912333340761E-2</c:v>
                </c:pt>
                <c:pt idx="2549">
                  <c:v>2.2919297649588444E-2</c:v>
                </c:pt>
                <c:pt idx="2550">
                  <c:v>2.2915701109802455E-2</c:v>
                </c:pt>
                <c:pt idx="2551">
                  <c:v>2.2912122713822924E-2</c:v>
                </c:pt>
                <c:pt idx="2552">
                  <c:v>2.2908562461969595E-2</c:v>
                </c:pt>
                <c:pt idx="2553">
                  <c:v>2.2905020354002659E-2</c:v>
                </c:pt>
                <c:pt idx="2554">
                  <c:v>2.2901496390002052E-2</c:v>
                </c:pt>
                <c:pt idx="2555">
                  <c:v>2.2897990569887838E-2</c:v>
                </c:pt>
                <c:pt idx="2556">
                  <c:v>2.2894502893979762E-2</c:v>
                </c:pt>
                <c:pt idx="2557">
                  <c:v>2.2891033361878144E-2</c:v>
                </c:pt>
                <c:pt idx="2558">
                  <c:v>2.2887581973582982E-2</c:v>
                </c:pt>
                <c:pt idx="2559">
                  <c:v>2.2884148729334086E-2</c:v>
                </c:pt>
                <c:pt idx="2560">
                  <c:v>2.2880733629131456E-2</c:v>
                </c:pt>
                <c:pt idx="2561">
                  <c:v>2.2877336672815218E-2</c:v>
                </c:pt>
                <c:pt idx="2562">
                  <c:v>2.287395786046531E-2</c:v>
                </c:pt>
                <c:pt idx="2563">
                  <c:v>2.2870597192081732E-2</c:v>
                </c:pt>
                <c:pt idx="2564">
                  <c:v>2.2867254667664483E-2</c:v>
                </c:pt>
                <c:pt idx="2565">
                  <c:v>2.2863930287053691E-2</c:v>
                </c:pt>
                <c:pt idx="2566">
                  <c:v>2.2860624050569101E-2</c:v>
                </c:pt>
                <c:pt idx="2567">
                  <c:v>2.2857335957970903E-2</c:v>
                </c:pt>
                <c:pt idx="2568">
                  <c:v>2.2854066009339036E-2</c:v>
                </c:pt>
                <c:pt idx="2569">
                  <c:v>2.2850814204513625E-2</c:v>
                </c:pt>
                <c:pt idx="2570">
                  <c:v>2.2847580543894352E-2</c:v>
                </c:pt>
                <c:pt idx="2571">
                  <c:v>2.2844365027081537E-2</c:v>
                </c:pt>
                <c:pt idx="2572">
                  <c:v>2.2841167654235051E-2</c:v>
                </c:pt>
                <c:pt idx="2573">
                  <c:v>2.2837988425195022E-2</c:v>
                </c:pt>
                <c:pt idx="2574">
                  <c:v>2.283482734036113E-2</c:v>
                </c:pt>
                <c:pt idx="2575">
                  <c:v>2.2831684399413632E-2</c:v>
                </c:pt>
                <c:pt idx="2576">
                  <c:v>2.2828559602272591E-2</c:v>
                </c:pt>
                <c:pt idx="2577">
                  <c:v>2.282545294909788E-2</c:v>
                </c:pt>
                <c:pt idx="2578">
                  <c:v>2.2822364439969434E-2</c:v>
                </c:pt>
                <c:pt idx="2579">
                  <c:v>2.2819294074807317E-2</c:v>
                </c:pt>
                <c:pt idx="2580">
                  <c:v>2.2816241853451658E-2</c:v>
                </c:pt>
                <c:pt idx="2581">
                  <c:v>2.2813207776142264E-2</c:v>
                </c:pt>
                <c:pt idx="2582">
                  <c:v>2.2810191842799199E-2</c:v>
                </c:pt>
                <c:pt idx="2583">
                  <c:v>2.2807194053262592E-2</c:v>
                </c:pt>
                <c:pt idx="2584">
                  <c:v>2.280421440777225E-2</c:v>
                </c:pt>
                <c:pt idx="2585">
                  <c:v>2.2801252906248237E-2</c:v>
                </c:pt>
                <c:pt idx="2586">
                  <c:v>2.2798309548610618E-2</c:v>
                </c:pt>
                <c:pt idx="2587">
                  <c:v>2.2797439065277203E-2</c:v>
                </c:pt>
                <c:pt idx="2588">
                  <c:v>2.2792477265234368E-2</c:v>
                </c:pt>
                <c:pt idx="2589">
                  <c:v>2.2789588339415801E-2</c:v>
                </c:pt>
                <c:pt idx="2590">
                  <c:v>2.2786717557563563E-2</c:v>
                </c:pt>
                <c:pt idx="2591">
                  <c:v>2.2783864919517782E-2</c:v>
                </c:pt>
                <c:pt idx="2592">
                  <c:v>2.2781030425678139E-2</c:v>
                </c:pt>
                <c:pt idx="2593">
                  <c:v>2.2778214075565018E-2</c:v>
                </c:pt>
                <c:pt idx="2594">
                  <c:v>2.2775415869418225E-2</c:v>
                </c:pt>
                <c:pt idx="2595">
                  <c:v>2.2772635807237762E-2</c:v>
                </c:pt>
                <c:pt idx="2596">
                  <c:v>2.2769873889103565E-2</c:v>
                </c:pt>
                <c:pt idx="2597">
                  <c:v>2.2767130114775824E-2</c:v>
                </c:pt>
                <c:pt idx="2598">
                  <c:v>2.2764404484254541E-2</c:v>
                </c:pt>
                <c:pt idx="2599">
                  <c:v>2.2761696998019332E-2</c:v>
                </c:pt>
                <c:pt idx="2600">
                  <c:v>2.2759007655510644E-2</c:v>
                </c:pt>
                <c:pt idx="2601">
                  <c:v>2.2756336456888349E-2</c:v>
                </c:pt>
                <c:pt idx="2602">
                  <c:v>2.2753683402312319E-2</c:v>
                </c:pt>
                <c:pt idx="2603">
                  <c:v>2.2751048491702619E-2</c:v>
                </c:pt>
                <c:pt idx="2604">
                  <c:v>2.2748431724899376E-2</c:v>
                </c:pt>
                <c:pt idx="2605">
                  <c:v>2.2745833101982527E-2</c:v>
                </c:pt>
                <c:pt idx="2606">
                  <c:v>2.2743252623111943E-2</c:v>
                </c:pt>
                <c:pt idx="2607">
                  <c:v>2.2740690288207688E-2</c:v>
                </c:pt>
                <c:pt idx="2608">
                  <c:v>2.2738146097269762E-2</c:v>
                </c:pt>
                <c:pt idx="2609">
                  <c:v>2.2735620050138294E-2</c:v>
                </c:pt>
                <c:pt idx="2610">
                  <c:v>2.2733112147053092E-2</c:v>
                </c:pt>
                <c:pt idx="2611">
                  <c:v>2.2730622387854282E-2</c:v>
                </c:pt>
                <c:pt idx="2612">
                  <c:v>2.272815077246193E-2</c:v>
                </c:pt>
                <c:pt idx="2613">
                  <c:v>2.2725697301035908E-2</c:v>
                </c:pt>
                <c:pt idx="2614">
                  <c:v>2.2723261973736086E-2</c:v>
                </c:pt>
                <c:pt idx="2615">
                  <c:v>2.2720844790242722E-2</c:v>
                </c:pt>
                <c:pt idx="2616">
                  <c:v>2.2718445750635752E-2</c:v>
                </c:pt>
                <c:pt idx="2617">
                  <c:v>2.2716064854995111E-2</c:v>
                </c:pt>
                <c:pt idx="2618">
                  <c:v>2.2713702103320799E-2</c:v>
                </c:pt>
                <c:pt idx="2619">
                  <c:v>2.271135749553288E-2</c:v>
                </c:pt>
                <c:pt idx="2620">
                  <c:v>2.2709031031551419E-2</c:v>
                </c:pt>
                <c:pt idx="2621">
                  <c:v>2.2706722711696159E-2</c:v>
                </c:pt>
                <c:pt idx="2622">
                  <c:v>2.2704432535727292E-2</c:v>
                </c:pt>
                <c:pt idx="2623">
                  <c:v>2.2702160503644819E-2</c:v>
                </c:pt>
                <c:pt idx="2624">
                  <c:v>2.2699906615448739E-2</c:v>
                </c:pt>
                <c:pt idx="2625">
                  <c:v>2.2697670871378861E-2</c:v>
                </c:pt>
                <c:pt idx="2626">
                  <c:v>2.2696812022386936E-2</c:v>
                </c:pt>
                <c:pt idx="2627">
                  <c:v>2.2694059316243909E-2</c:v>
                </c:pt>
                <c:pt idx="2628">
                  <c:v>2.2691882913425943E-2</c:v>
                </c:pt>
                <c:pt idx="2629">
                  <c:v>2.2689724656892452E-2</c:v>
                </c:pt>
                <c:pt idx="2630">
                  <c:v>2.26875845465635E-2</c:v>
                </c:pt>
                <c:pt idx="2631">
                  <c:v>2.2685462582465732E-2</c:v>
                </c:pt>
                <c:pt idx="2632">
                  <c:v>2.2683358764599149E-2</c:v>
                </c:pt>
                <c:pt idx="2633">
                  <c:v>2.2681273092990395E-2</c:v>
                </c:pt>
                <c:pt idx="2634">
                  <c:v>2.2679205567612826E-2</c:v>
                </c:pt>
                <c:pt idx="2635">
                  <c:v>2.2677156188439795E-2</c:v>
                </c:pt>
                <c:pt idx="2636">
                  <c:v>2.267512495555124E-2</c:v>
                </c:pt>
                <c:pt idx="2637">
                  <c:v>2.2673111868840579E-2</c:v>
                </c:pt>
                <c:pt idx="2638">
                  <c:v>2.2671116928387747E-2</c:v>
                </c:pt>
                <c:pt idx="2639">
                  <c:v>2.2669140134112808E-2</c:v>
                </c:pt>
                <c:pt idx="2640">
                  <c:v>2.2667181486122345E-2</c:v>
                </c:pt>
                <c:pt idx="2641">
                  <c:v>2.2665240984336421E-2</c:v>
                </c:pt>
                <c:pt idx="2642">
                  <c:v>2.2661073707439527E-2</c:v>
                </c:pt>
                <c:pt idx="2643">
                  <c:v>2.2661414419484771E-2</c:v>
                </c:pt>
                <c:pt idx="2644">
                  <c:v>2.2659528356365755E-2</c:v>
                </c:pt>
                <c:pt idx="2645">
                  <c:v>2.2657660439504568E-2</c:v>
                </c:pt>
                <c:pt idx="2646">
                  <c:v>2.2655810668821275E-2</c:v>
                </c:pt>
                <c:pt idx="2647">
                  <c:v>2.2653979044395811E-2</c:v>
                </c:pt>
                <c:pt idx="2648">
                  <c:v>2.2652165566174887E-2</c:v>
                </c:pt>
                <c:pt idx="2649">
                  <c:v>2.2650370234211792E-2</c:v>
                </c:pt>
                <c:pt idx="2650">
                  <c:v>2.2648593048399945E-2</c:v>
                </c:pt>
                <c:pt idx="2651">
                  <c:v>2.2646834008872574E-2</c:v>
                </c:pt>
                <c:pt idx="2652">
                  <c:v>2.2645093115549741E-2</c:v>
                </c:pt>
                <c:pt idx="2653">
                  <c:v>2.2643370368404803E-2</c:v>
                </c:pt>
                <c:pt idx="2654">
                  <c:v>2.2641665767544339E-2</c:v>
                </c:pt>
                <c:pt idx="2655">
                  <c:v>2.2639979312808478E-2</c:v>
                </c:pt>
                <c:pt idx="2656">
                  <c:v>2.2638311004357092E-2</c:v>
                </c:pt>
                <c:pt idx="2657">
                  <c:v>2.2636660842056955E-2</c:v>
                </c:pt>
                <c:pt idx="2658">
                  <c:v>2.2635028826041292E-2</c:v>
                </c:pt>
                <c:pt idx="2659">
                  <c:v>2.2633414956230169E-2</c:v>
                </c:pt>
                <c:pt idx="2660">
                  <c:v>2.2631819232596939E-2</c:v>
                </c:pt>
                <c:pt idx="2661">
                  <c:v>2.2630241655168248E-2</c:v>
                </c:pt>
                <c:pt idx="2662">
                  <c:v>2.2628682223997387E-2</c:v>
                </c:pt>
                <c:pt idx="2663">
                  <c:v>2.262714093900442E-2</c:v>
                </c:pt>
                <c:pt idx="2664">
                  <c:v>2.2625617800189346E-2</c:v>
                </c:pt>
                <c:pt idx="2665">
                  <c:v>2.2624112807632102E-2</c:v>
                </c:pt>
                <c:pt idx="2666">
                  <c:v>2.2622625961306042E-2</c:v>
                </c:pt>
                <c:pt idx="2667">
                  <c:v>2.2621157261131231E-2</c:v>
                </c:pt>
                <c:pt idx="2668">
                  <c:v>2.2619706707134313E-2</c:v>
                </c:pt>
                <c:pt idx="2669">
                  <c:v>2.261827429942187E-2</c:v>
                </c:pt>
                <c:pt idx="2670">
                  <c:v>2.2616860037860675E-2</c:v>
                </c:pt>
                <c:pt idx="2671">
                  <c:v>2.2615463922557311E-2</c:v>
                </c:pt>
                <c:pt idx="2672">
                  <c:v>2.2614085953405194E-2</c:v>
                </c:pt>
                <c:pt idx="2673">
                  <c:v>2.2612726130457617E-2</c:v>
                </c:pt>
                <c:pt idx="2674">
                  <c:v>2.2611384453767869E-2</c:v>
                </c:pt>
                <c:pt idx="2675">
                  <c:v>2.2610060923229369E-2</c:v>
                </c:pt>
                <c:pt idx="2676">
                  <c:v>2.2608755538895409E-2</c:v>
                </c:pt>
                <c:pt idx="2677">
                  <c:v>2.2607468300792632E-2</c:v>
                </c:pt>
                <c:pt idx="2678">
                  <c:v>2.2605040591732184E-2</c:v>
                </c:pt>
                <c:pt idx="2679">
                  <c:v>2.2603174853408348E-2</c:v>
                </c:pt>
                <c:pt idx="2680">
                  <c:v>2.2601947392635324E-2</c:v>
                </c:pt>
                <c:pt idx="2681">
                  <c:v>2.2600738075908566E-2</c:v>
                </c:pt>
                <c:pt idx="2682">
                  <c:v>2.259954690290833E-2</c:v>
                </c:pt>
                <c:pt idx="2683">
                  <c:v>2.2598373873874422E-2</c:v>
                </c:pt>
                <c:pt idx="2684">
                  <c:v>2.2597218988726908E-2</c:v>
                </c:pt>
                <c:pt idx="2685">
                  <c:v>2.2596082247545723E-2</c:v>
                </c:pt>
                <c:pt idx="2686">
                  <c:v>2.2594963650330868E-2</c:v>
                </c:pt>
                <c:pt idx="2687">
                  <c:v>2.259386319692247E-2</c:v>
                </c:pt>
                <c:pt idx="2688">
                  <c:v>2.2592780887480401E-2</c:v>
                </c:pt>
                <c:pt idx="2689">
                  <c:v>2.259171672184479E-2</c:v>
                </c:pt>
                <c:pt idx="2690">
                  <c:v>2.2590670700175508E-2</c:v>
                </c:pt>
                <c:pt idx="2691">
                  <c:v>2.2589642822392619E-2</c:v>
                </c:pt>
                <c:pt idx="2692">
                  <c:v>2.2588633088735932E-2</c:v>
                </c:pt>
                <c:pt idx="2693">
                  <c:v>2.2587361519805782E-2</c:v>
                </c:pt>
                <c:pt idx="2694">
                  <c:v>2.2586668052602121E-2</c:v>
                </c:pt>
                <c:pt idx="2695">
                  <c:v>2.2585712750604614E-2</c:v>
                </c:pt>
                <c:pt idx="2696">
                  <c:v>2.25847755924935E-2</c:v>
                </c:pt>
                <c:pt idx="2697">
                  <c:v>2.2583856578028971E-2</c:v>
                </c:pt>
                <c:pt idx="2698">
                  <c:v>2.2582955707690644E-2</c:v>
                </c:pt>
                <c:pt idx="2699">
                  <c:v>2.2582072981318646E-2</c:v>
                </c:pt>
                <c:pt idx="2700">
                  <c:v>2.2581208398673169E-2</c:v>
                </c:pt>
                <c:pt idx="2701">
                  <c:v>2.2580361959994022E-2</c:v>
                </c:pt>
                <c:pt idx="2702">
                  <c:v>2.2579533665281204E-2</c:v>
                </c:pt>
                <c:pt idx="2703">
                  <c:v>2.2578723514534715E-2</c:v>
                </c:pt>
                <c:pt idx="2704">
                  <c:v>2.2577931507514748E-2</c:v>
                </c:pt>
                <c:pt idx="2705">
                  <c:v>2.257715764446111E-2</c:v>
                </c:pt>
                <c:pt idx="2706">
                  <c:v>2.2576401925373801E-2</c:v>
                </c:pt>
                <c:pt idx="2707">
                  <c:v>2.2575664350252822E-2</c:v>
                </c:pt>
                <c:pt idx="2708">
                  <c:v>2.2574944918858364E-2</c:v>
                </c:pt>
                <c:pt idx="2709">
                  <c:v>2.2574243631350299E-2</c:v>
                </c:pt>
                <c:pt idx="2710">
                  <c:v>2.2573560488048372E-2</c:v>
                </c:pt>
                <c:pt idx="2711">
                  <c:v>2.2572895488552902E-2</c:v>
                </c:pt>
                <c:pt idx="2712">
                  <c:v>2.2572248632783953E-2</c:v>
                </c:pt>
                <c:pt idx="2713">
                  <c:v>2.257161992106127E-2</c:v>
                </c:pt>
                <c:pt idx="2714">
                  <c:v>2.2571009353145044E-2</c:v>
                </c:pt>
                <c:pt idx="2715">
                  <c:v>2.2570416929275083E-2</c:v>
                </c:pt>
                <c:pt idx="2716">
                  <c:v>2.2569842649131644E-2</c:v>
                </c:pt>
                <c:pt idx="2717">
                  <c:v>2.2569286512954534E-2</c:v>
                </c:pt>
                <c:pt idx="2718">
                  <c:v>2.2568748520903625E-2</c:v>
                </c:pt>
                <c:pt idx="2719">
                  <c:v>2.2568228672499302E-2</c:v>
                </c:pt>
                <c:pt idx="2720">
                  <c:v>2.2567726968061308E-2</c:v>
                </c:pt>
                <c:pt idx="2721">
                  <c:v>2.2567243407589643E-2</c:v>
                </c:pt>
                <c:pt idx="2722">
                  <c:v>2.2566777991004372E-2</c:v>
                </c:pt>
                <c:pt idx="2723">
                  <c:v>2.2566330718305494E-2</c:v>
                </c:pt>
                <c:pt idx="2724">
                  <c:v>2.2565901589572945E-2</c:v>
                </c:pt>
                <c:pt idx="2725">
                  <c:v>2.256549060472679E-2</c:v>
                </c:pt>
                <c:pt idx="2726">
                  <c:v>2.256509776352722E-2</c:v>
                </c:pt>
                <c:pt idx="2727">
                  <c:v>2.2564723066453851E-2</c:v>
                </c:pt>
                <c:pt idx="2728">
                  <c:v>2.2564366513426748E-2</c:v>
                </c:pt>
                <c:pt idx="2729">
                  <c:v>2.2564028104206102E-2</c:v>
                </c:pt>
                <c:pt idx="2730">
                  <c:v>2.2564348725575556E-2</c:v>
                </c:pt>
                <c:pt idx="2731">
                  <c:v>2.2563364038203915E-2</c:v>
                </c:pt>
                <c:pt idx="2732">
                  <c:v>2.2563082652649058E-2</c:v>
                </c:pt>
                <c:pt idx="2733">
                  <c:v>2.2562819411060531E-2</c:v>
                </c:pt>
                <c:pt idx="2734">
                  <c:v>2.2562574313278461E-2</c:v>
                </c:pt>
                <c:pt idx="2735">
                  <c:v>2.256234735946272E-2</c:v>
                </c:pt>
                <c:pt idx="2736">
                  <c:v>2.2562138549613309E-2</c:v>
                </c:pt>
                <c:pt idx="2737">
                  <c:v>2.2561947883650291E-2</c:v>
                </c:pt>
                <c:pt idx="2738">
                  <c:v>2.2561775361413794E-2</c:v>
                </c:pt>
                <c:pt idx="2739">
                  <c:v>2.2561620983223563E-2</c:v>
                </c:pt>
                <c:pt idx="2740">
                  <c:v>2.2561484748919725E-2</c:v>
                </c:pt>
                <c:pt idx="2741">
                  <c:v>2.2561366658582216E-2</c:v>
                </c:pt>
                <c:pt idx="2742">
                  <c:v>2.2561266711891292E-2</c:v>
                </c:pt>
                <c:pt idx="2743">
                  <c:v>2.2561164869676631E-2</c:v>
                </c:pt>
                <c:pt idx="2744">
                  <c:v>2.2561106395091457E-2</c:v>
                </c:pt>
                <c:pt idx="2745">
                  <c:v>2.2561066064232804E-2</c:v>
                </c:pt>
                <c:pt idx="2746">
                  <c:v>2.2561043877340481E-2</c:v>
                </c:pt>
                <c:pt idx="2747">
                  <c:v>2.256245605536833E-2</c:v>
                </c:pt>
                <c:pt idx="2748">
                  <c:v>2.2561053935374886E-2</c:v>
                </c:pt>
                <c:pt idx="2749">
                  <c:v>2.2561086180061807E-2</c:v>
                </c:pt>
                <c:pt idx="2750">
                  <c:v>2.2561136568794993E-2</c:v>
                </c:pt>
                <c:pt idx="2751">
                  <c:v>2.2561205101414572E-2</c:v>
                </c:pt>
                <c:pt idx="2752">
                  <c:v>2.2561291777920545E-2</c:v>
                </c:pt>
                <c:pt idx="2753">
                  <c:v>2.2561396598392847E-2</c:v>
                </c:pt>
                <c:pt idx="2754">
                  <c:v>2.2561519562751542E-2</c:v>
                </c:pt>
                <c:pt idx="2755">
                  <c:v>2.2561660670996631E-2</c:v>
                </c:pt>
                <c:pt idx="2756">
                  <c:v>2.2561819923048176E-2</c:v>
                </c:pt>
                <c:pt idx="2757">
                  <c:v>2.2561997319225924E-2</c:v>
                </c:pt>
                <c:pt idx="2758">
                  <c:v>2.2562192859210128E-2</c:v>
                </c:pt>
                <c:pt idx="2759">
                  <c:v>2.2562406543080726E-2</c:v>
                </c:pt>
                <c:pt idx="2760">
                  <c:v>2.2562638370757782E-2</c:v>
                </c:pt>
                <c:pt idx="2761">
                  <c:v>2.2562888342481102E-2</c:v>
                </c:pt>
                <c:pt idx="2762">
                  <c:v>2.2563156458170752E-2</c:v>
                </c:pt>
                <c:pt idx="2763">
                  <c:v>2.2563442717506987E-2</c:v>
                </c:pt>
                <c:pt idx="2764">
                  <c:v>2.2563747120969424E-2</c:v>
                </c:pt>
                <c:pt idx="2765">
                  <c:v>2.2564069668238318E-2</c:v>
                </c:pt>
                <c:pt idx="2766">
                  <c:v>2.2564410359393605E-2</c:v>
                </c:pt>
                <c:pt idx="2767">
                  <c:v>2.2564769194515222E-2</c:v>
                </c:pt>
                <c:pt idx="2768">
                  <c:v>2.2565146173603168E-2</c:v>
                </c:pt>
                <c:pt idx="2769">
                  <c:v>2.2565541296577507E-2</c:v>
                </c:pt>
                <c:pt idx="2770">
                  <c:v>2.2565954563278368E-2</c:v>
                </c:pt>
                <c:pt idx="2771">
                  <c:v>2.2566385973945557E-2</c:v>
                </c:pt>
                <c:pt idx="2772">
                  <c:v>2.2566835528659013E-2</c:v>
                </c:pt>
                <c:pt idx="2773">
                  <c:v>2.2567303227338797E-2</c:v>
                </c:pt>
                <c:pt idx="2774">
                  <c:v>2.2567789069745103E-2</c:v>
                </c:pt>
                <c:pt idx="2775">
                  <c:v>2.2568293056197675E-2</c:v>
                </c:pt>
                <c:pt idx="2776">
                  <c:v>2.2568815186296831E-2</c:v>
                </c:pt>
                <c:pt idx="2777">
                  <c:v>2.2569355460602125E-2</c:v>
                </c:pt>
                <c:pt idx="2778">
                  <c:v>2.2569913878554004E-2</c:v>
                </c:pt>
                <c:pt idx="2779">
                  <c:v>2.2570490440552149E-2</c:v>
                </c:pt>
                <c:pt idx="2780">
                  <c:v>2.2571085146596559E-2</c:v>
                </c:pt>
                <c:pt idx="2781">
                  <c:v>2.2572056342440305E-2</c:v>
                </c:pt>
                <c:pt idx="2782">
                  <c:v>2.2573928088212014E-2</c:v>
                </c:pt>
                <c:pt idx="2783">
                  <c:v>2.2572978127648469E-2</c:v>
                </c:pt>
                <c:pt idx="2784">
                  <c:v>2.2573645409238452E-2</c:v>
                </c:pt>
                <c:pt idx="2785">
                  <c:v>2.2574330834554956E-2</c:v>
                </c:pt>
                <c:pt idx="2786">
                  <c:v>2.2575034404077599E-2</c:v>
                </c:pt>
                <c:pt idx="2787">
                  <c:v>2.2575756117246826E-2</c:v>
                </c:pt>
                <c:pt idx="2788">
                  <c:v>2.2576495974302446E-2</c:v>
                </c:pt>
                <c:pt idx="2789">
                  <c:v>2.2577253975324396E-2</c:v>
                </c:pt>
                <c:pt idx="2790">
                  <c:v>2.2578030120472548E-2</c:v>
                </c:pt>
                <c:pt idx="2791">
                  <c:v>2.2578824409267284E-2</c:v>
                </c:pt>
                <c:pt idx="2792">
                  <c:v>2.257963684202835E-2</c:v>
                </c:pt>
                <c:pt idx="2793">
                  <c:v>2.2580467418755745E-2</c:v>
                </c:pt>
                <c:pt idx="2794">
                  <c:v>2.2581316139289598E-2</c:v>
                </c:pt>
                <c:pt idx="2795">
                  <c:v>2.258218300378978E-2</c:v>
                </c:pt>
                <c:pt idx="2796">
                  <c:v>2.2583068012176355E-2</c:v>
                </c:pt>
                <c:pt idx="2797">
                  <c:v>2.2587066686368118E-2</c:v>
                </c:pt>
                <c:pt idx="2798">
                  <c:v>2.2584892460768557E-2</c:v>
                </c:pt>
                <c:pt idx="2799">
                  <c:v>2.2585831900894249E-2</c:v>
                </c:pt>
                <c:pt idx="2800">
                  <c:v>2.2586789484986269E-2</c:v>
                </c:pt>
                <c:pt idx="2801">
                  <c:v>2.2587765212964683E-2</c:v>
                </c:pt>
                <c:pt idx="2802">
                  <c:v>2.2588759084909427E-2</c:v>
                </c:pt>
                <c:pt idx="2803">
                  <c:v>2.2589771100580691E-2</c:v>
                </c:pt>
                <c:pt idx="2804">
                  <c:v>2.2590801260298221E-2</c:v>
                </c:pt>
                <c:pt idx="2805">
                  <c:v>2.2591849563902144E-2</c:v>
                </c:pt>
                <c:pt idx="2806">
                  <c:v>2.2592916011392461E-2</c:v>
                </c:pt>
                <c:pt idx="2807">
                  <c:v>2.2594000602849107E-2</c:v>
                </c:pt>
                <c:pt idx="2808">
                  <c:v>2.2595103338192146E-2</c:v>
                </c:pt>
                <c:pt idx="2809">
                  <c:v>2.2596224217501515E-2</c:v>
                </c:pt>
                <c:pt idx="2810">
                  <c:v>2.2597363240537405E-2</c:v>
                </c:pt>
                <c:pt idx="2811">
                  <c:v>2.2598520407699496E-2</c:v>
                </c:pt>
                <c:pt idx="2812">
                  <c:v>2.2599695718668045E-2</c:v>
                </c:pt>
                <c:pt idx="2813">
                  <c:v>2.2600889173522987E-2</c:v>
                </c:pt>
                <c:pt idx="2814">
                  <c:v>2.2602100772344258E-2</c:v>
                </c:pt>
                <c:pt idx="2815">
                  <c:v>2.2603330515131859E-2</c:v>
                </c:pt>
                <c:pt idx="2816">
                  <c:v>2.2604578401725917E-2</c:v>
                </c:pt>
                <c:pt idx="2817">
                  <c:v>2.2605844432206368E-2</c:v>
                </c:pt>
                <c:pt idx="2818">
                  <c:v>2.2607128606653148E-2</c:v>
                </c:pt>
                <c:pt idx="2819">
                  <c:v>2.2608430925066259E-2</c:v>
                </c:pt>
                <c:pt idx="2820">
                  <c:v>2.2609751387285826E-2</c:v>
                </c:pt>
                <c:pt idx="2821">
                  <c:v>2.2611089993391786E-2</c:v>
                </c:pt>
                <c:pt idx="2822">
                  <c:v>2.2612446743623948E-2</c:v>
                </c:pt>
                <c:pt idx="2823">
                  <c:v>2.2613821637582632E-2</c:v>
                </c:pt>
                <c:pt idx="2824">
                  <c:v>2.2615214675507644E-2</c:v>
                </c:pt>
                <c:pt idx="2825">
                  <c:v>2.261662585731905E-2</c:v>
                </c:pt>
                <c:pt idx="2826">
                  <c:v>2.2618055183176722E-2</c:v>
                </c:pt>
                <c:pt idx="2827">
                  <c:v>2.2619502652680978E-2</c:v>
                </c:pt>
                <c:pt idx="2828">
                  <c:v>2.2620968266311436E-2</c:v>
                </c:pt>
                <c:pt idx="2829">
                  <c:v>2.2622452023748352E-2</c:v>
                </c:pt>
                <c:pt idx="2830">
                  <c:v>2.2623953925231532E-2</c:v>
                </c:pt>
                <c:pt idx="2831">
                  <c:v>2.2625473970601107E-2</c:v>
                </c:pt>
                <c:pt idx="2832">
                  <c:v>2.2627012159777138E-2</c:v>
                </c:pt>
                <c:pt idx="2833">
                  <c:v>2.2628568492999435E-2</c:v>
                </c:pt>
                <c:pt idx="2834">
                  <c:v>2.2630142970028189E-2</c:v>
                </c:pt>
                <c:pt idx="2835">
                  <c:v>2.2631735590943336E-2</c:v>
                </c:pt>
                <c:pt idx="2836">
                  <c:v>2.2633346355824813E-2</c:v>
                </c:pt>
                <c:pt idx="2837">
                  <c:v>2.2634975264752555E-2</c:v>
                </c:pt>
                <c:pt idx="2838">
                  <c:v>2.2636622317486754E-2</c:v>
                </c:pt>
                <c:pt idx="2839">
                  <c:v>2.2638287514107347E-2</c:v>
                </c:pt>
                <c:pt idx="2840">
                  <c:v>2.2639970854694269E-2</c:v>
                </c:pt>
                <c:pt idx="2841">
                  <c:v>2.2641672339167584E-2</c:v>
                </c:pt>
                <c:pt idx="2842">
                  <c:v>2.2643391967687165E-2</c:v>
                </c:pt>
                <c:pt idx="2843">
                  <c:v>2.2645129739773395E-2</c:v>
                </c:pt>
                <c:pt idx="2844">
                  <c:v>2.2646885656145699E-2</c:v>
                </c:pt>
                <c:pt idx="2845">
                  <c:v>2.2648659716404396E-2</c:v>
                </c:pt>
                <c:pt idx="2846">
                  <c:v>2.2650451920389614E-2</c:v>
                </c:pt>
                <c:pt idx="2847">
                  <c:v>2.2652262268341161E-2</c:v>
                </c:pt>
                <c:pt idx="2848">
                  <c:v>2.2657468355886223E-2</c:v>
                </c:pt>
                <c:pt idx="2849">
                  <c:v>2.265593739622318E-2</c:v>
                </c:pt>
                <c:pt idx="2850">
                  <c:v>2.2657802175833908E-2</c:v>
                </c:pt>
                <c:pt idx="2851">
                  <c:v>2.26596850994909E-2</c:v>
                </c:pt>
                <c:pt idx="2852">
                  <c:v>2.2661586167274095E-2</c:v>
                </c:pt>
                <c:pt idx="2853">
                  <c:v>2.2663505378623938E-2</c:v>
                </c:pt>
                <c:pt idx="2854">
                  <c:v>2.2665442734020047E-2</c:v>
                </c:pt>
                <c:pt idx="2855">
                  <c:v>2.2667398233462421E-2</c:v>
                </c:pt>
                <c:pt idx="2856">
                  <c:v>2.2669371876711253E-2</c:v>
                </c:pt>
                <c:pt idx="2857">
                  <c:v>2.2671363663926414E-2</c:v>
                </c:pt>
                <c:pt idx="2858">
                  <c:v>2.2673373595027968E-2</c:v>
                </c:pt>
                <c:pt idx="2859">
                  <c:v>2.2675401670095852E-2</c:v>
                </c:pt>
                <c:pt idx="2860">
                  <c:v>2.2677447889130065E-2</c:v>
                </c:pt>
                <c:pt idx="2861">
                  <c:v>2.2679512251970735E-2</c:v>
                </c:pt>
                <c:pt idx="2862">
                  <c:v>2.2681594758857671E-2</c:v>
                </c:pt>
                <c:pt idx="2863">
                  <c:v>2.2683695409631E-2</c:v>
                </c:pt>
                <c:pt idx="2864">
                  <c:v>2.268581420413085E-2</c:v>
                </c:pt>
                <c:pt idx="2865">
                  <c:v>2.2687951142756901E-2</c:v>
                </c:pt>
                <c:pt idx="2866">
                  <c:v>2.2690106225349282E-2</c:v>
                </c:pt>
                <c:pt idx="2867">
                  <c:v>2.2692279451748121E-2</c:v>
                </c:pt>
                <c:pt idx="2868">
                  <c:v>2.2694470822113288E-2</c:v>
                </c:pt>
                <c:pt idx="2869">
                  <c:v>2.2696680336444786E-2</c:v>
                </c:pt>
                <c:pt idx="2870">
                  <c:v>2.269890799458274E-2</c:v>
                </c:pt>
                <c:pt idx="2871">
                  <c:v>2.270115379676696E-2</c:v>
                </c:pt>
                <c:pt idx="2872">
                  <c:v>2.2703417742837573E-2</c:v>
                </c:pt>
                <c:pt idx="2873">
                  <c:v>2.2705699832794579E-2</c:v>
                </c:pt>
                <c:pt idx="2874">
                  <c:v>2.2708000066717915E-2</c:v>
                </c:pt>
                <c:pt idx="2875">
                  <c:v>2.2710318444527644E-2</c:v>
                </c:pt>
                <c:pt idx="2876">
                  <c:v>2.2712654966303703E-2</c:v>
                </c:pt>
                <c:pt idx="2877">
                  <c:v>2.271500963204609E-2</c:v>
                </c:pt>
                <c:pt idx="2878">
                  <c:v>2.2717382441754808E-2</c:v>
                </c:pt>
                <c:pt idx="2879">
                  <c:v>2.2719773395190046E-2</c:v>
                </c:pt>
                <c:pt idx="2880">
                  <c:v>2.2722182492751486E-2</c:v>
                </c:pt>
                <c:pt idx="2881">
                  <c:v>2.2724609734119383E-2</c:v>
                </c:pt>
                <c:pt idx="2882">
                  <c:v>2.2727055119533546E-2</c:v>
                </c:pt>
                <c:pt idx="2883">
                  <c:v>2.2729518648754166E-2</c:v>
                </c:pt>
                <c:pt idx="2884">
                  <c:v>2.2732000322021051E-2</c:v>
                </c:pt>
                <c:pt idx="2885">
                  <c:v>2.273450013917433E-2</c:v>
                </c:pt>
                <c:pt idx="2886">
                  <c:v>2.2737018100134065E-2</c:v>
                </c:pt>
                <c:pt idx="2887">
                  <c:v>2.2739554205220003E-2</c:v>
                </c:pt>
                <c:pt idx="2888">
                  <c:v>2.2742108454192334E-2</c:v>
                </c:pt>
                <c:pt idx="2889">
                  <c:v>2.2744680847051058E-2</c:v>
                </c:pt>
                <c:pt idx="2890">
                  <c:v>2.2747271383796175E-2</c:v>
                </c:pt>
                <c:pt idx="2891">
                  <c:v>2.2749880064507622E-2</c:v>
                </c:pt>
                <c:pt idx="2892">
                  <c:v>2.2752506889265334E-2</c:v>
                </c:pt>
                <c:pt idx="2893">
                  <c:v>2.2755151857749567E-2</c:v>
                </c:pt>
                <c:pt idx="2894">
                  <c:v>2.2757814970360002E-2</c:v>
                </c:pt>
                <c:pt idx="2895">
                  <c:v>2.2760496226936766E-2</c:v>
                </c:pt>
                <c:pt idx="2896">
                  <c:v>2.2763195627240052E-2</c:v>
                </c:pt>
                <c:pt idx="2897">
                  <c:v>2.2765913171509666E-2</c:v>
                </c:pt>
                <c:pt idx="2898">
                  <c:v>2.2772314632007351E-2</c:v>
                </c:pt>
                <c:pt idx="2899">
                  <c:v>2.2771402692187692E-2</c:v>
                </c:pt>
                <c:pt idx="2900">
                  <c:v>2.2774174668276359E-2</c:v>
                </c:pt>
                <c:pt idx="2901">
                  <c:v>2.2776964788331355E-2</c:v>
                </c:pt>
                <c:pt idx="2902">
                  <c:v>2.2779773052432617E-2</c:v>
                </c:pt>
                <c:pt idx="2903">
                  <c:v>2.2782599460340336E-2</c:v>
                </c:pt>
                <c:pt idx="2904">
                  <c:v>2.278544401229432E-2</c:v>
                </c:pt>
                <c:pt idx="2905">
                  <c:v>2.2788306708214634E-2</c:v>
                </c:pt>
                <c:pt idx="2906">
                  <c:v>2.2791187547941405E-2</c:v>
                </c:pt>
                <c:pt idx="2907">
                  <c:v>2.2794086531714441E-2</c:v>
                </c:pt>
                <c:pt idx="2908">
                  <c:v>2.2797003659293935E-2</c:v>
                </c:pt>
                <c:pt idx="2909">
                  <c:v>2.2799938930919694E-2</c:v>
                </c:pt>
                <c:pt idx="2910">
                  <c:v>2.2802892346591719E-2</c:v>
                </c:pt>
                <c:pt idx="2911">
                  <c:v>2.2805863905910329E-2</c:v>
                </c:pt>
                <c:pt idx="2912">
                  <c:v>2.2808853609435076E-2</c:v>
                </c:pt>
                <c:pt idx="2913">
                  <c:v>2.2811861456846216E-2</c:v>
                </c:pt>
                <c:pt idx="2914">
                  <c:v>2.2814887448223686E-2</c:v>
                </c:pt>
                <c:pt idx="2915">
                  <c:v>2.2817931583407614E-2</c:v>
                </c:pt>
                <c:pt idx="2916">
                  <c:v>2.2820993862637806E-2</c:v>
                </c:pt>
                <c:pt idx="2917">
                  <c:v>2.2824074285914264E-2</c:v>
                </c:pt>
                <c:pt idx="2918">
                  <c:v>2.2827172852917244E-2</c:v>
                </c:pt>
                <c:pt idx="2919">
                  <c:v>2.2830289563886552E-2</c:v>
                </c:pt>
                <c:pt idx="2920">
                  <c:v>2.2833424418982062E-2</c:v>
                </c:pt>
                <c:pt idx="2921">
                  <c:v>2.2836577417963966E-2</c:v>
                </c:pt>
                <c:pt idx="2922">
                  <c:v>2.2839748560832263E-2</c:v>
                </c:pt>
                <c:pt idx="2923">
                  <c:v>2.2842937847666889E-2</c:v>
                </c:pt>
                <c:pt idx="2924">
                  <c:v>2.2846145278387908E-2</c:v>
                </c:pt>
                <c:pt idx="2925">
                  <c:v>2.2849370853075257E-2</c:v>
                </c:pt>
                <c:pt idx="2926">
                  <c:v>2.2852614571808871E-2</c:v>
                </c:pt>
                <c:pt idx="2927">
                  <c:v>2.2855876434508815E-2</c:v>
                </c:pt>
                <c:pt idx="2928">
                  <c:v>2.2859156441095152E-2</c:v>
                </c:pt>
                <c:pt idx="2929">
                  <c:v>2.2862454591487946E-2</c:v>
                </c:pt>
                <c:pt idx="2930">
                  <c:v>2.2865770886006942E-2</c:v>
                </c:pt>
                <c:pt idx="2931">
                  <c:v>2.2869105324492267E-2</c:v>
                </c:pt>
                <c:pt idx="2932">
                  <c:v>2.2872457906863985E-2</c:v>
                </c:pt>
                <c:pt idx="2933">
                  <c:v>2.2875828633122097E-2</c:v>
                </c:pt>
                <c:pt idx="2934">
                  <c:v>2.287921750350641E-2</c:v>
                </c:pt>
                <c:pt idx="2935">
                  <c:v>2.2882624517697181E-2</c:v>
                </c:pt>
                <c:pt idx="2936">
                  <c:v>2.2886049676014153E-2</c:v>
                </c:pt>
                <c:pt idx="2937">
                  <c:v>2.2889492978057646E-2</c:v>
                </c:pt>
                <c:pt idx="2938">
                  <c:v>2.2896379310162196E-2</c:v>
                </c:pt>
                <c:pt idx="2939">
                  <c:v>2.2898888037428122E-2</c:v>
                </c:pt>
                <c:pt idx="2940">
                  <c:v>2.290239140110728E-2</c:v>
                </c:pt>
                <c:pt idx="2941">
                  <c:v>2.2905912911097559E-2</c:v>
                </c:pt>
                <c:pt idx="2942">
                  <c:v>2.2909452567372313E-2</c:v>
                </c:pt>
                <c:pt idx="2943">
                  <c:v>2.2913010370091413E-2</c:v>
                </c:pt>
                <c:pt idx="2944">
                  <c:v>2.2916586319041699E-2</c:v>
                </c:pt>
                <c:pt idx="2945">
                  <c:v>2.2920180414409685E-2</c:v>
                </c:pt>
                <c:pt idx="2946">
                  <c:v>2.2923792656062147E-2</c:v>
                </c:pt>
                <c:pt idx="2947">
                  <c:v>2.2927423044079021E-2</c:v>
                </c:pt>
                <c:pt idx="2948">
                  <c:v>2.2931071578460305E-2</c:v>
                </c:pt>
                <c:pt idx="2949">
                  <c:v>2.2934738259206E-2</c:v>
                </c:pt>
                <c:pt idx="2950">
                  <c:v>2.2938423086262816E-2</c:v>
                </c:pt>
                <c:pt idx="2951">
                  <c:v>2.2942126059657397E-2</c:v>
                </c:pt>
                <c:pt idx="2952">
                  <c:v>2.294584717941639E-2</c:v>
                </c:pt>
                <c:pt idx="2953">
                  <c:v>2.2949731360499825E-2</c:v>
                </c:pt>
                <c:pt idx="2954">
                  <c:v>2.2953343858027608E-2</c:v>
                </c:pt>
                <c:pt idx="2955">
                  <c:v>2.2957119416853189E-2</c:v>
                </c:pt>
                <c:pt idx="2956">
                  <c:v>2.2960913122043181E-2</c:v>
                </c:pt>
                <c:pt idx="2957">
                  <c:v>2.2964724973624229E-2</c:v>
                </c:pt>
                <c:pt idx="2958">
                  <c:v>2.2968554971543043E-2</c:v>
                </c:pt>
                <c:pt idx="2959">
                  <c:v>2.2972403115826268E-2</c:v>
                </c:pt>
                <c:pt idx="2960">
                  <c:v>2.2976269406447258E-2</c:v>
                </c:pt>
                <c:pt idx="2961">
                  <c:v>2.2980153843459306E-2</c:v>
                </c:pt>
                <c:pt idx="2962">
                  <c:v>2.2984056426809119E-2</c:v>
                </c:pt>
                <c:pt idx="2963">
                  <c:v>2.2987977156549988E-2</c:v>
                </c:pt>
                <c:pt idx="2964">
                  <c:v>2.2991916032735205E-2</c:v>
                </c:pt>
                <c:pt idx="2965">
                  <c:v>2.2995873055204896E-2</c:v>
                </c:pt>
                <c:pt idx="2966">
                  <c:v>2.299984822409229E-2</c:v>
                </c:pt>
                <c:pt idx="2967">
                  <c:v>2.3003841539317449E-2</c:v>
                </c:pt>
                <c:pt idx="2968">
                  <c:v>2.300785300096031E-2</c:v>
                </c:pt>
                <c:pt idx="2969">
                  <c:v>2.3011882608994227E-2</c:v>
                </c:pt>
                <c:pt idx="2970">
                  <c:v>2.3015930363392556E-2</c:v>
                </c:pt>
                <c:pt idx="2971">
                  <c:v>2.3019996264181941E-2</c:v>
                </c:pt>
                <c:pt idx="2972">
                  <c:v>2.3024080311309092E-2</c:v>
                </c:pt>
                <c:pt idx="2973">
                  <c:v>2.3028182504907235E-2</c:v>
                </c:pt>
                <c:pt idx="2974">
                  <c:v>2.3032302844816499E-2</c:v>
                </c:pt>
                <c:pt idx="2975">
                  <c:v>2.3036441331143465E-2</c:v>
                </c:pt>
                <c:pt idx="2976">
                  <c:v>2.3040597963941423E-2</c:v>
                </c:pt>
                <c:pt idx="2977">
                  <c:v>2.3044772743077147E-2</c:v>
                </c:pt>
                <c:pt idx="2978">
                  <c:v>2.3048965668577281E-2</c:v>
                </c:pt>
                <c:pt idx="2979">
                  <c:v>2.3053176740495118E-2</c:v>
                </c:pt>
                <c:pt idx="2980">
                  <c:v>2.3057405958857302E-2</c:v>
                </c:pt>
                <c:pt idx="2981">
                  <c:v>2.3061653323557252E-2</c:v>
                </c:pt>
                <c:pt idx="2982">
                  <c:v>2.3065918834754839E-2</c:v>
                </c:pt>
                <c:pt idx="2983">
                  <c:v>2.3070202492290193E-2</c:v>
                </c:pt>
                <c:pt idx="2984">
                  <c:v>2.3074504296216602E-2</c:v>
                </c:pt>
                <c:pt idx="2985">
                  <c:v>2.3078824246560714E-2</c:v>
                </c:pt>
                <c:pt idx="2986">
                  <c:v>2.3083162343375818E-2</c:v>
                </c:pt>
                <c:pt idx="2987">
                  <c:v>2.3087518586608624E-2</c:v>
                </c:pt>
                <c:pt idx="2988">
                  <c:v>2.3091892976232486E-2</c:v>
                </c:pt>
                <c:pt idx="2989">
                  <c:v>2.3096285512274051E-2</c:v>
                </c:pt>
                <c:pt idx="2990">
                  <c:v>2.3101534551437375E-2</c:v>
                </c:pt>
                <c:pt idx="2991">
                  <c:v>2.3104910700917358E-2</c:v>
                </c:pt>
                <c:pt idx="2992">
                  <c:v>2.3109362289455149E-2</c:v>
                </c:pt>
                <c:pt idx="2993">
                  <c:v>2.3113832021959269E-2</c:v>
                </c:pt>
                <c:pt idx="2994">
                  <c:v>2.3118319898429718E-2</c:v>
                </c:pt>
                <c:pt idx="2995">
                  <c:v>2.3122825918946432E-2</c:v>
                </c:pt>
                <c:pt idx="2996">
                  <c:v>2.312735008334954E-2</c:v>
                </c:pt>
                <c:pt idx="2997">
                  <c:v>2.3131892391798914E-2</c:v>
                </c:pt>
                <c:pt idx="2998">
                  <c:v>2.3136452844374489E-2</c:v>
                </c:pt>
                <c:pt idx="2999">
                  <c:v>2.3141031440836457E-2</c:v>
                </c:pt>
                <c:pt idx="3000">
                  <c:v>2.3145628181184819E-2</c:v>
                </c:pt>
                <c:pt idx="3001">
                  <c:v>2.3150243065739318E-2</c:v>
                </c:pt>
                <c:pt idx="3002">
                  <c:v>2.315487609418021E-2</c:v>
                </c:pt>
                <c:pt idx="3003">
                  <c:v>2.3159527266587432E-2</c:v>
                </c:pt>
                <c:pt idx="3004">
                  <c:v>2.3165534006013289E-2</c:v>
                </c:pt>
                <c:pt idx="3005">
                  <c:v>2.31688840433808E-2</c:v>
                </c:pt>
                <c:pt idx="3006">
                  <c:v>2.3173589647766946E-2</c:v>
                </c:pt>
                <c:pt idx="3007">
                  <c:v>2.3178313396119421E-2</c:v>
                </c:pt>
                <c:pt idx="3008">
                  <c:v>2.318373418297881E-2</c:v>
                </c:pt>
                <c:pt idx="3009">
                  <c:v>2.318849681135049E-2</c:v>
                </c:pt>
                <c:pt idx="3010">
                  <c:v>2.3193277583848371E-2</c:v>
                </c:pt>
                <c:pt idx="3011">
                  <c:v>2.3198076500232645E-2</c:v>
                </c:pt>
                <c:pt idx="3012">
                  <c:v>2.3202892908704698E-2</c:v>
                </c:pt>
                <c:pt idx="3013">
                  <c:v>2.3207708554586759E-2</c:v>
                </c:pt>
                <c:pt idx="3014">
                  <c:v>2.3212514962658304E-2</c:v>
                </c:pt>
                <c:pt idx="3015">
                  <c:v>2.3217312132519652E-2</c:v>
                </c:pt>
                <c:pt idx="3016">
                  <c:v>2.3222100064490547E-2</c:v>
                </c:pt>
                <c:pt idx="3017">
                  <c:v>2.3226878758650926E-2</c:v>
                </c:pt>
                <c:pt idx="3018">
                  <c:v>2.323164821476098E-2</c:v>
                </c:pt>
                <c:pt idx="3019">
                  <c:v>2.3236408432900646E-2</c:v>
                </c:pt>
                <c:pt idx="3020">
                  <c:v>2.3241159413149859E-2</c:v>
                </c:pt>
                <c:pt idx="3021">
                  <c:v>2.3245901155348747E-2</c:v>
                </c:pt>
                <c:pt idx="3022">
                  <c:v>2.3250633659657183E-2</c:v>
                </c:pt>
                <c:pt idx="3023">
                  <c:v>2.3255356926075166E-2</c:v>
                </c:pt>
                <c:pt idx="3024">
                  <c:v>2.3260070954442824E-2</c:v>
                </c:pt>
                <c:pt idx="3025">
                  <c:v>2.326477574492003E-2</c:v>
                </c:pt>
                <c:pt idx="3026">
                  <c:v>2.3269471297346911E-2</c:v>
                </c:pt>
                <c:pt idx="3027">
                  <c:v>2.3274157611803403E-2</c:v>
                </c:pt>
                <c:pt idx="3028">
                  <c:v>2.3278834688449379E-2</c:v>
                </c:pt>
                <c:pt idx="3029">
                  <c:v>2.328350252704503E-2</c:v>
                </c:pt>
                <c:pt idx="3030">
                  <c:v>2.3288161127670293E-2</c:v>
                </c:pt>
                <c:pt idx="3031">
                  <c:v>2.3292810490405103E-2</c:v>
                </c:pt>
                <c:pt idx="3032">
                  <c:v>2.3297450615169524E-2</c:v>
                </c:pt>
                <c:pt idx="3033">
                  <c:v>2.330208150188362E-2</c:v>
                </c:pt>
                <c:pt idx="3034">
                  <c:v>2.3306703150627328E-2</c:v>
                </c:pt>
                <c:pt idx="3035">
                  <c:v>2.3311315561560519E-2</c:v>
                </c:pt>
                <c:pt idx="3036">
                  <c:v>2.3315918734523322E-2</c:v>
                </c:pt>
                <c:pt idx="3037">
                  <c:v>2.3320512669515736E-2</c:v>
                </c:pt>
                <c:pt idx="3038">
                  <c:v>2.3325097366377889E-2</c:v>
                </c:pt>
                <c:pt idx="3039">
                  <c:v>2.3329672825429526E-2</c:v>
                </c:pt>
                <c:pt idx="3040">
                  <c:v>2.3334239046510774E-2</c:v>
                </c:pt>
                <c:pt idx="3041">
                  <c:v>2.3338796029461761E-2</c:v>
                </c:pt>
                <c:pt idx="3042">
                  <c:v>2.3345073950964412E-2</c:v>
                </c:pt>
                <c:pt idx="3043">
                  <c:v>2.33485298858227E-2</c:v>
                </c:pt>
                <c:pt idx="3044">
                  <c:v>2.3353057835358015E-2</c:v>
                </c:pt>
                <c:pt idx="3045">
                  <c:v>2.3357576547002878E-2</c:v>
                </c:pt>
                <c:pt idx="3046">
                  <c:v>2.3362086020517481E-2</c:v>
                </c:pt>
                <c:pt idx="3047">
                  <c:v>2.336658625614163E-2</c:v>
                </c:pt>
                <c:pt idx="3048">
                  <c:v>2.3371077253715455E-2</c:v>
                </c:pt>
                <c:pt idx="3049">
                  <c:v>2.3375559013398828E-2</c:v>
                </c:pt>
                <c:pt idx="3050">
                  <c:v>2.3380031535111812E-2</c:v>
                </c:pt>
                <c:pt idx="3051">
                  <c:v>2.3384494818854407E-2</c:v>
                </c:pt>
                <c:pt idx="3052">
                  <c:v>2.3388948864706549E-2</c:v>
                </c:pt>
                <c:pt idx="3053">
                  <c:v>2.3393393672428431E-2</c:v>
                </c:pt>
                <c:pt idx="3054">
                  <c:v>2.339782924225986E-2</c:v>
                </c:pt>
                <c:pt idx="3055">
                  <c:v>2.3402887153229912E-2</c:v>
                </c:pt>
                <c:pt idx="3056">
                  <c:v>2.3407302927456186E-2</c:v>
                </c:pt>
                <c:pt idx="3057">
                  <c:v>2.3411709463712072E-2</c:v>
                </c:pt>
                <c:pt idx="3058">
                  <c:v>2.3416106761837696E-2</c:v>
                </c:pt>
                <c:pt idx="3059">
                  <c:v>2.3423719581752156E-2</c:v>
                </c:pt>
                <c:pt idx="3060">
                  <c:v>2.342487364457746E-2</c:v>
                </c:pt>
                <c:pt idx="3061">
                  <c:v>2.342924322895179E-2</c:v>
                </c:pt>
                <c:pt idx="3062">
                  <c:v>2.343360357519586E-2</c:v>
                </c:pt>
                <c:pt idx="3063">
                  <c:v>2.343795468370935E-2</c:v>
                </c:pt>
                <c:pt idx="3064">
                  <c:v>2.3442296554252451E-2</c:v>
                </c:pt>
                <c:pt idx="3065">
                  <c:v>2.3446629186745227E-2</c:v>
                </c:pt>
                <c:pt idx="3066">
                  <c:v>2.3450952581107742E-2</c:v>
                </c:pt>
                <c:pt idx="3067">
                  <c:v>2.3455266737739677E-2</c:v>
                </c:pt>
                <c:pt idx="3068">
                  <c:v>2.3459571656321287E-2</c:v>
                </c:pt>
                <c:pt idx="3069">
                  <c:v>2.3463867336932509E-2</c:v>
                </c:pt>
                <c:pt idx="3070">
                  <c:v>2.3468153779493406E-2</c:v>
                </c:pt>
                <c:pt idx="3071">
                  <c:v>2.3472430984243786E-2</c:v>
                </c:pt>
                <c:pt idx="3072">
                  <c:v>2.3476698950943842E-2</c:v>
                </c:pt>
                <c:pt idx="3073">
                  <c:v>2.3480957679593573E-2</c:v>
                </c:pt>
                <c:pt idx="3074">
                  <c:v>2.3485207170352851E-2</c:v>
                </c:pt>
                <c:pt idx="3075">
                  <c:v>2.3489447423221677E-2</c:v>
                </c:pt>
                <c:pt idx="3076">
                  <c:v>2.3493678437960241E-2</c:v>
                </c:pt>
                <c:pt idx="3077">
                  <c:v>2.3497900214728418E-2</c:v>
                </c:pt>
                <c:pt idx="3078">
                  <c:v>2.3502112753686077E-2</c:v>
                </c:pt>
                <c:pt idx="3079">
                  <c:v>2.350631605443354E-2</c:v>
                </c:pt>
                <c:pt idx="3080">
                  <c:v>2.3510510117370487E-2</c:v>
                </c:pt>
                <c:pt idx="3081">
                  <c:v>2.3514694942257108E-2</c:v>
                </c:pt>
                <c:pt idx="3082">
                  <c:v>2.3518870529253277E-2</c:v>
                </c:pt>
                <c:pt idx="3083">
                  <c:v>2.3523036878199122E-2</c:v>
                </c:pt>
                <c:pt idx="3084">
                  <c:v>2.3527193989174577E-2</c:v>
                </c:pt>
                <c:pt idx="3085">
                  <c:v>2.353134186225958E-2</c:v>
                </c:pt>
                <c:pt idx="3086">
                  <c:v>2.3535480497214323E-2</c:v>
                </c:pt>
                <c:pt idx="3087">
                  <c:v>2.3539609894198676E-2</c:v>
                </c:pt>
                <c:pt idx="3088">
                  <c:v>2.3543730053372514E-2</c:v>
                </c:pt>
                <c:pt idx="3089">
                  <c:v>2.354784097441609E-2</c:v>
                </c:pt>
                <c:pt idx="3090">
                  <c:v>2.355194265764915E-2</c:v>
                </c:pt>
                <c:pt idx="3091">
                  <c:v>2.3556035102751949E-2</c:v>
                </c:pt>
                <c:pt idx="3092">
                  <c:v>2.3560118309964295E-2</c:v>
                </c:pt>
                <c:pt idx="3093">
                  <c:v>2.3567377854789573E-2</c:v>
                </c:pt>
                <c:pt idx="3094">
                  <c:v>2.3571441404406368E-2</c:v>
                </c:pt>
                <c:pt idx="3095">
                  <c:v>2.3572312503539194E-2</c:v>
                </c:pt>
                <c:pt idx="3096">
                  <c:v>2.3576358758869986E-2</c:v>
                </c:pt>
                <c:pt idx="3097">
                  <c:v>2.3580395776070517E-2</c:v>
                </c:pt>
                <c:pt idx="3098">
                  <c:v>2.3584423555460532E-2</c:v>
                </c:pt>
                <c:pt idx="3099">
                  <c:v>2.3588442096720286E-2</c:v>
                </c:pt>
                <c:pt idx="3100">
                  <c:v>2.3592451400089587E-2</c:v>
                </c:pt>
                <c:pt idx="3101">
                  <c:v>2.3596451465488499E-2</c:v>
                </c:pt>
                <c:pt idx="3102">
                  <c:v>2.3600442292677215E-2</c:v>
                </c:pt>
                <c:pt idx="3103">
                  <c:v>2.3604423882215286E-2</c:v>
                </c:pt>
                <c:pt idx="3104">
                  <c:v>2.3608396233543161E-2</c:v>
                </c:pt>
                <c:pt idx="3105">
                  <c:v>2.3612359346900647E-2</c:v>
                </c:pt>
                <c:pt idx="3106">
                  <c:v>2.3616313222287744E-2</c:v>
                </c:pt>
                <c:pt idx="3107">
                  <c:v>2.3620257859864324E-2</c:v>
                </c:pt>
                <c:pt idx="3108">
                  <c:v>2.3628416841514621E-2</c:v>
                </c:pt>
                <c:pt idx="3109">
                  <c:v>2.3628119420706639E-2</c:v>
                </c:pt>
                <c:pt idx="3110">
                  <c:v>2.3632036344372054E-2</c:v>
                </c:pt>
                <c:pt idx="3111">
                  <c:v>2.3635944029827272E-2</c:v>
                </c:pt>
                <c:pt idx="3112">
                  <c:v>2.3639842477392037E-2</c:v>
                </c:pt>
                <c:pt idx="3113">
                  <c:v>2.3643731686906477E-2</c:v>
                </c:pt>
                <c:pt idx="3114">
                  <c:v>2.3647611658450529E-2</c:v>
                </c:pt>
                <c:pt idx="3115">
                  <c:v>2.3651482392104128E-2</c:v>
                </c:pt>
                <c:pt idx="3116">
                  <c:v>2.3655343887707403E-2</c:v>
                </c:pt>
                <c:pt idx="3117">
                  <c:v>2.3659196145100481E-2</c:v>
                </c:pt>
                <c:pt idx="3118">
                  <c:v>2.3663039164842914E-2</c:v>
                </c:pt>
                <c:pt idx="3119">
                  <c:v>2.3666872946535022E-2</c:v>
                </c:pt>
                <c:pt idx="3120">
                  <c:v>2.367069749009687E-2</c:v>
                </c:pt>
                <c:pt idx="3121">
                  <c:v>2.3674512795768266E-2</c:v>
                </c:pt>
                <c:pt idx="3122">
                  <c:v>2.3678318863469272E-2</c:v>
                </c:pt>
                <c:pt idx="3123">
                  <c:v>2.3682115693119954E-2</c:v>
                </c:pt>
                <c:pt idx="3124">
                  <c:v>2.3685903284720311E-2</c:v>
                </c:pt>
                <c:pt idx="3125">
                  <c:v>2.3689681638430216E-2</c:v>
                </c:pt>
                <c:pt idx="3126">
                  <c:v>2.3693450754169731E-2</c:v>
                </c:pt>
                <c:pt idx="3127">
                  <c:v>2.3697210631938859E-2</c:v>
                </c:pt>
                <c:pt idx="3128">
                  <c:v>2.3700961271577725E-2</c:v>
                </c:pt>
                <c:pt idx="3129">
                  <c:v>2.3704702673406075E-2</c:v>
                </c:pt>
                <c:pt idx="3130">
                  <c:v>2.3708434837104164E-2</c:v>
                </c:pt>
                <c:pt idx="3131">
                  <c:v>2.3712157762831865E-2</c:v>
                </c:pt>
                <c:pt idx="3132">
                  <c:v>2.3715871450669113E-2</c:v>
                </c:pt>
                <c:pt idx="3133">
                  <c:v>2.37195759003761E-2</c:v>
                </c:pt>
                <c:pt idx="3134">
                  <c:v>2.3723271112112698E-2</c:v>
                </c:pt>
                <c:pt idx="3135">
                  <c:v>2.3726957085958844E-2</c:v>
                </c:pt>
                <c:pt idx="3136">
                  <c:v>2.3730633821834601E-2</c:v>
                </c:pt>
                <c:pt idx="3137">
                  <c:v>2.3734301319660034E-2</c:v>
                </c:pt>
                <c:pt idx="3138">
                  <c:v>2.3737959579435142E-2</c:v>
                </c:pt>
                <c:pt idx="3139">
                  <c:v>2.3741608601319797E-2</c:v>
                </c:pt>
                <c:pt idx="3140">
                  <c:v>2.3745248385154127E-2</c:v>
                </c:pt>
                <c:pt idx="3141">
                  <c:v>2.3748878930938133E-2</c:v>
                </c:pt>
                <c:pt idx="3142">
                  <c:v>2.375250023875175E-2</c:v>
                </c:pt>
                <c:pt idx="3143">
                  <c:v>2.3756112308674915E-2</c:v>
                </c:pt>
                <c:pt idx="3144">
                  <c:v>2.3759715140547755E-2</c:v>
                </c:pt>
                <c:pt idx="3145">
                  <c:v>2.3763308734290334E-2</c:v>
                </c:pt>
                <c:pt idx="3146">
                  <c:v>2.3766893090222396E-2</c:v>
                </c:pt>
                <c:pt idx="3147">
                  <c:v>2.3770468208264006E-2</c:v>
                </c:pt>
                <c:pt idx="3148">
                  <c:v>2.3774034088095419E-2</c:v>
                </c:pt>
                <c:pt idx="3149">
                  <c:v>2.3777590729796572E-2</c:v>
                </c:pt>
                <c:pt idx="3150">
                  <c:v>2.3781138133767143E-2</c:v>
                </c:pt>
                <c:pt idx="3151">
                  <c:v>2.3784676299687391E-2</c:v>
                </c:pt>
                <c:pt idx="3152">
                  <c:v>2.3788205227557313E-2</c:v>
                </c:pt>
                <c:pt idx="3153">
                  <c:v>2.3791724917376911E-2</c:v>
                </c:pt>
                <c:pt idx="3154">
                  <c:v>2.3795235369306056E-2</c:v>
                </c:pt>
                <c:pt idx="3155">
                  <c:v>2.3798736583264812E-2</c:v>
                </c:pt>
                <c:pt idx="3156">
                  <c:v>2.3802228559173244E-2</c:v>
                </c:pt>
                <c:pt idx="3157">
                  <c:v>2.3805711297191223E-2</c:v>
                </c:pt>
                <c:pt idx="3158">
                  <c:v>2.3809184796999006E-2</c:v>
                </c:pt>
                <c:pt idx="3159">
                  <c:v>2.3816787667236383E-2</c:v>
                </c:pt>
                <c:pt idx="3160">
                  <c:v>2.3816104082703404E-2</c:v>
                </c:pt>
                <c:pt idx="3161">
                  <c:v>2.3819549868759893E-2</c:v>
                </c:pt>
                <c:pt idx="3162">
                  <c:v>2.3822986416606184E-2</c:v>
                </c:pt>
                <c:pt idx="3163">
                  <c:v>2.3826413726482087E-2</c:v>
                </c:pt>
                <c:pt idx="3164">
                  <c:v>2.3829831798387602E-2</c:v>
                </c:pt>
                <c:pt idx="3165">
                  <c:v>2.3833240632402664E-2</c:v>
                </c:pt>
                <c:pt idx="3166">
                  <c:v>2.3836640228207528E-2</c:v>
                </c:pt>
                <c:pt idx="3167">
                  <c:v>2.3840030586121941E-2</c:v>
                </c:pt>
                <c:pt idx="3168">
                  <c:v>2.3843411706145901E-2</c:v>
                </c:pt>
                <c:pt idx="3169">
                  <c:v>2.38467835880396E-2</c:v>
                </c:pt>
                <c:pt idx="3170">
                  <c:v>2.385014623196291E-2</c:v>
                </c:pt>
                <c:pt idx="3171">
                  <c:v>2.3853499637755959E-2</c:v>
                </c:pt>
                <c:pt idx="3172">
                  <c:v>2.3856843805818428E-2</c:v>
                </c:pt>
                <c:pt idx="3173">
                  <c:v>2.3860178735670701E-2</c:v>
                </c:pt>
                <c:pt idx="3174">
                  <c:v>2.3863504427552584E-2</c:v>
                </c:pt>
                <c:pt idx="3175">
                  <c:v>2.3866820881384143E-2</c:v>
                </c:pt>
                <c:pt idx="3176">
                  <c:v>2.3870128097405185E-2</c:v>
                </c:pt>
                <c:pt idx="3177">
                  <c:v>2.3873426075136095E-2</c:v>
                </c:pt>
                <c:pt idx="3178">
                  <c:v>2.3876714815136424E-2</c:v>
                </c:pt>
                <c:pt idx="3179">
                  <c:v>2.3879994317006492E-2</c:v>
                </c:pt>
                <c:pt idx="3180">
                  <c:v>2.3883264580906172E-2</c:v>
                </c:pt>
                <c:pt idx="3181">
                  <c:v>2.3886525606755526E-2</c:v>
                </c:pt>
                <c:pt idx="3182">
                  <c:v>2.3889777394634493E-2</c:v>
                </c:pt>
                <c:pt idx="3183">
                  <c:v>2.3893019944623006E-2</c:v>
                </c:pt>
                <c:pt idx="3184">
                  <c:v>2.3896253256401323E-2</c:v>
                </c:pt>
                <c:pt idx="3185">
                  <c:v>2.3899477330289187E-2</c:v>
                </c:pt>
                <c:pt idx="3186">
                  <c:v>2.3902692166126727E-2</c:v>
                </c:pt>
                <c:pt idx="3187">
                  <c:v>2.3905897763993877E-2</c:v>
                </c:pt>
                <c:pt idx="3188">
                  <c:v>2.390909412389064E-2</c:v>
                </c:pt>
                <c:pt idx="3189">
                  <c:v>2.3912281245577205E-2</c:v>
                </c:pt>
                <c:pt idx="3190">
                  <c:v>2.391545912953319E-2</c:v>
                </c:pt>
                <c:pt idx="3191">
                  <c:v>2.3918627775278978E-2</c:v>
                </c:pt>
                <c:pt idx="3192">
                  <c:v>2.3921787183054377E-2</c:v>
                </c:pt>
                <c:pt idx="3193">
                  <c:v>2.3924937352939324E-2</c:v>
                </c:pt>
                <c:pt idx="3194">
                  <c:v>2.3928078284853882E-2</c:v>
                </c:pt>
                <c:pt idx="3195">
                  <c:v>2.3931209978638179E-2</c:v>
                </c:pt>
                <c:pt idx="3196">
                  <c:v>2.3934332434452088E-2</c:v>
                </c:pt>
                <c:pt idx="3197">
                  <c:v>2.3937445652295608E-2</c:v>
                </c:pt>
                <c:pt idx="3198">
                  <c:v>2.3940549632008867E-2</c:v>
                </c:pt>
                <c:pt idx="3199">
                  <c:v>2.3943644373671802E-2</c:v>
                </c:pt>
                <c:pt idx="3200">
                  <c:v>2.394672987752422E-2</c:v>
                </c:pt>
                <c:pt idx="3201">
                  <c:v>2.3949806143246377E-2</c:v>
                </c:pt>
                <c:pt idx="3202">
                  <c:v>2.3952873170998146E-2</c:v>
                </c:pt>
                <c:pt idx="3203">
                  <c:v>2.3955930960619654E-2</c:v>
                </c:pt>
                <c:pt idx="3204">
                  <c:v>2.3958979512510581E-2</c:v>
                </c:pt>
                <c:pt idx="3205">
                  <c:v>2.3962018826271247E-2</c:v>
                </c:pt>
                <c:pt idx="3206">
                  <c:v>2.3965048901821717E-2</c:v>
                </c:pt>
                <c:pt idx="3207">
                  <c:v>2.3968069739401798E-2</c:v>
                </c:pt>
                <c:pt idx="3208">
                  <c:v>2.3971081339251299E-2</c:v>
                </c:pt>
                <c:pt idx="3209">
                  <c:v>2.3974083700970539E-2</c:v>
                </c:pt>
                <c:pt idx="3210">
                  <c:v>2.3977076824479582E-2</c:v>
                </c:pt>
                <c:pt idx="3211">
                  <c:v>2.3980060710178108E-2</c:v>
                </c:pt>
                <c:pt idx="3212">
                  <c:v>2.398303535782631E-2</c:v>
                </c:pt>
                <c:pt idx="3213">
                  <c:v>2.3986000767424187E-2</c:v>
                </c:pt>
                <c:pt idx="3214">
                  <c:v>2.3992997167779251E-2</c:v>
                </c:pt>
                <c:pt idx="3215">
                  <c:v>2.3991903872548903E-2</c:v>
                </c:pt>
                <c:pt idx="3216">
                  <c:v>2.3997278609710904E-2</c:v>
                </c:pt>
                <c:pt idx="3217">
                  <c:v>2.4000204817919979E-2</c:v>
                </c:pt>
                <c:pt idx="3218">
                  <c:v>2.4003121786959625E-2</c:v>
                </c:pt>
                <c:pt idx="3219">
                  <c:v>2.400602951672326E-2</c:v>
                </c:pt>
                <c:pt idx="3220">
                  <c:v>2.4008928007370756E-2</c:v>
                </c:pt>
                <c:pt idx="3221">
                  <c:v>2.4011817258822177E-2</c:v>
                </c:pt>
                <c:pt idx="3222">
                  <c:v>2.4014697271050878E-2</c:v>
                </c:pt>
                <c:pt idx="3223">
                  <c:v>2.4017568044110149E-2</c:v>
                </c:pt>
                <c:pt idx="3224">
                  <c:v>2.402042957789341E-2</c:v>
                </c:pt>
                <c:pt idx="3225">
                  <c:v>2.4023281872533886E-2</c:v>
                </c:pt>
                <c:pt idx="3226">
                  <c:v>2.4026124927924997E-2</c:v>
                </c:pt>
                <c:pt idx="3227">
                  <c:v>2.4028958744146678E-2</c:v>
                </c:pt>
                <c:pt idx="3228">
                  <c:v>2.4031783321172284E-2</c:v>
                </c:pt>
                <c:pt idx="3229">
                  <c:v>2.4034598659001816E-2</c:v>
                </c:pt>
                <c:pt idx="3230">
                  <c:v>2.4037404757635272E-2</c:v>
                </c:pt>
                <c:pt idx="3231">
                  <c:v>2.4040201616992718E-2</c:v>
                </c:pt>
                <c:pt idx="3232">
                  <c:v>2.4042989237207379E-2</c:v>
                </c:pt>
                <c:pt idx="3233">
                  <c:v>2.4045767618199321E-2</c:v>
                </c:pt>
                <c:pt idx="3234">
                  <c:v>2.4048536759995187E-2</c:v>
                </c:pt>
                <c:pt idx="3235">
                  <c:v>2.4051296662541688E-2</c:v>
                </c:pt>
                <c:pt idx="3236">
                  <c:v>2.4054047325892114E-2</c:v>
                </c:pt>
                <c:pt idx="3237">
                  <c:v>2.405678875001982E-2</c:v>
                </c:pt>
                <c:pt idx="3238">
                  <c:v>2.4059520934978096E-2</c:v>
                </c:pt>
                <c:pt idx="3239">
                  <c:v>2.4062243880740297E-2</c:v>
                </c:pt>
                <c:pt idx="3240">
                  <c:v>2.4064957587253133E-2</c:v>
                </c:pt>
                <c:pt idx="3241">
                  <c:v>2.4067662054543248E-2</c:v>
                </c:pt>
                <c:pt idx="3242">
                  <c:v>2.4070357282663934E-2</c:v>
                </c:pt>
                <c:pt idx="3243">
                  <c:v>2.407304327150861E-2</c:v>
                </c:pt>
                <c:pt idx="3244">
                  <c:v>2.407572002115721E-2</c:v>
                </c:pt>
                <c:pt idx="3245">
                  <c:v>2.407838753163638E-2</c:v>
                </c:pt>
                <c:pt idx="3246">
                  <c:v>2.4081045802892831E-2</c:v>
                </c:pt>
                <c:pt idx="3247">
                  <c:v>2.408369483487327E-2</c:v>
                </c:pt>
                <c:pt idx="3248">
                  <c:v>2.4086334627710926E-2</c:v>
                </c:pt>
                <c:pt idx="3249">
                  <c:v>2.408896518127257E-2</c:v>
                </c:pt>
                <c:pt idx="3250">
                  <c:v>2.4091714371574646E-2</c:v>
                </c:pt>
                <c:pt idx="3251">
                  <c:v>2.4093330739534125E-2</c:v>
                </c:pt>
                <c:pt idx="3252">
                  <c:v>2.4095930587790804E-2</c:v>
                </c:pt>
                <c:pt idx="3253">
                  <c:v>2.4098521197917222E-2</c:v>
                </c:pt>
                <c:pt idx="3254">
                  <c:v>2.410110256991338E-2</c:v>
                </c:pt>
                <c:pt idx="3255">
                  <c:v>2.4103674704019085E-2</c:v>
                </c:pt>
                <c:pt idx="3256">
                  <c:v>2.4106237599994529E-2</c:v>
                </c:pt>
                <c:pt idx="3257">
                  <c:v>2.4108791258159457E-2</c:v>
                </c:pt>
                <c:pt idx="3258">
                  <c:v>2.4111335678114187E-2</c:v>
                </c:pt>
                <c:pt idx="3259">
                  <c:v>2.4113870859938658E-2</c:v>
                </c:pt>
                <c:pt idx="3260">
                  <c:v>2.4116396803952611E-2</c:v>
                </c:pt>
                <c:pt idx="3261">
                  <c:v>2.4118913509996176E-2</c:v>
                </c:pt>
                <c:pt idx="3262">
                  <c:v>2.412142097790948E-2</c:v>
                </c:pt>
                <c:pt idx="3263">
                  <c:v>2.4123919207692524E-2</c:v>
                </c:pt>
                <c:pt idx="3264">
                  <c:v>2.412640819966505E-2</c:v>
                </c:pt>
                <c:pt idx="3265">
                  <c:v>2.4129594757722472E-2</c:v>
                </c:pt>
                <c:pt idx="3266">
                  <c:v>2.4131358469299258E-2</c:v>
                </c:pt>
                <c:pt idx="3267">
                  <c:v>2.4133819747040874E-2</c:v>
                </c:pt>
                <c:pt idx="3268">
                  <c:v>2.4136271786892038E-2</c:v>
                </c:pt>
                <c:pt idx="3269">
                  <c:v>2.4138714588692878E-2</c:v>
                </c:pt>
                <c:pt idx="3270">
                  <c:v>2.4141148152363456E-2</c:v>
                </c:pt>
                <c:pt idx="3271">
                  <c:v>2.4143572478063646E-2</c:v>
                </c:pt>
                <c:pt idx="3272">
                  <c:v>2.4145987565873384E-2</c:v>
                </c:pt>
                <c:pt idx="3273">
                  <c:v>2.4148393415472924E-2</c:v>
                </c:pt>
                <c:pt idx="3274">
                  <c:v>2.4150790027102076E-2</c:v>
                </c:pt>
                <c:pt idx="3275">
                  <c:v>2.4153177400680903E-2</c:v>
                </c:pt>
                <c:pt idx="3276">
                  <c:v>2.4155555536209405E-2</c:v>
                </c:pt>
                <c:pt idx="3277">
                  <c:v>2.4157924433687583E-2</c:v>
                </c:pt>
                <c:pt idx="3278">
                  <c:v>2.4160284093275308E-2</c:v>
                </c:pt>
                <c:pt idx="3279">
                  <c:v>2.4162634514892645E-2</c:v>
                </c:pt>
                <c:pt idx="3280">
                  <c:v>2.416497569837972E-2</c:v>
                </c:pt>
                <c:pt idx="3281">
                  <c:v>2.4167307643816471E-2</c:v>
                </c:pt>
                <c:pt idx="3282">
                  <c:v>2.416963035136277E-2</c:v>
                </c:pt>
                <c:pt idx="3283">
                  <c:v>2.4171943820698871E-2</c:v>
                </c:pt>
                <c:pt idx="3284">
                  <c:v>2.417424805214452E-2</c:v>
                </c:pt>
                <c:pt idx="3285">
                  <c:v>2.4176543045379972E-2</c:v>
                </c:pt>
                <c:pt idx="3286">
                  <c:v>2.4178828800724972E-2</c:v>
                </c:pt>
                <c:pt idx="3287">
                  <c:v>2.4181105318099583E-2</c:v>
                </c:pt>
                <c:pt idx="3288">
                  <c:v>2.4183372597263997E-2</c:v>
                </c:pt>
                <c:pt idx="3289">
                  <c:v>2.4185630638617894E-2</c:v>
                </c:pt>
                <c:pt idx="3290">
                  <c:v>2.4187879441841531E-2</c:v>
                </c:pt>
                <c:pt idx="3291">
                  <c:v>2.4190119007094779E-2</c:v>
                </c:pt>
                <c:pt idx="3292">
                  <c:v>2.419234933413783E-2</c:v>
                </c:pt>
                <c:pt idx="3293">
                  <c:v>2.4194570423290429E-2</c:v>
                </c:pt>
                <c:pt idx="3294">
                  <c:v>2.4196782274392703E-2</c:v>
                </c:pt>
                <c:pt idx="3295">
                  <c:v>2.4198984887524588E-2</c:v>
                </c:pt>
                <c:pt idx="3296">
                  <c:v>2.4201178262606149E-2</c:v>
                </c:pt>
                <c:pt idx="3297">
                  <c:v>2.4203362399557449E-2</c:v>
                </c:pt>
                <c:pt idx="3298">
                  <c:v>2.4205537298618296E-2</c:v>
                </c:pt>
                <c:pt idx="3299">
                  <c:v>2.420770295938901E-2</c:v>
                </c:pt>
                <c:pt idx="3300">
                  <c:v>2.4209859382429144E-2</c:v>
                </c:pt>
                <c:pt idx="3301">
                  <c:v>2.4212006567418953E-2</c:v>
                </c:pt>
                <c:pt idx="3302">
                  <c:v>2.4215415791002393E-2</c:v>
                </c:pt>
                <c:pt idx="3303">
                  <c:v>2.4216576570275095E-2</c:v>
                </c:pt>
                <c:pt idx="3304">
                  <c:v>2.4218694721369616E-2</c:v>
                </c:pt>
                <c:pt idx="3305">
                  <c:v>2.4220803634413812E-2</c:v>
                </c:pt>
                <c:pt idx="3306">
                  <c:v>2.4222903309567556E-2</c:v>
                </c:pt>
                <c:pt idx="3307">
                  <c:v>2.4224993746591039E-2</c:v>
                </c:pt>
                <c:pt idx="3308">
                  <c:v>2.4227074945484262E-2</c:v>
                </c:pt>
                <c:pt idx="3309">
                  <c:v>2.4229146906407095E-2</c:v>
                </c:pt>
                <c:pt idx="3310">
                  <c:v>2.4231209629439476E-2</c:v>
                </c:pt>
                <c:pt idx="3311">
                  <c:v>2.4233263114261661E-2</c:v>
                </c:pt>
                <c:pt idx="3312">
                  <c:v>2.4235307361113456E-2</c:v>
                </c:pt>
                <c:pt idx="3313">
                  <c:v>2.4237342369994863E-2</c:v>
                </c:pt>
                <c:pt idx="3314">
                  <c:v>2.4239368140825945E-2</c:v>
                </c:pt>
                <c:pt idx="3315">
                  <c:v>2.4241959128969981E-2</c:v>
                </c:pt>
                <c:pt idx="3316">
                  <c:v>2.4243963784211786E-2</c:v>
                </c:pt>
                <c:pt idx="3317">
                  <c:v>2.4245959201563139E-2</c:v>
                </c:pt>
                <c:pt idx="3318">
                  <c:v>2.4247945380704294E-2</c:v>
                </c:pt>
                <c:pt idx="3319">
                  <c:v>2.425211901166513E-2</c:v>
                </c:pt>
                <c:pt idx="3320">
                  <c:v>2.4251890025155376E-2</c:v>
                </c:pt>
                <c:pt idx="3321">
                  <c:v>2.4253848490145558E-2</c:v>
                </c:pt>
                <c:pt idx="3322">
                  <c:v>2.4255797717405159E-2</c:v>
                </c:pt>
                <c:pt idx="3323">
                  <c:v>2.4257737706454563E-2</c:v>
                </c:pt>
                <c:pt idx="3324">
                  <c:v>2.4259668457533579E-2</c:v>
                </c:pt>
                <c:pt idx="3325">
                  <c:v>2.4261589970402397E-2</c:v>
                </c:pt>
                <c:pt idx="3326">
                  <c:v>2.42635022454607E-2</c:v>
                </c:pt>
                <c:pt idx="3327">
                  <c:v>2.4265405282468677E-2</c:v>
                </c:pt>
                <c:pt idx="3328">
                  <c:v>2.4267299081346394E-2</c:v>
                </c:pt>
                <c:pt idx="3329">
                  <c:v>2.4269183642173786E-2</c:v>
                </c:pt>
                <c:pt idx="3330">
                  <c:v>2.4271058964950853E-2</c:v>
                </c:pt>
                <c:pt idx="3331">
                  <c:v>2.4272925049837468E-2</c:v>
                </c:pt>
                <c:pt idx="3332">
                  <c:v>2.4274781896593822E-2</c:v>
                </c:pt>
                <c:pt idx="3333">
                  <c:v>2.4276629505299852E-2</c:v>
                </c:pt>
                <c:pt idx="3334">
                  <c:v>2.4278467876035492E-2</c:v>
                </c:pt>
                <c:pt idx="3335">
                  <c:v>2.4280297008720808E-2</c:v>
                </c:pt>
                <c:pt idx="3336">
                  <c:v>2.4282116903275863E-2</c:v>
                </c:pt>
                <c:pt idx="3337">
                  <c:v>2.4283927559940466E-2</c:v>
                </c:pt>
                <c:pt idx="3338">
                  <c:v>2.4285728978554744E-2</c:v>
                </c:pt>
                <c:pt idx="3339">
                  <c:v>2.4287521159038761E-2</c:v>
                </c:pt>
                <c:pt idx="3340">
                  <c:v>2.4289304101392517E-2</c:v>
                </c:pt>
                <c:pt idx="3341">
                  <c:v>2.4291077806015693E-2</c:v>
                </c:pt>
                <c:pt idx="3342">
                  <c:v>2.4292842272428672E-2</c:v>
                </c:pt>
                <c:pt idx="3343">
                  <c:v>2.4294597500791326E-2</c:v>
                </c:pt>
                <c:pt idx="3344">
                  <c:v>2.4296343491183592E-2</c:v>
                </c:pt>
                <c:pt idx="3345">
                  <c:v>2.4298080243525533E-2</c:v>
                </c:pt>
                <c:pt idx="3346">
                  <c:v>2.4299807757737213E-2</c:v>
                </c:pt>
                <c:pt idx="3347">
                  <c:v>2.4301526033978504E-2</c:v>
                </c:pt>
                <c:pt idx="3348">
                  <c:v>2.4303235072169471E-2</c:v>
                </c:pt>
                <c:pt idx="3349">
                  <c:v>2.4304934872390049E-2</c:v>
                </c:pt>
                <c:pt idx="3350">
                  <c:v>2.4306625434400431E-2</c:v>
                </c:pt>
                <c:pt idx="3351">
                  <c:v>2.4308306758600295E-2</c:v>
                </c:pt>
                <c:pt idx="3352">
                  <c:v>2.4309978844589963E-2</c:v>
                </c:pt>
                <c:pt idx="3353">
                  <c:v>2.4312587743846592E-2</c:v>
                </c:pt>
                <c:pt idx="3354">
                  <c:v>2.4315408148982698E-2</c:v>
                </c:pt>
                <c:pt idx="3355">
                  <c:v>2.4314939674736635E-2</c:v>
                </c:pt>
                <c:pt idx="3356">
                  <c:v>2.4316574808525004E-2</c:v>
                </c:pt>
                <c:pt idx="3357">
                  <c:v>2.4318200704422921E-2</c:v>
                </c:pt>
                <c:pt idx="3358">
                  <c:v>2.4319817362270513E-2</c:v>
                </c:pt>
                <c:pt idx="3359">
                  <c:v>2.432142478206778E-2</c:v>
                </c:pt>
                <c:pt idx="3360">
                  <c:v>2.4323022963814722E-2</c:v>
                </c:pt>
                <c:pt idx="3361">
                  <c:v>2.4324611907591276E-2</c:v>
                </c:pt>
                <c:pt idx="3362">
                  <c:v>2.4326191613317505E-2</c:v>
                </c:pt>
                <c:pt idx="3363">
                  <c:v>2.4327762080993409E-2</c:v>
                </c:pt>
                <c:pt idx="3364">
                  <c:v>2.4329323310618989E-2</c:v>
                </c:pt>
                <c:pt idx="3365">
                  <c:v>2.4330875302034372E-2</c:v>
                </c:pt>
                <c:pt idx="3366">
                  <c:v>2.4332418055639238E-2</c:v>
                </c:pt>
                <c:pt idx="3367">
                  <c:v>2.4333951571273715E-2</c:v>
                </c:pt>
                <c:pt idx="3368">
                  <c:v>2.4335475848458188E-2</c:v>
                </c:pt>
                <c:pt idx="3369">
                  <c:v>2.4340712705262391E-2</c:v>
                </c:pt>
                <c:pt idx="3370">
                  <c:v>2.4338496689475519E-2</c:v>
                </c:pt>
                <c:pt idx="3371">
                  <c:v>2.4342781281516679E-2</c:v>
                </c:pt>
                <c:pt idx="3372">
                  <c:v>2.4341480578051744E-2</c:v>
                </c:pt>
                <c:pt idx="3373">
                  <c:v>2.4342958665304337E-2</c:v>
                </c:pt>
                <c:pt idx="3374">
                  <c:v>2.4344427514586542E-2</c:v>
                </c:pt>
                <c:pt idx="3375">
                  <c:v>2.4345887125818422E-2</c:v>
                </c:pt>
                <c:pt idx="3376">
                  <c:v>2.4347337498760169E-2</c:v>
                </c:pt>
                <c:pt idx="3377">
                  <c:v>2.4348778633891399E-2</c:v>
                </c:pt>
                <c:pt idx="3378">
                  <c:v>2.4350210531132177E-2</c:v>
                </c:pt>
                <c:pt idx="3379">
                  <c:v>2.4351633190082822E-2</c:v>
                </c:pt>
                <c:pt idx="3380">
                  <c:v>2.4353046610983142E-2</c:v>
                </c:pt>
                <c:pt idx="3381">
                  <c:v>2.435445079399301E-2</c:v>
                </c:pt>
                <c:pt idx="3382">
                  <c:v>2.4355845738952553E-2</c:v>
                </c:pt>
                <c:pt idx="3383">
                  <c:v>2.4357231445701899E-2</c:v>
                </c:pt>
                <c:pt idx="3384">
                  <c:v>2.4358607914640729E-2</c:v>
                </c:pt>
                <c:pt idx="3385">
                  <c:v>2.4359975145449297E-2</c:v>
                </c:pt>
                <c:pt idx="3386">
                  <c:v>2.4361333137967733E-2</c:v>
                </c:pt>
                <c:pt idx="3387">
                  <c:v>2.4362681892755589E-2</c:v>
                </c:pt>
                <c:pt idx="3388">
                  <c:v>2.436402140949312E-2</c:v>
                </c:pt>
                <c:pt idx="3389">
                  <c:v>2.4365351688020453E-2</c:v>
                </c:pt>
                <c:pt idx="3390">
                  <c:v>2.4366672728657335E-2</c:v>
                </c:pt>
                <c:pt idx="3391">
                  <c:v>2.4367984531243891E-2</c:v>
                </c:pt>
                <c:pt idx="3392">
                  <c:v>2.4369287095700187E-2</c:v>
                </c:pt>
                <c:pt idx="3393">
                  <c:v>2.4370580422186094E-2</c:v>
                </c:pt>
                <c:pt idx="3394">
                  <c:v>2.4371864510461805E-2</c:v>
                </c:pt>
                <c:pt idx="3395">
                  <c:v>2.4373139360926999E-2</c:v>
                </c:pt>
                <c:pt idx="3396">
                  <c:v>2.4374404973341868E-2</c:v>
                </c:pt>
                <c:pt idx="3397">
                  <c:v>2.437566134754654E-2</c:v>
                </c:pt>
                <c:pt idx="3398">
                  <c:v>2.4376908483780824E-2</c:v>
                </c:pt>
                <c:pt idx="3399">
                  <c:v>2.4378146381964783E-2</c:v>
                </c:pt>
                <c:pt idx="3400">
                  <c:v>2.4379375042178353E-2</c:v>
                </c:pt>
                <c:pt idx="3401">
                  <c:v>2.4380594464341598E-2</c:v>
                </c:pt>
                <c:pt idx="3402">
                  <c:v>2.4381804648454519E-2</c:v>
                </c:pt>
                <c:pt idx="3403">
                  <c:v>2.4383005594517115E-2</c:v>
                </c:pt>
                <c:pt idx="3404">
                  <c:v>2.4384197302369515E-2</c:v>
                </c:pt>
                <c:pt idx="3405">
                  <c:v>2.4388109696937832E-2</c:v>
                </c:pt>
                <c:pt idx="3406">
                  <c:v>2.4389281187302547E-2</c:v>
                </c:pt>
                <c:pt idx="3407">
                  <c:v>2.4387716998024445E-2</c:v>
                </c:pt>
                <c:pt idx="3408">
                  <c:v>2.4388871753915353E-2</c:v>
                </c:pt>
                <c:pt idx="3409">
                  <c:v>2.4390017271676001E-2</c:v>
                </c:pt>
                <c:pt idx="3410">
                  <c:v>2.4391153551386324E-2</c:v>
                </c:pt>
                <c:pt idx="3411">
                  <c:v>2.4392280593126259E-2</c:v>
                </c:pt>
                <c:pt idx="3412">
                  <c:v>2.4393398396815869E-2</c:v>
                </c:pt>
                <c:pt idx="3413">
                  <c:v>2.439450696253509E-2</c:v>
                </c:pt>
                <c:pt idx="3414">
                  <c:v>2.4395606290044114E-2</c:v>
                </c:pt>
                <c:pt idx="3415">
                  <c:v>2.4396696379502814E-2</c:v>
                </c:pt>
                <c:pt idx="3416">
                  <c:v>2.4397777230911188E-2</c:v>
                </c:pt>
                <c:pt idx="3417">
                  <c:v>2.4398848844509047E-2</c:v>
                </c:pt>
                <c:pt idx="3418">
                  <c:v>2.4399911219816772E-2</c:v>
                </c:pt>
                <c:pt idx="3419">
                  <c:v>2.4400964356994237E-2</c:v>
                </c:pt>
                <c:pt idx="3420">
                  <c:v>2.4405613032710605E-2</c:v>
                </c:pt>
                <c:pt idx="3421">
                  <c:v>2.4403042917677809E-2</c:v>
                </c:pt>
                <c:pt idx="3422">
                  <c:v>2.4404068340864171E-2</c:v>
                </c:pt>
                <c:pt idx="3423">
                  <c:v>2.4405084526000209E-2</c:v>
                </c:pt>
                <c:pt idx="3424">
                  <c:v>2.4406091473325731E-2</c:v>
                </c:pt>
                <c:pt idx="3425">
                  <c:v>2.4407089182361119E-2</c:v>
                </c:pt>
                <c:pt idx="3426">
                  <c:v>2.4408077653266247E-2</c:v>
                </c:pt>
                <c:pt idx="3427">
                  <c:v>2.4409056886280922E-2</c:v>
                </c:pt>
                <c:pt idx="3428">
                  <c:v>2.4410026881245273E-2</c:v>
                </c:pt>
                <c:pt idx="3429">
                  <c:v>2.4410987638159298E-2</c:v>
                </c:pt>
                <c:pt idx="3430">
                  <c:v>2.4411939157022999E-2</c:v>
                </c:pt>
                <c:pt idx="3431">
                  <c:v>2.4412881437836376E-2</c:v>
                </c:pt>
                <c:pt idx="3432">
                  <c:v>2.4413814480679363E-2</c:v>
                </c:pt>
                <c:pt idx="3433">
                  <c:v>2.441473828539209E-2</c:v>
                </c:pt>
                <c:pt idx="3434">
                  <c:v>2.4415652851974556E-2</c:v>
                </c:pt>
                <c:pt idx="3435">
                  <c:v>2.441655818066657E-2</c:v>
                </c:pt>
                <c:pt idx="3436">
                  <c:v>2.4417454271308259E-2</c:v>
                </c:pt>
                <c:pt idx="3437">
                  <c:v>2.4418341123739751E-2</c:v>
                </c:pt>
                <c:pt idx="3438">
                  <c:v>2.4419218738360726E-2</c:v>
                </c:pt>
                <c:pt idx="3439">
                  <c:v>2.4420087114851441E-2</c:v>
                </c:pt>
                <c:pt idx="3440">
                  <c:v>2.4420946253052023E-2</c:v>
                </c:pt>
                <c:pt idx="3441">
                  <c:v>2.4421796153522024E-2</c:v>
                </c:pt>
                <c:pt idx="3442">
                  <c:v>2.4422636815861765E-2</c:v>
                </c:pt>
                <c:pt idx="3443">
                  <c:v>2.4423468240071244E-2</c:v>
                </c:pt>
                <c:pt idx="3444">
                  <c:v>2.4424290426310336E-2</c:v>
                </c:pt>
                <c:pt idx="3445">
                  <c:v>2.4425103374499102E-2</c:v>
                </c:pt>
                <c:pt idx="3446">
                  <c:v>2.442590708471748E-2</c:v>
                </c:pt>
                <c:pt idx="3447">
                  <c:v>2.4426701556805597E-2</c:v>
                </c:pt>
                <c:pt idx="3448">
                  <c:v>2.4427486790763453E-2</c:v>
                </c:pt>
                <c:pt idx="3449">
                  <c:v>2.4428262786830857E-2</c:v>
                </c:pt>
                <c:pt idx="3450">
                  <c:v>2.4429029544767999E-2</c:v>
                </c:pt>
                <c:pt idx="3451">
                  <c:v>2.4429787064574882E-2</c:v>
                </c:pt>
                <c:pt idx="3452">
                  <c:v>2.4430535346411375E-2</c:v>
                </c:pt>
                <c:pt idx="3453">
                  <c:v>2.443127439027748E-2</c:v>
                </c:pt>
                <c:pt idx="3454">
                  <c:v>2.443200419609326E-2</c:v>
                </c:pt>
                <c:pt idx="3455">
                  <c:v>2.4432724763618907E-2</c:v>
                </c:pt>
                <c:pt idx="3456">
                  <c:v>2.443343609349391E-2</c:v>
                </c:pt>
                <c:pt idx="3457">
                  <c:v>2.4434138185238652E-2</c:v>
                </c:pt>
                <c:pt idx="3458">
                  <c:v>2.4434831038613325E-2</c:v>
                </c:pt>
                <c:pt idx="3459">
                  <c:v>2.4435514654177481E-2</c:v>
                </c:pt>
                <c:pt idx="3460">
                  <c:v>2.4436189031771249E-2</c:v>
                </c:pt>
                <c:pt idx="3461">
                  <c:v>2.4436854171074884E-2</c:v>
                </c:pt>
                <c:pt idx="3462">
                  <c:v>2.4437510072488067E-2</c:v>
                </c:pt>
                <c:pt idx="3463">
                  <c:v>2.4438156735850924E-2</c:v>
                </c:pt>
                <c:pt idx="3464">
                  <c:v>2.4438794161163457E-2</c:v>
                </c:pt>
                <c:pt idx="3465">
                  <c:v>2.4439422348425666E-2</c:v>
                </c:pt>
                <c:pt idx="3466">
                  <c:v>2.4440041297557613E-2</c:v>
                </c:pt>
                <c:pt idx="3467">
                  <c:v>2.444065100895898E-2</c:v>
                </c:pt>
                <c:pt idx="3468">
                  <c:v>2.4441251481910342E-2</c:v>
                </c:pt>
                <c:pt idx="3469">
                  <c:v>2.4441842716971252E-2</c:v>
                </c:pt>
                <c:pt idx="3470">
                  <c:v>2.4445908450960729E-2</c:v>
                </c:pt>
                <c:pt idx="3471">
                  <c:v>2.4442997473022032E-2</c:v>
                </c:pt>
                <c:pt idx="3472">
                  <c:v>2.4443560994011904E-2</c:v>
                </c:pt>
                <c:pt idx="3473">
                  <c:v>2.4444115276711642E-2</c:v>
                </c:pt>
                <c:pt idx="3474">
                  <c:v>2.4444660321600864E-2</c:v>
                </c:pt>
                <c:pt idx="3475">
                  <c:v>2.4445196128439761E-2</c:v>
                </c:pt>
                <c:pt idx="3476">
                  <c:v>2.4445722697148398E-2</c:v>
                </c:pt>
                <c:pt idx="3477">
                  <c:v>2.4446240027886645E-2</c:v>
                </c:pt>
                <c:pt idx="3478">
                  <c:v>2.4446748120574568E-2</c:v>
                </c:pt>
                <c:pt idx="3479">
                  <c:v>2.4447246975132231E-2</c:v>
                </c:pt>
                <c:pt idx="3480">
                  <c:v>2.4447736591719504E-2</c:v>
                </c:pt>
                <c:pt idx="3481">
                  <c:v>2.4448216970176517E-2</c:v>
                </c:pt>
                <c:pt idx="3482">
                  <c:v>2.4448688110663142E-2</c:v>
                </c:pt>
                <c:pt idx="3483">
                  <c:v>2.4449150013019505E-2</c:v>
                </c:pt>
                <c:pt idx="3484">
                  <c:v>2.4449602677325544E-2</c:v>
                </c:pt>
                <c:pt idx="3485">
                  <c:v>2.4450046103661194E-2</c:v>
                </c:pt>
                <c:pt idx="3486">
                  <c:v>2.4450480292026455E-2</c:v>
                </c:pt>
                <c:pt idx="3487">
                  <c:v>2.445090524218152E-2</c:v>
                </c:pt>
                <c:pt idx="3488">
                  <c:v>2.445132095428626E-2</c:v>
                </c:pt>
                <c:pt idx="3489">
                  <c:v>2.4451727428500547E-2</c:v>
                </c:pt>
                <c:pt idx="3490">
                  <c:v>2.4452124664584574E-2</c:v>
                </c:pt>
                <c:pt idx="3491">
                  <c:v>2.4452512662538339E-2</c:v>
                </c:pt>
                <c:pt idx="3492">
                  <c:v>2.445289142244178E-2</c:v>
                </c:pt>
                <c:pt idx="3493">
                  <c:v>2.4453260944534705E-2</c:v>
                </c:pt>
                <c:pt idx="3494">
                  <c:v>2.4453621228337497E-2</c:v>
                </c:pt>
                <c:pt idx="3495">
                  <c:v>2.4453972274089963E-2</c:v>
                </c:pt>
                <c:pt idx="3496">
                  <c:v>2.4454314082031914E-2</c:v>
                </c:pt>
                <c:pt idx="3497">
                  <c:v>2.4454646651763667E-2</c:v>
                </c:pt>
                <c:pt idx="3498">
                  <c:v>2.445496998336516E-2</c:v>
                </c:pt>
                <c:pt idx="3499">
                  <c:v>2.4455284076996264E-2</c:v>
                </c:pt>
                <c:pt idx="3500">
                  <c:v>2.4455588932577044E-2</c:v>
                </c:pt>
                <c:pt idx="3501">
                  <c:v>2.4455884550187434E-2</c:v>
                </c:pt>
                <c:pt idx="3502">
                  <c:v>2.4456170929667564E-2</c:v>
                </c:pt>
                <c:pt idx="3503">
                  <c:v>2.445644807109737E-2</c:v>
                </c:pt>
                <c:pt idx="3504">
                  <c:v>2.4456715974556786E-2</c:v>
                </c:pt>
                <c:pt idx="3505">
                  <c:v>2.4456974639885942E-2</c:v>
                </c:pt>
                <c:pt idx="3506">
                  <c:v>2.4457224067164773E-2</c:v>
                </c:pt>
                <c:pt idx="3507">
                  <c:v>2.4457464256473216E-2</c:v>
                </c:pt>
                <c:pt idx="3508">
                  <c:v>2.4457695207651398E-2</c:v>
                </c:pt>
                <c:pt idx="3509">
                  <c:v>2.4457916920779255E-2</c:v>
                </c:pt>
                <c:pt idx="3510">
                  <c:v>2.4460695551524747E-2</c:v>
                </c:pt>
                <c:pt idx="3511">
                  <c:v>2.4460050680907841E-2</c:v>
                </c:pt>
                <c:pt idx="3512">
                  <c:v>2.4460242066481896E-2</c:v>
                </c:pt>
                <c:pt idx="3513">
                  <c:v>2.4460424212753296E-2</c:v>
                </c:pt>
                <c:pt idx="3514">
                  <c:v>2.4460597119695393E-2</c:v>
                </c:pt>
                <c:pt idx="3515">
                  <c:v>2.446076078741477E-2</c:v>
                </c:pt>
                <c:pt idx="3516">
                  <c:v>2.4460915215778201E-2</c:v>
                </c:pt>
                <c:pt idx="3517">
                  <c:v>2.4461060404812329E-2</c:v>
                </c:pt>
                <c:pt idx="3518">
                  <c:v>2.4461196354570447E-2</c:v>
                </c:pt>
                <c:pt idx="3519">
                  <c:v>2.4461323065025908E-2</c:v>
                </c:pt>
                <c:pt idx="3520">
                  <c:v>2.4461440536178714E-2</c:v>
                </c:pt>
                <c:pt idx="3521">
                  <c:v>2.4461548768002217E-2</c:v>
                </c:pt>
                <c:pt idx="3522">
                  <c:v>2.4461647760523064E-2</c:v>
                </c:pt>
                <c:pt idx="3523">
                  <c:v>2.4461737513794546E-2</c:v>
                </c:pt>
                <c:pt idx="3524">
                  <c:v>2.4461818027736726E-2</c:v>
                </c:pt>
                <c:pt idx="3525">
                  <c:v>2.446025508971772E-2</c:v>
                </c:pt>
                <c:pt idx="3526">
                  <c:v>2.4461951337659826E-2</c:v>
                </c:pt>
                <c:pt idx="3527">
                  <c:v>2.4462004133720683E-2</c:v>
                </c:pt>
                <c:pt idx="3528">
                  <c:v>2.4462047690425592E-2</c:v>
                </c:pt>
                <c:pt idx="3529">
                  <c:v>2.4462082007827846E-2</c:v>
                </c:pt>
                <c:pt idx="3530">
                  <c:v>2.4462107085954088E-2</c:v>
                </c:pt>
                <c:pt idx="3531">
                  <c:v>2.4462122924751029E-2</c:v>
                </c:pt>
                <c:pt idx="3532">
                  <c:v>2.4462129524218668E-2</c:v>
                </c:pt>
                <c:pt idx="3533">
                  <c:v>0</c:v>
                </c:pt>
              </c:numCache>
            </c:numRef>
          </c:val>
          <c:smooth val="0"/>
        </c:ser>
        <c:dLbls>
          <c:showLegendKey val="0"/>
          <c:showVal val="0"/>
          <c:showCatName val="0"/>
          <c:showSerName val="0"/>
          <c:showPercent val="0"/>
          <c:showBubbleSize val="0"/>
        </c:dLbls>
        <c:marker val="1"/>
        <c:smooth val="0"/>
        <c:axId val="358320768"/>
        <c:axId val="358339328"/>
      </c:lineChart>
      <c:dateAx>
        <c:axId val="358320768"/>
        <c:scaling>
          <c:orientation val="minMax"/>
          <c:max val="42460"/>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8339328"/>
        <c:crosses val="autoZero"/>
        <c:auto val="1"/>
        <c:lblOffset val="100"/>
        <c:baseTimeUnit val="days"/>
        <c:majorUnit val="3"/>
        <c:majorTimeUnit val="months"/>
      </c:dateAx>
      <c:valAx>
        <c:axId val="358339328"/>
        <c:scaling>
          <c:orientation val="minMax"/>
          <c:max val="8.0000000000000002E-3"/>
          <c:min val="0"/>
        </c:scaling>
        <c:delete val="0"/>
        <c:axPos val="l"/>
        <c:majorGridlines/>
        <c:numFmt formatCode="0.00%" sourceLinked="0"/>
        <c:majorTickMark val="out"/>
        <c:minorTickMark val="none"/>
        <c:tickLblPos val="nextTo"/>
        <c:crossAx val="35832076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8"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B$38" lockText="1" noThreeD="1"/>
</file>

<file path=xl/ctrlProps/ctrlProp11.xml><?xml version="1.0" encoding="utf-8"?>
<formControlPr xmlns="http://schemas.microsoft.com/office/spreadsheetml/2009/9/main" objectType="CheckBox" checked="Checked" fmlaLink="$D$3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76199</xdr:colOff>
      <xdr:row>14</xdr:row>
      <xdr:rowOff>76200</xdr:rowOff>
    </xdr:from>
    <xdr:to>
      <xdr:col>7</xdr:col>
      <xdr:colOff>295276</xdr:colOff>
      <xdr:row>35</xdr:row>
      <xdr:rowOff>133350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0</xdr:colOff>
          <xdr:row>18</xdr:row>
          <xdr:rowOff>104775</xdr:rowOff>
        </xdr:from>
        <xdr:to>
          <xdr:col>9</xdr:col>
          <xdr:colOff>514350</xdr:colOff>
          <xdr:row>20</xdr:row>
          <xdr:rowOff>95250</xdr:rowOff>
        </xdr:to>
        <xdr:sp macro="" textlink="">
          <xdr:nvSpPr>
            <xdr:cNvPr id="6145" name="Second Length"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9525</xdr:rowOff>
        </xdr:from>
        <xdr:to>
          <xdr:col>9</xdr:col>
          <xdr:colOff>514350</xdr:colOff>
          <xdr:row>18</xdr:row>
          <xdr:rowOff>0</xdr:rowOff>
        </xdr:to>
        <xdr:sp macro="" textlink="">
          <xdr:nvSpPr>
            <xdr:cNvPr id="6146" name="First Length"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76200</xdr:rowOff>
        </xdr:from>
        <xdr:to>
          <xdr:col>9</xdr:col>
          <xdr:colOff>514350</xdr:colOff>
          <xdr:row>23</xdr:row>
          <xdr:rowOff>66675</xdr:rowOff>
        </xdr:to>
        <xdr:sp macro="" textlink="">
          <xdr:nvSpPr>
            <xdr:cNvPr id="6147" name="Third Length"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109535</xdr:colOff>
      <xdr:row>38</xdr:row>
      <xdr:rowOff>114300</xdr:rowOff>
    </xdr:from>
    <xdr:to>
      <xdr:col>7</xdr:col>
      <xdr:colOff>304800</xdr:colOff>
      <xdr:row>58</xdr:row>
      <xdr:rowOff>9525</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1038225</xdr:colOff>
          <xdr:row>36</xdr:row>
          <xdr:rowOff>47625</xdr:rowOff>
        </xdr:from>
        <xdr:to>
          <xdr:col>6</xdr:col>
          <xdr:colOff>0</xdr:colOff>
          <xdr:row>38</xdr:row>
          <xdr:rowOff>57150</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1</xdr:row>
          <xdr:rowOff>9525</xdr:rowOff>
        </xdr:from>
        <xdr:to>
          <xdr:col>3</xdr:col>
          <xdr:colOff>457200</xdr:colOff>
          <xdr:row>2</xdr:row>
          <xdr:rowOff>142875</xdr:rowOff>
        </xdr:to>
        <xdr:sp macro="" textlink="">
          <xdr:nvSpPr>
            <xdr:cNvPr id="6149" name="Refresh"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57150</xdr:rowOff>
        </xdr:from>
        <xdr:to>
          <xdr:col>9</xdr:col>
          <xdr:colOff>514350</xdr:colOff>
          <xdr:row>26</xdr:row>
          <xdr:rowOff>47625</xdr:rowOff>
        </xdr:to>
        <xdr:sp macro="" textlink="">
          <xdr:nvSpPr>
            <xdr:cNvPr id="6150" name="Fourth Length"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19050</xdr:rowOff>
        </xdr:from>
        <xdr:to>
          <xdr:col>9</xdr:col>
          <xdr:colOff>514350</xdr:colOff>
          <xdr:row>29</xdr:row>
          <xdr:rowOff>9525</xdr:rowOff>
        </xdr:to>
        <xdr:sp macro="" textlink="">
          <xdr:nvSpPr>
            <xdr:cNvPr id="6151" name="Fifth Length"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514350</xdr:colOff>
          <xdr:row>31</xdr:row>
          <xdr:rowOff>133350</xdr:rowOff>
        </xdr:to>
        <xdr:sp macro="" textlink="">
          <xdr:nvSpPr>
            <xdr:cNvPr id="6152" name="Sixth Length"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114300</xdr:rowOff>
        </xdr:from>
        <xdr:to>
          <xdr:col>9</xdr:col>
          <xdr:colOff>514350</xdr:colOff>
          <xdr:row>34</xdr:row>
          <xdr:rowOff>85725</xdr:rowOff>
        </xdr:to>
        <xdr:sp macro="" textlink="">
          <xdr:nvSpPr>
            <xdr:cNvPr id="6153" name="Seventh Length"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36</xdr:row>
          <xdr:rowOff>47625</xdr:rowOff>
        </xdr:from>
        <xdr:to>
          <xdr:col>2</xdr:col>
          <xdr:colOff>542925</xdr:colOff>
          <xdr:row>38</xdr:row>
          <xdr:rowOff>57150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36</xdr:row>
          <xdr:rowOff>47625</xdr:rowOff>
        </xdr:from>
        <xdr:to>
          <xdr:col>4</xdr:col>
          <xdr:colOff>714375</xdr:colOff>
          <xdr:row>38</xdr:row>
          <xdr:rowOff>57150</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204" customWidth="1"/>
    <col min="3" max="3" width="20.28515625" style="204" bestFit="1" customWidth="1"/>
    <col min="4" max="4" width="31.7109375" style="204" bestFit="1" customWidth="1"/>
    <col min="5" max="5" width="22.42578125" style="204" bestFit="1" customWidth="1"/>
    <col min="6" max="7" width="2.7109375" style="204" customWidth="1"/>
    <col min="8" max="8" width="4" style="204" bestFit="1" customWidth="1"/>
    <col min="9" max="9" width="3" style="204" bestFit="1" customWidth="1"/>
    <col min="10" max="11" width="2.7109375" style="204" customWidth="1"/>
    <col min="12" max="12" width="18.5703125" style="204" bestFit="1" customWidth="1"/>
    <col min="13" max="13" width="53.7109375" style="204" bestFit="1" customWidth="1"/>
    <col min="14" max="14" width="2.7109375" style="204" customWidth="1"/>
    <col min="15" max="16384" width="8" style="204"/>
  </cols>
  <sheetData>
    <row r="1" spans="2:14" ht="12" thickBot="1" x14ac:dyDescent="0.25">
      <c r="B1" s="204" t="str">
        <f>_xll.qlxlVersion(TRUE,Trigger)</f>
        <v>QuantLibXL 1.4.0 - MS VC++ 9.0 - Multithreaded Dynamic Runtime library - Release Configuration - Apr 29 2014 14:47:17</v>
      </c>
    </row>
    <row r="2" spans="2:14" ht="16.5" thickBot="1" x14ac:dyDescent="0.3">
      <c r="B2" s="309" t="s">
        <v>123</v>
      </c>
      <c r="C2" s="310"/>
      <c r="D2" s="310"/>
      <c r="E2" s="310"/>
      <c r="F2" s="311"/>
      <c r="K2" s="309" t="s">
        <v>123</v>
      </c>
      <c r="L2" s="310"/>
      <c r="M2" s="310"/>
      <c r="N2" s="312"/>
    </row>
    <row r="3" spans="2:14" ht="12" thickBot="1" x14ac:dyDescent="0.25">
      <c r="B3" s="55"/>
      <c r="C3" s="84"/>
      <c r="D3" s="54"/>
      <c r="E3" s="54"/>
      <c r="F3" s="53"/>
      <c r="K3" s="121"/>
      <c r="L3" s="124"/>
      <c r="M3" s="124"/>
      <c r="N3" s="123"/>
    </row>
    <row r="4" spans="2:14" x14ac:dyDescent="0.2">
      <c r="B4" s="55"/>
      <c r="C4" s="83" t="s">
        <v>105</v>
      </c>
      <c r="D4" s="70" t="s">
        <v>102</v>
      </c>
      <c r="E4" s="54"/>
      <c r="F4" s="53"/>
      <c r="H4" s="206" t="s">
        <v>104</v>
      </c>
      <c r="I4" s="207"/>
      <c r="K4" s="121"/>
      <c r="L4" s="120" t="s">
        <v>122</v>
      </c>
      <c r="M4" s="114" t="b">
        <v>0</v>
      </c>
      <c r="N4" s="119"/>
    </row>
    <row r="5" spans="2:14" x14ac:dyDescent="0.2">
      <c r="B5" s="55"/>
      <c r="C5" s="82" t="s">
        <v>103</v>
      </c>
      <c r="D5" s="56">
        <v>3</v>
      </c>
      <c r="E5" s="54"/>
      <c r="F5" s="53"/>
      <c r="H5" s="208" t="s">
        <v>102</v>
      </c>
      <c r="I5" s="209" t="s">
        <v>101</v>
      </c>
      <c r="K5" s="121"/>
      <c r="L5" s="120" t="s">
        <v>121</v>
      </c>
      <c r="M5" s="122"/>
      <c r="N5" s="119"/>
    </row>
    <row r="6" spans="2:14" x14ac:dyDescent="0.2">
      <c r="B6" s="55"/>
      <c r="C6" s="82" t="s">
        <v>100</v>
      </c>
      <c r="D6" s="56" t="str">
        <f>_xll.qlPeriodEquivalent(D5&amp;"M")</f>
        <v>3M</v>
      </c>
      <c r="E6" s="54"/>
      <c r="F6" s="53"/>
      <c r="H6" s="208" t="s">
        <v>99</v>
      </c>
      <c r="I6" s="209"/>
      <c r="K6" s="121"/>
      <c r="L6" s="120" t="s">
        <v>120</v>
      </c>
      <c r="M6" s="111" t="b">
        <v>1</v>
      </c>
      <c r="N6" s="119"/>
    </row>
    <row r="7" spans="2:14" ht="12" thickBot="1" x14ac:dyDescent="0.25">
      <c r="B7" s="55"/>
      <c r="C7" s="82" t="s">
        <v>98</v>
      </c>
      <c r="D7" s="56" t="str">
        <f>Months&amp;IF(UPPER(Currency)="EUR","E","L")</f>
        <v>3E</v>
      </c>
      <c r="E7" s="54"/>
      <c r="F7" s="53"/>
      <c r="H7" s="208" t="s">
        <v>97</v>
      </c>
      <c r="I7" s="209"/>
      <c r="K7" s="118"/>
      <c r="L7" s="117"/>
      <c r="M7" s="117"/>
      <c r="N7" s="116"/>
    </row>
    <row r="8" spans="2:14" ht="12" thickBot="1" x14ac:dyDescent="0.25">
      <c r="B8" s="55"/>
      <c r="C8" s="82" t="s">
        <v>96</v>
      </c>
      <c r="D8" s="56" t="str">
        <f>VLOOKUP(Currency,H4:I8,2)</f>
        <v>AB</v>
      </c>
      <c r="E8" s="54"/>
      <c r="F8" s="53"/>
      <c r="H8" s="210" t="s">
        <v>95</v>
      </c>
      <c r="I8" s="211" t="s">
        <v>94</v>
      </c>
      <c r="K8" s="205"/>
      <c r="L8" s="205"/>
      <c r="M8" s="205"/>
      <c r="N8" s="205"/>
    </row>
    <row r="9" spans="2:14" ht="16.5" thickBot="1" x14ac:dyDescent="0.3">
      <c r="B9" s="55"/>
      <c r="C9" s="82" t="s">
        <v>93</v>
      </c>
      <c r="D9" s="56" t="str">
        <f>Currency&amp;"_YC"&amp;IndexTenor&amp;"RH"</f>
        <v>EUR_YC3MRH</v>
      </c>
      <c r="E9" s="54"/>
      <c r="F9" s="53"/>
      <c r="K9" s="309" t="s">
        <v>119</v>
      </c>
      <c r="L9" s="310"/>
      <c r="M9" s="310"/>
      <c r="N9" s="312"/>
    </row>
    <row r="10" spans="2:14" ht="12.75" x14ac:dyDescent="0.2">
      <c r="B10" s="55"/>
      <c r="C10" s="81" t="s">
        <v>92</v>
      </c>
      <c r="D10" s="56" t="b">
        <v>1</v>
      </c>
      <c r="E10" s="54"/>
      <c r="F10" s="53"/>
      <c r="K10" s="113"/>
      <c r="L10" s="115"/>
      <c r="M10" s="115"/>
      <c r="N10" s="110"/>
    </row>
    <row r="11" spans="2:14" ht="12.75" x14ac:dyDescent="0.2">
      <c r="B11" s="55"/>
      <c r="C11" s="81" t="s">
        <v>91</v>
      </c>
      <c r="D11" s="80">
        <v>41788.368692129632</v>
      </c>
      <c r="E11" s="54"/>
      <c r="F11" s="53"/>
      <c r="K11" s="113"/>
      <c r="L11" s="112" t="s">
        <v>118</v>
      </c>
      <c r="M11" s="114" t="s">
        <v>117</v>
      </c>
      <c r="N11" s="110"/>
    </row>
    <row r="12" spans="2:14" ht="12.75" x14ac:dyDescent="0.2">
      <c r="B12" s="55"/>
      <c r="C12" s="79" t="s">
        <v>90</v>
      </c>
      <c r="D12" s="78" t="b">
        <v>0</v>
      </c>
      <c r="E12" s="54"/>
      <c r="F12" s="53"/>
      <c r="K12" s="113"/>
      <c r="L12" s="112" t="s">
        <v>116</v>
      </c>
      <c r="M12" s="111" t="s">
        <v>115</v>
      </c>
      <c r="N12" s="110"/>
    </row>
    <row r="13" spans="2:14" ht="12.75" x14ac:dyDescent="0.2">
      <c r="B13" s="55"/>
      <c r="C13" s="60"/>
      <c r="D13" s="60"/>
      <c r="E13" s="54"/>
      <c r="F13" s="53"/>
      <c r="K13" s="113"/>
      <c r="L13" s="112" t="s">
        <v>147</v>
      </c>
      <c r="M13" s="114" t="s">
        <v>146</v>
      </c>
      <c r="N13" s="110"/>
    </row>
    <row r="14" spans="2:14" ht="12.75" x14ac:dyDescent="0.2">
      <c r="B14" s="55"/>
      <c r="C14" s="75" t="s">
        <v>89</v>
      </c>
      <c r="D14" s="77" t="str">
        <f>_xll.qlPiecewiseYieldCurve(D16,NDays,Calendar,RateHelpersSelected,DayCounter,,,Accuracy,TraitsID,InterpolatorID,Permanent,,ObjectOverwrite)</f>
        <v>_EURYC3M#0001</v>
      </c>
      <c r="E14" s="54"/>
      <c r="F14" s="53"/>
      <c r="K14" s="113"/>
      <c r="L14" s="112" t="s">
        <v>145</v>
      </c>
      <c r="M14" s="114" t="s">
        <v>133</v>
      </c>
      <c r="N14" s="110"/>
    </row>
    <row r="15" spans="2:14" ht="12.75" x14ac:dyDescent="0.2">
      <c r="B15" s="55"/>
      <c r="C15" s="62" t="s">
        <v>0</v>
      </c>
      <c r="D15" s="76" t="str">
        <f>_xll.ohRangeRetrieveError(YieldCurve)</f>
        <v/>
      </c>
      <c r="E15" s="54"/>
      <c r="F15" s="53"/>
      <c r="K15" s="113"/>
      <c r="L15" s="112" t="s">
        <v>144</v>
      </c>
      <c r="M15" s="114" t="str">
        <f>PROPER(Currency)&amp;"ON"</f>
        <v>EurON</v>
      </c>
      <c r="N15" s="110"/>
    </row>
    <row r="16" spans="2:14" ht="13.5" thickBot="1" x14ac:dyDescent="0.25">
      <c r="B16" s="55"/>
      <c r="C16" s="75" t="s">
        <v>88</v>
      </c>
      <c r="D16" s="74" t="str">
        <f>"_"&amp;Currency&amp;"YC"&amp;IndexTenor</f>
        <v>_EURYC3M</v>
      </c>
      <c r="E16" s="54"/>
      <c r="F16" s="53"/>
      <c r="K16" s="109"/>
      <c r="L16" s="108"/>
      <c r="M16" s="108"/>
      <c r="N16" s="107"/>
    </row>
    <row r="17" spans="2:6" x14ac:dyDescent="0.2">
      <c r="B17" s="55"/>
      <c r="C17" s="64" t="s">
        <v>87</v>
      </c>
      <c r="D17" s="73">
        <v>2</v>
      </c>
      <c r="E17" s="54"/>
      <c r="F17" s="53"/>
    </row>
    <row r="18" spans="2:6" x14ac:dyDescent="0.2">
      <c r="B18" s="55"/>
      <c r="C18" s="64" t="s">
        <v>86</v>
      </c>
      <c r="D18" s="72" t="s">
        <v>85</v>
      </c>
      <c r="E18" s="54"/>
      <c r="F18" s="53"/>
    </row>
    <row r="19" spans="2:6" x14ac:dyDescent="0.2">
      <c r="B19" s="55"/>
      <c r="C19" s="64" t="s">
        <v>84</v>
      </c>
      <c r="D19" s="72"/>
      <c r="E19" s="54"/>
      <c r="F19" s="53"/>
    </row>
    <row r="20" spans="2:6" x14ac:dyDescent="0.2">
      <c r="B20" s="55"/>
      <c r="C20" s="64" t="s">
        <v>83</v>
      </c>
      <c r="D20" s="71" t="str">
        <f>Currency&amp;"TOY_SYNTH"&amp;IndexTenor&amp;"_Quote"</f>
        <v>EURTOY_SYNTH3M_Quote</v>
      </c>
      <c r="E20" s="70" t="str">
        <f>Currency&amp;"TOY2_SYNTH"&amp;IndexTenor&amp;"_Quote"</f>
        <v>EURTOY2_SYNTH3M_Quote</v>
      </c>
      <c r="F20" s="53"/>
    </row>
    <row r="21" spans="2:6" x14ac:dyDescent="0.2">
      <c r="B21" s="55"/>
      <c r="C21" s="64" t="s">
        <v>82</v>
      </c>
      <c r="D21" s="69">
        <f>DATE(YEAR(_xll.qlCalendarAdvance(Calendar,_xll.qlSettingsEvaluationDate(Trigger),NDays&amp;"D")),12,31)</f>
        <v>42004</v>
      </c>
      <c r="E21" s="68">
        <f>DATE(YEAR(D21+1),12,31)</f>
        <v>42369</v>
      </c>
      <c r="F21" s="53"/>
    </row>
    <row r="22" spans="2:6" x14ac:dyDescent="0.2">
      <c r="B22" s="55"/>
      <c r="C22" s="64" t="s">
        <v>81</v>
      </c>
      <c r="D22" s="67"/>
      <c r="E22" s="66"/>
      <c r="F22" s="53"/>
    </row>
    <row r="23" spans="2:6" x14ac:dyDescent="0.2">
      <c r="B23" s="55"/>
      <c r="C23" s="64" t="s">
        <v>80</v>
      </c>
      <c r="D23" s="65" t="e">
        <f>NA()</f>
        <v>#N/A</v>
      </c>
      <c r="E23" s="54"/>
      <c r="F23" s="53"/>
    </row>
    <row r="24" spans="2:6" x14ac:dyDescent="0.2">
      <c r="B24" s="55"/>
      <c r="C24" s="64" t="s">
        <v>79</v>
      </c>
      <c r="D24" s="63" t="s">
        <v>78</v>
      </c>
      <c r="E24" s="54"/>
      <c r="F24" s="53"/>
    </row>
    <row r="25" spans="2:6" x14ac:dyDescent="0.2">
      <c r="B25" s="55"/>
      <c r="C25" s="62" t="s">
        <v>77</v>
      </c>
      <c r="D25" s="61" t="s">
        <v>76</v>
      </c>
      <c r="E25" s="54"/>
      <c r="F25" s="53"/>
    </row>
    <row r="26" spans="2:6" x14ac:dyDescent="0.2">
      <c r="B26" s="55"/>
      <c r="C26" s="60"/>
      <c r="D26" s="60"/>
      <c r="E26" s="54"/>
      <c r="F26" s="53"/>
    </row>
    <row r="27" spans="2:6" x14ac:dyDescent="0.2">
      <c r="B27" s="55"/>
      <c r="C27" s="59">
        <f>_xll.qlTermStructureReferenceDate(YieldCurve)</f>
        <v>41792</v>
      </c>
      <c r="D27" s="58">
        <f>MAX(_xll.ohPack(Selected!I1:I126))</f>
        <v>1</v>
      </c>
      <c r="E27" s="54"/>
      <c r="F27" s="53"/>
    </row>
    <row r="28" spans="2:6" x14ac:dyDescent="0.2">
      <c r="B28" s="55"/>
      <c r="C28" s="57">
        <f>MAX(_xll.ohPack(Selected!H2:H126))</f>
        <v>63709</v>
      </c>
      <c r="D28" s="56">
        <f>MIN(_xll.ohPack(Selected!I1:I126))</f>
        <v>0.24508483248727955</v>
      </c>
      <c r="E28" s="54"/>
      <c r="F28" s="53"/>
    </row>
    <row r="29" spans="2:6" x14ac:dyDescent="0.2">
      <c r="B29" s="55"/>
      <c r="C29" s="215" t="s">
        <v>0</v>
      </c>
      <c r="D29" s="217" t="str">
        <f>_xll.ohRangeRetrieveError(Selected!I1)</f>
        <v/>
      </c>
      <c r="E29" s="54"/>
      <c r="F29" s="53"/>
    </row>
    <row r="30" spans="2:6" ht="11.25" customHeight="1" x14ac:dyDescent="0.2">
      <c r="B30" s="55"/>
      <c r="C30" s="215" t="s">
        <v>150</v>
      </c>
      <c r="D30" s="287" t="b">
        <f>_xll.qlRelinkableHandleLinkTo(C30,YieldCurve)</f>
        <v>1</v>
      </c>
      <c r="E30" s="54"/>
      <c r="F30" s="53"/>
    </row>
    <row r="31" spans="2:6" x14ac:dyDescent="0.2">
      <c r="B31" s="55"/>
      <c r="C31" s="214" t="s">
        <v>181</v>
      </c>
      <c r="D31" s="216" t="b">
        <v>0</v>
      </c>
      <c r="E31" s="54"/>
      <c r="F31" s="53"/>
    </row>
    <row r="32" spans="2:6" ht="12" thickBot="1" x14ac:dyDescent="0.25">
      <c r="B32" s="52"/>
      <c r="C32" s="213"/>
      <c r="D32" s="213"/>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63"/>
  <sheetViews>
    <sheetView topLeftCell="E1" workbookViewId="0">
      <selection activeCell="E1" sqref="E1"/>
    </sheetView>
  </sheetViews>
  <sheetFormatPr defaultRowHeight="11.25" outlineLevelCol="1" x14ac:dyDescent="0.2"/>
  <cols>
    <col min="1" max="1" width="14.85546875" style="1" hidden="1" customWidth="1"/>
    <col min="2" max="3" width="0.140625" style="2" hidden="1" customWidth="1"/>
    <col min="4" max="4" width="10.28515625" style="2" hidden="1" customWidth="1"/>
    <col min="5" max="5" width="29.7109375" style="2" bestFit="1" customWidth="1"/>
    <col min="6" max="6" width="9" style="2" bestFit="1" customWidth="1"/>
    <col min="7" max="7" width="11.140625" style="2" customWidth="1"/>
    <col min="8" max="8" width="8.5703125" style="2" customWidth="1"/>
    <col min="9" max="9" width="9" style="2" bestFit="1" customWidth="1"/>
    <col min="10" max="10" width="9.42578125" style="2" customWidth="1"/>
    <col min="11" max="12" width="17.28515625" style="2" bestFit="1" customWidth="1"/>
    <col min="13" max="13" width="9" style="1" bestFit="1" customWidth="1"/>
    <col min="14" max="14" width="19.28515625" style="1" bestFit="1" customWidth="1"/>
    <col min="15" max="16" width="6" style="1" hidden="1" customWidth="1" outlineLevel="1"/>
    <col min="17" max="17" width="7" style="1" hidden="1" customWidth="1" outlineLevel="1"/>
    <col min="18" max="18" width="16.140625" style="1" bestFit="1" customWidth="1" collapsed="1"/>
    <col min="19" max="19" width="6" style="1" bestFit="1" customWidth="1"/>
    <col min="20" max="16384" width="9.140625" style="1"/>
  </cols>
  <sheetData>
    <row r="1" spans="2:15" ht="22.5" x14ac:dyDescent="0.2">
      <c r="B1" s="313" t="s">
        <v>75</v>
      </c>
      <c r="C1" s="314"/>
      <c r="D1" s="315"/>
      <c r="E1" s="49" t="s">
        <v>74</v>
      </c>
      <c r="F1" s="49" t="s">
        <v>73</v>
      </c>
      <c r="G1" s="49" t="s">
        <v>72</v>
      </c>
      <c r="H1" s="49" t="s">
        <v>71</v>
      </c>
      <c r="I1" s="49" t="s">
        <v>70</v>
      </c>
      <c r="J1" s="49" t="s">
        <v>69</v>
      </c>
      <c r="K1" s="49" t="s">
        <v>7</v>
      </c>
      <c r="L1" s="49" t="s">
        <v>6</v>
      </c>
    </row>
    <row r="2" spans="2:15" x14ac:dyDescent="0.2">
      <c r="B2" s="48"/>
      <c r="C2" s="35"/>
      <c r="D2" s="34" t="s">
        <v>68</v>
      </c>
      <c r="E2" s="34" t="str">
        <f>Deposits_3M!K3</f>
        <v>EUR_YC3MRH_SND#0001</v>
      </c>
      <c r="F2" s="33">
        <f>_xll.qlRateHelperQuoteValue($E2,Trigger)</f>
        <v>5.7320000000000001E-3</v>
      </c>
      <c r="G2" s="33"/>
      <c r="H2" s="32" t="b">
        <v>0</v>
      </c>
      <c r="I2" s="32">
        <v>10</v>
      </c>
      <c r="J2" s="32">
        <v>1</v>
      </c>
      <c r="K2" s="31">
        <f>_xll.qlRateHelperEarliestDate($E2,Trigger)</f>
        <v>41792</v>
      </c>
      <c r="L2" s="30">
        <f>_xll.qlRateHelperLatestDate($E2,Trigger)</f>
        <v>41793</v>
      </c>
      <c r="M2" s="1">
        <v>30</v>
      </c>
      <c r="N2" s="1" t="s">
        <v>67</v>
      </c>
    </row>
    <row r="3" spans="2:15" x14ac:dyDescent="0.2">
      <c r="B3" s="48"/>
      <c r="C3" s="35"/>
      <c r="D3" s="34" t="s">
        <v>66</v>
      </c>
      <c r="E3" s="34" t="str">
        <f>Deposits_3M!K4</f>
        <v>EUR_YC3MRH_SWD#0001</v>
      </c>
      <c r="F3" s="33">
        <f>_xll.qlRateHelperQuoteValue($E3,Trigger)</f>
        <v>5.326E-3</v>
      </c>
      <c r="G3" s="33"/>
      <c r="H3" s="32" t="b">
        <v>0</v>
      </c>
      <c r="I3" s="32">
        <v>10</v>
      </c>
      <c r="J3" s="32">
        <v>1</v>
      </c>
      <c r="K3" s="31">
        <f>_xll.qlRateHelperEarliestDate($E3,Trigger)</f>
        <v>41792</v>
      </c>
      <c r="L3" s="30">
        <f>_xll.qlRateHelperLatestDate($E3,Trigger)</f>
        <v>41799</v>
      </c>
      <c r="M3" s="1">
        <v>40</v>
      </c>
      <c r="N3" s="1" t="s">
        <v>65</v>
      </c>
    </row>
    <row r="4" spans="2:15" x14ac:dyDescent="0.2">
      <c r="B4" s="48"/>
      <c r="C4" s="35"/>
      <c r="D4" s="34" t="s">
        <v>64</v>
      </c>
      <c r="E4" s="34" t="str">
        <f>Deposits_3M!K5</f>
        <v>EUR_YC3MRH_2WD#0001</v>
      </c>
      <c r="F4" s="33">
        <f>_xll.qlRateHelperQuoteValue($E4,Trigger)</f>
        <v>4.8650000000000004E-3</v>
      </c>
      <c r="G4" s="33"/>
      <c r="H4" s="32" t="b">
        <v>1</v>
      </c>
      <c r="I4" s="32">
        <v>10</v>
      </c>
      <c r="J4" s="32">
        <v>1</v>
      </c>
      <c r="K4" s="31">
        <f>_xll.qlRateHelperEarliestDate($E4,Trigger)</f>
        <v>41792</v>
      </c>
      <c r="L4" s="30">
        <f>_xll.qlRateHelperLatestDate($E4,Trigger)</f>
        <v>41806</v>
      </c>
      <c r="M4" s="1">
        <v>50</v>
      </c>
      <c r="N4" s="1" t="s">
        <v>63</v>
      </c>
    </row>
    <row r="5" spans="2:15" x14ac:dyDescent="0.2">
      <c r="B5" s="48"/>
      <c r="C5" s="35"/>
      <c r="D5" s="34" t="s">
        <v>62</v>
      </c>
      <c r="E5" s="34" t="str">
        <f>Deposits_3M!K6</f>
        <v>EUR_YC3MRH_3WD#0001</v>
      </c>
      <c r="F5" s="33">
        <f>_xll.qlRateHelperQuoteValue($E5,Trigger)</f>
        <v>4.3829999999999997E-3</v>
      </c>
      <c r="G5" s="33"/>
      <c r="H5" s="32" t="b">
        <v>1</v>
      </c>
      <c r="I5" s="32">
        <v>10</v>
      </c>
      <c r="J5" s="32">
        <v>1</v>
      </c>
      <c r="K5" s="31">
        <f>_xll.qlRateHelperEarliestDate($E5,Trigger)</f>
        <v>41792</v>
      </c>
      <c r="L5" s="30">
        <f>_xll.qlRateHelperLatestDate($E5,Trigger)</f>
        <v>41813</v>
      </c>
      <c r="M5" s="1">
        <v>60</v>
      </c>
      <c r="N5" s="1" t="s">
        <v>61</v>
      </c>
    </row>
    <row r="6" spans="2:15" x14ac:dyDescent="0.2">
      <c r="B6" s="48"/>
      <c r="C6" s="35"/>
      <c r="D6" s="34" t="s">
        <v>60</v>
      </c>
      <c r="E6" s="34" t="str">
        <f>Deposits_3M!K7</f>
        <v>EUR_YC3MRH_1MD#0001</v>
      </c>
      <c r="F6" s="33">
        <f>_xll.qlRateHelperQuoteValue($E6,Trigger)</f>
        <v>4.0080000000000003E-3</v>
      </c>
      <c r="G6" s="33"/>
      <c r="H6" s="32" t="b">
        <v>1</v>
      </c>
      <c r="I6" s="32">
        <v>10</v>
      </c>
      <c r="J6" s="32">
        <v>1</v>
      </c>
      <c r="K6" s="31">
        <f>_xll.qlRateHelperEarliestDate($E6,Trigger)</f>
        <v>41792</v>
      </c>
      <c r="L6" s="30">
        <f>_xll.qlRateHelperLatestDate($E6,Trigger)</f>
        <v>41822</v>
      </c>
      <c r="M6" s="1">
        <v>70</v>
      </c>
      <c r="N6" s="1" t="s">
        <v>59</v>
      </c>
    </row>
    <row r="7" spans="2:15" x14ac:dyDescent="0.2">
      <c r="B7" s="48"/>
      <c r="C7" s="35"/>
      <c r="D7" s="34" t="s">
        <v>58</v>
      </c>
      <c r="E7" s="34" t="str">
        <f>Deposits_3M!K8</f>
        <v>EUR_YC3MRH_2MD#0001</v>
      </c>
      <c r="F7" s="33">
        <f>_xll.qlRateHelperQuoteValue($E7,Trigger)</f>
        <v>3.506E-3</v>
      </c>
      <c r="G7" s="33"/>
      <c r="H7" s="32" t="b">
        <v>1</v>
      </c>
      <c r="I7" s="32">
        <v>10</v>
      </c>
      <c r="J7" s="32">
        <v>1</v>
      </c>
      <c r="K7" s="31">
        <f>_xll.qlRateHelperEarliestDate($E7,Trigger)</f>
        <v>41792</v>
      </c>
      <c r="L7" s="30">
        <f>_xll.qlRateHelperLatestDate($E7,Trigger)</f>
        <v>41855</v>
      </c>
    </row>
    <row r="8" spans="2:15" x14ac:dyDescent="0.2">
      <c r="B8" s="48"/>
      <c r="C8" s="35"/>
      <c r="D8" s="34" t="s">
        <v>57</v>
      </c>
      <c r="E8" s="34" t="str">
        <f>Deposits_3M!K9</f>
        <v>EUR_YC3MRH_3MD#0001</v>
      </c>
      <c r="F8" s="33">
        <f>_xll.qlRateHelperQuoteValue($E8,Trigger)</f>
        <v>3.1310000000000001E-3</v>
      </c>
      <c r="G8" s="33"/>
      <c r="H8" s="32" t="b">
        <v>0</v>
      </c>
      <c r="I8" s="32">
        <v>10</v>
      </c>
      <c r="J8" s="32">
        <v>1</v>
      </c>
      <c r="K8" s="31">
        <f>_xll.qlRateHelperEarliestDate($E8,Trigger)</f>
        <v>41792</v>
      </c>
      <c r="L8" s="30">
        <f>_xll.qlRateHelperLatestDate($E8,Trigger)</f>
        <v>41884</v>
      </c>
    </row>
    <row r="9" spans="2:15" x14ac:dyDescent="0.2">
      <c r="B9" s="44" t="s">
        <v>56</v>
      </c>
      <c r="C9" s="43">
        <f>Months</f>
        <v>3</v>
      </c>
      <c r="D9" s="42" t="s">
        <v>54</v>
      </c>
      <c r="E9" s="42" t="str">
        <f>FRAs_3M!H3</f>
        <v>EUR_YC3MRH_T3F1#0001</v>
      </c>
      <c r="F9" s="41" t="e">
        <f>_xll.qlRateHelperQuoteValue($E9,Trigger)</f>
        <v>#NUM!</v>
      </c>
      <c r="G9" s="41"/>
      <c r="H9" s="40" t="b">
        <v>0</v>
      </c>
      <c r="I9" s="40">
        <v>20</v>
      </c>
      <c r="J9" s="40">
        <v>1</v>
      </c>
      <c r="K9" s="39">
        <f>_xll.qlRateHelperEarliestDate($E9,Trigger)</f>
        <v>41792</v>
      </c>
      <c r="L9" s="38">
        <f>_xll.qlRateHelperLatestDate($E9,Trigger)</f>
        <v>41884</v>
      </c>
    </row>
    <row r="10" spans="2:15" x14ac:dyDescent="0.2">
      <c r="B10" s="29" t="s">
        <v>55</v>
      </c>
      <c r="C10" s="28">
        <f>Months</f>
        <v>3</v>
      </c>
      <c r="D10" s="27" t="s">
        <v>54</v>
      </c>
      <c r="E10" s="27" t="str">
        <f>FRAs_3M!H4</f>
        <v>EUR_YC3MRH_TOM3F1#0001</v>
      </c>
      <c r="F10" s="26" t="e">
        <f>_xll.qlRateHelperQuoteValue($E10,Trigger)</f>
        <v>#NUM!</v>
      </c>
      <c r="G10" s="26"/>
      <c r="H10" s="25" t="b">
        <v>0</v>
      </c>
      <c r="I10" s="25">
        <v>20</v>
      </c>
      <c r="J10" s="25">
        <v>1</v>
      </c>
      <c r="K10" s="24">
        <f>_xll.qlRateHelperEarliestDate($E10,Trigger)</f>
        <v>41793</v>
      </c>
      <c r="L10" s="23">
        <f>_xll.qlRateHelperLatestDate($E10,Trigger)</f>
        <v>41885</v>
      </c>
    </row>
    <row r="11" spans="2:15" x14ac:dyDescent="0.2">
      <c r="B11" s="36">
        <v>1</v>
      </c>
      <c r="C11" s="35" t="s">
        <v>53</v>
      </c>
      <c r="D11" s="34" t="str">
        <f t="shared" ref="D11:D28" si="0">(B11+Months)&amp;"F"</f>
        <v>4F</v>
      </c>
      <c r="E11" s="34" t="str">
        <f t="shared" ref="E11:E26" si="1">RateHelperPrefix&amp;"_"&amp;$B11&amp;$C11&amp;$D11</f>
        <v>EUR_YC3MRH_1x4F</v>
      </c>
      <c r="F11" s="33">
        <f>_xll.qlRateHelperQuoteValue($E11,Trigger)</f>
        <v>2.47E-3</v>
      </c>
      <c r="G11" s="33"/>
      <c r="H11" s="32" t="b">
        <v>0</v>
      </c>
      <c r="I11" s="32">
        <v>20</v>
      </c>
      <c r="J11" s="32">
        <v>1</v>
      </c>
      <c r="K11" s="31">
        <f>_xll.qlRateHelperEarliestDate($E11,Trigger)</f>
        <v>41822</v>
      </c>
      <c r="L11" s="30">
        <f>_xll.qlRateHelperLatestDate($E11,Trigger)</f>
        <v>41914</v>
      </c>
      <c r="O11" s="295" t="str">
        <f t="shared" ref="O11:O28" si="2">IF(ISERROR(F11),"FALSE","TRUE")</f>
        <v>TRUE</v>
      </c>
    </row>
    <row r="12" spans="2:15" x14ac:dyDescent="0.2">
      <c r="B12" s="36">
        <v>2</v>
      </c>
      <c r="C12" s="35" t="s">
        <v>53</v>
      </c>
      <c r="D12" s="34" t="str">
        <f t="shared" si="0"/>
        <v>5F</v>
      </c>
      <c r="E12" s="34" t="str">
        <f t="shared" si="1"/>
        <v>EUR_YC3MRH_2x5F</v>
      </c>
      <c r="F12" s="33">
        <f>_xll.qlRateHelperQuoteValue($E12,Trigger)</f>
        <v>2.2500000000000003E-3</v>
      </c>
      <c r="G12" s="33"/>
      <c r="H12" s="32" t="b">
        <v>0</v>
      </c>
      <c r="I12" s="32">
        <v>20</v>
      </c>
      <c r="J12" s="32">
        <v>1</v>
      </c>
      <c r="K12" s="31">
        <f>_xll.qlRateHelperEarliestDate($E12,Trigger)</f>
        <v>41855</v>
      </c>
      <c r="L12" s="30">
        <f>_xll.qlRateHelperLatestDate($E12,Trigger)</f>
        <v>41947</v>
      </c>
      <c r="O12" s="295" t="str">
        <f t="shared" si="2"/>
        <v>TRUE</v>
      </c>
    </row>
    <row r="13" spans="2:15" x14ac:dyDescent="0.2">
      <c r="B13" s="36">
        <v>3</v>
      </c>
      <c r="C13" s="35" t="s">
        <v>53</v>
      </c>
      <c r="D13" s="34" t="str">
        <f t="shared" si="0"/>
        <v>6F</v>
      </c>
      <c r="E13" s="34" t="str">
        <f t="shared" si="1"/>
        <v>EUR_YC3MRH_3x6F</v>
      </c>
      <c r="F13" s="33">
        <f>_xll.qlRateHelperQuoteValue($E13,Trigger)</f>
        <v>2.0700000000000002E-3</v>
      </c>
      <c r="G13" s="33"/>
      <c r="H13" s="32" t="b">
        <v>0</v>
      </c>
      <c r="I13" s="32">
        <v>20</v>
      </c>
      <c r="J13" s="32">
        <v>1</v>
      </c>
      <c r="K13" s="31">
        <f>_xll.qlRateHelperEarliestDate($E13,Trigger)</f>
        <v>41884</v>
      </c>
      <c r="L13" s="30">
        <f>_xll.qlRateHelperLatestDate($E13,Trigger)</f>
        <v>41975</v>
      </c>
      <c r="O13" s="295" t="str">
        <f t="shared" si="2"/>
        <v>TRUE</v>
      </c>
    </row>
    <row r="14" spans="2:15" x14ac:dyDescent="0.2">
      <c r="B14" s="36">
        <v>4</v>
      </c>
      <c r="C14" s="35" t="s">
        <v>53</v>
      </c>
      <c r="D14" s="34" t="str">
        <f t="shared" si="0"/>
        <v>7F</v>
      </c>
      <c r="E14" s="34" t="str">
        <f t="shared" si="1"/>
        <v>EUR_YC3MRH_4x7F</v>
      </c>
      <c r="F14" s="33">
        <f>_xll.qlRateHelperQuoteValue($E14,Trigger)</f>
        <v>1.92E-3</v>
      </c>
      <c r="G14" s="33"/>
      <c r="H14" s="32" t="b">
        <v>0</v>
      </c>
      <c r="I14" s="32">
        <v>20</v>
      </c>
      <c r="J14" s="32">
        <v>1</v>
      </c>
      <c r="K14" s="31">
        <f>_xll.qlRateHelperEarliestDate($E14,Trigger)</f>
        <v>41914</v>
      </c>
      <c r="L14" s="30">
        <f>_xll.qlRateHelperLatestDate($E14,Trigger)</f>
        <v>42006</v>
      </c>
      <c r="O14" s="295" t="str">
        <f t="shared" si="2"/>
        <v>TRUE</v>
      </c>
    </row>
    <row r="15" spans="2:15" x14ac:dyDescent="0.2">
      <c r="B15" s="36">
        <v>5</v>
      </c>
      <c r="C15" s="35" t="s">
        <v>53</v>
      </c>
      <c r="D15" s="34" t="str">
        <f t="shared" si="0"/>
        <v>8F</v>
      </c>
      <c r="E15" s="34" t="str">
        <f t="shared" si="1"/>
        <v>EUR_YC3MRH_5x8F</v>
      </c>
      <c r="F15" s="33">
        <f>_xll.qlRateHelperQuoteValue($E15,Trigger)</f>
        <v>1.9300000000000001E-3</v>
      </c>
      <c r="G15" s="33"/>
      <c r="H15" s="32" t="b">
        <v>0</v>
      </c>
      <c r="I15" s="32">
        <v>20</v>
      </c>
      <c r="J15" s="32">
        <v>1</v>
      </c>
      <c r="K15" s="31">
        <f>_xll.qlRateHelperEarliestDate($E15,Trigger)</f>
        <v>41946</v>
      </c>
      <c r="L15" s="30">
        <f>_xll.qlRateHelperLatestDate($E15,Trigger)</f>
        <v>42038</v>
      </c>
      <c r="O15" s="295" t="str">
        <f t="shared" si="2"/>
        <v>TRUE</v>
      </c>
    </row>
    <row r="16" spans="2:15" x14ac:dyDescent="0.2">
      <c r="B16" s="36">
        <v>6</v>
      </c>
      <c r="C16" s="35" t="s">
        <v>53</v>
      </c>
      <c r="D16" s="34" t="str">
        <f t="shared" si="0"/>
        <v>9F</v>
      </c>
      <c r="E16" s="34" t="str">
        <f t="shared" si="1"/>
        <v>EUR_YC3MRH_6x9F</v>
      </c>
      <c r="F16" s="33">
        <f>_xll.qlRateHelperQuoteValue($E16,Trigger)</f>
        <v>1.8599999999999999E-3</v>
      </c>
      <c r="G16" s="33"/>
      <c r="H16" s="32" t="b">
        <v>0</v>
      </c>
      <c r="I16" s="32">
        <v>20</v>
      </c>
      <c r="J16" s="32">
        <v>1</v>
      </c>
      <c r="K16" s="31">
        <f>_xll.qlRateHelperEarliestDate($E16,Trigger)</f>
        <v>41975</v>
      </c>
      <c r="L16" s="30">
        <f>_xll.qlRateHelperLatestDate($E16,Trigger)</f>
        <v>42065</v>
      </c>
      <c r="O16" s="295" t="str">
        <f t="shared" si="2"/>
        <v>TRUE</v>
      </c>
    </row>
    <row r="17" spans="1:17" x14ac:dyDescent="0.2">
      <c r="B17" s="36">
        <v>7</v>
      </c>
      <c r="C17" s="35" t="s">
        <v>53</v>
      </c>
      <c r="D17" s="34" t="str">
        <f t="shared" si="0"/>
        <v>10F</v>
      </c>
      <c r="E17" s="34" t="str">
        <f t="shared" si="1"/>
        <v>EUR_YC3MRH_7x10F</v>
      </c>
      <c r="F17" s="33" t="e">
        <f>_xll.qlRateHelperQuoteValue($E17,Trigger)</f>
        <v>#NUM!</v>
      </c>
      <c r="G17" s="33"/>
      <c r="H17" s="32" t="b">
        <v>0</v>
      </c>
      <c r="I17" s="32">
        <v>20</v>
      </c>
      <c r="J17" s="32">
        <v>1</v>
      </c>
      <c r="K17" s="31" t="e">
        <f>_xll.qlRateHelperEarliestDate($E17,Trigger)</f>
        <v>#NUM!</v>
      </c>
      <c r="L17" s="30" t="e">
        <f>_xll.qlRateHelperLatestDate($E17,Trigger)</f>
        <v>#NUM!</v>
      </c>
      <c r="O17" s="295" t="str">
        <f t="shared" si="2"/>
        <v>FALSE</v>
      </c>
    </row>
    <row r="18" spans="1:17" x14ac:dyDescent="0.2">
      <c r="B18" s="36">
        <v>8</v>
      </c>
      <c r="C18" s="35" t="s">
        <v>53</v>
      </c>
      <c r="D18" s="34" t="str">
        <f t="shared" si="0"/>
        <v>11F</v>
      </c>
      <c r="E18" s="34" t="str">
        <f t="shared" si="1"/>
        <v>EUR_YC3MRH_8x11F</v>
      </c>
      <c r="F18" s="33" t="e">
        <f>_xll.qlRateHelperQuoteValue($E18,Trigger)</f>
        <v>#NUM!</v>
      </c>
      <c r="G18" s="33"/>
      <c r="H18" s="32" t="b">
        <v>0</v>
      </c>
      <c r="I18" s="32">
        <v>20</v>
      </c>
      <c r="J18" s="32">
        <v>1</v>
      </c>
      <c r="K18" s="31" t="e">
        <f>_xll.qlRateHelperEarliestDate($E18,Trigger)</f>
        <v>#NUM!</v>
      </c>
      <c r="L18" s="30" t="e">
        <f>_xll.qlRateHelperLatestDate($E18,Trigger)</f>
        <v>#NUM!</v>
      </c>
      <c r="O18" s="295" t="str">
        <f t="shared" si="2"/>
        <v>FALSE</v>
      </c>
    </row>
    <row r="19" spans="1:17" x14ac:dyDescent="0.2">
      <c r="B19" s="36">
        <v>9</v>
      </c>
      <c r="C19" s="35" t="s">
        <v>53</v>
      </c>
      <c r="D19" s="34" t="str">
        <f t="shared" si="0"/>
        <v>12F</v>
      </c>
      <c r="E19" s="34" t="str">
        <f t="shared" si="1"/>
        <v>EUR_YC3MRH_9x12F</v>
      </c>
      <c r="F19" s="33" t="e">
        <f>_xll.qlRateHelperQuoteValue($E19,Trigger)</f>
        <v>#NUM!</v>
      </c>
      <c r="G19" s="33"/>
      <c r="H19" s="32" t="b">
        <v>0</v>
      </c>
      <c r="I19" s="32">
        <v>20</v>
      </c>
      <c r="J19" s="32">
        <v>1</v>
      </c>
      <c r="K19" s="31" t="e">
        <f>_xll.qlRateHelperEarliestDate($E19,Trigger)</f>
        <v>#NUM!</v>
      </c>
      <c r="L19" s="30" t="e">
        <f>_xll.qlRateHelperLatestDate($E19,Trigger)</f>
        <v>#NUM!</v>
      </c>
      <c r="O19" s="295" t="str">
        <f t="shared" si="2"/>
        <v>FALSE</v>
      </c>
    </row>
    <row r="20" spans="1:17" x14ac:dyDescent="0.2">
      <c r="B20" s="36">
        <v>10</v>
      </c>
      <c r="C20" s="35" t="s">
        <v>53</v>
      </c>
      <c r="D20" s="34" t="str">
        <f t="shared" si="0"/>
        <v>13F</v>
      </c>
      <c r="E20" s="34" t="str">
        <f t="shared" si="1"/>
        <v>EUR_YC3MRH_10x13F</v>
      </c>
      <c r="F20" s="33" t="e">
        <f>_xll.qlRateHelperQuoteValue($E20,Trigger)</f>
        <v>#NUM!</v>
      </c>
      <c r="G20" s="33"/>
      <c r="H20" s="32" t="b">
        <v>0</v>
      </c>
      <c r="I20" s="32">
        <v>20</v>
      </c>
      <c r="J20" s="32">
        <v>1</v>
      </c>
      <c r="K20" s="31" t="e">
        <f>_xll.qlRateHelperEarliestDate($E20,Trigger)</f>
        <v>#NUM!</v>
      </c>
      <c r="L20" s="30" t="e">
        <f>_xll.qlRateHelperLatestDate($E20,Trigger)</f>
        <v>#NUM!</v>
      </c>
      <c r="O20" s="295" t="str">
        <f t="shared" si="2"/>
        <v>FALSE</v>
      </c>
    </row>
    <row r="21" spans="1:17" x14ac:dyDescent="0.2">
      <c r="B21" s="36">
        <v>11</v>
      </c>
      <c r="C21" s="35" t="s">
        <v>53</v>
      </c>
      <c r="D21" s="34" t="str">
        <f t="shared" si="0"/>
        <v>14F</v>
      </c>
      <c r="E21" s="34" t="str">
        <f t="shared" si="1"/>
        <v>EUR_YC3MRH_11x14F</v>
      </c>
      <c r="F21" s="33" t="e">
        <f>_xll.qlRateHelperQuoteValue($E21,Trigger)</f>
        <v>#NUM!</v>
      </c>
      <c r="G21" s="33"/>
      <c r="H21" s="32" t="b">
        <v>0</v>
      </c>
      <c r="I21" s="32">
        <v>20</v>
      </c>
      <c r="J21" s="32">
        <v>1</v>
      </c>
      <c r="K21" s="31" t="e">
        <f>_xll.qlRateHelperEarliestDate($E21,Trigger)</f>
        <v>#NUM!</v>
      </c>
      <c r="L21" s="30" t="e">
        <f>_xll.qlRateHelperLatestDate($E21,Trigger)</f>
        <v>#NUM!</v>
      </c>
      <c r="O21" s="295" t="str">
        <f t="shared" si="2"/>
        <v>FALSE</v>
      </c>
    </row>
    <row r="22" spans="1:17" x14ac:dyDescent="0.2">
      <c r="B22" s="36">
        <v>12</v>
      </c>
      <c r="C22" s="35" t="s">
        <v>53</v>
      </c>
      <c r="D22" s="34" t="str">
        <f t="shared" si="0"/>
        <v>15F</v>
      </c>
      <c r="E22" s="34" t="str">
        <f t="shared" si="1"/>
        <v>EUR_YC3MRH_12x15F</v>
      </c>
      <c r="F22" s="33" t="e">
        <f>_xll.qlRateHelperQuoteValue($E22,Trigger)</f>
        <v>#NUM!</v>
      </c>
      <c r="G22" s="33"/>
      <c r="H22" s="32" t="b">
        <v>0</v>
      </c>
      <c r="I22" s="32">
        <v>20</v>
      </c>
      <c r="J22" s="32">
        <v>1</v>
      </c>
      <c r="K22" s="31" t="e">
        <f>_xll.qlRateHelperEarliestDate($E22,Trigger)</f>
        <v>#NUM!</v>
      </c>
      <c r="L22" s="30" t="e">
        <f>_xll.qlRateHelperLatestDate($E22,Trigger)</f>
        <v>#NUM!</v>
      </c>
      <c r="O22" s="295" t="str">
        <f t="shared" si="2"/>
        <v>FALSE</v>
      </c>
    </row>
    <row r="23" spans="1:17" x14ac:dyDescent="0.2">
      <c r="B23" s="36">
        <v>13</v>
      </c>
      <c r="C23" s="35" t="s">
        <v>53</v>
      </c>
      <c r="D23" s="34" t="str">
        <f t="shared" si="0"/>
        <v>16F</v>
      </c>
      <c r="E23" s="34" t="str">
        <f t="shared" si="1"/>
        <v>EUR_YC3MRH_13x16F</v>
      </c>
      <c r="F23" s="33" t="e">
        <f>_xll.qlRateHelperQuoteValue($E23,Trigger)</f>
        <v>#NUM!</v>
      </c>
      <c r="G23" s="33"/>
      <c r="H23" s="32" t="b">
        <v>0</v>
      </c>
      <c r="I23" s="32">
        <v>20</v>
      </c>
      <c r="J23" s="32">
        <v>1</v>
      </c>
      <c r="K23" s="31" t="e">
        <f>_xll.qlRateHelperEarliestDate($E23,Trigger)</f>
        <v>#NUM!</v>
      </c>
      <c r="L23" s="30" t="e">
        <f>_xll.qlRateHelperLatestDate($E23,Trigger)</f>
        <v>#NUM!</v>
      </c>
      <c r="O23" s="295" t="str">
        <f t="shared" si="2"/>
        <v>FALSE</v>
      </c>
    </row>
    <row r="24" spans="1:17" x14ac:dyDescent="0.2">
      <c r="B24" s="36">
        <v>14</v>
      </c>
      <c r="C24" s="35" t="s">
        <v>53</v>
      </c>
      <c r="D24" s="34" t="str">
        <f t="shared" si="0"/>
        <v>17F</v>
      </c>
      <c r="E24" s="34" t="str">
        <f t="shared" si="1"/>
        <v>EUR_YC3MRH_14x17F</v>
      </c>
      <c r="F24" s="33" t="e">
        <f>_xll.qlRateHelperQuoteValue($E24,Trigger)</f>
        <v>#NUM!</v>
      </c>
      <c r="G24" s="33"/>
      <c r="H24" s="32" t="b">
        <v>0</v>
      </c>
      <c r="I24" s="32">
        <v>20</v>
      </c>
      <c r="J24" s="32">
        <v>1</v>
      </c>
      <c r="K24" s="31" t="e">
        <f>_xll.qlRateHelperEarliestDate($E24,Trigger)</f>
        <v>#NUM!</v>
      </c>
      <c r="L24" s="30" t="e">
        <f>_xll.qlRateHelperLatestDate($E24,Trigger)</f>
        <v>#NUM!</v>
      </c>
      <c r="O24" s="295" t="str">
        <f t="shared" si="2"/>
        <v>FALSE</v>
      </c>
    </row>
    <row r="25" spans="1:17" x14ac:dyDescent="0.2">
      <c r="B25" s="36">
        <v>15</v>
      </c>
      <c r="C25" s="35" t="s">
        <v>53</v>
      </c>
      <c r="D25" s="34" t="str">
        <f t="shared" si="0"/>
        <v>18F</v>
      </c>
      <c r="E25" s="34" t="str">
        <f t="shared" si="1"/>
        <v>EUR_YC3MRH_15x18F</v>
      </c>
      <c r="F25" s="33" t="e">
        <f>_xll.qlRateHelperQuoteValue($E25,Trigger)</f>
        <v>#NUM!</v>
      </c>
      <c r="G25" s="33"/>
      <c r="H25" s="32" t="b">
        <v>0</v>
      </c>
      <c r="I25" s="32">
        <v>20</v>
      </c>
      <c r="J25" s="32">
        <v>1</v>
      </c>
      <c r="K25" s="31" t="e">
        <f>_xll.qlRateHelperEarliestDate($E25,Trigger)</f>
        <v>#NUM!</v>
      </c>
      <c r="L25" s="30" t="e">
        <f>_xll.qlRateHelperLatestDate($E25,Trigger)</f>
        <v>#NUM!</v>
      </c>
      <c r="O25" s="295" t="str">
        <f t="shared" si="2"/>
        <v>FALSE</v>
      </c>
    </row>
    <row r="26" spans="1:17" x14ac:dyDescent="0.2">
      <c r="B26" s="36">
        <v>16</v>
      </c>
      <c r="C26" s="35" t="s">
        <v>53</v>
      </c>
      <c r="D26" s="34" t="str">
        <f t="shared" si="0"/>
        <v>19F</v>
      </c>
      <c r="E26" s="34" t="str">
        <f t="shared" si="1"/>
        <v>EUR_YC3MRH_16x19F</v>
      </c>
      <c r="F26" s="33" t="e">
        <f>_xll.qlRateHelperQuoteValue($E26,Trigger)</f>
        <v>#NUM!</v>
      </c>
      <c r="G26" s="33"/>
      <c r="H26" s="32" t="b">
        <v>0</v>
      </c>
      <c r="I26" s="32">
        <v>20</v>
      </c>
      <c r="J26" s="32">
        <v>1</v>
      </c>
      <c r="K26" s="31" t="e">
        <f>_xll.qlRateHelperEarliestDate($E26,Trigger)</f>
        <v>#NUM!</v>
      </c>
      <c r="L26" s="30" t="e">
        <f>_xll.qlRateHelperLatestDate($E26,Trigger)</f>
        <v>#NUM!</v>
      </c>
      <c r="O26" s="295" t="str">
        <f t="shared" si="2"/>
        <v>FALSE</v>
      </c>
    </row>
    <row r="27" spans="1:17" x14ac:dyDescent="0.2">
      <c r="B27" s="36">
        <v>17</v>
      </c>
      <c r="C27" s="35" t="s">
        <v>53</v>
      </c>
      <c r="D27" s="34" t="str">
        <f t="shared" si="0"/>
        <v>20F</v>
      </c>
      <c r="E27" s="34" t="str">
        <f t="shared" ref="E27:E28" si="3">RateHelperPrefix&amp;"_"&amp;$B27&amp;$C27&amp;$D27</f>
        <v>EUR_YC3MRH_17x20F</v>
      </c>
      <c r="F27" s="33" t="e">
        <f>_xll.qlRateHelperQuoteValue($E27,Trigger)</f>
        <v>#NUM!</v>
      </c>
      <c r="G27" s="33"/>
      <c r="H27" s="32" t="b">
        <v>0</v>
      </c>
      <c r="I27" s="32">
        <v>20</v>
      </c>
      <c r="J27" s="32">
        <v>1</v>
      </c>
      <c r="K27" s="31" t="e">
        <f>_xll.qlRateHelperEarliestDate($E27,Trigger)</f>
        <v>#NUM!</v>
      </c>
      <c r="L27" s="30" t="e">
        <f>_xll.qlRateHelperLatestDate($E27,Trigger)</f>
        <v>#NUM!</v>
      </c>
      <c r="O27" s="295" t="str">
        <f t="shared" si="2"/>
        <v>FALSE</v>
      </c>
    </row>
    <row r="28" spans="1:17" x14ac:dyDescent="0.2">
      <c r="B28" s="29">
        <v>18</v>
      </c>
      <c r="C28" s="28" t="s">
        <v>53</v>
      </c>
      <c r="D28" s="27" t="str">
        <f t="shared" si="0"/>
        <v>21F</v>
      </c>
      <c r="E28" s="27" t="str">
        <f t="shared" si="3"/>
        <v>EUR_YC3MRH_18x21F</v>
      </c>
      <c r="F28" s="26" t="e">
        <f>_xll.qlRateHelperQuoteValue($E28,Trigger)</f>
        <v>#NUM!</v>
      </c>
      <c r="G28" s="26"/>
      <c r="H28" s="25" t="b">
        <v>0</v>
      </c>
      <c r="I28" s="25">
        <v>20</v>
      </c>
      <c r="J28" s="25">
        <v>1</v>
      </c>
      <c r="K28" s="24" t="e">
        <f>_xll.qlRateHelperEarliestDate($E28,Trigger)</f>
        <v>#NUM!</v>
      </c>
      <c r="L28" s="23" t="e">
        <f>_xll.qlRateHelperLatestDate($E28,Trigger)</f>
        <v>#NUM!</v>
      </c>
      <c r="O28" s="295" t="str">
        <f t="shared" si="2"/>
        <v>FALSE</v>
      </c>
      <c r="P28" s="49" t="s">
        <v>185</v>
      </c>
      <c r="Q28" s="49" t="s">
        <v>186</v>
      </c>
    </row>
    <row r="29" spans="1:17" ht="11.25" customHeight="1" x14ac:dyDescent="0.2">
      <c r="A29" s="43" t="b">
        <v>0</v>
      </c>
      <c r="B29" s="36"/>
      <c r="C29" s="35" t="str">
        <f t="shared" ref="C29:C70" si="4">IF(IndexTenor="6M","IMMFRA","FUT")&amp;IndexTenor</f>
        <v>FUT3M</v>
      </c>
      <c r="D29" s="34" t="str">
        <f t="array" ref="D29:D70">_xll.qlIMMNextCodes(_xll.qlSettingsEvaluationDate(Trigger)-1,$A29:$A70)</f>
        <v>M4</v>
      </c>
      <c r="E29" s="34" t="str">
        <f>Futures_3M!I3</f>
        <v>EUR_YC3MRH_FUT3MM4#0001</v>
      </c>
      <c r="F29" s="47">
        <f>_xll.qlRateHelperQuoteValue($E29,Trigger)</f>
        <v>99.747500000000002</v>
      </c>
      <c r="G29" s="33">
        <f>_xll.qlFuturesRateHelperConvexityAdjustment($E29,Trigger)</f>
        <v>0</v>
      </c>
      <c r="H29" s="32" t="b">
        <v>1</v>
      </c>
      <c r="I29" s="32">
        <v>60</v>
      </c>
      <c r="J29" s="32">
        <v>3</v>
      </c>
      <c r="K29" s="31">
        <f>_xll.qlRateHelperEarliestDate($E29,Trigger)</f>
        <v>41808</v>
      </c>
      <c r="L29" s="30">
        <f>_xll.qlRateHelperLatestDate($E29,Trigger)</f>
        <v>41900</v>
      </c>
      <c r="O29" s="295" t="b">
        <f t="shared" ref="O29:O70" si="5">IF(ISERROR(F29),FALSE,TRUE)</f>
        <v>1</v>
      </c>
      <c r="P29" s="305" t="b">
        <f>AND(_xll.qlIMMIsIMMcode(D29),O29)</f>
        <v>1</v>
      </c>
      <c r="Q29" s="303" t="b">
        <f>AND(NOT(_xll.qlIMMIsIMMcode(D29)),O29)</f>
        <v>0</v>
      </c>
    </row>
    <row r="30" spans="1:17" x14ac:dyDescent="0.2">
      <c r="A30" s="35" t="b">
        <v>0</v>
      </c>
      <c r="B30" s="36"/>
      <c r="C30" s="35" t="str">
        <f t="shared" si="4"/>
        <v>FUT3M</v>
      </c>
      <c r="D30" s="34" t="str">
        <v>N4</v>
      </c>
      <c r="E30" s="34" t="str">
        <f>Futures_3M!I4</f>
        <v>EUR_YC3MRH_FUT3MN4#0001</v>
      </c>
      <c r="F30" s="47">
        <f>_xll.qlRateHelperQuoteValue($E30,Trigger)</f>
        <v>99.772500000000008</v>
      </c>
      <c r="G30" s="33">
        <f>_xll.qlFuturesRateHelperConvexityAdjustment($E30,Trigger)</f>
        <v>0</v>
      </c>
      <c r="H30" s="32" t="b">
        <v>1</v>
      </c>
      <c r="I30" s="32">
        <v>60</v>
      </c>
      <c r="J30" s="32">
        <v>3</v>
      </c>
      <c r="K30" s="31">
        <f>_xll.qlRateHelperEarliestDate($E30,Trigger)</f>
        <v>41836</v>
      </c>
      <c r="L30" s="30">
        <f>_xll.qlRateHelperLatestDate($E30,Trigger)</f>
        <v>41928</v>
      </c>
      <c r="O30" s="295" t="b">
        <f t="shared" si="5"/>
        <v>1</v>
      </c>
      <c r="P30" s="305" t="b">
        <f>AND(_xll.qlIMMIsIMMcode(D30),O30)</f>
        <v>0</v>
      </c>
      <c r="Q30" s="303" t="b">
        <f>AND(NOT(_xll.qlIMMIsIMMcode(D30)),O30)</f>
        <v>1</v>
      </c>
    </row>
    <row r="31" spans="1:17" x14ac:dyDescent="0.2">
      <c r="A31" s="35" t="b">
        <v>0</v>
      </c>
      <c r="B31" s="36"/>
      <c r="C31" s="35" t="str">
        <f t="shared" si="4"/>
        <v>FUT3M</v>
      </c>
      <c r="D31" s="34" t="str">
        <v>Q4</v>
      </c>
      <c r="E31" s="34" t="str">
        <f>Futures_3M!I5</f>
        <v>EUR_YC3MRH_FUT3MQ4#0001</v>
      </c>
      <c r="F31" s="47">
        <f>_xll.qlRateHelperQuoteValue($E31,Trigger)</f>
        <v>99.789999999999992</v>
      </c>
      <c r="G31" s="33">
        <f>_xll.qlFuturesRateHelperConvexityAdjustment($E31,Trigger)</f>
        <v>0</v>
      </c>
      <c r="H31" s="32" t="b">
        <v>1</v>
      </c>
      <c r="I31" s="32">
        <v>60</v>
      </c>
      <c r="J31" s="32">
        <v>3</v>
      </c>
      <c r="K31" s="31">
        <f>_xll.qlRateHelperEarliestDate($E31,Trigger)</f>
        <v>41871</v>
      </c>
      <c r="L31" s="30">
        <f>_xll.qlRateHelperLatestDate($E31,Trigger)</f>
        <v>41963</v>
      </c>
      <c r="O31" s="295" t="b">
        <f t="shared" si="5"/>
        <v>1</v>
      </c>
      <c r="P31" s="305" t="b">
        <f>AND(_xll.qlIMMIsIMMcode(D31),O31)</f>
        <v>0</v>
      </c>
      <c r="Q31" s="303" t="b">
        <f>AND(NOT(_xll.qlIMMIsIMMcode(D31)),O31)</f>
        <v>1</v>
      </c>
    </row>
    <row r="32" spans="1:17" x14ac:dyDescent="0.2">
      <c r="A32" s="35" t="b">
        <v>0</v>
      </c>
      <c r="B32" s="36"/>
      <c r="C32" s="35" t="str">
        <f t="shared" si="4"/>
        <v>FUT3M</v>
      </c>
      <c r="D32" s="34" t="str">
        <v>U4</v>
      </c>
      <c r="E32" s="34" t="str">
        <f>Futures_3M!I6</f>
        <v>EUR_YC3MRH_FUT3MU4#0001</v>
      </c>
      <c r="F32" s="47">
        <f>_xll.qlRateHelperQuoteValue($E32,Trigger)</f>
        <v>99.802500000000009</v>
      </c>
      <c r="G32" s="33">
        <f>_xll.qlFuturesRateHelperConvexityAdjustment($E32,Trigger)</f>
        <v>0</v>
      </c>
      <c r="H32" s="32" t="b">
        <v>1</v>
      </c>
      <c r="I32" s="32">
        <v>60</v>
      </c>
      <c r="J32" s="32">
        <v>21</v>
      </c>
      <c r="K32" s="31">
        <f>_xll.qlRateHelperEarliestDate($E32,Trigger)</f>
        <v>41899</v>
      </c>
      <c r="L32" s="30">
        <f>_xll.qlRateHelperLatestDate($E32,Trigger)</f>
        <v>41990</v>
      </c>
      <c r="O32" s="295" t="b">
        <f t="shared" si="5"/>
        <v>1</v>
      </c>
      <c r="P32" s="305" t="b">
        <f>AND(_xll.qlIMMIsIMMcode(D32),O32)</f>
        <v>1</v>
      </c>
      <c r="Q32" s="303" t="b">
        <f>AND(NOT(_xll.qlIMMIsIMMcode(D32)),O32)</f>
        <v>0</v>
      </c>
    </row>
    <row r="33" spans="1:17" x14ac:dyDescent="0.2">
      <c r="A33" s="35" t="b">
        <v>0</v>
      </c>
      <c r="B33" s="36"/>
      <c r="C33" s="35" t="str">
        <f t="shared" si="4"/>
        <v>FUT3M</v>
      </c>
      <c r="D33" s="34" t="str">
        <v>V4</v>
      </c>
      <c r="E33" s="34" t="str">
        <f>Futures_3M!I7</f>
        <v>EUR_YC3MRH_FUT3MV4#0001</v>
      </c>
      <c r="F33" s="47" t="e">
        <f>_xll.qlRateHelperQuoteValue($E33,Trigger)</f>
        <v>#NUM!</v>
      </c>
      <c r="G33" s="33" t="e">
        <f>_xll.qlFuturesRateHelperConvexityAdjustment($E33,Trigger)</f>
        <v>#NUM!</v>
      </c>
      <c r="H33" s="32" t="b">
        <v>1</v>
      </c>
      <c r="I33" s="32">
        <v>60</v>
      </c>
      <c r="J33" s="32">
        <v>21</v>
      </c>
      <c r="K33" s="31">
        <f>_xll.qlRateHelperEarliestDate($E33,Trigger)</f>
        <v>41927</v>
      </c>
      <c r="L33" s="30">
        <f>_xll.qlRateHelperLatestDate($E33,Trigger)</f>
        <v>42019</v>
      </c>
      <c r="O33" s="295" t="b">
        <f t="shared" si="5"/>
        <v>0</v>
      </c>
      <c r="P33" s="305" t="b">
        <f>AND(_xll.qlIMMIsIMMcode(D33),O33)</f>
        <v>0</v>
      </c>
      <c r="Q33" s="303" t="b">
        <f>AND(NOT(_xll.qlIMMIsIMMcode(D33)),O33)</f>
        <v>0</v>
      </c>
    </row>
    <row r="34" spans="1:17" x14ac:dyDescent="0.2">
      <c r="A34" s="35" t="b">
        <v>0</v>
      </c>
      <c r="B34" s="36"/>
      <c r="C34" s="35" t="str">
        <f t="shared" si="4"/>
        <v>FUT3M</v>
      </c>
      <c r="D34" s="34" t="str">
        <v>X4</v>
      </c>
      <c r="E34" s="34" t="str">
        <f>Futures_3M!I8</f>
        <v>EUR_YC3MRH_FUT3MX4#0001</v>
      </c>
      <c r="F34" s="47" t="e">
        <f>_xll.qlRateHelperQuoteValue($E34,Trigger)</f>
        <v>#NUM!</v>
      </c>
      <c r="G34" s="33" t="e">
        <f>_xll.qlFuturesRateHelperConvexityAdjustment($E34,Trigger)</f>
        <v>#NUM!</v>
      </c>
      <c r="H34" s="32" t="b">
        <v>1</v>
      </c>
      <c r="I34" s="32">
        <v>60</v>
      </c>
      <c r="J34" s="32">
        <v>21</v>
      </c>
      <c r="K34" s="31">
        <f>_xll.qlRateHelperEarliestDate($E34,Trigger)</f>
        <v>41962</v>
      </c>
      <c r="L34" s="30">
        <f>_xll.qlRateHelperLatestDate($E34,Trigger)</f>
        <v>42054</v>
      </c>
      <c r="O34" s="295" t="b">
        <f t="shared" si="5"/>
        <v>0</v>
      </c>
      <c r="P34" s="305" t="b">
        <f>AND(_xll.qlIMMIsIMMcode(D34),O34)</f>
        <v>0</v>
      </c>
      <c r="Q34" s="303" t="b">
        <f>AND(NOT(_xll.qlIMMIsIMMcode(D34)),O34)</f>
        <v>0</v>
      </c>
    </row>
    <row r="35" spans="1:17" x14ac:dyDescent="0.2">
      <c r="A35" s="35" t="b">
        <v>0</v>
      </c>
      <c r="B35" s="36"/>
      <c r="C35" s="35" t="str">
        <f t="shared" si="4"/>
        <v>FUT3M</v>
      </c>
      <c r="D35" s="34" t="str">
        <v>Z4</v>
      </c>
      <c r="E35" s="34" t="str">
        <f>Futures_3M!I9</f>
        <v>EUR_YC3MRH_FUT3MZ4#0001</v>
      </c>
      <c r="F35" s="47">
        <f>_xll.qlRateHelperQuoteValue($E35,Trigger)</f>
        <v>99.817499999999995</v>
      </c>
      <c r="G35" s="33">
        <f>_xll.qlFuturesRateHelperConvexityAdjustment($E35,Trigger)</f>
        <v>0</v>
      </c>
      <c r="H35" s="32" t="b">
        <v>1</v>
      </c>
      <c r="I35" s="32">
        <v>60</v>
      </c>
      <c r="J35" s="32">
        <v>21</v>
      </c>
      <c r="K35" s="31">
        <f>_xll.qlRateHelperEarliestDate($E35,Trigger)</f>
        <v>41990</v>
      </c>
      <c r="L35" s="30">
        <f>_xll.qlRateHelperLatestDate($E35,Trigger)</f>
        <v>42080</v>
      </c>
      <c r="O35" s="295" t="b">
        <f t="shared" si="5"/>
        <v>1</v>
      </c>
      <c r="P35" s="305" t="b">
        <f>AND(_xll.qlIMMIsIMMcode(D35),O35)</f>
        <v>1</v>
      </c>
      <c r="Q35" s="303" t="b">
        <f>AND(NOT(_xll.qlIMMIsIMMcode(D35)),O35)</f>
        <v>0</v>
      </c>
    </row>
    <row r="36" spans="1:17" x14ac:dyDescent="0.2">
      <c r="A36" s="35" t="b">
        <v>0</v>
      </c>
      <c r="B36" s="36"/>
      <c r="C36" s="35" t="str">
        <f t="shared" si="4"/>
        <v>FUT3M</v>
      </c>
      <c r="D36" s="34" t="str">
        <v>F5</v>
      </c>
      <c r="E36" s="34" t="str">
        <f>Futures_3M!I10</f>
        <v>EUR_YC3MRH_FUT3MF5#0001</v>
      </c>
      <c r="F36" s="47" t="e">
        <f>_xll.qlRateHelperQuoteValue($E36,Trigger)</f>
        <v>#NUM!</v>
      </c>
      <c r="G36" s="33" t="e">
        <f>_xll.qlFuturesRateHelperConvexityAdjustment($E36,Trigger)</f>
        <v>#NUM!</v>
      </c>
      <c r="H36" s="32" t="b">
        <v>1</v>
      </c>
      <c r="I36" s="32">
        <v>60</v>
      </c>
      <c r="J36" s="32">
        <v>21</v>
      </c>
      <c r="K36" s="31">
        <f>_xll.qlRateHelperEarliestDate($E36,Trigger)</f>
        <v>42025</v>
      </c>
      <c r="L36" s="30">
        <f>_xll.qlRateHelperLatestDate($E36,Trigger)</f>
        <v>42115</v>
      </c>
      <c r="O36" s="295" t="b">
        <f t="shared" si="5"/>
        <v>0</v>
      </c>
      <c r="P36" s="305" t="b">
        <f>AND(_xll.qlIMMIsIMMcode(D36),O36)</f>
        <v>0</v>
      </c>
      <c r="Q36" s="303" t="b">
        <f>AND(NOT(_xll.qlIMMIsIMMcode(D36)),O36)</f>
        <v>0</v>
      </c>
    </row>
    <row r="37" spans="1:17" x14ac:dyDescent="0.2">
      <c r="A37" s="35" t="b">
        <v>0</v>
      </c>
      <c r="B37" s="36"/>
      <c r="C37" s="35" t="str">
        <f t="shared" si="4"/>
        <v>FUT3M</v>
      </c>
      <c r="D37" s="34" t="str">
        <v>G5</v>
      </c>
      <c r="E37" s="34" t="str">
        <f>Futures_3M!I11</f>
        <v>EUR_YC3MRH_FUT3MG5#0001</v>
      </c>
      <c r="F37" s="47" t="e">
        <f>_xll.qlRateHelperQuoteValue($E37,Trigger)</f>
        <v>#NUM!</v>
      </c>
      <c r="G37" s="33" t="e">
        <f>_xll.qlFuturesRateHelperConvexityAdjustment($E37,Trigger)</f>
        <v>#NUM!</v>
      </c>
      <c r="H37" s="32" t="b">
        <v>1</v>
      </c>
      <c r="I37" s="32">
        <v>60</v>
      </c>
      <c r="J37" s="32">
        <v>21</v>
      </c>
      <c r="K37" s="31">
        <f>_xll.qlRateHelperEarliestDate($E37,Trigger)</f>
        <v>42053</v>
      </c>
      <c r="L37" s="30">
        <f>_xll.qlRateHelperLatestDate($E37,Trigger)</f>
        <v>42142</v>
      </c>
      <c r="O37" s="295" t="b">
        <f t="shared" si="5"/>
        <v>0</v>
      </c>
      <c r="P37" s="305" t="b">
        <f>AND(_xll.qlIMMIsIMMcode(D37),O37)</f>
        <v>0</v>
      </c>
      <c r="Q37" s="303" t="b">
        <f>AND(NOT(_xll.qlIMMIsIMMcode(D37)),O37)</f>
        <v>0</v>
      </c>
    </row>
    <row r="38" spans="1:17" x14ac:dyDescent="0.2">
      <c r="A38" s="35" t="b">
        <v>0</v>
      </c>
      <c r="B38" s="36"/>
      <c r="C38" s="35" t="str">
        <f t="shared" si="4"/>
        <v>FUT3M</v>
      </c>
      <c r="D38" s="34" t="str">
        <v>H5</v>
      </c>
      <c r="E38" s="34" t="str">
        <f>Futures_3M!I12</f>
        <v>EUR_YC3MRH_FUT3MH5#0001</v>
      </c>
      <c r="F38" s="47">
        <f>_xll.qlRateHelperQuoteValue($E38,Trigger)</f>
        <v>99.822499999999991</v>
      </c>
      <c r="G38" s="33">
        <f>_xll.qlFuturesRateHelperConvexityAdjustment($E38,Trigger)</f>
        <v>0</v>
      </c>
      <c r="H38" s="32" t="b">
        <v>1</v>
      </c>
      <c r="I38" s="32">
        <v>60</v>
      </c>
      <c r="J38" s="32">
        <v>21</v>
      </c>
      <c r="K38" s="31">
        <f>_xll.qlRateHelperEarliestDate($E38,Trigger)</f>
        <v>42081</v>
      </c>
      <c r="L38" s="30">
        <f>_xll.qlRateHelperLatestDate($E38,Trigger)</f>
        <v>42173</v>
      </c>
      <c r="O38" s="295" t="b">
        <f t="shared" si="5"/>
        <v>1</v>
      </c>
      <c r="P38" s="305" t="b">
        <f>AND(_xll.qlIMMIsIMMcode(D38),O38)</f>
        <v>1</v>
      </c>
      <c r="Q38" s="303" t="b">
        <f>AND(NOT(_xll.qlIMMIsIMMcode(D38)),O38)</f>
        <v>0</v>
      </c>
    </row>
    <row r="39" spans="1:17" x14ac:dyDescent="0.2">
      <c r="A39" s="35" t="b">
        <v>0</v>
      </c>
      <c r="B39" s="36"/>
      <c r="C39" s="35" t="str">
        <f t="shared" si="4"/>
        <v>FUT3M</v>
      </c>
      <c r="D39" s="34" t="str">
        <v>J5</v>
      </c>
      <c r="E39" s="34" t="str">
        <f>Futures_3M!I13</f>
        <v>EUR_YC3MRH_FUT3MJ5#0001</v>
      </c>
      <c r="F39" s="47" t="e">
        <f>_xll.qlRateHelperQuoteValue($E39,Trigger)</f>
        <v>#NUM!</v>
      </c>
      <c r="G39" s="33" t="e">
        <f>_xll.qlFuturesRateHelperConvexityAdjustment($E39,Trigger)</f>
        <v>#NUM!</v>
      </c>
      <c r="H39" s="32" t="b">
        <v>1</v>
      </c>
      <c r="I39" s="32">
        <v>60</v>
      </c>
      <c r="J39" s="32">
        <v>21</v>
      </c>
      <c r="K39" s="31">
        <f>_xll.qlRateHelperEarliestDate($E39,Trigger)</f>
        <v>42109</v>
      </c>
      <c r="L39" s="30">
        <f>_xll.qlRateHelperLatestDate($E39,Trigger)</f>
        <v>42200</v>
      </c>
      <c r="O39" s="295" t="b">
        <f t="shared" si="5"/>
        <v>0</v>
      </c>
      <c r="P39" s="305" t="b">
        <f>AND(_xll.qlIMMIsIMMcode(D39),O39)</f>
        <v>0</v>
      </c>
      <c r="Q39" s="303" t="b">
        <f>AND(NOT(_xll.qlIMMIsIMMcode(D39)),O39)</f>
        <v>0</v>
      </c>
    </row>
    <row r="40" spans="1:17" x14ac:dyDescent="0.2">
      <c r="A40" s="35" t="b">
        <v>0</v>
      </c>
      <c r="B40" s="36"/>
      <c r="C40" s="35" t="str">
        <f t="shared" si="4"/>
        <v>FUT3M</v>
      </c>
      <c r="D40" s="34" t="str">
        <v>K5</v>
      </c>
      <c r="E40" s="34" t="str">
        <f>Futures_3M!I14</f>
        <v>EUR_YC3MRH_FUT3MK5#0001</v>
      </c>
      <c r="F40" s="47" t="e">
        <f>_xll.qlRateHelperQuoteValue($E40,Trigger)</f>
        <v>#NUM!</v>
      </c>
      <c r="G40" s="33" t="e">
        <f>_xll.qlFuturesRateHelperConvexityAdjustment($E40,Trigger)</f>
        <v>#NUM!</v>
      </c>
      <c r="H40" s="32" t="b">
        <v>1</v>
      </c>
      <c r="I40" s="32">
        <v>60</v>
      </c>
      <c r="J40" s="32">
        <v>21</v>
      </c>
      <c r="K40" s="31">
        <f>_xll.qlRateHelperEarliestDate($E40,Trigger)</f>
        <v>42144</v>
      </c>
      <c r="L40" s="30">
        <f>_xll.qlRateHelperLatestDate($E40,Trigger)</f>
        <v>42236</v>
      </c>
      <c r="O40" s="295" t="b">
        <f t="shared" si="5"/>
        <v>0</v>
      </c>
      <c r="P40" s="305" t="b">
        <f>AND(_xll.qlIMMIsIMMcode(D40),O40)</f>
        <v>0</v>
      </c>
      <c r="Q40" s="303" t="b">
        <f>AND(NOT(_xll.qlIMMIsIMMcode(D40)),O40)</f>
        <v>0</v>
      </c>
    </row>
    <row r="41" spans="1:17" x14ac:dyDescent="0.2">
      <c r="A41" s="35" t="b">
        <v>1</v>
      </c>
      <c r="B41" s="36"/>
      <c r="C41" s="35" t="str">
        <f t="shared" si="4"/>
        <v>FUT3M</v>
      </c>
      <c r="D41" s="34" t="str">
        <v>M5</v>
      </c>
      <c r="E41" s="34" t="str">
        <f>Futures_3M!I15</f>
        <v>EUR_YC3MRH_FUT3MM5#0001</v>
      </c>
      <c r="F41" s="47">
        <f>_xll.qlRateHelperQuoteValue($E41,Trigger)</f>
        <v>99.8125</v>
      </c>
      <c r="G41" s="33">
        <f>_xll.qlFuturesRateHelperConvexityAdjustment($E41,Trigger)</f>
        <v>0</v>
      </c>
      <c r="H41" s="32" t="b">
        <v>1</v>
      </c>
      <c r="I41" s="32">
        <v>60</v>
      </c>
      <c r="J41" s="32">
        <v>21</v>
      </c>
      <c r="K41" s="31">
        <f>_xll.qlRateHelperEarliestDate($E41,Trigger)</f>
        <v>42172</v>
      </c>
      <c r="L41" s="30">
        <f>_xll.qlRateHelperLatestDate($E41,Trigger)</f>
        <v>42264</v>
      </c>
      <c r="O41" s="295" t="b">
        <f t="shared" si="5"/>
        <v>1</v>
      </c>
      <c r="P41" s="305" t="b">
        <f>AND(_xll.qlIMMIsIMMcode(D41),O41)</f>
        <v>1</v>
      </c>
      <c r="Q41" s="303" t="b">
        <f>AND(NOT(_xll.qlIMMIsIMMcode(D41)),O41)</f>
        <v>0</v>
      </c>
    </row>
    <row r="42" spans="1:17" x14ac:dyDescent="0.2">
      <c r="A42" s="35" t="b">
        <v>1</v>
      </c>
      <c r="B42" s="36"/>
      <c r="C42" s="35" t="str">
        <f t="shared" si="4"/>
        <v>FUT3M</v>
      </c>
      <c r="D42" s="34" t="str">
        <v>U5</v>
      </c>
      <c r="E42" s="34" t="str">
        <f>Futures_3M!I16</f>
        <v>EUR_YC3MRH_FUT3MU5#0001</v>
      </c>
      <c r="F42" s="47">
        <f>_xll.qlRateHelperQuoteValue($E42,Trigger)</f>
        <v>99.787499999999994</v>
      </c>
      <c r="G42" s="33">
        <f>_xll.qlFuturesRateHelperConvexityAdjustment($E42,Trigger)</f>
        <v>0</v>
      </c>
      <c r="H42" s="32" t="b">
        <v>1</v>
      </c>
      <c r="I42" s="32">
        <v>60</v>
      </c>
      <c r="J42" s="32">
        <v>21</v>
      </c>
      <c r="K42" s="31">
        <f>_xll.qlRateHelperEarliestDate($E42,Trigger)</f>
        <v>42263</v>
      </c>
      <c r="L42" s="30">
        <f>_xll.qlRateHelperLatestDate($E42,Trigger)</f>
        <v>42354</v>
      </c>
      <c r="O42" s="295" t="b">
        <f t="shared" si="5"/>
        <v>1</v>
      </c>
      <c r="P42" s="305" t="b">
        <f>AND(_xll.qlIMMIsIMMcode(D42),O42)</f>
        <v>1</v>
      </c>
      <c r="Q42" s="303" t="b">
        <f>AND(NOT(_xll.qlIMMIsIMMcode(D42)),O42)</f>
        <v>0</v>
      </c>
    </row>
    <row r="43" spans="1:17" x14ac:dyDescent="0.2">
      <c r="A43" s="35" t="b">
        <v>1</v>
      </c>
      <c r="B43" s="36"/>
      <c r="C43" s="35" t="str">
        <f t="shared" si="4"/>
        <v>FUT3M</v>
      </c>
      <c r="D43" s="34" t="str">
        <v>Z5</v>
      </c>
      <c r="E43" s="34" t="str">
        <f>Futures_3M!I17</f>
        <v>EUR_YC3MRH_FUT3MZ5#0001</v>
      </c>
      <c r="F43" s="47">
        <f>_xll.qlRateHelperQuoteValue($E43,Trigger)</f>
        <v>99.747500000000002</v>
      </c>
      <c r="G43" s="33">
        <f>_xll.qlFuturesRateHelperConvexityAdjustment($E43,Trigger)</f>
        <v>0</v>
      </c>
      <c r="H43" s="32" t="b">
        <v>1</v>
      </c>
      <c r="I43" s="32">
        <v>60</v>
      </c>
      <c r="J43" s="32">
        <v>21</v>
      </c>
      <c r="K43" s="31">
        <f>_xll.qlRateHelperEarliestDate($E43,Trigger)</f>
        <v>42354</v>
      </c>
      <c r="L43" s="30">
        <f>_xll.qlRateHelperLatestDate($E43,Trigger)</f>
        <v>42445</v>
      </c>
      <c r="O43" s="295" t="b">
        <f t="shared" si="5"/>
        <v>1</v>
      </c>
      <c r="P43" s="305" t="b">
        <f>AND(_xll.qlIMMIsIMMcode(D43),O43)</f>
        <v>1</v>
      </c>
      <c r="Q43" s="303" t="b">
        <f>AND(NOT(_xll.qlIMMIsIMMcode(D43)),O43)</f>
        <v>0</v>
      </c>
    </row>
    <row r="44" spans="1:17" x14ac:dyDescent="0.2">
      <c r="A44" s="35" t="b">
        <v>1</v>
      </c>
      <c r="B44" s="36"/>
      <c r="C44" s="35" t="str">
        <f t="shared" si="4"/>
        <v>FUT3M</v>
      </c>
      <c r="D44" s="34" t="str">
        <v>H6</v>
      </c>
      <c r="E44" s="34" t="str">
        <f>Futures_3M!I18</f>
        <v>EUR_YC3MRH_FUT3MH6#0001</v>
      </c>
      <c r="F44" s="47">
        <f>_xll.qlRateHelperQuoteValue($E44,Trigger)</f>
        <v>99.692499999999995</v>
      </c>
      <c r="G44" s="33">
        <f>_xll.qlFuturesRateHelperConvexityAdjustment($E44,Trigger)</f>
        <v>0</v>
      </c>
      <c r="H44" s="32" t="b">
        <v>1</v>
      </c>
      <c r="I44" s="32">
        <v>60</v>
      </c>
      <c r="J44" s="32">
        <v>21</v>
      </c>
      <c r="K44" s="31">
        <f>_xll.qlRateHelperEarliestDate($E44,Trigger)</f>
        <v>42445</v>
      </c>
      <c r="L44" s="30">
        <f>_xll.qlRateHelperLatestDate($E44,Trigger)</f>
        <v>42537</v>
      </c>
      <c r="O44" s="295" t="b">
        <f t="shared" si="5"/>
        <v>1</v>
      </c>
      <c r="P44" s="305" t="b">
        <f>AND(_xll.qlIMMIsIMMcode(D44),O44)</f>
        <v>1</v>
      </c>
      <c r="Q44" s="303" t="b">
        <f>AND(NOT(_xll.qlIMMIsIMMcode(D44)),O44)</f>
        <v>0</v>
      </c>
    </row>
    <row r="45" spans="1:17" x14ac:dyDescent="0.2">
      <c r="A45" s="35" t="b">
        <v>1</v>
      </c>
      <c r="B45" s="36"/>
      <c r="C45" s="35" t="str">
        <f t="shared" si="4"/>
        <v>FUT3M</v>
      </c>
      <c r="D45" s="34" t="str">
        <v>M6</v>
      </c>
      <c r="E45" s="34" t="str">
        <f>Futures_3M!I19</f>
        <v>EUR_YC3MRH_FUT3MM6#0001</v>
      </c>
      <c r="F45" s="47">
        <f>_xll.qlRateHelperQuoteValue($E45,Trigger)</f>
        <v>99.622500000000002</v>
      </c>
      <c r="G45" s="33">
        <f>_xll.qlFuturesRateHelperConvexityAdjustment($E45,Trigger)</f>
        <v>0</v>
      </c>
      <c r="H45" s="32" t="b">
        <v>1</v>
      </c>
      <c r="I45" s="32">
        <v>60</v>
      </c>
      <c r="J45" s="32">
        <v>21</v>
      </c>
      <c r="K45" s="31">
        <f>_xll.qlRateHelperEarliestDate($E45,Trigger)</f>
        <v>42536</v>
      </c>
      <c r="L45" s="30">
        <f>_xll.qlRateHelperLatestDate($E45,Trigger)</f>
        <v>42628</v>
      </c>
      <c r="O45" s="295" t="b">
        <f t="shared" si="5"/>
        <v>1</v>
      </c>
      <c r="P45" s="305" t="b">
        <f>AND(_xll.qlIMMIsIMMcode(D45),O45)</f>
        <v>1</v>
      </c>
      <c r="Q45" s="303" t="b">
        <f>AND(NOT(_xll.qlIMMIsIMMcode(D45)),O45)</f>
        <v>0</v>
      </c>
    </row>
    <row r="46" spans="1:17" x14ac:dyDescent="0.2">
      <c r="A46" s="35" t="b">
        <v>1</v>
      </c>
      <c r="B46" s="36"/>
      <c r="C46" s="35" t="str">
        <f t="shared" si="4"/>
        <v>FUT3M</v>
      </c>
      <c r="D46" s="34" t="str">
        <v>U6</v>
      </c>
      <c r="E46" s="34" t="str">
        <f>Futures_3M!I20</f>
        <v>EUR_YC3MRH_FUT3MU6#0001</v>
      </c>
      <c r="F46" s="47">
        <f>_xll.qlRateHelperQuoteValue($E46,Trigger)</f>
        <v>99.534999999999997</v>
      </c>
      <c r="G46" s="33">
        <f>_xll.qlFuturesRateHelperConvexityAdjustment($E46,Trigger)</f>
        <v>0</v>
      </c>
      <c r="H46" s="32" t="b">
        <v>1</v>
      </c>
      <c r="I46" s="32">
        <v>30</v>
      </c>
      <c r="J46" s="32">
        <v>21</v>
      </c>
      <c r="K46" s="31">
        <f>_xll.qlRateHelperEarliestDate($E46,Trigger)</f>
        <v>42634</v>
      </c>
      <c r="L46" s="30">
        <f>_xll.qlRateHelperLatestDate($E46,Trigger)</f>
        <v>42725</v>
      </c>
      <c r="O46" s="295" t="b">
        <f t="shared" si="5"/>
        <v>1</v>
      </c>
      <c r="P46" s="305" t="b">
        <f>AND(_xll.qlIMMIsIMMcode(D46),O46)</f>
        <v>1</v>
      </c>
      <c r="Q46" s="303" t="b">
        <f>AND(NOT(_xll.qlIMMIsIMMcode(D46)),O46)</f>
        <v>0</v>
      </c>
    </row>
    <row r="47" spans="1:17" x14ac:dyDescent="0.2">
      <c r="A47" s="35" t="b">
        <v>1</v>
      </c>
      <c r="B47" s="36"/>
      <c r="C47" s="35" t="str">
        <f t="shared" si="4"/>
        <v>FUT3M</v>
      </c>
      <c r="D47" s="34" t="str">
        <v>Z6</v>
      </c>
      <c r="E47" s="34" t="str">
        <f>Futures_3M!I21</f>
        <v>EUR_YC3MRH_FUT3MZ6#0001</v>
      </c>
      <c r="F47" s="47">
        <f>_xll.qlRateHelperQuoteValue($E47,Trigger)</f>
        <v>99.442499999999995</v>
      </c>
      <c r="G47" s="33">
        <f>_xll.qlFuturesRateHelperConvexityAdjustment($E47,Trigger)</f>
        <v>0</v>
      </c>
      <c r="H47" s="32" t="b">
        <v>1</v>
      </c>
      <c r="I47" s="32">
        <v>30</v>
      </c>
      <c r="J47" s="32">
        <v>21</v>
      </c>
      <c r="K47" s="31">
        <f>_xll.qlRateHelperEarliestDate($E47,Trigger)</f>
        <v>42725</v>
      </c>
      <c r="L47" s="30">
        <f>_xll.qlRateHelperLatestDate($E47,Trigger)</f>
        <v>42815</v>
      </c>
      <c r="O47" s="295" t="b">
        <f t="shared" si="5"/>
        <v>1</v>
      </c>
      <c r="P47" s="305" t="b">
        <f>AND(_xll.qlIMMIsIMMcode(D47),O47)</f>
        <v>1</v>
      </c>
      <c r="Q47" s="303" t="b">
        <f>AND(NOT(_xll.qlIMMIsIMMcode(D47)),O47)</f>
        <v>0</v>
      </c>
    </row>
    <row r="48" spans="1:17" x14ac:dyDescent="0.2">
      <c r="A48" s="35" t="b">
        <v>1</v>
      </c>
      <c r="B48" s="36"/>
      <c r="C48" s="35" t="str">
        <f t="shared" si="4"/>
        <v>FUT3M</v>
      </c>
      <c r="D48" s="34" t="str">
        <v>H7</v>
      </c>
      <c r="E48" s="34" t="str">
        <f>Futures_3M!I22</f>
        <v>EUR_YC3MRH_FUT3MH7#0001</v>
      </c>
      <c r="F48" s="47">
        <f>_xll.qlRateHelperQuoteValue($E48,Trigger)</f>
        <v>99.347499999999997</v>
      </c>
      <c r="G48" s="33">
        <f>_xll.qlFuturesRateHelperConvexityAdjustment($E48,Trigger)</f>
        <v>0</v>
      </c>
      <c r="H48" s="32" t="b">
        <v>1</v>
      </c>
      <c r="I48" s="32">
        <v>30</v>
      </c>
      <c r="J48" s="32">
        <v>21</v>
      </c>
      <c r="K48" s="31">
        <f>_xll.qlRateHelperEarliestDate($E48,Trigger)</f>
        <v>42809</v>
      </c>
      <c r="L48" s="30">
        <f>_xll.qlRateHelperLatestDate($E48,Trigger)</f>
        <v>42901</v>
      </c>
      <c r="O48" s="295" t="b">
        <f t="shared" si="5"/>
        <v>1</v>
      </c>
      <c r="P48" s="305" t="b">
        <f>AND(_xll.qlIMMIsIMMcode(D48),O48)</f>
        <v>1</v>
      </c>
      <c r="Q48" s="303" t="b">
        <f>AND(NOT(_xll.qlIMMIsIMMcode(D48)),O48)</f>
        <v>0</v>
      </c>
    </row>
    <row r="49" spans="1:17" x14ac:dyDescent="0.2">
      <c r="A49" s="35" t="b">
        <v>1</v>
      </c>
      <c r="B49" s="36"/>
      <c r="C49" s="35" t="str">
        <f t="shared" si="4"/>
        <v>FUT3M</v>
      </c>
      <c r="D49" s="34" t="str">
        <v>M7</v>
      </c>
      <c r="E49" s="34" t="str">
        <f>Futures_3M!I23</f>
        <v>EUR_YC3MRH_FUT3MM7#0001</v>
      </c>
      <c r="F49" s="47">
        <f>_xll.qlRateHelperQuoteValue($E49,Trigger)</f>
        <v>99.22999999999999</v>
      </c>
      <c r="G49" s="33">
        <f>_xll.qlFuturesRateHelperConvexityAdjustment($E49,Trigger)</f>
        <v>0</v>
      </c>
      <c r="H49" s="32" t="b">
        <v>1</v>
      </c>
      <c r="I49" s="32">
        <v>30</v>
      </c>
      <c r="J49" s="32">
        <v>21</v>
      </c>
      <c r="K49" s="31">
        <f>_xll.qlRateHelperEarliestDate($E49,Trigger)</f>
        <v>42907</v>
      </c>
      <c r="L49" s="30">
        <f>_xll.qlRateHelperLatestDate($E49,Trigger)</f>
        <v>42999</v>
      </c>
      <c r="O49" s="295" t="b">
        <f t="shared" si="5"/>
        <v>1</v>
      </c>
      <c r="P49" s="305" t="b">
        <f>AND(_xll.qlIMMIsIMMcode(D49),O49)</f>
        <v>1</v>
      </c>
      <c r="Q49" s="303" t="b">
        <f>AND(NOT(_xll.qlIMMIsIMMcode(D49)),O49)</f>
        <v>0</v>
      </c>
    </row>
    <row r="50" spans="1:17" x14ac:dyDescent="0.2">
      <c r="A50" s="35" t="b">
        <v>1</v>
      </c>
      <c r="B50" s="36"/>
      <c r="C50" s="35" t="str">
        <f t="shared" si="4"/>
        <v>FUT3M</v>
      </c>
      <c r="D50" s="34" t="str">
        <v>U7</v>
      </c>
      <c r="E50" s="34" t="str">
        <f>Futures_3M!I24</f>
        <v>EUR_YC3MRH_FUT3MU7#0001</v>
      </c>
      <c r="F50" s="47">
        <f>_xll.qlRateHelperQuoteValue($E50,Trigger)</f>
        <v>99.11</v>
      </c>
      <c r="G50" s="33">
        <f>_xll.qlFuturesRateHelperConvexityAdjustment($E50,Trigger)</f>
        <v>0</v>
      </c>
      <c r="H50" s="32" t="b">
        <v>1</v>
      </c>
      <c r="I50" s="32">
        <v>30</v>
      </c>
      <c r="J50" s="32">
        <v>21</v>
      </c>
      <c r="K50" s="31">
        <f>_xll.qlRateHelperEarliestDate($E50,Trigger)</f>
        <v>42998</v>
      </c>
      <c r="L50" s="30">
        <f>_xll.qlRateHelperLatestDate($E50,Trigger)</f>
        <v>43089</v>
      </c>
      <c r="O50" s="295" t="b">
        <f t="shared" si="5"/>
        <v>1</v>
      </c>
      <c r="P50" s="305" t="b">
        <f>AND(_xll.qlIMMIsIMMcode(D50),O50)</f>
        <v>1</v>
      </c>
      <c r="Q50" s="303" t="b">
        <f>AND(NOT(_xll.qlIMMIsIMMcode(D50)),O50)</f>
        <v>0</v>
      </c>
    </row>
    <row r="51" spans="1:17" x14ac:dyDescent="0.2">
      <c r="A51" s="35" t="b">
        <v>1</v>
      </c>
      <c r="B51" s="36"/>
      <c r="C51" s="35" t="str">
        <f t="shared" si="4"/>
        <v>FUT3M</v>
      </c>
      <c r="D51" s="34" t="str">
        <v>Z7</v>
      </c>
      <c r="E51" s="34" t="str">
        <f>Futures_3M!I25</f>
        <v>EUR_YC3MRH_FUT3MZ7#0001</v>
      </c>
      <c r="F51" s="47">
        <f>_xll.qlRateHelperQuoteValue($E51,Trigger)</f>
        <v>98.990000000000009</v>
      </c>
      <c r="G51" s="33">
        <f>_xll.qlFuturesRateHelperConvexityAdjustment($E51,Trigger)</f>
        <v>0</v>
      </c>
      <c r="H51" s="32" t="b">
        <v>1</v>
      </c>
      <c r="I51" s="32">
        <v>30</v>
      </c>
      <c r="J51" s="32">
        <v>21</v>
      </c>
      <c r="K51" s="31">
        <f>_xll.qlRateHelperEarliestDate($E51,Trigger)</f>
        <v>43089</v>
      </c>
      <c r="L51" s="30">
        <f>_xll.qlRateHelperLatestDate($E51,Trigger)</f>
        <v>43179</v>
      </c>
      <c r="O51" s="295" t="b">
        <f t="shared" si="5"/>
        <v>1</v>
      </c>
      <c r="P51" s="305" t="b">
        <f>AND(_xll.qlIMMIsIMMcode(D51),O51)</f>
        <v>1</v>
      </c>
      <c r="Q51" s="303" t="b">
        <f>AND(NOT(_xll.qlIMMIsIMMcode(D51)),O51)</f>
        <v>0</v>
      </c>
    </row>
    <row r="52" spans="1:17" x14ac:dyDescent="0.2">
      <c r="A52" s="35" t="b">
        <v>1</v>
      </c>
      <c r="B52" s="36"/>
      <c r="C52" s="35" t="str">
        <f t="shared" si="4"/>
        <v>FUT3M</v>
      </c>
      <c r="D52" s="34" t="str">
        <v>H8</v>
      </c>
      <c r="E52" s="34" t="str">
        <f>Futures_3M!I26</f>
        <v>EUR_YC3MRH_FUT3MH8#0001</v>
      </c>
      <c r="F52" s="47">
        <f>_xll.qlRateHelperQuoteValue($E52,Trigger)</f>
        <v>98.88</v>
      </c>
      <c r="G52" s="33">
        <f>_xll.qlFuturesRateHelperConvexityAdjustment($E52,Trigger)</f>
        <v>0</v>
      </c>
      <c r="H52" s="32" t="b">
        <v>1</v>
      </c>
      <c r="I52" s="32">
        <v>30</v>
      </c>
      <c r="J52" s="32">
        <v>21</v>
      </c>
      <c r="K52" s="31">
        <f>_xll.qlRateHelperEarliestDate($E52,Trigger)</f>
        <v>43180</v>
      </c>
      <c r="L52" s="30">
        <f>_xll.qlRateHelperLatestDate($E52,Trigger)</f>
        <v>43272</v>
      </c>
      <c r="O52" s="295" t="b">
        <f t="shared" si="5"/>
        <v>1</v>
      </c>
      <c r="P52" s="305" t="b">
        <f>AND(_xll.qlIMMIsIMMcode(D52),O52)</f>
        <v>1</v>
      </c>
      <c r="Q52" s="303" t="b">
        <f>AND(NOT(_xll.qlIMMIsIMMcode(D52)),O52)</f>
        <v>0</v>
      </c>
    </row>
    <row r="53" spans="1:17" x14ac:dyDescent="0.2">
      <c r="A53" s="35" t="b">
        <v>1</v>
      </c>
      <c r="B53" s="36"/>
      <c r="C53" s="35" t="str">
        <f t="shared" si="4"/>
        <v>FUT3M</v>
      </c>
      <c r="D53" s="34" t="str">
        <v>M8</v>
      </c>
      <c r="E53" s="34" t="str">
        <f>Futures_3M!I27</f>
        <v>EUR_YC3MRH_FUT3MM8#0001</v>
      </c>
      <c r="F53" s="47">
        <f>_xll.qlRateHelperQuoteValue($E53,Trigger)</f>
        <v>98.772500000000008</v>
      </c>
      <c r="G53" s="33">
        <f>_xll.qlFuturesRateHelperConvexityAdjustment($E53,Trigger)</f>
        <v>0</v>
      </c>
      <c r="H53" s="32" t="b">
        <v>1</v>
      </c>
      <c r="I53" s="32">
        <v>30</v>
      </c>
      <c r="J53" s="32">
        <v>21</v>
      </c>
      <c r="K53" s="31">
        <f>_xll.qlRateHelperEarliestDate($E53,Trigger)</f>
        <v>43271</v>
      </c>
      <c r="L53" s="30">
        <f>_xll.qlRateHelperLatestDate($E53,Trigger)</f>
        <v>43363</v>
      </c>
      <c r="O53" s="295" t="b">
        <f t="shared" si="5"/>
        <v>1</v>
      </c>
      <c r="P53" s="305" t="b">
        <f>AND(_xll.qlIMMIsIMMcode(D53),O53)</f>
        <v>1</v>
      </c>
      <c r="Q53" s="303" t="b">
        <f>AND(NOT(_xll.qlIMMIsIMMcode(D53)),O53)</f>
        <v>0</v>
      </c>
    </row>
    <row r="54" spans="1:17" x14ac:dyDescent="0.2">
      <c r="A54" s="35" t="b">
        <v>1</v>
      </c>
      <c r="B54" s="36"/>
      <c r="C54" s="35" t="str">
        <f t="shared" si="4"/>
        <v>FUT3M</v>
      </c>
      <c r="D54" s="34" t="str">
        <v>U8</v>
      </c>
      <c r="E54" s="34" t="str">
        <f>Futures_3M!I28</f>
        <v>EUR_YC3MRH_FUT3MU8#0001</v>
      </c>
      <c r="F54" s="47">
        <f>_xll.qlRateHelperQuoteValue($E54,Trigger)</f>
        <v>98.662499999999994</v>
      </c>
      <c r="G54" s="33">
        <f>_xll.qlFuturesRateHelperConvexityAdjustment($E54,Trigger)</f>
        <v>0</v>
      </c>
      <c r="H54" s="32" t="b">
        <v>1</v>
      </c>
      <c r="I54" s="32">
        <v>30</v>
      </c>
      <c r="J54" s="32">
        <v>21</v>
      </c>
      <c r="K54" s="31">
        <f>_xll.qlRateHelperEarliestDate($E54,Trigger)</f>
        <v>43362</v>
      </c>
      <c r="L54" s="30">
        <f>_xll.qlRateHelperLatestDate($E54,Trigger)</f>
        <v>43453</v>
      </c>
      <c r="O54" s="295" t="b">
        <f t="shared" si="5"/>
        <v>1</v>
      </c>
      <c r="P54" s="305" t="b">
        <f>AND(_xll.qlIMMIsIMMcode(D54),O54)</f>
        <v>1</v>
      </c>
      <c r="Q54" s="303" t="b">
        <f>AND(NOT(_xll.qlIMMIsIMMcode(D54)),O54)</f>
        <v>0</v>
      </c>
    </row>
    <row r="55" spans="1:17" x14ac:dyDescent="0.2">
      <c r="A55" s="35" t="b">
        <v>1</v>
      </c>
      <c r="B55" s="36"/>
      <c r="C55" s="35" t="str">
        <f t="shared" si="4"/>
        <v>FUT3M</v>
      </c>
      <c r="D55" s="34" t="str">
        <v>Z8</v>
      </c>
      <c r="E55" s="34" t="str">
        <f>Futures_3M!I29</f>
        <v>EUR_YC3MRH_FUT3MZ8#0001</v>
      </c>
      <c r="F55" s="47">
        <f>_xll.qlRateHelperQuoteValue($E55,Trigger)</f>
        <v>98.550000000000011</v>
      </c>
      <c r="G55" s="33">
        <f>_xll.qlFuturesRateHelperConvexityAdjustment($E55,Trigger)</f>
        <v>0</v>
      </c>
      <c r="H55" s="32" t="b">
        <v>1</v>
      </c>
      <c r="I55" s="32">
        <v>30</v>
      </c>
      <c r="J55" s="32">
        <v>21</v>
      </c>
      <c r="K55" s="31">
        <f>_xll.qlRateHelperEarliestDate($E55,Trigger)</f>
        <v>43453</v>
      </c>
      <c r="L55" s="30">
        <f>_xll.qlRateHelperLatestDate($E55,Trigger)</f>
        <v>43543</v>
      </c>
      <c r="O55" s="295" t="b">
        <f t="shared" si="5"/>
        <v>1</v>
      </c>
      <c r="P55" s="305" t="b">
        <f>AND(_xll.qlIMMIsIMMcode(D55),O55)</f>
        <v>1</v>
      </c>
      <c r="Q55" s="303" t="b">
        <f>AND(NOT(_xll.qlIMMIsIMMcode(D55)),O55)</f>
        <v>0</v>
      </c>
    </row>
    <row r="56" spans="1:17" x14ac:dyDescent="0.2">
      <c r="A56" s="35" t="b">
        <v>1</v>
      </c>
      <c r="B56" s="36"/>
      <c r="C56" s="35" t="str">
        <f t="shared" si="4"/>
        <v>FUT3M</v>
      </c>
      <c r="D56" s="34" t="str">
        <v>H9</v>
      </c>
      <c r="E56" s="34" t="str">
        <f>Futures_3M!I30</f>
        <v>EUR_YC3MRH_FUT3MH9#0001</v>
      </c>
      <c r="F56" s="47">
        <f>_xll.qlRateHelperQuoteValue($E56,Trigger)</f>
        <v>98.444999999999993</v>
      </c>
      <c r="G56" s="33">
        <f>_xll.qlFuturesRateHelperConvexityAdjustment($E56,Trigger)</f>
        <v>0</v>
      </c>
      <c r="H56" s="32" t="b">
        <v>1</v>
      </c>
      <c r="I56" s="32">
        <v>30</v>
      </c>
      <c r="J56" s="32">
        <v>21</v>
      </c>
      <c r="K56" s="31">
        <f>_xll.qlRateHelperEarliestDate($E56,Trigger)</f>
        <v>43544</v>
      </c>
      <c r="L56" s="30">
        <f>_xll.qlRateHelperLatestDate($E56,Trigger)</f>
        <v>43636</v>
      </c>
      <c r="O56" s="295" t="b">
        <f t="shared" si="5"/>
        <v>1</v>
      </c>
      <c r="P56" s="305" t="b">
        <f>AND(_xll.qlIMMIsIMMcode(D56),O56)</f>
        <v>1</v>
      </c>
      <c r="Q56" s="303" t="b">
        <f>AND(NOT(_xll.qlIMMIsIMMcode(D56)),O56)</f>
        <v>0</v>
      </c>
    </row>
    <row r="57" spans="1:17" x14ac:dyDescent="0.2">
      <c r="A57" s="35" t="b">
        <v>1</v>
      </c>
      <c r="B57" s="36"/>
      <c r="C57" s="35" t="str">
        <f t="shared" si="4"/>
        <v>FUT3M</v>
      </c>
      <c r="D57" s="34" t="str">
        <v>M9</v>
      </c>
      <c r="E57" s="34" t="str">
        <f>Futures_3M!I31</f>
        <v>EUR_YC3MRH_FUT3MM9#0001</v>
      </c>
      <c r="F57" s="47">
        <f>_xll.qlRateHelperQuoteValue($E57,Trigger)</f>
        <v>98.34</v>
      </c>
      <c r="G57" s="33">
        <f>_xll.qlFuturesRateHelperConvexityAdjustment($E57,Trigger)</f>
        <v>0</v>
      </c>
      <c r="H57" s="32" t="b">
        <v>1</v>
      </c>
      <c r="I57" s="32">
        <v>30</v>
      </c>
      <c r="J57" s="32">
        <v>21</v>
      </c>
      <c r="K57" s="31">
        <f>_xll.qlRateHelperEarliestDate($E57,Trigger)</f>
        <v>43635</v>
      </c>
      <c r="L57" s="30">
        <f>_xll.qlRateHelperLatestDate($E57,Trigger)</f>
        <v>43727</v>
      </c>
      <c r="O57" s="295" t="b">
        <f t="shared" si="5"/>
        <v>1</v>
      </c>
      <c r="P57" s="305" t="b">
        <f>AND(_xll.qlIMMIsIMMcode(D57),O57)</f>
        <v>1</v>
      </c>
      <c r="Q57" s="303" t="b">
        <f>AND(NOT(_xll.qlIMMIsIMMcode(D57)),O57)</f>
        <v>0</v>
      </c>
    </row>
    <row r="58" spans="1:17" x14ac:dyDescent="0.2">
      <c r="A58" s="35" t="b">
        <v>1</v>
      </c>
      <c r="B58" s="36"/>
      <c r="C58" s="35" t="str">
        <f t="shared" si="4"/>
        <v>FUT3M</v>
      </c>
      <c r="D58" s="34" t="str">
        <v>U9</v>
      </c>
      <c r="E58" s="34" t="str">
        <f>Futures_3M!I32</f>
        <v>EUR_YC3MRH_FUT3MU9#0001</v>
      </c>
      <c r="F58" s="47">
        <f>_xll.qlRateHelperQuoteValue($E58,Trigger)</f>
        <v>98.234999999999999</v>
      </c>
      <c r="G58" s="33">
        <f>_xll.qlFuturesRateHelperConvexityAdjustment($E58,Trigger)</f>
        <v>0</v>
      </c>
      <c r="H58" s="32" t="b">
        <v>1</v>
      </c>
      <c r="I58" s="32">
        <v>30</v>
      </c>
      <c r="J58" s="32">
        <v>21</v>
      </c>
      <c r="K58" s="31">
        <f>_xll.qlRateHelperEarliestDate($E58,Trigger)</f>
        <v>43726</v>
      </c>
      <c r="L58" s="30">
        <f>_xll.qlRateHelperLatestDate($E58,Trigger)</f>
        <v>43817</v>
      </c>
      <c r="O58" s="295" t="b">
        <f t="shared" si="5"/>
        <v>1</v>
      </c>
      <c r="P58" s="305" t="b">
        <f>AND(_xll.qlIMMIsIMMcode(D58),O58)</f>
        <v>1</v>
      </c>
      <c r="Q58" s="303" t="b">
        <f>AND(NOT(_xll.qlIMMIsIMMcode(D58)),O58)</f>
        <v>0</v>
      </c>
    </row>
    <row r="59" spans="1:17" x14ac:dyDescent="0.2">
      <c r="A59" s="35" t="b">
        <v>1</v>
      </c>
      <c r="B59" s="36"/>
      <c r="C59" s="35" t="str">
        <f t="shared" si="4"/>
        <v>FUT3M</v>
      </c>
      <c r="D59" s="34" t="str">
        <v>Z9</v>
      </c>
      <c r="E59" s="34" t="str">
        <f>Futures_3M!I33</f>
        <v>EUR_YC3MRH_FUT3MZ9#0001</v>
      </c>
      <c r="F59" s="47">
        <f>_xll.qlRateHelperQuoteValue($E59,Trigger)</f>
        <v>98.142499999999998</v>
      </c>
      <c r="G59" s="33">
        <f>_xll.qlFuturesRateHelperConvexityAdjustment($E59,Trigger)</f>
        <v>0</v>
      </c>
      <c r="H59" s="32" t="b">
        <v>1</v>
      </c>
      <c r="I59" s="32">
        <v>30</v>
      </c>
      <c r="J59" s="32">
        <v>21</v>
      </c>
      <c r="K59" s="31">
        <f>_xll.qlRateHelperEarliestDate($E59,Trigger)</f>
        <v>43817</v>
      </c>
      <c r="L59" s="30">
        <f>_xll.qlRateHelperLatestDate($E59,Trigger)</f>
        <v>43908</v>
      </c>
      <c r="O59" s="295" t="b">
        <f t="shared" si="5"/>
        <v>1</v>
      </c>
      <c r="P59" s="305" t="b">
        <f>AND(_xll.qlIMMIsIMMcode(D59),O59)</f>
        <v>1</v>
      </c>
      <c r="Q59" s="303" t="b">
        <f>AND(NOT(_xll.qlIMMIsIMMcode(D59)),O59)</f>
        <v>0</v>
      </c>
    </row>
    <row r="60" spans="1:17" x14ac:dyDescent="0.2">
      <c r="A60" s="35" t="b">
        <v>1</v>
      </c>
      <c r="B60" s="36"/>
      <c r="C60" s="35" t="str">
        <f t="shared" si="4"/>
        <v>FUT3M</v>
      </c>
      <c r="D60" s="34" t="str">
        <v>H0</v>
      </c>
      <c r="E60" s="34" t="str">
        <f>Futures_3M!I34</f>
        <v>EUR_YC3MRH_FUT3MH0#0001</v>
      </c>
      <c r="F60" s="47">
        <f>_xll.qlRateHelperQuoteValue($E60,Trigger)</f>
        <v>98.047499999999999</v>
      </c>
      <c r="G60" s="33">
        <f>_xll.qlFuturesRateHelperConvexityAdjustment($E60,Trigger)</f>
        <v>0</v>
      </c>
      <c r="H60" s="32" t="b">
        <v>1</v>
      </c>
      <c r="I60" s="32">
        <v>30</v>
      </c>
      <c r="J60" s="32">
        <v>21</v>
      </c>
      <c r="K60" s="31">
        <f>_xll.qlRateHelperEarliestDate($E60,Trigger)</f>
        <v>43908</v>
      </c>
      <c r="L60" s="30">
        <f>_xll.qlRateHelperLatestDate($E60,Trigger)</f>
        <v>44000</v>
      </c>
      <c r="O60" s="295" t="b">
        <f t="shared" si="5"/>
        <v>1</v>
      </c>
      <c r="P60" s="305" t="b">
        <f>AND(_xll.qlIMMIsIMMcode(D60),O60)</f>
        <v>1</v>
      </c>
      <c r="Q60" s="303" t="b">
        <f>AND(NOT(_xll.qlIMMIsIMMcode(D60)),O60)</f>
        <v>0</v>
      </c>
    </row>
    <row r="61" spans="1:17" x14ac:dyDescent="0.2">
      <c r="A61" s="35" t="b">
        <v>1</v>
      </c>
      <c r="B61" s="36"/>
      <c r="C61" s="35" t="str">
        <f t="shared" si="4"/>
        <v>FUT3M</v>
      </c>
      <c r="D61" s="34" t="str">
        <v>M0</v>
      </c>
      <c r="E61" s="34" t="str">
        <f>Futures_3M!I35</f>
        <v>EUR_YC3MRH_FUT3MM0#0001</v>
      </c>
      <c r="F61" s="47" t="e">
        <f>_xll.qlRateHelperQuoteValue($E61,Trigger)</f>
        <v>#NUM!</v>
      </c>
      <c r="G61" s="33" t="e">
        <f>_xll.qlFuturesRateHelperConvexityAdjustment($E61,Trigger)</f>
        <v>#NUM!</v>
      </c>
      <c r="H61" s="32" t="b">
        <v>1</v>
      </c>
      <c r="I61" s="32">
        <v>30</v>
      </c>
      <c r="J61" s="32">
        <v>21</v>
      </c>
      <c r="K61" s="31">
        <f>_xll.qlRateHelperEarliestDate($E61,Trigger)</f>
        <v>43999</v>
      </c>
      <c r="L61" s="30">
        <f>_xll.qlRateHelperLatestDate($E61,Trigger)</f>
        <v>44091</v>
      </c>
      <c r="O61" s="295" t="b">
        <f t="shared" si="5"/>
        <v>0</v>
      </c>
      <c r="P61" s="305" t="b">
        <f>AND(_xll.qlIMMIsIMMcode(D61),O61)</f>
        <v>0</v>
      </c>
      <c r="Q61" s="303" t="b">
        <f>AND(NOT(_xll.qlIMMIsIMMcode(D61)),O61)</f>
        <v>0</v>
      </c>
    </row>
    <row r="62" spans="1:17" x14ac:dyDescent="0.2">
      <c r="A62" s="35" t="b">
        <v>1</v>
      </c>
      <c r="B62" s="36"/>
      <c r="C62" s="35" t="str">
        <f t="shared" si="4"/>
        <v>FUT3M</v>
      </c>
      <c r="D62" s="34" t="str">
        <v>U0</v>
      </c>
      <c r="E62" s="34" t="str">
        <f>Futures_3M!I36</f>
        <v>EUR_YC3MRH_FUT3MU0#0001</v>
      </c>
      <c r="F62" s="47" t="e">
        <f>_xll.qlRateHelperQuoteValue($E62,Trigger)</f>
        <v>#NUM!</v>
      </c>
      <c r="G62" s="33" t="e">
        <f>_xll.qlFuturesRateHelperConvexityAdjustment($E62,Trigger)</f>
        <v>#NUM!</v>
      </c>
      <c r="H62" s="32" t="b">
        <v>1</v>
      </c>
      <c r="I62" s="32">
        <v>30</v>
      </c>
      <c r="J62" s="32">
        <v>21</v>
      </c>
      <c r="K62" s="31">
        <f>_xll.qlRateHelperEarliestDate($E62,Trigger)</f>
        <v>44090</v>
      </c>
      <c r="L62" s="30">
        <f>_xll.qlRateHelperLatestDate($E62,Trigger)</f>
        <v>44181</v>
      </c>
      <c r="O62" s="295" t="b">
        <f t="shared" si="5"/>
        <v>0</v>
      </c>
      <c r="P62" s="305" t="b">
        <f>AND(_xll.qlIMMIsIMMcode(D62),O62)</f>
        <v>0</v>
      </c>
      <c r="Q62" s="303" t="b">
        <f>AND(NOT(_xll.qlIMMIsIMMcode(D62)),O62)</f>
        <v>0</v>
      </c>
    </row>
    <row r="63" spans="1:17" x14ac:dyDescent="0.2">
      <c r="A63" s="35" t="b">
        <v>1</v>
      </c>
      <c r="B63" s="36"/>
      <c r="C63" s="35" t="str">
        <f t="shared" si="4"/>
        <v>FUT3M</v>
      </c>
      <c r="D63" s="34" t="str">
        <v>Z0</v>
      </c>
      <c r="E63" s="34" t="str">
        <f>Futures_3M!I37</f>
        <v>EUR_YC3MRH_FUT3MZ0#0001</v>
      </c>
      <c r="F63" s="47" t="e">
        <f>_xll.qlRateHelperQuoteValue($E63,Trigger)</f>
        <v>#NUM!</v>
      </c>
      <c r="G63" s="33" t="e">
        <f>_xll.qlFuturesRateHelperConvexityAdjustment($E63,Trigger)</f>
        <v>#NUM!</v>
      </c>
      <c r="H63" s="32" t="b">
        <v>1</v>
      </c>
      <c r="I63" s="32">
        <v>30</v>
      </c>
      <c r="J63" s="32">
        <v>21</v>
      </c>
      <c r="K63" s="31">
        <f>_xll.qlRateHelperEarliestDate($E63,Trigger)</f>
        <v>44181</v>
      </c>
      <c r="L63" s="30">
        <f>_xll.qlRateHelperLatestDate($E63,Trigger)</f>
        <v>44271</v>
      </c>
      <c r="O63" s="295" t="b">
        <f t="shared" si="5"/>
        <v>0</v>
      </c>
      <c r="P63" s="305" t="b">
        <f>AND(_xll.qlIMMIsIMMcode(D63),O63)</f>
        <v>0</v>
      </c>
      <c r="Q63" s="303" t="b">
        <f>AND(NOT(_xll.qlIMMIsIMMcode(D63)),O63)</f>
        <v>0</v>
      </c>
    </row>
    <row r="64" spans="1:17" x14ac:dyDescent="0.2">
      <c r="A64" s="35" t="b">
        <v>1</v>
      </c>
      <c r="B64" s="36"/>
      <c r="C64" s="35" t="str">
        <f t="shared" si="4"/>
        <v>FUT3M</v>
      </c>
      <c r="D64" s="34" t="str">
        <v>H1</v>
      </c>
      <c r="E64" s="34" t="str">
        <f>Futures_3M!I38</f>
        <v>EUR_YC3MRH_FUT3MH1#0001</v>
      </c>
      <c r="F64" s="47" t="e">
        <f>_xll.qlRateHelperQuoteValue($E64,Trigger)</f>
        <v>#NUM!</v>
      </c>
      <c r="G64" s="33" t="e">
        <f>_xll.qlFuturesRateHelperConvexityAdjustment($E64,Trigger)</f>
        <v>#NUM!</v>
      </c>
      <c r="H64" s="32" t="b">
        <v>1</v>
      </c>
      <c r="I64" s="32">
        <v>30</v>
      </c>
      <c r="J64" s="32">
        <v>21</v>
      </c>
      <c r="K64" s="31">
        <f>_xll.qlRateHelperEarliestDate($E64,Trigger)</f>
        <v>44272</v>
      </c>
      <c r="L64" s="30">
        <f>_xll.qlRateHelperLatestDate($E64,Trigger)</f>
        <v>44364</v>
      </c>
      <c r="O64" s="295" t="b">
        <f t="shared" si="5"/>
        <v>0</v>
      </c>
      <c r="P64" s="305" t="b">
        <f>AND(_xll.qlIMMIsIMMcode(D64),O64)</f>
        <v>0</v>
      </c>
      <c r="Q64" s="303" t="b">
        <f>AND(NOT(_xll.qlIMMIsIMMcode(D64)),O64)</f>
        <v>0</v>
      </c>
    </row>
    <row r="65" spans="1:17" x14ac:dyDescent="0.2">
      <c r="A65" s="35" t="b">
        <v>1</v>
      </c>
      <c r="B65" s="36"/>
      <c r="C65" s="35" t="str">
        <f t="shared" si="4"/>
        <v>FUT3M</v>
      </c>
      <c r="D65" s="34" t="str">
        <v>M1</v>
      </c>
      <c r="E65" s="34" t="str">
        <f>Futures_3M!I39</f>
        <v>EUR_YC3MRH_FUT3MM1#0001</v>
      </c>
      <c r="F65" s="47" t="e">
        <f>_xll.qlRateHelperQuoteValue($E65,Trigger)</f>
        <v>#NUM!</v>
      </c>
      <c r="G65" s="33" t="e">
        <f>_xll.qlFuturesRateHelperConvexityAdjustment($E65,Trigger)</f>
        <v>#NUM!</v>
      </c>
      <c r="H65" s="32" t="b">
        <v>1</v>
      </c>
      <c r="I65" s="32">
        <v>30</v>
      </c>
      <c r="J65" s="32">
        <v>21</v>
      </c>
      <c r="K65" s="31">
        <f>_xll.qlRateHelperEarliestDate($E65,Trigger)</f>
        <v>44363</v>
      </c>
      <c r="L65" s="30">
        <f>_xll.qlRateHelperLatestDate($E65,Trigger)</f>
        <v>44455</v>
      </c>
      <c r="O65" s="295" t="b">
        <f t="shared" si="5"/>
        <v>0</v>
      </c>
      <c r="P65" s="305" t="b">
        <f>AND(_xll.qlIMMIsIMMcode(D65),O65)</f>
        <v>0</v>
      </c>
      <c r="Q65" s="303" t="b">
        <f>AND(NOT(_xll.qlIMMIsIMMcode(D65)),O65)</f>
        <v>0</v>
      </c>
    </row>
    <row r="66" spans="1:17" x14ac:dyDescent="0.2">
      <c r="A66" s="35" t="b">
        <v>1</v>
      </c>
      <c r="B66" s="36"/>
      <c r="C66" s="35" t="str">
        <f t="shared" si="4"/>
        <v>FUT3M</v>
      </c>
      <c r="D66" s="34" t="str">
        <v>U1</v>
      </c>
      <c r="E66" s="34" t="str">
        <f>Futures_3M!I40</f>
        <v>EUR_YC3MRH_FUT3MU1#0001</v>
      </c>
      <c r="F66" s="47" t="e">
        <f>_xll.qlRateHelperQuoteValue($E66,Trigger)</f>
        <v>#NUM!</v>
      </c>
      <c r="G66" s="33" t="e">
        <f>_xll.qlFuturesRateHelperConvexityAdjustment($E66,Trigger)</f>
        <v>#NUM!</v>
      </c>
      <c r="H66" s="32" t="b">
        <v>1</v>
      </c>
      <c r="I66" s="32">
        <v>30</v>
      </c>
      <c r="J66" s="32">
        <v>21</v>
      </c>
      <c r="K66" s="31">
        <f>_xll.qlRateHelperEarliestDate($E66,Trigger)</f>
        <v>44454</v>
      </c>
      <c r="L66" s="30">
        <f>_xll.qlRateHelperLatestDate($E66,Trigger)</f>
        <v>44545</v>
      </c>
      <c r="O66" s="295" t="b">
        <f t="shared" si="5"/>
        <v>0</v>
      </c>
      <c r="P66" s="305" t="b">
        <f>AND(_xll.qlIMMIsIMMcode(D66),O66)</f>
        <v>0</v>
      </c>
      <c r="Q66" s="303" t="b">
        <f>AND(NOT(_xll.qlIMMIsIMMcode(D66)),O66)</f>
        <v>0</v>
      </c>
    </row>
    <row r="67" spans="1:17" x14ac:dyDescent="0.2">
      <c r="A67" s="35" t="b">
        <v>1</v>
      </c>
      <c r="B67" s="36"/>
      <c r="C67" s="35" t="str">
        <f t="shared" si="4"/>
        <v>FUT3M</v>
      </c>
      <c r="D67" s="34" t="str">
        <v>Z1</v>
      </c>
      <c r="E67" s="34" t="str">
        <f>Futures_3M!I41</f>
        <v>EUR_YC3MRH_FUT3MZ1#0001</v>
      </c>
      <c r="F67" s="47" t="e">
        <f>_xll.qlRateHelperQuoteValue($E67,Trigger)</f>
        <v>#NUM!</v>
      </c>
      <c r="G67" s="33" t="e">
        <f>_xll.qlFuturesRateHelperConvexityAdjustment($E67,Trigger)</f>
        <v>#NUM!</v>
      </c>
      <c r="H67" s="32" t="b">
        <v>1</v>
      </c>
      <c r="I67" s="32">
        <v>30</v>
      </c>
      <c r="J67" s="32">
        <v>21</v>
      </c>
      <c r="K67" s="31">
        <f>_xll.qlRateHelperEarliestDate($E67,Trigger)</f>
        <v>44545</v>
      </c>
      <c r="L67" s="30">
        <f>_xll.qlRateHelperLatestDate($E67,Trigger)</f>
        <v>44635</v>
      </c>
      <c r="O67" s="295" t="b">
        <f t="shared" si="5"/>
        <v>0</v>
      </c>
      <c r="P67" s="305" t="b">
        <f>AND(_xll.qlIMMIsIMMcode(D67),O67)</f>
        <v>0</v>
      </c>
      <c r="Q67" s="303" t="b">
        <f>AND(NOT(_xll.qlIMMIsIMMcode(D67)),O67)</f>
        <v>0</v>
      </c>
    </row>
    <row r="68" spans="1:17" x14ac:dyDescent="0.2">
      <c r="A68" s="35" t="b">
        <v>1</v>
      </c>
      <c r="B68" s="36"/>
      <c r="C68" s="35" t="str">
        <f t="shared" si="4"/>
        <v>FUT3M</v>
      </c>
      <c r="D68" s="34" t="str">
        <v>H2</v>
      </c>
      <c r="E68" s="34" t="str">
        <f>Futures_3M!I42</f>
        <v>EUR_YC3MRH_FUT3MH2#0001</v>
      </c>
      <c r="F68" s="47" t="e">
        <f>_xll.qlRateHelperQuoteValue($E68,Trigger)</f>
        <v>#NUM!</v>
      </c>
      <c r="G68" s="33" t="e">
        <f>_xll.qlFuturesRateHelperConvexityAdjustment($E68,Trigger)</f>
        <v>#NUM!</v>
      </c>
      <c r="H68" s="32" t="b">
        <v>1</v>
      </c>
      <c r="I68" s="32">
        <v>30</v>
      </c>
      <c r="J68" s="32">
        <v>21</v>
      </c>
      <c r="K68" s="31">
        <f>_xll.qlRateHelperEarliestDate($E68,Trigger)</f>
        <v>44636</v>
      </c>
      <c r="L68" s="30">
        <f>_xll.qlRateHelperLatestDate($E68,Trigger)</f>
        <v>44728</v>
      </c>
      <c r="O68" s="295" t="b">
        <f t="shared" si="5"/>
        <v>0</v>
      </c>
      <c r="P68" s="305" t="b">
        <f>AND(_xll.qlIMMIsIMMcode(D68),O68)</f>
        <v>0</v>
      </c>
      <c r="Q68" s="303" t="b">
        <f>AND(NOT(_xll.qlIMMIsIMMcode(D68)),O68)</f>
        <v>0</v>
      </c>
    </row>
    <row r="69" spans="1:17" x14ac:dyDescent="0.2">
      <c r="A69" s="35" t="b">
        <v>1</v>
      </c>
      <c r="B69" s="36"/>
      <c r="C69" s="35" t="str">
        <f t="shared" si="4"/>
        <v>FUT3M</v>
      </c>
      <c r="D69" s="34" t="str">
        <v>M2</v>
      </c>
      <c r="E69" s="34" t="str">
        <f>Futures_3M!I43</f>
        <v>EUR_YC3MRH_FUT3MM2#0001</v>
      </c>
      <c r="F69" s="47" t="e">
        <f>_xll.qlRateHelperQuoteValue($E69,Trigger)</f>
        <v>#NUM!</v>
      </c>
      <c r="G69" s="33" t="e">
        <f>_xll.qlFuturesRateHelperConvexityAdjustment($E69,Trigger)</f>
        <v>#NUM!</v>
      </c>
      <c r="H69" s="32" t="b">
        <v>1</v>
      </c>
      <c r="I69" s="32">
        <v>30</v>
      </c>
      <c r="J69" s="32">
        <v>21</v>
      </c>
      <c r="K69" s="31">
        <f>_xll.qlRateHelperEarliestDate($E69,Trigger)</f>
        <v>44727</v>
      </c>
      <c r="L69" s="30">
        <f>_xll.qlRateHelperLatestDate($E69,Trigger)</f>
        <v>44819</v>
      </c>
      <c r="O69" s="295" t="b">
        <f t="shared" si="5"/>
        <v>0</v>
      </c>
      <c r="P69" s="305" t="b">
        <f>AND(_xll.qlIMMIsIMMcode(D69),O69)</f>
        <v>0</v>
      </c>
      <c r="Q69" s="303" t="b">
        <f>AND(NOT(_xll.qlIMMIsIMMcode(D69)),O69)</f>
        <v>0</v>
      </c>
    </row>
    <row r="70" spans="1:17" x14ac:dyDescent="0.2">
      <c r="A70" s="28" t="b">
        <v>1</v>
      </c>
      <c r="B70" s="29"/>
      <c r="C70" s="28" t="str">
        <f t="shared" si="4"/>
        <v>FUT3M</v>
      </c>
      <c r="D70" s="27" t="str">
        <v>U2</v>
      </c>
      <c r="E70" s="27" t="str">
        <f>Futures_3M!I44</f>
        <v>EUR_YC3MRH_FUT3MU2#0001</v>
      </c>
      <c r="F70" s="46" t="e">
        <f>_xll.qlRateHelperQuoteValue($E70,Trigger)</f>
        <v>#NUM!</v>
      </c>
      <c r="G70" s="26" t="e">
        <f>_xll.qlFuturesRateHelperConvexityAdjustment($E70,Trigger)</f>
        <v>#NUM!</v>
      </c>
      <c r="H70" s="25" t="b">
        <v>1</v>
      </c>
      <c r="I70" s="25">
        <v>30</v>
      </c>
      <c r="J70" s="32">
        <v>21</v>
      </c>
      <c r="K70" s="24">
        <f>_xll.qlRateHelperEarliestDate($E70,Trigger)</f>
        <v>44825</v>
      </c>
      <c r="L70" s="23">
        <f>_xll.qlRateHelperLatestDate($E70,Trigger)</f>
        <v>44916</v>
      </c>
      <c r="O70" s="295" t="b">
        <f t="shared" si="5"/>
        <v>0</v>
      </c>
      <c r="P70" s="306" t="b">
        <f>AND(_xll.qlIMMIsIMMcode(D70),O70)</f>
        <v>0</v>
      </c>
      <c r="Q70" s="304" t="b">
        <f>AND(NOT(_xll.qlIMMIsIMMcode(D70)),O70)</f>
        <v>0</v>
      </c>
    </row>
    <row r="71" spans="1:17" ht="11.25" customHeight="1" x14ac:dyDescent="0.2">
      <c r="B71" s="44">
        <v>2</v>
      </c>
      <c r="C71" s="43"/>
      <c r="D71" s="42" t="s">
        <v>52</v>
      </c>
      <c r="E71" s="42" t="str">
        <f t="shared" ref="E71:E88" si="6">RateHelperPrefix&amp;"_"&amp;$B71&amp;$C71&amp;$D71</f>
        <v>EUR_YC3MRH_2X1S</v>
      </c>
      <c r="F71" s="41" t="e">
        <f>_xll.qlRateHelperQuoteValue($E71,Trigger)</f>
        <v>#NUM!</v>
      </c>
      <c r="G71" s="41" t="e">
        <f>_xll.qlSwapRateHelperSpread($E71,Trigger)</f>
        <v>#NUM!</v>
      </c>
      <c r="H71" s="40" t="b">
        <v>0</v>
      </c>
      <c r="I71" s="40">
        <v>40</v>
      </c>
      <c r="J71" s="40">
        <v>1</v>
      </c>
      <c r="K71" s="39" t="e">
        <f>_xll.qlRateHelperEarliestDate($E71,Trigger)</f>
        <v>#NUM!</v>
      </c>
      <c r="L71" s="38" t="e">
        <f>_xll.qlRateHelperLatestDate($E71,Trigger)</f>
        <v>#NUM!</v>
      </c>
      <c r="M71" s="37"/>
      <c r="O71" s="295"/>
    </row>
    <row r="72" spans="1:17" x14ac:dyDescent="0.2">
      <c r="B72" s="36">
        <v>3</v>
      </c>
      <c r="C72" s="35"/>
      <c r="D72" s="34" t="s">
        <v>52</v>
      </c>
      <c r="E72" s="34" t="str">
        <f t="shared" si="6"/>
        <v>EUR_YC3MRH_3X1S</v>
      </c>
      <c r="F72" s="33" t="e">
        <f>_xll.qlRateHelperQuoteValue($E72,Trigger)</f>
        <v>#NUM!</v>
      </c>
      <c r="G72" s="33" t="e">
        <f>_xll.qlSwapRateHelperSpread($E72,Trigger)</f>
        <v>#NUM!</v>
      </c>
      <c r="H72" s="32" t="b">
        <v>0</v>
      </c>
      <c r="I72" s="32">
        <v>40</v>
      </c>
      <c r="J72" s="32">
        <v>1</v>
      </c>
      <c r="K72" s="31" t="e">
        <f>_xll.qlRateHelperEarliestDate($E72,Trigger)</f>
        <v>#NUM!</v>
      </c>
      <c r="L72" s="30" t="e">
        <f>_xll.qlRateHelperLatestDate($E72,Trigger)</f>
        <v>#NUM!</v>
      </c>
      <c r="M72" s="45"/>
      <c r="O72" s="295"/>
    </row>
    <row r="73" spans="1:17" x14ac:dyDescent="0.2">
      <c r="B73" s="36">
        <v>4</v>
      </c>
      <c r="C73" s="35"/>
      <c r="D73" s="34" t="s">
        <v>52</v>
      </c>
      <c r="E73" s="34" t="str">
        <f t="shared" si="6"/>
        <v>EUR_YC3MRH_4X1S</v>
      </c>
      <c r="F73" s="33" t="e">
        <f>_xll.qlRateHelperQuoteValue($E73,Trigger)</f>
        <v>#NUM!</v>
      </c>
      <c r="G73" s="33" t="e">
        <f>_xll.qlSwapRateHelperSpread($E73,Trigger)</f>
        <v>#NUM!</v>
      </c>
      <c r="H73" s="32" t="b">
        <v>0</v>
      </c>
      <c r="I73" s="32">
        <v>40</v>
      </c>
      <c r="J73" s="32">
        <v>1</v>
      </c>
      <c r="K73" s="31" t="e">
        <f>_xll.qlRateHelperEarliestDate($E73,Trigger)</f>
        <v>#NUM!</v>
      </c>
      <c r="L73" s="30" t="e">
        <f>_xll.qlRateHelperLatestDate($E73,Trigger)</f>
        <v>#NUM!</v>
      </c>
      <c r="O73" s="295"/>
    </row>
    <row r="74" spans="1:17" x14ac:dyDescent="0.2">
      <c r="B74" s="36">
        <v>5</v>
      </c>
      <c r="C74" s="35"/>
      <c r="D74" s="34" t="s">
        <v>52</v>
      </c>
      <c r="E74" s="34" t="str">
        <f t="shared" si="6"/>
        <v>EUR_YC3MRH_5X1S</v>
      </c>
      <c r="F74" s="33" t="e">
        <f>_xll.qlRateHelperQuoteValue($E74,Trigger)</f>
        <v>#NUM!</v>
      </c>
      <c r="G74" s="33" t="e">
        <f>_xll.qlSwapRateHelperSpread($E74,Trigger)</f>
        <v>#NUM!</v>
      </c>
      <c r="H74" s="32" t="b">
        <v>0</v>
      </c>
      <c r="I74" s="32">
        <v>40</v>
      </c>
      <c r="J74" s="32">
        <v>1</v>
      </c>
      <c r="K74" s="31" t="e">
        <f>_xll.qlRateHelperEarliestDate($E74,Trigger)</f>
        <v>#NUM!</v>
      </c>
      <c r="L74" s="30" t="e">
        <f>_xll.qlRateHelperLatestDate($E74,Trigger)</f>
        <v>#NUM!</v>
      </c>
      <c r="O74" s="295"/>
    </row>
    <row r="75" spans="1:17" ht="11.25" customHeight="1" x14ac:dyDescent="0.2">
      <c r="B75" s="36">
        <v>6</v>
      </c>
      <c r="C75" s="35"/>
      <c r="D75" s="34" t="s">
        <v>52</v>
      </c>
      <c r="E75" s="34" t="str">
        <f t="shared" si="6"/>
        <v>EUR_YC3MRH_6X1S</v>
      </c>
      <c r="F75" s="33" t="e">
        <f>_xll.qlRateHelperQuoteValue($E75,Trigger)</f>
        <v>#NUM!</v>
      </c>
      <c r="G75" s="33" t="e">
        <f>_xll.qlSwapRateHelperSpread($E75,Trigger)</f>
        <v>#NUM!</v>
      </c>
      <c r="H75" s="32" t="b">
        <v>0</v>
      </c>
      <c r="I75" s="32">
        <v>40</v>
      </c>
      <c r="J75" s="32">
        <v>1</v>
      </c>
      <c r="K75" s="31" t="e">
        <f>_xll.qlRateHelperEarliestDate($E75,Trigger)</f>
        <v>#NUM!</v>
      </c>
      <c r="L75" s="30" t="e">
        <f>_xll.qlRateHelperLatestDate($E75,Trigger)</f>
        <v>#NUM!</v>
      </c>
      <c r="O75" s="295"/>
    </row>
    <row r="76" spans="1:17" x14ac:dyDescent="0.2">
      <c r="B76" s="36">
        <v>7</v>
      </c>
      <c r="C76" s="35"/>
      <c r="D76" s="34" t="s">
        <v>52</v>
      </c>
      <c r="E76" s="34" t="str">
        <f t="shared" si="6"/>
        <v>EUR_YC3MRH_7X1S</v>
      </c>
      <c r="F76" s="33" t="e">
        <f>_xll.qlRateHelperQuoteValue($E76,Trigger)</f>
        <v>#NUM!</v>
      </c>
      <c r="G76" s="33" t="e">
        <f>_xll.qlSwapRateHelperSpread($E76,Trigger)</f>
        <v>#NUM!</v>
      </c>
      <c r="H76" s="32" t="b">
        <v>0</v>
      </c>
      <c r="I76" s="32">
        <v>40</v>
      </c>
      <c r="J76" s="32">
        <v>1</v>
      </c>
      <c r="K76" s="31" t="e">
        <f>_xll.qlRateHelperEarliestDate($E76,Trigger)</f>
        <v>#NUM!</v>
      </c>
      <c r="L76" s="30" t="e">
        <f>_xll.qlRateHelperLatestDate($E76,Trigger)</f>
        <v>#NUM!</v>
      </c>
      <c r="O76" s="295"/>
    </row>
    <row r="77" spans="1:17" x14ac:dyDescent="0.2">
      <c r="B77" s="36">
        <v>8</v>
      </c>
      <c r="C77" s="35"/>
      <c r="D77" s="34" t="s">
        <v>52</v>
      </c>
      <c r="E77" s="34" t="str">
        <f t="shared" si="6"/>
        <v>EUR_YC3MRH_8X1S</v>
      </c>
      <c r="F77" s="33" t="e">
        <f>_xll.qlRateHelperQuoteValue($E77,Trigger)</f>
        <v>#NUM!</v>
      </c>
      <c r="G77" s="33" t="e">
        <f>_xll.qlSwapRateHelperSpread($E77,Trigger)</f>
        <v>#NUM!</v>
      </c>
      <c r="H77" s="32" t="b">
        <v>0</v>
      </c>
      <c r="I77" s="32">
        <v>40</v>
      </c>
      <c r="J77" s="32">
        <v>1</v>
      </c>
      <c r="K77" s="31" t="e">
        <f>_xll.qlRateHelperEarliestDate($E77,Trigger)</f>
        <v>#NUM!</v>
      </c>
      <c r="L77" s="30" t="e">
        <f>_xll.qlRateHelperLatestDate($E77,Trigger)</f>
        <v>#NUM!</v>
      </c>
      <c r="O77" s="295"/>
    </row>
    <row r="78" spans="1:17" ht="11.25" customHeight="1" x14ac:dyDescent="0.2">
      <c r="B78" s="36">
        <v>9</v>
      </c>
      <c r="C78" s="35"/>
      <c r="D78" s="34" t="s">
        <v>52</v>
      </c>
      <c r="E78" s="34" t="str">
        <f t="shared" si="6"/>
        <v>EUR_YC3MRH_9X1S</v>
      </c>
      <c r="F78" s="33" t="e">
        <f>_xll.qlRateHelperQuoteValue($E78,Trigger)</f>
        <v>#NUM!</v>
      </c>
      <c r="G78" s="33" t="e">
        <f>_xll.qlSwapRateHelperSpread($E78,Trigger)</f>
        <v>#NUM!</v>
      </c>
      <c r="H78" s="32" t="b">
        <v>0</v>
      </c>
      <c r="I78" s="32">
        <v>40</v>
      </c>
      <c r="J78" s="32">
        <v>1</v>
      </c>
      <c r="K78" s="31" t="e">
        <f>_xll.qlRateHelperEarliestDate($E78,Trigger)</f>
        <v>#NUM!</v>
      </c>
      <c r="L78" s="30" t="e">
        <f>_xll.qlRateHelperLatestDate($E78,Trigger)</f>
        <v>#NUM!</v>
      </c>
      <c r="O78" s="295"/>
    </row>
    <row r="79" spans="1:17" x14ac:dyDescent="0.2">
      <c r="B79" s="36">
        <v>10</v>
      </c>
      <c r="C79" s="35"/>
      <c r="D79" s="34" t="s">
        <v>52</v>
      </c>
      <c r="E79" s="34" t="str">
        <f t="shared" si="6"/>
        <v>EUR_YC3MRH_10X1S</v>
      </c>
      <c r="F79" s="33" t="e">
        <f>_xll.qlRateHelperQuoteValue($E79,Trigger)</f>
        <v>#NUM!</v>
      </c>
      <c r="G79" s="33" t="e">
        <f>_xll.qlSwapRateHelperSpread($E79,Trigger)</f>
        <v>#NUM!</v>
      </c>
      <c r="H79" s="32" t="b">
        <v>0</v>
      </c>
      <c r="I79" s="32">
        <v>40</v>
      </c>
      <c r="J79" s="32">
        <v>1</v>
      </c>
      <c r="K79" s="31" t="e">
        <f>_xll.qlRateHelperEarliestDate($E79,Trigger)</f>
        <v>#NUM!</v>
      </c>
      <c r="L79" s="30" t="e">
        <f>_xll.qlRateHelperLatestDate($E79,Trigger)</f>
        <v>#NUM!</v>
      </c>
      <c r="O79" s="295"/>
    </row>
    <row r="80" spans="1:17" x14ac:dyDescent="0.2">
      <c r="B80" s="36">
        <v>11</v>
      </c>
      <c r="C80" s="35"/>
      <c r="D80" s="34" t="s">
        <v>52</v>
      </c>
      <c r="E80" s="34" t="str">
        <f t="shared" si="6"/>
        <v>EUR_YC3MRH_11X1S</v>
      </c>
      <c r="F80" s="33" t="e">
        <f>_xll.qlRateHelperQuoteValue($E80,Trigger)</f>
        <v>#NUM!</v>
      </c>
      <c r="G80" s="33" t="e">
        <f>_xll.qlSwapRateHelperSpread($E80,Trigger)</f>
        <v>#NUM!</v>
      </c>
      <c r="H80" s="32" t="b">
        <v>0</v>
      </c>
      <c r="I80" s="32">
        <v>40</v>
      </c>
      <c r="J80" s="32">
        <v>1</v>
      </c>
      <c r="K80" s="31" t="e">
        <f>_xll.qlRateHelperEarliestDate($E80,Trigger)</f>
        <v>#NUM!</v>
      </c>
      <c r="L80" s="30" t="e">
        <f>_xll.qlRateHelperLatestDate($E80,Trigger)</f>
        <v>#NUM!</v>
      </c>
      <c r="O80" s="295"/>
    </row>
    <row r="81" spans="2:17" x14ac:dyDescent="0.2">
      <c r="B81" s="29">
        <v>12</v>
      </c>
      <c r="C81" s="28"/>
      <c r="D81" s="27" t="s">
        <v>52</v>
      </c>
      <c r="E81" s="27" t="str">
        <f t="shared" si="6"/>
        <v>EUR_YC3MRH_12X1S</v>
      </c>
      <c r="F81" s="26" t="e">
        <f>_xll.qlRateHelperQuoteValue($E81,Trigger)</f>
        <v>#NUM!</v>
      </c>
      <c r="G81" s="26" t="e">
        <f>_xll.qlSwapRateHelperSpread($E81,Trigger)</f>
        <v>#NUM!</v>
      </c>
      <c r="H81" s="25" t="b">
        <v>0</v>
      </c>
      <c r="I81" s="25">
        <v>40</v>
      </c>
      <c r="J81" s="32">
        <v>1</v>
      </c>
      <c r="K81" s="24" t="e">
        <f>_xll.qlRateHelperEarliestDate($E81,Trigger)</f>
        <v>#NUM!</v>
      </c>
      <c r="L81" s="23" t="e">
        <f>_xll.qlRateHelperLatestDate($E81,Trigger)</f>
        <v>#NUM!</v>
      </c>
      <c r="O81" s="295"/>
    </row>
    <row r="82" spans="2:17" x14ac:dyDescent="0.2">
      <c r="B82" s="44" t="s">
        <v>48</v>
      </c>
      <c r="C82" s="43">
        <v>12</v>
      </c>
      <c r="D82" s="42"/>
      <c r="E82" s="42" t="str">
        <f t="shared" si="6"/>
        <v>EUR_YC3MRH_1S12</v>
      </c>
      <c r="F82" s="41">
        <f>_xll.qlRateHelperQuoteValue($E82,Trigger)</f>
        <v>2.0300000000000001E-3</v>
      </c>
      <c r="G82" s="41">
        <f>_xll.qlSwapRateHelperSpread($E82,Trigger)</f>
        <v>0</v>
      </c>
      <c r="H82" s="40" t="b">
        <v>0</v>
      </c>
      <c r="I82" s="40">
        <v>40</v>
      </c>
      <c r="J82" s="40">
        <v>1</v>
      </c>
      <c r="K82" s="39">
        <f>_xll.qlRateHelperEarliestDate($E82,Trigger)</f>
        <v>41792</v>
      </c>
      <c r="L82" s="38">
        <f>_xll.qlRateHelperLatestDate($E82,Trigger)</f>
        <v>42157</v>
      </c>
      <c r="O82" s="295"/>
    </row>
    <row r="83" spans="2:17" x14ac:dyDescent="0.2">
      <c r="B83" s="36" t="s">
        <v>49</v>
      </c>
      <c r="C83" s="35">
        <v>12</v>
      </c>
      <c r="D83" s="34"/>
      <c r="E83" s="34" t="str">
        <f t="shared" si="6"/>
        <v>EUR_YC3MRH_2S12</v>
      </c>
      <c r="F83" s="33">
        <f>_xll.qlRateHelperQuoteValue($E83,Trigger)</f>
        <v>1.8599999999999999E-3</v>
      </c>
      <c r="G83" s="33">
        <f>_xll.qlSwapRateHelperSpread($E83,Trigger)</f>
        <v>0</v>
      </c>
      <c r="H83" s="32" t="b">
        <v>0</v>
      </c>
      <c r="I83" s="32">
        <v>40</v>
      </c>
      <c r="J83" s="32">
        <v>1</v>
      </c>
      <c r="K83" s="31">
        <f>_xll.qlRateHelperEarliestDate($E83,Trigger)</f>
        <v>41792</v>
      </c>
      <c r="L83" s="30">
        <f>_xll.qlRateHelperLatestDate($E83,Trigger)</f>
        <v>42157</v>
      </c>
      <c r="O83" s="295"/>
    </row>
    <row r="84" spans="2:17" x14ac:dyDescent="0.2">
      <c r="B84" s="36" t="s">
        <v>51</v>
      </c>
      <c r="C84" s="35">
        <v>12</v>
      </c>
      <c r="D84" s="34"/>
      <c r="E84" s="34" t="str">
        <f t="shared" si="6"/>
        <v>EUR_YC3MRH_3S12</v>
      </c>
      <c r="F84" s="33">
        <f>_xll.qlRateHelperQuoteValue($E84,Trigger)</f>
        <v>1.9E-3</v>
      </c>
      <c r="G84" s="33">
        <f>_xll.qlSwapRateHelperSpread($E84,Trigger)</f>
        <v>0</v>
      </c>
      <c r="H84" s="32" t="b">
        <v>0</v>
      </c>
      <c r="I84" s="32">
        <v>40</v>
      </c>
      <c r="J84" s="32">
        <v>1</v>
      </c>
      <c r="K84" s="31">
        <f>_xll.qlRateHelperEarliestDate($E84,Trigger)</f>
        <v>41792</v>
      </c>
      <c r="L84" s="30">
        <f>_xll.qlRateHelperLatestDate($E84,Trigger)</f>
        <v>42157</v>
      </c>
      <c r="O84" s="295"/>
    </row>
    <row r="85" spans="2:17" x14ac:dyDescent="0.2">
      <c r="B85" s="36" t="s">
        <v>50</v>
      </c>
      <c r="C85" s="35">
        <v>12</v>
      </c>
      <c r="D85" s="34"/>
      <c r="E85" s="34" t="str">
        <f t="shared" si="6"/>
        <v>EUR_YC3MRH_4S12</v>
      </c>
      <c r="F85" s="33">
        <f>_xll.qlRateHelperQuoteValue($E85,Trigger)</f>
        <v>2.0700000000000002E-3</v>
      </c>
      <c r="G85" s="33">
        <f>_xll.qlSwapRateHelperSpread($E85,Trigger)</f>
        <v>0</v>
      </c>
      <c r="H85" s="32" t="b">
        <v>0</v>
      </c>
      <c r="I85" s="32">
        <v>40</v>
      </c>
      <c r="J85" s="32">
        <v>1</v>
      </c>
      <c r="K85" s="31">
        <f>_xll.qlRateHelperEarliestDate($E85,Trigger)</f>
        <v>41792</v>
      </c>
      <c r="L85" s="30">
        <f>_xll.qlRateHelperLatestDate($E85,Trigger)</f>
        <v>42157</v>
      </c>
      <c r="O85" s="295"/>
    </row>
    <row r="86" spans="2:17" x14ac:dyDescent="0.2">
      <c r="B86" s="36" t="s">
        <v>48</v>
      </c>
      <c r="C86" s="35">
        <v>24</v>
      </c>
      <c r="D86" s="34"/>
      <c r="E86" s="34" t="str">
        <f t="shared" si="6"/>
        <v>EUR_YC3MRH_1S24</v>
      </c>
      <c r="F86" s="33">
        <f>_xll.qlRateHelperQuoteValue($E86,Trigger)</f>
        <v>2.2100000000000002E-3</v>
      </c>
      <c r="G86" s="33">
        <f>_xll.qlSwapRateHelperSpread($E86,Trigger)</f>
        <v>0</v>
      </c>
      <c r="H86" s="32" t="b">
        <v>0</v>
      </c>
      <c r="I86" s="32">
        <v>40</v>
      </c>
      <c r="J86" s="32">
        <v>1</v>
      </c>
      <c r="K86" s="31">
        <f>_xll.qlRateHelperEarliestDate($E86,Trigger)</f>
        <v>41792</v>
      </c>
      <c r="L86" s="30">
        <f>_xll.qlRateHelperLatestDate($E86,Trigger)</f>
        <v>42523</v>
      </c>
      <c r="O86" s="295"/>
    </row>
    <row r="87" spans="2:17" x14ac:dyDescent="0.2">
      <c r="B87" s="36" t="s">
        <v>49</v>
      </c>
      <c r="C87" s="35">
        <v>24</v>
      </c>
      <c r="D87" s="34"/>
      <c r="E87" s="34" t="str">
        <f t="shared" si="6"/>
        <v>EUR_YC3MRH_2S24</v>
      </c>
      <c r="F87" s="33">
        <f>_xll.qlRateHelperQuoteValue($E87,Trigger)</f>
        <v>2.3699999999999997E-3</v>
      </c>
      <c r="G87" s="33">
        <f>_xll.qlSwapRateHelperSpread($E87,Trigger)</f>
        <v>0</v>
      </c>
      <c r="H87" s="32" t="b">
        <v>0</v>
      </c>
      <c r="I87" s="32">
        <v>40</v>
      </c>
      <c r="J87" s="32">
        <v>1</v>
      </c>
      <c r="K87" s="31">
        <f>_xll.qlRateHelperEarliestDate($E87,Trigger)</f>
        <v>41792</v>
      </c>
      <c r="L87" s="30">
        <f>_xll.qlRateHelperLatestDate($E87,Trigger)</f>
        <v>42523</v>
      </c>
      <c r="O87" s="295"/>
    </row>
    <row r="88" spans="2:17" x14ac:dyDescent="0.2">
      <c r="B88" s="29" t="s">
        <v>48</v>
      </c>
      <c r="C88" s="28">
        <v>36</v>
      </c>
      <c r="D88" s="27"/>
      <c r="E88" s="27" t="str">
        <f t="shared" si="6"/>
        <v>EUR_YC3MRH_1S36</v>
      </c>
      <c r="F88" s="26">
        <f>_xll.qlRateHelperQuoteValue($E88,Trigger)</f>
        <v>3.1800000000000001E-3</v>
      </c>
      <c r="G88" s="26">
        <f>_xll.qlSwapRateHelperSpread($E88,Trigger)</f>
        <v>0</v>
      </c>
      <c r="H88" s="25" t="b">
        <v>0</v>
      </c>
      <c r="I88" s="25">
        <v>40</v>
      </c>
      <c r="J88" s="25">
        <v>1</v>
      </c>
      <c r="K88" s="24">
        <f>_xll.qlRateHelperEarliestDate($E88,Trigger)</f>
        <v>41792</v>
      </c>
      <c r="L88" s="23">
        <f>_xll.qlRateHelperLatestDate($E88,Trigger)</f>
        <v>42888</v>
      </c>
      <c r="O88" s="295"/>
    </row>
    <row r="89" spans="2:17" x14ac:dyDescent="0.2">
      <c r="B89" s="36" t="str">
        <f t="shared" ref="B89:B120" si="7">SwapFixedFreq</f>
        <v>AB</v>
      </c>
      <c r="C89" s="35" t="str">
        <f t="shared" ref="C89:C125" si="8">IborType</f>
        <v>3E</v>
      </c>
      <c r="D89" s="34" t="s">
        <v>47</v>
      </c>
      <c r="E89" s="34" t="str">
        <f>Swaps_3M!L6</f>
        <v>EUR_YC3MRH_AB3E1Y#0001</v>
      </c>
      <c r="F89" s="33">
        <f>_xll.qlRateHelperQuoteValue($E89,Trigger)</f>
        <v>2.2599999999999999E-3</v>
      </c>
      <c r="G89" s="33">
        <f>_xll.qlSwapRateHelperSpread($E89,Trigger)</f>
        <v>0</v>
      </c>
      <c r="H89" s="32" t="b">
        <v>0</v>
      </c>
      <c r="I89" s="32">
        <v>50</v>
      </c>
      <c r="J89" s="32">
        <v>1</v>
      </c>
      <c r="K89" s="31">
        <f>_xll.qlRateHelperEarliestDate($E89,Trigger)</f>
        <v>41792</v>
      </c>
      <c r="L89" s="30">
        <f>_xll.qlRateHelperLatestDate($E89,Trigger)</f>
        <v>42157</v>
      </c>
      <c r="O89" s="295" t="str">
        <f t="shared" ref="O89:O125" si="9">IF(ISERROR(F89),"FALSE","TRUE")</f>
        <v>TRUE</v>
      </c>
      <c r="P89" s="37"/>
      <c r="Q89" s="37"/>
    </row>
    <row r="90" spans="2:17" x14ac:dyDescent="0.2">
      <c r="B90" s="36" t="str">
        <f t="shared" si="7"/>
        <v>AB</v>
      </c>
      <c r="C90" s="35" t="str">
        <f t="shared" si="8"/>
        <v>3E</v>
      </c>
      <c r="D90" s="34" t="s">
        <v>46</v>
      </c>
      <c r="E90" s="34" t="str">
        <f>Swaps_3M!L7</f>
        <v>EUR_YC3MRH_AB3E15M#0001</v>
      </c>
      <c r="F90" s="33">
        <f>_xll.qlRateHelperQuoteValue($E90,Trigger)</f>
        <v>2.1900000000000001E-3</v>
      </c>
      <c r="G90" s="33">
        <f>_xll.qlSwapRateHelperSpread($E90,Trigger)</f>
        <v>0</v>
      </c>
      <c r="H90" s="32" t="b">
        <v>0</v>
      </c>
      <c r="I90" s="32">
        <v>50</v>
      </c>
      <c r="J90" s="32">
        <v>1</v>
      </c>
      <c r="K90" s="31">
        <f>_xll.qlRateHelperEarliestDate($E90,Trigger)</f>
        <v>41792</v>
      </c>
      <c r="L90" s="30">
        <f>_xll.qlRateHelperLatestDate($E90,Trigger)</f>
        <v>42249</v>
      </c>
      <c r="O90" s="295" t="str">
        <f t="shared" si="9"/>
        <v>TRUE</v>
      </c>
      <c r="P90" s="37"/>
      <c r="Q90" s="37"/>
    </row>
    <row r="91" spans="2:17" x14ac:dyDescent="0.2">
      <c r="B91" s="36" t="str">
        <f t="shared" si="7"/>
        <v>AB</v>
      </c>
      <c r="C91" s="35" t="str">
        <f t="shared" si="8"/>
        <v>3E</v>
      </c>
      <c r="D91" s="34" t="s">
        <v>45</v>
      </c>
      <c r="E91" s="34" t="str">
        <f>Swaps_3M!L8</f>
        <v>EUR_YC3MRH_AB3E18M#0001</v>
      </c>
      <c r="F91" s="33">
        <f>_xll.qlRateHelperQuoteValue($E91,Trigger)</f>
        <v>2.1700000000000001E-3</v>
      </c>
      <c r="G91" s="33">
        <f>_xll.qlSwapRateHelperSpread($E91,Trigger)</f>
        <v>0</v>
      </c>
      <c r="H91" s="32" t="b">
        <v>0</v>
      </c>
      <c r="I91" s="32">
        <v>50</v>
      </c>
      <c r="J91" s="32">
        <v>1</v>
      </c>
      <c r="K91" s="31">
        <f>_xll.qlRateHelperEarliestDate($E91,Trigger)</f>
        <v>41792</v>
      </c>
      <c r="L91" s="30">
        <f>_xll.qlRateHelperLatestDate($E91,Trigger)</f>
        <v>42340</v>
      </c>
      <c r="O91" s="295" t="str">
        <f t="shared" si="9"/>
        <v>TRUE</v>
      </c>
      <c r="P91" s="37"/>
      <c r="Q91" s="37"/>
    </row>
    <row r="92" spans="2:17" x14ac:dyDescent="0.2">
      <c r="B92" s="36" t="str">
        <f t="shared" si="7"/>
        <v>AB</v>
      </c>
      <c r="C92" s="35" t="str">
        <f t="shared" si="8"/>
        <v>3E</v>
      </c>
      <c r="D92" s="34" t="s">
        <v>44</v>
      </c>
      <c r="E92" s="34" t="str">
        <f>Swaps_3M!L9</f>
        <v>EUR_YC3MRH_AB3E21M#0001</v>
      </c>
      <c r="F92" s="33">
        <f>_xll.qlRateHelperQuoteValue($E92,Trigger)</f>
        <v>2.2200000000000002E-3</v>
      </c>
      <c r="G92" s="33">
        <f>_xll.qlSwapRateHelperSpread($E92,Trigger)</f>
        <v>0</v>
      </c>
      <c r="H92" s="32" t="b">
        <v>0</v>
      </c>
      <c r="I92" s="32">
        <v>50</v>
      </c>
      <c r="J92" s="32">
        <v>1</v>
      </c>
      <c r="K92" s="31">
        <f>_xll.qlRateHelperEarliestDate($E92,Trigger)</f>
        <v>41792</v>
      </c>
      <c r="L92" s="30">
        <f>_xll.qlRateHelperLatestDate($E92,Trigger)</f>
        <v>42431</v>
      </c>
      <c r="O92" s="295" t="str">
        <f t="shared" si="9"/>
        <v>TRUE</v>
      </c>
      <c r="P92" s="37"/>
      <c r="Q92" s="37"/>
    </row>
    <row r="93" spans="2:17" x14ac:dyDescent="0.2">
      <c r="B93" s="36" t="str">
        <f t="shared" si="7"/>
        <v>AB</v>
      </c>
      <c r="C93" s="35" t="str">
        <f t="shared" si="8"/>
        <v>3E</v>
      </c>
      <c r="D93" s="34" t="s">
        <v>43</v>
      </c>
      <c r="E93" s="34" t="str">
        <f>Swaps_3M!L10</f>
        <v>EUR_YC3MRH_AB3E2Y#0001</v>
      </c>
      <c r="F93" s="33">
        <f>_xll.qlRateHelperQuoteValue($E93,Trigger)</f>
        <v>2.31E-3</v>
      </c>
      <c r="G93" s="33">
        <f>_xll.qlSwapRateHelperSpread($E93,Trigger)</f>
        <v>0</v>
      </c>
      <c r="H93" s="32" t="b">
        <v>0</v>
      </c>
      <c r="I93" s="32">
        <v>50</v>
      </c>
      <c r="J93" s="32">
        <v>1</v>
      </c>
      <c r="K93" s="31">
        <f>_xll.qlRateHelperEarliestDate($E93,Trigger)</f>
        <v>41792</v>
      </c>
      <c r="L93" s="30">
        <f>_xll.qlRateHelperLatestDate($E93,Trigger)</f>
        <v>42523</v>
      </c>
      <c r="O93" s="295" t="str">
        <f t="shared" si="9"/>
        <v>TRUE</v>
      </c>
      <c r="P93" s="37"/>
      <c r="Q93" s="37"/>
    </row>
    <row r="94" spans="2:17" x14ac:dyDescent="0.2">
      <c r="B94" s="36" t="str">
        <f t="shared" si="7"/>
        <v>AB</v>
      </c>
      <c r="C94" s="35" t="str">
        <f t="shared" si="8"/>
        <v>3E</v>
      </c>
      <c r="D94" s="34" t="s">
        <v>42</v>
      </c>
      <c r="E94" s="34" t="str">
        <f>Swaps_3M!L11</f>
        <v>EUR_YC3MRH_AB3E3Y#0001</v>
      </c>
      <c r="F94" s="33">
        <f>_xll.qlRateHelperQuoteValue($E94,Trigger)</f>
        <v>3.2099999999999993E-3</v>
      </c>
      <c r="G94" s="33">
        <f>_xll.qlSwapRateHelperSpread($E94,Trigger)</f>
        <v>0</v>
      </c>
      <c r="H94" s="32" t="b">
        <v>1</v>
      </c>
      <c r="I94" s="32">
        <v>50</v>
      </c>
      <c r="J94" s="32">
        <v>1</v>
      </c>
      <c r="K94" s="31">
        <f>_xll.qlRateHelperEarliestDate($E94,Trigger)</f>
        <v>41792</v>
      </c>
      <c r="L94" s="30">
        <f>_xll.qlRateHelperLatestDate($E94,Trigger)</f>
        <v>42888</v>
      </c>
      <c r="O94" s="295" t="str">
        <f t="shared" si="9"/>
        <v>TRUE</v>
      </c>
      <c r="P94" s="37"/>
      <c r="Q94" s="37"/>
    </row>
    <row r="95" spans="2:17" x14ac:dyDescent="0.2">
      <c r="B95" s="36" t="str">
        <f t="shared" si="7"/>
        <v>AB</v>
      </c>
      <c r="C95" s="35" t="str">
        <f t="shared" si="8"/>
        <v>3E</v>
      </c>
      <c r="D95" s="34" t="s">
        <v>41</v>
      </c>
      <c r="E95" s="34" t="str">
        <f>Swaps_3M!L12</f>
        <v>EUR_YC3MRH_AB3E4Y#0001</v>
      </c>
      <c r="F95" s="33">
        <f>_xll.qlRateHelperQuoteValue($E95,Trigger)</f>
        <v>4.6999999999999993E-3</v>
      </c>
      <c r="G95" s="33">
        <f>_xll.qlSwapRateHelperSpread($E95,Trigger)</f>
        <v>0</v>
      </c>
      <c r="H95" s="32" t="b">
        <v>1</v>
      </c>
      <c r="I95" s="32">
        <v>50</v>
      </c>
      <c r="J95" s="32">
        <v>1</v>
      </c>
      <c r="K95" s="31">
        <f>_xll.qlRateHelperEarliestDate($E95,Trigger)</f>
        <v>41792</v>
      </c>
      <c r="L95" s="30">
        <f>_xll.qlRateHelperLatestDate($E95,Trigger)</f>
        <v>43255</v>
      </c>
      <c r="O95" s="295" t="str">
        <f t="shared" si="9"/>
        <v>TRUE</v>
      </c>
      <c r="P95" s="37"/>
      <c r="Q95" s="37"/>
    </row>
    <row r="96" spans="2:17" x14ac:dyDescent="0.2">
      <c r="B96" s="36" t="str">
        <f t="shared" si="7"/>
        <v>AB</v>
      </c>
      <c r="C96" s="35" t="str">
        <f t="shared" si="8"/>
        <v>3E</v>
      </c>
      <c r="D96" s="34" t="s">
        <v>40</v>
      </c>
      <c r="E96" s="34" t="str">
        <f>Swaps_3M!L13</f>
        <v>EUR_YC3MRH_AB3E5Y#0001</v>
      </c>
      <c r="F96" s="33">
        <f>_xll.qlRateHelperQuoteValue($E96,Trigger)</f>
        <v>6.4600000000000005E-3</v>
      </c>
      <c r="G96" s="33">
        <f>_xll.qlSwapRateHelperSpread($E96,Trigger)</f>
        <v>0</v>
      </c>
      <c r="H96" s="32" t="b">
        <v>1</v>
      </c>
      <c r="I96" s="32">
        <v>50</v>
      </c>
      <c r="J96" s="32">
        <v>1</v>
      </c>
      <c r="K96" s="31">
        <f>_xll.qlRateHelperEarliestDate($E96,Trigger)</f>
        <v>41792</v>
      </c>
      <c r="L96" s="30">
        <f>_xll.qlRateHelperLatestDate($E96,Trigger)</f>
        <v>43619</v>
      </c>
      <c r="O96" s="295" t="str">
        <f t="shared" si="9"/>
        <v>TRUE</v>
      </c>
      <c r="P96" s="37"/>
      <c r="Q96" s="37"/>
    </row>
    <row r="97" spans="2:17" x14ac:dyDescent="0.2">
      <c r="B97" s="36" t="str">
        <f t="shared" si="7"/>
        <v>AB</v>
      </c>
      <c r="C97" s="35" t="str">
        <f t="shared" si="8"/>
        <v>3E</v>
      </c>
      <c r="D97" s="34" t="s">
        <v>39</v>
      </c>
      <c r="E97" s="34" t="str">
        <f>Swaps_3M!L14</f>
        <v>EUR_YC3MRH_AB3E6Y#0001</v>
      </c>
      <c r="F97" s="33">
        <f>_xll.qlRateHelperQuoteValue($E97,Trigger)</f>
        <v>8.3000000000000001E-3</v>
      </c>
      <c r="G97" s="33">
        <f>_xll.qlSwapRateHelperSpread($E97,Trigger)</f>
        <v>0</v>
      </c>
      <c r="H97" s="32" t="b">
        <v>1</v>
      </c>
      <c r="I97" s="32">
        <v>50</v>
      </c>
      <c r="J97" s="32">
        <v>1</v>
      </c>
      <c r="K97" s="31">
        <f>_xll.qlRateHelperEarliestDate($E97,Trigger)</f>
        <v>41792</v>
      </c>
      <c r="L97" s="30">
        <f>_xll.qlRateHelperLatestDate($E97,Trigger)</f>
        <v>43984</v>
      </c>
      <c r="O97" s="295" t="str">
        <f t="shared" si="9"/>
        <v>TRUE</v>
      </c>
      <c r="P97" s="37"/>
      <c r="Q97" s="37"/>
    </row>
    <row r="98" spans="2:17" x14ac:dyDescent="0.2">
      <c r="B98" s="36" t="str">
        <f t="shared" si="7"/>
        <v>AB</v>
      </c>
      <c r="C98" s="35" t="str">
        <f t="shared" si="8"/>
        <v>3E</v>
      </c>
      <c r="D98" s="34" t="s">
        <v>38</v>
      </c>
      <c r="E98" s="34" t="str">
        <f>Swaps_3M!L15</f>
        <v>EUR_YC3MRH_AB3E7Y#0001</v>
      </c>
      <c r="F98" s="33">
        <f>_xll.qlRateHelperQuoteValue($E98,Trigger)</f>
        <v>1.0110000000000001E-2</v>
      </c>
      <c r="G98" s="33">
        <f>_xll.qlSwapRateHelperSpread($E98,Trigger)</f>
        <v>0</v>
      </c>
      <c r="H98" s="32" t="b">
        <v>1</v>
      </c>
      <c r="I98" s="32">
        <v>50</v>
      </c>
      <c r="J98" s="32">
        <v>1</v>
      </c>
      <c r="K98" s="31">
        <f>_xll.qlRateHelperEarliestDate($E98,Trigger)</f>
        <v>41792</v>
      </c>
      <c r="L98" s="30">
        <f>_xll.qlRateHelperLatestDate($E98,Trigger)</f>
        <v>44349</v>
      </c>
      <c r="O98" s="295" t="str">
        <f t="shared" si="9"/>
        <v>TRUE</v>
      </c>
      <c r="P98" s="37"/>
      <c r="Q98" s="37"/>
    </row>
    <row r="99" spans="2:17" x14ac:dyDescent="0.2">
      <c r="B99" s="36" t="str">
        <f t="shared" si="7"/>
        <v>AB</v>
      </c>
      <c r="C99" s="35" t="str">
        <f t="shared" si="8"/>
        <v>3E</v>
      </c>
      <c r="D99" s="34" t="s">
        <v>37</v>
      </c>
      <c r="E99" s="34" t="str">
        <f>Swaps_3M!L16</f>
        <v>EUR_YC3MRH_AB3E8Y#0001</v>
      </c>
      <c r="F99" s="33">
        <f>_xll.qlRateHelperQuoteValue($E99,Trigger)</f>
        <v>1.1829999999999999E-2</v>
      </c>
      <c r="G99" s="33">
        <f>_xll.qlSwapRateHelperSpread($E99,Trigger)</f>
        <v>0</v>
      </c>
      <c r="H99" s="32" t="b">
        <v>1</v>
      </c>
      <c r="I99" s="32">
        <v>50</v>
      </c>
      <c r="J99" s="32">
        <v>1</v>
      </c>
      <c r="K99" s="31">
        <f>_xll.qlRateHelperEarliestDate($E99,Trigger)</f>
        <v>41792</v>
      </c>
      <c r="L99" s="30">
        <f>_xll.qlRateHelperLatestDate($E99,Trigger)</f>
        <v>44714</v>
      </c>
      <c r="O99" s="295" t="str">
        <f t="shared" si="9"/>
        <v>TRUE</v>
      </c>
      <c r="P99" s="37"/>
      <c r="Q99" s="37"/>
    </row>
    <row r="100" spans="2:17" x14ac:dyDescent="0.2">
      <c r="B100" s="36" t="str">
        <f t="shared" si="7"/>
        <v>AB</v>
      </c>
      <c r="C100" s="35" t="str">
        <f t="shared" si="8"/>
        <v>3E</v>
      </c>
      <c r="D100" s="34" t="s">
        <v>36</v>
      </c>
      <c r="E100" s="34" t="str">
        <f>Swaps_3M!L17</f>
        <v>EUR_YC3MRH_AB3E9Y#0001</v>
      </c>
      <c r="F100" s="33">
        <f>_xll.qlRateHelperQuoteValue($E100,Trigger)</f>
        <v>1.3389999999999999E-2</v>
      </c>
      <c r="G100" s="33">
        <f>_xll.qlSwapRateHelperSpread($E100,Trigger)</f>
        <v>0</v>
      </c>
      <c r="H100" s="32" t="b">
        <v>1</v>
      </c>
      <c r="I100" s="32">
        <v>50</v>
      </c>
      <c r="J100" s="32">
        <v>1</v>
      </c>
      <c r="K100" s="31">
        <f>_xll.qlRateHelperEarliestDate($E100,Trigger)</f>
        <v>41792</v>
      </c>
      <c r="L100" s="30">
        <f>_xll.qlRateHelperLatestDate($E100,Trigger)</f>
        <v>45079</v>
      </c>
      <c r="O100" s="295" t="str">
        <f t="shared" si="9"/>
        <v>TRUE</v>
      </c>
      <c r="P100" s="37"/>
      <c r="Q100" s="37"/>
    </row>
    <row r="101" spans="2:17" x14ac:dyDescent="0.2">
      <c r="B101" s="36" t="str">
        <f t="shared" si="7"/>
        <v>AB</v>
      </c>
      <c r="C101" s="35" t="str">
        <f t="shared" si="8"/>
        <v>3E</v>
      </c>
      <c r="D101" s="34" t="s">
        <v>35</v>
      </c>
      <c r="E101" s="34" t="str">
        <f>Swaps_3M!L18</f>
        <v>EUR_YC3MRH_AB3E10Y#0001</v>
      </c>
      <c r="F101" s="33">
        <f>_xll.qlRateHelperQuoteValue($E101,Trigger)</f>
        <v>1.4769999999999998E-2</v>
      </c>
      <c r="G101" s="33">
        <f>_xll.qlSwapRateHelperSpread($E101,Trigger)</f>
        <v>0</v>
      </c>
      <c r="H101" s="32" t="b">
        <v>1</v>
      </c>
      <c r="I101" s="32">
        <v>50</v>
      </c>
      <c r="J101" s="32">
        <v>1</v>
      </c>
      <c r="K101" s="31">
        <f>_xll.qlRateHelperEarliestDate($E101,Trigger)</f>
        <v>41792</v>
      </c>
      <c r="L101" s="30">
        <f>_xll.qlRateHelperLatestDate($E101,Trigger)</f>
        <v>45446</v>
      </c>
      <c r="O101" s="295" t="str">
        <f t="shared" si="9"/>
        <v>TRUE</v>
      </c>
      <c r="P101" s="37"/>
      <c r="Q101" s="37"/>
    </row>
    <row r="102" spans="2:17" x14ac:dyDescent="0.2">
      <c r="B102" s="36" t="str">
        <f t="shared" si="7"/>
        <v>AB</v>
      </c>
      <c r="C102" s="35" t="str">
        <f t="shared" si="8"/>
        <v>3E</v>
      </c>
      <c r="D102" s="34" t="s">
        <v>34</v>
      </c>
      <c r="E102" s="34" t="str">
        <f>Swaps_3M!L19</f>
        <v>EUR_YC3MRH_AB3E11Y#0001</v>
      </c>
      <c r="F102" s="33">
        <f>_xll.qlRateHelperQuoteValue($E102,Trigger)</f>
        <v>1.601E-2</v>
      </c>
      <c r="G102" s="33">
        <f>_xll.qlSwapRateHelperSpread($E102,Trigger)</f>
        <v>0</v>
      </c>
      <c r="H102" s="32" t="b">
        <v>0</v>
      </c>
      <c r="I102" s="32">
        <v>50</v>
      </c>
      <c r="J102" s="32">
        <v>1</v>
      </c>
      <c r="K102" s="31">
        <f>_xll.qlRateHelperEarliestDate($E102,Trigger)</f>
        <v>41792</v>
      </c>
      <c r="L102" s="30">
        <f>_xll.qlRateHelperLatestDate($E102,Trigger)</f>
        <v>45810</v>
      </c>
      <c r="O102" s="295" t="str">
        <f t="shared" si="9"/>
        <v>TRUE</v>
      </c>
      <c r="P102" s="37"/>
      <c r="Q102" s="37"/>
    </row>
    <row r="103" spans="2:17" x14ac:dyDescent="0.2">
      <c r="B103" s="36" t="str">
        <f t="shared" si="7"/>
        <v>AB</v>
      </c>
      <c r="C103" s="35" t="str">
        <f t="shared" si="8"/>
        <v>3E</v>
      </c>
      <c r="D103" s="34" t="s">
        <v>33</v>
      </c>
      <c r="E103" s="34" t="str">
        <f>Swaps_3M!L20</f>
        <v>EUR_YC3MRH_AB3E12Y#0001</v>
      </c>
      <c r="F103" s="33">
        <f>_xll.qlRateHelperQuoteValue($E103,Trigger)</f>
        <v>1.7100000000000001E-2</v>
      </c>
      <c r="G103" s="33">
        <f>_xll.qlSwapRateHelperSpread($E103,Trigger)</f>
        <v>0</v>
      </c>
      <c r="H103" s="32" t="b">
        <v>1</v>
      </c>
      <c r="I103" s="32">
        <v>50</v>
      </c>
      <c r="J103" s="32">
        <v>1</v>
      </c>
      <c r="K103" s="31">
        <f>_xll.qlRateHelperEarliestDate($E103,Trigger)</f>
        <v>41792</v>
      </c>
      <c r="L103" s="30">
        <f>_xll.qlRateHelperLatestDate($E103,Trigger)</f>
        <v>46175</v>
      </c>
      <c r="O103" s="295" t="str">
        <f t="shared" si="9"/>
        <v>TRUE</v>
      </c>
      <c r="P103" s="37"/>
      <c r="Q103" s="37"/>
    </row>
    <row r="104" spans="2:17" x14ac:dyDescent="0.2">
      <c r="B104" s="36" t="str">
        <f t="shared" si="7"/>
        <v>AB</v>
      </c>
      <c r="C104" s="35" t="str">
        <f t="shared" si="8"/>
        <v>3E</v>
      </c>
      <c r="D104" s="34" t="s">
        <v>32</v>
      </c>
      <c r="E104" s="34" t="str">
        <f>Swaps_3M!L21</f>
        <v>EUR_YC3MRH_AB3E13Y#0001</v>
      </c>
      <c r="F104" s="33" t="e">
        <f>_xll.qlRateHelperQuoteValue($E104,Trigger)</f>
        <v>#NUM!</v>
      </c>
      <c r="G104" s="33">
        <f>_xll.qlSwapRateHelperSpread($E104,Trigger)</f>
        <v>0</v>
      </c>
      <c r="H104" s="32" t="b">
        <v>0</v>
      </c>
      <c r="I104" s="32">
        <v>50</v>
      </c>
      <c r="J104" s="32">
        <v>1</v>
      </c>
      <c r="K104" s="31">
        <f>_xll.qlRateHelperEarliestDate($E104,Trigger)</f>
        <v>41792</v>
      </c>
      <c r="L104" s="30">
        <f>_xll.qlRateHelperLatestDate($E104,Trigger)</f>
        <v>46540</v>
      </c>
      <c r="O104" s="295" t="str">
        <f t="shared" si="9"/>
        <v>FALSE</v>
      </c>
      <c r="P104" s="37"/>
      <c r="Q104" s="37"/>
    </row>
    <row r="105" spans="2:17" x14ac:dyDescent="0.2">
      <c r="B105" s="36" t="str">
        <f t="shared" si="7"/>
        <v>AB</v>
      </c>
      <c r="C105" s="35" t="str">
        <f t="shared" si="8"/>
        <v>3E</v>
      </c>
      <c r="D105" s="34" t="s">
        <v>31</v>
      </c>
      <c r="E105" s="34" t="str">
        <f>Swaps_3M!L22</f>
        <v>EUR_YC3MRH_AB3E14Y#0001</v>
      </c>
      <c r="F105" s="33" t="e">
        <f>_xll.qlRateHelperQuoteValue($E105,Trigger)</f>
        <v>#NUM!</v>
      </c>
      <c r="G105" s="33">
        <f>_xll.qlSwapRateHelperSpread($E105,Trigger)</f>
        <v>0</v>
      </c>
      <c r="H105" s="32" t="b">
        <v>0</v>
      </c>
      <c r="I105" s="32">
        <v>50</v>
      </c>
      <c r="J105" s="32">
        <v>1</v>
      </c>
      <c r="K105" s="31">
        <f>_xll.qlRateHelperEarliestDate($E105,Trigger)</f>
        <v>41792</v>
      </c>
      <c r="L105" s="30">
        <f>_xll.qlRateHelperLatestDate($E105,Trigger)</f>
        <v>46906</v>
      </c>
      <c r="O105" s="295" t="str">
        <f t="shared" si="9"/>
        <v>FALSE</v>
      </c>
      <c r="P105" s="37"/>
      <c r="Q105" s="37"/>
    </row>
    <row r="106" spans="2:17" x14ac:dyDescent="0.2">
      <c r="B106" s="36" t="str">
        <f t="shared" si="7"/>
        <v>AB</v>
      </c>
      <c r="C106" s="35" t="str">
        <f t="shared" si="8"/>
        <v>3E</v>
      </c>
      <c r="D106" s="34" t="s">
        <v>30</v>
      </c>
      <c r="E106" s="34" t="str">
        <f>Swaps_3M!L23</f>
        <v>EUR_YC3MRH_AB3E15Y#0001</v>
      </c>
      <c r="F106" s="33">
        <f>_xll.qlRateHelperQuoteValue($E106,Trigger)</f>
        <v>1.9550000000000001E-2</v>
      </c>
      <c r="G106" s="33">
        <f>_xll.qlSwapRateHelperSpread($E106,Trigger)</f>
        <v>0</v>
      </c>
      <c r="H106" s="32" t="b">
        <v>1</v>
      </c>
      <c r="I106" s="32">
        <v>50</v>
      </c>
      <c r="J106" s="32">
        <v>1</v>
      </c>
      <c r="K106" s="31">
        <f>_xll.qlRateHelperEarliestDate($E106,Trigger)</f>
        <v>41792</v>
      </c>
      <c r="L106" s="30">
        <f>_xll.qlRateHelperLatestDate($E106,Trigger)</f>
        <v>47273</v>
      </c>
      <c r="O106" s="295" t="str">
        <f t="shared" si="9"/>
        <v>TRUE</v>
      </c>
      <c r="P106" s="37"/>
      <c r="Q106" s="37"/>
    </row>
    <row r="107" spans="2:17" x14ac:dyDescent="0.2">
      <c r="B107" s="36" t="str">
        <f t="shared" si="7"/>
        <v>AB</v>
      </c>
      <c r="C107" s="35" t="str">
        <f t="shared" si="8"/>
        <v>3E</v>
      </c>
      <c r="D107" s="34" t="s">
        <v>29</v>
      </c>
      <c r="E107" s="34" t="str">
        <f>Swaps_3M!L24</f>
        <v>EUR_YC3MRH_AB3E16Y#0001</v>
      </c>
      <c r="F107" s="33" t="e">
        <f>_xll.qlRateHelperQuoteValue($E107,Trigger)</f>
        <v>#NUM!</v>
      </c>
      <c r="G107" s="33">
        <f>_xll.qlSwapRateHelperSpread($E107,Trigger)</f>
        <v>0</v>
      </c>
      <c r="H107" s="32" t="b">
        <v>0</v>
      </c>
      <c r="I107" s="32">
        <v>50</v>
      </c>
      <c r="J107" s="32">
        <v>1</v>
      </c>
      <c r="K107" s="31">
        <f>_xll.qlRateHelperEarliestDate($E107,Trigger)</f>
        <v>41792</v>
      </c>
      <c r="L107" s="30">
        <f>_xll.qlRateHelperLatestDate($E107,Trigger)</f>
        <v>47637</v>
      </c>
      <c r="O107" s="295" t="str">
        <f t="shared" si="9"/>
        <v>FALSE</v>
      </c>
      <c r="P107" s="37"/>
      <c r="Q107" s="37"/>
    </row>
    <row r="108" spans="2:17" x14ac:dyDescent="0.2">
      <c r="B108" s="36" t="str">
        <f t="shared" si="7"/>
        <v>AB</v>
      </c>
      <c r="C108" s="35" t="str">
        <f t="shared" si="8"/>
        <v>3E</v>
      </c>
      <c r="D108" s="34" t="s">
        <v>28</v>
      </c>
      <c r="E108" s="34" t="str">
        <f>Swaps_3M!L25</f>
        <v>EUR_YC3MRH_AB3E17Y#0001</v>
      </c>
      <c r="F108" s="33" t="e">
        <f>_xll.qlRateHelperQuoteValue($E108,Trigger)</f>
        <v>#NUM!</v>
      </c>
      <c r="G108" s="33">
        <f>_xll.qlSwapRateHelperSpread($E108,Trigger)</f>
        <v>0</v>
      </c>
      <c r="H108" s="32" t="b">
        <v>0</v>
      </c>
      <c r="I108" s="32">
        <v>50</v>
      </c>
      <c r="J108" s="32">
        <v>1</v>
      </c>
      <c r="K108" s="31">
        <f>_xll.qlRateHelperEarliestDate($E108,Trigger)</f>
        <v>41792</v>
      </c>
      <c r="L108" s="30">
        <f>_xll.qlRateHelperLatestDate($E108,Trigger)</f>
        <v>48001</v>
      </c>
      <c r="O108" s="295" t="str">
        <f t="shared" si="9"/>
        <v>FALSE</v>
      </c>
      <c r="P108" s="37"/>
      <c r="Q108" s="37"/>
    </row>
    <row r="109" spans="2:17" x14ac:dyDescent="0.2">
      <c r="B109" s="36" t="str">
        <f t="shared" si="7"/>
        <v>AB</v>
      </c>
      <c r="C109" s="35" t="str">
        <f t="shared" si="8"/>
        <v>3E</v>
      </c>
      <c r="D109" s="34" t="s">
        <v>27</v>
      </c>
      <c r="E109" s="34" t="str">
        <f>Swaps_3M!L26</f>
        <v>EUR_YC3MRH_AB3E18Y#0001</v>
      </c>
      <c r="F109" s="33" t="e">
        <f>_xll.qlRateHelperQuoteValue($E109,Trigger)</f>
        <v>#NUM!</v>
      </c>
      <c r="G109" s="33">
        <f>_xll.qlSwapRateHelperSpread($E109,Trigger)</f>
        <v>0</v>
      </c>
      <c r="H109" s="32" t="b">
        <v>0</v>
      </c>
      <c r="I109" s="32">
        <v>50</v>
      </c>
      <c r="J109" s="32">
        <v>1</v>
      </c>
      <c r="K109" s="31">
        <f>_xll.qlRateHelperEarliestDate($E109,Trigger)</f>
        <v>41792</v>
      </c>
      <c r="L109" s="30">
        <f>_xll.qlRateHelperLatestDate($E109,Trigger)</f>
        <v>48367</v>
      </c>
      <c r="O109" s="295" t="str">
        <f t="shared" si="9"/>
        <v>FALSE</v>
      </c>
      <c r="P109" s="37"/>
      <c r="Q109" s="37"/>
    </row>
    <row r="110" spans="2:17" x14ac:dyDescent="0.2">
      <c r="B110" s="36" t="str">
        <f t="shared" si="7"/>
        <v>AB</v>
      </c>
      <c r="C110" s="35" t="str">
        <f t="shared" si="8"/>
        <v>3E</v>
      </c>
      <c r="D110" s="34" t="s">
        <v>26</v>
      </c>
      <c r="E110" s="34" t="str">
        <f>Swaps_3M!L27</f>
        <v>EUR_YC3MRH_AB3E19Y#0001</v>
      </c>
      <c r="F110" s="33" t="e">
        <f>_xll.qlRateHelperQuoteValue($E110,Trigger)</f>
        <v>#NUM!</v>
      </c>
      <c r="G110" s="33">
        <f>_xll.qlSwapRateHelperSpread($E110,Trigger)</f>
        <v>0</v>
      </c>
      <c r="H110" s="32" t="b">
        <v>0</v>
      </c>
      <c r="I110" s="32">
        <v>50</v>
      </c>
      <c r="J110" s="32">
        <v>1</v>
      </c>
      <c r="K110" s="31">
        <f>_xll.qlRateHelperEarliestDate($E110,Trigger)</f>
        <v>41792</v>
      </c>
      <c r="L110" s="30">
        <f>_xll.qlRateHelperLatestDate($E110,Trigger)</f>
        <v>48732</v>
      </c>
      <c r="O110" s="295" t="str">
        <f t="shared" si="9"/>
        <v>FALSE</v>
      </c>
      <c r="P110" s="37"/>
      <c r="Q110" s="37"/>
    </row>
    <row r="111" spans="2:17" x14ac:dyDescent="0.2">
      <c r="B111" s="36" t="str">
        <f t="shared" si="7"/>
        <v>AB</v>
      </c>
      <c r="C111" s="35" t="str">
        <f t="shared" si="8"/>
        <v>3E</v>
      </c>
      <c r="D111" s="34" t="s">
        <v>25</v>
      </c>
      <c r="E111" s="34" t="str">
        <f>Swaps_3M!L28</f>
        <v>EUR_YC3MRH_AB3E20Y#0001</v>
      </c>
      <c r="F111" s="33">
        <f>_xll.qlRateHelperQuoteValue($E111,Trigger)</f>
        <v>2.1480000000000003E-2</v>
      </c>
      <c r="G111" s="33">
        <f>_xll.qlSwapRateHelperSpread($E111,Trigger)</f>
        <v>0</v>
      </c>
      <c r="H111" s="32" t="b">
        <v>1</v>
      </c>
      <c r="I111" s="32">
        <v>50</v>
      </c>
      <c r="J111" s="32">
        <v>1</v>
      </c>
      <c r="K111" s="31">
        <f>_xll.qlRateHelperEarliestDate($E111,Trigger)</f>
        <v>41792</v>
      </c>
      <c r="L111" s="30">
        <f>_xll.qlRateHelperLatestDate($E111,Trigger)</f>
        <v>49097</v>
      </c>
      <c r="O111" s="295" t="str">
        <f t="shared" si="9"/>
        <v>TRUE</v>
      </c>
      <c r="P111" s="37"/>
      <c r="Q111" s="37"/>
    </row>
    <row r="112" spans="2:17" x14ac:dyDescent="0.2">
      <c r="B112" s="36" t="str">
        <f t="shared" si="7"/>
        <v>AB</v>
      </c>
      <c r="C112" s="35" t="str">
        <f t="shared" si="8"/>
        <v>3E</v>
      </c>
      <c r="D112" s="34" t="s">
        <v>24</v>
      </c>
      <c r="E112" s="34" t="str">
        <f>Swaps_3M!L29</f>
        <v>EUR_YC3MRH_AB3E21Y#0001</v>
      </c>
      <c r="F112" s="33" t="e">
        <f>_xll.qlRateHelperQuoteValue($E112,Trigger)</f>
        <v>#NUM!</v>
      </c>
      <c r="G112" s="33">
        <f>_xll.qlSwapRateHelperSpread($E112,Trigger)</f>
        <v>0</v>
      </c>
      <c r="H112" s="32" t="b">
        <v>0</v>
      </c>
      <c r="I112" s="32">
        <v>50</v>
      </c>
      <c r="J112" s="32">
        <v>1</v>
      </c>
      <c r="K112" s="31">
        <f>_xll.qlRateHelperEarliestDate($E112,Trigger)</f>
        <v>41792</v>
      </c>
      <c r="L112" s="30">
        <f>_xll.qlRateHelperLatestDate($E112,Trigger)</f>
        <v>49464</v>
      </c>
      <c r="O112" s="295" t="str">
        <f t="shared" si="9"/>
        <v>FALSE</v>
      </c>
      <c r="P112" s="37"/>
      <c r="Q112" s="37"/>
    </row>
    <row r="113" spans="2:17" x14ac:dyDescent="0.2">
      <c r="B113" s="36" t="str">
        <f t="shared" si="7"/>
        <v>AB</v>
      </c>
      <c r="C113" s="35" t="str">
        <f t="shared" si="8"/>
        <v>3E</v>
      </c>
      <c r="D113" s="34" t="s">
        <v>23</v>
      </c>
      <c r="E113" s="34" t="str">
        <f>Swaps_3M!L30</f>
        <v>EUR_YC3MRH_AB3E22Y#0001</v>
      </c>
      <c r="F113" s="33" t="e">
        <f>_xll.qlRateHelperQuoteValue($E113,Trigger)</f>
        <v>#NUM!</v>
      </c>
      <c r="G113" s="33">
        <f>_xll.qlSwapRateHelperSpread($E113,Trigger)</f>
        <v>0</v>
      </c>
      <c r="H113" s="32" t="b">
        <v>0</v>
      </c>
      <c r="I113" s="32">
        <v>50</v>
      </c>
      <c r="J113" s="32">
        <v>1</v>
      </c>
      <c r="K113" s="31">
        <f>_xll.qlRateHelperEarliestDate($E113,Trigger)</f>
        <v>41792</v>
      </c>
      <c r="L113" s="30">
        <f>_xll.qlRateHelperLatestDate($E113,Trigger)</f>
        <v>49828</v>
      </c>
      <c r="O113" s="295" t="str">
        <f t="shared" si="9"/>
        <v>FALSE</v>
      </c>
      <c r="P113" s="37"/>
      <c r="Q113" s="37"/>
    </row>
    <row r="114" spans="2:17" x14ac:dyDescent="0.2">
      <c r="B114" s="36" t="str">
        <f t="shared" si="7"/>
        <v>AB</v>
      </c>
      <c r="C114" s="35" t="str">
        <f t="shared" si="8"/>
        <v>3E</v>
      </c>
      <c r="D114" s="34" t="s">
        <v>22</v>
      </c>
      <c r="E114" s="34" t="str">
        <f>Swaps_3M!L31</f>
        <v>EUR_YC3MRH_AB3E23Y#0001</v>
      </c>
      <c r="F114" s="33" t="e">
        <f>_xll.qlRateHelperQuoteValue($E114,Trigger)</f>
        <v>#NUM!</v>
      </c>
      <c r="G114" s="33">
        <f>_xll.qlSwapRateHelperSpread($E114,Trigger)</f>
        <v>0</v>
      </c>
      <c r="H114" s="32" t="b">
        <v>0</v>
      </c>
      <c r="I114" s="32">
        <v>50</v>
      </c>
      <c r="J114" s="32">
        <v>1</v>
      </c>
      <c r="K114" s="31">
        <f>_xll.qlRateHelperEarliestDate($E114,Trigger)</f>
        <v>41792</v>
      </c>
      <c r="L114" s="30">
        <f>_xll.qlRateHelperLatestDate($E114,Trigger)</f>
        <v>50193</v>
      </c>
      <c r="O114" s="295" t="str">
        <f t="shared" si="9"/>
        <v>FALSE</v>
      </c>
      <c r="P114" s="37"/>
      <c r="Q114" s="37"/>
    </row>
    <row r="115" spans="2:17" x14ac:dyDescent="0.2">
      <c r="B115" s="36" t="str">
        <f t="shared" si="7"/>
        <v>AB</v>
      </c>
      <c r="C115" s="35" t="str">
        <f t="shared" si="8"/>
        <v>3E</v>
      </c>
      <c r="D115" s="34" t="s">
        <v>21</v>
      </c>
      <c r="E115" s="34" t="str">
        <f>Swaps_3M!L32</f>
        <v>EUR_YC3MRH_AB3E24Y#0001</v>
      </c>
      <c r="F115" s="33" t="e">
        <f>_xll.qlRateHelperQuoteValue($E115,Trigger)</f>
        <v>#NUM!</v>
      </c>
      <c r="G115" s="33">
        <f>_xll.qlSwapRateHelperSpread($E115,Trigger)</f>
        <v>0</v>
      </c>
      <c r="H115" s="32" t="b">
        <v>0</v>
      </c>
      <c r="I115" s="32">
        <v>50</v>
      </c>
      <c r="J115" s="32">
        <v>1</v>
      </c>
      <c r="K115" s="31">
        <f>_xll.qlRateHelperEarliestDate($E115,Trigger)</f>
        <v>41792</v>
      </c>
      <c r="L115" s="30">
        <f>_xll.qlRateHelperLatestDate($E115,Trigger)</f>
        <v>50558</v>
      </c>
      <c r="O115" s="295" t="str">
        <f t="shared" si="9"/>
        <v>FALSE</v>
      </c>
      <c r="P115" s="37"/>
      <c r="Q115" s="37"/>
    </row>
    <row r="116" spans="2:17" x14ac:dyDescent="0.2">
      <c r="B116" s="36" t="str">
        <f t="shared" si="7"/>
        <v>AB</v>
      </c>
      <c r="C116" s="35" t="str">
        <f t="shared" si="8"/>
        <v>3E</v>
      </c>
      <c r="D116" s="34" t="s">
        <v>20</v>
      </c>
      <c r="E116" s="34" t="str">
        <f>Swaps_3M!L33</f>
        <v>EUR_YC3MRH_AB3E25Y#0001</v>
      </c>
      <c r="F116" s="33">
        <f>_xll.qlRateHelperQuoteValue($E116,Trigger)</f>
        <v>2.2179999999999998E-2</v>
      </c>
      <c r="G116" s="33">
        <f>_xll.qlSwapRateHelperSpread($E116,Trigger)</f>
        <v>0</v>
      </c>
      <c r="H116" s="32" t="b">
        <v>1</v>
      </c>
      <c r="I116" s="32">
        <v>50</v>
      </c>
      <c r="J116" s="32">
        <v>1</v>
      </c>
      <c r="K116" s="31">
        <f>_xll.qlRateHelperEarliestDate($E116,Trigger)</f>
        <v>41792</v>
      </c>
      <c r="L116" s="30">
        <f>_xll.qlRateHelperLatestDate($E116,Trigger)</f>
        <v>50923</v>
      </c>
      <c r="O116" s="295" t="str">
        <f t="shared" si="9"/>
        <v>TRUE</v>
      </c>
      <c r="P116" s="37"/>
      <c r="Q116" s="37"/>
    </row>
    <row r="117" spans="2:17" x14ac:dyDescent="0.2">
      <c r="B117" s="36" t="str">
        <f t="shared" si="7"/>
        <v>AB</v>
      </c>
      <c r="C117" s="35" t="str">
        <f t="shared" si="8"/>
        <v>3E</v>
      </c>
      <c r="D117" s="34" t="s">
        <v>19</v>
      </c>
      <c r="E117" s="34" t="str">
        <f>Swaps_3M!L34</f>
        <v>EUR_YC3MRH_AB3E26Y#0001</v>
      </c>
      <c r="F117" s="33" t="e">
        <f>_xll.qlRateHelperQuoteValue($E117,Trigger)</f>
        <v>#NUM!</v>
      </c>
      <c r="G117" s="33">
        <f>_xll.qlSwapRateHelperSpread($E117,Trigger)</f>
        <v>0</v>
      </c>
      <c r="H117" s="32" t="b">
        <v>0</v>
      </c>
      <c r="I117" s="32">
        <v>50</v>
      </c>
      <c r="J117" s="32">
        <v>1</v>
      </c>
      <c r="K117" s="31">
        <f>_xll.qlRateHelperEarliestDate($E117,Trigger)</f>
        <v>41792</v>
      </c>
      <c r="L117" s="30">
        <f>_xll.qlRateHelperLatestDate($E117,Trigger)</f>
        <v>51291</v>
      </c>
      <c r="O117" s="295" t="str">
        <f t="shared" si="9"/>
        <v>FALSE</v>
      </c>
      <c r="P117" s="37"/>
      <c r="Q117" s="37"/>
    </row>
    <row r="118" spans="2:17" x14ac:dyDescent="0.2">
      <c r="B118" s="36" t="str">
        <f t="shared" si="7"/>
        <v>AB</v>
      </c>
      <c r="C118" s="35" t="str">
        <f t="shared" si="8"/>
        <v>3E</v>
      </c>
      <c r="D118" s="34" t="s">
        <v>18</v>
      </c>
      <c r="E118" s="34" t="str">
        <f>Swaps_3M!L35</f>
        <v>EUR_YC3MRH_AB3E27Y#0001</v>
      </c>
      <c r="F118" s="33" t="e">
        <f>_xll.qlRateHelperQuoteValue($E118,Trigger)</f>
        <v>#NUM!</v>
      </c>
      <c r="G118" s="33">
        <f>_xll.qlSwapRateHelperSpread($E118,Trigger)</f>
        <v>0</v>
      </c>
      <c r="H118" s="32" t="b">
        <v>0</v>
      </c>
      <c r="I118" s="32">
        <v>50</v>
      </c>
      <c r="J118" s="32">
        <v>1</v>
      </c>
      <c r="K118" s="31">
        <f>_xll.qlRateHelperEarliestDate($E118,Trigger)</f>
        <v>41792</v>
      </c>
      <c r="L118" s="30">
        <f>_xll.qlRateHelperLatestDate($E118,Trigger)</f>
        <v>51655</v>
      </c>
      <c r="O118" s="295" t="str">
        <f t="shared" si="9"/>
        <v>FALSE</v>
      </c>
      <c r="P118" s="37"/>
      <c r="Q118" s="37"/>
    </row>
    <row r="119" spans="2:17" x14ac:dyDescent="0.2">
      <c r="B119" s="36" t="str">
        <f t="shared" si="7"/>
        <v>AB</v>
      </c>
      <c r="C119" s="35" t="str">
        <f t="shared" si="8"/>
        <v>3E</v>
      </c>
      <c r="D119" s="34" t="s">
        <v>17</v>
      </c>
      <c r="E119" s="34" t="str">
        <f>Swaps_3M!L36</f>
        <v>EUR_YC3MRH_AB3E28Y#0001</v>
      </c>
      <c r="F119" s="33" t="e">
        <f>_xll.qlRateHelperQuoteValue($E119,Trigger)</f>
        <v>#NUM!</v>
      </c>
      <c r="G119" s="33">
        <f>_xll.qlSwapRateHelperSpread($E119,Trigger)</f>
        <v>0</v>
      </c>
      <c r="H119" s="32" t="b">
        <v>0</v>
      </c>
      <c r="I119" s="32">
        <v>50</v>
      </c>
      <c r="J119" s="32">
        <v>1</v>
      </c>
      <c r="K119" s="31">
        <f>_xll.qlRateHelperEarliestDate($E119,Trigger)</f>
        <v>41792</v>
      </c>
      <c r="L119" s="30">
        <f>_xll.qlRateHelperLatestDate($E119,Trigger)</f>
        <v>52019</v>
      </c>
      <c r="O119" s="295" t="str">
        <f t="shared" si="9"/>
        <v>FALSE</v>
      </c>
      <c r="P119" s="37"/>
      <c r="Q119" s="37"/>
    </row>
    <row r="120" spans="2:17" x14ac:dyDescent="0.2">
      <c r="B120" s="36" t="str">
        <f t="shared" si="7"/>
        <v>AB</v>
      </c>
      <c r="C120" s="35" t="str">
        <f t="shared" si="8"/>
        <v>3E</v>
      </c>
      <c r="D120" s="34" t="s">
        <v>16</v>
      </c>
      <c r="E120" s="34" t="str">
        <f>Swaps_3M!L37</f>
        <v>EUR_YC3MRH_AB3E29Y#0001</v>
      </c>
      <c r="F120" s="33" t="e">
        <f>_xll.qlRateHelperQuoteValue($E120,Trigger)</f>
        <v>#NUM!</v>
      </c>
      <c r="G120" s="33">
        <f>_xll.qlSwapRateHelperSpread($E120,Trigger)</f>
        <v>0</v>
      </c>
      <c r="H120" s="32" t="b">
        <v>0</v>
      </c>
      <c r="I120" s="32">
        <v>50</v>
      </c>
      <c r="J120" s="32">
        <v>1</v>
      </c>
      <c r="K120" s="31">
        <f>_xll.qlRateHelperEarliestDate($E120,Trigger)</f>
        <v>41792</v>
      </c>
      <c r="L120" s="30">
        <f>_xll.qlRateHelperLatestDate($E120,Trigger)</f>
        <v>52384</v>
      </c>
      <c r="O120" s="295" t="str">
        <f t="shared" si="9"/>
        <v>FALSE</v>
      </c>
      <c r="P120" s="37"/>
      <c r="Q120" s="37"/>
    </row>
    <row r="121" spans="2:17" x14ac:dyDescent="0.2">
      <c r="B121" s="36" t="str">
        <f t="shared" ref="B121:B152" si="10">SwapFixedFreq</f>
        <v>AB</v>
      </c>
      <c r="C121" s="35" t="str">
        <f t="shared" si="8"/>
        <v>3E</v>
      </c>
      <c r="D121" s="34" t="s">
        <v>15</v>
      </c>
      <c r="E121" s="34" t="str">
        <f>Swaps_3M!L38</f>
        <v>EUR_YC3MRH_AB3E30Y#0001</v>
      </c>
      <c r="F121" s="33">
        <f>_xll.qlRateHelperQuoteValue($E121,Trigger)</f>
        <v>2.2380000000000001E-2</v>
      </c>
      <c r="G121" s="33">
        <f>_xll.qlSwapRateHelperSpread($E121,Trigger)</f>
        <v>0</v>
      </c>
      <c r="H121" s="32" t="b">
        <v>1</v>
      </c>
      <c r="I121" s="32">
        <v>50</v>
      </c>
      <c r="J121" s="32">
        <v>1</v>
      </c>
      <c r="K121" s="31">
        <f>_xll.qlRateHelperEarliestDate($E121,Trigger)</f>
        <v>41792</v>
      </c>
      <c r="L121" s="30">
        <f>_xll.qlRateHelperLatestDate($E121,Trigger)</f>
        <v>52750</v>
      </c>
      <c r="O121" s="295" t="str">
        <f t="shared" si="9"/>
        <v>TRUE</v>
      </c>
      <c r="P121" s="37"/>
      <c r="Q121" s="37"/>
    </row>
    <row r="122" spans="2:17" x14ac:dyDescent="0.2">
      <c r="B122" s="36" t="str">
        <f t="shared" si="10"/>
        <v>AB</v>
      </c>
      <c r="C122" s="35" t="str">
        <f t="shared" si="8"/>
        <v>3E</v>
      </c>
      <c r="D122" s="34" t="s">
        <v>14</v>
      </c>
      <c r="E122" s="34" t="str">
        <f>Swaps_3M!L39</f>
        <v>EUR_YC3MRH_AB3E35Y#0001</v>
      </c>
      <c r="F122" s="33" t="e">
        <f>_xll.qlRateHelperQuoteValue($E122,Trigger)</f>
        <v>#NUM!</v>
      </c>
      <c r="G122" s="33">
        <f>_xll.qlSwapRateHelperSpread($E122,Trigger)</f>
        <v>0</v>
      </c>
      <c r="H122" s="32" t="b">
        <v>0</v>
      </c>
      <c r="I122" s="32">
        <v>50</v>
      </c>
      <c r="J122" s="32">
        <v>1</v>
      </c>
      <c r="K122" s="31">
        <f>_xll.qlRateHelperEarliestDate($E122,Trigger)</f>
        <v>41792</v>
      </c>
      <c r="L122" s="30">
        <f>_xll.qlRateHelperLatestDate($E122,Trigger)</f>
        <v>54576</v>
      </c>
      <c r="O122" s="295" t="str">
        <f t="shared" si="9"/>
        <v>FALSE</v>
      </c>
      <c r="P122" s="37"/>
      <c r="Q122" s="37"/>
    </row>
    <row r="123" spans="2:17" x14ac:dyDescent="0.2">
      <c r="B123" s="36" t="str">
        <f t="shared" si="10"/>
        <v>AB</v>
      </c>
      <c r="C123" s="35" t="str">
        <f t="shared" si="8"/>
        <v>3E</v>
      </c>
      <c r="D123" s="34" t="s">
        <v>13</v>
      </c>
      <c r="E123" s="34" t="str">
        <f>Swaps_3M!L40</f>
        <v>EUR_YC3MRH_AB3E40Y#0001</v>
      </c>
      <c r="F123" s="33">
        <f>_xll.qlRateHelperQuoteValue($E123,Trigger)</f>
        <v>2.2679999999999999E-2</v>
      </c>
      <c r="G123" s="33">
        <f>_xll.qlSwapRateHelperSpread($E123,Trigger)</f>
        <v>0</v>
      </c>
      <c r="H123" s="32" t="b">
        <v>1</v>
      </c>
      <c r="I123" s="32">
        <v>50</v>
      </c>
      <c r="J123" s="32">
        <v>1</v>
      </c>
      <c r="K123" s="31">
        <f>_xll.qlRateHelperEarliestDate($E123,Trigger)</f>
        <v>41792</v>
      </c>
      <c r="L123" s="30">
        <f>_xll.qlRateHelperLatestDate($E123,Trigger)</f>
        <v>56402</v>
      </c>
      <c r="O123" s="295" t="str">
        <f t="shared" si="9"/>
        <v>TRUE</v>
      </c>
      <c r="P123" s="37"/>
      <c r="Q123" s="37"/>
    </row>
    <row r="124" spans="2:17" x14ac:dyDescent="0.2">
      <c r="B124" s="36" t="str">
        <f t="shared" si="10"/>
        <v>AB</v>
      </c>
      <c r="C124" s="35" t="str">
        <f t="shared" si="8"/>
        <v>3E</v>
      </c>
      <c r="D124" s="34" t="s">
        <v>12</v>
      </c>
      <c r="E124" s="34" t="str">
        <f>Swaps_3M!L41</f>
        <v>EUR_YC3MRH_AB3E50Y#0001</v>
      </c>
      <c r="F124" s="33">
        <f>_xll.qlRateHelperQuoteValue($E124,Trigger)</f>
        <v>2.2759999999999999E-2</v>
      </c>
      <c r="G124" s="33">
        <f>_xll.qlSwapRateHelperSpread($E124,Trigger)</f>
        <v>0</v>
      </c>
      <c r="H124" s="32" t="b">
        <v>1</v>
      </c>
      <c r="I124" s="32">
        <v>50</v>
      </c>
      <c r="J124" s="32">
        <v>1</v>
      </c>
      <c r="K124" s="31">
        <f>_xll.qlRateHelperEarliestDate($E124,Trigger)</f>
        <v>41792</v>
      </c>
      <c r="L124" s="30">
        <f>_xll.qlRateHelperLatestDate($E124,Trigger)</f>
        <v>60055</v>
      </c>
      <c r="O124" s="295" t="str">
        <f t="shared" si="9"/>
        <v>TRUE</v>
      </c>
      <c r="P124" s="37"/>
      <c r="Q124" s="37"/>
    </row>
    <row r="125" spans="2:17" x14ac:dyDescent="0.2">
      <c r="B125" s="29" t="str">
        <f t="shared" si="10"/>
        <v>AB</v>
      </c>
      <c r="C125" s="28" t="str">
        <f t="shared" si="8"/>
        <v>3E</v>
      </c>
      <c r="D125" s="27" t="s">
        <v>11</v>
      </c>
      <c r="E125" s="27" t="str">
        <f>Swaps_3M!L42</f>
        <v>EUR_YC3MRH_AB3E60Y#0001</v>
      </c>
      <c r="F125" s="26">
        <f>_xll.qlRateHelperQuoteValue($E125,Trigger)</f>
        <v>2.2919999999999999E-2</v>
      </c>
      <c r="G125" s="26">
        <f>_xll.qlSwapRateHelperSpread($E125,Trigger)</f>
        <v>0</v>
      </c>
      <c r="H125" s="25" t="b">
        <v>1</v>
      </c>
      <c r="I125" s="25">
        <v>50</v>
      </c>
      <c r="J125" s="25">
        <v>1</v>
      </c>
      <c r="K125" s="24">
        <f>_xll.qlRateHelperEarliestDate($E125,Trigger)</f>
        <v>41792</v>
      </c>
      <c r="L125" s="23">
        <f>_xll.qlRateHelperLatestDate($E125,Trigger)</f>
        <v>63709</v>
      </c>
      <c r="O125" s="295" t="str">
        <f t="shared" si="9"/>
        <v>TRUE</v>
      </c>
      <c r="P125" s="37"/>
      <c r="Q125" s="37"/>
    </row>
    <row r="126" spans="2:17" x14ac:dyDescent="0.2">
      <c r="B126" s="36" t="str">
        <f t="shared" si="10"/>
        <v>AB</v>
      </c>
      <c r="C126" s="35" t="str">
        <f t="shared" ref="C126:C162" si="11">IborType&amp;"BASIS"</f>
        <v>3EBASIS</v>
      </c>
      <c r="D126" s="34" t="s">
        <v>47</v>
      </c>
      <c r="E126" s="34" t="str">
        <f>SwapsFromBasis_3M!L6</f>
        <v>EUR_YC3MRH_AB3EBASIS1Y#0001</v>
      </c>
      <c r="F126" s="33">
        <f>_xll.qlRateHelperQuoteValue($E126,Trigger)</f>
        <v>2.2599999999999999E-3</v>
      </c>
      <c r="G126" s="33">
        <f>_xll.qlSwapRateHelperSpread($E126,Trigger)</f>
        <v>0</v>
      </c>
      <c r="H126" s="32" t="b">
        <v>0</v>
      </c>
      <c r="I126" s="32">
        <v>40</v>
      </c>
      <c r="J126" s="32">
        <v>1</v>
      </c>
      <c r="K126" s="31">
        <f>_xll.qlRateHelperEarliestDate($E126,Trigger)</f>
        <v>41792</v>
      </c>
      <c r="L126" s="30">
        <f>_xll.qlRateHelperLatestDate($E126,Trigger)</f>
        <v>42157</v>
      </c>
      <c r="O126" s="295"/>
    </row>
    <row r="127" spans="2:17" x14ac:dyDescent="0.2">
      <c r="B127" s="36" t="str">
        <f t="shared" si="10"/>
        <v>AB</v>
      </c>
      <c r="C127" s="35" t="str">
        <f t="shared" si="11"/>
        <v>3EBASIS</v>
      </c>
      <c r="D127" s="34" t="s">
        <v>46</v>
      </c>
      <c r="E127" s="34" t="str">
        <f>SwapsFromBasis_3M!L7</f>
        <v>EUR_YC3MRH_AB3EBASIS15M#0001</v>
      </c>
      <c r="F127" s="33" t="e">
        <f>_xll.qlRateHelperQuoteValue($E127,Trigger)</f>
        <v>#NUM!</v>
      </c>
      <c r="G127" s="33">
        <f>_xll.qlSwapRateHelperSpread($E127,Trigger)</f>
        <v>0</v>
      </c>
      <c r="H127" s="32" t="b">
        <v>0</v>
      </c>
      <c r="I127" s="32">
        <v>40</v>
      </c>
      <c r="J127" s="32">
        <v>1</v>
      </c>
      <c r="K127" s="31">
        <f>_xll.qlRateHelperEarliestDate($E127,Trigger)</f>
        <v>41792</v>
      </c>
      <c r="L127" s="30">
        <f>_xll.qlRateHelperLatestDate($E127,Trigger)</f>
        <v>42249</v>
      </c>
      <c r="O127" s="295"/>
    </row>
    <row r="128" spans="2:17" x14ac:dyDescent="0.2">
      <c r="B128" s="36" t="str">
        <f t="shared" si="10"/>
        <v>AB</v>
      </c>
      <c r="C128" s="35" t="str">
        <f t="shared" si="11"/>
        <v>3EBASIS</v>
      </c>
      <c r="D128" s="34" t="s">
        <v>45</v>
      </c>
      <c r="E128" s="34" t="str">
        <f>SwapsFromBasis_3M!L8</f>
        <v>EUR_YC3MRH_AB3EBASIS18M#0001</v>
      </c>
      <c r="F128" s="33">
        <f>_xll.qlRateHelperQuoteValue($E128,Trigger)</f>
        <v>2.1599999999999996E-3</v>
      </c>
      <c r="G128" s="33">
        <f>_xll.qlSwapRateHelperSpread($E128,Trigger)</f>
        <v>0</v>
      </c>
      <c r="H128" s="32" t="b">
        <v>0</v>
      </c>
      <c r="I128" s="32">
        <v>40</v>
      </c>
      <c r="J128" s="32">
        <v>1</v>
      </c>
      <c r="K128" s="31">
        <f>_xll.qlRateHelperEarliestDate($E128,Trigger)</f>
        <v>41792</v>
      </c>
      <c r="L128" s="30">
        <f>_xll.qlRateHelperLatestDate($E128,Trigger)</f>
        <v>42340</v>
      </c>
      <c r="O128" s="295"/>
    </row>
    <row r="129" spans="2:15" x14ac:dyDescent="0.2">
      <c r="B129" s="36" t="str">
        <f t="shared" si="10"/>
        <v>AB</v>
      </c>
      <c r="C129" s="35" t="str">
        <f t="shared" si="11"/>
        <v>3EBASIS</v>
      </c>
      <c r="D129" s="34" t="s">
        <v>44</v>
      </c>
      <c r="E129" s="34" t="str">
        <f>SwapsFromBasis_3M!L9</f>
        <v>EUR_YC3MRH_AB3EBASIS21M#0001</v>
      </c>
      <c r="F129" s="33" t="e">
        <f>_xll.qlRateHelperQuoteValue($E129,Trigger)</f>
        <v>#NUM!</v>
      </c>
      <c r="G129" s="33">
        <f>_xll.qlSwapRateHelperSpread($E129,Trigger)</f>
        <v>0</v>
      </c>
      <c r="H129" s="32" t="b">
        <v>0</v>
      </c>
      <c r="I129" s="32">
        <v>40</v>
      </c>
      <c r="J129" s="32">
        <v>1</v>
      </c>
      <c r="K129" s="31">
        <f>_xll.qlRateHelperEarliestDate($E129,Trigger)</f>
        <v>41792</v>
      </c>
      <c r="L129" s="30">
        <f>_xll.qlRateHelperLatestDate($E129,Trigger)</f>
        <v>42431</v>
      </c>
      <c r="O129" s="295"/>
    </row>
    <row r="130" spans="2:15" x14ac:dyDescent="0.2">
      <c r="B130" s="36" t="str">
        <f t="shared" si="10"/>
        <v>AB</v>
      </c>
      <c r="C130" s="35" t="str">
        <f t="shared" si="11"/>
        <v>3EBASIS</v>
      </c>
      <c r="D130" s="34" t="s">
        <v>43</v>
      </c>
      <c r="E130" s="34" t="str">
        <f>SwapsFromBasis_3M!L10</f>
        <v>EUR_YC3MRH_AB3EBASIS2Y#0001</v>
      </c>
      <c r="F130" s="33">
        <f>_xll.qlRateHelperQuoteValue($E130,Trigger)</f>
        <v>2.31E-3</v>
      </c>
      <c r="G130" s="33">
        <f>_xll.qlSwapRateHelperSpread($E130,Trigger)</f>
        <v>0</v>
      </c>
      <c r="H130" s="32" t="b">
        <v>0</v>
      </c>
      <c r="I130" s="32">
        <v>40</v>
      </c>
      <c r="J130" s="32">
        <v>1</v>
      </c>
      <c r="K130" s="31">
        <f>_xll.qlRateHelperEarliestDate($E130,Trigger)</f>
        <v>41792</v>
      </c>
      <c r="L130" s="30">
        <f>_xll.qlRateHelperLatestDate($E130,Trigger)</f>
        <v>42523</v>
      </c>
      <c r="O130" s="295"/>
    </row>
    <row r="131" spans="2:15" x14ac:dyDescent="0.2">
      <c r="B131" s="36" t="str">
        <f t="shared" si="10"/>
        <v>AB</v>
      </c>
      <c r="C131" s="35" t="str">
        <f t="shared" si="11"/>
        <v>3EBASIS</v>
      </c>
      <c r="D131" s="34" t="s">
        <v>42</v>
      </c>
      <c r="E131" s="34" t="str">
        <f>SwapsFromBasis_3M!L11</f>
        <v>EUR_YC3MRH_AB3EBASIS3Y#0001</v>
      </c>
      <c r="F131" s="33">
        <f>_xll.qlRateHelperQuoteValue($E131,Trigger)</f>
        <v>3.2099999999999997E-3</v>
      </c>
      <c r="G131" s="33">
        <f>_xll.qlSwapRateHelperSpread($E131,Trigger)</f>
        <v>0</v>
      </c>
      <c r="H131" s="32" t="b">
        <v>0</v>
      </c>
      <c r="I131" s="32">
        <v>40</v>
      </c>
      <c r="J131" s="32">
        <v>1</v>
      </c>
      <c r="K131" s="31">
        <f>_xll.qlRateHelperEarliestDate($E131,Trigger)</f>
        <v>41792</v>
      </c>
      <c r="L131" s="30">
        <f>_xll.qlRateHelperLatestDate($E131,Trigger)</f>
        <v>42888</v>
      </c>
      <c r="O131" s="295"/>
    </row>
    <row r="132" spans="2:15" x14ac:dyDescent="0.2">
      <c r="B132" s="36" t="str">
        <f t="shared" si="10"/>
        <v>AB</v>
      </c>
      <c r="C132" s="35" t="str">
        <f t="shared" si="11"/>
        <v>3EBASIS</v>
      </c>
      <c r="D132" s="34" t="s">
        <v>41</v>
      </c>
      <c r="E132" s="34" t="str">
        <f>SwapsFromBasis_3M!L12</f>
        <v>EUR_YC3MRH_AB3EBASIS4Y#0001</v>
      </c>
      <c r="F132" s="33">
        <f>_xll.qlRateHelperQuoteValue($E132,Trigger)</f>
        <v>4.6999999999999993E-3</v>
      </c>
      <c r="G132" s="33">
        <f>_xll.qlSwapRateHelperSpread($E132,Trigger)</f>
        <v>0</v>
      </c>
      <c r="H132" s="32" t="b">
        <v>0</v>
      </c>
      <c r="I132" s="32">
        <v>40</v>
      </c>
      <c r="J132" s="32">
        <v>1</v>
      </c>
      <c r="K132" s="31">
        <f>_xll.qlRateHelperEarliestDate($E132,Trigger)</f>
        <v>41792</v>
      </c>
      <c r="L132" s="30">
        <f>_xll.qlRateHelperLatestDate($E132,Trigger)</f>
        <v>43255</v>
      </c>
      <c r="O132" s="295"/>
    </row>
    <row r="133" spans="2:15" x14ac:dyDescent="0.2">
      <c r="B133" s="36" t="str">
        <f t="shared" si="10"/>
        <v>AB</v>
      </c>
      <c r="C133" s="35" t="str">
        <f t="shared" si="11"/>
        <v>3EBASIS</v>
      </c>
      <c r="D133" s="34" t="s">
        <v>40</v>
      </c>
      <c r="E133" s="34" t="str">
        <f>SwapsFromBasis_3M!L13</f>
        <v>EUR_YC3MRH_AB3EBASIS5Y#0001</v>
      </c>
      <c r="F133" s="33">
        <f>_xll.qlRateHelperQuoteValue($E133,Trigger)</f>
        <v>6.4550000000000007E-3</v>
      </c>
      <c r="G133" s="33">
        <f>_xll.qlSwapRateHelperSpread($E133,Trigger)</f>
        <v>0</v>
      </c>
      <c r="H133" s="32" t="b">
        <v>0</v>
      </c>
      <c r="I133" s="32">
        <v>40</v>
      </c>
      <c r="J133" s="32">
        <v>1</v>
      </c>
      <c r="K133" s="31">
        <f>_xll.qlRateHelperEarliestDate($E133,Trigger)</f>
        <v>41792</v>
      </c>
      <c r="L133" s="30">
        <f>_xll.qlRateHelperLatestDate($E133,Trigger)</f>
        <v>43619</v>
      </c>
      <c r="O133" s="295"/>
    </row>
    <row r="134" spans="2:15" x14ac:dyDescent="0.2">
      <c r="B134" s="36" t="str">
        <f t="shared" si="10"/>
        <v>AB</v>
      </c>
      <c r="C134" s="35" t="str">
        <f t="shared" si="11"/>
        <v>3EBASIS</v>
      </c>
      <c r="D134" s="34" t="s">
        <v>39</v>
      </c>
      <c r="E134" s="34" t="str">
        <f>SwapsFromBasis_3M!L14</f>
        <v>EUR_YC3MRH_AB3EBASIS6Y#0001</v>
      </c>
      <c r="F134" s="33">
        <f>_xll.qlRateHelperQuoteValue($E134,Trigger)</f>
        <v>8.2950000000000003E-3</v>
      </c>
      <c r="G134" s="33">
        <f>_xll.qlSwapRateHelperSpread($E134,Trigger)</f>
        <v>0</v>
      </c>
      <c r="H134" s="32" t="b">
        <v>0</v>
      </c>
      <c r="I134" s="32">
        <v>40</v>
      </c>
      <c r="J134" s="32">
        <v>1</v>
      </c>
      <c r="K134" s="31">
        <f>_xll.qlRateHelperEarliestDate($E134,Trigger)</f>
        <v>41792</v>
      </c>
      <c r="L134" s="30">
        <f>_xll.qlRateHelperLatestDate($E134,Trigger)</f>
        <v>43984</v>
      </c>
      <c r="O134" s="295"/>
    </row>
    <row r="135" spans="2:15" x14ac:dyDescent="0.2">
      <c r="B135" s="36" t="str">
        <f t="shared" si="10"/>
        <v>AB</v>
      </c>
      <c r="C135" s="35" t="str">
        <f t="shared" si="11"/>
        <v>3EBASIS</v>
      </c>
      <c r="D135" s="34" t="s">
        <v>38</v>
      </c>
      <c r="E135" s="34" t="str">
        <f>SwapsFromBasis_3M!L15</f>
        <v>EUR_YC3MRH_AB3EBASIS7Y#0001</v>
      </c>
      <c r="F135" s="33">
        <f>_xll.qlRateHelperQuoteValue($E135,Trigger)</f>
        <v>1.0105000000000001E-2</v>
      </c>
      <c r="G135" s="33">
        <f>_xll.qlSwapRateHelperSpread($E135,Trigger)</f>
        <v>0</v>
      </c>
      <c r="H135" s="32" t="b">
        <v>0</v>
      </c>
      <c r="I135" s="32">
        <v>40</v>
      </c>
      <c r="J135" s="32">
        <v>1</v>
      </c>
      <c r="K135" s="31">
        <f>_xll.qlRateHelperEarliestDate($E135,Trigger)</f>
        <v>41792</v>
      </c>
      <c r="L135" s="30">
        <f>_xll.qlRateHelperLatestDate($E135,Trigger)</f>
        <v>44349</v>
      </c>
      <c r="O135" s="295"/>
    </row>
    <row r="136" spans="2:15" x14ac:dyDescent="0.2">
      <c r="B136" s="36" t="str">
        <f t="shared" si="10"/>
        <v>AB</v>
      </c>
      <c r="C136" s="35" t="str">
        <f t="shared" si="11"/>
        <v>3EBASIS</v>
      </c>
      <c r="D136" s="34" t="s">
        <v>37</v>
      </c>
      <c r="E136" s="34" t="str">
        <f>SwapsFromBasis_3M!L16</f>
        <v>EUR_YC3MRH_AB3EBASIS8Y#0001</v>
      </c>
      <c r="F136" s="33">
        <f>_xll.qlRateHelperQuoteValue($E136,Trigger)</f>
        <v>1.1825E-2</v>
      </c>
      <c r="G136" s="33">
        <f>_xll.qlSwapRateHelperSpread($E136,Trigger)</f>
        <v>0</v>
      </c>
      <c r="H136" s="32" t="b">
        <v>0</v>
      </c>
      <c r="I136" s="32">
        <v>40</v>
      </c>
      <c r="J136" s="32">
        <v>1</v>
      </c>
      <c r="K136" s="31">
        <f>_xll.qlRateHelperEarliestDate($E136,Trigger)</f>
        <v>41792</v>
      </c>
      <c r="L136" s="30">
        <f>_xll.qlRateHelperLatestDate($E136,Trigger)</f>
        <v>44714</v>
      </c>
      <c r="O136" s="295"/>
    </row>
    <row r="137" spans="2:15" x14ac:dyDescent="0.2">
      <c r="B137" s="36" t="str">
        <f t="shared" si="10"/>
        <v>AB</v>
      </c>
      <c r="C137" s="35" t="str">
        <f t="shared" si="11"/>
        <v>3EBASIS</v>
      </c>
      <c r="D137" s="34" t="s">
        <v>36</v>
      </c>
      <c r="E137" s="34" t="str">
        <f>SwapsFromBasis_3M!L17</f>
        <v>EUR_YC3MRH_AB3EBASIS9Y#0001</v>
      </c>
      <c r="F137" s="33">
        <f>_xll.qlRateHelperQuoteValue($E137,Trigger)</f>
        <v>1.3385000000000001E-2</v>
      </c>
      <c r="G137" s="33">
        <f>_xll.qlSwapRateHelperSpread($E137,Trigger)</f>
        <v>0</v>
      </c>
      <c r="H137" s="32" t="b">
        <v>0</v>
      </c>
      <c r="I137" s="32">
        <v>40</v>
      </c>
      <c r="J137" s="32">
        <v>1</v>
      </c>
      <c r="K137" s="31">
        <f>_xll.qlRateHelperEarliestDate($E137,Trigger)</f>
        <v>41792</v>
      </c>
      <c r="L137" s="30">
        <f>_xll.qlRateHelperLatestDate($E137,Trigger)</f>
        <v>45079</v>
      </c>
      <c r="O137" s="295"/>
    </row>
    <row r="138" spans="2:15" x14ac:dyDescent="0.2">
      <c r="B138" s="36" t="str">
        <f t="shared" si="10"/>
        <v>AB</v>
      </c>
      <c r="C138" s="35" t="str">
        <f t="shared" si="11"/>
        <v>3EBASIS</v>
      </c>
      <c r="D138" s="34" t="s">
        <v>35</v>
      </c>
      <c r="E138" s="34" t="str">
        <f>SwapsFromBasis_3M!L18</f>
        <v>EUR_YC3MRH_AB3EBASIS10Y#0001</v>
      </c>
      <c r="F138" s="33">
        <f>_xll.qlRateHelperQuoteValue($E138,Trigger)</f>
        <v>1.477E-2</v>
      </c>
      <c r="G138" s="33">
        <f>_xll.qlSwapRateHelperSpread($E138,Trigger)</f>
        <v>0</v>
      </c>
      <c r="H138" s="32" t="b">
        <v>0</v>
      </c>
      <c r="I138" s="32">
        <v>40</v>
      </c>
      <c r="J138" s="32">
        <v>1</v>
      </c>
      <c r="K138" s="31">
        <f>_xll.qlRateHelperEarliestDate($E138,Trigger)</f>
        <v>41792</v>
      </c>
      <c r="L138" s="30">
        <f>_xll.qlRateHelperLatestDate($E138,Trigger)</f>
        <v>45446</v>
      </c>
      <c r="O138" s="295"/>
    </row>
    <row r="139" spans="2:15" x14ac:dyDescent="0.2">
      <c r="B139" s="36" t="str">
        <f t="shared" si="10"/>
        <v>AB</v>
      </c>
      <c r="C139" s="35" t="str">
        <f t="shared" si="11"/>
        <v>3EBASIS</v>
      </c>
      <c r="D139" s="34" t="s">
        <v>34</v>
      </c>
      <c r="E139" s="34" t="str">
        <f>SwapsFromBasis_3M!L19</f>
        <v>EUR_YC3MRH_AB3EBASIS11Y#0001</v>
      </c>
      <c r="F139" s="33">
        <f>_xll.qlRateHelperQuoteValue($E139,Trigger)</f>
        <v>1.6004999999999998E-2</v>
      </c>
      <c r="G139" s="33">
        <f>_xll.qlSwapRateHelperSpread($E139,Trigger)</f>
        <v>0</v>
      </c>
      <c r="H139" s="32" t="b">
        <v>0</v>
      </c>
      <c r="I139" s="32">
        <v>40</v>
      </c>
      <c r="J139" s="32">
        <v>1</v>
      </c>
      <c r="K139" s="31">
        <f>_xll.qlRateHelperEarliestDate($E139,Trigger)</f>
        <v>41792</v>
      </c>
      <c r="L139" s="30">
        <f>_xll.qlRateHelperLatestDate($E139,Trigger)</f>
        <v>45810</v>
      </c>
      <c r="O139" s="295"/>
    </row>
    <row r="140" spans="2:15" x14ac:dyDescent="0.2">
      <c r="B140" s="36" t="str">
        <f t="shared" si="10"/>
        <v>AB</v>
      </c>
      <c r="C140" s="35" t="str">
        <f t="shared" si="11"/>
        <v>3EBASIS</v>
      </c>
      <c r="D140" s="34" t="s">
        <v>33</v>
      </c>
      <c r="E140" s="34" t="str">
        <f>SwapsFromBasis_3M!L20</f>
        <v>EUR_YC3MRH_AB3EBASIS12Y#0001</v>
      </c>
      <c r="F140" s="33">
        <f>_xll.qlRateHelperQuoteValue($E140,Trigger)</f>
        <v>1.7094999999999999E-2</v>
      </c>
      <c r="G140" s="33">
        <f>_xll.qlSwapRateHelperSpread($E140,Trigger)</f>
        <v>0</v>
      </c>
      <c r="H140" s="32" t="b">
        <v>0</v>
      </c>
      <c r="I140" s="32">
        <v>40</v>
      </c>
      <c r="J140" s="32">
        <v>1</v>
      </c>
      <c r="K140" s="31">
        <f>_xll.qlRateHelperEarliestDate($E140,Trigger)</f>
        <v>41792</v>
      </c>
      <c r="L140" s="30">
        <f>_xll.qlRateHelperLatestDate($E140,Trigger)</f>
        <v>46175</v>
      </c>
      <c r="O140" s="295"/>
    </row>
    <row r="141" spans="2:15" x14ac:dyDescent="0.2">
      <c r="B141" s="36" t="str">
        <f t="shared" si="10"/>
        <v>AB</v>
      </c>
      <c r="C141" s="35" t="str">
        <f t="shared" si="11"/>
        <v>3EBASIS</v>
      </c>
      <c r="D141" s="34" t="s">
        <v>32</v>
      </c>
      <c r="E141" s="34" t="str">
        <f>SwapsFromBasis_3M!L21</f>
        <v>EUR_YC3MRH_AB3EBASIS13Y#0001</v>
      </c>
      <c r="F141" s="33" t="e">
        <f>_xll.qlRateHelperQuoteValue($E141,Trigger)</f>
        <v>#NUM!</v>
      </c>
      <c r="G141" s="33">
        <f>_xll.qlSwapRateHelperSpread($E141,Trigger)</f>
        <v>0</v>
      </c>
      <c r="H141" s="32" t="b">
        <v>0</v>
      </c>
      <c r="I141" s="32">
        <v>40</v>
      </c>
      <c r="J141" s="32">
        <v>1</v>
      </c>
      <c r="K141" s="31">
        <f>_xll.qlRateHelperEarliestDate($E141,Trigger)</f>
        <v>41792</v>
      </c>
      <c r="L141" s="30">
        <f>_xll.qlRateHelperLatestDate($E141,Trigger)</f>
        <v>46540</v>
      </c>
      <c r="O141" s="295"/>
    </row>
    <row r="142" spans="2:15" x14ac:dyDescent="0.2">
      <c r="B142" s="36" t="str">
        <f t="shared" si="10"/>
        <v>AB</v>
      </c>
      <c r="C142" s="35" t="str">
        <f t="shared" si="11"/>
        <v>3EBASIS</v>
      </c>
      <c r="D142" s="34" t="s">
        <v>31</v>
      </c>
      <c r="E142" s="34" t="str">
        <f>SwapsFromBasis_3M!L22</f>
        <v>EUR_YC3MRH_AB3EBASIS14Y#0001</v>
      </c>
      <c r="F142" s="33" t="e">
        <f>_xll.qlRateHelperQuoteValue($E142,Trigger)</f>
        <v>#NUM!</v>
      </c>
      <c r="G142" s="33">
        <f>_xll.qlSwapRateHelperSpread($E142,Trigger)</f>
        <v>0</v>
      </c>
      <c r="H142" s="32" t="b">
        <v>0</v>
      </c>
      <c r="I142" s="32">
        <v>40</v>
      </c>
      <c r="J142" s="32">
        <v>1</v>
      </c>
      <c r="K142" s="31">
        <f>_xll.qlRateHelperEarliestDate($E142,Trigger)</f>
        <v>41792</v>
      </c>
      <c r="L142" s="30">
        <f>_xll.qlRateHelperLatestDate($E142,Trigger)</f>
        <v>46906</v>
      </c>
      <c r="O142" s="295"/>
    </row>
    <row r="143" spans="2:15" x14ac:dyDescent="0.2">
      <c r="B143" s="36" t="str">
        <f t="shared" si="10"/>
        <v>AB</v>
      </c>
      <c r="C143" s="35" t="str">
        <f t="shared" si="11"/>
        <v>3EBASIS</v>
      </c>
      <c r="D143" s="34" t="s">
        <v>30</v>
      </c>
      <c r="E143" s="34" t="str">
        <f>SwapsFromBasis_3M!L23</f>
        <v>EUR_YC3MRH_AB3EBASIS15Y#0001</v>
      </c>
      <c r="F143" s="33">
        <f>_xll.qlRateHelperQuoteValue($E143,Trigger)</f>
        <v>1.9549999999999998E-2</v>
      </c>
      <c r="G143" s="33">
        <f>_xll.qlSwapRateHelperSpread($E143,Trigger)</f>
        <v>0</v>
      </c>
      <c r="H143" s="32" t="b">
        <v>0</v>
      </c>
      <c r="I143" s="32">
        <v>40</v>
      </c>
      <c r="J143" s="32">
        <v>1</v>
      </c>
      <c r="K143" s="31">
        <f>_xll.qlRateHelperEarliestDate($E143,Trigger)</f>
        <v>41792</v>
      </c>
      <c r="L143" s="30">
        <f>_xll.qlRateHelperLatestDate($E143,Trigger)</f>
        <v>47273</v>
      </c>
      <c r="O143" s="295"/>
    </row>
    <row r="144" spans="2:15" x14ac:dyDescent="0.2">
      <c r="B144" s="36" t="str">
        <f t="shared" si="10"/>
        <v>AB</v>
      </c>
      <c r="C144" s="35" t="str">
        <f t="shared" si="11"/>
        <v>3EBASIS</v>
      </c>
      <c r="D144" s="34" t="s">
        <v>29</v>
      </c>
      <c r="E144" s="34" t="str">
        <f>SwapsFromBasis_3M!L24</f>
        <v>EUR_YC3MRH_AB3EBASIS16Y#0001</v>
      </c>
      <c r="F144" s="33" t="e">
        <f>_xll.qlRateHelperQuoteValue($E144,Trigger)</f>
        <v>#NUM!</v>
      </c>
      <c r="G144" s="33">
        <f>_xll.qlSwapRateHelperSpread($E144,Trigger)</f>
        <v>0</v>
      </c>
      <c r="H144" s="32" t="b">
        <v>0</v>
      </c>
      <c r="I144" s="32">
        <v>40</v>
      </c>
      <c r="J144" s="32">
        <v>1</v>
      </c>
      <c r="K144" s="31">
        <f>_xll.qlRateHelperEarliestDate($E144,Trigger)</f>
        <v>41792</v>
      </c>
      <c r="L144" s="30">
        <f>_xll.qlRateHelperLatestDate($E144,Trigger)</f>
        <v>47637</v>
      </c>
      <c r="O144" s="295"/>
    </row>
    <row r="145" spans="2:15" x14ac:dyDescent="0.2">
      <c r="B145" s="36" t="str">
        <f t="shared" si="10"/>
        <v>AB</v>
      </c>
      <c r="C145" s="35" t="str">
        <f t="shared" si="11"/>
        <v>3EBASIS</v>
      </c>
      <c r="D145" s="34" t="s">
        <v>28</v>
      </c>
      <c r="E145" s="34" t="str">
        <f>SwapsFromBasis_3M!L25</f>
        <v>EUR_YC3MRH_AB3EBASIS17Y#0001</v>
      </c>
      <c r="F145" s="33" t="e">
        <f>_xll.qlRateHelperQuoteValue($E145,Trigger)</f>
        <v>#NUM!</v>
      </c>
      <c r="G145" s="33">
        <f>_xll.qlSwapRateHelperSpread($E145,Trigger)</f>
        <v>0</v>
      </c>
      <c r="H145" s="32" t="b">
        <v>0</v>
      </c>
      <c r="I145" s="32">
        <v>40</v>
      </c>
      <c r="J145" s="32">
        <v>1</v>
      </c>
      <c r="K145" s="31">
        <f>_xll.qlRateHelperEarliestDate($E145,Trigger)</f>
        <v>41792</v>
      </c>
      <c r="L145" s="30">
        <f>_xll.qlRateHelperLatestDate($E145,Trigger)</f>
        <v>48001</v>
      </c>
      <c r="O145" s="295"/>
    </row>
    <row r="146" spans="2:15" x14ac:dyDescent="0.2">
      <c r="B146" s="36" t="str">
        <f t="shared" si="10"/>
        <v>AB</v>
      </c>
      <c r="C146" s="35" t="str">
        <f t="shared" si="11"/>
        <v>3EBASIS</v>
      </c>
      <c r="D146" s="34" t="s">
        <v>27</v>
      </c>
      <c r="E146" s="34" t="str">
        <f>SwapsFromBasis_3M!L26</f>
        <v>EUR_YC3MRH_AB3EBASIS18Y#0001</v>
      </c>
      <c r="F146" s="33" t="e">
        <f>_xll.qlRateHelperQuoteValue($E146,Trigger)</f>
        <v>#NUM!</v>
      </c>
      <c r="G146" s="33">
        <f>_xll.qlSwapRateHelperSpread($E146,Trigger)</f>
        <v>0</v>
      </c>
      <c r="H146" s="32" t="b">
        <v>0</v>
      </c>
      <c r="I146" s="32">
        <v>40</v>
      </c>
      <c r="J146" s="32">
        <v>1</v>
      </c>
      <c r="K146" s="31">
        <f>_xll.qlRateHelperEarliestDate($E146,Trigger)</f>
        <v>41792</v>
      </c>
      <c r="L146" s="30">
        <f>_xll.qlRateHelperLatestDate($E146,Trigger)</f>
        <v>48367</v>
      </c>
      <c r="O146" s="295"/>
    </row>
    <row r="147" spans="2:15" x14ac:dyDescent="0.2">
      <c r="B147" s="36" t="str">
        <f t="shared" si="10"/>
        <v>AB</v>
      </c>
      <c r="C147" s="35" t="str">
        <f t="shared" si="11"/>
        <v>3EBASIS</v>
      </c>
      <c r="D147" s="34" t="s">
        <v>26</v>
      </c>
      <c r="E147" s="34" t="str">
        <f>SwapsFromBasis_3M!L27</f>
        <v>EUR_YC3MRH_AB3EBASIS19Y#0001</v>
      </c>
      <c r="F147" s="33" t="e">
        <f>_xll.qlRateHelperQuoteValue($E147,Trigger)</f>
        <v>#NUM!</v>
      </c>
      <c r="G147" s="33">
        <f>_xll.qlSwapRateHelperSpread($E147,Trigger)</f>
        <v>0</v>
      </c>
      <c r="H147" s="32" t="b">
        <v>0</v>
      </c>
      <c r="I147" s="32">
        <v>40</v>
      </c>
      <c r="J147" s="32">
        <v>1</v>
      </c>
      <c r="K147" s="31">
        <f>_xll.qlRateHelperEarliestDate($E147,Trigger)</f>
        <v>41792</v>
      </c>
      <c r="L147" s="30">
        <f>_xll.qlRateHelperLatestDate($E147,Trigger)</f>
        <v>48732</v>
      </c>
      <c r="O147" s="295"/>
    </row>
    <row r="148" spans="2:15" x14ac:dyDescent="0.2">
      <c r="B148" s="36" t="str">
        <f t="shared" si="10"/>
        <v>AB</v>
      </c>
      <c r="C148" s="35" t="str">
        <f t="shared" si="11"/>
        <v>3EBASIS</v>
      </c>
      <c r="D148" s="34" t="s">
        <v>25</v>
      </c>
      <c r="E148" s="34" t="str">
        <f>SwapsFromBasis_3M!L28</f>
        <v>EUR_YC3MRH_AB3EBASIS20Y#0001</v>
      </c>
      <c r="F148" s="33">
        <f>_xll.qlRateHelperQuoteValue($E148,Trigger)</f>
        <v>2.1475000000000005E-2</v>
      </c>
      <c r="G148" s="33">
        <f>_xll.qlSwapRateHelperSpread($E148,Trigger)</f>
        <v>0</v>
      </c>
      <c r="H148" s="32" t="b">
        <v>0</v>
      </c>
      <c r="I148" s="32">
        <v>40</v>
      </c>
      <c r="J148" s="32">
        <v>1</v>
      </c>
      <c r="K148" s="31">
        <f>_xll.qlRateHelperEarliestDate($E148,Trigger)</f>
        <v>41792</v>
      </c>
      <c r="L148" s="30">
        <f>_xll.qlRateHelperLatestDate($E148,Trigger)</f>
        <v>49097</v>
      </c>
      <c r="O148" s="295"/>
    </row>
    <row r="149" spans="2:15" x14ac:dyDescent="0.2">
      <c r="B149" s="36" t="str">
        <f t="shared" si="10"/>
        <v>AB</v>
      </c>
      <c r="C149" s="35" t="str">
        <f t="shared" si="11"/>
        <v>3EBASIS</v>
      </c>
      <c r="D149" s="34" t="s">
        <v>24</v>
      </c>
      <c r="E149" s="34" t="str">
        <f>SwapsFromBasis_3M!L29</f>
        <v>EUR_YC3MRH_AB3EBASIS21Y#0001</v>
      </c>
      <c r="F149" s="33" t="e">
        <f>_xll.qlRateHelperQuoteValue($E149,Trigger)</f>
        <v>#NUM!</v>
      </c>
      <c r="G149" s="33">
        <f>_xll.qlSwapRateHelperSpread($E149,Trigger)</f>
        <v>0</v>
      </c>
      <c r="H149" s="32" t="b">
        <v>0</v>
      </c>
      <c r="I149" s="32">
        <v>40</v>
      </c>
      <c r="J149" s="32">
        <v>1</v>
      </c>
      <c r="K149" s="31">
        <f>_xll.qlRateHelperEarliestDate($E149,Trigger)</f>
        <v>41792</v>
      </c>
      <c r="L149" s="30">
        <f>_xll.qlRateHelperLatestDate($E149,Trigger)</f>
        <v>49464</v>
      </c>
      <c r="O149" s="295"/>
    </row>
    <row r="150" spans="2:15" x14ac:dyDescent="0.2">
      <c r="B150" s="36" t="str">
        <f t="shared" si="10"/>
        <v>AB</v>
      </c>
      <c r="C150" s="35" t="str">
        <f t="shared" si="11"/>
        <v>3EBASIS</v>
      </c>
      <c r="D150" s="34" t="s">
        <v>23</v>
      </c>
      <c r="E150" s="34" t="str">
        <f>SwapsFromBasis_3M!L30</f>
        <v>EUR_YC3MRH_AB3EBASIS22Y#0001</v>
      </c>
      <c r="F150" s="33" t="e">
        <f>_xll.qlRateHelperQuoteValue($E150,Trigger)</f>
        <v>#NUM!</v>
      </c>
      <c r="G150" s="33">
        <f>_xll.qlSwapRateHelperSpread($E150,Trigger)</f>
        <v>0</v>
      </c>
      <c r="H150" s="32" t="b">
        <v>0</v>
      </c>
      <c r="I150" s="32">
        <v>40</v>
      </c>
      <c r="J150" s="32">
        <v>1</v>
      </c>
      <c r="K150" s="31">
        <f>_xll.qlRateHelperEarliestDate($E150,Trigger)</f>
        <v>41792</v>
      </c>
      <c r="L150" s="30">
        <f>_xll.qlRateHelperLatestDate($E150,Trigger)</f>
        <v>49828</v>
      </c>
      <c r="O150" s="295"/>
    </row>
    <row r="151" spans="2:15" x14ac:dyDescent="0.2">
      <c r="B151" s="36" t="str">
        <f t="shared" si="10"/>
        <v>AB</v>
      </c>
      <c r="C151" s="35" t="str">
        <f t="shared" si="11"/>
        <v>3EBASIS</v>
      </c>
      <c r="D151" s="34" t="s">
        <v>22</v>
      </c>
      <c r="E151" s="34" t="str">
        <f>SwapsFromBasis_3M!L31</f>
        <v>EUR_YC3MRH_AB3EBASIS23Y#0001</v>
      </c>
      <c r="F151" s="33" t="e">
        <f>_xll.qlRateHelperQuoteValue($E151,Trigger)</f>
        <v>#NUM!</v>
      </c>
      <c r="G151" s="33">
        <f>_xll.qlSwapRateHelperSpread($E151,Trigger)</f>
        <v>0</v>
      </c>
      <c r="H151" s="32" t="b">
        <v>0</v>
      </c>
      <c r="I151" s="32">
        <v>40</v>
      </c>
      <c r="J151" s="32">
        <v>1</v>
      </c>
      <c r="K151" s="31">
        <f>_xll.qlRateHelperEarliestDate($E151,Trigger)</f>
        <v>41792</v>
      </c>
      <c r="L151" s="30">
        <f>_xll.qlRateHelperLatestDate($E151,Trigger)</f>
        <v>50193</v>
      </c>
      <c r="O151" s="295"/>
    </row>
    <row r="152" spans="2:15" x14ac:dyDescent="0.2">
      <c r="B152" s="36" t="str">
        <f t="shared" si="10"/>
        <v>AB</v>
      </c>
      <c r="C152" s="35" t="str">
        <f t="shared" si="11"/>
        <v>3EBASIS</v>
      </c>
      <c r="D152" s="34" t="s">
        <v>21</v>
      </c>
      <c r="E152" s="34" t="str">
        <f>SwapsFromBasis_3M!L32</f>
        <v>EUR_YC3MRH_AB3EBASIS24Y#0001</v>
      </c>
      <c r="F152" s="33" t="e">
        <f>_xll.qlRateHelperQuoteValue($E152,Trigger)</f>
        <v>#NUM!</v>
      </c>
      <c r="G152" s="33">
        <f>_xll.qlSwapRateHelperSpread($E152,Trigger)</f>
        <v>0</v>
      </c>
      <c r="H152" s="32" t="b">
        <v>0</v>
      </c>
      <c r="I152" s="32">
        <v>40</v>
      </c>
      <c r="J152" s="32">
        <v>1</v>
      </c>
      <c r="K152" s="31">
        <f>_xll.qlRateHelperEarliestDate($E152,Trigger)</f>
        <v>41792</v>
      </c>
      <c r="L152" s="30">
        <f>_xll.qlRateHelperLatestDate($E152,Trigger)</f>
        <v>50558</v>
      </c>
      <c r="O152" s="295"/>
    </row>
    <row r="153" spans="2:15" x14ac:dyDescent="0.2">
      <c r="B153" s="36" t="str">
        <f t="shared" ref="B153:B162" si="12">SwapFixedFreq</f>
        <v>AB</v>
      </c>
      <c r="C153" s="35" t="str">
        <f t="shared" si="11"/>
        <v>3EBASIS</v>
      </c>
      <c r="D153" s="34" t="s">
        <v>20</v>
      </c>
      <c r="E153" s="34" t="str">
        <f>SwapsFromBasis_3M!L33</f>
        <v>EUR_YC3MRH_AB3EBASIS25Y#0001</v>
      </c>
      <c r="F153" s="33">
        <f>_xll.qlRateHelperQuoteValue($E153,Trigger)</f>
        <v>2.2175E-2</v>
      </c>
      <c r="G153" s="33">
        <f>_xll.qlSwapRateHelperSpread($E153,Trigger)</f>
        <v>0</v>
      </c>
      <c r="H153" s="32" t="b">
        <v>0</v>
      </c>
      <c r="I153" s="32">
        <v>40</v>
      </c>
      <c r="J153" s="32">
        <v>1</v>
      </c>
      <c r="K153" s="31">
        <f>_xll.qlRateHelperEarliestDate($E153,Trigger)</f>
        <v>41792</v>
      </c>
      <c r="L153" s="30">
        <f>_xll.qlRateHelperLatestDate($E153,Trigger)</f>
        <v>50923</v>
      </c>
      <c r="O153" s="295"/>
    </row>
    <row r="154" spans="2:15" x14ac:dyDescent="0.2">
      <c r="B154" s="36" t="str">
        <f t="shared" si="12"/>
        <v>AB</v>
      </c>
      <c r="C154" s="35" t="str">
        <f t="shared" si="11"/>
        <v>3EBASIS</v>
      </c>
      <c r="D154" s="34" t="s">
        <v>19</v>
      </c>
      <c r="E154" s="34" t="str">
        <f>SwapsFromBasis_3M!L34</f>
        <v>EUR_YC3MRH_AB3EBASIS26Y#0001</v>
      </c>
      <c r="F154" s="33" t="e">
        <f>_xll.qlRateHelperQuoteValue($E154,Trigger)</f>
        <v>#NUM!</v>
      </c>
      <c r="G154" s="33">
        <f>_xll.qlSwapRateHelperSpread($E154,Trigger)</f>
        <v>0</v>
      </c>
      <c r="H154" s="32" t="b">
        <v>0</v>
      </c>
      <c r="I154" s="32">
        <v>40</v>
      </c>
      <c r="J154" s="32">
        <v>1</v>
      </c>
      <c r="K154" s="31">
        <f>_xll.qlRateHelperEarliestDate($E154,Trigger)</f>
        <v>41792</v>
      </c>
      <c r="L154" s="30">
        <f>_xll.qlRateHelperLatestDate($E154,Trigger)</f>
        <v>51291</v>
      </c>
      <c r="O154" s="295"/>
    </row>
    <row r="155" spans="2:15" x14ac:dyDescent="0.2">
      <c r="B155" s="36" t="str">
        <f t="shared" si="12"/>
        <v>AB</v>
      </c>
      <c r="C155" s="35" t="str">
        <f t="shared" si="11"/>
        <v>3EBASIS</v>
      </c>
      <c r="D155" s="34" t="s">
        <v>18</v>
      </c>
      <c r="E155" s="34" t="str">
        <f>SwapsFromBasis_3M!L35</f>
        <v>EUR_YC3MRH_AB3EBASIS27Y#0001</v>
      </c>
      <c r="F155" s="33" t="e">
        <f>_xll.qlRateHelperQuoteValue($E155,Trigger)</f>
        <v>#NUM!</v>
      </c>
      <c r="G155" s="33">
        <f>_xll.qlSwapRateHelperSpread($E155,Trigger)</f>
        <v>0</v>
      </c>
      <c r="H155" s="32" t="b">
        <v>0</v>
      </c>
      <c r="I155" s="32">
        <v>40</v>
      </c>
      <c r="J155" s="32">
        <v>1</v>
      </c>
      <c r="K155" s="31">
        <f>_xll.qlRateHelperEarliestDate($E155,Trigger)</f>
        <v>41792</v>
      </c>
      <c r="L155" s="30">
        <f>_xll.qlRateHelperLatestDate($E155,Trigger)</f>
        <v>51655</v>
      </c>
      <c r="O155" s="295"/>
    </row>
    <row r="156" spans="2:15" x14ac:dyDescent="0.2">
      <c r="B156" s="36" t="str">
        <f t="shared" si="12"/>
        <v>AB</v>
      </c>
      <c r="C156" s="35" t="str">
        <f t="shared" si="11"/>
        <v>3EBASIS</v>
      </c>
      <c r="D156" s="34" t="s">
        <v>17</v>
      </c>
      <c r="E156" s="34" t="str">
        <f>SwapsFromBasis_3M!L36</f>
        <v>EUR_YC3MRH_AB3EBASIS28Y#0001</v>
      </c>
      <c r="F156" s="33" t="e">
        <f>_xll.qlRateHelperQuoteValue($E156,Trigger)</f>
        <v>#NUM!</v>
      </c>
      <c r="G156" s="33">
        <f>_xll.qlSwapRateHelperSpread($E156,Trigger)</f>
        <v>0</v>
      </c>
      <c r="H156" s="32" t="b">
        <v>0</v>
      </c>
      <c r="I156" s="32">
        <v>40</v>
      </c>
      <c r="J156" s="32">
        <v>1</v>
      </c>
      <c r="K156" s="31">
        <f>_xll.qlRateHelperEarliestDate($E156,Trigger)</f>
        <v>41792</v>
      </c>
      <c r="L156" s="30">
        <f>_xll.qlRateHelperLatestDate($E156,Trigger)</f>
        <v>52019</v>
      </c>
      <c r="O156" s="295"/>
    </row>
    <row r="157" spans="2:15" x14ac:dyDescent="0.2">
      <c r="B157" s="36" t="str">
        <f t="shared" si="12"/>
        <v>AB</v>
      </c>
      <c r="C157" s="35" t="str">
        <f t="shared" si="11"/>
        <v>3EBASIS</v>
      </c>
      <c r="D157" s="34" t="s">
        <v>16</v>
      </c>
      <c r="E157" s="34" t="str">
        <f>SwapsFromBasis_3M!L37</f>
        <v>EUR_YC3MRH_AB3EBASIS29Y#0001</v>
      </c>
      <c r="F157" s="33" t="e">
        <f>_xll.qlRateHelperQuoteValue($E157,Trigger)</f>
        <v>#NUM!</v>
      </c>
      <c r="G157" s="33">
        <f>_xll.qlSwapRateHelperSpread($E157,Trigger)</f>
        <v>0</v>
      </c>
      <c r="H157" s="32" t="b">
        <v>0</v>
      </c>
      <c r="I157" s="32">
        <v>40</v>
      </c>
      <c r="J157" s="32">
        <v>1</v>
      </c>
      <c r="K157" s="31">
        <f>_xll.qlRateHelperEarliestDate($E157,Trigger)</f>
        <v>41792</v>
      </c>
      <c r="L157" s="30">
        <f>_xll.qlRateHelperLatestDate($E157,Trigger)</f>
        <v>52384</v>
      </c>
      <c r="O157" s="295"/>
    </row>
    <row r="158" spans="2:15" x14ac:dyDescent="0.2">
      <c r="B158" s="36" t="str">
        <f t="shared" si="12"/>
        <v>AB</v>
      </c>
      <c r="C158" s="35" t="str">
        <f t="shared" si="11"/>
        <v>3EBASIS</v>
      </c>
      <c r="D158" s="34" t="s">
        <v>15</v>
      </c>
      <c r="E158" s="34" t="str">
        <f>SwapsFromBasis_3M!L38</f>
        <v>EUR_YC3MRH_AB3EBASIS30Y#0001</v>
      </c>
      <c r="F158" s="33">
        <f>_xll.qlRateHelperQuoteValue($E158,Trigger)</f>
        <v>2.2374999999999999E-2</v>
      </c>
      <c r="G158" s="33">
        <f>_xll.qlSwapRateHelperSpread($E158,Trigger)</f>
        <v>0</v>
      </c>
      <c r="H158" s="32" t="b">
        <v>0</v>
      </c>
      <c r="I158" s="32">
        <v>40</v>
      </c>
      <c r="J158" s="32">
        <v>1</v>
      </c>
      <c r="K158" s="31">
        <f>_xll.qlRateHelperEarliestDate($E158,Trigger)</f>
        <v>41792</v>
      </c>
      <c r="L158" s="30">
        <f>_xll.qlRateHelperLatestDate($E158,Trigger)</f>
        <v>52750</v>
      </c>
      <c r="O158" s="295"/>
    </row>
    <row r="159" spans="2:15" x14ac:dyDescent="0.2">
      <c r="B159" s="36" t="str">
        <f t="shared" si="12"/>
        <v>AB</v>
      </c>
      <c r="C159" s="35" t="str">
        <f t="shared" si="11"/>
        <v>3EBASIS</v>
      </c>
      <c r="D159" s="34" t="s">
        <v>14</v>
      </c>
      <c r="E159" s="34" t="str">
        <f>SwapsFromBasis_3M!L39</f>
        <v>EUR_YC3MRH_AB3EBASIS35Y#0001</v>
      </c>
      <c r="F159" s="33" t="e">
        <f>_xll.qlRateHelperQuoteValue($E159,Trigger)</f>
        <v>#NUM!</v>
      </c>
      <c r="G159" s="33">
        <f>_xll.qlSwapRateHelperSpread($E159,Trigger)</f>
        <v>0</v>
      </c>
      <c r="H159" s="32" t="b">
        <v>0</v>
      </c>
      <c r="I159" s="32">
        <v>40</v>
      </c>
      <c r="J159" s="32">
        <v>1</v>
      </c>
      <c r="K159" s="31">
        <f>_xll.qlRateHelperEarliestDate($E159,Trigger)</f>
        <v>41792</v>
      </c>
      <c r="L159" s="30">
        <f>_xll.qlRateHelperLatestDate($E159,Trigger)</f>
        <v>54576</v>
      </c>
      <c r="O159" s="295"/>
    </row>
    <row r="160" spans="2:15" x14ac:dyDescent="0.2">
      <c r="B160" s="36" t="str">
        <f t="shared" si="12"/>
        <v>AB</v>
      </c>
      <c r="C160" s="35" t="str">
        <f t="shared" si="11"/>
        <v>3EBASIS</v>
      </c>
      <c r="D160" s="34" t="s">
        <v>13</v>
      </c>
      <c r="E160" s="34" t="str">
        <f>SwapsFromBasis_3M!L40</f>
        <v>EUR_YC3MRH_AB3EBASIS40Y#0001</v>
      </c>
      <c r="F160" s="33">
        <f>_xll.qlRateHelperQuoteValue($E160,Trigger)</f>
        <v>2.2680000000000002E-2</v>
      </c>
      <c r="G160" s="33">
        <f>_xll.qlSwapRateHelperSpread($E160,Trigger)</f>
        <v>0</v>
      </c>
      <c r="H160" s="32" t="b">
        <v>0</v>
      </c>
      <c r="I160" s="32">
        <v>40</v>
      </c>
      <c r="J160" s="32">
        <v>1</v>
      </c>
      <c r="K160" s="31">
        <f>_xll.qlRateHelperEarliestDate($E160,Trigger)</f>
        <v>41792</v>
      </c>
      <c r="L160" s="30">
        <f>_xll.qlRateHelperLatestDate($E160,Trigger)</f>
        <v>56402</v>
      </c>
      <c r="O160" s="295"/>
    </row>
    <row r="161" spans="2:15" x14ac:dyDescent="0.2">
      <c r="B161" s="36" t="str">
        <f t="shared" si="12"/>
        <v>AB</v>
      </c>
      <c r="C161" s="35" t="str">
        <f t="shared" si="11"/>
        <v>3EBASIS</v>
      </c>
      <c r="D161" s="34" t="s">
        <v>12</v>
      </c>
      <c r="E161" s="34" t="str">
        <f>SwapsFromBasis_3M!L41</f>
        <v>EUR_YC3MRH_AB3EBASIS50Y#0001</v>
      </c>
      <c r="F161" s="33">
        <f>_xll.qlRateHelperQuoteValue($E161,Trigger)</f>
        <v>2.2754999999999997E-2</v>
      </c>
      <c r="G161" s="33">
        <f>_xll.qlSwapRateHelperSpread($E161,Trigger)</f>
        <v>0</v>
      </c>
      <c r="H161" s="32" t="b">
        <v>0</v>
      </c>
      <c r="I161" s="32">
        <v>40</v>
      </c>
      <c r="J161" s="32">
        <v>1</v>
      </c>
      <c r="K161" s="31">
        <f>_xll.qlRateHelperEarliestDate($E161,Trigger)</f>
        <v>41792</v>
      </c>
      <c r="L161" s="30">
        <f>_xll.qlRateHelperLatestDate($E161,Trigger)</f>
        <v>60055</v>
      </c>
      <c r="O161" s="295"/>
    </row>
    <row r="162" spans="2:15" x14ac:dyDescent="0.2">
      <c r="B162" s="29" t="str">
        <f t="shared" si="12"/>
        <v>AB</v>
      </c>
      <c r="C162" s="28" t="str">
        <f t="shared" si="11"/>
        <v>3EBASIS</v>
      </c>
      <c r="D162" s="27" t="s">
        <v>11</v>
      </c>
      <c r="E162" s="34" t="str">
        <f>SwapsFromBasis_3M!L42</f>
        <v>EUR_YC3MRH_AB3EBASIS60Y#0001</v>
      </c>
      <c r="F162" s="33">
        <f>_xll.qlRateHelperQuoteValue($E162,Trigger)</f>
        <v>2.2919999999999996E-2</v>
      </c>
      <c r="G162" s="33">
        <f>_xll.qlSwapRateHelperSpread($E162,Trigger)</f>
        <v>0</v>
      </c>
      <c r="H162" s="32" t="b">
        <v>0</v>
      </c>
      <c r="I162" s="32">
        <v>40</v>
      </c>
      <c r="J162" s="32">
        <v>1</v>
      </c>
      <c r="K162" s="31">
        <f>_xll.qlRateHelperEarliestDate($E162,Trigger)</f>
        <v>41792</v>
      </c>
      <c r="L162" s="30">
        <f>_xll.qlRateHelperLatestDate($E162,Trigger)</f>
        <v>63709</v>
      </c>
      <c r="O162" s="295"/>
    </row>
    <row r="163" spans="2:15" x14ac:dyDescent="0.2">
      <c r="E163" s="218"/>
      <c r="F163" s="218"/>
      <c r="G163" s="218"/>
      <c r="H163" s="218"/>
      <c r="I163" s="218"/>
      <c r="J163" s="218"/>
      <c r="K163" s="218"/>
      <c r="L163" s="218"/>
      <c r="N163" s="29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tabSelected="1" workbookViewId="0">
      <selection activeCell="F1" sqref="F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6" width="8" style="2" bestFit="1" customWidth="1"/>
    <col min="7" max="8" width="17.28515625" style="2" bestFit="1" customWidth="1"/>
    <col min="9" max="9" width="12" style="1" bestFit="1" customWidth="1"/>
    <col min="10" max="10" width="2.28515625" style="1" customWidth="1"/>
    <col min="11" max="16384" width="9.140625" style="1"/>
  </cols>
  <sheetData>
    <row r="1" spans="1:9" ht="12" thickBot="1" x14ac:dyDescent="0.25">
      <c r="A1" s="316" t="s">
        <v>10</v>
      </c>
      <c r="B1" s="317"/>
      <c r="D1" s="22" t="s">
        <v>9</v>
      </c>
      <c r="E1" s="21" t="s">
        <v>8</v>
      </c>
      <c r="F1" s="21"/>
      <c r="G1" s="21" t="s">
        <v>7</v>
      </c>
      <c r="H1" s="20" t="s">
        <v>6</v>
      </c>
      <c r="I1" s="3">
        <f t="array" ref="I1:I126">_xll.qlPiecewiseYieldCurveData(YieldCurve)</f>
        <v>1</v>
      </c>
    </row>
    <row r="2" spans="1:9" x14ac:dyDescent="0.2">
      <c r="A2" s="19" t="s">
        <v>5</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EUR_YC3MRH_2WD</v>
      </c>
      <c r="E2" s="10">
        <f>_xll.qlRateHelperRate($D2)</f>
        <v>4.8650000000000004E-3</v>
      </c>
      <c r="F2" s="10" t="str">
        <f>IF(ISERROR(_xll.qlSwapRateHelperSpread($D2)),IF(ISERROR(_xll.qlFuturesRateHelperConvexityAdjustment($D2)),"--",_xll.qlFuturesRateHelperConvexityAdjustment($D2)),_xll.qlSwapRateHelperSpread($D2))</f>
        <v>--</v>
      </c>
      <c r="G2" s="9">
        <f>_xll.qlRateHelperEarliestDate($D2)</f>
        <v>41792</v>
      </c>
      <c r="H2" s="8">
        <f>_xll.qlRateHelperLatestDate($D2)</f>
        <v>41806</v>
      </c>
      <c r="I2" s="3">
        <v>0.99981084134330889</v>
      </c>
    </row>
    <row r="3" spans="1:9" x14ac:dyDescent="0.2">
      <c r="A3" s="15" t="s">
        <v>4</v>
      </c>
      <c r="B3" s="17">
        <v>0</v>
      </c>
      <c r="D3" s="11" t="str">
        <v>EUR_YC3MRH_3WD</v>
      </c>
      <c r="E3" s="10">
        <f>_xll.qlRateHelperRate($D3)</f>
        <v>4.3829999999999997E-3</v>
      </c>
      <c r="F3" s="10" t="str">
        <f>IF(ISERROR(_xll.qlSwapRateHelperSpread($D3)),IF(ISERROR(_xll.qlFuturesRateHelperConvexityAdjustment($D3)),"--",_xll.qlFuturesRateHelperConvexityAdjustment($D3)),_xll.qlSwapRateHelperSpread($D3))</f>
        <v>--</v>
      </c>
      <c r="G3" s="9">
        <f>_xll.qlRateHelperEarliestDate($D3)</f>
        <v>41792</v>
      </c>
      <c r="H3" s="8">
        <f>_xll.qlRateHelperLatestDate($D3)</f>
        <v>41813</v>
      </c>
      <c r="I3" s="3">
        <v>0.99974439035299645</v>
      </c>
    </row>
    <row r="4" spans="1:9" x14ac:dyDescent="0.2">
      <c r="A4" s="15" t="s">
        <v>3</v>
      </c>
      <c r="B4" s="17">
        <v>4</v>
      </c>
      <c r="D4" s="11" t="str">
        <v>EUR_YC3MRH_1MD</v>
      </c>
      <c r="E4" s="10">
        <f>_xll.qlRateHelperRate($D4)</f>
        <v>4.0080000000000003E-3</v>
      </c>
      <c r="F4" s="10" t="str">
        <f>IF(ISERROR(_xll.qlSwapRateHelperSpread($D4)),IF(ISERROR(_xll.qlFuturesRateHelperConvexityAdjustment($D4)),"--",_xll.qlFuturesRateHelperConvexityAdjustment($D4)),_xll.qlSwapRateHelperSpread($D4))</f>
        <v>--</v>
      </c>
      <c r="G4" s="9">
        <f>_xll.qlRateHelperEarliestDate($D4)</f>
        <v>41792</v>
      </c>
      <c r="H4" s="8">
        <f>_xll.qlRateHelperLatestDate($D4)</f>
        <v>41822</v>
      </c>
      <c r="I4" s="3">
        <v>0.99966611151875273</v>
      </c>
    </row>
    <row r="5" spans="1:9" x14ac:dyDescent="0.2">
      <c r="A5" s="15" t="s">
        <v>2</v>
      </c>
      <c r="B5" s="16" t="s">
        <v>1</v>
      </c>
      <c r="D5" s="11" t="str">
        <v>EUR_YC3MRH_2MD</v>
      </c>
      <c r="E5" s="10">
        <f>_xll.qlRateHelperRate($D5)</f>
        <v>3.506E-3</v>
      </c>
      <c r="F5" s="10" t="str">
        <f>IF(ISERROR(_xll.qlSwapRateHelperSpread($D5)),IF(ISERROR(_xll.qlFuturesRateHelperConvexityAdjustment($D5)),"--",_xll.qlFuturesRateHelperConvexityAdjustment($D5)),_xll.qlSwapRateHelperSpread($D5))</f>
        <v>--</v>
      </c>
      <c r="G5" s="9">
        <f>_xll.qlRateHelperEarliestDate($D5)</f>
        <v>41792</v>
      </c>
      <c r="H5" s="8">
        <f>_xll.qlRateHelperLatestDate($D5)</f>
        <v>41855</v>
      </c>
      <c r="I5" s="3">
        <v>0.99938682621277708</v>
      </c>
    </row>
    <row r="6" spans="1:9" x14ac:dyDescent="0.2">
      <c r="A6" s="15" t="s">
        <v>0</v>
      </c>
      <c r="B6" s="14" t="str">
        <f>_xll.ohRangeRetrieveError(Selected!D2)</f>
        <v/>
      </c>
      <c r="D6" s="11" t="str">
        <v>EUR_YC3MRH_FUT3MM4</v>
      </c>
      <c r="E6" s="10">
        <f>_xll.qlRateHelperRate($D6)</f>
        <v>2.5249999999999995E-3</v>
      </c>
      <c r="F6" s="10">
        <f>IF(ISERROR(_xll.qlSwapRateHelperSpread($D6)),IF(ISERROR(_xll.qlFuturesRateHelperConvexityAdjustment($D6)),"--",_xll.qlFuturesRateHelperConvexityAdjustment($D6)),_xll.qlSwapRateHelperSpread($D6))</f>
        <v>0</v>
      </c>
      <c r="G6" s="9">
        <f>_xll.qlRateHelperEarliestDate($D6)</f>
        <v>41808</v>
      </c>
      <c r="H6" s="8">
        <f>_xll.qlRateHelperLatestDate($D6)</f>
        <v>41900</v>
      </c>
      <c r="I6" s="3">
        <v>0.99914542855882271</v>
      </c>
    </row>
    <row r="7" spans="1:9" ht="12" thickBot="1" x14ac:dyDescent="0.25">
      <c r="A7" s="13" t="str">
        <f>_xll.ohGroup(,_xll.ohPack(D2:D126),Permanent,,ObjectOverwrite)</f>
        <v>obj_00633#0001</v>
      </c>
      <c r="B7" s="12" t="str">
        <f>_xll.ohRangeRetrieveError(RateHelpersSelected)</f>
        <v/>
      </c>
      <c r="D7" s="11" t="str">
        <v>EUR_YC3MRH_FUT3MU4</v>
      </c>
      <c r="E7" s="10">
        <f>_xll.qlRateHelperRate($D7)</f>
        <v>1.974999999999949E-3</v>
      </c>
      <c r="F7" s="10">
        <f>IF(ISERROR(_xll.qlSwapRateHelperSpread($D7)),IF(ISERROR(_xll.qlFuturesRateHelperConvexityAdjustment($D7)),"--",_xll.qlFuturesRateHelperConvexityAdjustment($D7)),_xll.qlSwapRateHelperSpread($D7))</f>
        <v>0</v>
      </c>
      <c r="G7" s="9">
        <f>_xll.qlRateHelperEarliestDate($D7)</f>
        <v>41899</v>
      </c>
      <c r="H7" s="8">
        <f>_xll.qlRateHelperLatestDate($D7)</f>
        <v>41990</v>
      </c>
      <c r="I7" s="3">
        <v>0.99865164781145088</v>
      </c>
    </row>
    <row r="8" spans="1:9" x14ac:dyDescent="0.2">
      <c r="D8" s="11" t="str">
        <v>EUR_YC3MRH_FUT3MZ4</v>
      </c>
      <c r="E8" s="10">
        <f>_xll.qlRateHelperRate($D8)</f>
        <v>1.8250000000000766E-3</v>
      </c>
      <c r="F8" s="10">
        <f>IF(ISERROR(_xll.qlSwapRateHelperSpread($D8)),IF(ISERROR(_xll.qlFuturesRateHelperConvexityAdjustment($D8)),"--",_xll.qlFuturesRateHelperConvexityAdjustment($D8)),_xll.qlSwapRateHelperSpread($D8))</f>
        <v>0</v>
      </c>
      <c r="G8" s="9">
        <f>_xll.qlRateHelperEarliestDate($D8)</f>
        <v>41990</v>
      </c>
      <c r="H8" s="8">
        <f>_xll.qlRateHelperLatestDate($D8)</f>
        <v>42080</v>
      </c>
      <c r="I8" s="3">
        <v>0.99819622078571735</v>
      </c>
    </row>
    <row r="9" spans="1:9" x14ac:dyDescent="0.2">
      <c r="D9" s="11" t="str">
        <v>EUR_YC3MRH_FUT3MH5</v>
      </c>
      <c r="E9" s="10">
        <f>_xll.qlRateHelperRate($D9)</f>
        <v>1.7750000000000821E-3</v>
      </c>
      <c r="F9" s="10">
        <f>IF(ISERROR(_xll.qlSwapRateHelperSpread($D9)),IF(ISERROR(_xll.qlFuturesRateHelperConvexityAdjustment($D9)),"--",_xll.qlFuturesRateHelperConvexityAdjustment($D9)),_xll.qlSwapRateHelperSpread($D9))</f>
        <v>0</v>
      </c>
      <c r="G9" s="9">
        <f>_xll.qlRateHelperEarliestDate($D9)</f>
        <v>42081</v>
      </c>
      <c r="H9" s="8">
        <f>_xll.qlRateHelperLatestDate($D9)</f>
        <v>42173</v>
      </c>
      <c r="I9" s="3">
        <v>0.99773877612883499</v>
      </c>
    </row>
    <row r="10" spans="1:9" x14ac:dyDescent="0.2">
      <c r="D10" s="11" t="str">
        <v>EUR_YC3MRH_FUT3MM5</v>
      </c>
      <c r="E10" s="10">
        <f>_xll.qlRateHelperRate($D10)</f>
        <v>1.87499999999996E-3</v>
      </c>
      <c r="F10" s="10">
        <f>IF(ISERROR(_xll.qlSwapRateHelperSpread($D10)),IF(ISERROR(_xll.qlFuturesRateHelperConvexityAdjustment($D10)),"--",_xll.qlFuturesRateHelperConvexityAdjustment($D10)),_xll.qlSwapRateHelperSpread($D10))</f>
        <v>0</v>
      </c>
      <c r="G10" s="9">
        <f>_xll.qlRateHelperEarliestDate($D10)</f>
        <v>42172</v>
      </c>
      <c r="H10" s="8">
        <f>_xll.qlRateHelperLatestDate($D10)</f>
        <v>42264</v>
      </c>
      <c r="I10" s="3">
        <v>0.99726592292525673</v>
      </c>
    </row>
    <row r="11" spans="1:9" x14ac:dyDescent="0.2">
      <c r="D11" s="11" t="str">
        <v>EUR_YC3MRH_FUT3MU5</v>
      </c>
      <c r="E11" s="10">
        <f>_xll.qlRateHelperRate($D11)</f>
        <v>2.1250000000000435E-3</v>
      </c>
      <c r="F11" s="10">
        <f>IF(ISERROR(_xll.qlSwapRateHelperSpread($D11)),IF(ISERROR(_xll.qlFuturesRateHelperConvexityAdjustment($D11)),"--",_xll.qlFuturesRateHelperConvexityAdjustment($D11)),_xll.qlSwapRateHelperSpread($D11))</f>
        <v>0</v>
      </c>
      <c r="G11" s="9">
        <f>_xll.qlRateHelperEarliestDate($D11)</f>
        <v>42263</v>
      </c>
      <c r="H11" s="8">
        <f>_xll.qlRateHelperLatestDate($D11)</f>
        <v>42354</v>
      </c>
      <c r="I11" s="3">
        <v>0.99673598951422426</v>
      </c>
    </row>
    <row r="12" spans="1:9" x14ac:dyDescent="0.2">
      <c r="D12" s="11" t="str">
        <v>EUR_YC3MRH_FUT3MZ5</v>
      </c>
      <c r="E12" s="10">
        <f>_xll.qlRateHelperRate($D12)</f>
        <v>2.5249999999999995E-3</v>
      </c>
      <c r="F12" s="10">
        <f>IF(ISERROR(_xll.qlSwapRateHelperSpread($D12)),IF(ISERROR(_xll.qlFuturesRateHelperConvexityAdjustment($D12)),"--",_xll.qlFuturesRateHelperConvexityAdjustment($D12)),_xll.qlSwapRateHelperSpread($D12))</f>
        <v>0</v>
      </c>
      <c r="G12" s="9">
        <f>_xll.qlRateHelperEarliestDate($D12)</f>
        <v>42354</v>
      </c>
      <c r="H12" s="8">
        <f>_xll.qlRateHelperLatestDate($D12)</f>
        <v>42445</v>
      </c>
      <c r="I12" s="3">
        <v>0.99610021471745569</v>
      </c>
    </row>
    <row r="13" spans="1:9" x14ac:dyDescent="0.2">
      <c r="D13" s="11" t="str">
        <v>EUR_YC3MRH_FUT3MH6</v>
      </c>
      <c r="E13" s="10">
        <f>_xll.qlRateHelperRate($D13)</f>
        <v>3.0750000000000499E-3</v>
      </c>
      <c r="F13" s="10">
        <f>IF(ISERROR(_xll.qlSwapRateHelperSpread($D13)),IF(ISERROR(_xll.qlFuturesRateHelperConvexityAdjustment($D13)),"--",_xll.qlFuturesRateHelperConvexityAdjustment($D13)),_xll.qlSwapRateHelperSpread($D13))</f>
        <v>0</v>
      </c>
      <c r="G13" s="9">
        <f>_xll.qlRateHelperEarliestDate($D13)</f>
        <v>42445</v>
      </c>
      <c r="H13" s="8">
        <f>_xll.qlRateHelperLatestDate($D13)</f>
        <v>42537</v>
      </c>
      <c r="I13" s="3">
        <v>0.99531806060816119</v>
      </c>
    </row>
    <row r="14" spans="1:9" x14ac:dyDescent="0.2">
      <c r="D14" s="11" t="str">
        <v>EUR_YC3MRH_AB3E3Y</v>
      </c>
      <c r="E14" s="10">
        <f>_xll.qlRateHelperRate($D14)</f>
        <v>3.2099999999999993E-3</v>
      </c>
      <c r="F14" s="10">
        <f>IF(ISERROR(_xll.qlSwapRateHelperSpread($D14)),IF(ISERROR(_xll.qlFuturesRateHelperConvexityAdjustment($D14)),"--",_xll.qlFuturesRateHelperConvexityAdjustment($D14)),_xll.qlSwapRateHelperSpread($D14))</f>
        <v>0</v>
      </c>
      <c r="G14" s="9">
        <f>_xll.qlRateHelperEarliestDate($D14)</f>
        <v>41792</v>
      </c>
      <c r="H14" s="8">
        <f>_xll.qlRateHelperLatestDate($D14)</f>
        <v>42888</v>
      </c>
      <c r="I14" s="3">
        <v>0.99042176704139051</v>
      </c>
    </row>
    <row r="15" spans="1:9" x14ac:dyDescent="0.2">
      <c r="D15" s="11" t="str">
        <v>EUR_YC3MRH_AB3E4Y</v>
      </c>
      <c r="E15" s="10">
        <f>_xll.qlRateHelperRate($D15)</f>
        <v>4.6999999999999993E-3</v>
      </c>
      <c r="F15" s="10">
        <f>IF(ISERROR(_xll.qlSwapRateHelperSpread($D15)),IF(ISERROR(_xll.qlFuturesRateHelperConvexityAdjustment($D15)),"--",_xll.qlFuturesRateHelperConvexityAdjustment($D15)),_xll.qlSwapRateHelperSpread($D15))</f>
        <v>0</v>
      </c>
      <c r="G15" s="9">
        <f>_xll.qlRateHelperEarliestDate($D15)</f>
        <v>41792</v>
      </c>
      <c r="H15" s="8">
        <f>_xll.qlRateHelperLatestDate($D15)</f>
        <v>43255</v>
      </c>
      <c r="I15" s="3">
        <v>0.98134887481151256</v>
      </c>
    </row>
    <row r="16" spans="1:9" x14ac:dyDescent="0.2">
      <c r="D16" s="11" t="str">
        <v>EUR_YC3MRH_AB3E5Y</v>
      </c>
      <c r="E16" s="10">
        <f>_xll.qlRateHelperRate($D16)</f>
        <v>6.4600000000000005E-3</v>
      </c>
      <c r="F16" s="10">
        <f>IF(ISERROR(_xll.qlSwapRateHelperSpread($D16)),IF(ISERROR(_xll.qlFuturesRateHelperConvexityAdjustment($D16)),"--",_xll.qlFuturesRateHelperConvexityAdjustment($D16)),_xll.qlSwapRateHelperSpread($D16))</f>
        <v>0</v>
      </c>
      <c r="G16" s="9">
        <f>_xll.qlRateHelperEarliestDate($D16)</f>
        <v>41792</v>
      </c>
      <c r="H16" s="8">
        <f>_xll.qlRateHelperLatestDate($D16)</f>
        <v>43619</v>
      </c>
      <c r="I16" s="3">
        <v>0.96814952396102927</v>
      </c>
    </row>
    <row r="17" spans="4:9" x14ac:dyDescent="0.2">
      <c r="D17" s="11" t="str">
        <v>EUR_YC3MRH_AB3E6Y</v>
      </c>
      <c r="E17" s="10">
        <f>_xll.qlRateHelperRate($D17)</f>
        <v>8.3000000000000001E-3</v>
      </c>
      <c r="F17" s="10">
        <f>IF(ISERROR(_xll.qlSwapRateHelperSpread($D17)),IF(ISERROR(_xll.qlFuturesRateHelperConvexityAdjustment($D17)),"--",_xll.qlFuturesRateHelperConvexityAdjustment($D17)),_xll.qlSwapRateHelperSpread($D17))</f>
        <v>0</v>
      </c>
      <c r="G17" s="9">
        <f>_xll.qlRateHelperEarliestDate($D17)</f>
        <v>41792</v>
      </c>
      <c r="H17" s="8">
        <f>_xll.qlRateHelperLatestDate($D17)</f>
        <v>43984</v>
      </c>
      <c r="I17" s="3">
        <v>0.95123734175432451</v>
      </c>
    </row>
    <row r="18" spans="4:9" x14ac:dyDescent="0.2">
      <c r="D18" s="11" t="str">
        <v>EUR_YC3MRH_AB3E7Y</v>
      </c>
      <c r="E18" s="10">
        <f>_xll.qlRateHelperRate($D18)</f>
        <v>1.0110000000000001E-2</v>
      </c>
      <c r="F18" s="10">
        <f>IF(ISERROR(_xll.qlSwapRateHelperSpread($D18)),IF(ISERROR(_xll.qlFuturesRateHelperConvexityAdjustment($D18)),"--",_xll.qlFuturesRateHelperConvexityAdjustment($D18)),_xll.qlSwapRateHelperSpread($D18))</f>
        <v>0</v>
      </c>
      <c r="G18" s="9">
        <f>_xll.qlRateHelperEarliestDate($D18)</f>
        <v>41792</v>
      </c>
      <c r="H18" s="8">
        <f>_xll.qlRateHelperLatestDate($D18)</f>
        <v>44349</v>
      </c>
      <c r="I18" s="3">
        <v>0.93123243979960824</v>
      </c>
    </row>
    <row r="19" spans="4:9" x14ac:dyDescent="0.2">
      <c r="D19" s="11" t="str">
        <v>EUR_YC3MRH_AB3E8Y</v>
      </c>
      <c r="E19" s="10">
        <f>_xll.qlRateHelperRate($D19)</f>
        <v>1.1829999999999999E-2</v>
      </c>
      <c r="F19" s="10">
        <f>IF(ISERROR(_xll.qlSwapRateHelperSpread($D19)),IF(ISERROR(_xll.qlFuturesRateHelperConvexityAdjustment($D19)),"--",_xll.qlFuturesRateHelperConvexityAdjustment($D19)),_xll.qlSwapRateHelperSpread($D19))</f>
        <v>0</v>
      </c>
      <c r="G19" s="9">
        <f>_xll.qlRateHelperEarliestDate($D19)</f>
        <v>41792</v>
      </c>
      <c r="H19" s="8">
        <f>_xll.qlRateHelperLatestDate($D19)</f>
        <v>44714</v>
      </c>
      <c r="I19" s="3">
        <v>0.90883532449022097</v>
      </c>
    </row>
    <row r="20" spans="4:9" x14ac:dyDescent="0.2">
      <c r="D20" s="11" t="str">
        <v>EUR_YC3MRH_AB3E9Y</v>
      </c>
      <c r="E20" s="10">
        <f>_xll.qlRateHelperRate($D20)</f>
        <v>1.3389999999999999E-2</v>
      </c>
      <c r="F20" s="10">
        <f>IF(ISERROR(_xll.qlSwapRateHelperSpread($D20)),IF(ISERROR(_xll.qlFuturesRateHelperConvexityAdjustment($D20)),"--",_xll.qlFuturesRateHelperConvexityAdjustment($D20)),_xll.qlSwapRateHelperSpread($D20))</f>
        <v>0</v>
      </c>
      <c r="G20" s="9">
        <f>_xll.qlRateHelperEarliestDate($D20)</f>
        <v>41792</v>
      </c>
      <c r="H20" s="8">
        <f>_xll.qlRateHelperLatestDate($D20)</f>
        <v>45079</v>
      </c>
      <c r="I20" s="3">
        <v>0.88502315191573733</v>
      </c>
    </row>
    <row r="21" spans="4:9" x14ac:dyDescent="0.2">
      <c r="D21" s="11" t="str">
        <v>EUR_YC3MRH_AB3E10Y</v>
      </c>
      <c r="E21" s="10">
        <f>_xll.qlRateHelperRate($D21)</f>
        <v>1.4769999999999998E-2</v>
      </c>
      <c r="F21" s="10">
        <f>IF(ISERROR(_xll.qlSwapRateHelperSpread($D21)),IF(ISERROR(_xll.qlFuturesRateHelperConvexityAdjustment($D21)),"--",_xll.qlFuturesRateHelperConvexityAdjustment($D21)),_xll.qlSwapRateHelperSpread($D21))</f>
        <v>0</v>
      </c>
      <c r="G21" s="9">
        <f>_xll.qlRateHelperEarliestDate($D21)</f>
        <v>41792</v>
      </c>
      <c r="H21" s="8">
        <f>_xll.qlRateHelperLatestDate($D21)</f>
        <v>45446</v>
      </c>
      <c r="I21" s="3">
        <v>0.86049386562726804</v>
      </c>
    </row>
    <row r="22" spans="4:9" x14ac:dyDescent="0.2">
      <c r="D22" s="11" t="str">
        <v>EUR_YC3MRH_AB3E12Y</v>
      </c>
      <c r="E22" s="10">
        <f>_xll.qlRateHelperRate($D22)</f>
        <v>1.7100000000000001E-2</v>
      </c>
      <c r="F22" s="10">
        <f>IF(ISERROR(_xll.qlSwapRateHelperSpread($D22)),IF(ISERROR(_xll.qlFuturesRateHelperConvexityAdjustment($D22)),"--",_xll.qlFuturesRateHelperConvexityAdjustment($D22)),_xll.qlSwapRateHelperSpread($D22))</f>
        <v>0</v>
      </c>
      <c r="G22" s="9">
        <f>_xll.qlRateHelperEarliestDate($D22)</f>
        <v>41792</v>
      </c>
      <c r="H22" s="8">
        <f>_xll.qlRateHelperLatestDate($D22)</f>
        <v>46175</v>
      </c>
      <c r="I22" s="3">
        <v>0.81052144940380599</v>
      </c>
    </row>
    <row r="23" spans="4:9" x14ac:dyDescent="0.2">
      <c r="D23" s="11" t="str">
        <v>EUR_YC3MRH_AB3E15Y</v>
      </c>
      <c r="E23" s="10">
        <f>_xll.qlRateHelperRate($D23)</f>
        <v>1.9550000000000001E-2</v>
      </c>
      <c r="F23" s="10">
        <f>IF(ISERROR(_xll.qlSwapRateHelperSpread($D23)),IF(ISERROR(_xll.qlFuturesRateHelperConvexityAdjustment($D23)),"--",_xll.qlFuturesRateHelperConvexityAdjustment($D23)),_xll.qlSwapRateHelperSpread($D23))</f>
        <v>0</v>
      </c>
      <c r="G23" s="9">
        <f>_xll.qlRateHelperEarliestDate($D23)</f>
        <v>41792</v>
      </c>
      <c r="H23" s="8">
        <f>_xll.qlRateHelperLatestDate($D23)</f>
        <v>47273</v>
      </c>
      <c r="I23" s="3">
        <v>0.73879977671613228</v>
      </c>
    </row>
    <row r="24" spans="4:9" x14ac:dyDescent="0.2">
      <c r="D24" s="11" t="str">
        <v>EUR_YC3MRH_AB3E20Y</v>
      </c>
      <c r="E24" s="10">
        <f>_xll.qlRateHelperRate($D24)</f>
        <v>2.1480000000000003E-2</v>
      </c>
      <c r="F24" s="10">
        <f>IF(ISERROR(_xll.qlSwapRateHelperSpread($D24)),IF(ISERROR(_xll.qlFuturesRateHelperConvexityAdjustment($D24)),"--",_xll.qlFuturesRateHelperConvexityAdjustment($D24)),_xll.qlSwapRateHelperSpread($D24))</f>
        <v>0</v>
      </c>
      <c r="G24" s="9">
        <f>_xll.qlRateHelperEarliestDate($D24)</f>
        <v>41792</v>
      </c>
      <c r="H24" s="8">
        <f>_xll.qlRateHelperLatestDate($D24)</f>
        <v>49097</v>
      </c>
      <c r="I24" s="3">
        <v>0.64050275881950525</v>
      </c>
    </row>
    <row r="25" spans="4:9" x14ac:dyDescent="0.2">
      <c r="D25" s="11" t="str">
        <v>EUR_YC3MRH_AB3E25Y</v>
      </c>
      <c r="E25" s="10">
        <f>_xll.qlRateHelperRate($D25)</f>
        <v>2.2179999999999998E-2</v>
      </c>
      <c r="F25" s="10">
        <f>IF(ISERROR(_xll.qlSwapRateHelperSpread($D25)),IF(ISERROR(_xll.qlFuturesRateHelperConvexityAdjustment($D25)),"--",_xll.qlFuturesRateHelperConvexityAdjustment($D25)),_xll.qlSwapRateHelperSpread($D25))</f>
        <v>0</v>
      </c>
      <c r="G25" s="9">
        <f>_xll.qlRateHelperEarliestDate($D25)</f>
        <v>41792</v>
      </c>
      <c r="H25" s="8">
        <f>_xll.qlRateHelperLatestDate($D25)</f>
        <v>50923</v>
      </c>
      <c r="I25" s="3">
        <v>0.56315391810733884</v>
      </c>
    </row>
    <row r="26" spans="4:9" x14ac:dyDescent="0.2">
      <c r="D26" s="11" t="str">
        <v>EUR_YC3MRH_AB3E30Y</v>
      </c>
      <c r="E26" s="10">
        <f>_xll.qlRateHelperRate($D26)</f>
        <v>2.2380000000000001E-2</v>
      </c>
      <c r="F26" s="10">
        <f>IF(ISERROR(_xll.qlSwapRateHelperSpread($D26)),IF(ISERROR(_xll.qlFuturesRateHelperConvexityAdjustment($D26)),"--",_xll.qlFuturesRateHelperConvexityAdjustment($D26)),_xll.qlSwapRateHelperSpread($D26))</f>
        <v>0</v>
      </c>
      <c r="G26" s="9">
        <f>_xll.qlRateHelperEarliestDate($D26)</f>
        <v>41792</v>
      </c>
      <c r="H26" s="8">
        <f>_xll.qlRateHelperLatestDate($D26)</f>
        <v>52750</v>
      </c>
      <c r="I26" s="3">
        <v>0.50051466356691676</v>
      </c>
    </row>
    <row r="27" spans="4:9" x14ac:dyDescent="0.2">
      <c r="D27" s="11" t="str">
        <v>EUR_YC3MRH_AB3E40Y</v>
      </c>
      <c r="E27" s="10">
        <f>_xll.qlRateHelperRate($D27)</f>
        <v>2.2679999999999999E-2</v>
      </c>
      <c r="F27" s="10">
        <f>IF(ISERROR(_xll.qlSwapRateHelperSpread($D27)),IF(ISERROR(_xll.qlFuturesRateHelperConvexityAdjustment($D27)),"--",_xll.qlFuturesRateHelperConvexityAdjustment($D27)),_xll.qlSwapRateHelperSpread($D27))</f>
        <v>0</v>
      </c>
      <c r="G27" s="9">
        <f>_xll.qlRateHelperEarliestDate($D27)</f>
        <v>41792</v>
      </c>
      <c r="H27" s="8">
        <f>_xll.qlRateHelperLatestDate($D27)</f>
        <v>56402</v>
      </c>
      <c r="I27" s="3">
        <v>0.39410903121955437</v>
      </c>
    </row>
    <row r="28" spans="4:9" x14ac:dyDescent="0.2">
      <c r="D28" s="11" t="str">
        <v>EUR_YC3MRH_AB3E50Y</v>
      </c>
      <c r="E28" s="10">
        <f>_xll.qlRateHelperRate($D28)</f>
        <v>2.2759999999999999E-2</v>
      </c>
      <c r="F28" s="10">
        <f>IF(ISERROR(_xll.qlSwapRateHelperSpread($D28)),IF(ISERROR(_xll.qlFuturesRateHelperConvexityAdjustment($D28)),"--",_xll.qlFuturesRateHelperConvexityAdjustment($D28)),_xll.qlSwapRateHelperSpread($D28))</f>
        <v>0</v>
      </c>
      <c r="G28" s="9">
        <f>_xll.qlRateHelperEarliestDate($D28)</f>
        <v>41792</v>
      </c>
      <c r="H28" s="8">
        <f>_xll.qlRateHelperLatestDate($D28)</f>
        <v>60055</v>
      </c>
      <c r="I28" s="3">
        <v>0.31281492163733682</v>
      </c>
    </row>
    <row r="29" spans="4:9" x14ac:dyDescent="0.2">
      <c r="D29" s="11" t="str">
        <v>EUR_YC3MRH_AB3E60Y</v>
      </c>
      <c r="E29" s="10">
        <f>_xll.qlRateHelperRate($D29)</f>
        <v>2.2919999999999999E-2</v>
      </c>
      <c r="F29" s="10">
        <f>IF(ISERROR(_xll.qlSwapRateHelperSpread($D29)),IF(ISERROR(_xll.qlFuturesRateHelperConvexityAdjustment($D29)),"--",_xll.qlFuturesRateHelperConvexityAdjustment($D29)),_xll.qlSwapRateHelperSpread($D29))</f>
        <v>0</v>
      </c>
      <c r="G29" s="9">
        <f>_xll.qlRateHelperEarliestDate($D29)</f>
        <v>41792</v>
      </c>
      <c r="H29" s="8">
        <f>_xll.qlRateHelperLatestDate($D29)</f>
        <v>63709</v>
      </c>
      <c r="I29" s="3">
        <v>0.24508483248727955</v>
      </c>
    </row>
    <row r="30" spans="4:9" x14ac:dyDescent="0.2">
      <c r="D30" s="11" t="e">
        <v>#N/A</v>
      </c>
      <c r="E30" s="10" t="e">
        <f>_xll.qlRateHelperRate($D30)</f>
        <v>#VALUE!</v>
      </c>
      <c r="F30" s="10" t="str">
        <f>IF(ISERROR(_xll.qlSwapRateHelperSpread($D30)),IF(ISERROR(_xll.qlFuturesRateHelperConvexityAdjustment($D30)),"--",_xll.qlFuturesRateHelperConvexityAdjustment($D30)),_xll.qlSwapRateHelperSpread($D30))</f>
        <v>--</v>
      </c>
      <c r="G30" s="9" t="e">
        <f>_xll.qlRateHelperEarliestDate($D30)</f>
        <v>#VALUE!</v>
      </c>
      <c r="H30" s="8" t="e">
        <f>_xll.qlRateHelperLatestDate($D30)</f>
        <v>#VALUE!</v>
      </c>
      <c r="I30" s="3" t="e">
        <v>#N/A</v>
      </c>
    </row>
    <row r="31" spans="4:9" x14ac:dyDescent="0.2">
      <c r="D31" s="11" t="e">
        <v>#N/A</v>
      </c>
      <c r="E31" s="10" t="e">
        <f>_xll.qlRateHelperRate($D31)</f>
        <v>#VALUE!</v>
      </c>
      <c r="F31" s="10" t="str">
        <f>IF(ISERROR(_xll.qlSwapRateHelperSpread($D31)),IF(ISERROR(_xll.qlFuturesRateHelperConvexityAdjustment($D31)),"--",_xll.qlFuturesRateHelperConvexityAdjustment($D31)),_xll.qlSwapRateHelperSpread($D31))</f>
        <v>--</v>
      </c>
      <c r="G31" s="9" t="e">
        <f>_xll.qlRateHelperEarliestDate($D31)</f>
        <v>#VALUE!</v>
      </c>
      <c r="H31" s="8" t="e">
        <f>_xll.qlRateHelperLatestDate($D31)</f>
        <v>#VALUE!</v>
      </c>
      <c r="I31" s="3" t="e">
        <v>#N/A</v>
      </c>
    </row>
    <row r="32" spans="4:9" x14ac:dyDescent="0.2">
      <c r="D32" s="11" t="e">
        <v>#N/A</v>
      </c>
      <c r="E32" s="10" t="e">
        <f>_xll.qlRateHelperRate($D32)</f>
        <v>#VALUE!</v>
      </c>
      <c r="F32" s="10" t="str">
        <f>IF(ISERROR(_xll.qlSwapRateHelperSpread($D32)),IF(ISERROR(_xll.qlFuturesRateHelperConvexityAdjustment($D32)),"--",_xll.qlFuturesRateHelperConvexityAdjustment($D32)),_xll.qlSwapRateHelperSpread($D32))</f>
        <v>--</v>
      </c>
      <c r="G32" s="9" t="e">
        <f>_xll.qlRateHelperEarliestDate($D32)</f>
        <v>#VALUE!</v>
      </c>
      <c r="H32" s="8" t="e">
        <f>_xll.qlRateHelperLatestDate($D32)</f>
        <v>#VALUE!</v>
      </c>
      <c r="I32" s="3" t="e">
        <v>#N/A</v>
      </c>
    </row>
    <row r="33" spans="4:9" x14ac:dyDescent="0.2">
      <c r="D33" s="11" t="e">
        <v>#N/A</v>
      </c>
      <c r="E33" s="10" t="e">
        <f>_xll.qlRateHelperRate($D33)</f>
        <v>#VALUE!</v>
      </c>
      <c r="F33" s="10" t="str">
        <f>IF(ISERROR(_xll.qlSwapRateHelperSpread($D33)),IF(ISERROR(_xll.qlFuturesRateHelperConvexityAdjustment($D33)),"--",_xll.qlFuturesRateHelperConvexityAdjustment($D33)),_xll.qlSwapRateHelperSpread($D33))</f>
        <v>--</v>
      </c>
      <c r="G33" s="9" t="e">
        <f>_xll.qlRateHelperEarliestDate($D33)</f>
        <v>#VALUE!</v>
      </c>
      <c r="H33" s="8" t="e">
        <f>_xll.qlRateHelperLatestDate($D33)</f>
        <v>#VALUE!</v>
      </c>
      <c r="I33" s="3" t="e">
        <v>#N/A</v>
      </c>
    </row>
    <row r="34" spans="4:9" x14ac:dyDescent="0.2">
      <c r="D34" s="11" t="e">
        <v>#N/A</v>
      </c>
      <c r="E34" s="10" t="e">
        <f>_xll.qlRateHelperRate($D34)</f>
        <v>#VALUE!</v>
      </c>
      <c r="F34" s="10" t="str">
        <f>IF(ISERROR(_xll.qlSwapRateHelperSpread($D34)),IF(ISERROR(_xll.qlFuturesRateHelperConvexityAdjustment($D34)),"--",_xll.qlFuturesRateHelperConvexityAdjustment($D34)),_xll.qlSwapRateHelperSpread($D34))</f>
        <v>--</v>
      </c>
      <c r="G34" s="9" t="e">
        <f>_xll.qlRateHelperEarliestDate($D34)</f>
        <v>#VALUE!</v>
      </c>
      <c r="H34" s="8" t="e">
        <f>_xll.qlRateHelperLatestDate($D34)</f>
        <v>#VALUE!</v>
      </c>
      <c r="I34" s="3" t="e">
        <v>#N/A</v>
      </c>
    </row>
    <row r="35" spans="4:9" x14ac:dyDescent="0.2">
      <c r="D35" s="11" t="e">
        <v>#N/A</v>
      </c>
      <c r="E35" s="10" t="e">
        <f>_xll.qlRateHelperRate($D35)</f>
        <v>#VALUE!</v>
      </c>
      <c r="F35" s="10" t="str">
        <f>IF(ISERROR(_xll.qlSwapRateHelperSpread($D35)),IF(ISERROR(_xll.qlFuturesRateHelperConvexityAdjustment($D35)),"--",_xll.qlFuturesRateHelperConvexityAdjustment($D35)),_xll.qlSwapRateHelperSpread($D35))</f>
        <v>--</v>
      </c>
      <c r="G35" s="9" t="e">
        <f>_xll.qlRateHelperEarliestDate($D35)</f>
        <v>#VALUE!</v>
      </c>
      <c r="H35" s="8" t="e">
        <f>_xll.qlRateHelperLatestDate($D35)</f>
        <v>#VALUE!</v>
      </c>
      <c r="I35" s="3" t="e">
        <v>#N/A</v>
      </c>
    </row>
    <row r="36" spans="4:9" x14ac:dyDescent="0.2">
      <c r="D36" s="11" t="e">
        <v>#N/A</v>
      </c>
      <c r="E36" s="10" t="e">
        <f>_xll.qlRateHelperRate($D36)</f>
        <v>#VALUE!</v>
      </c>
      <c r="F36" s="10" t="str">
        <f>IF(ISERROR(_xll.qlSwapRateHelperSpread($D36)),IF(ISERROR(_xll.qlFuturesRateHelperConvexityAdjustment($D36)),"--",_xll.qlFuturesRateHelperConvexityAdjustment($D36)),_xll.qlSwapRateHelperSpread($D36))</f>
        <v>--</v>
      </c>
      <c r="G36" s="9" t="e">
        <f>_xll.qlRateHelperEarliestDate($D36)</f>
        <v>#VALUE!</v>
      </c>
      <c r="H36" s="8" t="e">
        <f>_xll.qlRateHelperLatestDate($D36)</f>
        <v>#VALUE!</v>
      </c>
      <c r="I36" s="3" t="e">
        <v>#N/A</v>
      </c>
    </row>
    <row r="37" spans="4:9" x14ac:dyDescent="0.2">
      <c r="D37" s="11" t="e">
        <v>#N/A</v>
      </c>
      <c r="E37" s="10" t="e">
        <f>_xll.qlRateHelperRate($D37)</f>
        <v>#VALUE!</v>
      </c>
      <c r="F37" s="10" t="str">
        <f>IF(ISERROR(_xll.qlSwapRateHelperSpread($D37)),IF(ISERROR(_xll.qlFuturesRateHelperConvexityAdjustment($D37)),"--",_xll.qlFuturesRateHelperConvexityAdjustment($D37)),_xll.qlSwapRateHelperSpread($D37))</f>
        <v>--</v>
      </c>
      <c r="G37" s="9" t="e">
        <f>_xll.qlRateHelperEarliestDate($D37)</f>
        <v>#VALUE!</v>
      </c>
      <c r="H37" s="8" t="e">
        <f>_xll.qlRateHelperLatestDate($D37)</f>
        <v>#VALUE!</v>
      </c>
      <c r="I37" s="3" t="e">
        <v>#N/A</v>
      </c>
    </row>
    <row r="38" spans="4:9" x14ac:dyDescent="0.2">
      <c r="D38" s="11" t="e">
        <v>#N/A</v>
      </c>
      <c r="E38" s="10" t="e">
        <f>_xll.qlRateHelperRate($D38)</f>
        <v>#VALUE!</v>
      </c>
      <c r="F38" s="10" t="str">
        <f>IF(ISERROR(_xll.qlSwapRateHelperSpread($D38)),IF(ISERROR(_xll.qlFuturesRateHelperConvexityAdjustment($D38)),"--",_xll.qlFuturesRateHelperConvexityAdjustment($D38)),_xll.qlSwapRateHelperSpread($D38))</f>
        <v>--</v>
      </c>
      <c r="G38" s="9" t="e">
        <f>_xll.qlRateHelperEarliestDate($D38)</f>
        <v>#VALUE!</v>
      </c>
      <c r="H38" s="8" t="e">
        <f>_xll.qlRateHelperLatestDate($D38)</f>
        <v>#VALUE!</v>
      </c>
      <c r="I38" s="3" t="e">
        <v>#N/A</v>
      </c>
    </row>
    <row r="39" spans="4:9" x14ac:dyDescent="0.2">
      <c r="D39" s="11" t="e">
        <v>#N/A</v>
      </c>
      <c r="E39" s="10" t="e">
        <f>_xll.qlRateHelperRate($D39)</f>
        <v>#VALUE!</v>
      </c>
      <c r="F39" s="10" t="str">
        <f>IF(ISERROR(_xll.qlSwapRateHelperSpread($D39)),IF(ISERROR(_xll.qlFuturesRateHelperConvexityAdjustment($D39)),"--",_xll.qlFuturesRateHelperConvexityAdjustment($D39)),_xll.qlSwapRateHelperSpread($D39))</f>
        <v>--</v>
      </c>
      <c r="G39" s="9" t="e">
        <f>_xll.qlRateHelperEarliestDate($D39)</f>
        <v>#VALUE!</v>
      </c>
      <c r="H39" s="8" t="e">
        <f>_xll.qlRateHelperLatestDate($D39)</f>
        <v>#VALUE!</v>
      </c>
      <c r="I39" s="3" t="e">
        <v>#N/A</v>
      </c>
    </row>
    <row r="40" spans="4:9" x14ac:dyDescent="0.2">
      <c r="D40" s="11" t="e">
        <v>#N/A</v>
      </c>
      <c r="E40" s="10" t="e">
        <f>_xll.qlRateHelperRate($D40)</f>
        <v>#VALUE!</v>
      </c>
      <c r="F40" s="10" t="str">
        <f>IF(ISERROR(_xll.qlSwapRateHelperSpread($D40)),IF(ISERROR(_xll.qlFuturesRateHelperConvexityAdjustment($D40)),"--",_xll.qlFuturesRateHelperConvexityAdjustment($D40)),_xll.qlSwapRateHelperSpread($D40))</f>
        <v>--</v>
      </c>
      <c r="G40" s="9" t="e">
        <f>_xll.qlRateHelperEarliestDate($D40)</f>
        <v>#VALUE!</v>
      </c>
      <c r="H40" s="8" t="e">
        <f>_xll.qlRateHelperLatestDate($D40)</f>
        <v>#VALUE!</v>
      </c>
      <c r="I40" s="3" t="e">
        <v>#N/A</v>
      </c>
    </row>
    <row r="41" spans="4: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4: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4: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4: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4: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
  <sheetViews>
    <sheetView workbookViewId="0">
      <selection activeCell="K2" sqref="K2"/>
    </sheetView>
  </sheetViews>
  <sheetFormatPr defaultRowHeight="12.75" x14ac:dyDescent="0.2"/>
  <cols>
    <col min="1" max="1" width="3" style="85" customWidth="1"/>
    <col min="2" max="2" width="3.42578125" style="85" bestFit="1" customWidth="1"/>
    <col min="3" max="5" width="9.5703125" style="85" customWidth="1"/>
    <col min="6" max="6" width="13.85546875" style="85" bestFit="1" customWidth="1"/>
    <col min="7" max="8" width="9.5703125" style="85" customWidth="1"/>
    <col min="9" max="9" width="20.42578125" style="85" bestFit="1" customWidth="1"/>
    <col min="10" max="10" width="21.85546875" style="85" bestFit="1" customWidth="1"/>
    <col min="11" max="11" width="19.7109375" style="85" bestFit="1" customWidth="1"/>
    <col min="12" max="12" width="23.5703125" style="85" customWidth="1"/>
    <col min="13" max="13" width="4.7109375" style="85" customWidth="1"/>
    <col min="14" max="16384" width="9.140625" style="85"/>
  </cols>
  <sheetData>
    <row r="1" spans="1:15" x14ac:dyDescent="0.2">
      <c r="A1" s="106" t="s">
        <v>124</v>
      </c>
      <c r="B1" s="105"/>
      <c r="C1" s="105"/>
      <c r="D1" s="105"/>
      <c r="E1" s="105"/>
      <c r="F1" s="94" t="str">
        <f>PROPER(Currency)&amp;FamilyName&amp;$B9</f>
        <v>Euribor3M</v>
      </c>
      <c r="G1" s="105"/>
      <c r="H1" s="105"/>
      <c r="I1" s="104" t="s">
        <v>106</v>
      </c>
      <c r="J1" s="103" t="str">
        <f>Currency&amp;"_YC"&amp;$I$1&amp;"RH"</f>
        <v>EUR_YC3MRH</v>
      </c>
      <c r="K1" s="102"/>
      <c r="L1" s="102"/>
      <c r="M1" s="89"/>
    </row>
    <row r="2" spans="1:15" ht="23.25" customHeight="1" x14ac:dyDescent="0.2">
      <c r="A2" s="96"/>
      <c r="B2" s="101"/>
      <c r="C2" s="101" t="s">
        <v>151</v>
      </c>
      <c r="D2" s="101" t="s">
        <v>152</v>
      </c>
      <c r="E2" s="101" t="s">
        <v>153</v>
      </c>
      <c r="F2" s="101" t="s">
        <v>154</v>
      </c>
      <c r="G2" s="101" t="s">
        <v>155</v>
      </c>
      <c r="H2" s="101" t="s">
        <v>156</v>
      </c>
      <c r="I2" s="101" t="s">
        <v>113</v>
      </c>
      <c r="J2" s="100" t="str">
        <f>$J$1&amp;"_Deposits.xml"</f>
        <v>EUR_YC3MRH_Deposits.xml</v>
      </c>
      <c r="K2" s="99" t="str">
        <f>IF(Serialize,_xll.ohObjectSave(K3:K9,SerializationPath&amp;J2,FileOverwrite,Serialize),"---")</f>
        <v>---</v>
      </c>
      <c r="L2" s="98" t="str">
        <f>_xll.ohRangeRetrieveError(K2)</f>
        <v/>
      </c>
      <c r="M2" s="89"/>
    </row>
    <row r="3" spans="1:15" x14ac:dyDescent="0.2">
      <c r="A3" s="96"/>
      <c r="B3" s="97" t="s">
        <v>112</v>
      </c>
      <c r="C3" s="94" t="s">
        <v>125</v>
      </c>
      <c r="D3" s="212">
        <f>_xll.qlInterestRateIndexFixingDays($F$1,Trigger)</f>
        <v>2</v>
      </c>
      <c r="E3" s="94" t="str">
        <f>_xll.qlIndexFixingCalendar($F$1,Trigger)</f>
        <v>TARGET</v>
      </c>
      <c r="F3" s="94" t="s">
        <v>158</v>
      </c>
      <c r="G3" s="94" t="b">
        <v>0</v>
      </c>
      <c r="H3" s="212" t="str">
        <f>_xll.qlInterestRateIndexDayCounter($F$1,Trigger)</f>
        <v>Actual/360</v>
      </c>
      <c r="I3" s="93" t="str">
        <f t="shared" ref="I3:I9" si="0">Currency&amp;B3&amp;"D_SYNTH"&amp;$I$1&amp;QuoteSuffix</f>
        <v>EURSND_SYNTH3M_Quote</v>
      </c>
      <c r="J3" s="92" t="str">
        <f t="shared" ref="J3:J9" si="1">$J$1&amp;"_"&amp;$B3&amp;"D"</f>
        <v>EUR_YC3MRH_SND</v>
      </c>
      <c r="K3" s="91" t="str">
        <f>_xll.qlDepositRateHelper2(J3,I3,C3,D3,E3,F3,G3,H3,Permanent,Trigger,ObjectOverwrite)</f>
        <v>EUR_YC3MRH_SND#0001</v>
      </c>
      <c r="L3" s="90" t="str">
        <f>_xll.ohRangeRetrieveError(K3)</f>
        <v/>
      </c>
      <c r="M3" s="89"/>
    </row>
    <row r="4" spans="1:15" x14ac:dyDescent="0.2">
      <c r="A4" s="96"/>
      <c r="B4" s="95" t="s">
        <v>111</v>
      </c>
      <c r="C4" s="94" t="s">
        <v>157</v>
      </c>
      <c r="D4" s="212">
        <f>_xll.qlInterestRateIndexFixingDays($F$1,Trigger)</f>
        <v>2</v>
      </c>
      <c r="E4" s="94" t="str">
        <f>_xll.qlIndexFixingCalendar($F$1,Trigger)</f>
        <v>TARGET</v>
      </c>
      <c r="F4" s="94" t="s">
        <v>158</v>
      </c>
      <c r="G4" s="94" t="b">
        <v>0</v>
      </c>
      <c r="H4" s="212" t="str">
        <f>_xll.qlInterestRateIndexDayCounter($F$1,Trigger)</f>
        <v>Actual/360</v>
      </c>
      <c r="I4" s="93" t="str">
        <f t="shared" si="0"/>
        <v>EURSWD_SYNTH3M_Quote</v>
      </c>
      <c r="J4" s="92" t="str">
        <f t="shared" si="1"/>
        <v>EUR_YC3MRH_SWD</v>
      </c>
      <c r="K4" s="91" t="str">
        <f>_xll.qlDepositRateHelper2(J4,I4,C4,D4,E4,F4,G4,H4,Permanent,Trigger,ObjectOverwrite)</f>
        <v>EUR_YC3MRH_SWD#0001</v>
      </c>
      <c r="L4" s="90" t="str">
        <f>_xll.ohRangeRetrieveError(K4)</f>
        <v/>
      </c>
      <c r="M4" s="89"/>
    </row>
    <row r="5" spans="1:15" x14ac:dyDescent="0.2">
      <c r="A5" s="96"/>
      <c r="B5" s="95" t="s">
        <v>110</v>
      </c>
      <c r="C5" s="94" t="s">
        <v>110</v>
      </c>
      <c r="D5" s="212">
        <f>_xll.qlInterestRateIndexFixingDays($F$1,Trigger)</f>
        <v>2</v>
      </c>
      <c r="E5" s="94" t="str">
        <f>_xll.qlIndexFixingCalendar($F$1,Trigger)</f>
        <v>TARGET</v>
      </c>
      <c r="F5" s="94" t="s">
        <v>158</v>
      </c>
      <c r="G5" s="94" t="b">
        <v>0</v>
      </c>
      <c r="H5" s="212" t="str">
        <f>_xll.qlInterestRateIndexDayCounter($F$1,Trigger)</f>
        <v>Actual/360</v>
      </c>
      <c r="I5" s="93" t="str">
        <f t="shared" si="0"/>
        <v>EUR2WD_SYNTH3M_Quote</v>
      </c>
      <c r="J5" s="92" t="str">
        <f t="shared" si="1"/>
        <v>EUR_YC3MRH_2WD</v>
      </c>
      <c r="K5" s="91" t="str">
        <f>_xll.qlDepositRateHelper2(J5,I5,C5,D5,E5,F5,G5,H5,Permanent,Trigger,ObjectOverwrite)</f>
        <v>EUR_YC3MRH_2WD#0001</v>
      </c>
      <c r="L5" s="90" t="str">
        <f>_xll.ohRangeRetrieveError(K5)</f>
        <v/>
      </c>
      <c r="M5" s="89"/>
      <c r="O5" s="85" t="str">
        <f>_xll.ohObjectCallerAddress(I5)</f>
        <v>[EUR_SynthQuotesFeed.xlsx]Contribution!R10C4</v>
      </c>
    </row>
    <row r="6" spans="1:15" x14ac:dyDescent="0.2">
      <c r="A6" s="96"/>
      <c r="B6" s="95" t="s">
        <v>109</v>
      </c>
      <c r="C6" s="94" t="s">
        <v>109</v>
      </c>
      <c r="D6" s="212">
        <f>_xll.qlInterestRateIndexFixingDays($F$1,Trigger)</f>
        <v>2</v>
      </c>
      <c r="E6" s="94" t="str">
        <f>_xll.qlIndexFixingCalendar($F$1,Trigger)</f>
        <v>TARGET</v>
      </c>
      <c r="F6" s="94" t="s">
        <v>158</v>
      </c>
      <c r="G6" s="94" t="b">
        <v>0</v>
      </c>
      <c r="H6" s="212" t="str">
        <f>_xll.qlInterestRateIndexDayCounter($F$1,Trigger)</f>
        <v>Actual/360</v>
      </c>
      <c r="I6" s="93" t="str">
        <f t="shared" si="0"/>
        <v>EUR3WD_SYNTH3M_Quote</v>
      </c>
      <c r="J6" s="92" t="str">
        <f t="shared" si="1"/>
        <v>EUR_YC3MRH_3WD</v>
      </c>
      <c r="K6" s="91" t="str">
        <f>_xll.qlDepositRateHelper2(J6,I6,C6,D6,E6,F6,G6,H6,Permanent,Trigger,ObjectOverwrite)</f>
        <v>EUR_YC3MRH_3WD#0001</v>
      </c>
      <c r="L6" s="90" t="str">
        <f>_xll.ohRangeRetrieveError(K6)</f>
        <v/>
      </c>
      <c r="M6" s="89"/>
    </row>
    <row r="7" spans="1:15" x14ac:dyDescent="0.2">
      <c r="A7" s="96"/>
      <c r="B7" s="95" t="s">
        <v>108</v>
      </c>
      <c r="C7" s="94" t="s">
        <v>108</v>
      </c>
      <c r="D7" s="212">
        <f>_xll.qlInterestRateIndexFixingDays($F$1,Trigger)</f>
        <v>2</v>
      </c>
      <c r="E7" s="94" t="str">
        <f>_xll.qlIndexFixingCalendar($F$1,Trigger)</f>
        <v>TARGET</v>
      </c>
      <c r="F7" s="94" t="str">
        <f>_xll.qlIborIndexBusinessDayConv($F$1,Trigger)</f>
        <v>Modified Following</v>
      </c>
      <c r="G7" s="94" t="b">
        <f>_xll.qlIborIndexEndOfMonth($F$1,Trigger)</f>
        <v>1</v>
      </c>
      <c r="H7" s="212" t="str">
        <f>_xll.qlInterestRateIndexDayCounter($F$1,Trigger)</f>
        <v>Actual/360</v>
      </c>
      <c r="I7" s="93" t="str">
        <f t="shared" si="0"/>
        <v>EUR1MD_SYNTH3M_Quote</v>
      </c>
      <c r="J7" s="92" t="str">
        <f t="shared" si="1"/>
        <v>EUR_YC3MRH_1MD</v>
      </c>
      <c r="K7" s="91" t="str">
        <f>_xll.qlDepositRateHelper2(J7,I7,C7,D7,E7,F7,G7,H7,Permanent,Trigger,ObjectOverwrite)</f>
        <v>EUR_YC3MRH_1MD#0001</v>
      </c>
      <c r="L7" s="90" t="str">
        <f>_xll.ohRangeRetrieveError(K7)</f>
        <v/>
      </c>
      <c r="M7" s="89"/>
    </row>
    <row r="8" spans="1:15" x14ac:dyDescent="0.2">
      <c r="A8" s="96"/>
      <c r="B8" s="95" t="s">
        <v>107</v>
      </c>
      <c r="C8" s="94" t="s">
        <v>107</v>
      </c>
      <c r="D8" s="212">
        <f>_xll.qlInterestRateIndexFixingDays($F$1,Trigger)</f>
        <v>2</v>
      </c>
      <c r="E8" s="94" t="str">
        <f>_xll.qlIndexFixingCalendar($F$1,Trigger)</f>
        <v>TARGET</v>
      </c>
      <c r="F8" s="94" t="str">
        <f>_xll.qlIborIndexBusinessDayConv($F$1,Trigger)</f>
        <v>Modified Following</v>
      </c>
      <c r="G8" s="94" t="b">
        <f>_xll.qlIborIndexEndOfMonth($F$1,Trigger)</f>
        <v>1</v>
      </c>
      <c r="H8" s="212" t="str">
        <f>_xll.qlInterestRateIndexDayCounter($F$1,Trigger)</f>
        <v>Actual/360</v>
      </c>
      <c r="I8" s="93" t="str">
        <f t="shared" si="0"/>
        <v>EUR2MD_SYNTH3M_Quote</v>
      </c>
      <c r="J8" s="92" t="str">
        <f t="shared" si="1"/>
        <v>EUR_YC3MRH_2MD</v>
      </c>
      <c r="K8" s="91" t="str">
        <f>_xll.qlDepositRateHelper2(J8,I8,C8,D8,E8,F8,G8,H8,Permanent,Trigger,ObjectOverwrite)</f>
        <v>EUR_YC3MRH_2MD#0001</v>
      </c>
      <c r="L8" s="90" t="str">
        <f>_xll.ohRangeRetrieveError(K8)</f>
        <v/>
      </c>
      <c r="M8" s="89"/>
    </row>
    <row r="9" spans="1:15" x14ac:dyDescent="0.2">
      <c r="A9" s="96"/>
      <c r="B9" s="95" t="s">
        <v>106</v>
      </c>
      <c r="C9" s="94" t="s">
        <v>106</v>
      </c>
      <c r="D9" s="212">
        <f>_xll.qlInterestRateIndexFixingDays($F$1,Trigger)</f>
        <v>2</v>
      </c>
      <c r="E9" s="94" t="str">
        <f>_xll.qlIndexFixingCalendar($F$1,Trigger)</f>
        <v>TARGET</v>
      </c>
      <c r="F9" s="94" t="str">
        <f>_xll.qlIborIndexBusinessDayConv($F$1,Trigger)</f>
        <v>Modified Following</v>
      </c>
      <c r="G9" s="94" t="b">
        <f>_xll.qlIborIndexEndOfMonth($F$1,Trigger)</f>
        <v>1</v>
      </c>
      <c r="H9" s="212" t="str">
        <f>_xll.qlInterestRateIndexDayCounter($F$1,Trigger)</f>
        <v>Actual/360</v>
      </c>
      <c r="I9" s="93" t="str">
        <f t="shared" si="0"/>
        <v>EUR3MD_SYNTH3M_Quote</v>
      </c>
      <c r="J9" s="92" t="str">
        <f t="shared" si="1"/>
        <v>EUR_YC3MRH_3MD</v>
      </c>
      <c r="K9" s="91" t="str">
        <f>_xll.qlDepositRateHelper2(J9,I9,C9,D9,E9,F9,G9,H9,Permanent,Trigger,ObjectOverwrite)</f>
        <v>EUR_YC3MRH_3MD#0001</v>
      </c>
      <c r="L9" s="90" t="str">
        <f>_xll.ohRangeRetrieveError(K9)</f>
        <v/>
      </c>
      <c r="M9" s="89"/>
    </row>
    <row r="10" spans="1:15" ht="13.5" thickBot="1" x14ac:dyDescent="0.25">
      <c r="A10" s="88"/>
      <c r="B10" s="87"/>
      <c r="C10" s="87"/>
      <c r="D10" s="87"/>
      <c r="E10" s="87"/>
      <c r="F10" s="87"/>
      <c r="G10" s="87"/>
      <c r="H10" s="87"/>
      <c r="I10" s="87"/>
      <c r="J10" s="87"/>
      <c r="K10" s="87"/>
      <c r="L10" s="87"/>
      <c r="M10"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
  <sheetViews>
    <sheetView workbookViewId="0">
      <selection activeCell="H2" sqref="H2"/>
    </sheetView>
  </sheetViews>
  <sheetFormatPr defaultRowHeight="11.25" x14ac:dyDescent="0.2"/>
  <cols>
    <col min="1" max="1" width="3.7109375" style="102" customWidth="1"/>
    <col min="2" max="2" width="3" style="102" bestFit="1" customWidth="1"/>
    <col min="3" max="3" width="5" style="102" customWidth="1"/>
    <col min="4" max="4" width="3.5703125" style="126" bestFit="1" customWidth="1"/>
    <col min="5" max="5" width="7.85546875" style="126" bestFit="1" customWidth="1"/>
    <col min="6" max="6" width="14.7109375" style="102" bestFit="1" customWidth="1"/>
    <col min="7" max="7" width="19.5703125" style="102" bestFit="1" customWidth="1"/>
    <col min="8" max="8" width="22.140625" style="125" bestFit="1" customWidth="1"/>
    <col min="9" max="9" width="38.28515625" style="102" customWidth="1"/>
    <col min="10" max="10" width="3" style="102" customWidth="1"/>
    <col min="11" max="16384" width="9.140625" style="102"/>
  </cols>
  <sheetData>
    <row r="1" spans="1:12" x14ac:dyDescent="0.2">
      <c r="A1" s="167" t="s">
        <v>132</v>
      </c>
      <c r="B1" s="148"/>
      <c r="C1" s="148"/>
      <c r="D1" s="148">
        <v>3</v>
      </c>
      <c r="E1" s="147" t="str">
        <f>_xll.qlPeriodEquivalent(D1&amp;"M")</f>
        <v>3M</v>
      </c>
      <c r="G1" s="146" t="str">
        <f>Currency&amp;"_YC"&amp;$E$1&amp;"RH"</f>
        <v>EUR_YC3MRH</v>
      </c>
      <c r="H1" s="145"/>
      <c r="I1" s="144"/>
      <c r="J1" s="143"/>
    </row>
    <row r="2" spans="1:12" ht="23.25" customHeight="1" x14ac:dyDescent="0.2">
      <c r="A2" s="96"/>
      <c r="B2" s="97"/>
      <c r="C2" s="97"/>
      <c r="D2" s="142"/>
      <c r="E2" s="101" t="s">
        <v>114</v>
      </c>
      <c r="F2" s="101" t="s">
        <v>113</v>
      </c>
      <c r="G2" s="100" t="str">
        <f>$G$1&amp;"_FRAs.xml"</f>
        <v>EUR_YC3MRH_FRAs.xml</v>
      </c>
      <c r="H2" s="141" t="str">
        <f>IF(Serialize,_xll.ohObjectSave(H3:H10,SerializationPath&amp;G2,FileOverwrite,Serialize),"---")</f>
        <v>---</v>
      </c>
      <c r="I2" s="140" t="str">
        <f>_xll.ohRangeRetrieveError(H2)</f>
        <v/>
      </c>
      <c r="J2" s="89"/>
    </row>
    <row r="3" spans="1:12" x14ac:dyDescent="0.2">
      <c r="A3" s="96"/>
      <c r="B3" s="139" t="s">
        <v>126</v>
      </c>
      <c r="C3" s="139" t="str">
        <f>"T"&amp;D1</f>
        <v>T3</v>
      </c>
      <c r="D3" s="138" t="s">
        <v>54</v>
      </c>
      <c r="E3" s="137" t="str">
        <f t="shared" ref="E3:E10" si="0">PROPER(Currency)&amp;FamilyName&amp;$E$1</f>
        <v>Euribor3M</v>
      </c>
      <c r="F3" s="137" t="str">
        <f t="shared" ref="F3:F10" si="1">Currency&amp;C3&amp;D3&amp;"_Quote"</f>
        <v>EURT3F1_Quote</v>
      </c>
      <c r="G3" s="137" t="str">
        <f t="shared" ref="G3:G10" si="2">$G$1&amp;"_"&amp;$C3&amp;$D3</f>
        <v>EUR_YC3MRH_T3F1</v>
      </c>
      <c r="H3" s="137" t="str">
        <f>_xll.qlFraRateHelper(G3,F3,B3,E3,Permanent,Trigger,ObjectOverwrite)</f>
        <v>EUR_YC3MRH_T3F1#0001</v>
      </c>
      <c r="I3" s="136" t="str">
        <f>_xll.ohRangeRetrieveError(H3)</f>
        <v/>
      </c>
      <c r="J3" s="89"/>
    </row>
    <row r="4" spans="1:12" x14ac:dyDescent="0.2">
      <c r="A4" s="96"/>
      <c r="B4" s="130" t="s">
        <v>125</v>
      </c>
      <c r="C4" s="130" t="str">
        <f>"TOM"&amp;D1</f>
        <v>TOM3</v>
      </c>
      <c r="D4" s="91" t="s">
        <v>54</v>
      </c>
      <c r="E4" s="129" t="str">
        <f t="shared" si="0"/>
        <v>Euribor3M</v>
      </c>
      <c r="F4" s="129" t="str">
        <f t="shared" si="1"/>
        <v>EURTOM3F1_Quote</v>
      </c>
      <c r="G4" s="129" t="str">
        <f t="shared" si="2"/>
        <v>EUR_YC3MRH_TOM3F1</v>
      </c>
      <c r="H4" s="129" t="str">
        <f>_xll.qlFraRateHelper(G4,F4,B4,E4,Permanent,Trigger,ObjectOverwrite)</f>
        <v>EUR_YC3MRH_TOM3F1#0001</v>
      </c>
      <c r="I4" s="135" t="str">
        <f>_xll.ohRangeRetrieveError(H4)</f>
        <v/>
      </c>
      <c r="J4" s="89"/>
      <c r="L4" s="102" t="str">
        <f>_xll.ohObjectCallerAddress(F4)</f>
        <v>[EUR_Market.xlsx]FRA!R6C5</v>
      </c>
    </row>
    <row r="5" spans="1:12" x14ac:dyDescent="0.2">
      <c r="A5" s="96"/>
      <c r="B5" s="134" t="str">
        <f t="shared" ref="B5:B10" si="3">C5&amp;"M"</f>
        <v>1M</v>
      </c>
      <c r="C5" s="134">
        <v>1</v>
      </c>
      <c r="D5" s="133" t="str">
        <f t="shared" ref="D5:D10" si="4">"x"&amp;C5+$D$1&amp;"F"</f>
        <v>x4F</v>
      </c>
      <c r="E5" s="132" t="str">
        <f t="shared" si="0"/>
        <v>Euribor3M</v>
      </c>
      <c r="F5" s="132" t="str">
        <f t="shared" si="1"/>
        <v>EUR1x4F_Quote</v>
      </c>
      <c r="G5" s="132" t="str">
        <f t="shared" si="2"/>
        <v>EUR_YC3MRH_1x4F</v>
      </c>
      <c r="H5" s="132" t="str">
        <f>_xll.qlFraRateHelper(G5,F5,B5,E5,Permanent,Trigger,ObjectOverwrite)</f>
        <v>EUR_YC3MRH_1x4F#0001</v>
      </c>
      <c r="I5" s="131" t="str">
        <f>_xll.ohRangeRetrieveError(H5)</f>
        <v/>
      </c>
      <c r="J5" s="89"/>
    </row>
    <row r="6" spans="1:12" x14ac:dyDescent="0.2">
      <c r="A6" s="96"/>
      <c r="B6" s="134" t="str">
        <f t="shared" si="3"/>
        <v>2M</v>
      </c>
      <c r="C6" s="134">
        <v>2</v>
      </c>
      <c r="D6" s="133" t="str">
        <f t="shared" si="4"/>
        <v>x5F</v>
      </c>
      <c r="E6" s="132" t="str">
        <f t="shared" si="0"/>
        <v>Euribor3M</v>
      </c>
      <c r="F6" s="132" t="str">
        <f t="shared" si="1"/>
        <v>EUR2x5F_Quote</v>
      </c>
      <c r="G6" s="132" t="str">
        <f t="shared" si="2"/>
        <v>EUR_YC3MRH_2x5F</v>
      </c>
      <c r="H6" s="132" t="str">
        <f>_xll.qlFraRateHelper(G6,F6,B6,E6,Permanent,Trigger,ObjectOverwrite)</f>
        <v>EUR_YC3MRH_2x5F#0001</v>
      </c>
      <c r="I6" s="131" t="str">
        <f>_xll.ohRangeRetrieveError(H6)</f>
        <v/>
      </c>
      <c r="J6" s="89"/>
    </row>
    <row r="7" spans="1:12" x14ac:dyDescent="0.2">
      <c r="A7" s="96"/>
      <c r="B7" s="134" t="str">
        <f t="shared" si="3"/>
        <v>3M</v>
      </c>
      <c r="C7" s="134">
        <v>3</v>
      </c>
      <c r="D7" s="133" t="str">
        <f t="shared" si="4"/>
        <v>x6F</v>
      </c>
      <c r="E7" s="132" t="str">
        <f t="shared" si="0"/>
        <v>Euribor3M</v>
      </c>
      <c r="F7" s="132" t="str">
        <f t="shared" si="1"/>
        <v>EUR3x6F_Quote</v>
      </c>
      <c r="G7" s="132" t="str">
        <f t="shared" si="2"/>
        <v>EUR_YC3MRH_3x6F</v>
      </c>
      <c r="H7" s="132" t="str">
        <f>_xll.qlFraRateHelper(G7,F7,B7,E7,Permanent,Trigger,ObjectOverwrite)</f>
        <v>EUR_YC3MRH_3x6F#0001</v>
      </c>
      <c r="I7" s="131" t="str">
        <f>_xll.ohRangeRetrieveError(H7)</f>
        <v/>
      </c>
      <c r="J7" s="89"/>
    </row>
    <row r="8" spans="1:12" x14ac:dyDescent="0.2">
      <c r="A8" s="96"/>
      <c r="B8" s="134" t="str">
        <f t="shared" si="3"/>
        <v>4M</v>
      </c>
      <c r="C8" s="134">
        <v>4</v>
      </c>
      <c r="D8" s="133" t="str">
        <f t="shared" si="4"/>
        <v>x7F</v>
      </c>
      <c r="E8" s="132" t="str">
        <f t="shared" si="0"/>
        <v>Euribor3M</v>
      </c>
      <c r="F8" s="132" t="str">
        <f t="shared" si="1"/>
        <v>EUR4x7F_Quote</v>
      </c>
      <c r="G8" s="132" t="str">
        <f t="shared" si="2"/>
        <v>EUR_YC3MRH_4x7F</v>
      </c>
      <c r="H8" s="132" t="str">
        <f>_xll.qlFraRateHelper(G8,F8,B8,E8,Permanent,Trigger,ObjectOverwrite)</f>
        <v>EUR_YC3MRH_4x7F#0001</v>
      </c>
      <c r="I8" s="131" t="str">
        <f>_xll.ohRangeRetrieveError(H8)</f>
        <v/>
      </c>
      <c r="J8" s="89"/>
    </row>
    <row r="9" spans="1:12" x14ac:dyDescent="0.2">
      <c r="A9" s="96"/>
      <c r="B9" s="134" t="str">
        <f t="shared" si="3"/>
        <v>5M</v>
      </c>
      <c r="C9" s="134">
        <v>5</v>
      </c>
      <c r="D9" s="133" t="str">
        <f t="shared" si="4"/>
        <v>x8F</v>
      </c>
      <c r="E9" s="132" t="str">
        <f t="shared" si="0"/>
        <v>Euribor3M</v>
      </c>
      <c r="F9" s="132" t="str">
        <f t="shared" si="1"/>
        <v>EUR5x8F_Quote</v>
      </c>
      <c r="G9" s="132" t="str">
        <f t="shared" si="2"/>
        <v>EUR_YC3MRH_5x8F</v>
      </c>
      <c r="H9" s="132" t="str">
        <f>_xll.qlFraRateHelper(G9,F9,B9,E9,Permanent,Trigger,ObjectOverwrite)</f>
        <v>EUR_YC3MRH_5x8F#0001</v>
      </c>
      <c r="I9" s="131" t="str">
        <f>_xll.ohRangeRetrieveError(H9)</f>
        <v/>
      </c>
      <c r="J9" s="89"/>
    </row>
    <row r="10" spans="1:12" x14ac:dyDescent="0.2">
      <c r="A10" s="96"/>
      <c r="B10" s="130" t="str">
        <f t="shared" si="3"/>
        <v>6M</v>
      </c>
      <c r="C10" s="130">
        <v>6</v>
      </c>
      <c r="D10" s="91" t="str">
        <f t="shared" si="4"/>
        <v>x9F</v>
      </c>
      <c r="E10" s="129" t="str">
        <f t="shared" si="0"/>
        <v>Euribor3M</v>
      </c>
      <c r="F10" s="129" t="str">
        <f t="shared" si="1"/>
        <v>EUR6x9F_Quote</v>
      </c>
      <c r="G10" s="129" t="str">
        <f t="shared" si="2"/>
        <v>EUR_YC3MRH_6x9F</v>
      </c>
      <c r="H10" s="129" t="str">
        <f>_xll.qlFraRateHelper(G10,F10,B10,E10,Permanent,Trigger,ObjectOverwrite)</f>
        <v>EUR_YC3MRH_6x9F#0001</v>
      </c>
      <c r="I10" s="128" t="str">
        <f>_xll.ohRangeRetrieveError(H10)</f>
        <v/>
      </c>
      <c r="J10" s="89"/>
    </row>
    <row r="11" spans="1:12" ht="12" thickBot="1" x14ac:dyDescent="0.25">
      <c r="A11" s="88"/>
      <c r="B11" s="87"/>
      <c r="C11" s="87"/>
      <c r="D11" s="87"/>
      <c r="E11" s="87"/>
      <c r="F11" s="87"/>
      <c r="G11" s="87"/>
      <c r="H11" s="127"/>
      <c r="I11" s="127"/>
      <c r="J11" s="86"/>
    </row>
    <row r="13" spans="1:12" x14ac:dyDescent="0.2">
      <c r="D13" s="102"/>
      <c r="E13" s="102"/>
      <c r="H13"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I2" sqref="I2"/>
    </sheetView>
  </sheetViews>
  <sheetFormatPr defaultRowHeight="12.75" x14ac:dyDescent="0.2"/>
  <cols>
    <col min="1" max="1" width="2.28515625" style="85" customWidth="1"/>
    <col min="2" max="2" width="3.5703125" style="85" bestFit="1" customWidth="1"/>
    <col min="3" max="3" width="5.7109375" style="85" bestFit="1" customWidth="1"/>
    <col min="4" max="4" width="6.140625" style="85" bestFit="1" customWidth="1"/>
    <col min="5" max="5" width="9.140625" style="85"/>
    <col min="6" max="6" width="15.85546875" style="85" bestFit="1" customWidth="1"/>
    <col min="7" max="7" width="22" style="85" bestFit="1" customWidth="1"/>
    <col min="8" max="8" width="23.140625" style="85" bestFit="1" customWidth="1"/>
    <col min="9" max="9" width="23.28515625" style="85" bestFit="1" customWidth="1"/>
    <col min="10" max="10" width="15.5703125" style="85" customWidth="1"/>
    <col min="11" max="11" width="4.140625" style="85" customWidth="1"/>
    <col min="12" max="16384" width="9.140625" style="85"/>
  </cols>
  <sheetData>
    <row r="1" spans="1:13" x14ac:dyDescent="0.2">
      <c r="A1" s="162" t="s">
        <v>131</v>
      </c>
      <c r="B1" s="166"/>
      <c r="C1" s="166"/>
      <c r="D1" s="166"/>
      <c r="E1" s="104" t="s">
        <v>106</v>
      </c>
      <c r="F1" s="165"/>
      <c r="G1" s="165"/>
      <c r="H1" s="164" t="str">
        <f>Currency&amp;"_YC"&amp;$E$1&amp;"RH"</f>
        <v>EUR_YC3MRH</v>
      </c>
      <c r="I1" s="163"/>
      <c r="J1" s="163"/>
      <c r="K1" s="89"/>
    </row>
    <row r="2" spans="1:13" ht="32.25" customHeight="1" x14ac:dyDescent="0.2">
      <c r="A2" s="162"/>
      <c r="B2" s="97" t="s">
        <v>130</v>
      </c>
      <c r="C2" s="101" t="s">
        <v>129</v>
      </c>
      <c r="D2" s="161" t="s">
        <v>128</v>
      </c>
      <c r="E2" s="101" t="s">
        <v>114</v>
      </c>
      <c r="F2" s="101" t="s">
        <v>113</v>
      </c>
      <c r="G2" s="97" t="s">
        <v>127</v>
      </c>
      <c r="H2" s="100" t="str">
        <f>$H$1&amp;"_Futures"&amp;$E$1&amp;".xml"</f>
        <v>EUR_YC3MRH_Futures3M.xml</v>
      </c>
      <c r="I2" s="99" t="str">
        <f>IF(Serialize,_xll.ohObjectSave(I3:I44,SerializationPath&amp;H2,FileOverwrite,Serialize),"---")</f>
        <v>---</v>
      </c>
      <c r="J2" s="98" t="str">
        <f>_xll.ohRangeRetrieveError(I2)</f>
        <v/>
      </c>
      <c r="K2" s="89"/>
    </row>
    <row r="3" spans="1:13" x14ac:dyDescent="0.2">
      <c r="A3" s="156"/>
      <c r="B3" s="160">
        <v>1</v>
      </c>
      <c r="C3" s="154" t="b">
        <v>0</v>
      </c>
      <c r="D3" s="202" t="str">
        <f t="array" ref="D3:D44">_xll.qlIMMNextCodes(_xll.qlSettingsEvaluationDate(Trigger)-1,$C3:$C122)</f>
        <v>M4</v>
      </c>
      <c r="E3" s="154" t="str">
        <f t="shared" ref="E3:E34" si="0">PROPER(Currency)&amp;FamilyName&amp;$E$1</f>
        <v>Euribor3M</v>
      </c>
      <c r="F3" s="153" t="str">
        <f t="shared" ref="F3:F34" si="1">Currency&amp;"FUT"&amp;$E$1&amp;$D3&amp;QuoteSuffix</f>
        <v>EURFUT3MM4_Quote</v>
      </c>
      <c r="G3" s="153" t="str">
        <f t="shared" ref="G3:G34" si="2">Currency&amp;"FUT"&amp;$E$1&amp;$D3&amp;"ConvAdj"&amp;QuoteSuffix</f>
        <v>EURFUT3MM4ConvAdj_Quote</v>
      </c>
      <c r="H3" s="153" t="str">
        <f t="shared" ref="H3:H34" si="3">$H$1&amp;"_FUT"&amp;$E$1&amp;$D3</f>
        <v>EUR_YC3MRH_FUT3MM4</v>
      </c>
      <c r="I3" s="159" t="str">
        <f>_xll.qlFuturesRateHelper(H3,$F3,$D3,$E3,$G3,Permanent,Trigger,ObjectOverwrite)</f>
        <v>EUR_YC3MRH_FUT3MM4#0001</v>
      </c>
      <c r="J3" s="158" t="str">
        <f>_xll.ohRangeRetrieveError(I3)</f>
        <v/>
      </c>
      <c r="K3" s="89"/>
      <c r="L3" s="157"/>
      <c r="M3" s="85" t="str">
        <f>_xll.ohObjectCallerAddress(F3)</f>
        <v>[EUR_Market.xlsx]Futures3M!R7C6</v>
      </c>
    </row>
    <row r="4" spans="1:13" x14ac:dyDescent="0.2">
      <c r="A4" s="156"/>
      <c r="B4" s="95">
        <v>2</v>
      </c>
      <c r="C4" s="155" t="b">
        <v>0</v>
      </c>
      <c r="D4" s="203" t="str">
        <v>N4</v>
      </c>
      <c r="E4" s="154" t="str">
        <f t="shared" si="0"/>
        <v>Euribor3M</v>
      </c>
      <c r="F4" s="153" t="str">
        <f t="shared" si="1"/>
        <v>EURFUT3MN4_Quote</v>
      </c>
      <c r="G4" s="153" t="str">
        <f t="shared" si="2"/>
        <v>EURFUT3MN4ConvAdj_Quote</v>
      </c>
      <c r="H4" s="153" t="str">
        <f t="shared" si="3"/>
        <v>EUR_YC3MRH_FUT3MN4</v>
      </c>
      <c r="I4" s="152" t="str">
        <f>_xll.qlFuturesRateHelper(H4,$F4,$D4,$E4,$G4,Permanent,Trigger,ObjectOverwrite)</f>
        <v>EUR_YC3MRH_FUT3MN4#0001</v>
      </c>
      <c r="J4" s="90" t="str">
        <f>_xll.ohRangeRetrieveError(I4)</f>
        <v/>
      </c>
      <c r="K4" s="89"/>
      <c r="L4" s="157"/>
    </row>
    <row r="5" spans="1:13" x14ac:dyDescent="0.2">
      <c r="A5" s="156"/>
      <c r="B5" s="95">
        <v>3</v>
      </c>
      <c r="C5" s="155" t="b">
        <v>0</v>
      </c>
      <c r="D5" s="203" t="str">
        <v>Q4</v>
      </c>
      <c r="E5" s="154" t="str">
        <f t="shared" si="0"/>
        <v>Euribor3M</v>
      </c>
      <c r="F5" s="153" t="str">
        <f t="shared" si="1"/>
        <v>EURFUT3MQ4_Quote</v>
      </c>
      <c r="G5" s="153" t="str">
        <f t="shared" si="2"/>
        <v>EURFUT3MQ4ConvAdj_Quote</v>
      </c>
      <c r="H5" s="153" t="str">
        <f t="shared" si="3"/>
        <v>EUR_YC3MRH_FUT3MQ4</v>
      </c>
      <c r="I5" s="152" t="str">
        <f>_xll.qlFuturesRateHelper(H5,$F5,$D5,$E5,$G5,Permanent,Trigger,ObjectOverwrite)</f>
        <v>EUR_YC3MRH_FUT3MQ4#0001</v>
      </c>
      <c r="J5" s="90" t="str">
        <f>_xll.ohRangeRetrieveError(I5)</f>
        <v/>
      </c>
      <c r="K5" s="89"/>
      <c r="L5" s="157"/>
    </row>
    <row r="6" spans="1:13" x14ac:dyDescent="0.2">
      <c r="A6" s="156"/>
      <c r="B6" s="95">
        <v>4</v>
      </c>
      <c r="C6" s="155" t="b">
        <v>0</v>
      </c>
      <c r="D6" s="203" t="str">
        <v>U4</v>
      </c>
      <c r="E6" s="154" t="str">
        <f t="shared" si="0"/>
        <v>Euribor3M</v>
      </c>
      <c r="F6" s="153" t="str">
        <f t="shared" si="1"/>
        <v>EURFUT3MU4_Quote</v>
      </c>
      <c r="G6" s="153" t="str">
        <f t="shared" si="2"/>
        <v>EURFUT3MU4ConvAdj_Quote</v>
      </c>
      <c r="H6" s="153" t="str">
        <f t="shared" si="3"/>
        <v>EUR_YC3MRH_FUT3MU4</v>
      </c>
      <c r="I6" s="152" t="str">
        <f>_xll.qlFuturesRateHelper(H6,$F6,$D6,$E6,$G6,Permanent,Trigger,ObjectOverwrite)</f>
        <v>EUR_YC3MRH_FUT3MU4#0001</v>
      </c>
      <c r="J6" s="90" t="str">
        <f>_xll.ohRangeRetrieveError(I6)</f>
        <v/>
      </c>
      <c r="K6" s="89"/>
      <c r="L6" s="157"/>
    </row>
    <row r="7" spans="1:13" x14ac:dyDescent="0.2">
      <c r="A7" s="156"/>
      <c r="B7" s="95">
        <v>5</v>
      </c>
      <c r="C7" s="155" t="b">
        <v>0</v>
      </c>
      <c r="D7" s="203" t="str">
        <v>V4</v>
      </c>
      <c r="E7" s="154" t="str">
        <f t="shared" si="0"/>
        <v>Euribor3M</v>
      </c>
      <c r="F7" s="153" t="str">
        <f t="shared" si="1"/>
        <v>EURFUT3MV4_Quote</v>
      </c>
      <c r="G7" s="153" t="str">
        <f t="shared" si="2"/>
        <v>EURFUT3MV4ConvAdj_Quote</v>
      </c>
      <c r="H7" s="153" t="str">
        <f t="shared" si="3"/>
        <v>EUR_YC3MRH_FUT3MV4</v>
      </c>
      <c r="I7" s="152" t="str">
        <f>_xll.qlFuturesRateHelper(H7,$F7,$D7,$E7,$G7,Permanent,Trigger,ObjectOverwrite)</f>
        <v>EUR_YC3MRH_FUT3MV4#0001</v>
      </c>
      <c r="J7" s="90" t="str">
        <f>_xll.ohRangeRetrieveError(I7)</f>
        <v/>
      </c>
      <c r="K7" s="89"/>
      <c r="L7" s="157"/>
    </row>
    <row r="8" spans="1:13" x14ac:dyDescent="0.2">
      <c r="A8" s="156"/>
      <c r="B8" s="95">
        <v>6</v>
      </c>
      <c r="C8" s="155" t="b">
        <v>0</v>
      </c>
      <c r="D8" s="203" t="str">
        <v>X4</v>
      </c>
      <c r="E8" s="154" t="str">
        <f t="shared" si="0"/>
        <v>Euribor3M</v>
      </c>
      <c r="F8" s="153" t="str">
        <f t="shared" si="1"/>
        <v>EURFUT3MX4_Quote</v>
      </c>
      <c r="G8" s="153" t="str">
        <f t="shared" si="2"/>
        <v>EURFUT3MX4ConvAdj_Quote</v>
      </c>
      <c r="H8" s="153" t="str">
        <f t="shared" si="3"/>
        <v>EUR_YC3MRH_FUT3MX4</v>
      </c>
      <c r="I8" s="152" t="str">
        <f>_xll.qlFuturesRateHelper(H8,$F8,$D8,$E8,$G8,Permanent,Trigger,ObjectOverwrite)</f>
        <v>EUR_YC3MRH_FUT3MX4#0001</v>
      </c>
      <c r="J8" s="90" t="str">
        <f>_xll.ohRangeRetrieveError(I8)</f>
        <v/>
      </c>
      <c r="K8" s="89"/>
      <c r="L8" s="157"/>
    </row>
    <row r="9" spans="1:13" x14ac:dyDescent="0.2">
      <c r="A9" s="156"/>
      <c r="B9" s="95">
        <v>7</v>
      </c>
      <c r="C9" s="155" t="b">
        <v>0</v>
      </c>
      <c r="D9" s="203" t="str">
        <v>Z4</v>
      </c>
      <c r="E9" s="154" t="str">
        <f t="shared" si="0"/>
        <v>Euribor3M</v>
      </c>
      <c r="F9" s="153" t="str">
        <f t="shared" si="1"/>
        <v>EURFUT3MZ4_Quote</v>
      </c>
      <c r="G9" s="153" t="str">
        <f t="shared" si="2"/>
        <v>EURFUT3MZ4ConvAdj_Quote</v>
      </c>
      <c r="H9" s="153" t="str">
        <f t="shared" si="3"/>
        <v>EUR_YC3MRH_FUT3MZ4</v>
      </c>
      <c r="I9" s="152" t="str">
        <f>_xll.qlFuturesRateHelper(H9,$F9,$D9,$E9,$G9,Permanent,Trigger,ObjectOverwrite)</f>
        <v>EUR_YC3MRH_FUT3MZ4#0001</v>
      </c>
      <c r="J9" s="90" t="str">
        <f>_xll.ohRangeRetrieveError(I9)</f>
        <v/>
      </c>
      <c r="K9" s="89"/>
      <c r="L9" s="157"/>
    </row>
    <row r="10" spans="1:13" x14ac:dyDescent="0.2">
      <c r="A10" s="156"/>
      <c r="B10" s="95">
        <v>8</v>
      </c>
      <c r="C10" s="155" t="b">
        <v>0</v>
      </c>
      <c r="D10" s="203" t="str">
        <v>F5</v>
      </c>
      <c r="E10" s="154" t="str">
        <f t="shared" si="0"/>
        <v>Euribor3M</v>
      </c>
      <c r="F10" s="153" t="str">
        <f t="shared" si="1"/>
        <v>EURFUT3MF5_Quote</v>
      </c>
      <c r="G10" s="153" t="str">
        <f t="shared" si="2"/>
        <v>EURFUT3MF5ConvAdj_Quote</v>
      </c>
      <c r="H10" s="153" t="str">
        <f t="shared" si="3"/>
        <v>EUR_YC3MRH_FUT3MF5</v>
      </c>
      <c r="I10" s="152" t="str">
        <f>_xll.qlFuturesRateHelper(H10,$F10,$D10,$E10,$G10,Permanent,Trigger,ObjectOverwrite)</f>
        <v>EUR_YC3MRH_FUT3MF5#0001</v>
      </c>
      <c r="J10" s="90" t="str">
        <f>_xll.ohRangeRetrieveError(I10)</f>
        <v/>
      </c>
      <c r="K10" s="89"/>
      <c r="L10" s="157"/>
    </row>
    <row r="11" spans="1:13" x14ac:dyDescent="0.2">
      <c r="A11" s="156"/>
      <c r="B11" s="95">
        <v>9</v>
      </c>
      <c r="C11" s="155" t="b">
        <v>0</v>
      </c>
      <c r="D11" s="203" t="str">
        <v>G5</v>
      </c>
      <c r="E11" s="154" t="str">
        <f t="shared" si="0"/>
        <v>Euribor3M</v>
      </c>
      <c r="F11" s="153" t="str">
        <f t="shared" si="1"/>
        <v>EURFUT3MG5_Quote</v>
      </c>
      <c r="G11" s="153" t="str">
        <f t="shared" si="2"/>
        <v>EURFUT3MG5ConvAdj_Quote</v>
      </c>
      <c r="H11" s="153" t="str">
        <f t="shared" si="3"/>
        <v>EUR_YC3MRH_FUT3MG5</v>
      </c>
      <c r="I11" s="152" t="str">
        <f>_xll.qlFuturesRateHelper(H11,$F11,$D11,$E11,$G11,Permanent,Trigger,ObjectOverwrite)</f>
        <v>EUR_YC3MRH_FUT3MG5#0001</v>
      </c>
      <c r="J11" s="90" t="str">
        <f>_xll.ohRangeRetrieveError(I11)</f>
        <v/>
      </c>
      <c r="K11" s="89"/>
      <c r="L11" s="157"/>
    </row>
    <row r="12" spans="1:13" x14ac:dyDescent="0.2">
      <c r="A12" s="156"/>
      <c r="B12" s="95">
        <v>10</v>
      </c>
      <c r="C12" s="155" t="b">
        <v>0</v>
      </c>
      <c r="D12" s="203" t="str">
        <v>H5</v>
      </c>
      <c r="E12" s="154" t="str">
        <f t="shared" si="0"/>
        <v>Euribor3M</v>
      </c>
      <c r="F12" s="153" t="str">
        <f t="shared" si="1"/>
        <v>EURFUT3MH5_Quote</v>
      </c>
      <c r="G12" s="153" t="str">
        <f t="shared" si="2"/>
        <v>EURFUT3MH5ConvAdj_Quote</v>
      </c>
      <c r="H12" s="153" t="str">
        <f t="shared" si="3"/>
        <v>EUR_YC3MRH_FUT3MH5</v>
      </c>
      <c r="I12" s="152" t="str">
        <f>_xll.qlFuturesRateHelper(H12,$F12,$D12,$E12,$G12,Permanent,Trigger,ObjectOverwrite)</f>
        <v>EUR_YC3MRH_FUT3MH5#0001</v>
      </c>
      <c r="J12" s="90" t="str">
        <f>_xll.ohRangeRetrieveError(I12)</f>
        <v/>
      </c>
      <c r="K12" s="89"/>
      <c r="L12" s="157"/>
    </row>
    <row r="13" spans="1:13" x14ac:dyDescent="0.2">
      <c r="A13" s="156"/>
      <c r="B13" s="95">
        <v>11</v>
      </c>
      <c r="C13" s="155" t="b">
        <v>0</v>
      </c>
      <c r="D13" s="203" t="str">
        <v>J5</v>
      </c>
      <c r="E13" s="154" t="str">
        <f t="shared" si="0"/>
        <v>Euribor3M</v>
      </c>
      <c r="F13" s="153" t="str">
        <f t="shared" si="1"/>
        <v>EURFUT3MJ5_Quote</v>
      </c>
      <c r="G13" s="153" t="str">
        <f t="shared" si="2"/>
        <v>EURFUT3MJ5ConvAdj_Quote</v>
      </c>
      <c r="H13" s="153" t="str">
        <f t="shared" si="3"/>
        <v>EUR_YC3MRH_FUT3MJ5</v>
      </c>
      <c r="I13" s="152" t="str">
        <f>_xll.qlFuturesRateHelper(H13,$F13,$D13,$E13,$G13,Permanent,Trigger,ObjectOverwrite)</f>
        <v>EUR_YC3MRH_FUT3MJ5#0001</v>
      </c>
      <c r="J13" s="90" t="str">
        <f>_xll.ohRangeRetrieveError(I13)</f>
        <v/>
      </c>
      <c r="K13" s="89"/>
      <c r="L13" s="157"/>
    </row>
    <row r="14" spans="1:13" x14ac:dyDescent="0.2">
      <c r="A14" s="156"/>
      <c r="B14" s="95">
        <v>12</v>
      </c>
      <c r="C14" s="155" t="b">
        <v>0</v>
      </c>
      <c r="D14" s="203" t="str">
        <v>K5</v>
      </c>
      <c r="E14" s="154" t="str">
        <f t="shared" si="0"/>
        <v>Euribor3M</v>
      </c>
      <c r="F14" s="153" t="str">
        <f t="shared" si="1"/>
        <v>EURFUT3MK5_Quote</v>
      </c>
      <c r="G14" s="153" t="str">
        <f t="shared" si="2"/>
        <v>EURFUT3MK5ConvAdj_Quote</v>
      </c>
      <c r="H14" s="153" t="str">
        <f t="shared" si="3"/>
        <v>EUR_YC3MRH_FUT3MK5</v>
      </c>
      <c r="I14" s="152" t="str">
        <f>_xll.qlFuturesRateHelper(H14,$F14,$D14,$E14,$G14,Permanent,Trigger,ObjectOverwrite)</f>
        <v>EUR_YC3MRH_FUT3MK5#0001</v>
      </c>
      <c r="J14" s="90" t="str">
        <f>_xll.ohRangeRetrieveError(I14)</f>
        <v/>
      </c>
      <c r="K14" s="89"/>
      <c r="L14" s="157"/>
    </row>
    <row r="15" spans="1:13" x14ac:dyDescent="0.2">
      <c r="A15" s="156"/>
      <c r="B15" s="95">
        <v>13</v>
      </c>
      <c r="C15" s="155" t="b">
        <v>1</v>
      </c>
      <c r="D15" s="203" t="str">
        <v>M5</v>
      </c>
      <c r="E15" s="154" t="str">
        <f t="shared" si="0"/>
        <v>Euribor3M</v>
      </c>
      <c r="F15" s="153" t="str">
        <f t="shared" si="1"/>
        <v>EURFUT3MM5_Quote</v>
      </c>
      <c r="G15" s="153" t="str">
        <f t="shared" si="2"/>
        <v>EURFUT3MM5ConvAdj_Quote</v>
      </c>
      <c r="H15" s="153" t="str">
        <f t="shared" si="3"/>
        <v>EUR_YC3MRH_FUT3MM5</v>
      </c>
      <c r="I15" s="152" t="str">
        <f>_xll.qlFuturesRateHelper(H15,$F15,$D15,$E15,$G15,Permanent,Trigger,ObjectOverwrite)</f>
        <v>EUR_YC3MRH_FUT3MM5#0001</v>
      </c>
      <c r="J15" s="90" t="str">
        <f>_xll.ohRangeRetrieveError(I15)</f>
        <v/>
      </c>
      <c r="K15" s="89"/>
      <c r="L15" s="157"/>
    </row>
    <row r="16" spans="1:13" x14ac:dyDescent="0.2">
      <c r="A16" s="156"/>
      <c r="B16" s="95">
        <v>14</v>
      </c>
      <c r="C16" s="155" t="b">
        <v>1</v>
      </c>
      <c r="D16" s="203" t="str">
        <v>U5</v>
      </c>
      <c r="E16" s="154" t="str">
        <f t="shared" si="0"/>
        <v>Euribor3M</v>
      </c>
      <c r="F16" s="153" t="str">
        <f t="shared" si="1"/>
        <v>EURFUT3MU5_Quote</v>
      </c>
      <c r="G16" s="153" t="str">
        <f t="shared" si="2"/>
        <v>EURFUT3MU5ConvAdj_Quote</v>
      </c>
      <c r="H16" s="153" t="str">
        <f t="shared" si="3"/>
        <v>EUR_YC3MRH_FUT3MU5</v>
      </c>
      <c r="I16" s="152" t="str">
        <f>_xll.qlFuturesRateHelper(H16,$F16,$D16,$E16,$G16,Permanent,Trigger,ObjectOverwrite)</f>
        <v>EUR_YC3MRH_FUT3MU5#0001</v>
      </c>
      <c r="J16" s="90" t="str">
        <f>_xll.ohRangeRetrieveError(I16)</f>
        <v/>
      </c>
      <c r="K16" s="89"/>
      <c r="L16" s="157"/>
    </row>
    <row r="17" spans="1:12" x14ac:dyDescent="0.2">
      <c r="A17" s="156"/>
      <c r="B17" s="95">
        <v>15</v>
      </c>
      <c r="C17" s="155" t="b">
        <v>1</v>
      </c>
      <c r="D17" s="203" t="str">
        <v>Z5</v>
      </c>
      <c r="E17" s="154" t="str">
        <f t="shared" si="0"/>
        <v>Euribor3M</v>
      </c>
      <c r="F17" s="153" t="str">
        <f t="shared" si="1"/>
        <v>EURFUT3MZ5_Quote</v>
      </c>
      <c r="G17" s="153" t="str">
        <f t="shared" si="2"/>
        <v>EURFUT3MZ5ConvAdj_Quote</v>
      </c>
      <c r="H17" s="153" t="str">
        <f t="shared" si="3"/>
        <v>EUR_YC3MRH_FUT3MZ5</v>
      </c>
      <c r="I17" s="152" t="str">
        <f>_xll.qlFuturesRateHelper(H17,$F17,$D17,$E17,$G17,Permanent,Trigger,ObjectOverwrite)</f>
        <v>EUR_YC3MRH_FUT3MZ5#0001</v>
      </c>
      <c r="J17" s="90" t="str">
        <f>_xll.ohRangeRetrieveError(I17)</f>
        <v/>
      </c>
      <c r="K17" s="89"/>
      <c r="L17" s="157"/>
    </row>
    <row r="18" spans="1:12" x14ac:dyDescent="0.2">
      <c r="A18" s="156"/>
      <c r="B18" s="95">
        <v>16</v>
      </c>
      <c r="C18" s="155" t="b">
        <v>1</v>
      </c>
      <c r="D18" s="203" t="str">
        <v>H6</v>
      </c>
      <c r="E18" s="154" t="str">
        <f t="shared" si="0"/>
        <v>Euribor3M</v>
      </c>
      <c r="F18" s="153" t="str">
        <f t="shared" si="1"/>
        <v>EURFUT3MH6_Quote</v>
      </c>
      <c r="G18" s="153" t="str">
        <f t="shared" si="2"/>
        <v>EURFUT3MH6ConvAdj_Quote</v>
      </c>
      <c r="H18" s="153" t="str">
        <f t="shared" si="3"/>
        <v>EUR_YC3MRH_FUT3MH6</v>
      </c>
      <c r="I18" s="152" t="str">
        <f>_xll.qlFuturesRateHelper(H18,$F18,$D18,$E18,$G18,Permanent,Trigger,ObjectOverwrite)</f>
        <v>EUR_YC3MRH_FUT3MH6#0001</v>
      </c>
      <c r="J18" s="90" t="str">
        <f>_xll.ohRangeRetrieveError(I18)</f>
        <v/>
      </c>
      <c r="K18" s="89"/>
      <c r="L18" s="157"/>
    </row>
    <row r="19" spans="1:12" x14ac:dyDescent="0.2">
      <c r="A19" s="156"/>
      <c r="B19" s="95">
        <v>17</v>
      </c>
      <c r="C19" s="155" t="b">
        <v>1</v>
      </c>
      <c r="D19" s="203" t="str">
        <v>M6</v>
      </c>
      <c r="E19" s="154" t="str">
        <f t="shared" si="0"/>
        <v>Euribor3M</v>
      </c>
      <c r="F19" s="153" t="str">
        <f t="shared" si="1"/>
        <v>EURFUT3MM6_Quote</v>
      </c>
      <c r="G19" s="153" t="str">
        <f t="shared" si="2"/>
        <v>EURFUT3MM6ConvAdj_Quote</v>
      </c>
      <c r="H19" s="153" t="str">
        <f t="shared" si="3"/>
        <v>EUR_YC3MRH_FUT3MM6</v>
      </c>
      <c r="I19" s="152" t="str">
        <f>_xll.qlFuturesRateHelper(H19,$F19,$D19,$E19,$G19,Permanent,Trigger,ObjectOverwrite)</f>
        <v>EUR_YC3MRH_FUT3MM6#0001</v>
      </c>
      <c r="J19" s="90" t="str">
        <f>_xll.ohRangeRetrieveError(I19)</f>
        <v/>
      </c>
      <c r="K19" s="89"/>
      <c r="L19" s="157"/>
    </row>
    <row r="20" spans="1:12" x14ac:dyDescent="0.2">
      <c r="A20" s="156"/>
      <c r="B20" s="95">
        <v>18</v>
      </c>
      <c r="C20" s="155" t="b">
        <v>1</v>
      </c>
      <c r="D20" s="203" t="str">
        <v>U6</v>
      </c>
      <c r="E20" s="154" t="str">
        <f t="shared" si="0"/>
        <v>Euribor3M</v>
      </c>
      <c r="F20" s="153" t="str">
        <f t="shared" si="1"/>
        <v>EURFUT3MU6_Quote</v>
      </c>
      <c r="G20" s="153" t="str">
        <f t="shared" si="2"/>
        <v>EURFUT3MU6ConvAdj_Quote</v>
      </c>
      <c r="H20" s="153" t="str">
        <f t="shared" si="3"/>
        <v>EUR_YC3MRH_FUT3MU6</v>
      </c>
      <c r="I20" s="152" t="str">
        <f>_xll.qlFuturesRateHelper(H20,$F20,$D20,$E20,$G20,Permanent,Trigger,ObjectOverwrite)</f>
        <v>EUR_YC3MRH_FUT3MU6#0001</v>
      </c>
      <c r="J20" s="90" t="str">
        <f>_xll.ohRangeRetrieveError(I20)</f>
        <v/>
      </c>
      <c r="K20" s="89"/>
      <c r="L20" s="157"/>
    </row>
    <row r="21" spans="1:12" x14ac:dyDescent="0.2">
      <c r="A21" s="156"/>
      <c r="B21" s="95">
        <v>19</v>
      </c>
      <c r="C21" s="155" t="b">
        <v>1</v>
      </c>
      <c r="D21" s="203" t="str">
        <v>Z6</v>
      </c>
      <c r="E21" s="154" t="str">
        <f t="shared" si="0"/>
        <v>Euribor3M</v>
      </c>
      <c r="F21" s="153" t="str">
        <f t="shared" si="1"/>
        <v>EURFUT3MZ6_Quote</v>
      </c>
      <c r="G21" s="153" t="str">
        <f t="shared" si="2"/>
        <v>EURFUT3MZ6ConvAdj_Quote</v>
      </c>
      <c r="H21" s="153" t="str">
        <f t="shared" si="3"/>
        <v>EUR_YC3MRH_FUT3MZ6</v>
      </c>
      <c r="I21" s="152" t="str">
        <f>_xll.qlFuturesRateHelper(H21,$F21,$D21,$E21,$G21,Permanent,Trigger,ObjectOverwrite)</f>
        <v>EUR_YC3MRH_FUT3MZ6#0001</v>
      </c>
      <c r="J21" s="90" t="str">
        <f>_xll.ohRangeRetrieveError(I21)</f>
        <v/>
      </c>
      <c r="K21" s="89"/>
      <c r="L21" s="157"/>
    </row>
    <row r="22" spans="1:12" x14ac:dyDescent="0.2">
      <c r="A22" s="156"/>
      <c r="B22" s="95">
        <v>20</v>
      </c>
      <c r="C22" s="155" t="b">
        <v>1</v>
      </c>
      <c r="D22" s="203" t="str">
        <v>H7</v>
      </c>
      <c r="E22" s="154" t="str">
        <f t="shared" si="0"/>
        <v>Euribor3M</v>
      </c>
      <c r="F22" s="153" t="str">
        <f t="shared" si="1"/>
        <v>EURFUT3MH7_Quote</v>
      </c>
      <c r="G22" s="153" t="str">
        <f t="shared" si="2"/>
        <v>EURFUT3MH7ConvAdj_Quote</v>
      </c>
      <c r="H22" s="153" t="str">
        <f t="shared" si="3"/>
        <v>EUR_YC3MRH_FUT3MH7</v>
      </c>
      <c r="I22" s="152" t="str">
        <f>_xll.qlFuturesRateHelper(H22,$F22,$D22,$E22,$G22,Permanent,Trigger,ObjectOverwrite)</f>
        <v>EUR_YC3MRH_FUT3MH7#0001</v>
      </c>
      <c r="J22" s="90" t="str">
        <f>_xll.ohRangeRetrieveError(I22)</f>
        <v/>
      </c>
      <c r="K22" s="89"/>
      <c r="L22" s="157"/>
    </row>
    <row r="23" spans="1:12" x14ac:dyDescent="0.2">
      <c r="A23" s="156"/>
      <c r="B23" s="95">
        <v>21</v>
      </c>
      <c r="C23" s="155" t="b">
        <v>1</v>
      </c>
      <c r="D23" s="203" t="str">
        <v>M7</v>
      </c>
      <c r="E23" s="154" t="str">
        <f t="shared" si="0"/>
        <v>Euribor3M</v>
      </c>
      <c r="F23" s="153" t="str">
        <f t="shared" si="1"/>
        <v>EURFUT3MM7_Quote</v>
      </c>
      <c r="G23" s="153" t="str">
        <f t="shared" si="2"/>
        <v>EURFUT3MM7ConvAdj_Quote</v>
      </c>
      <c r="H23" s="153" t="str">
        <f t="shared" si="3"/>
        <v>EUR_YC3MRH_FUT3MM7</v>
      </c>
      <c r="I23" s="152" t="str">
        <f>_xll.qlFuturesRateHelper(H23,$F23,$D23,$E23,$G23,Permanent,Trigger,ObjectOverwrite)</f>
        <v>EUR_YC3MRH_FUT3MM7#0001</v>
      </c>
      <c r="J23" s="90" t="str">
        <f>_xll.ohRangeRetrieveError(I23)</f>
        <v/>
      </c>
      <c r="K23" s="89"/>
      <c r="L23" s="157"/>
    </row>
    <row r="24" spans="1:12" x14ac:dyDescent="0.2">
      <c r="A24" s="156"/>
      <c r="B24" s="95">
        <v>22</v>
      </c>
      <c r="C24" s="155" t="b">
        <v>1</v>
      </c>
      <c r="D24" s="203" t="str">
        <v>U7</v>
      </c>
      <c r="E24" s="154" t="str">
        <f t="shared" si="0"/>
        <v>Euribor3M</v>
      </c>
      <c r="F24" s="153" t="str">
        <f t="shared" si="1"/>
        <v>EURFUT3MU7_Quote</v>
      </c>
      <c r="G24" s="153" t="str">
        <f t="shared" si="2"/>
        <v>EURFUT3MU7ConvAdj_Quote</v>
      </c>
      <c r="H24" s="153" t="str">
        <f t="shared" si="3"/>
        <v>EUR_YC3MRH_FUT3MU7</v>
      </c>
      <c r="I24" s="152" t="str">
        <f>_xll.qlFuturesRateHelper(H24,$F24,$D24,$E24,$G24,Permanent,Trigger,ObjectOverwrite)</f>
        <v>EUR_YC3MRH_FUT3MU7#0001</v>
      </c>
      <c r="J24" s="90" t="str">
        <f>_xll.ohRangeRetrieveError(I24)</f>
        <v/>
      </c>
      <c r="K24" s="89"/>
      <c r="L24" s="157"/>
    </row>
    <row r="25" spans="1:12" x14ac:dyDescent="0.2">
      <c r="A25" s="156"/>
      <c r="B25" s="95">
        <v>23</v>
      </c>
      <c r="C25" s="155" t="b">
        <v>1</v>
      </c>
      <c r="D25" s="203" t="str">
        <v>Z7</v>
      </c>
      <c r="E25" s="154" t="str">
        <f t="shared" si="0"/>
        <v>Euribor3M</v>
      </c>
      <c r="F25" s="153" t="str">
        <f t="shared" si="1"/>
        <v>EURFUT3MZ7_Quote</v>
      </c>
      <c r="G25" s="153" t="str">
        <f t="shared" si="2"/>
        <v>EURFUT3MZ7ConvAdj_Quote</v>
      </c>
      <c r="H25" s="153" t="str">
        <f t="shared" si="3"/>
        <v>EUR_YC3MRH_FUT3MZ7</v>
      </c>
      <c r="I25" s="152" t="str">
        <f>_xll.qlFuturesRateHelper(H25,$F25,$D25,$E25,$G25,Permanent,Trigger,ObjectOverwrite)</f>
        <v>EUR_YC3MRH_FUT3MZ7#0001</v>
      </c>
      <c r="J25" s="90" t="str">
        <f>_xll.ohRangeRetrieveError(I25)</f>
        <v/>
      </c>
      <c r="K25" s="89"/>
      <c r="L25" s="157"/>
    </row>
    <row r="26" spans="1:12" x14ac:dyDescent="0.2">
      <c r="A26" s="156"/>
      <c r="B26" s="95">
        <v>24</v>
      </c>
      <c r="C26" s="155" t="b">
        <v>1</v>
      </c>
      <c r="D26" s="203" t="str">
        <v>H8</v>
      </c>
      <c r="E26" s="154" t="str">
        <f t="shared" si="0"/>
        <v>Euribor3M</v>
      </c>
      <c r="F26" s="153" t="str">
        <f t="shared" si="1"/>
        <v>EURFUT3MH8_Quote</v>
      </c>
      <c r="G26" s="153" t="str">
        <f t="shared" si="2"/>
        <v>EURFUT3MH8ConvAdj_Quote</v>
      </c>
      <c r="H26" s="153" t="str">
        <f t="shared" si="3"/>
        <v>EUR_YC3MRH_FUT3MH8</v>
      </c>
      <c r="I26" s="152" t="str">
        <f>_xll.qlFuturesRateHelper(H26,$F26,$D26,$E26,$G26,Permanent,Trigger,ObjectOverwrite)</f>
        <v>EUR_YC3MRH_FUT3MH8#0001</v>
      </c>
      <c r="J26" s="90" t="str">
        <f>_xll.ohRangeRetrieveError(I26)</f>
        <v/>
      </c>
      <c r="K26" s="89"/>
      <c r="L26" s="157"/>
    </row>
    <row r="27" spans="1:12" x14ac:dyDescent="0.2">
      <c r="A27" s="156"/>
      <c r="B27" s="95">
        <v>25</v>
      </c>
      <c r="C27" s="155" t="b">
        <v>1</v>
      </c>
      <c r="D27" s="203" t="str">
        <v>M8</v>
      </c>
      <c r="E27" s="154" t="str">
        <f t="shared" si="0"/>
        <v>Euribor3M</v>
      </c>
      <c r="F27" s="153" t="str">
        <f t="shared" si="1"/>
        <v>EURFUT3MM8_Quote</v>
      </c>
      <c r="G27" s="153" t="str">
        <f t="shared" si="2"/>
        <v>EURFUT3MM8ConvAdj_Quote</v>
      </c>
      <c r="H27" s="153" t="str">
        <f t="shared" si="3"/>
        <v>EUR_YC3MRH_FUT3MM8</v>
      </c>
      <c r="I27" s="152" t="str">
        <f>_xll.qlFuturesRateHelper(H27,$F27,$D27,$E27,$G27,Permanent,Trigger,ObjectOverwrite)</f>
        <v>EUR_YC3MRH_FUT3MM8#0001</v>
      </c>
      <c r="J27" s="90" t="str">
        <f>_xll.ohRangeRetrieveError(I27)</f>
        <v/>
      </c>
      <c r="K27" s="89"/>
      <c r="L27" s="157"/>
    </row>
    <row r="28" spans="1:12" x14ac:dyDescent="0.2">
      <c r="A28" s="156"/>
      <c r="B28" s="95">
        <v>26</v>
      </c>
      <c r="C28" s="155" t="b">
        <v>1</v>
      </c>
      <c r="D28" s="203" t="str">
        <v>U8</v>
      </c>
      <c r="E28" s="154" t="str">
        <f t="shared" si="0"/>
        <v>Euribor3M</v>
      </c>
      <c r="F28" s="153" t="str">
        <f t="shared" si="1"/>
        <v>EURFUT3MU8_Quote</v>
      </c>
      <c r="G28" s="153" t="str">
        <f t="shared" si="2"/>
        <v>EURFUT3MU8ConvAdj_Quote</v>
      </c>
      <c r="H28" s="153" t="str">
        <f t="shared" si="3"/>
        <v>EUR_YC3MRH_FUT3MU8</v>
      </c>
      <c r="I28" s="152" t="str">
        <f>_xll.qlFuturesRateHelper(H28,$F28,$D28,$E28,$G28,Permanent,Trigger,ObjectOverwrite)</f>
        <v>EUR_YC3MRH_FUT3MU8#0001</v>
      </c>
      <c r="J28" s="90" t="str">
        <f>_xll.ohRangeRetrieveError(I28)</f>
        <v/>
      </c>
      <c r="K28" s="89"/>
      <c r="L28" s="157"/>
    </row>
    <row r="29" spans="1:12" x14ac:dyDescent="0.2">
      <c r="A29" s="156"/>
      <c r="B29" s="95">
        <v>27</v>
      </c>
      <c r="C29" s="155" t="b">
        <v>1</v>
      </c>
      <c r="D29" s="203" t="str">
        <v>Z8</v>
      </c>
      <c r="E29" s="154" t="str">
        <f t="shared" si="0"/>
        <v>Euribor3M</v>
      </c>
      <c r="F29" s="153" t="str">
        <f t="shared" si="1"/>
        <v>EURFUT3MZ8_Quote</v>
      </c>
      <c r="G29" s="153" t="str">
        <f t="shared" si="2"/>
        <v>EURFUT3MZ8ConvAdj_Quote</v>
      </c>
      <c r="H29" s="153" t="str">
        <f t="shared" si="3"/>
        <v>EUR_YC3MRH_FUT3MZ8</v>
      </c>
      <c r="I29" s="152" t="str">
        <f>_xll.qlFuturesRateHelper(H29,$F29,$D29,$E29,$G29,Permanent,Trigger,ObjectOverwrite)</f>
        <v>EUR_YC3MRH_FUT3MZ8#0001</v>
      </c>
      <c r="J29" s="90" t="str">
        <f>_xll.ohRangeRetrieveError(I29)</f>
        <v/>
      </c>
      <c r="K29" s="89"/>
      <c r="L29" s="157"/>
    </row>
    <row r="30" spans="1:12" x14ac:dyDescent="0.2">
      <c r="A30" s="156"/>
      <c r="B30" s="95">
        <v>28</v>
      </c>
      <c r="C30" s="155" t="b">
        <v>1</v>
      </c>
      <c r="D30" s="203" t="str">
        <v>H9</v>
      </c>
      <c r="E30" s="154" t="str">
        <f t="shared" si="0"/>
        <v>Euribor3M</v>
      </c>
      <c r="F30" s="153" t="str">
        <f t="shared" si="1"/>
        <v>EURFUT3MH9_Quote</v>
      </c>
      <c r="G30" s="153" t="str">
        <f t="shared" si="2"/>
        <v>EURFUT3MH9ConvAdj_Quote</v>
      </c>
      <c r="H30" s="153" t="str">
        <f t="shared" si="3"/>
        <v>EUR_YC3MRH_FUT3MH9</v>
      </c>
      <c r="I30" s="152" t="str">
        <f>_xll.qlFuturesRateHelper(H30,$F30,$D30,$E30,$G30,Permanent,Trigger,ObjectOverwrite)</f>
        <v>EUR_YC3MRH_FUT3MH9#0001</v>
      </c>
      <c r="J30" s="90" t="str">
        <f>_xll.ohRangeRetrieveError(I30)</f>
        <v/>
      </c>
      <c r="K30" s="89"/>
      <c r="L30" s="157"/>
    </row>
    <row r="31" spans="1:12" x14ac:dyDescent="0.2">
      <c r="A31" s="156"/>
      <c r="B31" s="95">
        <v>29</v>
      </c>
      <c r="C31" s="155" t="b">
        <v>1</v>
      </c>
      <c r="D31" s="203" t="str">
        <v>M9</v>
      </c>
      <c r="E31" s="154" t="str">
        <f t="shared" si="0"/>
        <v>Euribor3M</v>
      </c>
      <c r="F31" s="153" t="str">
        <f t="shared" si="1"/>
        <v>EURFUT3MM9_Quote</v>
      </c>
      <c r="G31" s="153" t="str">
        <f t="shared" si="2"/>
        <v>EURFUT3MM9ConvAdj_Quote</v>
      </c>
      <c r="H31" s="153" t="str">
        <f t="shared" si="3"/>
        <v>EUR_YC3MRH_FUT3MM9</v>
      </c>
      <c r="I31" s="152" t="str">
        <f>_xll.qlFuturesRateHelper(H31,$F31,$D31,$E31,$G31,Permanent,Trigger,ObjectOverwrite)</f>
        <v>EUR_YC3MRH_FUT3MM9#0001</v>
      </c>
      <c r="J31" s="90" t="str">
        <f>_xll.ohRangeRetrieveError(I31)</f>
        <v/>
      </c>
      <c r="K31" s="89"/>
      <c r="L31" s="157"/>
    </row>
    <row r="32" spans="1:12" x14ac:dyDescent="0.2">
      <c r="A32" s="156"/>
      <c r="B32" s="95">
        <v>30</v>
      </c>
      <c r="C32" s="155" t="b">
        <v>1</v>
      </c>
      <c r="D32" s="203" t="str">
        <v>U9</v>
      </c>
      <c r="E32" s="154" t="str">
        <f t="shared" si="0"/>
        <v>Euribor3M</v>
      </c>
      <c r="F32" s="153" t="str">
        <f t="shared" si="1"/>
        <v>EURFUT3MU9_Quote</v>
      </c>
      <c r="G32" s="153" t="str">
        <f t="shared" si="2"/>
        <v>EURFUT3MU9ConvAdj_Quote</v>
      </c>
      <c r="H32" s="153" t="str">
        <f t="shared" si="3"/>
        <v>EUR_YC3MRH_FUT3MU9</v>
      </c>
      <c r="I32" s="152" t="str">
        <f>_xll.qlFuturesRateHelper(H32,$F32,$D32,$E32,$G32,Permanent,Trigger,ObjectOverwrite)</f>
        <v>EUR_YC3MRH_FUT3MU9#0001</v>
      </c>
      <c r="J32" s="90" t="str">
        <f>_xll.ohRangeRetrieveError(I32)</f>
        <v/>
      </c>
      <c r="K32" s="89"/>
      <c r="L32" s="157"/>
    </row>
    <row r="33" spans="1:12" x14ac:dyDescent="0.2">
      <c r="A33" s="156"/>
      <c r="B33" s="95">
        <v>31</v>
      </c>
      <c r="C33" s="155" t="b">
        <v>1</v>
      </c>
      <c r="D33" s="203" t="str">
        <v>Z9</v>
      </c>
      <c r="E33" s="154" t="str">
        <f t="shared" si="0"/>
        <v>Euribor3M</v>
      </c>
      <c r="F33" s="153" t="str">
        <f t="shared" si="1"/>
        <v>EURFUT3MZ9_Quote</v>
      </c>
      <c r="G33" s="153" t="str">
        <f t="shared" si="2"/>
        <v>EURFUT3MZ9ConvAdj_Quote</v>
      </c>
      <c r="H33" s="153" t="str">
        <f t="shared" si="3"/>
        <v>EUR_YC3MRH_FUT3MZ9</v>
      </c>
      <c r="I33" s="152" t="str">
        <f>_xll.qlFuturesRateHelper(H33,$F33,$D33,$E33,$G33,Permanent,Trigger,ObjectOverwrite)</f>
        <v>EUR_YC3MRH_FUT3MZ9#0001</v>
      </c>
      <c r="J33" s="90" t="str">
        <f>_xll.ohRangeRetrieveError(I33)</f>
        <v/>
      </c>
      <c r="K33" s="89"/>
      <c r="L33" s="157"/>
    </row>
    <row r="34" spans="1:12" x14ac:dyDescent="0.2">
      <c r="A34" s="156"/>
      <c r="B34" s="95">
        <v>32</v>
      </c>
      <c r="C34" s="155" t="b">
        <v>1</v>
      </c>
      <c r="D34" s="203" t="str">
        <v>H0</v>
      </c>
      <c r="E34" s="154" t="str">
        <f t="shared" si="0"/>
        <v>Euribor3M</v>
      </c>
      <c r="F34" s="153" t="str">
        <f t="shared" si="1"/>
        <v>EURFUT3MH0_Quote</v>
      </c>
      <c r="G34" s="153" t="str">
        <f t="shared" si="2"/>
        <v>EURFUT3MH0ConvAdj_Quote</v>
      </c>
      <c r="H34" s="153" t="str">
        <f t="shared" si="3"/>
        <v>EUR_YC3MRH_FUT3MH0</v>
      </c>
      <c r="I34" s="152" t="str">
        <f>_xll.qlFuturesRateHelper(H34,$F34,$D34,$E34,$G34,Permanent,Trigger,ObjectOverwrite)</f>
        <v>EUR_YC3MRH_FUT3MH0#0001</v>
      </c>
      <c r="J34" s="90" t="str">
        <f>_xll.ohRangeRetrieveError(I34)</f>
        <v/>
      </c>
      <c r="K34" s="89"/>
      <c r="L34" s="157"/>
    </row>
    <row r="35" spans="1:12" x14ac:dyDescent="0.2">
      <c r="A35" s="156"/>
      <c r="B35" s="95">
        <v>33</v>
      </c>
      <c r="C35" s="155" t="b">
        <v>1</v>
      </c>
      <c r="D35" s="203" t="str">
        <v>M0</v>
      </c>
      <c r="E35" s="154" t="str">
        <f t="shared" ref="E35:E44" si="4">PROPER(Currency)&amp;FamilyName&amp;$E$1</f>
        <v>Euribor3M</v>
      </c>
      <c r="F35" s="153" t="str">
        <f t="shared" ref="F35:F44" si="5">Currency&amp;"FUT"&amp;$E$1&amp;$D35&amp;QuoteSuffix</f>
        <v>EURFUT3MM0_Quote</v>
      </c>
      <c r="G35" s="153" t="str">
        <f t="shared" ref="G35:G44" si="6">Currency&amp;"FUT"&amp;$E$1&amp;$D35&amp;"ConvAdj"&amp;QuoteSuffix</f>
        <v>EURFUT3MM0ConvAdj_Quote</v>
      </c>
      <c r="H35" s="153" t="str">
        <f t="shared" ref="H35:H44" si="7">$H$1&amp;"_FUT"&amp;$E$1&amp;$D35</f>
        <v>EUR_YC3MRH_FUT3MM0</v>
      </c>
      <c r="I35" s="152" t="str">
        <f>_xll.qlFuturesRateHelper(H35,$F35,$D35,$E35,$G35,Permanent,Trigger,ObjectOverwrite)</f>
        <v>EUR_YC3MRH_FUT3MM0#0001</v>
      </c>
      <c r="J35" s="90" t="str">
        <f>_xll.ohRangeRetrieveError(I35)</f>
        <v/>
      </c>
      <c r="K35" s="89"/>
      <c r="L35" s="157"/>
    </row>
    <row r="36" spans="1:12" x14ac:dyDescent="0.2">
      <c r="A36" s="156"/>
      <c r="B36" s="95">
        <v>34</v>
      </c>
      <c r="C36" s="155" t="b">
        <v>1</v>
      </c>
      <c r="D36" s="203" t="str">
        <v>U0</v>
      </c>
      <c r="E36" s="154" t="str">
        <f t="shared" si="4"/>
        <v>Euribor3M</v>
      </c>
      <c r="F36" s="153" t="str">
        <f t="shared" si="5"/>
        <v>EURFUT3MU0_Quote</v>
      </c>
      <c r="G36" s="153" t="str">
        <f t="shared" si="6"/>
        <v>EURFUT3MU0ConvAdj_Quote</v>
      </c>
      <c r="H36" s="153" t="str">
        <f t="shared" si="7"/>
        <v>EUR_YC3MRH_FUT3MU0</v>
      </c>
      <c r="I36" s="152" t="str">
        <f>_xll.qlFuturesRateHelper(H36,$F36,$D36,$E36,$G36,Permanent,Trigger,ObjectOverwrite)</f>
        <v>EUR_YC3MRH_FUT3MU0#0001</v>
      </c>
      <c r="J36" s="90" t="str">
        <f>_xll.ohRangeRetrieveError(I36)</f>
        <v/>
      </c>
      <c r="K36" s="89"/>
      <c r="L36" s="157"/>
    </row>
    <row r="37" spans="1:12" x14ac:dyDescent="0.2">
      <c r="A37" s="156"/>
      <c r="B37" s="95">
        <v>35</v>
      </c>
      <c r="C37" s="155" t="b">
        <v>1</v>
      </c>
      <c r="D37" s="203" t="str">
        <v>Z0</v>
      </c>
      <c r="E37" s="154" t="str">
        <f t="shared" si="4"/>
        <v>Euribor3M</v>
      </c>
      <c r="F37" s="153" t="str">
        <f t="shared" si="5"/>
        <v>EURFUT3MZ0_Quote</v>
      </c>
      <c r="G37" s="153" t="str">
        <f t="shared" si="6"/>
        <v>EURFUT3MZ0ConvAdj_Quote</v>
      </c>
      <c r="H37" s="153" t="str">
        <f t="shared" si="7"/>
        <v>EUR_YC3MRH_FUT3MZ0</v>
      </c>
      <c r="I37" s="152" t="str">
        <f>_xll.qlFuturesRateHelper(H37,$F37,$D37,$E37,$G37,Permanent,Trigger,ObjectOverwrite)</f>
        <v>EUR_YC3MRH_FUT3MZ0#0001</v>
      </c>
      <c r="J37" s="90" t="str">
        <f>_xll.ohRangeRetrieveError(I37)</f>
        <v/>
      </c>
      <c r="K37" s="89"/>
      <c r="L37" s="157"/>
    </row>
    <row r="38" spans="1:12" x14ac:dyDescent="0.2">
      <c r="A38" s="156"/>
      <c r="B38" s="95">
        <v>36</v>
      </c>
      <c r="C38" s="155" t="b">
        <v>1</v>
      </c>
      <c r="D38" s="203" t="str">
        <v>H1</v>
      </c>
      <c r="E38" s="154" t="str">
        <f t="shared" si="4"/>
        <v>Euribor3M</v>
      </c>
      <c r="F38" s="153" t="str">
        <f t="shared" si="5"/>
        <v>EURFUT3MH1_Quote</v>
      </c>
      <c r="G38" s="153" t="str">
        <f t="shared" si="6"/>
        <v>EURFUT3MH1ConvAdj_Quote</v>
      </c>
      <c r="H38" s="153" t="str">
        <f t="shared" si="7"/>
        <v>EUR_YC3MRH_FUT3MH1</v>
      </c>
      <c r="I38" s="152" t="str">
        <f>_xll.qlFuturesRateHelper(H38,$F38,$D38,$E38,$G38,Permanent,Trigger,ObjectOverwrite)</f>
        <v>EUR_YC3MRH_FUT3MH1#0001</v>
      </c>
      <c r="J38" s="90" t="str">
        <f>_xll.ohRangeRetrieveError(I38)</f>
        <v/>
      </c>
      <c r="K38" s="89"/>
      <c r="L38" s="157"/>
    </row>
    <row r="39" spans="1:12" x14ac:dyDescent="0.2">
      <c r="A39" s="156"/>
      <c r="B39" s="95">
        <v>37</v>
      </c>
      <c r="C39" s="155" t="b">
        <v>1</v>
      </c>
      <c r="D39" s="203" t="str">
        <v>M1</v>
      </c>
      <c r="E39" s="154" t="str">
        <f t="shared" si="4"/>
        <v>Euribor3M</v>
      </c>
      <c r="F39" s="153" t="str">
        <f t="shared" si="5"/>
        <v>EURFUT3MM1_Quote</v>
      </c>
      <c r="G39" s="153" t="str">
        <f t="shared" si="6"/>
        <v>EURFUT3MM1ConvAdj_Quote</v>
      </c>
      <c r="H39" s="153" t="str">
        <f t="shared" si="7"/>
        <v>EUR_YC3MRH_FUT3MM1</v>
      </c>
      <c r="I39" s="152" t="str">
        <f>_xll.qlFuturesRateHelper(H39,$F39,$D39,$E39,$G39,Permanent,Trigger,ObjectOverwrite)</f>
        <v>EUR_YC3MRH_FUT3MM1#0001</v>
      </c>
      <c r="J39" s="90" t="str">
        <f>_xll.ohRangeRetrieveError(I39)</f>
        <v/>
      </c>
      <c r="K39" s="89"/>
      <c r="L39" s="157"/>
    </row>
    <row r="40" spans="1:12" x14ac:dyDescent="0.2">
      <c r="A40" s="156"/>
      <c r="B40" s="95">
        <v>38</v>
      </c>
      <c r="C40" s="155" t="b">
        <v>1</v>
      </c>
      <c r="D40" s="203" t="str">
        <v>U1</v>
      </c>
      <c r="E40" s="154" t="str">
        <f t="shared" si="4"/>
        <v>Euribor3M</v>
      </c>
      <c r="F40" s="153" t="str">
        <f t="shared" si="5"/>
        <v>EURFUT3MU1_Quote</v>
      </c>
      <c r="G40" s="153" t="str">
        <f t="shared" si="6"/>
        <v>EURFUT3MU1ConvAdj_Quote</v>
      </c>
      <c r="H40" s="153" t="str">
        <f t="shared" si="7"/>
        <v>EUR_YC3MRH_FUT3MU1</v>
      </c>
      <c r="I40" s="152" t="str">
        <f>_xll.qlFuturesRateHelper(H40,$F40,$D40,$E40,$G40,Permanent,Trigger,ObjectOverwrite)</f>
        <v>EUR_YC3MRH_FUT3MU1#0001</v>
      </c>
      <c r="J40" s="90" t="str">
        <f>_xll.ohRangeRetrieveError(I40)</f>
        <v/>
      </c>
      <c r="K40" s="89"/>
    </row>
    <row r="41" spans="1:12" x14ac:dyDescent="0.2">
      <c r="A41" s="156"/>
      <c r="B41" s="95">
        <v>39</v>
      </c>
      <c r="C41" s="155" t="b">
        <v>1</v>
      </c>
      <c r="D41" s="203" t="str">
        <v>Z1</v>
      </c>
      <c r="E41" s="154" t="str">
        <f t="shared" si="4"/>
        <v>Euribor3M</v>
      </c>
      <c r="F41" s="153" t="str">
        <f t="shared" si="5"/>
        <v>EURFUT3MZ1_Quote</v>
      </c>
      <c r="G41" s="153" t="str">
        <f t="shared" si="6"/>
        <v>EURFUT3MZ1ConvAdj_Quote</v>
      </c>
      <c r="H41" s="153" t="str">
        <f t="shared" si="7"/>
        <v>EUR_YC3MRH_FUT3MZ1</v>
      </c>
      <c r="I41" s="152" t="str">
        <f>_xll.qlFuturesRateHelper(H41,$F41,$D41,$E41,$G41,Permanent,Trigger,ObjectOverwrite)</f>
        <v>EUR_YC3MRH_FUT3MZ1#0001</v>
      </c>
      <c r="J41" s="90" t="str">
        <f>_xll.ohRangeRetrieveError(I41)</f>
        <v/>
      </c>
      <c r="K41" s="89"/>
    </row>
    <row r="42" spans="1:12" x14ac:dyDescent="0.2">
      <c r="A42" s="156"/>
      <c r="B42" s="95">
        <v>40</v>
      </c>
      <c r="C42" s="155" t="b">
        <v>1</v>
      </c>
      <c r="D42" s="203" t="str">
        <v>H2</v>
      </c>
      <c r="E42" s="154" t="str">
        <f t="shared" si="4"/>
        <v>Euribor3M</v>
      </c>
      <c r="F42" s="153" t="str">
        <f t="shared" si="5"/>
        <v>EURFUT3MH2_Quote</v>
      </c>
      <c r="G42" s="153" t="str">
        <f t="shared" si="6"/>
        <v>EURFUT3MH2ConvAdj_Quote</v>
      </c>
      <c r="H42" s="153" t="str">
        <f t="shared" si="7"/>
        <v>EUR_YC3MRH_FUT3MH2</v>
      </c>
      <c r="I42" s="152" t="str">
        <f>_xll.qlFuturesRateHelper(H42,$F42,$D42,$E42,$G42,Permanent,Trigger,ObjectOverwrite)</f>
        <v>EUR_YC3MRH_FUT3MH2#0001</v>
      </c>
      <c r="J42" s="90" t="str">
        <f>_xll.ohRangeRetrieveError(I42)</f>
        <v/>
      </c>
      <c r="K42" s="89"/>
    </row>
    <row r="43" spans="1:12" x14ac:dyDescent="0.2">
      <c r="A43" s="156"/>
      <c r="B43" s="95">
        <v>41</v>
      </c>
      <c r="C43" s="155" t="b">
        <v>1</v>
      </c>
      <c r="D43" s="203" t="str">
        <v>M2</v>
      </c>
      <c r="E43" s="154" t="str">
        <f t="shared" si="4"/>
        <v>Euribor3M</v>
      </c>
      <c r="F43" s="153" t="str">
        <f t="shared" si="5"/>
        <v>EURFUT3MM2_Quote</v>
      </c>
      <c r="G43" s="153" t="str">
        <f t="shared" si="6"/>
        <v>EURFUT3MM2ConvAdj_Quote</v>
      </c>
      <c r="H43" s="153" t="str">
        <f t="shared" si="7"/>
        <v>EUR_YC3MRH_FUT3MM2</v>
      </c>
      <c r="I43" s="152" t="str">
        <f>_xll.qlFuturesRateHelper(H43,$F43,$D43,$E43,$G43,Permanent,Trigger,ObjectOverwrite)</f>
        <v>EUR_YC3MRH_FUT3MM2#0001</v>
      </c>
      <c r="J43" s="90" t="str">
        <f>_xll.ohRangeRetrieveError(I43)</f>
        <v/>
      </c>
      <c r="K43" s="89"/>
    </row>
    <row r="44" spans="1:12" x14ac:dyDescent="0.2">
      <c r="A44" s="156"/>
      <c r="B44" s="95">
        <v>42</v>
      </c>
      <c r="C44" s="155" t="b">
        <v>1</v>
      </c>
      <c r="D44" s="203" t="str">
        <v>U2</v>
      </c>
      <c r="E44" s="154" t="str">
        <f t="shared" si="4"/>
        <v>Euribor3M</v>
      </c>
      <c r="F44" s="153" t="str">
        <f t="shared" si="5"/>
        <v>EURFUT3MU2_Quote</v>
      </c>
      <c r="G44" s="153" t="str">
        <f t="shared" si="6"/>
        <v>EURFUT3MU2ConvAdj_Quote</v>
      </c>
      <c r="H44" s="153" t="str">
        <f t="shared" si="7"/>
        <v>EUR_YC3MRH_FUT3MU2</v>
      </c>
      <c r="I44" s="152" t="str">
        <f>_xll.qlFuturesRateHelper(H44,$F44,$D44,$E44,$G44,Permanent,Trigger,ObjectOverwrite)</f>
        <v>EUR_YC3MRH_FUT3MU2#0001</v>
      </c>
      <c r="J44" s="90" t="str">
        <f>_xll.ohRangeRetrieveError(I44)</f>
        <v/>
      </c>
      <c r="K44" s="89"/>
    </row>
    <row r="45" spans="1:12" ht="13.5" thickBot="1" x14ac:dyDescent="0.25">
      <c r="A45" s="151"/>
      <c r="B45" s="150"/>
      <c r="C45" s="150"/>
      <c r="D45" s="150"/>
      <c r="E45" s="150"/>
      <c r="F45" s="150"/>
      <c r="G45" s="150"/>
      <c r="H45" s="150"/>
      <c r="I45" s="150"/>
      <c r="J45" s="150"/>
      <c r="K45" s="14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51"/>
  <sheetViews>
    <sheetView workbookViewId="0">
      <selection activeCell="L3" sqref="L3"/>
    </sheetView>
  </sheetViews>
  <sheetFormatPr defaultRowHeight="11.25" x14ac:dyDescent="0.2"/>
  <cols>
    <col min="1" max="1" width="4.14062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15.7109375" style="102" bestFit="1" customWidth="1"/>
    <col min="11" max="11" width="21.42578125" style="102" bestFit="1" customWidth="1"/>
    <col min="12" max="12" width="25.85546875" style="125" bestFit="1" customWidth="1"/>
    <col min="13" max="13" width="16" style="102" customWidth="1"/>
    <col min="14" max="14" width="3.5703125" style="102" customWidth="1"/>
    <col min="15" max="15" width="2.5703125" style="102" customWidth="1"/>
    <col min="16" max="16" width="4" style="102" customWidth="1"/>
    <col min="17" max="17" width="3.140625" style="102" customWidth="1"/>
    <col min="18" max="18" width="2.7109375" style="102" customWidth="1"/>
    <col min="19" max="16384" width="9.140625" style="102"/>
  </cols>
  <sheetData>
    <row r="1" spans="1:20" x14ac:dyDescent="0.2">
      <c r="A1" s="167" t="s">
        <v>148</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5"/>
      <c r="J2" s="104" t="s">
        <v>106</v>
      </c>
      <c r="K2" s="104" t="str">
        <f>Currency&amp;"_YC"&amp;$J$2&amp;"RH"</f>
        <v>EUR_YC3MRH</v>
      </c>
      <c r="L2" s="104" t="str">
        <f>Discounting</f>
        <v>EurON</v>
      </c>
      <c r="M2" s="105"/>
      <c r="N2" s="170"/>
    </row>
    <row r="3" spans="1:20" ht="36" customHeight="1" x14ac:dyDescent="0.2">
      <c r="A3" s="96"/>
      <c r="B3" s="101" t="s">
        <v>143</v>
      </c>
      <c r="C3" s="101"/>
      <c r="D3" s="101"/>
      <c r="E3" s="101"/>
      <c r="F3" s="101" t="s">
        <v>142</v>
      </c>
      <c r="G3" s="101" t="s">
        <v>141</v>
      </c>
      <c r="H3" s="101" t="s">
        <v>140</v>
      </c>
      <c r="I3" s="101" t="s">
        <v>139</v>
      </c>
      <c r="J3" s="101" t="s">
        <v>113</v>
      </c>
      <c r="K3" s="191" t="str">
        <f>K2&amp;"_Swaps.xml"</f>
        <v>EUR_YC3MRH_Swaps.xml</v>
      </c>
      <c r="L3" s="141" t="str">
        <f>IF(Serialize,_xll.ohObjectSave(L4:L50,SerializationPath&amp;K3,FileOverwrite,Serialize),"---")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$K$2&amp;"_"&amp;$D6&amp;$E6&amp;"_"&amp;FamilyName&amp;$J$2</f>
        <v>EUR_YC3MRH_AB3E_ibor3M</v>
      </c>
      <c r="L4" s="189" t="str">
        <f>IF(UPPER(FamilyName)="IBOR",_xll.qlEuribor($K4,$J$2,,Permanent,Trigger,ObjectOverwrite),IF(UPPER(FamilyName)="LIBOR",_xll.qlLibor($K4,Currency,$J$2,,Permanent,Trigger,ObjectOverwrite),"--"))</f>
        <v>EUR_YC3MRH_AB3E_ibor3M#0001</v>
      </c>
      <c r="M4" s="188" t="str">
        <f>_xll.ohRangeRetrieveError(L4)</f>
        <v/>
      </c>
      <c r="N4" s="170"/>
    </row>
    <row r="5" spans="1:20" ht="12" thickBot="1" x14ac:dyDescent="0.25">
      <c r="A5" s="106"/>
      <c r="B5" s="105"/>
      <c r="C5" s="105"/>
      <c r="D5" s="105"/>
      <c r="E5" s="105"/>
      <c r="F5" s="105"/>
      <c r="G5" s="105"/>
      <c r="H5" s="105"/>
      <c r="I5" s="105"/>
      <c r="J5" s="105"/>
      <c r="K5" s="105"/>
      <c r="L5" s="105"/>
      <c r="M5" s="105"/>
      <c r="N5" s="170"/>
    </row>
    <row r="6" spans="1:20" x14ac:dyDescent="0.2">
      <c r="A6" s="96"/>
      <c r="B6" s="175" t="s">
        <v>126</v>
      </c>
      <c r="C6" s="178" t="s">
        <v>47</v>
      </c>
      <c r="D6" s="175" t="str">
        <f t="array" ref="D6:D42">VLOOKUP(Currency,Conventions,2)</f>
        <v>AB</v>
      </c>
      <c r="E6" s="175" t="str">
        <f t="array" ref="E6:E42">VLOOKUP(Currency,Conventions,3)</f>
        <v>3E</v>
      </c>
      <c r="F6" s="175" t="str">
        <f t="shared" ref="F6:F42" si="0">IF(UPPER(LEFT($D6))="A","Annual",IF(UPPER(LEFT($D6))="S","Semiannual","--"))</f>
        <v>Annual</v>
      </c>
      <c r="G6" s="155" t="s">
        <v>134</v>
      </c>
      <c r="H6" s="155" t="str">
        <f t="shared" ref="H6:H42" si="1">IF(UPPER(RIGHT($D6))="B",BondBasisDayCounter,IF(UPPER(RIGHT($D6))="M",MoneyMarketDayCounter,"--"))</f>
        <v>30/360 (Bond Basis)</v>
      </c>
      <c r="I6" s="174">
        <v>0</v>
      </c>
      <c r="J6" s="177" t="str">
        <f t="shared" ref="J6:J42" si="2">Currency&amp;$D6&amp;$E6&amp;$C6&amp;"_Quote"</f>
        <v>EURAB3E1Y_Quote</v>
      </c>
      <c r="K6" s="173" t="str">
        <f t="shared" ref="K6:K42" si="3">$K$2&amp;"_"&amp;$D6&amp;$E6&amp;$C6</f>
        <v>EUR_YC3MRH_AB3E1Y</v>
      </c>
      <c r="L6" s="172" t="str">
        <f>_xll.qlSwapRateHelper2(K6,$J6,$C6,Calendar,$F6,$G6,$H6,$L$4,$I6,B6,DiscountingCurve,Permanent,,ObjectOverwrite)</f>
        <v>EUR_YC3MRH_AB3E1Y#0001</v>
      </c>
      <c r="M6" s="171" t="str">
        <f>_xll.ohRangeRetrieveError(L6)</f>
        <v/>
      </c>
      <c r="N6" s="170"/>
      <c r="P6" s="187" t="s">
        <v>104</v>
      </c>
      <c r="Q6" s="186" t="s">
        <v>101</v>
      </c>
      <c r="R6" s="185" t="s">
        <v>136</v>
      </c>
      <c r="T6" s="102" t="str">
        <f>_xll.ohObjectCallerAddress(J6)</f>
        <v>[EUR_Market.xlsx]Swap3M!R6C6</v>
      </c>
    </row>
    <row r="7" spans="1:20" x14ac:dyDescent="0.2">
      <c r="A7" s="96"/>
      <c r="B7" s="175" t="s">
        <v>126</v>
      </c>
      <c r="C7" s="178" t="s">
        <v>46</v>
      </c>
      <c r="D7" s="175" t="str">
        <v>AB</v>
      </c>
      <c r="E7" s="175" t="str">
        <v>3E</v>
      </c>
      <c r="F7" s="175" t="str">
        <f t="shared" si="0"/>
        <v>Annual</v>
      </c>
      <c r="G7" s="154" t="s">
        <v>134</v>
      </c>
      <c r="H7" s="154" t="str">
        <f t="shared" si="1"/>
        <v>30/360 (Bond Basis)</v>
      </c>
      <c r="I7" s="174">
        <v>0</v>
      </c>
      <c r="J7" s="129" t="str">
        <f t="shared" si="2"/>
        <v>EURAB3E15M_Quote</v>
      </c>
      <c r="K7" s="173" t="str">
        <f t="shared" si="3"/>
        <v>EUR_YC3MRH_AB3E15M</v>
      </c>
      <c r="L7" s="172" t="str">
        <f>_xll.qlSwapRateHelper2(K7,$J7,$C7,Calendar,$F7,$G7,$H7,$L$4,$I7,B7,DiscountingCurve,Permanent,,ObjectOverwrite)</f>
        <v>EUR_YC3MRH_AB3E15M#0001</v>
      </c>
      <c r="M7" s="171" t="str">
        <f>_xll.ohRangeRetrieveError(L7)</f>
        <v/>
      </c>
      <c r="N7" s="170"/>
      <c r="P7" s="184" t="s">
        <v>102</v>
      </c>
      <c r="Q7" s="183" t="s">
        <v>101</v>
      </c>
      <c r="R7" s="182" t="s">
        <v>138</v>
      </c>
    </row>
    <row r="8" spans="1:20" x14ac:dyDescent="0.2">
      <c r="A8" s="96"/>
      <c r="B8" s="175" t="s">
        <v>126</v>
      </c>
      <c r="C8" s="178" t="s">
        <v>45</v>
      </c>
      <c r="D8" s="175" t="str">
        <v>AB</v>
      </c>
      <c r="E8" s="175" t="str">
        <v>3E</v>
      </c>
      <c r="F8" s="175" t="str">
        <f t="shared" si="0"/>
        <v>Annual</v>
      </c>
      <c r="G8" s="154" t="s">
        <v>134</v>
      </c>
      <c r="H8" s="154" t="str">
        <f t="shared" si="1"/>
        <v>30/360 (Bond Basis)</v>
      </c>
      <c r="I8" s="174">
        <v>0</v>
      </c>
      <c r="J8" s="129" t="str">
        <f t="shared" si="2"/>
        <v>EURAB3E18M_Quote</v>
      </c>
      <c r="K8" s="173" t="str">
        <f t="shared" si="3"/>
        <v>EUR_YC3MRH_AB3E18M</v>
      </c>
      <c r="L8" s="172" t="str">
        <f>_xll.qlSwapRateHelper2(K8,$J8,$C8,Calendar,$F8,$G8,$H8,$L$4,$I8,B8,DiscountingCurve,Permanent,,ObjectOverwrite)</f>
        <v>EUR_YC3MRH_AB3E18M#0001</v>
      </c>
      <c r="M8" s="171" t="str">
        <f>_xll.ohRangeRetrieveError(L8)</f>
        <v/>
      </c>
      <c r="N8" s="170"/>
      <c r="P8" s="184" t="s">
        <v>99</v>
      </c>
      <c r="Q8" s="183" t="s">
        <v>94</v>
      </c>
      <c r="R8" s="182" t="s">
        <v>136</v>
      </c>
    </row>
    <row r="9" spans="1:20" x14ac:dyDescent="0.2">
      <c r="A9" s="96"/>
      <c r="B9" s="175" t="s">
        <v>126</v>
      </c>
      <c r="C9" s="178" t="s">
        <v>44</v>
      </c>
      <c r="D9" s="175" t="str">
        <v>AB</v>
      </c>
      <c r="E9" s="175" t="str">
        <v>3E</v>
      </c>
      <c r="F9" s="175" t="str">
        <f t="shared" si="0"/>
        <v>Annual</v>
      </c>
      <c r="G9" s="154" t="s">
        <v>134</v>
      </c>
      <c r="H9" s="154" t="str">
        <f t="shared" si="1"/>
        <v>30/360 (Bond Basis)</v>
      </c>
      <c r="I9" s="174">
        <v>0</v>
      </c>
      <c r="J9" s="129" t="str">
        <f t="shared" si="2"/>
        <v>EURAB3E21M_Quote</v>
      </c>
      <c r="K9" s="173" t="str">
        <f t="shared" si="3"/>
        <v>EUR_YC3MRH_AB3E21M</v>
      </c>
      <c r="L9" s="172" t="str">
        <f>_xll.qlSwapRateHelper2(K9,$J9,$C9,Calendar,$F9,$G9,$H9,$L$4,$I9,B9,DiscountingCurve,Permanent,,ObjectOverwrite)</f>
        <v>EUR_YC3MRH_AB3E21M#0001</v>
      </c>
      <c r="M9" s="171" t="str">
        <f>_xll.ohRangeRetrieveError(L9)</f>
        <v/>
      </c>
      <c r="N9" s="170"/>
      <c r="P9" s="184" t="s">
        <v>97</v>
      </c>
      <c r="Q9" s="183" t="s">
        <v>137</v>
      </c>
      <c r="R9" s="182" t="s">
        <v>136</v>
      </c>
    </row>
    <row r="10" spans="1:20" ht="12" thickBot="1" x14ac:dyDescent="0.25">
      <c r="A10" s="96"/>
      <c r="B10" s="175" t="s">
        <v>126</v>
      </c>
      <c r="C10" s="176" t="s">
        <v>43</v>
      </c>
      <c r="D10" s="175" t="str">
        <v>AB</v>
      </c>
      <c r="E10" s="175" t="str">
        <v>3E</v>
      </c>
      <c r="F10" s="175" t="str">
        <f t="shared" si="0"/>
        <v>Annual</v>
      </c>
      <c r="G10" s="154" t="s">
        <v>134</v>
      </c>
      <c r="H10" s="154" t="str">
        <f t="shared" si="1"/>
        <v>30/360 (Bond Basis)</v>
      </c>
      <c r="I10" s="174">
        <v>0</v>
      </c>
      <c r="J10" s="129" t="str">
        <f t="shared" si="2"/>
        <v>EURAB3E2Y_Quote</v>
      </c>
      <c r="K10" s="173" t="str">
        <f t="shared" si="3"/>
        <v>EUR_YC3MRH_AB3E2Y</v>
      </c>
      <c r="L10" s="172" t="str">
        <f>_xll.qlSwapRateHelper2(K10,$J10,$C10,Calendar,$F10,$G10,$H10,$L$4,$I10,B10,DiscountingCurve,Permanent,,ObjectOverwrite)</f>
        <v>EUR_YC3MRH_AB3E2Y#0001</v>
      </c>
      <c r="M10" s="171" t="str">
        <f>_xll.ohRangeRetrieveError(L10)</f>
        <v/>
      </c>
      <c r="N10" s="170"/>
      <c r="P10" s="181" t="s">
        <v>95</v>
      </c>
      <c r="Q10" s="180" t="s">
        <v>94</v>
      </c>
      <c r="R10" s="179" t="s">
        <v>136</v>
      </c>
    </row>
    <row r="11" spans="1:20" x14ac:dyDescent="0.2">
      <c r="A11" s="96"/>
      <c r="B11" s="175" t="s">
        <v>126</v>
      </c>
      <c r="C11" s="176" t="s">
        <v>42</v>
      </c>
      <c r="D11" s="175" t="str">
        <v>AB</v>
      </c>
      <c r="E11" s="175" t="str">
        <v>3E</v>
      </c>
      <c r="F11" s="175" t="str">
        <f t="shared" si="0"/>
        <v>Annual</v>
      </c>
      <c r="G11" s="154" t="s">
        <v>134</v>
      </c>
      <c r="H11" s="154" t="str">
        <f t="shared" si="1"/>
        <v>30/360 (Bond Basis)</v>
      </c>
      <c r="I11" s="174">
        <v>0</v>
      </c>
      <c r="J11" s="129" t="str">
        <f t="shared" si="2"/>
        <v>EURAB3E3Y_Quote</v>
      </c>
      <c r="K11" s="173" t="str">
        <f t="shared" si="3"/>
        <v>EUR_YC3MRH_AB3E3Y</v>
      </c>
      <c r="L11" s="172" t="str">
        <f>_xll.qlSwapRateHelper2(K11,$J11,$C11,Calendar,$F11,$G11,$H11,$L$4,$I11,B11,DiscountingCurve,Permanent,,ObjectOverwrite)</f>
        <v>EUR_YC3MRH_AB3E3Y#0001</v>
      </c>
      <c r="M11" s="171" t="str">
        <f>_xll.ohRangeRetrieveError(L11)</f>
        <v/>
      </c>
      <c r="N11" s="170"/>
    </row>
    <row r="12" spans="1:20" x14ac:dyDescent="0.2">
      <c r="A12" s="96"/>
      <c r="B12" s="175" t="s">
        <v>126</v>
      </c>
      <c r="C12" s="176" t="s">
        <v>41</v>
      </c>
      <c r="D12" s="175" t="str">
        <v>AB</v>
      </c>
      <c r="E12" s="175" t="str">
        <v>3E</v>
      </c>
      <c r="F12" s="175" t="str">
        <f t="shared" si="0"/>
        <v>Annual</v>
      </c>
      <c r="G12" s="154" t="s">
        <v>134</v>
      </c>
      <c r="H12" s="154" t="str">
        <f t="shared" si="1"/>
        <v>30/360 (Bond Basis)</v>
      </c>
      <c r="I12" s="174">
        <v>0</v>
      </c>
      <c r="J12" s="129" t="str">
        <f t="shared" si="2"/>
        <v>EURAB3E4Y_Quote</v>
      </c>
      <c r="K12" s="173" t="str">
        <f t="shared" si="3"/>
        <v>EUR_YC3MRH_AB3E4Y</v>
      </c>
      <c r="L12" s="172" t="str">
        <f>_xll.qlSwapRateHelper2(K12,$J12,$C12,Calendar,$F12,$G12,$H12,$L$4,$I12,B12,DiscountingCurve,Permanent,,ObjectOverwrite)</f>
        <v>EUR_YC3MRH_AB3E4Y#0001</v>
      </c>
      <c r="M12" s="171" t="str">
        <f>_xll.ohRangeRetrieveError(L12)</f>
        <v/>
      </c>
      <c r="N12" s="170"/>
    </row>
    <row r="13" spans="1:20" x14ac:dyDescent="0.2">
      <c r="A13" s="96"/>
      <c r="B13" s="175" t="s">
        <v>126</v>
      </c>
      <c r="C13" s="176" t="s">
        <v>40</v>
      </c>
      <c r="D13" s="175" t="str">
        <v>AB</v>
      </c>
      <c r="E13" s="175" t="str">
        <v>3E</v>
      </c>
      <c r="F13" s="175" t="str">
        <f t="shared" si="0"/>
        <v>Annual</v>
      </c>
      <c r="G13" s="154" t="s">
        <v>134</v>
      </c>
      <c r="H13" s="154" t="str">
        <f t="shared" si="1"/>
        <v>30/360 (Bond Basis)</v>
      </c>
      <c r="I13" s="174">
        <v>0</v>
      </c>
      <c r="J13" s="129" t="str">
        <f t="shared" si="2"/>
        <v>EURAB3E5Y_Quote</v>
      </c>
      <c r="K13" s="173" t="str">
        <f t="shared" si="3"/>
        <v>EUR_YC3MRH_AB3E5Y</v>
      </c>
      <c r="L13" s="172" t="str">
        <f>_xll.qlSwapRateHelper2(K13,$J13,$C13,Calendar,$F13,$G13,$H13,$L$4,$I13,B13,DiscountingCurve,Permanent,,ObjectOverwrite)</f>
        <v>EUR_YC3MRH_AB3E5Y#0001</v>
      </c>
      <c r="M13" s="171" t="str">
        <f>_xll.ohRangeRetrieveError(L13)</f>
        <v/>
      </c>
      <c r="N13" s="170"/>
    </row>
    <row r="14" spans="1:20" x14ac:dyDescent="0.2">
      <c r="A14" s="96"/>
      <c r="B14" s="175" t="s">
        <v>126</v>
      </c>
      <c r="C14" s="176" t="s">
        <v>39</v>
      </c>
      <c r="D14" s="175" t="str">
        <v>AB</v>
      </c>
      <c r="E14" s="175" t="str">
        <v>3E</v>
      </c>
      <c r="F14" s="175" t="str">
        <f t="shared" si="0"/>
        <v>Annual</v>
      </c>
      <c r="G14" s="154" t="s">
        <v>134</v>
      </c>
      <c r="H14" s="154" t="str">
        <f t="shared" si="1"/>
        <v>30/360 (Bond Basis)</v>
      </c>
      <c r="I14" s="174">
        <v>0</v>
      </c>
      <c r="J14" s="129" t="str">
        <f t="shared" si="2"/>
        <v>EURAB3E6Y_Quote</v>
      </c>
      <c r="K14" s="173" t="str">
        <f t="shared" si="3"/>
        <v>EUR_YC3MRH_AB3E6Y</v>
      </c>
      <c r="L14" s="172" t="str">
        <f>_xll.qlSwapRateHelper2(K14,$J14,$C14,Calendar,$F14,$G14,$H14,$L$4,$I14,B14,DiscountingCurve,Permanent,,ObjectOverwrite)</f>
        <v>EUR_YC3MRH_AB3E6Y#0001</v>
      </c>
      <c r="M14" s="171" t="str">
        <f>_xll.ohRangeRetrieveError(L14)</f>
        <v/>
      </c>
      <c r="N14" s="170"/>
    </row>
    <row r="15" spans="1:20" x14ac:dyDescent="0.2">
      <c r="A15" s="96"/>
      <c r="B15" s="175" t="s">
        <v>126</v>
      </c>
      <c r="C15" s="176" t="s">
        <v>38</v>
      </c>
      <c r="D15" s="175" t="str">
        <v>AB</v>
      </c>
      <c r="E15" s="175" t="str">
        <v>3E</v>
      </c>
      <c r="F15" s="175" t="str">
        <f t="shared" si="0"/>
        <v>Annual</v>
      </c>
      <c r="G15" s="154" t="s">
        <v>134</v>
      </c>
      <c r="H15" s="154" t="str">
        <f t="shared" si="1"/>
        <v>30/360 (Bond Basis)</v>
      </c>
      <c r="I15" s="174">
        <v>0</v>
      </c>
      <c r="J15" s="129" t="str">
        <f t="shared" si="2"/>
        <v>EURAB3E7Y_Quote</v>
      </c>
      <c r="K15" s="173" t="str">
        <f t="shared" si="3"/>
        <v>EUR_YC3MRH_AB3E7Y</v>
      </c>
      <c r="L15" s="172" t="str">
        <f>_xll.qlSwapRateHelper2(K15,$J15,$C15,Calendar,$F15,$G15,$H15,$L$4,$I15,B15,DiscountingCurve,Permanent,,ObjectOverwrite)</f>
        <v>EUR_YC3MRH_AB3E7Y#0001</v>
      </c>
      <c r="M15" s="171" t="str">
        <f>_xll.ohRangeRetrieveError(L15)</f>
        <v/>
      </c>
      <c r="N15" s="170"/>
    </row>
    <row r="16" spans="1:20" x14ac:dyDescent="0.2">
      <c r="A16" s="96"/>
      <c r="B16" s="175" t="s">
        <v>126</v>
      </c>
      <c r="C16" s="176" t="s">
        <v>37</v>
      </c>
      <c r="D16" s="175" t="str">
        <v>AB</v>
      </c>
      <c r="E16" s="175" t="str">
        <v>3E</v>
      </c>
      <c r="F16" s="175" t="str">
        <f t="shared" si="0"/>
        <v>Annual</v>
      </c>
      <c r="G16" s="154" t="s">
        <v>134</v>
      </c>
      <c r="H16" s="154" t="str">
        <f t="shared" si="1"/>
        <v>30/360 (Bond Basis)</v>
      </c>
      <c r="I16" s="174">
        <v>0</v>
      </c>
      <c r="J16" s="129" t="str">
        <f t="shared" si="2"/>
        <v>EURAB3E8Y_Quote</v>
      </c>
      <c r="K16" s="173" t="str">
        <f t="shared" si="3"/>
        <v>EUR_YC3MRH_AB3E8Y</v>
      </c>
      <c r="L16" s="172" t="str">
        <f>_xll.qlSwapRateHelper2(K16,$J16,$C16,Calendar,$F16,$G16,$H16,$L$4,$I16,B16,DiscountingCurve,Permanent,,ObjectOverwrite)</f>
        <v>EUR_YC3MRH_AB3E8Y#0001</v>
      </c>
      <c r="M16" s="171" t="str">
        <f>_xll.ohRangeRetrieveError(L16)</f>
        <v/>
      </c>
      <c r="N16" s="170"/>
    </row>
    <row r="17" spans="1:14" x14ac:dyDescent="0.2">
      <c r="A17" s="96"/>
      <c r="B17" s="175" t="s">
        <v>126</v>
      </c>
      <c r="C17" s="176" t="s">
        <v>36</v>
      </c>
      <c r="D17" s="175" t="str">
        <v>AB</v>
      </c>
      <c r="E17" s="175" t="str">
        <v>3E</v>
      </c>
      <c r="F17" s="175" t="str">
        <f t="shared" si="0"/>
        <v>Annual</v>
      </c>
      <c r="G17" s="154" t="s">
        <v>134</v>
      </c>
      <c r="H17" s="154" t="str">
        <f t="shared" si="1"/>
        <v>30/360 (Bond Basis)</v>
      </c>
      <c r="I17" s="174">
        <v>0</v>
      </c>
      <c r="J17" s="129" t="str">
        <f t="shared" si="2"/>
        <v>EURAB3E9Y_Quote</v>
      </c>
      <c r="K17" s="173" t="str">
        <f t="shared" si="3"/>
        <v>EUR_YC3MRH_AB3E9Y</v>
      </c>
      <c r="L17" s="172" t="str">
        <f>_xll.qlSwapRateHelper2(K17,$J17,$C17,Calendar,$F17,$G17,$H17,$L$4,$I17,B17,DiscountingCurve,Permanent,,ObjectOverwrite)</f>
        <v>EUR_YC3MRH_AB3E9Y#0001</v>
      </c>
      <c r="M17" s="171" t="str">
        <f>_xll.ohRangeRetrieveError(L17)</f>
        <v/>
      </c>
      <c r="N17" s="170"/>
    </row>
    <row r="18" spans="1:14" x14ac:dyDescent="0.2">
      <c r="A18" s="96"/>
      <c r="B18" s="175" t="s">
        <v>126</v>
      </c>
      <c r="C18" s="176" t="s">
        <v>35</v>
      </c>
      <c r="D18" s="175" t="str">
        <v>AB</v>
      </c>
      <c r="E18" s="175" t="str">
        <v>3E</v>
      </c>
      <c r="F18" s="175" t="str">
        <f t="shared" si="0"/>
        <v>Annual</v>
      </c>
      <c r="G18" s="154" t="s">
        <v>134</v>
      </c>
      <c r="H18" s="154" t="str">
        <f t="shared" si="1"/>
        <v>30/360 (Bond Basis)</v>
      </c>
      <c r="I18" s="174">
        <v>0</v>
      </c>
      <c r="J18" s="129" t="str">
        <f t="shared" si="2"/>
        <v>EURAB3E10Y_Quote</v>
      </c>
      <c r="K18" s="173" t="str">
        <f t="shared" si="3"/>
        <v>EUR_YC3MRH_AB3E10Y</v>
      </c>
      <c r="L18" s="172" t="str">
        <f>_xll.qlSwapRateHelper2(K18,$J18,$C18,Calendar,$F18,$G18,$H18,$L$4,$I18,B18,DiscountingCurve,Permanent,,ObjectOverwrite)</f>
        <v>EUR_YC3MRH_AB3E10Y#0001</v>
      </c>
      <c r="M18" s="171" t="str">
        <f>_xll.ohRangeRetrieveError(L18)</f>
        <v/>
      </c>
      <c r="N18" s="170"/>
    </row>
    <row r="19" spans="1:14" x14ac:dyDescent="0.2">
      <c r="A19" s="96"/>
      <c r="B19" s="175" t="s">
        <v>126</v>
      </c>
      <c r="C19" s="176" t="s">
        <v>34</v>
      </c>
      <c r="D19" s="175" t="str">
        <v>AB</v>
      </c>
      <c r="E19" s="175" t="str">
        <v>3E</v>
      </c>
      <c r="F19" s="175" t="str">
        <f t="shared" si="0"/>
        <v>Annual</v>
      </c>
      <c r="G19" s="154" t="s">
        <v>134</v>
      </c>
      <c r="H19" s="154" t="str">
        <f t="shared" si="1"/>
        <v>30/360 (Bond Basis)</v>
      </c>
      <c r="I19" s="174">
        <v>0</v>
      </c>
      <c r="J19" s="129" t="str">
        <f t="shared" si="2"/>
        <v>EURAB3E11Y_Quote</v>
      </c>
      <c r="K19" s="173" t="str">
        <f t="shared" si="3"/>
        <v>EUR_YC3MRH_AB3E11Y</v>
      </c>
      <c r="L19" s="172" t="str">
        <f>_xll.qlSwapRateHelper2(K19,$J19,$C19,Calendar,$F19,$G19,$H19,$L$4,$I19,B19,DiscountingCurve,Permanent,,ObjectOverwrite)</f>
        <v>EUR_YC3MRH_AB3E11Y#0001</v>
      </c>
      <c r="M19" s="171" t="str">
        <f>_xll.ohRangeRetrieveError(L19)</f>
        <v/>
      </c>
      <c r="N19" s="170"/>
    </row>
    <row r="20" spans="1:14" x14ac:dyDescent="0.2">
      <c r="A20" s="96"/>
      <c r="B20" s="175" t="s">
        <v>126</v>
      </c>
      <c r="C20" s="176" t="s">
        <v>33</v>
      </c>
      <c r="D20" s="175" t="str">
        <v>AB</v>
      </c>
      <c r="E20" s="175" t="str">
        <v>3E</v>
      </c>
      <c r="F20" s="175" t="str">
        <f t="shared" si="0"/>
        <v>Annual</v>
      </c>
      <c r="G20" s="154" t="s">
        <v>134</v>
      </c>
      <c r="H20" s="154" t="str">
        <f t="shared" si="1"/>
        <v>30/360 (Bond Basis)</v>
      </c>
      <c r="I20" s="174">
        <v>0</v>
      </c>
      <c r="J20" s="129" t="str">
        <f t="shared" si="2"/>
        <v>EURAB3E12Y_Quote</v>
      </c>
      <c r="K20" s="173" t="str">
        <f t="shared" si="3"/>
        <v>EUR_YC3MRH_AB3E12Y</v>
      </c>
      <c r="L20" s="172" t="str">
        <f>_xll.qlSwapRateHelper2(K20,$J20,$C20,Calendar,$F20,$G20,$H20,$L$4,$I20,B20,DiscountingCurve,Permanent,,ObjectOverwrite)</f>
        <v>EUR_YC3MRH_AB3E12Y#0001</v>
      </c>
      <c r="M20" s="171" t="str">
        <f>_xll.ohRangeRetrieveError(L20)</f>
        <v/>
      </c>
      <c r="N20" s="170"/>
    </row>
    <row r="21" spans="1:14" x14ac:dyDescent="0.2">
      <c r="A21" s="96"/>
      <c r="B21" s="175" t="s">
        <v>126</v>
      </c>
      <c r="C21" s="176" t="s">
        <v>32</v>
      </c>
      <c r="D21" s="175" t="str">
        <v>AB</v>
      </c>
      <c r="E21" s="175" t="str">
        <v>3E</v>
      </c>
      <c r="F21" s="175" t="str">
        <f t="shared" si="0"/>
        <v>Annual</v>
      </c>
      <c r="G21" s="154" t="s">
        <v>134</v>
      </c>
      <c r="H21" s="154" t="str">
        <f t="shared" si="1"/>
        <v>30/360 (Bond Basis)</v>
      </c>
      <c r="I21" s="174">
        <v>0</v>
      </c>
      <c r="J21" s="129" t="str">
        <f t="shared" si="2"/>
        <v>EURAB3E13Y_Quote</v>
      </c>
      <c r="K21" s="173" t="str">
        <f t="shared" si="3"/>
        <v>EUR_YC3MRH_AB3E13Y</v>
      </c>
      <c r="L21" s="172" t="str">
        <f>_xll.qlSwapRateHelper2(K21,$J21,$C21,Calendar,$F21,$G21,$H21,$L$4,$I21,B21,DiscountingCurve,Permanent,,ObjectOverwrite)</f>
        <v>EUR_YC3MRH_AB3E13Y#0001</v>
      </c>
      <c r="M21" s="171" t="str">
        <f>_xll.ohRangeRetrieveError(L21)</f>
        <v/>
      </c>
      <c r="N21" s="170"/>
    </row>
    <row r="22" spans="1:14" x14ac:dyDescent="0.2">
      <c r="A22" s="96"/>
      <c r="B22" s="175" t="s">
        <v>126</v>
      </c>
      <c r="C22" s="176" t="s">
        <v>31</v>
      </c>
      <c r="D22" s="175" t="str">
        <v>AB</v>
      </c>
      <c r="E22" s="175" t="str">
        <v>3E</v>
      </c>
      <c r="F22" s="175" t="str">
        <f t="shared" si="0"/>
        <v>Annual</v>
      </c>
      <c r="G22" s="154" t="s">
        <v>134</v>
      </c>
      <c r="H22" s="154" t="str">
        <f t="shared" si="1"/>
        <v>30/360 (Bond Basis)</v>
      </c>
      <c r="I22" s="174">
        <v>0</v>
      </c>
      <c r="J22" s="129" t="str">
        <f t="shared" si="2"/>
        <v>EURAB3E14Y_Quote</v>
      </c>
      <c r="K22" s="173" t="str">
        <f t="shared" si="3"/>
        <v>EUR_YC3MRH_AB3E14Y</v>
      </c>
      <c r="L22" s="172" t="str">
        <f>_xll.qlSwapRateHelper2(K22,$J22,$C22,Calendar,$F22,$G22,$H22,$L$4,$I22,B22,DiscountingCurve,Permanent,,ObjectOverwrite)</f>
        <v>EUR_YC3MRH_AB3E14Y#0001</v>
      </c>
      <c r="M22" s="171" t="str">
        <f>_xll.ohRangeRetrieveError(L22)</f>
        <v/>
      </c>
      <c r="N22" s="170"/>
    </row>
    <row r="23" spans="1:14" x14ac:dyDescent="0.2">
      <c r="A23" s="96"/>
      <c r="B23" s="175" t="s">
        <v>126</v>
      </c>
      <c r="C23" s="176" t="s">
        <v>30</v>
      </c>
      <c r="D23" s="175" t="str">
        <v>AB</v>
      </c>
      <c r="E23" s="175" t="str">
        <v>3E</v>
      </c>
      <c r="F23" s="175" t="str">
        <f t="shared" si="0"/>
        <v>Annual</v>
      </c>
      <c r="G23" s="154" t="s">
        <v>134</v>
      </c>
      <c r="H23" s="154" t="str">
        <f t="shared" si="1"/>
        <v>30/360 (Bond Basis)</v>
      </c>
      <c r="I23" s="174">
        <v>0</v>
      </c>
      <c r="J23" s="129" t="str">
        <f t="shared" si="2"/>
        <v>EURAB3E15Y_Quote</v>
      </c>
      <c r="K23" s="173" t="str">
        <f t="shared" si="3"/>
        <v>EUR_YC3MRH_AB3E15Y</v>
      </c>
      <c r="L23" s="172" t="str">
        <f>_xll.qlSwapRateHelper2(K23,$J23,$C23,Calendar,$F23,$G23,$H23,$L$4,$I23,B23,DiscountingCurve,Permanent,,ObjectOverwrite)</f>
        <v>EUR_YC3MRH_AB3E15Y#0001</v>
      </c>
      <c r="M23" s="171" t="str">
        <f>_xll.ohRangeRetrieveError(L23)</f>
        <v/>
      </c>
      <c r="N23" s="170"/>
    </row>
    <row r="24" spans="1:14" x14ac:dyDescent="0.2">
      <c r="A24" s="96"/>
      <c r="B24" s="175" t="s">
        <v>126</v>
      </c>
      <c r="C24" s="176" t="s">
        <v>29</v>
      </c>
      <c r="D24" s="175" t="str">
        <v>AB</v>
      </c>
      <c r="E24" s="175" t="str">
        <v>3E</v>
      </c>
      <c r="F24" s="175" t="str">
        <f t="shared" si="0"/>
        <v>Annual</v>
      </c>
      <c r="G24" s="154" t="s">
        <v>134</v>
      </c>
      <c r="H24" s="154" t="str">
        <f t="shared" si="1"/>
        <v>30/360 (Bond Basis)</v>
      </c>
      <c r="I24" s="174">
        <v>0</v>
      </c>
      <c r="J24" s="129" t="str">
        <f t="shared" si="2"/>
        <v>EURAB3E16Y_Quote</v>
      </c>
      <c r="K24" s="173" t="str">
        <f t="shared" si="3"/>
        <v>EUR_YC3MRH_AB3E16Y</v>
      </c>
      <c r="L24" s="172" t="str">
        <f>_xll.qlSwapRateHelper2(K24,$J24,$C24,Calendar,$F24,$G24,$H24,$L$4,$I24,B24,DiscountingCurve,Permanent,,ObjectOverwrite)</f>
        <v>EUR_YC3MRH_AB3E16Y#0001</v>
      </c>
      <c r="M24" s="171" t="str">
        <f>_xll.ohRangeRetrieveError(L24)</f>
        <v/>
      </c>
      <c r="N24" s="170"/>
    </row>
    <row r="25" spans="1:14" x14ac:dyDescent="0.2">
      <c r="A25" s="96"/>
      <c r="B25" s="175" t="s">
        <v>126</v>
      </c>
      <c r="C25" s="176" t="s">
        <v>28</v>
      </c>
      <c r="D25" s="175" t="str">
        <v>AB</v>
      </c>
      <c r="E25" s="175" t="str">
        <v>3E</v>
      </c>
      <c r="F25" s="175" t="str">
        <f t="shared" si="0"/>
        <v>Annual</v>
      </c>
      <c r="G25" s="154" t="s">
        <v>134</v>
      </c>
      <c r="H25" s="154" t="str">
        <f t="shared" si="1"/>
        <v>30/360 (Bond Basis)</v>
      </c>
      <c r="I25" s="174">
        <v>0</v>
      </c>
      <c r="J25" s="129" t="str">
        <f t="shared" si="2"/>
        <v>EURAB3E17Y_Quote</v>
      </c>
      <c r="K25" s="173" t="str">
        <f t="shared" si="3"/>
        <v>EUR_YC3MRH_AB3E17Y</v>
      </c>
      <c r="L25" s="172" t="str">
        <f>_xll.qlSwapRateHelper2(K25,$J25,$C25,Calendar,$F25,$G25,$H25,$L$4,$I25,B25,DiscountingCurve,Permanent,,ObjectOverwrite)</f>
        <v>EUR_YC3MRH_AB3E17Y#0001</v>
      </c>
      <c r="M25" s="171" t="str">
        <f>_xll.ohRangeRetrieveError(L25)</f>
        <v/>
      </c>
      <c r="N25" s="170"/>
    </row>
    <row r="26" spans="1:14" x14ac:dyDescent="0.2">
      <c r="A26" s="96"/>
      <c r="B26" s="175" t="s">
        <v>126</v>
      </c>
      <c r="C26" s="176" t="s">
        <v>27</v>
      </c>
      <c r="D26" s="175" t="str">
        <v>AB</v>
      </c>
      <c r="E26" s="175" t="str">
        <v>3E</v>
      </c>
      <c r="F26" s="175" t="str">
        <f t="shared" si="0"/>
        <v>Annual</v>
      </c>
      <c r="G26" s="154" t="s">
        <v>134</v>
      </c>
      <c r="H26" s="154" t="str">
        <f t="shared" si="1"/>
        <v>30/360 (Bond Basis)</v>
      </c>
      <c r="I26" s="174">
        <v>0</v>
      </c>
      <c r="J26" s="129" t="str">
        <f t="shared" si="2"/>
        <v>EURAB3E18Y_Quote</v>
      </c>
      <c r="K26" s="173" t="str">
        <f t="shared" si="3"/>
        <v>EUR_YC3MRH_AB3E18Y</v>
      </c>
      <c r="L26" s="172" t="str">
        <f>_xll.qlSwapRateHelper2(K26,$J26,$C26,Calendar,$F26,$G26,$H26,$L$4,$I26,B26,DiscountingCurve,Permanent,,ObjectOverwrite)</f>
        <v>EUR_YC3MRH_AB3E18Y#0001</v>
      </c>
      <c r="M26" s="171" t="str">
        <f>_xll.ohRangeRetrieveError(L26)</f>
        <v/>
      </c>
      <c r="N26" s="170"/>
    </row>
    <row r="27" spans="1:14" x14ac:dyDescent="0.2">
      <c r="A27" s="96"/>
      <c r="B27" s="175" t="s">
        <v>126</v>
      </c>
      <c r="C27" s="176" t="s">
        <v>26</v>
      </c>
      <c r="D27" s="175" t="str">
        <v>AB</v>
      </c>
      <c r="E27" s="175" t="str">
        <v>3E</v>
      </c>
      <c r="F27" s="175" t="str">
        <f t="shared" si="0"/>
        <v>Annual</v>
      </c>
      <c r="G27" s="154" t="s">
        <v>134</v>
      </c>
      <c r="H27" s="154" t="str">
        <f t="shared" si="1"/>
        <v>30/360 (Bond Basis)</v>
      </c>
      <c r="I27" s="174">
        <v>0</v>
      </c>
      <c r="J27" s="129" t="str">
        <f t="shared" si="2"/>
        <v>EURAB3E19Y_Quote</v>
      </c>
      <c r="K27" s="173" t="str">
        <f t="shared" si="3"/>
        <v>EUR_YC3MRH_AB3E19Y</v>
      </c>
      <c r="L27" s="172" t="str">
        <f>_xll.qlSwapRateHelper2(K27,$J27,$C27,Calendar,$F27,$G27,$H27,$L$4,$I27,B27,DiscountingCurve,Permanent,,ObjectOverwrite)</f>
        <v>EUR_YC3MRH_AB3E19Y#0001</v>
      </c>
      <c r="M27" s="171" t="str">
        <f>_xll.ohRangeRetrieveError(L27)</f>
        <v/>
      </c>
      <c r="N27" s="170"/>
    </row>
    <row r="28" spans="1:14" x14ac:dyDescent="0.2">
      <c r="A28" s="96"/>
      <c r="B28" s="175" t="s">
        <v>126</v>
      </c>
      <c r="C28" s="176" t="s">
        <v>25</v>
      </c>
      <c r="D28" s="175" t="str">
        <v>AB</v>
      </c>
      <c r="E28" s="175" t="str">
        <v>3E</v>
      </c>
      <c r="F28" s="175" t="str">
        <f t="shared" si="0"/>
        <v>Annual</v>
      </c>
      <c r="G28" s="154" t="s">
        <v>134</v>
      </c>
      <c r="H28" s="154" t="str">
        <f t="shared" si="1"/>
        <v>30/360 (Bond Basis)</v>
      </c>
      <c r="I28" s="174">
        <v>0</v>
      </c>
      <c r="J28" s="129" t="str">
        <f t="shared" si="2"/>
        <v>EURAB3E20Y_Quote</v>
      </c>
      <c r="K28" s="173" t="str">
        <f t="shared" si="3"/>
        <v>EUR_YC3MRH_AB3E20Y</v>
      </c>
      <c r="L28" s="172" t="str">
        <f>_xll.qlSwapRateHelper2(K28,$J28,$C28,Calendar,$F28,$G28,$H28,$L$4,$I28,B28,DiscountingCurve,Permanent,,ObjectOverwrite)</f>
        <v>EUR_YC3MRH_AB3E20Y#0001</v>
      </c>
      <c r="M28" s="171" t="str">
        <f>_xll.ohRangeRetrieveError(L28)</f>
        <v/>
      </c>
      <c r="N28" s="170"/>
    </row>
    <row r="29" spans="1:14" x14ac:dyDescent="0.2">
      <c r="A29" s="96"/>
      <c r="B29" s="175" t="s">
        <v>126</v>
      </c>
      <c r="C29" s="176" t="s">
        <v>24</v>
      </c>
      <c r="D29" s="175" t="str">
        <v>AB</v>
      </c>
      <c r="E29" s="175" t="str">
        <v>3E</v>
      </c>
      <c r="F29" s="175" t="str">
        <f t="shared" si="0"/>
        <v>Annual</v>
      </c>
      <c r="G29" s="154" t="s">
        <v>134</v>
      </c>
      <c r="H29" s="154" t="str">
        <f t="shared" si="1"/>
        <v>30/360 (Bond Basis)</v>
      </c>
      <c r="I29" s="174">
        <v>0</v>
      </c>
      <c r="J29" s="129" t="str">
        <f t="shared" si="2"/>
        <v>EURAB3E21Y_Quote</v>
      </c>
      <c r="K29" s="173" t="str">
        <f t="shared" si="3"/>
        <v>EUR_YC3MRH_AB3E21Y</v>
      </c>
      <c r="L29" s="172" t="str">
        <f>_xll.qlSwapRateHelper2(K29,$J29,$C29,Calendar,$F29,$G29,$H29,$L$4,$I29,B29,DiscountingCurve,Permanent,,ObjectOverwrite)</f>
        <v>EUR_YC3MRH_AB3E21Y#0001</v>
      </c>
      <c r="M29" s="171" t="str">
        <f>_xll.ohRangeRetrieveError(L29)</f>
        <v/>
      </c>
      <c r="N29" s="170"/>
    </row>
    <row r="30" spans="1:14" x14ac:dyDescent="0.2">
      <c r="A30" s="96"/>
      <c r="B30" s="175" t="s">
        <v>126</v>
      </c>
      <c r="C30" s="176" t="s">
        <v>23</v>
      </c>
      <c r="D30" s="175" t="str">
        <v>AB</v>
      </c>
      <c r="E30" s="175" t="str">
        <v>3E</v>
      </c>
      <c r="F30" s="175" t="str">
        <f t="shared" si="0"/>
        <v>Annual</v>
      </c>
      <c r="G30" s="154" t="s">
        <v>134</v>
      </c>
      <c r="H30" s="154" t="str">
        <f t="shared" si="1"/>
        <v>30/360 (Bond Basis)</v>
      </c>
      <c r="I30" s="174">
        <v>0</v>
      </c>
      <c r="J30" s="129" t="str">
        <f t="shared" si="2"/>
        <v>EURAB3E22Y_Quote</v>
      </c>
      <c r="K30" s="173" t="str">
        <f t="shared" si="3"/>
        <v>EUR_YC3MRH_AB3E22Y</v>
      </c>
      <c r="L30" s="172" t="str">
        <f>_xll.qlSwapRateHelper2(K30,$J30,$C30,Calendar,$F30,$G30,$H30,$L$4,$I30,B30,DiscountingCurve,Permanent,,ObjectOverwrite)</f>
        <v>EUR_YC3MRH_AB3E22Y#0001</v>
      </c>
      <c r="M30" s="171" t="str">
        <f>_xll.ohRangeRetrieveError(L30)</f>
        <v/>
      </c>
      <c r="N30" s="170"/>
    </row>
    <row r="31" spans="1:14" x14ac:dyDescent="0.2">
      <c r="A31" s="96"/>
      <c r="B31" s="175" t="s">
        <v>126</v>
      </c>
      <c r="C31" s="176" t="s">
        <v>22</v>
      </c>
      <c r="D31" s="175" t="str">
        <v>AB</v>
      </c>
      <c r="E31" s="175" t="str">
        <v>3E</v>
      </c>
      <c r="F31" s="175" t="str">
        <f t="shared" si="0"/>
        <v>Annual</v>
      </c>
      <c r="G31" s="154" t="s">
        <v>134</v>
      </c>
      <c r="H31" s="154" t="str">
        <f t="shared" si="1"/>
        <v>30/360 (Bond Basis)</v>
      </c>
      <c r="I31" s="174">
        <v>0</v>
      </c>
      <c r="J31" s="129" t="str">
        <f t="shared" si="2"/>
        <v>EURAB3E23Y_Quote</v>
      </c>
      <c r="K31" s="173" t="str">
        <f t="shared" si="3"/>
        <v>EUR_YC3MRH_AB3E23Y</v>
      </c>
      <c r="L31" s="172" t="str">
        <f>_xll.qlSwapRateHelper2(K31,$J31,$C31,Calendar,$F31,$G31,$H31,$L$4,$I31,B31,DiscountingCurve,Permanent,,ObjectOverwrite)</f>
        <v>EUR_YC3MRH_AB3E23Y#0001</v>
      </c>
      <c r="M31" s="171" t="str">
        <f>_xll.ohRangeRetrieveError(L31)</f>
        <v/>
      </c>
      <c r="N31" s="170"/>
    </row>
    <row r="32" spans="1:14" x14ac:dyDescent="0.2">
      <c r="A32" s="96"/>
      <c r="B32" s="175" t="s">
        <v>126</v>
      </c>
      <c r="C32" s="176" t="s">
        <v>21</v>
      </c>
      <c r="D32" s="175" t="str">
        <v>AB</v>
      </c>
      <c r="E32" s="175" t="str">
        <v>3E</v>
      </c>
      <c r="F32" s="175" t="str">
        <f t="shared" si="0"/>
        <v>Annual</v>
      </c>
      <c r="G32" s="154" t="s">
        <v>134</v>
      </c>
      <c r="H32" s="154" t="str">
        <f t="shared" si="1"/>
        <v>30/360 (Bond Basis)</v>
      </c>
      <c r="I32" s="174">
        <v>0</v>
      </c>
      <c r="J32" s="129" t="str">
        <f t="shared" si="2"/>
        <v>EURAB3E24Y_Quote</v>
      </c>
      <c r="K32" s="173" t="str">
        <f t="shared" si="3"/>
        <v>EUR_YC3MRH_AB3E24Y</v>
      </c>
      <c r="L32" s="172" t="str">
        <f>_xll.qlSwapRateHelper2(K32,$J32,$C32,Calendar,$F32,$G32,$H32,$L$4,$I32,B32,DiscountingCurve,Permanent,,ObjectOverwrite)</f>
        <v>EUR_YC3MRH_AB3E24Y#0001</v>
      </c>
      <c r="M32" s="171" t="str">
        <f>_xll.ohRangeRetrieveError(L32)</f>
        <v/>
      </c>
      <c r="N32" s="170"/>
    </row>
    <row r="33" spans="1:17" x14ac:dyDescent="0.2">
      <c r="A33" s="96"/>
      <c r="B33" s="175" t="s">
        <v>126</v>
      </c>
      <c r="C33" s="176" t="s">
        <v>20</v>
      </c>
      <c r="D33" s="175" t="str">
        <v>AB</v>
      </c>
      <c r="E33" s="175" t="str">
        <v>3E</v>
      </c>
      <c r="F33" s="175" t="str">
        <f t="shared" si="0"/>
        <v>Annual</v>
      </c>
      <c r="G33" s="154" t="s">
        <v>134</v>
      </c>
      <c r="H33" s="154" t="str">
        <f t="shared" si="1"/>
        <v>30/360 (Bond Basis)</v>
      </c>
      <c r="I33" s="174">
        <v>0</v>
      </c>
      <c r="J33" s="129" t="str">
        <f t="shared" si="2"/>
        <v>EURAB3E25Y_Quote</v>
      </c>
      <c r="K33" s="173" t="str">
        <f t="shared" si="3"/>
        <v>EUR_YC3MRH_AB3E25Y</v>
      </c>
      <c r="L33" s="172" t="str">
        <f>_xll.qlSwapRateHelper2(K33,$J33,$C33,Calendar,$F33,$G33,$H33,$L$4,$I33,B33,DiscountingCurve,Permanent,,ObjectOverwrite)</f>
        <v>EUR_YC3MRH_AB3E25Y#0001</v>
      </c>
      <c r="M33" s="171" t="str">
        <f>_xll.ohRangeRetrieveError(L33)</f>
        <v/>
      </c>
      <c r="N33" s="170"/>
    </row>
    <row r="34" spans="1:17" x14ac:dyDescent="0.2">
      <c r="A34" s="96"/>
      <c r="B34" s="175" t="s">
        <v>126</v>
      </c>
      <c r="C34" s="176" t="s">
        <v>19</v>
      </c>
      <c r="D34" s="175" t="str">
        <v>AB</v>
      </c>
      <c r="E34" s="175" t="str">
        <v>3E</v>
      </c>
      <c r="F34" s="175" t="str">
        <f t="shared" si="0"/>
        <v>Annual</v>
      </c>
      <c r="G34" s="154" t="s">
        <v>134</v>
      </c>
      <c r="H34" s="154" t="str">
        <f t="shared" si="1"/>
        <v>30/360 (Bond Basis)</v>
      </c>
      <c r="I34" s="174">
        <v>0</v>
      </c>
      <c r="J34" s="129" t="str">
        <f t="shared" si="2"/>
        <v>EURAB3E26Y_Quote</v>
      </c>
      <c r="K34" s="173" t="str">
        <f t="shared" si="3"/>
        <v>EUR_YC3MRH_AB3E26Y</v>
      </c>
      <c r="L34" s="172" t="str">
        <f>_xll.qlSwapRateHelper2(K34,$J34,$C34,Calendar,$F34,$G34,$H34,$L$4,$I34,B34,DiscountingCurve,Permanent,,ObjectOverwrite)</f>
        <v>EUR_YC3MRH_AB3E26Y#0001</v>
      </c>
      <c r="M34" s="171" t="str">
        <f>_xll.ohRangeRetrieveError(L34)</f>
        <v/>
      </c>
      <c r="N34" s="170"/>
    </row>
    <row r="35" spans="1:17" x14ac:dyDescent="0.2">
      <c r="A35" s="96"/>
      <c r="B35" s="175" t="s">
        <v>126</v>
      </c>
      <c r="C35" s="176" t="s">
        <v>18</v>
      </c>
      <c r="D35" s="175" t="str">
        <v>AB</v>
      </c>
      <c r="E35" s="175" t="str">
        <v>3E</v>
      </c>
      <c r="F35" s="175" t="str">
        <f t="shared" si="0"/>
        <v>Annual</v>
      </c>
      <c r="G35" s="154" t="s">
        <v>134</v>
      </c>
      <c r="H35" s="154" t="str">
        <f t="shared" si="1"/>
        <v>30/360 (Bond Basis)</v>
      </c>
      <c r="I35" s="174">
        <v>0</v>
      </c>
      <c r="J35" s="129" t="str">
        <f t="shared" si="2"/>
        <v>EURAB3E27Y_Quote</v>
      </c>
      <c r="K35" s="173" t="str">
        <f t="shared" si="3"/>
        <v>EUR_YC3MRH_AB3E27Y</v>
      </c>
      <c r="L35" s="172" t="str">
        <f>_xll.qlSwapRateHelper2(K35,$J35,$C35,Calendar,$F35,$G35,$H35,$L$4,$I35,B35,DiscountingCurve,Permanent,,ObjectOverwrite)</f>
        <v>EUR_YC3MRH_AB3E27Y#0001</v>
      </c>
      <c r="M35" s="171" t="str">
        <f>_xll.ohRangeRetrieveError(L35)</f>
        <v/>
      </c>
      <c r="N35" s="170"/>
    </row>
    <row r="36" spans="1:17" x14ac:dyDescent="0.2">
      <c r="A36" s="96"/>
      <c r="B36" s="175" t="s">
        <v>126</v>
      </c>
      <c r="C36" s="176" t="s">
        <v>17</v>
      </c>
      <c r="D36" s="175" t="str">
        <v>AB</v>
      </c>
      <c r="E36" s="175" t="str">
        <v>3E</v>
      </c>
      <c r="F36" s="175" t="str">
        <f t="shared" si="0"/>
        <v>Annual</v>
      </c>
      <c r="G36" s="154" t="s">
        <v>134</v>
      </c>
      <c r="H36" s="154" t="str">
        <f t="shared" si="1"/>
        <v>30/360 (Bond Basis)</v>
      </c>
      <c r="I36" s="174">
        <v>0</v>
      </c>
      <c r="J36" s="129" t="str">
        <f t="shared" si="2"/>
        <v>EURAB3E28Y_Quote</v>
      </c>
      <c r="K36" s="173" t="str">
        <f t="shared" si="3"/>
        <v>EUR_YC3MRH_AB3E28Y</v>
      </c>
      <c r="L36" s="172" t="str">
        <f>_xll.qlSwapRateHelper2(K36,$J36,$C36,Calendar,$F36,$G36,$H36,$L$4,$I36,B36,DiscountingCurve,Permanent,,ObjectOverwrite)</f>
        <v>EUR_YC3MRH_AB3E28Y#0001</v>
      </c>
      <c r="M36" s="171" t="str">
        <f>_xll.ohRangeRetrieveError(L36)</f>
        <v/>
      </c>
      <c r="N36" s="170"/>
    </row>
    <row r="37" spans="1:17" x14ac:dyDescent="0.2">
      <c r="A37" s="96"/>
      <c r="B37" s="175" t="s">
        <v>126</v>
      </c>
      <c r="C37" s="176" t="s">
        <v>16</v>
      </c>
      <c r="D37" s="175" t="str">
        <v>AB</v>
      </c>
      <c r="E37" s="175" t="str">
        <v>3E</v>
      </c>
      <c r="F37" s="175" t="str">
        <f t="shared" si="0"/>
        <v>Annual</v>
      </c>
      <c r="G37" s="154" t="s">
        <v>134</v>
      </c>
      <c r="H37" s="154" t="str">
        <f t="shared" si="1"/>
        <v>30/360 (Bond Basis)</v>
      </c>
      <c r="I37" s="174">
        <v>0</v>
      </c>
      <c r="J37" s="129" t="str">
        <f t="shared" si="2"/>
        <v>EURAB3E29Y_Quote</v>
      </c>
      <c r="K37" s="173" t="str">
        <f t="shared" si="3"/>
        <v>EUR_YC3MRH_AB3E29Y</v>
      </c>
      <c r="L37" s="172" t="str">
        <f>_xll.qlSwapRateHelper2(K37,$J37,$C37,Calendar,$F37,$G37,$H37,$L$4,$I37,B37,DiscountingCurve,Permanent,,ObjectOverwrite)</f>
        <v>EUR_YC3MRH_AB3E29Y#0001</v>
      </c>
      <c r="M37" s="171" t="str">
        <f>_xll.ohRangeRetrieveError(L37)</f>
        <v/>
      </c>
      <c r="N37" s="170"/>
    </row>
    <row r="38" spans="1:17" x14ac:dyDescent="0.2">
      <c r="A38" s="96"/>
      <c r="B38" s="175" t="s">
        <v>126</v>
      </c>
      <c r="C38" s="176" t="s">
        <v>15</v>
      </c>
      <c r="D38" s="175" t="str">
        <v>AB</v>
      </c>
      <c r="E38" s="175" t="str">
        <v>3E</v>
      </c>
      <c r="F38" s="175" t="str">
        <f t="shared" si="0"/>
        <v>Annual</v>
      </c>
      <c r="G38" s="154" t="s">
        <v>134</v>
      </c>
      <c r="H38" s="154" t="str">
        <f t="shared" si="1"/>
        <v>30/360 (Bond Basis)</v>
      </c>
      <c r="I38" s="174">
        <v>0</v>
      </c>
      <c r="J38" s="129" t="str">
        <f t="shared" si="2"/>
        <v>EURAB3E30Y_Quote</v>
      </c>
      <c r="K38" s="173" t="str">
        <f t="shared" si="3"/>
        <v>EUR_YC3MRH_AB3E30Y</v>
      </c>
      <c r="L38" s="172" t="str">
        <f>_xll.qlSwapRateHelper2(K38,$J38,$C38,Calendar,$F38,$G38,$H38,$L$4,$I38,B38,DiscountingCurve,Permanent,,ObjectOverwrite)</f>
        <v>EUR_YC3MRH_AB3E30Y#0001</v>
      </c>
      <c r="M38" s="171" t="str">
        <f>_xll.ohRangeRetrieveError(L38)</f>
        <v/>
      </c>
      <c r="N38" s="170"/>
    </row>
    <row r="39" spans="1:17" x14ac:dyDescent="0.2">
      <c r="A39" s="96"/>
      <c r="B39" s="175" t="s">
        <v>126</v>
      </c>
      <c r="C39" s="176" t="s">
        <v>14</v>
      </c>
      <c r="D39" s="175" t="str">
        <v>AB</v>
      </c>
      <c r="E39" s="175" t="str">
        <v>3E</v>
      </c>
      <c r="F39" s="175" t="str">
        <f t="shared" si="0"/>
        <v>Annual</v>
      </c>
      <c r="G39" s="154" t="s">
        <v>134</v>
      </c>
      <c r="H39" s="154" t="str">
        <f t="shared" si="1"/>
        <v>30/360 (Bond Basis)</v>
      </c>
      <c r="I39" s="174">
        <v>0</v>
      </c>
      <c r="J39" s="129" t="str">
        <f t="shared" si="2"/>
        <v>EURAB3E35Y_Quote</v>
      </c>
      <c r="K39" s="173" t="str">
        <f t="shared" si="3"/>
        <v>EUR_YC3MRH_AB3E35Y</v>
      </c>
      <c r="L39" s="172" t="str">
        <f>_xll.qlSwapRateHelper2(K39,$J39,$C39,Calendar,$F39,$G39,$H39,$L$4,$I39,B39,DiscountingCurve,Permanent,,ObjectOverwrite)</f>
        <v>EUR_YC3MRH_AB3E35Y#0001</v>
      </c>
      <c r="M39" s="171" t="str">
        <f>_xll.ohRangeRetrieveError(L39)</f>
        <v/>
      </c>
      <c r="N39" s="170"/>
    </row>
    <row r="40" spans="1:17" x14ac:dyDescent="0.2">
      <c r="A40" s="96"/>
      <c r="B40" s="175" t="s">
        <v>126</v>
      </c>
      <c r="C40" s="176" t="s">
        <v>13</v>
      </c>
      <c r="D40" s="175" t="str">
        <v>AB</v>
      </c>
      <c r="E40" s="175" t="str">
        <v>3E</v>
      </c>
      <c r="F40" s="175" t="str">
        <f t="shared" si="0"/>
        <v>Annual</v>
      </c>
      <c r="G40" s="154" t="s">
        <v>134</v>
      </c>
      <c r="H40" s="154" t="str">
        <f t="shared" si="1"/>
        <v>30/360 (Bond Basis)</v>
      </c>
      <c r="I40" s="174">
        <v>0</v>
      </c>
      <c r="J40" s="129" t="str">
        <f t="shared" si="2"/>
        <v>EURAB3E40Y_Quote</v>
      </c>
      <c r="K40" s="173" t="str">
        <f t="shared" si="3"/>
        <v>EUR_YC3MRH_AB3E40Y</v>
      </c>
      <c r="L40" s="172" t="str">
        <f>_xll.qlSwapRateHelper2(K40,$J40,$C40,Calendar,$F40,$G40,$H40,$L$4,$I40,B40,DiscountingCurve,Permanent,,ObjectOverwrite)</f>
        <v>EUR_YC3MRH_AB3E40Y#0001</v>
      </c>
      <c r="M40" s="171" t="str">
        <f>_xll.ohRangeRetrieveError(L40)</f>
        <v/>
      </c>
      <c r="N40" s="170"/>
    </row>
    <row r="41" spans="1:17" x14ac:dyDescent="0.2">
      <c r="A41" s="96"/>
      <c r="B41" s="175" t="s">
        <v>126</v>
      </c>
      <c r="C41" s="176" t="s">
        <v>12</v>
      </c>
      <c r="D41" s="175" t="str">
        <v>AB</v>
      </c>
      <c r="E41" s="175" t="str">
        <v>3E</v>
      </c>
      <c r="F41" s="175" t="str">
        <f t="shared" si="0"/>
        <v>Annual</v>
      </c>
      <c r="G41" s="154" t="s">
        <v>134</v>
      </c>
      <c r="H41" s="154" t="str">
        <f t="shared" si="1"/>
        <v>30/360 (Bond Basis)</v>
      </c>
      <c r="I41" s="174">
        <v>0</v>
      </c>
      <c r="J41" s="129" t="str">
        <f t="shared" si="2"/>
        <v>EURAB3E50Y_Quote</v>
      </c>
      <c r="K41" s="173" t="str">
        <f t="shared" si="3"/>
        <v>EUR_YC3MRH_AB3E50Y</v>
      </c>
      <c r="L41" s="172" t="str">
        <f>_xll.qlSwapRateHelper2(K41,$J41,$C41,Calendar,$F41,$G41,$H41,$L$4,$I41,B41,DiscountingCurve,Permanent,,ObjectOverwrite)</f>
        <v>EUR_YC3MRH_AB3E50Y#0001</v>
      </c>
      <c r="M41" s="171" t="str">
        <f>_xll.ohRangeRetrieveError(L41)</f>
        <v/>
      </c>
      <c r="N41" s="170"/>
    </row>
    <row r="42" spans="1:17" x14ac:dyDescent="0.2">
      <c r="A42" s="96"/>
      <c r="B42" s="175" t="s">
        <v>126</v>
      </c>
      <c r="C42" s="176" t="s">
        <v>11</v>
      </c>
      <c r="D42" s="175" t="str">
        <v>AB</v>
      </c>
      <c r="E42" s="175" t="str">
        <v>3E</v>
      </c>
      <c r="F42" s="175" t="str">
        <f t="shared" si="0"/>
        <v>Annual</v>
      </c>
      <c r="G42" s="154" t="s">
        <v>134</v>
      </c>
      <c r="H42" s="154" t="str">
        <f t="shared" si="1"/>
        <v>30/360 (Bond Basis)</v>
      </c>
      <c r="I42" s="174">
        <v>0</v>
      </c>
      <c r="J42" s="129" t="str">
        <f t="shared" si="2"/>
        <v>EURAB3E60Y_Quote</v>
      </c>
      <c r="K42" s="173" t="str">
        <f t="shared" si="3"/>
        <v>EUR_YC3MRH_AB3E60Y</v>
      </c>
      <c r="L42" s="172" t="str">
        <f>_xll.qlSwapRateHelper2(K42,$J42,$C42,Calendar,$F42,$G42,$H42,$L$4,$I42,B42,DiscountingCurve,Permanent,,ObjectOverwrite)</f>
        <v>EUR_YC3MRH_AB3E60Y#0001</v>
      </c>
      <c r="M42" s="171" t="str">
        <f>_xll.ohRangeRetrieveError(L42)</f>
        <v/>
      </c>
      <c r="N42" s="170"/>
    </row>
    <row r="43" spans="1:17" x14ac:dyDescent="0.2">
      <c r="A43" s="106"/>
      <c r="B43" s="105"/>
      <c r="C43" s="105"/>
      <c r="D43" s="105"/>
      <c r="E43" s="105"/>
      <c r="F43" s="105"/>
      <c r="G43" s="105"/>
      <c r="H43" s="105"/>
      <c r="I43" s="105"/>
      <c r="J43" s="105"/>
      <c r="K43" s="105"/>
      <c r="L43" s="105"/>
      <c r="M43" s="105"/>
      <c r="N43" s="170"/>
    </row>
    <row r="44" spans="1:17" x14ac:dyDescent="0.2">
      <c r="A44" s="96"/>
      <c r="B44" s="175" t="s">
        <v>126</v>
      </c>
      <c r="C44" s="178"/>
      <c r="D44" s="175" t="s">
        <v>48</v>
      </c>
      <c r="E44" s="175">
        <v>12</v>
      </c>
      <c r="F44" s="175" t="s">
        <v>135</v>
      </c>
      <c r="G44" s="155" t="s">
        <v>134</v>
      </c>
      <c r="H44" s="155" t="s">
        <v>133</v>
      </c>
      <c r="I44" s="174">
        <v>0</v>
      </c>
      <c r="J44" s="177" t="str">
        <f t="shared" ref="J44:J50" si="4">Currency&amp;$D44&amp;$E44&amp;QuoteSuffix</f>
        <v>EUR1S12_Quote</v>
      </c>
      <c r="K44" s="173" t="str">
        <f t="shared" ref="K44:K50" si="5">$K$2&amp;"_"&amp;$D44&amp;$E44&amp;$C44</f>
        <v>EUR_YC3MRH_1S12</v>
      </c>
      <c r="L44" s="172" t="str">
        <f>_xll.qlSwapRateHelper2(K44,$J44,$E44&amp;"M",Calendar,$F44,$G44,$H44,$L$4,$I44,B44,DiscountingCurve,Permanent,,ObjectOverwrite)</f>
        <v>EUR_YC3MRH_1S12#0001</v>
      </c>
      <c r="M44" s="171" t="str">
        <f>_xll.ohRangeRetrieveError(L44)</f>
        <v/>
      </c>
      <c r="N44" s="170"/>
      <c r="O44" s="169"/>
      <c r="P44" s="169"/>
      <c r="Q44" s="169"/>
    </row>
    <row r="45" spans="1:17" x14ac:dyDescent="0.2">
      <c r="A45" s="96"/>
      <c r="B45" s="175" t="s">
        <v>126</v>
      </c>
      <c r="C45" s="176"/>
      <c r="D45" s="175" t="s">
        <v>49</v>
      </c>
      <c r="E45" s="175">
        <v>12</v>
      </c>
      <c r="F45" s="175" t="s">
        <v>135</v>
      </c>
      <c r="G45" s="154" t="s">
        <v>134</v>
      </c>
      <c r="H45" s="154" t="s">
        <v>133</v>
      </c>
      <c r="I45" s="174">
        <v>0</v>
      </c>
      <c r="J45" s="129" t="str">
        <f t="shared" si="4"/>
        <v>EUR2S12_Quote</v>
      </c>
      <c r="K45" s="173" t="str">
        <f t="shared" si="5"/>
        <v>EUR_YC3MRH_2S12</v>
      </c>
      <c r="L45" s="172" t="str">
        <f>_xll.qlSwapRateHelper2(K45,$J45,$E45&amp;"M",Calendar,$F45,$G45,$H45,$L$4,$I45,B45,DiscountingCurve,Permanent,,ObjectOverwrite)</f>
        <v>EUR_YC3MRH_2S12#0001</v>
      </c>
      <c r="M45" s="171" t="str">
        <f>_xll.ohRangeRetrieveError(L45)</f>
        <v/>
      </c>
      <c r="N45" s="170"/>
      <c r="O45" s="169"/>
      <c r="P45" s="169"/>
      <c r="Q45" s="169"/>
    </row>
    <row r="46" spans="1:17" x14ac:dyDescent="0.2">
      <c r="A46" s="96"/>
      <c r="B46" s="175" t="s">
        <v>126</v>
      </c>
      <c r="C46" s="176"/>
      <c r="D46" s="175" t="s">
        <v>51</v>
      </c>
      <c r="E46" s="175">
        <v>12</v>
      </c>
      <c r="F46" s="175" t="s">
        <v>135</v>
      </c>
      <c r="G46" s="154" t="s">
        <v>134</v>
      </c>
      <c r="H46" s="154" t="s">
        <v>133</v>
      </c>
      <c r="I46" s="174">
        <v>0</v>
      </c>
      <c r="J46" s="129" t="str">
        <f t="shared" si="4"/>
        <v>EUR3S12_Quote</v>
      </c>
      <c r="K46" s="173" t="str">
        <f t="shared" si="5"/>
        <v>EUR_YC3MRH_3S12</v>
      </c>
      <c r="L46" s="172" t="str">
        <f>_xll.qlSwapRateHelper2(K46,$J46,$E46&amp;"M",Calendar,$F46,$G46,$H46,$L$4,$I46,B46,DiscountingCurve,Permanent,,ObjectOverwrite)</f>
        <v>EUR_YC3MRH_3S12#0001</v>
      </c>
      <c r="M46" s="171" t="str">
        <f>_xll.ohRangeRetrieveError(L46)</f>
        <v/>
      </c>
      <c r="N46" s="170"/>
      <c r="O46" s="169"/>
      <c r="P46" s="169"/>
      <c r="Q46" s="169"/>
    </row>
    <row r="47" spans="1:17" x14ac:dyDescent="0.2">
      <c r="A47" s="96"/>
      <c r="B47" s="175" t="s">
        <v>126</v>
      </c>
      <c r="C47" s="176"/>
      <c r="D47" s="175" t="s">
        <v>50</v>
      </c>
      <c r="E47" s="175">
        <v>12</v>
      </c>
      <c r="F47" s="175" t="s">
        <v>135</v>
      </c>
      <c r="G47" s="154" t="s">
        <v>134</v>
      </c>
      <c r="H47" s="154" t="s">
        <v>133</v>
      </c>
      <c r="I47" s="174">
        <v>0</v>
      </c>
      <c r="J47" s="129" t="str">
        <f t="shared" si="4"/>
        <v>EUR4S12_Quote</v>
      </c>
      <c r="K47" s="173" t="str">
        <f t="shared" si="5"/>
        <v>EUR_YC3MRH_4S12</v>
      </c>
      <c r="L47" s="172" t="str">
        <f>_xll.qlSwapRateHelper2(K47,$J47,$E47&amp;"M",Calendar,$F47,$G47,$H47,$L$4,$I47,B47,DiscountingCurve,Permanent,,ObjectOverwrite)</f>
        <v>EUR_YC3MRH_4S12#0001</v>
      </c>
      <c r="M47" s="171" t="str">
        <f>_xll.ohRangeRetrieveError(L47)</f>
        <v/>
      </c>
      <c r="N47" s="170"/>
      <c r="O47" s="169"/>
      <c r="P47" s="169"/>
      <c r="Q47" s="169"/>
    </row>
    <row r="48" spans="1:17" x14ac:dyDescent="0.2">
      <c r="A48" s="96"/>
      <c r="B48" s="175" t="s">
        <v>126</v>
      </c>
      <c r="C48" s="176"/>
      <c r="D48" s="175" t="s">
        <v>48</v>
      </c>
      <c r="E48" s="175">
        <v>24</v>
      </c>
      <c r="F48" s="175" t="s">
        <v>135</v>
      </c>
      <c r="G48" s="154" t="s">
        <v>134</v>
      </c>
      <c r="H48" s="154" t="s">
        <v>133</v>
      </c>
      <c r="I48" s="174">
        <v>0</v>
      </c>
      <c r="J48" s="129" t="str">
        <f t="shared" si="4"/>
        <v>EUR1S24_Quote</v>
      </c>
      <c r="K48" s="173" t="str">
        <f t="shared" si="5"/>
        <v>EUR_YC3MRH_1S24</v>
      </c>
      <c r="L48" s="172" t="str">
        <f>_xll.qlSwapRateHelper2(K48,$J48,$E48&amp;"M",Calendar,$F48,$G48,$H48,$L$4,$I48,B48,DiscountingCurve,Permanent,,ObjectOverwrite)</f>
        <v>EUR_YC3MRH_1S24#0001</v>
      </c>
      <c r="M48" s="171" t="str">
        <f>_xll.ohRangeRetrieveError(L48)</f>
        <v/>
      </c>
      <c r="N48" s="170"/>
      <c r="O48" s="169"/>
      <c r="P48" s="169"/>
      <c r="Q48" s="169"/>
    </row>
    <row r="49" spans="1:17" x14ac:dyDescent="0.2">
      <c r="A49" s="96"/>
      <c r="B49" s="175" t="s">
        <v>126</v>
      </c>
      <c r="C49" s="176"/>
      <c r="D49" s="175" t="s">
        <v>49</v>
      </c>
      <c r="E49" s="175">
        <v>24</v>
      </c>
      <c r="F49" s="175" t="s">
        <v>135</v>
      </c>
      <c r="G49" s="154" t="s">
        <v>134</v>
      </c>
      <c r="H49" s="154" t="s">
        <v>133</v>
      </c>
      <c r="I49" s="174">
        <v>0</v>
      </c>
      <c r="J49" s="129" t="str">
        <f t="shared" si="4"/>
        <v>EUR2S24_Quote</v>
      </c>
      <c r="K49" s="173" t="str">
        <f t="shared" si="5"/>
        <v>EUR_YC3MRH_2S24</v>
      </c>
      <c r="L49" s="172" t="str">
        <f>_xll.qlSwapRateHelper2(K49,$J49,$E49&amp;"M",Calendar,$F49,$G49,$H49,$L$4,$I49,B49,DiscountingCurve,Permanent,,ObjectOverwrite)</f>
        <v>EUR_YC3MRH_2S24#0001</v>
      </c>
      <c r="M49" s="171" t="str">
        <f>_xll.ohRangeRetrieveError(L49)</f>
        <v/>
      </c>
      <c r="N49" s="170"/>
      <c r="O49" s="169"/>
      <c r="P49" s="169"/>
      <c r="Q49" s="169"/>
    </row>
    <row r="50" spans="1:17" x14ac:dyDescent="0.2">
      <c r="A50" s="96"/>
      <c r="B50" s="175" t="s">
        <v>126</v>
      </c>
      <c r="C50" s="176"/>
      <c r="D50" s="175" t="s">
        <v>48</v>
      </c>
      <c r="E50" s="175">
        <v>36</v>
      </c>
      <c r="F50" s="175" t="s">
        <v>135</v>
      </c>
      <c r="G50" s="154" t="s">
        <v>134</v>
      </c>
      <c r="H50" s="154" t="s">
        <v>133</v>
      </c>
      <c r="I50" s="174">
        <v>0</v>
      </c>
      <c r="J50" s="129" t="str">
        <f t="shared" si="4"/>
        <v>EUR1S36_Quote</v>
      </c>
      <c r="K50" s="173" t="str">
        <f t="shared" si="5"/>
        <v>EUR_YC3MRH_1S36</v>
      </c>
      <c r="L50" s="172" t="str">
        <f>_xll.qlSwapRateHelper2(K50,$J50,$E50&amp;"M",Calendar,$F50,$G50,$H50,$L$4,$I50,B50,DiscountingCurve,Permanent,,ObjectOverwrite)</f>
        <v>EUR_YC3MRH_1S36#0001</v>
      </c>
      <c r="M50" s="171" t="str">
        <f>_xll.ohRangeRetrieveError(L50)</f>
        <v/>
      </c>
      <c r="N50" s="170"/>
      <c r="O50" s="169"/>
      <c r="P50" s="169"/>
      <c r="Q50" s="169"/>
    </row>
    <row r="51" spans="1:17" ht="12" thickBot="1" x14ac:dyDescent="0.25">
      <c r="A51" s="88"/>
      <c r="B51" s="87"/>
      <c r="C51" s="87"/>
      <c r="D51" s="87"/>
      <c r="E51" s="87"/>
      <c r="F51" s="87"/>
      <c r="G51" s="87"/>
      <c r="H51" s="87"/>
      <c r="I51" s="87"/>
      <c r="J51" s="87"/>
      <c r="K51" s="87"/>
      <c r="L51" s="87"/>
      <c r="M51" s="87"/>
      <c r="N51" s="168"/>
      <c r="O51" s="105"/>
      <c r="P51" s="105"/>
      <c r="Q51" s="105"/>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3"/>
  <sheetViews>
    <sheetView workbookViewId="0">
      <selection activeCell="L3" sqref="L3"/>
    </sheetView>
  </sheetViews>
  <sheetFormatPr defaultRowHeight="11.25" x14ac:dyDescent="0.2"/>
  <cols>
    <col min="1" max="1" width="1.710937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20.28515625" style="102" bestFit="1" customWidth="1"/>
    <col min="11" max="11" width="27.5703125" style="102" bestFit="1" customWidth="1"/>
    <col min="12" max="12" width="30.42578125" style="125" bestFit="1" customWidth="1"/>
    <col min="13" max="13" width="16.5703125" style="102" customWidth="1"/>
    <col min="14" max="14" width="3.85546875" style="102" customWidth="1"/>
    <col min="15" max="15" width="2.5703125" style="102" customWidth="1"/>
    <col min="16" max="16" width="4" style="102" bestFit="1" customWidth="1"/>
    <col min="17" max="17" width="3.28515625" style="102" bestFit="1" customWidth="1"/>
    <col min="18" max="18" width="2.7109375" style="102" bestFit="1" customWidth="1"/>
    <col min="19" max="16384" width="9.140625" style="102"/>
  </cols>
  <sheetData>
    <row r="1" spans="1:20" x14ac:dyDescent="0.2">
      <c r="A1" s="167" t="s">
        <v>149</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4"/>
      <c r="J2" s="104" t="s">
        <v>106</v>
      </c>
      <c r="K2" s="104" t="str">
        <f>Currency&amp;"_YC"&amp;$J$2&amp;"RH"</f>
        <v>EUR_YC3MRH</v>
      </c>
      <c r="L2" s="104" t="str">
        <f>Discounting</f>
        <v>EurON</v>
      </c>
      <c r="M2" s="105"/>
      <c r="N2" s="170"/>
    </row>
    <row r="3" spans="1:20" ht="22.5" x14ac:dyDescent="0.2">
      <c r="A3" s="96"/>
      <c r="B3" s="101" t="s">
        <v>143</v>
      </c>
      <c r="C3" s="101"/>
      <c r="D3" s="101"/>
      <c r="E3" s="101"/>
      <c r="F3" s="101" t="s">
        <v>142</v>
      </c>
      <c r="G3" s="101" t="s">
        <v>141</v>
      </c>
      <c r="H3" s="101" t="s">
        <v>140</v>
      </c>
      <c r="I3" s="101" t="s">
        <v>139</v>
      </c>
      <c r="J3" s="101" t="s">
        <v>113</v>
      </c>
      <c r="K3" s="191" t="str">
        <f>K2&amp;"_SwapsFromBasis.xml"</f>
        <v>EUR_YC3MRH_SwapsFromBasis.xml</v>
      </c>
      <c r="L3" s="141" t="str">
        <f>IF(Serialize,_xll.ohObjectSave(L4:L42,SerializationPath&amp;K3,FileOverwrite,Serialize),"---")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$K$2&amp;"_"&amp;$D6&amp;$E6&amp;"BASIS_"&amp;FamilyName&amp;$J$2</f>
        <v>EUR_YC3MRH_AB3EBASIS_ibor3M</v>
      </c>
      <c r="L4" s="189" t="str">
        <f>IF(UPPER(FamilyName)="IBOR",_xll.qlEuribor($K4,$J$2,,Permanent,Trigger,ObjectOverwrite),IF(UPPER(FamilyName)="LIBOR",_xll.qlLibor($K4,Currency,$J$2,,Permanent,Trigger,ObjectOverwrite),"--"))</f>
        <v>EUR_YC3MRH_AB3EBASIS_ibor3M#0001</v>
      </c>
      <c r="M4" s="188" t="str">
        <f>_xll.ohRangeRetrieveError(L4)</f>
        <v/>
      </c>
      <c r="N4" s="170"/>
    </row>
    <row r="5" spans="1:20" x14ac:dyDescent="0.2">
      <c r="A5" s="106"/>
      <c r="B5" s="105"/>
      <c r="C5" s="105"/>
      <c r="D5" s="105"/>
      <c r="E5" s="105"/>
      <c r="F5" s="105"/>
      <c r="G5" s="105"/>
      <c r="H5" s="105"/>
      <c r="I5" s="105"/>
      <c r="J5" s="105"/>
      <c r="K5" s="105"/>
      <c r="L5" s="105"/>
      <c r="M5" s="105"/>
      <c r="N5" s="170"/>
    </row>
    <row r="6" spans="1:20" x14ac:dyDescent="0.2">
      <c r="A6" s="96"/>
      <c r="B6" s="201" t="s">
        <v>126</v>
      </c>
      <c r="C6" s="175" t="s">
        <v>47</v>
      </c>
      <c r="D6" s="201" t="str">
        <f>VLOOKUP(Currency,Swap3MConventions,2)</f>
        <v>AB</v>
      </c>
      <c r="E6" s="201" t="str">
        <f>VLOOKUP(Currency,Swap3MConventions,3)</f>
        <v>3E</v>
      </c>
      <c r="F6" s="155" t="str">
        <f t="shared" ref="F6:F42" si="0">IF(UPPER(LEFT($D6))="A","Annual",IF(UPPER(LEFT($D6))="S","Semiannual","--"))</f>
        <v>Annual</v>
      </c>
      <c r="G6" s="155" t="s">
        <v>134</v>
      </c>
      <c r="H6" s="155" t="str">
        <f t="shared" ref="H6:H42" si="1">IF(UPPER(RIGHT($D6))="B",BondBasisDayCounter,IF(UPPER(RIGHT($D6))="M",MoneyMarketDayCounter,"--"))</f>
        <v>30/360 (Bond Basis)</v>
      </c>
      <c r="I6" s="174">
        <v>0</v>
      </c>
      <c r="J6" s="173" t="str">
        <f t="shared" ref="J6:J42" si="2">Currency&amp;$D6&amp;$E6&amp;"BASIS"&amp;$C6&amp;"_Quote"</f>
        <v>EURAB3EBASIS1Y_Quote</v>
      </c>
      <c r="K6" s="173" t="str">
        <f t="shared" ref="K6:K42" si="3">$K$2&amp;"_"&amp;$D6&amp;$E6&amp;"BASIS"&amp;$C6</f>
        <v>EUR_YC3MRH_AB3EBASIS1Y</v>
      </c>
      <c r="L6" s="172" t="str">
        <f>_xll.qlSwapRateHelper2(K6,$J6,$C6,Calendar,$F6,$G6,$H6,$L$4,$I6,B6,DiscountingCurve,Permanent,,ObjectOverwrite)</f>
        <v>EUR_YC3MRH_AB3EBASIS1Y#0001</v>
      </c>
      <c r="M6" s="171" t="str">
        <f>_xll.ohRangeRetrieveError(L6)</f>
        <v/>
      </c>
      <c r="N6" s="170"/>
      <c r="T6" s="102" t="str">
        <f>_xll.ohObjectCallerAddress(J6)</f>
        <v>'[EUR_Market.xlsx]3M (4)'!R3C10</v>
      </c>
    </row>
    <row r="7" spans="1:20" x14ac:dyDescent="0.2">
      <c r="A7" s="96"/>
      <c r="B7" s="175" t="str">
        <f t="shared" ref="B7:B42" si="4">B6</f>
        <v>0D</v>
      </c>
      <c r="C7" s="175" t="s">
        <v>46</v>
      </c>
      <c r="D7" s="175" t="str">
        <f t="shared" ref="D7:D42" si="5">D6</f>
        <v>AB</v>
      </c>
      <c r="E7" s="175" t="str">
        <f t="shared" ref="E7:E42" si="6">E6</f>
        <v>3E</v>
      </c>
      <c r="F7" s="154" t="str">
        <f t="shared" si="0"/>
        <v>Annual</v>
      </c>
      <c r="G7" s="154" t="s">
        <v>134</v>
      </c>
      <c r="H7" s="154" t="str">
        <f t="shared" si="1"/>
        <v>30/360 (Bond Basis)</v>
      </c>
      <c r="I7" s="174">
        <v>0</v>
      </c>
      <c r="J7" s="173" t="str">
        <f t="shared" si="2"/>
        <v>EURAB3EBASIS15M_Quote</v>
      </c>
      <c r="K7" s="173" t="str">
        <f t="shared" si="3"/>
        <v>EUR_YC3MRH_AB3EBASIS15M</v>
      </c>
      <c r="L7" s="172" t="str">
        <f>_xll.qlSwapRateHelper2(K7,$J7,$C7,Calendar,$F7,$G7,$H7,$L$4,$I7,B7,DiscountingCurve,Permanent,,ObjectOverwrite)</f>
        <v>EUR_YC3MRH_AB3EBASIS15M#0001</v>
      </c>
      <c r="M7" s="171" t="str">
        <f>_xll.ohRangeRetrieveError(L7)</f>
        <v/>
      </c>
      <c r="N7" s="170"/>
    </row>
    <row r="8" spans="1:20" x14ac:dyDescent="0.2">
      <c r="A8" s="96"/>
      <c r="B8" s="175" t="str">
        <f t="shared" si="4"/>
        <v>0D</v>
      </c>
      <c r="C8" s="175" t="s">
        <v>45</v>
      </c>
      <c r="D8" s="175" t="str">
        <f t="shared" si="5"/>
        <v>AB</v>
      </c>
      <c r="E8" s="175" t="str">
        <f t="shared" si="6"/>
        <v>3E</v>
      </c>
      <c r="F8" s="154" t="str">
        <f t="shared" si="0"/>
        <v>Annual</v>
      </c>
      <c r="G8" s="154" t="s">
        <v>134</v>
      </c>
      <c r="H8" s="154" t="str">
        <f t="shared" si="1"/>
        <v>30/360 (Bond Basis)</v>
      </c>
      <c r="I8" s="174">
        <v>0</v>
      </c>
      <c r="J8" s="173" t="str">
        <f t="shared" si="2"/>
        <v>EURAB3EBASIS18M_Quote</v>
      </c>
      <c r="K8" s="173" t="str">
        <f t="shared" si="3"/>
        <v>EUR_YC3MRH_AB3EBASIS18M</v>
      </c>
      <c r="L8" s="172" t="str">
        <f>_xll.qlSwapRateHelper2(K8,$J8,$C8,Calendar,$F8,$G8,$H8,$L$4,$I8,B8,DiscountingCurve,Permanent,,ObjectOverwrite)</f>
        <v>EUR_YC3MRH_AB3EBASIS18M#0001</v>
      </c>
      <c r="M8" s="171" t="str">
        <f>_xll.ohRangeRetrieveError(L8)</f>
        <v/>
      </c>
      <c r="N8" s="170"/>
    </row>
    <row r="9" spans="1:20" ht="12" thickBot="1" x14ac:dyDescent="0.25">
      <c r="A9" s="96"/>
      <c r="B9" s="175" t="str">
        <f t="shared" si="4"/>
        <v>0D</v>
      </c>
      <c r="C9" s="175" t="s">
        <v>44</v>
      </c>
      <c r="D9" s="175" t="str">
        <f t="shared" si="5"/>
        <v>AB</v>
      </c>
      <c r="E9" s="175" t="str">
        <f t="shared" si="6"/>
        <v>3E</v>
      </c>
      <c r="F9" s="154" t="str">
        <f t="shared" si="0"/>
        <v>Annual</v>
      </c>
      <c r="G9" s="154" t="s">
        <v>134</v>
      </c>
      <c r="H9" s="154" t="str">
        <f t="shared" si="1"/>
        <v>30/360 (Bond Basis)</v>
      </c>
      <c r="I9" s="174">
        <v>0</v>
      </c>
      <c r="J9" s="173" t="str">
        <f t="shared" si="2"/>
        <v>EURAB3EBASIS21M_Quote</v>
      </c>
      <c r="K9" s="173" t="str">
        <f t="shared" si="3"/>
        <v>EUR_YC3MRH_AB3EBASIS21M</v>
      </c>
      <c r="L9" s="172" t="str">
        <f>_xll.qlSwapRateHelper2(K9,$J9,$C9,Calendar,$F9,$G9,$H9,$L$4,$I9,B9,DiscountingCurve,Permanent,,ObjectOverwrite)</f>
        <v>EUR_YC3MRH_AB3EBASIS21M#0001</v>
      </c>
      <c r="M9" s="171" t="str">
        <f>_xll.ohRangeRetrieveError(L9)</f>
        <v/>
      </c>
      <c r="N9" s="170"/>
    </row>
    <row r="10" spans="1:20" x14ac:dyDescent="0.2">
      <c r="A10" s="96"/>
      <c r="B10" s="175" t="str">
        <f t="shared" si="4"/>
        <v>0D</v>
      </c>
      <c r="C10" s="175" t="s">
        <v>43</v>
      </c>
      <c r="D10" s="175" t="str">
        <f t="shared" si="5"/>
        <v>AB</v>
      </c>
      <c r="E10" s="175" t="str">
        <f t="shared" si="6"/>
        <v>3E</v>
      </c>
      <c r="F10" s="154" t="str">
        <f t="shared" si="0"/>
        <v>Annual</v>
      </c>
      <c r="G10" s="154" t="s">
        <v>134</v>
      </c>
      <c r="H10" s="154" t="str">
        <f t="shared" si="1"/>
        <v>30/360 (Bond Basis)</v>
      </c>
      <c r="I10" s="174">
        <v>0</v>
      </c>
      <c r="J10" s="173" t="str">
        <f t="shared" si="2"/>
        <v>EURAB3EBASIS2Y_Quote</v>
      </c>
      <c r="K10" s="173" t="str">
        <f t="shared" si="3"/>
        <v>EUR_YC3MRH_AB3EBASIS2Y</v>
      </c>
      <c r="L10" s="172" t="str">
        <f>_xll.qlSwapRateHelper2(K10,$J10,$C10,Calendar,$F10,$G10,$H10,$L$4,$I10,B10,DiscountingCurve,Permanent,,ObjectOverwrite)</f>
        <v>EUR_YC3MRH_AB3EBASIS2Y#0001</v>
      </c>
      <c r="M10" s="171" t="str">
        <f>_xll.ohRangeRetrieveError(L10)</f>
        <v/>
      </c>
      <c r="N10" s="170"/>
      <c r="P10" s="200" t="s">
        <v>104</v>
      </c>
      <c r="Q10" s="144" t="s">
        <v>101</v>
      </c>
      <c r="R10" s="199" t="s">
        <v>136</v>
      </c>
    </row>
    <row r="11" spans="1:20" x14ac:dyDescent="0.2">
      <c r="A11" s="96"/>
      <c r="B11" s="175" t="str">
        <f t="shared" si="4"/>
        <v>0D</v>
      </c>
      <c r="C11" s="175" t="s">
        <v>42</v>
      </c>
      <c r="D11" s="175" t="str">
        <f t="shared" si="5"/>
        <v>AB</v>
      </c>
      <c r="E11" s="175" t="str">
        <f t="shared" si="6"/>
        <v>3E</v>
      </c>
      <c r="F11" s="154" t="str">
        <f t="shared" si="0"/>
        <v>Annual</v>
      </c>
      <c r="G11" s="154" t="s">
        <v>134</v>
      </c>
      <c r="H11" s="154" t="str">
        <f t="shared" si="1"/>
        <v>30/360 (Bond Basis)</v>
      </c>
      <c r="I11" s="174">
        <v>0</v>
      </c>
      <c r="J11" s="173" t="str">
        <f t="shared" si="2"/>
        <v>EURAB3EBASIS3Y_Quote</v>
      </c>
      <c r="K11" s="173" t="str">
        <f t="shared" si="3"/>
        <v>EUR_YC3MRH_AB3EBASIS3Y</v>
      </c>
      <c r="L11" s="172" t="str">
        <f>_xll.qlSwapRateHelper2(K11,$J11,$C11,Calendar,$F11,$G11,$H11,$L$4,$I11,B11,DiscountingCurve,Permanent,,ObjectOverwrite)</f>
        <v>EUR_YC3MRH_AB3EBASIS3Y#0001</v>
      </c>
      <c r="M11" s="171" t="str">
        <f>_xll.ohRangeRetrieveError(L11)</f>
        <v/>
      </c>
      <c r="N11" s="170"/>
      <c r="P11" s="198" t="s">
        <v>102</v>
      </c>
      <c r="Q11" s="169" t="s">
        <v>101</v>
      </c>
      <c r="R11" s="197" t="s">
        <v>138</v>
      </c>
    </row>
    <row r="12" spans="1:20" x14ac:dyDescent="0.2">
      <c r="A12" s="96"/>
      <c r="B12" s="175" t="str">
        <f t="shared" si="4"/>
        <v>0D</v>
      </c>
      <c r="C12" s="175" t="s">
        <v>41</v>
      </c>
      <c r="D12" s="175" t="str">
        <f t="shared" si="5"/>
        <v>AB</v>
      </c>
      <c r="E12" s="175" t="str">
        <f t="shared" si="6"/>
        <v>3E</v>
      </c>
      <c r="F12" s="154" t="str">
        <f t="shared" si="0"/>
        <v>Annual</v>
      </c>
      <c r="G12" s="154" t="s">
        <v>134</v>
      </c>
      <c r="H12" s="154" t="str">
        <f t="shared" si="1"/>
        <v>30/360 (Bond Basis)</v>
      </c>
      <c r="I12" s="174">
        <v>0</v>
      </c>
      <c r="J12" s="173" t="str">
        <f t="shared" si="2"/>
        <v>EURAB3EBASIS4Y_Quote</v>
      </c>
      <c r="K12" s="173" t="str">
        <f t="shared" si="3"/>
        <v>EUR_YC3MRH_AB3EBASIS4Y</v>
      </c>
      <c r="L12" s="172" t="str">
        <f>_xll.qlSwapRateHelper2(K12,$J12,$C12,Calendar,$F12,$G12,$H12,$L$4,$I12,B12,DiscountingCurve,Permanent,,ObjectOverwrite)</f>
        <v>EUR_YC3MRH_AB3EBASIS4Y#0001</v>
      </c>
      <c r="M12" s="171" t="str">
        <f>_xll.ohRangeRetrieveError(L12)</f>
        <v/>
      </c>
      <c r="N12" s="170"/>
      <c r="P12" s="198" t="s">
        <v>99</v>
      </c>
      <c r="Q12" s="169" t="s">
        <v>94</v>
      </c>
      <c r="R12" s="197" t="s">
        <v>136</v>
      </c>
    </row>
    <row r="13" spans="1:20" x14ac:dyDescent="0.2">
      <c r="A13" s="96"/>
      <c r="B13" s="175" t="str">
        <f t="shared" si="4"/>
        <v>0D</v>
      </c>
      <c r="C13" s="175" t="s">
        <v>40</v>
      </c>
      <c r="D13" s="175" t="str">
        <f t="shared" si="5"/>
        <v>AB</v>
      </c>
      <c r="E13" s="175" t="str">
        <f t="shared" si="6"/>
        <v>3E</v>
      </c>
      <c r="F13" s="154" t="str">
        <f t="shared" si="0"/>
        <v>Annual</v>
      </c>
      <c r="G13" s="154" t="s">
        <v>134</v>
      </c>
      <c r="H13" s="154" t="str">
        <f t="shared" si="1"/>
        <v>30/360 (Bond Basis)</v>
      </c>
      <c r="I13" s="174">
        <v>0</v>
      </c>
      <c r="J13" s="173" t="str">
        <f t="shared" si="2"/>
        <v>EURAB3EBASIS5Y_Quote</v>
      </c>
      <c r="K13" s="173" t="str">
        <f t="shared" si="3"/>
        <v>EUR_YC3MRH_AB3EBASIS5Y</v>
      </c>
      <c r="L13" s="172" t="str">
        <f>_xll.qlSwapRateHelper2(K13,$J13,$C13,Calendar,$F13,$G13,$H13,$L$4,$I13,B13,DiscountingCurve,Permanent,,ObjectOverwrite)</f>
        <v>EUR_YC3MRH_AB3EBASIS5Y#0001</v>
      </c>
      <c r="M13" s="171" t="str">
        <f>_xll.ohRangeRetrieveError(L13)</f>
        <v/>
      </c>
      <c r="N13" s="170"/>
      <c r="P13" s="198" t="s">
        <v>97</v>
      </c>
      <c r="Q13" s="169" t="s">
        <v>137</v>
      </c>
      <c r="R13" s="197" t="s">
        <v>136</v>
      </c>
    </row>
    <row r="14" spans="1:20" ht="12" thickBot="1" x14ac:dyDescent="0.25">
      <c r="A14" s="96"/>
      <c r="B14" s="175" t="str">
        <f t="shared" si="4"/>
        <v>0D</v>
      </c>
      <c r="C14" s="175" t="s">
        <v>39</v>
      </c>
      <c r="D14" s="175" t="str">
        <f t="shared" si="5"/>
        <v>AB</v>
      </c>
      <c r="E14" s="175" t="str">
        <f t="shared" si="6"/>
        <v>3E</v>
      </c>
      <c r="F14" s="154" t="str">
        <f t="shared" si="0"/>
        <v>Annual</v>
      </c>
      <c r="G14" s="154" t="s">
        <v>134</v>
      </c>
      <c r="H14" s="154" t="str">
        <f t="shared" si="1"/>
        <v>30/360 (Bond Basis)</v>
      </c>
      <c r="I14" s="174">
        <v>0</v>
      </c>
      <c r="J14" s="173" t="str">
        <f t="shared" si="2"/>
        <v>EURAB3EBASIS6Y_Quote</v>
      </c>
      <c r="K14" s="173" t="str">
        <f t="shared" si="3"/>
        <v>EUR_YC3MRH_AB3EBASIS6Y</v>
      </c>
      <c r="L14" s="172" t="str">
        <f>_xll.qlSwapRateHelper2(K14,$J14,$C14,Calendar,$F14,$G14,$H14,$L$4,$I14,B14,DiscountingCurve,Permanent,,ObjectOverwrite)</f>
        <v>EUR_YC3MRH_AB3EBASIS6Y#0001</v>
      </c>
      <c r="M14" s="171" t="str">
        <f>_xll.ohRangeRetrieveError(L14)</f>
        <v/>
      </c>
      <c r="N14" s="170"/>
      <c r="P14" s="196" t="s">
        <v>95</v>
      </c>
      <c r="Q14" s="195" t="s">
        <v>94</v>
      </c>
      <c r="R14" s="194" t="s">
        <v>136</v>
      </c>
    </row>
    <row r="15" spans="1:20" x14ac:dyDescent="0.2">
      <c r="A15" s="96"/>
      <c r="B15" s="175" t="str">
        <f t="shared" si="4"/>
        <v>0D</v>
      </c>
      <c r="C15" s="175" t="s">
        <v>38</v>
      </c>
      <c r="D15" s="175" t="str">
        <f t="shared" si="5"/>
        <v>AB</v>
      </c>
      <c r="E15" s="175" t="str">
        <f t="shared" si="6"/>
        <v>3E</v>
      </c>
      <c r="F15" s="154" t="str">
        <f t="shared" si="0"/>
        <v>Annual</v>
      </c>
      <c r="G15" s="154" t="s">
        <v>134</v>
      </c>
      <c r="H15" s="154" t="str">
        <f t="shared" si="1"/>
        <v>30/360 (Bond Basis)</v>
      </c>
      <c r="I15" s="174">
        <v>0</v>
      </c>
      <c r="J15" s="173" t="str">
        <f t="shared" si="2"/>
        <v>EURAB3EBASIS7Y_Quote</v>
      </c>
      <c r="K15" s="173" t="str">
        <f t="shared" si="3"/>
        <v>EUR_YC3MRH_AB3EBASIS7Y</v>
      </c>
      <c r="L15" s="172" t="str">
        <f>_xll.qlSwapRateHelper2(K15,$J15,$C15,Calendar,$F15,$G15,$H15,$L$4,$I15,B15,DiscountingCurve,Permanent,,ObjectOverwrite)</f>
        <v>EUR_YC3MRH_AB3EBASIS7Y#0001</v>
      </c>
      <c r="M15" s="171" t="str">
        <f>_xll.ohRangeRetrieveError(L15)</f>
        <v/>
      </c>
      <c r="N15" s="170"/>
      <c r="P15" s="169"/>
      <c r="Q15" s="169"/>
      <c r="R15" s="169"/>
    </row>
    <row r="16" spans="1:20" x14ac:dyDescent="0.2">
      <c r="A16" s="96"/>
      <c r="B16" s="175" t="str">
        <f t="shared" si="4"/>
        <v>0D</v>
      </c>
      <c r="C16" s="175" t="s">
        <v>37</v>
      </c>
      <c r="D16" s="175" t="str">
        <f t="shared" si="5"/>
        <v>AB</v>
      </c>
      <c r="E16" s="175" t="str">
        <f t="shared" si="6"/>
        <v>3E</v>
      </c>
      <c r="F16" s="154" t="str">
        <f t="shared" si="0"/>
        <v>Annual</v>
      </c>
      <c r="G16" s="154" t="s">
        <v>134</v>
      </c>
      <c r="H16" s="154" t="str">
        <f t="shared" si="1"/>
        <v>30/360 (Bond Basis)</v>
      </c>
      <c r="I16" s="174">
        <v>0</v>
      </c>
      <c r="J16" s="173" t="str">
        <f t="shared" si="2"/>
        <v>EURAB3EBASIS8Y_Quote</v>
      </c>
      <c r="K16" s="173" t="str">
        <f t="shared" si="3"/>
        <v>EUR_YC3MRH_AB3EBASIS8Y</v>
      </c>
      <c r="L16" s="172" t="str">
        <f>_xll.qlSwapRateHelper2(K16,$J16,$C16,Calendar,$F16,$G16,$H16,$L$4,$I16,B16,DiscountingCurve,Permanent,,ObjectOverwrite)</f>
        <v>EUR_YC3MRH_AB3EBASIS8Y#0001</v>
      </c>
      <c r="M16" s="171" t="str">
        <f>_xll.ohRangeRetrieveError(L16)</f>
        <v/>
      </c>
      <c r="N16" s="170"/>
    </row>
    <row r="17" spans="1:14" x14ac:dyDescent="0.2">
      <c r="A17" s="96"/>
      <c r="B17" s="175" t="str">
        <f t="shared" si="4"/>
        <v>0D</v>
      </c>
      <c r="C17" s="175" t="s">
        <v>36</v>
      </c>
      <c r="D17" s="175" t="str">
        <f t="shared" si="5"/>
        <v>AB</v>
      </c>
      <c r="E17" s="175" t="str">
        <f t="shared" si="6"/>
        <v>3E</v>
      </c>
      <c r="F17" s="154" t="str">
        <f t="shared" si="0"/>
        <v>Annual</v>
      </c>
      <c r="G17" s="154" t="s">
        <v>134</v>
      </c>
      <c r="H17" s="154" t="str">
        <f t="shared" si="1"/>
        <v>30/360 (Bond Basis)</v>
      </c>
      <c r="I17" s="174">
        <v>0</v>
      </c>
      <c r="J17" s="173" t="str">
        <f t="shared" si="2"/>
        <v>EURAB3EBASIS9Y_Quote</v>
      </c>
      <c r="K17" s="173" t="str">
        <f t="shared" si="3"/>
        <v>EUR_YC3MRH_AB3EBASIS9Y</v>
      </c>
      <c r="L17" s="172" t="str">
        <f>_xll.qlSwapRateHelper2(K17,$J17,$C17,Calendar,$F17,$G17,$H17,$L$4,$I17,B17,DiscountingCurve,Permanent,,ObjectOverwrite)</f>
        <v>EUR_YC3MRH_AB3EBASIS9Y#0001</v>
      </c>
      <c r="M17" s="171" t="str">
        <f>_xll.ohRangeRetrieveError(L17)</f>
        <v/>
      </c>
      <c r="N17" s="170"/>
    </row>
    <row r="18" spans="1:14" x14ac:dyDescent="0.2">
      <c r="A18" s="96"/>
      <c r="B18" s="175" t="str">
        <f t="shared" si="4"/>
        <v>0D</v>
      </c>
      <c r="C18" s="175" t="s">
        <v>35</v>
      </c>
      <c r="D18" s="175" t="str">
        <f t="shared" si="5"/>
        <v>AB</v>
      </c>
      <c r="E18" s="175" t="str">
        <f t="shared" si="6"/>
        <v>3E</v>
      </c>
      <c r="F18" s="154" t="str">
        <f t="shared" si="0"/>
        <v>Annual</v>
      </c>
      <c r="G18" s="154" t="s">
        <v>134</v>
      </c>
      <c r="H18" s="154" t="str">
        <f t="shared" si="1"/>
        <v>30/360 (Bond Basis)</v>
      </c>
      <c r="I18" s="174">
        <v>0</v>
      </c>
      <c r="J18" s="173" t="str">
        <f t="shared" si="2"/>
        <v>EURAB3EBASIS10Y_Quote</v>
      </c>
      <c r="K18" s="173" t="str">
        <f t="shared" si="3"/>
        <v>EUR_YC3MRH_AB3EBASIS10Y</v>
      </c>
      <c r="L18" s="172" t="str">
        <f>_xll.qlSwapRateHelper2(K18,$J18,$C18,Calendar,$F18,$G18,$H18,$L$4,$I18,B18,DiscountingCurve,Permanent,,ObjectOverwrite)</f>
        <v>EUR_YC3MRH_AB3EBASIS10Y#0001</v>
      </c>
      <c r="M18" s="171" t="str">
        <f>_xll.ohRangeRetrieveError(L18)</f>
        <v/>
      </c>
      <c r="N18" s="170"/>
    </row>
    <row r="19" spans="1:14" x14ac:dyDescent="0.2">
      <c r="A19" s="96"/>
      <c r="B19" s="175" t="str">
        <f t="shared" si="4"/>
        <v>0D</v>
      </c>
      <c r="C19" s="175" t="s">
        <v>34</v>
      </c>
      <c r="D19" s="175" t="str">
        <f t="shared" si="5"/>
        <v>AB</v>
      </c>
      <c r="E19" s="175" t="str">
        <f t="shared" si="6"/>
        <v>3E</v>
      </c>
      <c r="F19" s="154" t="str">
        <f t="shared" si="0"/>
        <v>Annual</v>
      </c>
      <c r="G19" s="154" t="s">
        <v>134</v>
      </c>
      <c r="H19" s="154" t="str">
        <f t="shared" si="1"/>
        <v>30/360 (Bond Basis)</v>
      </c>
      <c r="I19" s="174">
        <v>0</v>
      </c>
      <c r="J19" s="173" t="str">
        <f t="shared" si="2"/>
        <v>EURAB3EBASIS11Y_Quote</v>
      </c>
      <c r="K19" s="173" t="str">
        <f t="shared" si="3"/>
        <v>EUR_YC3MRH_AB3EBASIS11Y</v>
      </c>
      <c r="L19" s="172" t="str">
        <f>_xll.qlSwapRateHelper2(K19,$J19,$C19,Calendar,$F19,$G19,$H19,$L$4,$I19,B19,DiscountingCurve,Permanent,,ObjectOverwrite)</f>
        <v>EUR_YC3MRH_AB3EBASIS11Y#0001</v>
      </c>
      <c r="M19" s="171" t="str">
        <f>_xll.ohRangeRetrieveError(L19)</f>
        <v/>
      </c>
      <c r="N19" s="170"/>
    </row>
    <row r="20" spans="1:14" x14ac:dyDescent="0.2">
      <c r="A20" s="96"/>
      <c r="B20" s="175" t="str">
        <f t="shared" si="4"/>
        <v>0D</v>
      </c>
      <c r="C20" s="175" t="s">
        <v>33</v>
      </c>
      <c r="D20" s="175" t="str">
        <f t="shared" si="5"/>
        <v>AB</v>
      </c>
      <c r="E20" s="175" t="str">
        <f t="shared" si="6"/>
        <v>3E</v>
      </c>
      <c r="F20" s="154" t="str">
        <f t="shared" si="0"/>
        <v>Annual</v>
      </c>
      <c r="G20" s="154" t="s">
        <v>134</v>
      </c>
      <c r="H20" s="154" t="str">
        <f t="shared" si="1"/>
        <v>30/360 (Bond Basis)</v>
      </c>
      <c r="I20" s="174">
        <v>0</v>
      </c>
      <c r="J20" s="173" t="str">
        <f t="shared" si="2"/>
        <v>EURAB3EBASIS12Y_Quote</v>
      </c>
      <c r="K20" s="173" t="str">
        <f t="shared" si="3"/>
        <v>EUR_YC3MRH_AB3EBASIS12Y</v>
      </c>
      <c r="L20" s="172" t="str">
        <f>_xll.qlSwapRateHelper2(K20,$J20,$C20,Calendar,$F20,$G20,$H20,$L$4,$I20,B20,DiscountingCurve,Permanent,,ObjectOverwrite)</f>
        <v>EUR_YC3MRH_AB3EBASIS12Y#0001</v>
      </c>
      <c r="M20" s="171" t="str">
        <f>_xll.ohRangeRetrieveError(L20)</f>
        <v/>
      </c>
      <c r="N20" s="170"/>
    </row>
    <row r="21" spans="1:14" x14ac:dyDescent="0.2">
      <c r="A21" s="96"/>
      <c r="B21" s="175" t="str">
        <f t="shared" si="4"/>
        <v>0D</v>
      </c>
      <c r="C21" s="175" t="s">
        <v>32</v>
      </c>
      <c r="D21" s="175" t="str">
        <f t="shared" si="5"/>
        <v>AB</v>
      </c>
      <c r="E21" s="175" t="str">
        <f t="shared" si="6"/>
        <v>3E</v>
      </c>
      <c r="F21" s="154" t="str">
        <f t="shared" si="0"/>
        <v>Annual</v>
      </c>
      <c r="G21" s="154" t="s">
        <v>134</v>
      </c>
      <c r="H21" s="154" t="str">
        <f t="shared" si="1"/>
        <v>30/360 (Bond Basis)</v>
      </c>
      <c r="I21" s="174">
        <v>0</v>
      </c>
      <c r="J21" s="173" t="str">
        <f t="shared" si="2"/>
        <v>EURAB3EBASIS13Y_Quote</v>
      </c>
      <c r="K21" s="173" t="str">
        <f t="shared" si="3"/>
        <v>EUR_YC3MRH_AB3EBASIS13Y</v>
      </c>
      <c r="L21" s="172" t="str">
        <f>_xll.qlSwapRateHelper2(K21,$J21,$C21,Calendar,$F21,$G21,$H21,$L$4,$I21,B21,DiscountingCurve,Permanent,,ObjectOverwrite)</f>
        <v>EUR_YC3MRH_AB3EBASIS13Y#0001</v>
      </c>
      <c r="M21" s="171" t="str">
        <f>_xll.ohRangeRetrieveError(L21)</f>
        <v/>
      </c>
      <c r="N21" s="170"/>
    </row>
    <row r="22" spans="1:14" x14ac:dyDescent="0.2">
      <c r="A22" s="96"/>
      <c r="B22" s="175" t="str">
        <f t="shared" si="4"/>
        <v>0D</v>
      </c>
      <c r="C22" s="175" t="s">
        <v>31</v>
      </c>
      <c r="D22" s="175" t="str">
        <f t="shared" si="5"/>
        <v>AB</v>
      </c>
      <c r="E22" s="175" t="str">
        <f t="shared" si="6"/>
        <v>3E</v>
      </c>
      <c r="F22" s="154" t="str">
        <f t="shared" si="0"/>
        <v>Annual</v>
      </c>
      <c r="G22" s="154" t="s">
        <v>134</v>
      </c>
      <c r="H22" s="154" t="str">
        <f t="shared" si="1"/>
        <v>30/360 (Bond Basis)</v>
      </c>
      <c r="I22" s="174">
        <v>0</v>
      </c>
      <c r="J22" s="173" t="str">
        <f t="shared" si="2"/>
        <v>EURAB3EBASIS14Y_Quote</v>
      </c>
      <c r="K22" s="173" t="str">
        <f t="shared" si="3"/>
        <v>EUR_YC3MRH_AB3EBASIS14Y</v>
      </c>
      <c r="L22" s="172" t="str">
        <f>_xll.qlSwapRateHelper2(K22,$J22,$C22,Calendar,$F22,$G22,$H22,$L$4,$I22,B22,DiscountingCurve,Permanent,,ObjectOverwrite)</f>
        <v>EUR_YC3MRH_AB3EBASIS14Y#0001</v>
      </c>
      <c r="M22" s="171" t="str">
        <f>_xll.ohRangeRetrieveError(L22)</f>
        <v/>
      </c>
      <c r="N22" s="170"/>
    </row>
    <row r="23" spans="1:14" x14ac:dyDescent="0.2">
      <c r="A23" s="96"/>
      <c r="B23" s="175" t="str">
        <f t="shared" si="4"/>
        <v>0D</v>
      </c>
      <c r="C23" s="175" t="s">
        <v>30</v>
      </c>
      <c r="D23" s="175" t="str">
        <f t="shared" si="5"/>
        <v>AB</v>
      </c>
      <c r="E23" s="175" t="str">
        <f t="shared" si="6"/>
        <v>3E</v>
      </c>
      <c r="F23" s="154" t="str">
        <f t="shared" si="0"/>
        <v>Annual</v>
      </c>
      <c r="G23" s="154" t="s">
        <v>134</v>
      </c>
      <c r="H23" s="154" t="str">
        <f t="shared" si="1"/>
        <v>30/360 (Bond Basis)</v>
      </c>
      <c r="I23" s="174">
        <v>0</v>
      </c>
      <c r="J23" s="173" t="str">
        <f t="shared" si="2"/>
        <v>EURAB3EBASIS15Y_Quote</v>
      </c>
      <c r="K23" s="173" t="str">
        <f t="shared" si="3"/>
        <v>EUR_YC3MRH_AB3EBASIS15Y</v>
      </c>
      <c r="L23" s="172" t="str">
        <f>_xll.qlSwapRateHelper2(K23,$J23,$C23,Calendar,$F23,$G23,$H23,$L$4,$I23,B23,DiscountingCurve,Permanent,,ObjectOverwrite)</f>
        <v>EUR_YC3MRH_AB3EBASIS15Y#0001</v>
      </c>
      <c r="M23" s="171" t="str">
        <f>_xll.ohRangeRetrieveError(L23)</f>
        <v/>
      </c>
      <c r="N23" s="170"/>
    </row>
    <row r="24" spans="1:14" x14ac:dyDescent="0.2">
      <c r="A24" s="96"/>
      <c r="B24" s="175" t="str">
        <f t="shared" si="4"/>
        <v>0D</v>
      </c>
      <c r="C24" s="175" t="s">
        <v>29</v>
      </c>
      <c r="D24" s="175" t="str">
        <f t="shared" si="5"/>
        <v>AB</v>
      </c>
      <c r="E24" s="175" t="str">
        <f t="shared" si="6"/>
        <v>3E</v>
      </c>
      <c r="F24" s="154" t="str">
        <f t="shared" si="0"/>
        <v>Annual</v>
      </c>
      <c r="G24" s="154" t="s">
        <v>134</v>
      </c>
      <c r="H24" s="154" t="str">
        <f t="shared" si="1"/>
        <v>30/360 (Bond Basis)</v>
      </c>
      <c r="I24" s="174">
        <v>0</v>
      </c>
      <c r="J24" s="173" t="str">
        <f t="shared" si="2"/>
        <v>EURAB3EBASIS16Y_Quote</v>
      </c>
      <c r="K24" s="173" t="str">
        <f t="shared" si="3"/>
        <v>EUR_YC3MRH_AB3EBASIS16Y</v>
      </c>
      <c r="L24" s="172" t="str">
        <f>_xll.qlSwapRateHelper2(K24,$J24,$C24,Calendar,$F24,$G24,$H24,$L$4,$I24,B24,DiscountingCurve,Permanent,,ObjectOverwrite)</f>
        <v>EUR_YC3MRH_AB3EBASIS16Y#0001</v>
      </c>
      <c r="M24" s="171" t="str">
        <f>_xll.ohRangeRetrieveError(L24)</f>
        <v/>
      </c>
      <c r="N24" s="170"/>
    </row>
    <row r="25" spans="1:14" x14ac:dyDescent="0.2">
      <c r="A25" s="96"/>
      <c r="B25" s="175" t="str">
        <f t="shared" si="4"/>
        <v>0D</v>
      </c>
      <c r="C25" s="175" t="s">
        <v>28</v>
      </c>
      <c r="D25" s="175" t="str">
        <f t="shared" si="5"/>
        <v>AB</v>
      </c>
      <c r="E25" s="175" t="str">
        <f t="shared" si="6"/>
        <v>3E</v>
      </c>
      <c r="F25" s="154" t="str">
        <f t="shared" si="0"/>
        <v>Annual</v>
      </c>
      <c r="G25" s="154" t="s">
        <v>134</v>
      </c>
      <c r="H25" s="154" t="str">
        <f t="shared" si="1"/>
        <v>30/360 (Bond Basis)</v>
      </c>
      <c r="I25" s="174">
        <v>0</v>
      </c>
      <c r="J25" s="173" t="str">
        <f t="shared" si="2"/>
        <v>EURAB3EBASIS17Y_Quote</v>
      </c>
      <c r="K25" s="173" t="str">
        <f t="shared" si="3"/>
        <v>EUR_YC3MRH_AB3EBASIS17Y</v>
      </c>
      <c r="L25" s="172" t="str">
        <f>_xll.qlSwapRateHelper2(K25,$J25,$C25,Calendar,$F25,$G25,$H25,$L$4,$I25,B25,DiscountingCurve,Permanent,,ObjectOverwrite)</f>
        <v>EUR_YC3MRH_AB3EBASIS17Y#0001</v>
      </c>
      <c r="M25" s="171" t="str">
        <f>_xll.ohRangeRetrieveError(L25)</f>
        <v/>
      </c>
      <c r="N25" s="170"/>
    </row>
    <row r="26" spans="1:14" x14ac:dyDescent="0.2">
      <c r="A26" s="96"/>
      <c r="B26" s="175" t="str">
        <f t="shared" si="4"/>
        <v>0D</v>
      </c>
      <c r="C26" s="175" t="s">
        <v>27</v>
      </c>
      <c r="D26" s="175" t="str">
        <f t="shared" si="5"/>
        <v>AB</v>
      </c>
      <c r="E26" s="175" t="str">
        <f t="shared" si="6"/>
        <v>3E</v>
      </c>
      <c r="F26" s="154" t="str">
        <f t="shared" si="0"/>
        <v>Annual</v>
      </c>
      <c r="G26" s="154" t="s">
        <v>134</v>
      </c>
      <c r="H26" s="154" t="str">
        <f t="shared" si="1"/>
        <v>30/360 (Bond Basis)</v>
      </c>
      <c r="I26" s="174">
        <v>0</v>
      </c>
      <c r="J26" s="173" t="str">
        <f t="shared" si="2"/>
        <v>EURAB3EBASIS18Y_Quote</v>
      </c>
      <c r="K26" s="173" t="str">
        <f t="shared" si="3"/>
        <v>EUR_YC3MRH_AB3EBASIS18Y</v>
      </c>
      <c r="L26" s="172" t="str">
        <f>_xll.qlSwapRateHelper2(K26,$J26,$C26,Calendar,$F26,$G26,$H26,$L$4,$I26,B26,DiscountingCurve,Permanent,,ObjectOverwrite)</f>
        <v>EUR_YC3MRH_AB3EBASIS18Y#0001</v>
      </c>
      <c r="M26" s="171" t="str">
        <f>_xll.ohRangeRetrieveError(L26)</f>
        <v/>
      </c>
      <c r="N26" s="170"/>
    </row>
    <row r="27" spans="1:14" x14ac:dyDescent="0.2">
      <c r="A27" s="96"/>
      <c r="B27" s="175" t="str">
        <f t="shared" si="4"/>
        <v>0D</v>
      </c>
      <c r="C27" s="175" t="s">
        <v>26</v>
      </c>
      <c r="D27" s="175" t="str">
        <f t="shared" si="5"/>
        <v>AB</v>
      </c>
      <c r="E27" s="175" t="str">
        <f t="shared" si="6"/>
        <v>3E</v>
      </c>
      <c r="F27" s="154" t="str">
        <f t="shared" si="0"/>
        <v>Annual</v>
      </c>
      <c r="G27" s="154" t="s">
        <v>134</v>
      </c>
      <c r="H27" s="154" t="str">
        <f t="shared" si="1"/>
        <v>30/360 (Bond Basis)</v>
      </c>
      <c r="I27" s="174">
        <v>0</v>
      </c>
      <c r="J27" s="173" t="str">
        <f t="shared" si="2"/>
        <v>EURAB3EBASIS19Y_Quote</v>
      </c>
      <c r="K27" s="173" t="str">
        <f t="shared" si="3"/>
        <v>EUR_YC3MRH_AB3EBASIS19Y</v>
      </c>
      <c r="L27" s="172" t="str">
        <f>_xll.qlSwapRateHelper2(K27,$J27,$C27,Calendar,$F27,$G27,$H27,$L$4,$I27,B27,DiscountingCurve,Permanent,,ObjectOverwrite)</f>
        <v>EUR_YC3MRH_AB3EBASIS19Y#0001</v>
      </c>
      <c r="M27" s="171" t="str">
        <f>_xll.ohRangeRetrieveError(L27)</f>
        <v/>
      </c>
      <c r="N27" s="170"/>
    </row>
    <row r="28" spans="1:14" x14ac:dyDescent="0.2">
      <c r="A28" s="96"/>
      <c r="B28" s="175" t="str">
        <f t="shared" si="4"/>
        <v>0D</v>
      </c>
      <c r="C28" s="175" t="s">
        <v>25</v>
      </c>
      <c r="D28" s="175" t="str">
        <f t="shared" si="5"/>
        <v>AB</v>
      </c>
      <c r="E28" s="175" t="str">
        <f t="shared" si="6"/>
        <v>3E</v>
      </c>
      <c r="F28" s="154" t="str">
        <f t="shared" si="0"/>
        <v>Annual</v>
      </c>
      <c r="G28" s="154" t="s">
        <v>134</v>
      </c>
      <c r="H28" s="154" t="str">
        <f t="shared" si="1"/>
        <v>30/360 (Bond Basis)</v>
      </c>
      <c r="I28" s="174">
        <v>0</v>
      </c>
      <c r="J28" s="173" t="str">
        <f t="shared" si="2"/>
        <v>EURAB3EBASIS20Y_Quote</v>
      </c>
      <c r="K28" s="173" t="str">
        <f t="shared" si="3"/>
        <v>EUR_YC3MRH_AB3EBASIS20Y</v>
      </c>
      <c r="L28" s="172" t="str">
        <f>_xll.qlSwapRateHelper2(K28,$J28,$C28,Calendar,$F28,$G28,$H28,$L$4,$I28,B28,DiscountingCurve,Permanent,,ObjectOverwrite)</f>
        <v>EUR_YC3MRH_AB3EBASIS20Y#0001</v>
      </c>
      <c r="M28" s="171" t="str">
        <f>_xll.ohRangeRetrieveError(L28)</f>
        <v/>
      </c>
      <c r="N28" s="170"/>
    </row>
    <row r="29" spans="1:14" x14ac:dyDescent="0.2">
      <c r="A29" s="96"/>
      <c r="B29" s="175" t="str">
        <f t="shared" si="4"/>
        <v>0D</v>
      </c>
      <c r="C29" s="175" t="s">
        <v>24</v>
      </c>
      <c r="D29" s="175" t="str">
        <f t="shared" si="5"/>
        <v>AB</v>
      </c>
      <c r="E29" s="175" t="str">
        <f t="shared" si="6"/>
        <v>3E</v>
      </c>
      <c r="F29" s="154" t="str">
        <f t="shared" si="0"/>
        <v>Annual</v>
      </c>
      <c r="G29" s="154" t="s">
        <v>134</v>
      </c>
      <c r="H29" s="154" t="str">
        <f t="shared" si="1"/>
        <v>30/360 (Bond Basis)</v>
      </c>
      <c r="I29" s="174">
        <v>0</v>
      </c>
      <c r="J29" s="173" t="str">
        <f t="shared" si="2"/>
        <v>EURAB3EBASIS21Y_Quote</v>
      </c>
      <c r="K29" s="173" t="str">
        <f t="shared" si="3"/>
        <v>EUR_YC3MRH_AB3EBASIS21Y</v>
      </c>
      <c r="L29" s="172" t="str">
        <f>_xll.qlSwapRateHelper2(K29,$J29,$C29,Calendar,$F29,$G29,$H29,$L$4,$I29,B29,DiscountingCurve,Permanent,,ObjectOverwrite)</f>
        <v>EUR_YC3MRH_AB3EBASIS21Y#0001</v>
      </c>
      <c r="M29" s="171" t="str">
        <f>_xll.ohRangeRetrieveError(L29)</f>
        <v/>
      </c>
      <c r="N29" s="170"/>
    </row>
    <row r="30" spans="1:14" x14ac:dyDescent="0.2">
      <c r="A30" s="96"/>
      <c r="B30" s="175" t="str">
        <f t="shared" si="4"/>
        <v>0D</v>
      </c>
      <c r="C30" s="175" t="s">
        <v>23</v>
      </c>
      <c r="D30" s="175" t="str">
        <f t="shared" si="5"/>
        <v>AB</v>
      </c>
      <c r="E30" s="175" t="str">
        <f t="shared" si="6"/>
        <v>3E</v>
      </c>
      <c r="F30" s="154" t="str">
        <f t="shared" si="0"/>
        <v>Annual</v>
      </c>
      <c r="G30" s="154" t="s">
        <v>134</v>
      </c>
      <c r="H30" s="154" t="str">
        <f t="shared" si="1"/>
        <v>30/360 (Bond Basis)</v>
      </c>
      <c r="I30" s="174">
        <v>0</v>
      </c>
      <c r="J30" s="173" t="str">
        <f t="shared" si="2"/>
        <v>EURAB3EBASIS22Y_Quote</v>
      </c>
      <c r="K30" s="173" t="str">
        <f t="shared" si="3"/>
        <v>EUR_YC3MRH_AB3EBASIS22Y</v>
      </c>
      <c r="L30" s="172" t="str">
        <f>_xll.qlSwapRateHelper2(K30,$J30,$C30,Calendar,$F30,$G30,$H30,$L$4,$I30,B30,DiscountingCurve,Permanent,,ObjectOverwrite)</f>
        <v>EUR_YC3MRH_AB3EBASIS22Y#0001</v>
      </c>
      <c r="M30" s="171" t="str">
        <f>_xll.ohRangeRetrieveError(L30)</f>
        <v/>
      </c>
      <c r="N30" s="170"/>
    </row>
    <row r="31" spans="1:14" x14ac:dyDescent="0.2">
      <c r="A31" s="96"/>
      <c r="B31" s="175" t="str">
        <f t="shared" si="4"/>
        <v>0D</v>
      </c>
      <c r="C31" s="175" t="s">
        <v>22</v>
      </c>
      <c r="D31" s="175" t="str">
        <f t="shared" si="5"/>
        <v>AB</v>
      </c>
      <c r="E31" s="175" t="str">
        <f t="shared" si="6"/>
        <v>3E</v>
      </c>
      <c r="F31" s="154" t="str">
        <f t="shared" si="0"/>
        <v>Annual</v>
      </c>
      <c r="G31" s="154" t="s">
        <v>134</v>
      </c>
      <c r="H31" s="154" t="str">
        <f t="shared" si="1"/>
        <v>30/360 (Bond Basis)</v>
      </c>
      <c r="I31" s="174">
        <v>0</v>
      </c>
      <c r="J31" s="173" t="str">
        <f t="shared" si="2"/>
        <v>EURAB3EBASIS23Y_Quote</v>
      </c>
      <c r="K31" s="173" t="str">
        <f t="shared" si="3"/>
        <v>EUR_YC3MRH_AB3EBASIS23Y</v>
      </c>
      <c r="L31" s="172" t="str">
        <f>_xll.qlSwapRateHelper2(K31,$J31,$C31,Calendar,$F31,$G31,$H31,$L$4,$I31,B31,DiscountingCurve,Permanent,,ObjectOverwrite)</f>
        <v>EUR_YC3MRH_AB3EBASIS23Y#0001</v>
      </c>
      <c r="M31" s="171" t="str">
        <f>_xll.ohRangeRetrieveError(L31)</f>
        <v/>
      </c>
      <c r="N31" s="170"/>
    </row>
    <row r="32" spans="1:14" x14ac:dyDescent="0.2">
      <c r="A32" s="96"/>
      <c r="B32" s="175" t="str">
        <f t="shared" si="4"/>
        <v>0D</v>
      </c>
      <c r="C32" s="175" t="s">
        <v>21</v>
      </c>
      <c r="D32" s="175" t="str">
        <f t="shared" si="5"/>
        <v>AB</v>
      </c>
      <c r="E32" s="175" t="str">
        <f t="shared" si="6"/>
        <v>3E</v>
      </c>
      <c r="F32" s="154" t="str">
        <f t="shared" si="0"/>
        <v>Annual</v>
      </c>
      <c r="G32" s="154" t="s">
        <v>134</v>
      </c>
      <c r="H32" s="154" t="str">
        <f t="shared" si="1"/>
        <v>30/360 (Bond Basis)</v>
      </c>
      <c r="I32" s="174">
        <v>0</v>
      </c>
      <c r="J32" s="173" t="str">
        <f t="shared" si="2"/>
        <v>EURAB3EBASIS24Y_Quote</v>
      </c>
      <c r="K32" s="173" t="str">
        <f t="shared" si="3"/>
        <v>EUR_YC3MRH_AB3EBASIS24Y</v>
      </c>
      <c r="L32" s="172" t="str">
        <f>_xll.qlSwapRateHelper2(K32,$J32,$C32,Calendar,$F32,$G32,$H32,$L$4,$I32,B32,DiscountingCurve,Permanent,,ObjectOverwrite)</f>
        <v>EUR_YC3MRH_AB3EBASIS24Y#0001</v>
      </c>
      <c r="M32" s="171" t="str">
        <f>_xll.ohRangeRetrieveError(L32)</f>
        <v/>
      </c>
      <c r="N32" s="170"/>
    </row>
    <row r="33" spans="1:14" x14ac:dyDescent="0.2">
      <c r="A33" s="96"/>
      <c r="B33" s="175" t="str">
        <f t="shared" si="4"/>
        <v>0D</v>
      </c>
      <c r="C33" s="175" t="s">
        <v>20</v>
      </c>
      <c r="D33" s="175" t="str">
        <f t="shared" si="5"/>
        <v>AB</v>
      </c>
      <c r="E33" s="175" t="str">
        <f t="shared" si="6"/>
        <v>3E</v>
      </c>
      <c r="F33" s="154" t="str">
        <f t="shared" si="0"/>
        <v>Annual</v>
      </c>
      <c r="G33" s="154" t="s">
        <v>134</v>
      </c>
      <c r="H33" s="154" t="str">
        <f t="shared" si="1"/>
        <v>30/360 (Bond Basis)</v>
      </c>
      <c r="I33" s="174">
        <v>0</v>
      </c>
      <c r="J33" s="173" t="str">
        <f t="shared" si="2"/>
        <v>EURAB3EBASIS25Y_Quote</v>
      </c>
      <c r="K33" s="173" t="str">
        <f t="shared" si="3"/>
        <v>EUR_YC3MRH_AB3EBASIS25Y</v>
      </c>
      <c r="L33" s="172" t="str">
        <f>_xll.qlSwapRateHelper2(K33,$J33,$C33,Calendar,$F33,$G33,$H33,$L$4,$I33,B33,DiscountingCurve,Permanent,,ObjectOverwrite)</f>
        <v>EUR_YC3MRH_AB3EBASIS25Y#0001</v>
      </c>
      <c r="M33" s="171" t="str">
        <f>_xll.ohRangeRetrieveError(L33)</f>
        <v/>
      </c>
      <c r="N33" s="170"/>
    </row>
    <row r="34" spans="1:14" x14ac:dyDescent="0.2">
      <c r="A34" s="96"/>
      <c r="B34" s="175" t="str">
        <f t="shared" si="4"/>
        <v>0D</v>
      </c>
      <c r="C34" s="175" t="s">
        <v>19</v>
      </c>
      <c r="D34" s="175" t="str">
        <f t="shared" si="5"/>
        <v>AB</v>
      </c>
      <c r="E34" s="175" t="str">
        <f t="shared" si="6"/>
        <v>3E</v>
      </c>
      <c r="F34" s="154" t="str">
        <f t="shared" si="0"/>
        <v>Annual</v>
      </c>
      <c r="G34" s="154" t="s">
        <v>134</v>
      </c>
      <c r="H34" s="154" t="str">
        <f t="shared" si="1"/>
        <v>30/360 (Bond Basis)</v>
      </c>
      <c r="I34" s="174">
        <v>0</v>
      </c>
      <c r="J34" s="173" t="str">
        <f t="shared" si="2"/>
        <v>EURAB3EBASIS26Y_Quote</v>
      </c>
      <c r="K34" s="173" t="str">
        <f t="shared" si="3"/>
        <v>EUR_YC3MRH_AB3EBASIS26Y</v>
      </c>
      <c r="L34" s="172" t="str">
        <f>_xll.qlSwapRateHelper2(K34,$J34,$C34,Calendar,$F34,$G34,$H34,$L$4,$I34,B34,DiscountingCurve,Permanent,,ObjectOverwrite)</f>
        <v>EUR_YC3MRH_AB3EBASIS26Y#0001</v>
      </c>
      <c r="M34" s="171" t="str">
        <f>_xll.ohRangeRetrieveError(L34)</f>
        <v/>
      </c>
      <c r="N34" s="170"/>
    </row>
    <row r="35" spans="1:14" x14ac:dyDescent="0.2">
      <c r="A35" s="96"/>
      <c r="B35" s="175" t="str">
        <f t="shared" si="4"/>
        <v>0D</v>
      </c>
      <c r="C35" s="175" t="s">
        <v>18</v>
      </c>
      <c r="D35" s="175" t="str">
        <f t="shared" si="5"/>
        <v>AB</v>
      </c>
      <c r="E35" s="175" t="str">
        <f t="shared" si="6"/>
        <v>3E</v>
      </c>
      <c r="F35" s="154" t="str">
        <f t="shared" si="0"/>
        <v>Annual</v>
      </c>
      <c r="G35" s="154" t="s">
        <v>134</v>
      </c>
      <c r="H35" s="154" t="str">
        <f t="shared" si="1"/>
        <v>30/360 (Bond Basis)</v>
      </c>
      <c r="I35" s="174">
        <v>0</v>
      </c>
      <c r="J35" s="173" t="str">
        <f t="shared" si="2"/>
        <v>EURAB3EBASIS27Y_Quote</v>
      </c>
      <c r="K35" s="173" t="str">
        <f t="shared" si="3"/>
        <v>EUR_YC3MRH_AB3EBASIS27Y</v>
      </c>
      <c r="L35" s="172" t="str">
        <f>_xll.qlSwapRateHelper2(K35,$J35,$C35,Calendar,$F35,$G35,$H35,$L$4,$I35,B35,DiscountingCurve,Permanent,,ObjectOverwrite)</f>
        <v>EUR_YC3MRH_AB3EBASIS27Y#0001</v>
      </c>
      <c r="M35" s="171" t="str">
        <f>_xll.ohRangeRetrieveError(L35)</f>
        <v/>
      </c>
      <c r="N35" s="170"/>
    </row>
    <row r="36" spans="1:14" x14ac:dyDescent="0.2">
      <c r="A36" s="96"/>
      <c r="B36" s="175" t="str">
        <f t="shared" si="4"/>
        <v>0D</v>
      </c>
      <c r="C36" s="175" t="s">
        <v>17</v>
      </c>
      <c r="D36" s="175" t="str">
        <f t="shared" si="5"/>
        <v>AB</v>
      </c>
      <c r="E36" s="175" t="str">
        <f t="shared" si="6"/>
        <v>3E</v>
      </c>
      <c r="F36" s="154" t="str">
        <f t="shared" si="0"/>
        <v>Annual</v>
      </c>
      <c r="G36" s="154" t="s">
        <v>134</v>
      </c>
      <c r="H36" s="154" t="str">
        <f t="shared" si="1"/>
        <v>30/360 (Bond Basis)</v>
      </c>
      <c r="I36" s="174">
        <v>0</v>
      </c>
      <c r="J36" s="173" t="str">
        <f t="shared" si="2"/>
        <v>EURAB3EBASIS28Y_Quote</v>
      </c>
      <c r="K36" s="173" t="str">
        <f t="shared" si="3"/>
        <v>EUR_YC3MRH_AB3EBASIS28Y</v>
      </c>
      <c r="L36" s="172" t="str">
        <f>_xll.qlSwapRateHelper2(K36,$J36,$C36,Calendar,$F36,$G36,$H36,$L$4,$I36,B36,DiscountingCurve,Permanent,,ObjectOverwrite)</f>
        <v>EUR_YC3MRH_AB3EBASIS28Y#0001</v>
      </c>
      <c r="M36" s="171" t="str">
        <f>_xll.ohRangeRetrieveError(L36)</f>
        <v/>
      </c>
      <c r="N36" s="170"/>
    </row>
    <row r="37" spans="1:14" x14ac:dyDescent="0.2">
      <c r="A37" s="96"/>
      <c r="B37" s="175" t="str">
        <f t="shared" si="4"/>
        <v>0D</v>
      </c>
      <c r="C37" s="175" t="s">
        <v>16</v>
      </c>
      <c r="D37" s="175" t="str">
        <f t="shared" si="5"/>
        <v>AB</v>
      </c>
      <c r="E37" s="175" t="str">
        <f t="shared" si="6"/>
        <v>3E</v>
      </c>
      <c r="F37" s="154" t="str">
        <f t="shared" si="0"/>
        <v>Annual</v>
      </c>
      <c r="G37" s="154" t="s">
        <v>134</v>
      </c>
      <c r="H37" s="154" t="str">
        <f t="shared" si="1"/>
        <v>30/360 (Bond Basis)</v>
      </c>
      <c r="I37" s="174">
        <v>0</v>
      </c>
      <c r="J37" s="173" t="str">
        <f t="shared" si="2"/>
        <v>EURAB3EBASIS29Y_Quote</v>
      </c>
      <c r="K37" s="173" t="str">
        <f t="shared" si="3"/>
        <v>EUR_YC3MRH_AB3EBASIS29Y</v>
      </c>
      <c r="L37" s="172" t="str">
        <f>_xll.qlSwapRateHelper2(K37,$J37,$C37,Calendar,$F37,$G37,$H37,$L$4,$I37,B37,DiscountingCurve,Permanent,,ObjectOverwrite)</f>
        <v>EUR_YC3MRH_AB3EBASIS29Y#0001</v>
      </c>
      <c r="M37" s="171" t="str">
        <f>_xll.ohRangeRetrieveError(L37)</f>
        <v/>
      </c>
      <c r="N37" s="170"/>
    </row>
    <row r="38" spans="1:14" x14ac:dyDescent="0.2">
      <c r="A38" s="96"/>
      <c r="B38" s="175" t="str">
        <f t="shared" si="4"/>
        <v>0D</v>
      </c>
      <c r="C38" s="175" t="s">
        <v>15</v>
      </c>
      <c r="D38" s="175" t="str">
        <f t="shared" si="5"/>
        <v>AB</v>
      </c>
      <c r="E38" s="175" t="str">
        <f t="shared" si="6"/>
        <v>3E</v>
      </c>
      <c r="F38" s="154" t="str">
        <f t="shared" si="0"/>
        <v>Annual</v>
      </c>
      <c r="G38" s="154" t="s">
        <v>134</v>
      </c>
      <c r="H38" s="154" t="str">
        <f t="shared" si="1"/>
        <v>30/360 (Bond Basis)</v>
      </c>
      <c r="I38" s="174">
        <v>0</v>
      </c>
      <c r="J38" s="173" t="str">
        <f t="shared" si="2"/>
        <v>EURAB3EBASIS30Y_Quote</v>
      </c>
      <c r="K38" s="173" t="str">
        <f t="shared" si="3"/>
        <v>EUR_YC3MRH_AB3EBASIS30Y</v>
      </c>
      <c r="L38" s="172" t="str">
        <f>_xll.qlSwapRateHelper2(K38,$J38,$C38,Calendar,$F38,$G38,$H38,$L$4,$I38,B38,DiscountingCurve,Permanent,,ObjectOverwrite)</f>
        <v>EUR_YC3MRH_AB3EBASIS30Y#0001</v>
      </c>
      <c r="M38" s="171" t="str">
        <f>_xll.ohRangeRetrieveError(L38)</f>
        <v/>
      </c>
      <c r="N38" s="170"/>
    </row>
    <row r="39" spans="1:14" x14ac:dyDescent="0.2">
      <c r="A39" s="96"/>
      <c r="B39" s="175" t="str">
        <f t="shared" si="4"/>
        <v>0D</v>
      </c>
      <c r="C39" s="175" t="s">
        <v>14</v>
      </c>
      <c r="D39" s="175" t="str">
        <f t="shared" si="5"/>
        <v>AB</v>
      </c>
      <c r="E39" s="175" t="str">
        <f t="shared" si="6"/>
        <v>3E</v>
      </c>
      <c r="F39" s="154" t="str">
        <f t="shared" si="0"/>
        <v>Annual</v>
      </c>
      <c r="G39" s="154" t="s">
        <v>134</v>
      </c>
      <c r="H39" s="154" t="str">
        <f t="shared" si="1"/>
        <v>30/360 (Bond Basis)</v>
      </c>
      <c r="I39" s="174">
        <v>0</v>
      </c>
      <c r="J39" s="173" t="str">
        <f t="shared" si="2"/>
        <v>EURAB3EBASIS35Y_Quote</v>
      </c>
      <c r="K39" s="173" t="str">
        <f t="shared" si="3"/>
        <v>EUR_YC3MRH_AB3EBASIS35Y</v>
      </c>
      <c r="L39" s="172" t="str">
        <f>_xll.qlSwapRateHelper2(K39,$J39,$C39,Calendar,$F39,$G39,$H39,$L$4,$I39,B39,DiscountingCurve,Permanent,,ObjectOverwrite)</f>
        <v>EUR_YC3MRH_AB3EBASIS35Y#0001</v>
      </c>
      <c r="M39" s="171" t="str">
        <f>_xll.ohRangeRetrieveError(L39)</f>
        <v/>
      </c>
      <c r="N39" s="170"/>
    </row>
    <row r="40" spans="1:14" x14ac:dyDescent="0.2">
      <c r="A40" s="96"/>
      <c r="B40" s="175" t="str">
        <f t="shared" si="4"/>
        <v>0D</v>
      </c>
      <c r="C40" s="175" t="s">
        <v>13</v>
      </c>
      <c r="D40" s="175" t="str">
        <f t="shared" si="5"/>
        <v>AB</v>
      </c>
      <c r="E40" s="175" t="str">
        <f t="shared" si="6"/>
        <v>3E</v>
      </c>
      <c r="F40" s="154" t="str">
        <f t="shared" si="0"/>
        <v>Annual</v>
      </c>
      <c r="G40" s="154" t="s">
        <v>134</v>
      </c>
      <c r="H40" s="154" t="str">
        <f t="shared" si="1"/>
        <v>30/360 (Bond Basis)</v>
      </c>
      <c r="I40" s="174">
        <v>0</v>
      </c>
      <c r="J40" s="173" t="str">
        <f t="shared" si="2"/>
        <v>EURAB3EBASIS40Y_Quote</v>
      </c>
      <c r="K40" s="173" t="str">
        <f t="shared" si="3"/>
        <v>EUR_YC3MRH_AB3EBASIS40Y</v>
      </c>
      <c r="L40" s="172" t="str">
        <f>_xll.qlSwapRateHelper2(K40,$J40,$C40,Calendar,$F40,$G40,$H40,$L$4,$I40,B40,DiscountingCurve,Permanent,,ObjectOverwrite)</f>
        <v>EUR_YC3MRH_AB3EBASIS40Y#0001</v>
      </c>
      <c r="M40" s="171" t="str">
        <f>_xll.ohRangeRetrieveError(L40)</f>
        <v/>
      </c>
      <c r="N40" s="170"/>
    </row>
    <row r="41" spans="1:14" x14ac:dyDescent="0.2">
      <c r="A41" s="96"/>
      <c r="B41" s="175" t="str">
        <f t="shared" si="4"/>
        <v>0D</v>
      </c>
      <c r="C41" s="175" t="s">
        <v>12</v>
      </c>
      <c r="D41" s="175" t="str">
        <f t="shared" si="5"/>
        <v>AB</v>
      </c>
      <c r="E41" s="175" t="str">
        <f t="shared" si="6"/>
        <v>3E</v>
      </c>
      <c r="F41" s="154" t="str">
        <f t="shared" si="0"/>
        <v>Annual</v>
      </c>
      <c r="G41" s="154" t="s">
        <v>134</v>
      </c>
      <c r="H41" s="154" t="str">
        <f t="shared" si="1"/>
        <v>30/360 (Bond Basis)</v>
      </c>
      <c r="I41" s="174">
        <v>0</v>
      </c>
      <c r="J41" s="173" t="str">
        <f t="shared" si="2"/>
        <v>EURAB3EBASIS50Y_Quote</v>
      </c>
      <c r="K41" s="173" t="str">
        <f t="shared" si="3"/>
        <v>EUR_YC3MRH_AB3EBASIS50Y</v>
      </c>
      <c r="L41" s="172" t="str">
        <f>_xll.qlSwapRateHelper2(K41,$J41,$C41,Calendar,$F41,$G41,$H41,$L$4,$I41,B41,DiscountingCurve,Permanent,,ObjectOverwrite)</f>
        <v>EUR_YC3MRH_AB3EBASIS50Y#0001</v>
      </c>
      <c r="M41" s="171" t="str">
        <f>_xll.ohRangeRetrieveError(L41)</f>
        <v/>
      </c>
      <c r="N41" s="170"/>
    </row>
    <row r="42" spans="1:14" x14ac:dyDescent="0.2">
      <c r="A42" s="96"/>
      <c r="B42" s="175" t="str">
        <f t="shared" si="4"/>
        <v>0D</v>
      </c>
      <c r="C42" s="175" t="s">
        <v>11</v>
      </c>
      <c r="D42" s="175" t="str">
        <f t="shared" si="5"/>
        <v>AB</v>
      </c>
      <c r="E42" s="175" t="str">
        <f t="shared" si="6"/>
        <v>3E</v>
      </c>
      <c r="F42" s="154" t="str">
        <f t="shared" si="0"/>
        <v>Annual</v>
      </c>
      <c r="G42" s="154" t="s">
        <v>134</v>
      </c>
      <c r="H42" s="154" t="str">
        <f t="shared" si="1"/>
        <v>30/360 (Bond Basis)</v>
      </c>
      <c r="I42" s="174">
        <v>0</v>
      </c>
      <c r="J42" s="173" t="str">
        <f t="shared" si="2"/>
        <v>EURAB3EBASIS60Y_Quote</v>
      </c>
      <c r="K42" s="173" t="str">
        <f t="shared" si="3"/>
        <v>EUR_YC3MRH_AB3EBASIS60Y</v>
      </c>
      <c r="L42" s="172" t="str">
        <f>_xll.qlSwapRateHelper2(K42,$J42,$C42,Calendar,$F42,$G42,$H42,$L$4,$I42,B42,DiscountingCurve,Permanent,,ObjectOverwrite)</f>
        <v>EUR_YC3MRH_AB3EBASIS60Y#0001</v>
      </c>
      <c r="M42" s="171" t="str">
        <f>_xll.ohRangeRetrieveError(L42)</f>
        <v/>
      </c>
      <c r="N42" s="170"/>
    </row>
    <row r="43" spans="1:14" ht="12" thickBot="1" x14ac:dyDescent="0.25">
      <c r="A43" s="88"/>
      <c r="B43" s="87"/>
      <c r="C43" s="87"/>
      <c r="D43" s="87"/>
      <c r="E43" s="87"/>
      <c r="F43" s="87"/>
      <c r="G43" s="87"/>
      <c r="H43" s="87"/>
      <c r="I43" s="87"/>
      <c r="J43" s="87"/>
      <c r="K43" s="87"/>
      <c r="L43" s="127"/>
      <c r="M43" s="127"/>
      <c r="N43" s="19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A15381"/>
  <sheetViews>
    <sheetView zoomScaleNormal="100" zoomScaleSheetLayoutView="110" workbookViewId="0">
      <selection activeCell="A3" sqref="A3"/>
    </sheetView>
  </sheetViews>
  <sheetFormatPr defaultRowHeight="11.25" outlineLevelRow="1" outlineLevelCol="1" x14ac:dyDescent="0.2"/>
  <cols>
    <col min="1" max="1" width="15.140625" style="1" bestFit="1" customWidth="1"/>
    <col min="2" max="2" width="6" style="219" bestFit="1" customWidth="1"/>
    <col min="3" max="3" width="17.28515625" style="219" bestFit="1" customWidth="1"/>
    <col min="4" max="4" width="7" style="1" bestFit="1" customWidth="1"/>
    <col min="5" max="5" width="17.28515625" style="1" bestFit="1" customWidth="1"/>
    <col min="6" max="6" width="20.28515625" style="219" bestFit="1" customWidth="1"/>
    <col min="7" max="7" width="4" style="219" bestFit="1" customWidth="1"/>
    <col min="8" max="9" width="6" style="219" bestFit="1" customWidth="1"/>
    <col min="10" max="10" width="10.140625" style="219" customWidth="1"/>
    <col min="11" max="11" width="24.42578125" style="1" bestFit="1" customWidth="1"/>
    <col min="12" max="12" width="17.28515625" style="1" bestFit="1" customWidth="1"/>
    <col min="13" max="13" width="12" style="1" customWidth="1"/>
    <col min="14" max="14" width="6" style="1" hidden="1" customWidth="1" outlineLevel="1"/>
    <col min="15" max="15" width="17.28515625" style="1" hidden="1" customWidth="1" outlineLevel="1"/>
    <col min="16" max="16" width="15.140625" style="1" hidden="1" customWidth="1" outlineLevel="1"/>
    <col min="17" max="17" width="16.140625" style="221" bestFit="1" customWidth="1" collapsed="1"/>
    <col min="18" max="18" width="10" style="1" bestFit="1" customWidth="1"/>
    <col min="19" max="19" width="3.7109375" style="1" customWidth="1"/>
    <col min="20" max="20" width="19.28515625" style="1" customWidth="1"/>
    <col min="21" max="22" width="17.28515625" style="1" bestFit="1" customWidth="1"/>
    <col min="23" max="24" width="15.140625" style="1" bestFit="1" customWidth="1"/>
    <col min="25" max="25" width="22.42578125" style="1" bestFit="1" customWidth="1"/>
    <col min="26" max="26" width="13.140625" style="1" bestFit="1" customWidth="1"/>
    <col min="27" max="27" width="17.28515625" style="1" bestFit="1" customWidth="1"/>
    <col min="28" max="28" width="10" style="1" bestFit="1" customWidth="1"/>
    <col min="29" max="29" width="13.140625" style="1" bestFit="1" customWidth="1"/>
    <col min="30" max="31" width="9.140625" style="1"/>
    <col min="32" max="32" width="19.28515625" style="1" bestFit="1" customWidth="1"/>
    <col min="33" max="33" width="17.28515625" style="1" bestFit="1" customWidth="1"/>
    <col min="34" max="35" width="15.140625" style="1" bestFit="1" customWidth="1"/>
    <col min="36" max="256" width="9.140625" style="1"/>
    <col min="257" max="257" width="17.28515625" style="1" bestFit="1" customWidth="1"/>
    <col min="258" max="258" width="9" style="1" bestFit="1" customWidth="1"/>
    <col min="259" max="259" width="6" style="1" bestFit="1" customWidth="1"/>
    <col min="260" max="260" width="9" style="1" bestFit="1" customWidth="1"/>
    <col min="261" max="261" width="6" style="1" bestFit="1" customWidth="1"/>
    <col min="262" max="262" width="15.140625" style="1" bestFit="1" customWidth="1"/>
    <col min="263" max="263" width="9" style="1" bestFit="1" customWidth="1"/>
    <col min="264" max="264" width="5" style="1" bestFit="1" customWidth="1"/>
    <col min="265" max="265" width="9" style="1" bestFit="1" customWidth="1"/>
    <col min="266" max="266" width="7" style="1" bestFit="1" customWidth="1"/>
    <col min="267" max="268" width="17.28515625" style="1" bestFit="1" customWidth="1"/>
    <col min="269" max="269" width="8" style="1" bestFit="1" customWidth="1"/>
    <col min="270" max="270" width="6.28515625" style="1" customWidth="1"/>
    <col min="271" max="271" width="6" style="1" bestFit="1" customWidth="1"/>
    <col min="272" max="272" width="3" style="1" customWidth="1"/>
    <col min="273" max="273" width="11" style="1" bestFit="1" customWidth="1"/>
    <col min="274" max="274" width="22.42578125" style="1" bestFit="1" customWidth="1"/>
    <col min="275" max="275" width="17.28515625" style="1" bestFit="1" customWidth="1"/>
    <col min="276" max="277" width="8" style="1" bestFit="1" customWidth="1"/>
    <col min="278" max="278" width="17.28515625" style="1" bestFit="1" customWidth="1"/>
    <col min="279" max="280" width="15.140625" style="1" bestFit="1" customWidth="1"/>
    <col min="281" max="281" width="8" style="1" bestFit="1" customWidth="1"/>
    <col min="282" max="512" width="9.140625" style="1"/>
    <col min="513" max="513" width="17.28515625" style="1" bestFit="1" customWidth="1"/>
    <col min="514" max="514" width="9" style="1" bestFit="1" customWidth="1"/>
    <col min="515" max="515" width="6" style="1" bestFit="1" customWidth="1"/>
    <col min="516" max="516" width="9" style="1" bestFit="1" customWidth="1"/>
    <col min="517" max="517" width="6" style="1" bestFit="1" customWidth="1"/>
    <col min="518" max="518" width="15.140625" style="1" bestFit="1" customWidth="1"/>
    <col min="519" max="519" width="9" style="1" bestFit="1" customWidth="1"/>
    <col min="520" max="520" width="5" style="1" bestFit="1" customWidth="1"/>
    <col min="521" max="521" width="9" style="1" bestFit="1" customWidth="1"/>
    <col min="522" max="522" width="7" style="1" bestFit="1" customWidth="1"/>
    <col min="523" max="524" width="17.28515625" style="1" bestFit="1" customWidth="1"/>
    <col min="525" max="525" width="8" style="1" bestFit="1" customWidth="1"/>
    <col min="526" max="526" width="6.28515625" style="1" customWidth="1"/>
    <col min="527" max="527" width="6" style="1" bestFit="1" customWidth="1"/>
    <col min="528" max="528" width="3" style="1" customWidth="1"/>
    <col min="529" max="529" width="11" style="1" bestFit="1" customWidth="1"/>
    <col min="530" max="530" width="22.42578125" style="1" bestFit="1" customWidth="1"/>
    <col min="531" max="531" width="17.28515625" style="1" bestFit="1" customWidth="1"/>
    <col min="532" max="533" width="8" style="1" bestFit="1" customWidth="1"/>
    <col min="534" max="534" width="17.28515625" style="1" bestFit="1" customWidth="1"/>
    <col min="535" max="536" width="15.140625" style="1" bestFit="1" customWidth="1"/>
    <col min="537" max="537" width="8" style="1" bestFit="1" customWidth="1"/>
    <col min="538" max="768" width="9.140625" style="1"/>
    <col min="769" max="769" width="17.28515625" style="1" bestFit="1" customWidth="1"/>
    <col min="770" max="770" width="9" style="1" bestFit="1" customWidth="1"/>
    <col min="771" max="771" width="6" style="1" bestFit="1" customWidth="1"/>
    <col min="772" max="772" width="9" style="1" bestFit="1" customWidth="1"/>
    <col min="773" max="773" width="6" style="1" bestFit="1" customWidth="1"/>
    <col min="774" max="774" width="15.140625" style="1" bestFit="1" customWidth="1"/>
    <col min="775" max="775" width="9" style="1" bestFit="1" customWidth="1"/>
    <col min="776" max="776" width="5" style="1" bestFit="1" customWidth="1"/>
    <col min="777" max="777" width="9" style="1" bestFit="1" customWidth="1"/>
    <col min="778" max="778" width="7" style="1" bestFit="1" customWidth="1"/>
    <col min="779" max="780" width="17.28515625" style="1" bestFit="1" customWidth="1"/>
    <col min="781" max="781" width="8" style="1" bestFit="1" customWidth="1"/>
    <col min="782" max="782" width="6.28515625" style="1" customWidth="1"/>
    <col min="783" max="783" width="6" style="1" bestFit="1" customWidth="1"/>
    <col min="784" max="784" width="3" style="1" customWidth="1"/>
    <col min="785" max="785" width="11" style="1" bestFit="1" customWidth="1"/>
    <col min="786" max="786" width="22.42578125" style="1" bestFit="1" customWidth="1"/>
    <col min="787" max="787" width="17.28515625" style="1" bestFit="1" customWidth="1"/>
    <col min="788" max="789" width="8" style="1" bestFit="1" customWidth="1"/>
    <col min="790" max="790" width="17.28515625" style="1" bestFit="1" customWidth="1"/>
    <col min="791" max="792" width="15.140625" style="1" bestFit="1" customWidth="1"/>
    <col min="793" max="793" width="8" style="1" bestFit="1" customWidth="1"/>
    <col min="794" max="1024" width="9.140625" style="1"/>
    <col min="1025" max="1025" width="17.28515625" style="1" bestFit="1" customWidth="1"/>
    <col min="1026" max="1026" width="9" style="1" bestFit="1" customWidth="1"/>
    <col min="1027" max="1027" width="6" style="1" bestFit="1" customWidth="1"/>
    <col min="1028" max="1028" width="9" style="1" bestFit="1" customWidth="1"/>
    <col min="1029" max="1029" width="6" style="1" bestFit="1" customWidth="1"/>
    <col min="1030" max="1030" width="15.140625" style="1" bestFit="1" customWidth="1"/>
    <col min="1031" max="1031" width="9" style="1" bestFit="1" customWidth="1"/>
    <col min="1032" max="1032" width="5" style="1" bestFit="1" customWidth="1"/>
    <col min="1033" max="1033" width="9" style="1" bestFit="1" customWidth="1"/>
    <col min="1034" max="1034" width="7" style="1" bestFit="1" customWidth="1"/>
    <col min="1035" max="1036" width="17.28515625" style="1" bestFit="1" customWidth="1"/>
    <col min="1037" max="1037" width="8" style="1" bestFit="1" customWidth="1"/>
    <col min="1038" max="1038" width="6.28515625" style="1" customWidth="1"/>
    <col min="1039" max="1039" width="6" style="1" bestFit="1" customWidth="1"/>
    <col min="1040" max="1040" width="3" style="1" customWidth="1"/>
    <col min="1041" max="1041" width="11" style="1" bestFit="1" customWidth="1"/>
    <col min="1042" max="1042" width="22.42578125" style="1" bestFit="1" customWidth="1"/>
    <col min="1043" max="1043" width="17.28515625" style="1" bestFit="1" customWidth="1"/>
    <col min="1044" max="1045" width="8" style="1" bestFit="1" customWidth="1"/>
    <col min="1046" max="1046" width="17.28515625" style="1" bestFit="1" customWidth="1"/>
    <col min="1047" max="1048" width="15.140625" style="1" bestFit="1" customWidth="1"/>
    <col min="1049" max="1049" width="8" style="1" bestFit="1" customWidth="1"/>
    <col min="1050" max="1280" width="9.140625" style="1"/>
    <col min="1281" max="1281" width="17.28515625" style="1" bestFit="1" customWidth="1"/>
    <col min="1282" max="1282" width="9" style="1" bestFit="1" customWidth="1"/>
    <col min="1283" max="1283" width="6" style="1" bestFit="1" customWidth="1"/>
    <col min="1284" max="1284" width="9" style="1" bestFit="1" customWidth="1"/>
    <col min="1285" max="1285" width="6" style="1" bestFit="1" customWidth="1"/>
    <col min="1286" max="1286" width="15.140625" style="1" bestFit="1" customWidth="1"/>
    <col min="1287" max="1287" width="9" style="1" bestFit="1" customWidth="1"/>
    <col min="1288" max="1288" width="5" style="1" bestFit="1" customWidth="1"/>
    <col min="1289" max="1289" width="9" style="1" bestFit="1" customWidth="1"/>
    <col min="1290" max="1290" width="7" style="1" bestFit="1" customWidth="1"/>
    <col min="1291" max="1292" width="17.28515625" style="1" bestFit="1" customWidth="1"/>
    <col min="1293" max="1293" width="8" style="1" bestFit="1" customWidth="1"/>
    <col min="1294" max="1294" width="6.28515625" style="1" customWidth="1"/>
    <col min="1295" max="1295" width="6" style="1" bestFit="1" customWidth="1"/>
    <col min="1296" max="1296" width="3" style="1" customWidth="1"/>
    <col min="1297" max="1297" width="11" style="1" bestFit="1" customWidth="1"/>
    <col min="1298" max="1298" width="22.42578125" style="1" bestFit="1" customWidth="1"/>
    <col min="1299" max="1299" width="17.28515625" style="1" bestFit="1" customWidth="1"/>
    <col min="1300" max="1301" width="8" style="1" bestFit="1" customWidth="1"/>
    <col min="1302" max="1302" width="17.28515625" style="1" bestFit="1" customWidth="1"/>
    <col min="1303" max="1304" width="15.140625" style="1" bestFit="1" customWidth="1"/>
    <col min="1305" max="1305" width="8" style="1" bestFit="1" customWidth="1"/>
    <col min="1306" max="1536" width="9.140625" style="1"/>
    <col min="1537" max="1537" width="17.28515625" style="1" bestFit="1" customWidth="1"/>
    <col min="1538" max="1538" width="9" style="1" bestFit="1" customWidth="1"/>
    <col min="1539" max="1539" width="6" style="1" bestFit="1" customWidth="1"/>
    <col min="1540" max="1540" width="9" style="1" bestFit="1" customWidth="1"/>
    <col min="1541" max="1541" width="6" style="1" bestFit="1" customWidth="1"/>
    <col min="1542" max="1542" width="15.140625" style="1" bestFit="1" customWidth="1"/>
    <col min="1543" max="1543" width="9" style="1" bestFit="1" customWidth="1"/>
    <col min="1544" max="1544" width="5" style="1" bestFit="1" customWidth="1"/>
    <col min="1545" max="1545" width="9" style="1" bestFit="1" customWidth="1"/>
    <col min="1546" max="1546" width="7" style="1" bestFit="1" customWidth="1"/>
    <col min="1547" max="1548" width="17.28515625" style="1" bestFit="1" customWidth="1"/>
    <col min="1549" max="1549" width="8" style="1" bestFit="1" customWidth="1"/>
    <col min="1550" max="1550" width="6.28515625" style="1" customWidth="1"/>
    <col min="1551" max="1551" width="6" style="1" bestFit="1" customWidth="1"/>
    <col min="1552" max="1552" width="3" style="1" customWidth="1"/>
    <col min="1553" max="1553" width="11" style="1" bestFit="1" customWidth="1"/>
    <col min="1554" max="1554" width="22.42578125" style="1" bestFit="1" customWidth="1"/>
    <col min="1555" max="1555" width="17.28515625" style="1" bestFit="1" customWidth="1"/>
    <col min="1556" max="1557" width="8" style="1" bestFit="1" customWidth="1"/>
    <col min="1558" max="1558" width="17.28515625" style="1" bestFit="1" customWidth="1"/>
    <col min="1559" max="1560" width="15.140625" style="1" bestFit="1" customWidth="1"/>
    <col min="1561" max="1561" width="8" style="1" bestFit="1" customWidth="1"/>
    <col min="1562" max="1792" width="9.140625" style="1"/>
    <col min="1793" max="1793" width="17.28515625" style="1" bestFit="1" customWidth="1"/>
    <col min="1794" max="1794" width="9" style="1" bestFit="1" customWidth="1"/>
    <col min="1795" max="1795" width="6" style="1" bestFit="1" customWidth="1"/>
    <col min="1796" max="1796" width="9" style="1" bestFit="1" customWidth="1"/>
    <col min="1797" max="1797" width="6" style="1" bestFit="1" customWidth="1"/>
    <col min="1798" max="1798" width="15.140625" style="1" bestFit="1" customWidth="1"/>
    <col min="1799" max="1799" width="9" style="1" bestFit="1" customWidth="1"/>
    <col min="1800" max="1800" width="5" style="1" bestFit="1" customWidth="1"/>
    <col min="1801" max="1801" width="9" style="1" bestFit="1" customWidth="1"/>
    <col min="1802" max="1802" width="7" style="1" bestFit="1" customWidth="1"/>
    <col min="1803" max="1804" width="17.28515625" style="1" bestFit="1" customWidth="1"/>
    <col min="1805" max="1805" width="8" style="1" bestFit="1" customWidth="1"/>
    <col min="1806" max="1806" width="6.28515625" style="1" customWidth="1"/>
    <col min="1807" max="1807" width="6" style="1" bestFit="1" customWidth="1"/>
    <col min="1808" max="1808" width="3" style="1" customWidth="1"/>
    <col min="1809" max="1809" width="11" style="1" bestFit="1" customWidth="1"/>
    <col min="1810" max="1810" width="22.42578125" style="1" bestFit="1" customWidth="1"/>
    <col min="1811" max="1811" width="17.28515625" style="1" bestFit="1" customWidth="1"/>
    <col min="1812" max="1813" width="8" style="1" bestFit="1" customWidth="1"/>
    <col min="1814" max="1814" width="17.28515625" style="1" bestFit="1" customWidth="1"/>
    <col min="1815" max="1816" width="15.140625" style="1" bestFit="1" customWidth="1"/>
    <col min="1817" max="1817" width="8" style="1" bestFit="1" customWidth="1"/>
    <col min="1818" max="2048" width="9.140625" style="1"/>
    <col min="2049" max="2049" width="17.28515625" style="1" bestFit="1" customWidth="1"/>
    <col min="2050" max="2050" width="9" style="1" bestFit="1" customWidth="1"/>
    <col min="2051" max="2051" width="6" style="1" bestFit="1" customWidth="1"/>
    <col min="2052" max="2052" width="9" style="1" bestFit="1" customWidth="1"/>
    <col min="2053" max="2053" width="6" style="1" bestFit="1" customWidth="1"/>
    <col min="2054" max="2054" width="15.140625" style="1" bestFit="1" customWidth="1"/>
    <col min="2055" max="2055" width="9" style="1" bestFit="1" customWidth="1"/>
    <col min="2056" max="2056" width="5" style="1" bestFit="1" customWidth="1"/>
    <col min="2057" max="2057" width="9" style="1" bestFit="1" customWidth="1"/>
    <col min="2058" max="2058" width="7" style="1" bestFit="1" customWidth="1"/>
    <col min="2059" max="2060" width="17.28515625" style="1" bestFit="1" customWidth="1"/>
    <col min="2061" max="2061" width="8" style="1" bestFit="1" customWidth="1"/>
    <col min="2062" max="2062" width="6.28515625" style="1" customWidth="1"/>
    <col min="2063" max="2063" width="6" style="1" bestFit="1" customWidth="1"/>
    <col min="2064" max="2064" width="3" style="1" customWidth="1"/>
    <col min="2065" max="2065" width="11" style="1" bestFit="1" customWidth="1"/>
    <col min="2066" max="2066" width="22.42578125" style="1" bestFit="1" customWidth="1"/>
    <col min="2067" max="2067" width="17.28515625" style="1" bestFit="1" customWidth="1"/>
    <col min="2068" max="2069" width="8" style="1" bestFit="1" customWidth="1"/>
    <col min="2070" max="2070" width="17.28515625" style="1" bestFit="1" customWidth="1"/>
    <col min="2071" max="2072" width="15.140625" style="1" bestFit="1" customWidth="1"/>
    <col min="2073" max="2073" width="8" style="1" bestFit="1" customWidth="1"/>
    <col min="2074" max="2304" width="9.140625" style="1"/>
    <col min="2305" max="2305" width="17.28515625" style="1" bestFit="1" customWidth="1"/>
    <col min="2306" max="2306" width="9" style="1" bestFit="1" customWidth="1"/>
    <col min="2307" max="2307" width="6" style="1" bestFit="1" customWidth="1"/>
    <col min="2308" max="2308" width="9" style="1" bestFit="1" customWidth="1"/>
    <col min="2309" max="2309" width="6" style="1" bestFit="1" customWidth="1"/>
    <col min="2310" max="2310" width="15.140625" style="1" bestFit="1" customWidth="1"/>
    <col min="2311" max="2311" width="9" style="1" bestFit="1" customWidth="1"/>
    <col min="2312" max="2312" width="5" style="1" bestFit="1" customWidth="1"/>
    <col min="2313" max="2313" width="9" style="1" bestFit="1" customWidth="1"/>
    <col min="2314" max="2314" width="7" style="1" bestFit="1" customWidth="1"/>
    <col min="2315" max="2316" width="17.28515625" style="1" bestFit="1" customWidth="1"/>
    <col min="2317" max="2317" width="8" style="1" bestFit="1" customWidth="1"/>
    <col min="2318" max="2318" width="6.28515625" style="1" customWidth="1"/>
    <col min="2319" max="2319" width="6" style="1" bestFit="1" customWidth="1"/>
    <col min="2320" max="2320" width="3" style="1" customWidth="1"/>
    <col min="2321" max="2321" width="11" style="1" bestFit="1" customWidth="1"/>
    <col min="2322" max="2322" width="22.42578125" style="1" bestFit="1" customWidth="1"/>
    <col min="2323" max="2323" width="17.28515625" style="1" bestFit="1" customWidth="1"/>
    <col min="2324" max="2325" width="8" style="1" bestFit="1" customWidth="1"/>
    <col min="2326" max="2326" width="17.28515625" style="1" bestFit="1" customWidth="1"/>
    <col min="2327" max="2328" width="15.140625" style="1" bestFit="1" customWidth="1"/>
    <col min="2329" max="2329" width="8" style="1" bestFit="1" customWidth="1"/>
    <col min="2330" max="2560" width="9.140625" style="1"/>
    <col min="2561" max="2561" width="17.28515625" style="1" bestFit="1" customWidth="1"/>
    <col min="2562" max="2562" width="9" style="1" bestFit="1" customWidth="1"/>
    <col min="2563" max="2563" width="6" style="1" bestFit="1" customWidth="1"/>
    <col min="2564" max="2564" width="9" style="1" bestFit="1" customWidth="1"/>
    <col min="2565" max="2565" width="6" style="1" bestFit="1" customWidth="1"/>
    <col min="2566" max="2566" width="15.140625" style="1" bestFit="1" customWidth="1"/>
    <col min="2567" max="2567" width="9" style="1" bestFit="1" customWidth="1"/>
    <col min="2568" max="2568" width="5" style="1" bestFit="1" customWidth="1"/>
    <col min="2569" max="2569" width="9" style="1" bestFit="1" customWidth="1"/>
    <col min="2570" max="2570" width="7" style="1" bestFit="1" customWidth="1"/>
    <col min="2571" max="2572" width="17.28515625" style="1" bestFit="1" customWidth="1"/>
    <col min="2573" max="2573" width="8" style="1" bestFit="1" customWidth="1"/>
    <col min="2574" max="2574" width="6.28515625" style="1" customWidth="1"/>
    <col min="2575" max="2575" width="6" style="1" bestFit="1" customWidth="1"/>
    <col min="2576" max="2576" width="3" style="1" customWidth="1"/>
    <col min="2577" max="2577" width="11" style="1" bestFit="1" customWidth="1"/>
    <col min="2578" max="2578" width="22.42578125" style="1" bestFit="1" customWidth="1"/>
    <col min="2579" max="2579" width="17.28515625" style="1" bestFit="1" customWidth="1"/>
    <col min="2580" max="2581" width="8" style="1" bestFit="1" customWidth="1"/>
    <col min="2582" max="2582" width="17.28515625" style="1" bestFit="1" customWidth="1"/>
    <col min="2583" max="2584" width="15.140625" style="1" bestFit="1" customWidth="1"/>
    <col min="2585" max="2585" width="8" style="1" bestFit="1" customWidth="1"/>
    <col min="2586" max="2816" width="9.140625" style="1"/>
    <col min="2817" max="2817" width="17.28515625" style="1" bestFit="1" customWidth="1"/>
    <col min="2818" max="2818" width="9" style="1" bestFit="1" customWidth="1"/>
    <col min="2819" max="2819" width="6" style="1" bestFit="1" customWidth="1"/>
    <col min="2820" max="2820" width="9" style="1" bestFit="1" customWidth="1"/>
    <col min="2821" max="2821" width="6" style="1" bestFit="1" customWidth="1"/>
    <col min="2822" max="2822" width="15.140625" style="1" bestFit="1" customWidth="1"/>
    <col min="2823" max="2823" width="9" style="1" bestFit="1" customWidth="1"/>
    <col min="2824" max="2824" width="5" style="1" bestFit="1" customWidth="1"/>
    <col min="2825" max="2825" width="9" style="1" bestFit="1" customWidth="1"/>
    <col min="2826" max="2826" width="7" style="1" bestFit="1" customWidth="1"/>
    <col min="2827" max="2828" width="17.28515625" style="1" bestFit="1" customWidth="1"/>
    <col min="2829" max="2829" width="8" style="1" bestFit="1" customWidth="1"/>
    <col min="2830" max="2830" width="6.28515625" style="1" customWidth="1"/>
    <col min="2831" max="2831" width="6" style="1" bestFit="1" customWidth="1"/>
    <col min="2832" max="2832" width="3" style="1" customWidth="1"/>
    <col min="2833" max="2833" width="11" style="1" bestFit="1" customWidth="1"/>
    <col min="2834" max="2834" width="22.42578125" style="1" bestFit="1" customWidth="1"/>
    <col min="2835" max="2835" width="17.28515625" style="1" bestFit="1" customWidth="1"/>
    <col min="2836" max="2837" width="8" style="1" bestFit="1" customWidth="1"/>
    <col min="2838" max="2838" width="17.28515625" style="1" bestFit="1" customWidth="1"/>
    <col min="2839" max="2840" width="15.140625" style="1" bestFit="1" customWidth="1"/>
    <col min="2841" max="2841" width="8" style="1" bestFit="1" customWidth="1"/>
    <col min="2842" max="3072" width="9.140625" style="1"/>
    <col min="3073" max="3073" width="17.28515625" style="1" bestFit="1" customWidth="1"/>
    <col min="3074" max="3074" width="9" style="1" bestFit="1" customWidth="1"/>
    <col min="3075" max="3075" width="6" style="1" bestFit="1" customWidth="1"/>
    <col min="3076" max="3076" width="9" style="1" bestFit="1" customWidth="1"/>
    <col min="3077" max="3077" width="6" style="1" bestFit="1" customWidth="1"/>
    <col min="3078" max="3078" width="15.140625" style="1" bestFit="1" customWidth="1"/>
    <col min="3079" max="3079" width="9" style="1" bestFit="1" customWidth="1"/>
    <col min="3080" max="3080" width="5" style="1" bestFit="1" customWidth="1"/>
    <col min="3081" max="3081" width="9" style="1" bestFit="1" customWidth="1"/>
    <col min="3082" max="3082" width="7" style="1" bestFit="1" customWidth="1"/>
    <col min="3083" max="3084" width="17.28515625" style="1" bestFit="1" customWidth="1"/>
    <col min="3085" max="3085" width="8" style="1" bestFit="1" customWidth="1"/>
    <col min="3086" max="3086" width="6.28515625" style="1" customWidth="1"/>
    <col min="3087" max="3087" width="6" style="1" bestFit="1" customWidth="1"/>
    <col min="3088" max="3088" width="3" style="1" customWidth="1"/>
    <col min="3089" max="3089" width="11" style="1" bestFit="1" customWidth="1"/>
    <col min="3090" max="3090" width="22.42578125" style="1" bestFit="1" customWidth="1"/>
    <col min="3091" max="3091" width="17.28515625" style="1" bestFit="1" customWidth="1"/>
    <col min="3092" max="3093" width="8" style="1" bestFit="1" customWidth="1"/>
    <col min="3094" max="3094" width="17.28515625" style="1" bestFit="1" customWidth="1"/>
    <col min="3095" max="3096" width="15.140625" style="1" bestFit="1" customWidth="1"/>
    <col min="3097" max="3097" width="8" style="1" bestFit="1" customWidth="1"/>
    <col min="3098" max="3328" width="9.140625" style="1"/>
    <col min="3329" max="3329" width="17.28515625" style="1" bestFit="1" customWidth="1"/>
    <col min="3330" max="3330" width="9" style="1" bestFit="1" customWidth="1"/>
    <col min="3331" max="3331" width="6" style="1" bestFit="1" customWidth="1"/>
    <col min="3332" max="3332" width="9" style="1" bestFit="1" customWidth="1"/>
    <col min="3333" max="3333" width="6" style="1" bestFit="1" customWidth="1"/>
    <col min="3334" max="3334" width="15.140625" style="1" bestFit="1" customWidth="1"/>
    <col min="3335" max="3335" width="9" style="1" bestFit="1" customWidth="1"/>
    <col min="3336" max="3336" width="5" style="1" bestFit="1" customWidth="1"/>
    <col min="3337" max="3337" width="9" style="1" bestFit="1" customWidth="1"/>
    <col min="3338" max="3338" width="7" style="1" bestFit="1" customWidth="1"/>
    <col min="3339" max="3340" width="17.28515625" style="1" bestFit="1" customWidth="1"/>
    <col min="3341" max="3341" width="8" style="1" bestFit="1" customWidth="1"/>
    <col min="3342" max="3342" width="6.28515625" style="1" customWidth="1"/>
    <col min="3343" max="3343" width="6" style="1" bestFit="1" customWidth="1"/>
    <col min="3344" max="3344" width="3" style="1" customWidth="1"/>
    <col min="3345" max="3345" width="11" style="1" bestFit="1" customWidth="1"/>
    <col min="3346" max="3346" width="22.42578125" style="1" bestFit="1" customWidth="1"/>
    <col min="3347" max="3347" width="17.28515625" style="1" bestFit="1" customWidth="1"/>
    <col min="3348" max="3349" width="8" style="1" bestFit="1" customWidth="1"/>
    <col min="3350" max="3350" width="17.28515625" style="1" bestFit="1" customWidth="1"/>
    <col min="3351" max="3352" width="15.140625" style="1" bestFit="1" customWidth="1"/>
    <col min="3353" max="3353" width="8" style="1" bestFit="1" customWidth="1"/>
    <col min="3354" max="3584" width="9.140625" style="1"/>
    <col min="3585" max="3585" width="17.28515625" style="1" bestFit="1" customWidth="1"/>
    <col min="3586" max="3586" width="9" style="1" bestFit="1" customWidth="1"/>
    <col min="3587" max="3587" width="6" style="1" bestFit="1" customWidth="1"/>
    <col min="3588" max="3588" width="9" style="1" bestFit="1" customWidth="1"/>
    <col min="3589" max="3589" width="6" style="1" bestFit="1" customWidth="1"/>
    <col min="3590" max="3590" width="15.140625" style="1" bestFit="1" customWidth="1"/>
    <col min="3591" max="3591" width="9" style="1" bestFit="1" customWidth="1"/>
    <col min="3592" max="3592" width="5" style="1" bestFit="1" customWidth="1"/>
    <col min="3593" max="3593" width="9" style="1" bestFit="1" customWidth="1"/>
    <col min="3594" max="3594" width="7" style="1" bestFit="1" customWidth="1"/>
    <col min="3595" max="3596" width="17.28515625" style="1" bestFit="1" customWidth="1"/>
    <col min="3597" max="3597" width="8" style="1" bestFit="1" customWidth="1"/>
    <col min="3598" max="3598" width="6.28515625" style="1" customWidth="1"/>
    <col min="3599" max="3599" width="6" style="1" bestFit="1" customWidth="1"/>
    <col min="3600" max="3600" width="3" style="1" customWidth="1"/>
    <col min="3601" max="3601" width="11" style="1" bestFit="1" customWidth="1"/>
    <col min="3602" max="3602" width="22.42578125" style="1" bestFit="1" customWidth="1"/>
    <col min="3603" max="3603" width="17.28515625" style="1" bestFit="1" customWidth="1"/>
    <col min="3604" max="3605" width="8" style="1" bestFit="1" customWidth="1"/>
    <col min="3606" max="3606" width="17.28515625" style="1" bestFit="1" customWidth="1"/>
    <col min="3607" max="3608" width="15.140625" style="1" bestFit="1" customWidth="1"/>
    <col min="3609" max="3609" width="8" style="1" bestFit="1" customWidth="1"/>
    <col min="3610" max="3840" width="9.140625" style="1"/>
    <col min="3841" max="3841" width="17.28515625" style="1" bestFit="1" customWidth="1"/>
    <col min="3842" max="3842" width="9" style="1" bestFit="1" customWidth="1"/>
    <col min="3843" max="3843" width="6" style="1" bestFit="1" customWidth="1"/>
    <col min="3844" max="3844" width="9" style="1" bestFit="1" customWidth="1"/>
    <col min="3845" max="3845" width="6" style="1" bestFit="1" customWidth="1"/>
    <col min="3846" max="3846" width="15.140625" style="1" bestFit="1" customWidth="1"/>
    <col min="3847" max="3847" width="9" style="1" bestFit="1" customWidth="1"/>
    <col min="3848" max="3848" width="5" style="1" bestFit="1" customWidth="1"/>
    <col min="3849" max="3849" width="9" style="1" bestFit="1" customWidth="1"/>
    <col min="3850" max="3850" width="7" style="1" bestFit="1" customWidth="1"/>
    <col min="3851" max="3852" width="17.28515625" style="1" bestFit="1" customWidth="1"/>
    <col min="3853" max="3853" width="8" style="1" bestFit="1" customWidth="1"/>
    <col min="3854" max="3854" width="6.28515625" style="1" customWidth="1"/>
    <col min="3855" max="3855" width="6" style="1" bestFit="1" customWidth="1"/>
    <col min="3856" max="3856" width="3" style="1" customWidth="1"/>
    <col min="3857" max="3857" width="11" style="1" bestFit="1" customWidth="1"/>
    <col min="3858" max="3858" width="22.42578125" style="1" bestFit="1" customWidth="1"/>
    <col min="3859" max="3859" width="17.28515625" style="1" bestFit="1" customWidth="1"/>
    <col min="3860" max="3861" width="8" style="1" bestFit="1" customWidth="1"/>
    <col min="3862" max="3862" width="17.28515625" style="1" bestFit="1" customWidth="1"/>
    <col min="3863" max="3864" width="15.140625" style="1" bestFit="1" customWidth="1"/>
    <col min="3865" max="3865" width="8" style="1" bestFit="1" customWidth="1"/>
    <col min="3866" max="4096" width="9.140625" style="1"/>
    <col min="4097" max="4097" width="17.28515625" style="1" bestFit="1" customWidth="1"/>
    <col min="4098" max="4098" width="9" style="1" bestFit="1" customWidth="1"/>
    <col min="4099" max="4099" width="6" style="1" bestFit="1" customWidth="1"/>
    <col min="4100" max="4100" width="9" style="1" bestFit="1" customWidth="1"/>
    <col min="4101" max="4101" width="6" style="1" bestFit="1" customWidth="1"/>
    <col min="4102" max="4102" width="15.140625" style="1" bestFit="1" customWidth="1"/>
    <col min="4103" max="4103" width="9" style="1" bestFit="1" customWidth="1"/>
    <col min="4104" max="4104" width="5" style="1" bestFit="1" customWidth="1"/>
    <col min="4105" max="4105" width="9" style="1" bestFit="1" customWidth="1"/>
    <col min="4106" max="4106" width="7" style="1" bestFit="1" customWidth="1"/>
    <col min="4107" max="4108" width="17.28515625" style="1" bestFit="1" customWidth="1"/>
    <col min="4109" max="4109" width="8" style="1" bestFit="1" customWidth="1"/>
    <col min="4110" max="4110" width="6.28515625" style="1" customWidth="1"/>
    <col min="4111" max="4111" width="6" style="1" bestFit="1" customWidth="1"/>
    <col min="4112" max="4112" width="3" style="1" customWidth="1"/>
    <col min="4113" max="4113" width="11" style="1" bestFit="1" customWidth="1"/>
    <col min="4114" max="4114" width="22.42578125" style="1" bestFit="1" customWidth="1"/>
    <col min="4115" max="4115" width="17.28515625" style="1" bestFit="1" customWidth="1"/>
    <col min="4116" max="4117" width="8" style="1" bestFit="1" customWidth="1"/>
    <col min="4118" max="4118" width="17.28515625" style="1" bestFit="1" customWidth="1"/>
    <col min="4119" max="4120" width="15.140625" style="1" bestFit="1" customWidth="1"/>
    <col min="4121" max="4121" width="8" style="1" bestFit="1" customWidth="1"/>
    <col min="4122" max="4352" width="9.140625" style="1"/>
    <col min="4353" max="4353" width="17.28515625" style="1" bestFit="1" customWidth="1"/>
    <col min="4354" max="4354" width="9" style="1" bestFit="1" customWidth="1"/>
    <col min="4355" max="4355" width="6" style="1" bestFit="1" customWidth="1"/>
    <col min="4356" max="4356" width="9" style="1" bestFit="1" customWidth="1"/>
    <col min="4357" max="4357" width="6" style="1" bestFit="1" customWidth="1"/>
    <col min="4358" max="4358" width="15.140625" style="1" bestFit="1" customWidth="1"/>
    <col min="4359" max="4359" width="9" style="1" bestFit="1" customWidth="1"/>
    <col min="4360" max="4360" width="5" style="1" bestFit="1" customWidth="1"/>
    <col min="4361" max="4361" width="9" style="1" bestFit="1" customWidth="1"/>
    <col min="4362" max="4362" width="7" style="1" bestFit="1" customWidth="1"/>
    <col min="4363" max="4364" width="17.28515625" style="1" bestFit="1" customWidth="1"/>
    <col min="4365" max="4365" width="8" style="1" bestFit="1" customWidth="1"/>
    <col min="4366" max="4366" width="6.28515625" style="1" customWidth="1"/>
    <col min="4367" max="4367" width="6" style="1" bestFit="1" customWidth="1"/>
    <col min="4368" max="4368" width="3" style="1" customWidth="1"/>
    <col min="4369" max="4369" width="11" style="1" bestFit="1" customWidth="1"/>
    <col min="4370" max="4370" width="22.42578125" style="1" bestFit="1" customWidth="1"/>
    <col min="4371" max="4371" width="17.28515625" style="1" bestFit="1" customWidth="1"/>
    <col min="4372" max="4373" width="8" style="1" bestFit="1" customWidth="1"/>
    <col min="4374" max="4374" width="17.28515625" style="1" bestFit="1" customWidth="1"/>
    <col min="4375" max="4376" width="15.140625" style="1" bestFit="1" customWidth="1"/>
    <col min="4377" max="4377" width="8" style="1" bestFit="1" customWidth="1"/>
    <col min="4378" max="4608" width="9.140625" style="1"/>
    <col min="4609" max="4609" width="17.28515625" style="1" bestFit="1" customWidth="1"/>
    <col min="4610" max="4610" width="9" style="1" bestFit="1" customWidth="1"/>
    <col min="4611" max="4611" width="6" style="1" bestFit="1" customWidth="1"/>
    <col min="4612" max="4612" width="9" style="1" bestFit="1" customWidth="1"/>
    <col min="4613" max="4613" width="6" style="1" bestFit="1" customWidth="1"/>
    <col min="4614" max="4614" width="15.140625" style="1" bestFit="1" customWidth="1"/>
    <col min="4615" max="4615" width="9" style="1" bestFit="1" customWidth="1"/>
    <col min="4616" max="4616" width="5" style="1" bestFit="1" customWidth="1"/>
    <col min="4617" max="4617" width="9" style="1" bestFit="1" customWidth="1"/>
    <col min="4618" max="4618" width="7" style="1" bestFit="1" customWidth="1"/>
    <col min="4619" max="4620" width="17.28515625" style="1" bestFit="1" customWidth="1"/>
    <col min="4621" max="4621" width="8" style="1" bestFit="1" customWidth="1"/>
    <col min="4622" max="4622" width="6.28515625" style="1" customWidth="1"/>
    <col min="4623" max="4623" width="6" style="1" bestFit="1" customWidth="1"/>
    <col min="4624" max="4624" width="3" style="1" customWidth="1"/>
    <col min="4625" max="4625" width="11" style="1" bestFit="1" customWidth="1"/>
    <col min="4626" max="4626" width="22.42578125" style="1" bestFit="1" customWidth="1"/>
    <col min="4627" max="4627" width="17.28515625" style="1" bestFit="1" customWidth="1"/>
    <col min="4628" max="4629" width="8" style="1" bestFit="1" customWidth="1"/>
    <col min="4630" max="4630" width="17.28515625" style="1" bestFit="1" customWidth="1"/>
    <col min="4631" max="4632" width="15.140625" style="1" bestFit="1" customWidth="1"/>
    <col min="4633" max="4633" width="8" style="1" bestFit="1" customWidth="1"/>
    <col min="4634" max="4864" width="9.140625" style="1"/>
    <col min="4865" max="4865" width="17.28515625" style="1" bestFit="1" customWidth="1"/>
    <col min="4866" max="4866" width="9" style="1" bestFit="1" customWidth="1"/>
    <col min="4867" max="4867" width="6" style="1" bestFit="1" customWidth="1"/>
    <col min="4868" max="4868" width="9" style="1" bestFit="1" customWidth="1"/>
    <col min="4869" max="4869" width="6" style="1" bestFit="1" customWidth="1"/>
    <col min="4870" max="4870" width="15.140625" style="1" bestFit="1" customWidth="1"/>
    <col min="4871" max="4871" width="9" style="1" bestFit="1" customWidth="1"/>
    <col min="4872" max="4872" width="5" style="1" bestFit="1" customWidth="1"/>
    <col min="4873" max="4873" width="9" style="1" bestFit="1" customWidth="1"/>
    <col min="4874" max="4874" width="7" style="1" bestFit="1" customWidth="1"/>
    <col min="4875" max="4876" width="17.28515625" style="1" bestFit="1" customWidth="1"/>
    <col min="4877" max="4877" width="8" style="1" bestFit="1" customWidth="1"/>
    <col min="4878" max="4878" width="6.28515625" style="1" customWidth="1"/>
    <col min="4879" max="4879" width="6" style="1" bestFit="1" customWidth="1"/>
    <col min="4880" max="4880" width="3" style="1" customWidth="1"/>
    <col min="4881" max="4881" width="11" style="1" bestFit="1" customWidth="1"/>
    <col min="4882" max="4882" width="22.42578125" style="1" bestFit="1" customWidth="1"/>
    <col min="4883" max="4883" width="17.28515625" style="1" bestFit="1" customWidth="1"/>
    <col min="4884" max="4885" width="8" style="1" bestFit="1" customWidth="1"/>
    <col min="4886" max="4886" width="17.28515625" style="1" bestFit="1" customWidth="1"/>
    <col min="4887" max="4888" width="15.140625" style="1" bestFit="1" customWidth="1"/>
    <col min="4889" max="4889" width="8" style="1" bestFit="1" customWidth="1"/>
    <col min="4890" max="5120" width="9.140625" style="1"/>
    <col min="5121" max="5121" width="17.28515625" style="1" bestFit="1" customWidth="1"/>
    <col min="5122" max="5122" width="9" style="1" bestFit="1" customWidth="1"/>
    <col min="5123" max="5123" width="6" style="1" bestFit="1" customWidth="1"/>
    <col min="5124" max="5124" width="9" style="1" bestFit="1" customWidth="1"/>
    <col min="5125" max="5125" width="6" style="1" bestFit="1" customWidth="1"/>
    <col min="5126" max="5126" width="15.140625" style="1" bestFit="1" customWidth="1"/>
    <col min="5127" max="5127" width="9" style="1" bestFit="1" customWidth="1"/>
    <col min="5128" max="5128" width="5" style="1" bestFit="1" customWidth="1"/>
    <col min="5129" max="5129" width="9" style="1" bestFit="1" customWidth="1"/>
    <col min="5130" max="5130" width="7" style="1" bestFit="1" customWidth="1"/>
    <col min="5131" max="5132" width="17.28515625" style="1" bestFit="1" customWidth="1"/>
    <col min="5133" max="5133" width="8" style="1" bestFit="1" customWidth="1"/>
    <col min="5134" max="5134" width="6.28515625" style="1" customWidth="1"/>
    <col min="5135" max="5135" width="6" style="1" bestFit="1" customWidth="1"/>
    <col min="5136" max="5136" width="3" style="1" customWidth="1"/>
    <col min="5137" max="5137" width="11" style="1" bestFit="1" customWidth="1"/>
    <col min="5138" max="5138" width="22.42578125" style="1" bestFit="1" customWidth="1"/>
    <col min="5139" max="5139" width="17.28515625" style="1" bestFit="1" customWidth="1"/>
    <col min="5140" max="5141" width="8" style="1" bestFit="1" customWidth="1"/>
    <col min="5142" max="5142" width="17.28515625" style="1" bestFit="1" customWidth="1"/>
    <col min="5143" max="5144" width="15.140625" style="1" bestFit="1" customWidth="1"/>
    <col min="5145" max="5145" width="8" style="1" bestFit="1" customWidth="1"/>
    <col min="5146" max="5376" width="9.140625" style="1"/>
    <col min="5377" max="5377" width="17.28515625" style="1" bestFit="1" customWidth="1"/>
    <col min="5378" max="5378" width="9" style="1" bestFit="1" customWidth="1"/>
    <col min="5379" max="5379" width="6" style="1" bestFit="1" customWidth="1"/>
    <col min="5380" max="5380" width="9" style="1" bestFit="1" customWidth="1"/>
    <col min="5381" max="5381" width="6" style="1" bestFit="1" customWidth="1"/>
    <col min="5382" max="5382" width="15.140625" style="1" bestFit="1" customWidth="1"/>
    <col min="5383" max="5383" width="9" style="1" bestFit="1" customWidth="1"/>
    <col min="5384" max="5384" width="5" style="1" bestFit="1" customWidth="1"/>
    <col min="5385" max="5385" width="9" style="1" bestFit="1" customWidth="1"/>
    <col min="5386" max="5386" width="7" style="1" bestFit="1" customWidth="1"/>
    <col min="5387" max="5388" width="17.28515625" style="1" bestFit="1" customWidth="1"/>
    <col min="5389" max="5389" width="8" style="1" bestFit="1" customWidth="1"/>
    <col min="5390" max="5390" width="6.28515625" style="1" customWidth="1"/>
    <col min="5391" max="5391" width="6" style="1" bestFit="1" customWidth="1"/>
    <col min="5392" max="5392" width="3" style="1" customWidth="1"/>
    <col min="5393" max="5393" width="11" style="1" bestFit="1" customWidth="1"/>
    <col min="5394" max="5394" width="22.42578125" style="1" bestFit="1" customWidth="1"/>
    <col min="5395" max="5395" width="17.28515625" style="1" bestFit="1" customWidth="1"/>
    <col min="5396" max="5397" width="8" style="1" bestFit="1" customWidth="1"/>
    <col min="5398" max="5398" width="17.28515625" style="1" bestFit="1" customWidth="1"/>
    <col min="5399" max="5400" width="15.140625" style="1" bestFit="1" customWidth="1"/>
    <col min="5401" max="5401" width="8" style="1" bestFit="1" customWidth="1"/>
    <col min="5402" max="5632" width="9.140625" style="1"/>
    <col min="5633" max="5633" width="17.28515625" style="1" bestFit="1" customWidth="1"/>
    <col min="5634" max="5634" width="9" style="1" bestFit="1" customWidth="1"/>
    <col min="5635" max="5635" width="6" style="1" bestFit="1" customWidth="1"/>
    <col min="5636" max="5636" width="9" style="1" bestFit="1" customWidth="1"/>
    <col min="5637" max="5637" width="6" style="1" bestFit="1" customWidth="1"/>
    <col min="5638" max="5638" width="15.140625" style="1" bestFit="1" customWidth="1"/>
    <col min="5639" max="5639" width="9" style="1" bestFit="1" customWidth="1"/>
    <col min="5640" max="5640" width="5" style="1" bestFit="1" customWidth="1"/>
    <col min="5641" max="5641" width="9" style="1" bestFit="1" customWidth="1"/>
    <col min="5642" max="5642" width="7" style="1" bestFit="1" customWidth="1"/>
    <col min="5643" max="5644" width="17.28515625" style="1" bestFit="1" customWidth="1"/>
    <col min="5645" max="5645" width="8" style="1" bestFit="1" customWidth="1"/>
    <col min="5646" max="5646" width="6.28515625" style="1" customWidth="1"/>
    <col min="5647" max="5647" width="6" style="1" bestFit="1" customWidth="1"/>
    <col min="5648" max="5648" width="3" style="1" customWidth="1"/>
    <col min="5649" max="5649" width="11" style="1" bestFit="1" customWidth="1"/>
    <col min="5650" max="5650" width="22.42578125" style="1" bestFit="1" customWidth="1"/>
    <col min="5651" max="5651" width="17.28515625" style="1" bestFit="1" customWidth="1"/>
    <col min="5652" max="5653" width="8" style="1" bestFit="1" customWidth="1"/>
    <col min="5654" max="5654" width="17.28515625" style="1" bestFit="1" customWidth="1"/>
    <col min="5655" max="5656" width="15.140625" style="1" bestFit="1" customWidth="1"/>
    <col min="5657" max="5657" width="8" style="1" bestFit="1" customWidth="1"/>
    <col min="5658" max="5888" width="9.140625" style="1"/>
    <col min="5889" max="5889" width="17.28515625" style="1" bestFit="1" customWidth="1"/>
    <col min="5890" max="5890" width="9" style="1" bestFit="1" customWidth="1"/>
    <col min="5891" max="5891" width="6" style="1" bestFit="1" customWidth="1"/>
    <col min="5892" max="5892" width="9" style="1" bestFit="1" customWidth="1"/>
    <col min="5893" max="5893" width="6" style="1" bestFit="1" customWidth="1"/>
    <col min="5894" max="5894" width="15.140625" style="1" bestFit="1" customWidth="1"/>
    <col min="5895" max="5895" width="9" style="1" bestFit="1" customWidth="1"/>
    <col min="5896" max="5896" width="5" style="1" bestFit="1" customWidth="1"/>
    <col min="5897" max="5897" width="9" style="1" bestFit="1" customWidth="1"/>
    <col min="5898" max="5898" width="7" style="1" bestFit="1" customWidth="1"/>
    <col min="5899" max="5900" width="17.28515625" style="1" bestFit="1" customWidth="1"/>
    <col min="5901" max="5901" width="8" style="1" bestFit="1" customWidth="1"/>
    <col min="5902" max="5902" width="6.28515625" style="1" customWidth="1"/>
    <col min="5903" max="5903" width="6" style="1" bestFit="1" customWidth="1"/>
    <col min="5904" max="5904" width="3" style="1" customWidth="1"/>
    <col min="5905" max="5905" width="11" style="1" bestFit="1" customWidth="1"/>
    <col min="5906" max="5906" width="22.42578125" style="1" bestFit="1" customWidth="1"/>
    <col min="5907" max="5907" width="17.28515625" style="1" bestFit="1" customWidth="1"/>
    <col min="5908" max="5909" width="8" style="1" bestFit="1" customWidth="1"/>
    <col min="5910" max="5910" width="17.28515625" style="1" bestFit="1" customWidth="1"/>
    <col min="5911" max="5912" width="15.140625" style="1" bestFit="1" customWidth="1"/>
    <col min="5913" max="5913" width="8" style="1" bestFit="1" customWidth="1"/>
    <col min="5914" max="6144" width="9.140625" style="1"/>
    <col min="6145" max="6145" width="17.28515625" style="1" bestFit="1" customWidth="1"/>
    <col min="6146" max="6146" width="9" style="1" bestFit="1" customWidth="1"/>
    <col min="6147" max="6147" width="6" style="1" bestFit="1" customWidth="1"/>
    <col min="6148" max="6148" width="9" style="1" bestFit="1" customWidth="1"/>
    <col min="6149" max="6149" width="6" style="1" bestFit="1" customWidth="1"/>
    <col min="6150" max="6150" width="15.140625" style="1" bestFit="1" customWidth="1"/>
    <col min="6151" max="6151" width="9" style="1" bestFit="1" customWidth="1"/>
    <col min="6152" max="6152" width="5" style="1" bestFit="1" customWidth="1"/>
    <col min="6153" max="6153" width="9" style="1" bestFit="1" customWidth="1"/>
    <col min="6154" max="6154" width="7" style="1" bestFit="1" customWidth="1"/>
    <col min="6155" max="6156" width="17.28515625" style="1" bestFit="1" customWidth="1"/>
    <col min="6157" max="6157" width="8" style="1" bestFit="1" customWidth="1"/>
    <col min="6158" max="6158" width="6.28515625" style="1" customWidth="1"/>
    <col min="6159" max="6159" width="6" style="1" bestFit="1" customWidth="1"/>
    <col min="6160" max="6160" width="3" style="1" customWidth="1"/>
    <col min="6161" max="6161" width="11" style="1" bestFit="1" customWidth="1"/>
    <col min="6162" max="6162" width="22.42578125" style="1" bestFit="1" customWidth="1"/>
    <col min="6163" max="6163" width="17.28515625" style="1" bestFit="1" customWidth="1"/>
    <col min="6164" max="6165" width="8" style="1" bestFit="1" customWidth="1"/>
    <col min="6166" max="6166" width="17.28515625" style="1" bestFit="1" customWidth="1"/>
    <col min="6167" max="6168" width="15.140625" style="1" bestFit="1" customWidth="1"/>
    <col min="6169" max="6169" width="8" style="1" bestFit="1" customWidth="1"/>
    <col min="6170" max="6400" width="9.140625" style="1"/>
    <col min="6401" max="6401" width="17.28515625" style="1" bestFit="1" customWidth="1"/>
    <col min="6402" max="6402" width="9" style="1" bestFit="1" customWidth="1"/>
    <col min="6403" max="6403" width="6" style="1" bestFit="1" customWidth="1"/>
    <col min="6404" max="6404" width="9" style="1" bestFit="1" customWidth="1"/>
    <col min="6405" max="6405" width="6" style="1" bestFit="1" customWidth="1"/>
    <col min="6406" max="6406" width="15.140625" style="1" bestFit="1" customWidth="1"/>
    <col min="6407" max="6407" width="9" style="1" bestFit="1" customWidth="1"/>
    <col min="6408" max="6408" width="5" style="1" bestFit="1" customWidth="1"/>
    <col min="6409" max="6409" width="9" style="1" bestFit="1" customWidth="1"/>
    <col min="6410" max="6410" width="7" style="1" bestFit="1" customWidth="1"/>
    <col min="6411" max="6412" width="17.28515625" style="1" bestFit="1" customWidth="1"/>
    <col min="6413" max="6413" width="8" style="1" bestFit="1" customWidth="1"/>
    <col min="6414" max="6414" width="6.28515625" style="1" customWidth="1"/>
    <col min="6415" max="6415" width="6" style="1" bestFit="1" customWidth="1"/>
    <col min="6416" max="6416" width="3" style="1" customWidth="1"/>
    <col min="6417" max="6417" width="11" style="1" bestFit="1" customWidth="1"/>
    <col min="6418" max="6418" width="22.42578125" style="1" bestFit="1" customWidth="1"/>
    <col min="6419" max="6419" width="17.28515625" style="1" bestFit="1" customWidth="1"/>
    <col min="6420" max="6421" width="8" style="1" bestFit="1" customWidth="1"/>
    <col min="6422" max="6422" width="17.28515625" style="1" bestFit="1" customWidth="1"/>
    <col min="6423" max="6424" width="15.140625" style="1" bestFit="1" customWidth="1"/>
    <col min="6425" max="6425" width="8" style="1" bestFit="1" customWidth="1"/>
    <col min="6426" max="6656" width="9.140625" style="1"/>
    <col min="6657" max="6657" width="17.28515625" style="1" bestFit="1" customWidth="1"/>
    <col min="6658" max="6658" width="9" style="1" bestFit="1" customWidth="1"/>
    <col min="6659" max="6659" width="6" style="1" bestFit="1" customWidth="1"/>
    <col min="6660" max="6660" width="9" style="1" bestFit="1" customWidth="1"/>
    <col min="6661" max="6661" width="6" style="1" bestFit="1" customWidth="1"/>
    <col min="6662" max="6662" width="15.140625" style="1" bestFit="1" customWidth="1"/>
    <col min="6663" max="6663" width="9" style="1" bestFit="1" customWidth="1"/>
    <col min="6664" max="6664" width="5" style="1" bestFit="1" customWidth="1"/>
    <col min="6665" max="6665" width="9" style="1" bestFit="1" customWidth="1"/>
    <col min="6666" max="6666" width="7" style="1" bestFit="1" customWidth="1"/>
    <col min="6667" max="6668" width="17.28515625" style="1" bestFit="1" customWidth="1"/>
    <col min="6669" max="6669" width="8" style="1" bestFit="1" customWidth="1"/>
    <col min="6670" max="6670" width="6.28515625" style="1" customWidth="1"/>
    <col min="6671" max="6671" width="6" style="1" bestFit="1" customWidth="1"/>
    <col min="6672" max="6672" width="3" style="1" customWidth="1"/>
    <col min="6673" max="6673" width="11" style="1" bestFit="1" customWidth="1"/>
    <col min="6674" max="6674" width="22.42578125" style="1" bestFit="1" customWidth="1"/>
    <col min="6675" max="6675" width="17.28515625" style="1" bestFit="1" customWidth="1"/>
    <col min="6676" max="6677" width="8" style="1" bestFit="1" customWidth="1"/>
    <col min="6678" max="6678" width="17.28515625" style="1" bestFit="1" customWidth="1"/>
    <col min="6679" max="6680" width="15.140625" style="1" bestFit="1" customWidth="1"/>
    <col min="6681" max="6681" width="8" style="1" bestFit="1" customWidth="1"/>
    <col min="6682" max="6912" width="9.140625" style="1"/>
    <col min="6913" max="6913" width="17.28515625" style="1" bestFit="1" customWidth="1"/>
    <col min="6914" max="6914" width="9" style="1" bestFit="1" customWidth="1"/>
    <col min="6915" max="6915" width="6" style="1" bestFit="1" customWidth="1"/>
    <col min="6916" max="6916" width="9" style="1" bestFit="1" customWidth="1"/>
    <col min="6917" max="6917" width="6" style="1" bestFit="1" customWidth="1"/>
    <col min="6918" max="6918" width="15.140625" style="1" bestFit="1" customWidth="1"/>
    <col min="6919" max="6919" width="9" style="1" bestFit="1" customWidth="1"/>
    <col min="6920" max="6920" width="5" style="1" bestFit="1" customWidth="1"/>
    <col min="6921" max="6921" width="9" style="1" bestFit="1" customWidth="1"/>
    <col min="6922" max="6922" width="7" style="1" bestFit="1" customWidth="1"/>
    <col min="6923" max="6924" width="17.28515625" style="1" bestFit="1" customWidth="1"/>
    <col min="6925" max="6925" width="8" style="1" bestFit="1" customWidth="1"/>
    <col min="6926" max="6926" width="6.28515625" style="1" customWidth="1"/>
    <col min="6927" max="6927" width="6" style="1" bestFit="1" customWidth="1"/>
    <col min="6928" max="6928" width="3" style="1" customWidth="1"/>
    <col min="6929" max="6929" width="11" style="1" bestFit="1" customWidth="1"/>
    <col min="6930" max="6930" width="22.42578125" style="1" bestFit="1" customWidth="1"/>
    <col min="6931" max="6931" width="17.28515625" style="1" bestFit="1" customWidth="1"/>
    <col min="6932" max="6933" width="8" style="1" bestFit="1" customWidth="1"/>
    <col min="6934" max="6934" width="17.28515625" style="1" bestFit="1" customWidth="1"/>
    <col min="6935" max="6936" width="15.140625" style="1" bestFit="1" customWidth="1"/>
    <col min="6937" max="6937" width="8" style="1" bestFit="1" customWidth="1"/>
    <col min="6938" max="7168" width="9.140625" style="1"/>
    <col min="7169" max="7169" width="17.28515625" style="1" bestFit="1" customWidth="1"/>
    <col min="7170" max="7170" width="9" style="1" bestFit="1" customWidth="1"/>
    <col min="7171" max="7171" width="6" style="1" bestFit="1" customWidth="1"/>
    <col min="7172" max="7172" width="9" style="1" bestFit="1" customWidth="1"/>
    <col min="7173" max="7173" width="6" style="1" bestFit="1" customWidth="1"/>
    <col min="7174" max="7174" width="15.140625" style="1" bestFit="1" customWidth="1"/>
    <col min="7175" max="7175" width="9" style="1" bestFit="1" customWidth="1"/>
    <col min="7176" max="7176" width="5" style="1" bestFit="1" customWidth="1"/>
    <col min="7177" max="7177" width="9" style="1" bestFit="1" customWidth="1"/>
    <col min="7178" max="7178" width="7" style="1" bestFit="1" customWidth="1"/>
    <col min="7179" max="7180" width="17.28515625" style="1" bestFit="1" customWidth="1"/>
    <col min="7181" max="7181" width="8" style="1" bestFit="1" customWidth="1"/>
    <col min="7182" max="7182" width="6.28515625" style="1" customWidth="1"/>
    <col min="7183" max="7183" width="6" style="1" bestFit="1" customWidth="1"/>
    <col min="7184" max="7184" width="3" style="1" customWidth="1"/>
    <col min="7185" max="7185" width="11" style="1" bestFit="1" customWidth="1"/>
    <col min="7186" max="7186" width="22.42578125" style="1" bestFit="1" customWidth="1"/>
    <col min="7187" max="7187" width="17.28515625" style="1" bestFit="1" customWidth="1"/>
    <col min="7188" max="7189" width="8" style="1" bestFit="1" customWidth="1"/>
    <col min="7190" max="7190" width="17.28515625" style="1" bestFit="1" customWidth="1"/>
    <col min="7191" max="7192" width="15.140625" style="1" bestFit="1" customWidth="1"/>
    <col min="7193" max="7193" width="8" style="1" bestFit="1" customWidth="1"/>
    <col min="7194" max="7424" width="9.140625" style="1"/>
    <col min="7425" max="7425" width="17.28515625" style="1" bestFit="1" customWidth="1"/>
    <col min="7426" max="7426" width="9" style="1" bestFit="1" customWidth="1"/>
    <col min="7427" max="7427" width="6" style="1" bestFit="1" customWidth="1"/>
    <col min="7428" max="7428" width="9" style="1" bestFit="1" customWidth="1"/>
    <col min="7429" max="7429" width="6" style="1" bestFit="1" customWidth="1"/>
    <col min="7430" max="7430" width="15.140625" style="1" bestFit="1" customWidth="1"/>
    <col min="7431" max="7431" width="9" style="1" bestFit="1" customWidth="1"/>
    <col min="7432" max="7432" width="5" style="1" bestFit="1" customWidth="1"/>
    <col min="7433" max="7433" width="9" style="1" bestFit="1" customWidth="1"/>
    <col min="7434" max="7434" width="7" style="1" bestFit="1" customWidth="1"/>
    <col min="7435" max="7436" width="17.28515625" style="1" bestFit="1" customWidth="1"/>
    <col min="7437" max="7437" width="8" style="1" bestFit="1" customWidth="1"/>
    <col min="7438" max="7438" width="6.28515625" style="1" customWidth="1"/>
    <col min="7439" max="7439" width="6" style="1" bestFit="1" customWidth="1"/>
    <col min="7440" max="7440" width="3" style="1" customWidth="1"/>
    <col min="7441" max="7441" width="11" style="1" bestFit="1" customWidth="1"/>
    <col min="7442" max="7442" width="22.42578125" style="1" bestFit="1" customWidth="1"/>
    <col min="7443" max="7443" width="17.28515625" style="1" bestFit="1" customWidth="1"/>
    <col min="7444" max="7445" width="8" style="1" bestFit="1" customWidth="1"/>
    <col min="7446" max="7446" width="17.28515625" style="1" bestFit="1" customWidth="1"/>
    <col min="7447" max="7448" width="15.140625" style="1" bestFit="1" customWidth="1"/>
    <col min="7449" max="7449" width="8" style="1" bestFit="1" customWidth="1"/>
    <col min="7450" max="7680" width="9.140625" style="1"/>
    <col min="7681" max="7681" width="17.28515625" style="1" bestFit="1" customWidth="1"/>
    <col min="7682" max="7682" width="9" style="1" bestFit="1" customWidth="1"/>
    <col min="7683" max="7683" width="6" style="1" bestFit="1" customWidth="1"/>
    <col min="7684" max="7684" width="9" style="1" bestFit="1" customWidth="1"/>
    <col min="7685" max="7685" width="6" style="1" bestFit="1" customWidth="1"/>
    <col min="7686" max="7686" width="15.140625" style="1" bestFit="1" customWidth="1"/>
    <col min="7687" max="7687" width="9" style="1" bestFit="1" customWidth="1"/>
    <col min="7688" max="7688" width="5" style="1" bestFit="1" customWidth="1"/>
    <col min="7689" max="7689" width="9" style="1" bestFit="1" customWidth="1"/>
    <col min="7690" max="7690" width="7" style="1" bestFit="1" customWidth="1"/>
    <col min="7691" max="7692" width="17.28515625" style="1" bestFit="1" customWidth="1"/>
    <col min="7693" max="7693" width="8" style="1" bestFit="1" customWidth="1"/>
    <col min="7694" max="7694" width="6.28515625" style="1" customWidth="1"/>
    <col min="7695" max="7695" width="6" style="1" bestFit="1" customWidth="1"/>
    <col min="7696" max="7696" width="3" style="1" customWidth="1"/>
    <col min="7697" max="7697" width="11" style="1" bestFit="1" customWidth="1"/>
    <col min="7698" max="7698" width="22.42578125" style="1" bestFit="1" customWidth="1"/>
    <col min="7699" max="7699" width="17.28515625" style="1" bestFit="1" customWidth="1"/>
    <col min="7700" max="7701" width="8" style="1" bestFit="1" customWidth="1"/>
    <col min="7702" max="7702" width="17.28515625" style="1" bestFit="1" customWidth="1"/>
    <col min="7703" max="7704" width="15.140625" style="1" bestFit="1" customWidth="1"/>
    <col min="7705" max="7705" width="8" style="1" bestFit="1" customWidth="1"/>
    <col min="7706" max="7936" width="9.140625" style="1"/>
    <col min="7937" max="7937" width="17.28515625" style="1" bestFit="1" customWidth="1"/>
    <col min="7938" max="7938" width="9" style="1" bestFit="1" customWidth="1"/>
    <col min="7939" max="7939" width="6" style="1" bestFit="1" customWidth="1"/>
    <col min="7940" max="7940" width="9" style="1" bestFit="1" customWidth="1"/>
    <col min="7941" max="7941" width="6" style="1" bestFit="1" customWidth="1"/>
    <col min="7942" max="7942" width="15.140625" style="1" bestFit="1" customWidth="1"/>
    <col min="7943" max="7943" width="9" style="1" bestFit="1" customWidth="1"/>
    <col min="7944" max="7944" width="5" style="1" bestFit="1" customWidth="1"/>
    <col min="7945" max="7945" width="9" style="1" bestFit="1" customWidth="1"/>
    <col min="7946" max="7946" width="7" style="1" bestFit="1" customWidth="1"/>
    <col min="7947" max="7948" width="17.28515625" style="1" bestFit="1" customWidth="1"/>
    <col min="7949" max="7949" width="8" style="1" bestFit="1" customWidth="1"/>
    <col min="7950" max="7950" width="6.28515625" style="1" customWidth="1"/>
    <col min="7951" max="7951" width="6" style="1" bestFit="1" customWidth="1"/>
    <col min="7952" max="7952" width="3" style="1" customWidth="1"/>
    <col min="7953" max="7953" width="11" style="1" bestFit="1" customWidth="1"/>
    <col min="7954" max="7954" width="22.42578125" style="1" bestFit="1" customWidth="1"/>
    <col min="7955" max="7955" width="17.28515625" style="1" bestFit="1" customWidth="1"/>
    <col min="7956" max="7957" width="8" style="1" bestFit="1" customWidth="1"/>
    <col min="7958" max="7958" width="17.28515625" style="1" bestFit="1" customWidth="1"/>
    <col min="7959" max="7960" width="15.140625" style="1" bestFit="1" customWidth="1"/>
    <col min="7961" max="7961" width="8" style="1" bestFit="1" customWidth="1"/>
    <col min="7962" max="8192" width="9.140625" style="1"/>
    <col min="8193" max="8193" width="17.28515625" style="1" bestFit="1" customWidth="1"/>
    <col min="8194" max="8194" width="9" style="1" bestFit="1" customWidth="1"/>
    <col min="8195" max="8195" width="6" style="1" bestFit="1" customWidth="1"/>
    <col min="8196" max="8196" width="9" style="1" bestFit="1" customWidth="1"/>
    <col min="8197" max="8197" width="6" style="1" bestFit="1" customWidth="1"/>
    <col min="8198" max="8198" width="15.140625" style="1" bestFit="1" customWidth="1"/>
    <col min="8199" max="8199" width="9" style="1" bestFit="1" customWidth="1"/>
    <col min="8200" max="8200" width="5" style="1" bestFit="1" customWidth="1"/>
    <col min="8201" max="8201" width="9" style="1" bestFit="1" customWidth="1"/>
    <col min="8202" max="8202" width="7" style="1" bestFit="1" customWidth="1"/>
    <col min="8203" max="8204" width="17.28515625" style="1" bestFit="1" customWidth="1"/>
    <col min="8205" max="8205" width="8" style="1" bestFit="1" customWidth="1"/>
    <col min="8206" max="8206" width="6.28515625" style="1" customWidth="1"/>
    <col min="8207" max="8207" width="6" style="1" bestFit="1" customWidth="1"/>
    <col min="8208" max="8208" width="3" style="1" customWidth="1"/>
    <col min="8209" max="8209" width="11" style="1" bestFit="1" customWidth="1"/>
    <col min="8210" max="8210" width="22.42578125" style="1" bestFit="1" customWidth="1"/>
    <col min="8211" max="8211" width="17.28515625" style="1" bestFit="1" customWidth="1"/>
    <col min="8212" max="8213" width="8" style="1" bestFit="1" customWidth="1"/>
    <col min="8214" max="8214" width="17.28515625" style="1" bestFit="1" customWidth="1"/>
    <col min="8215" max="8216" width="15.140625" style="1" bestFit="1" customWidth="1"/>
    <col min="8217" max="8217" width="8" style="1" bestFit="1" customWidth="1"/>
    <col min="8218" max="8448" width="9.140625" style="1"/>
    <col min="8449" max="8449" width="17.28515625" style="1" bestFit="1" customWidth="1"/>
    <col min="8450" max="8450" width="9" style="1" bestFit="1" customWidth="1"/>
    <col min="8451" max="8451" width="6" style="1" bestFit="1" customWidth="1"/>
    <col min="8452" max="8452" width="9" style="1" bestFit="1" customWidth="1"/>
    <col min="8453" max="8453" width="6" style="1" bestFit="1" customWidth="1"/>
    <col min="8454" max="8454" width="15.140625" style="1" bestFit="1" customWidth="1"/>
    <col min="8455" max="8455" width="9" style="1" bestFit="1" customWidth="1"/>
    <col min="8456" max="8456" width="5" style="1" bestFit="1" customWidth="1"/>
    <col min="8457" max="8457" width="9" style="1" bestFit="1" customWidth="1"/>
    <col min="8458" max="8458" width="7" style="1" bestFit="1" customWidth="1"/>
    <col min="8459" max="8460" width="17.28515625" style="1" bestFit="1" customWidth="1"/>
    <col min="8461" max="8461" width="8" style="1" bestFit="1" customWidth="1"/>
    <col min="8462" max="8462" width="6.28515625" style="1" customWidth="1"/>
    <col min="8463" max="8463" width="6" style="1" bestFit="1" customWidth="1"/>
    <col min="8464" max="8464" width="3" style="1" customWidth="1"/>
    <col min="8465" max="8465" width="11" style="1" bestFit="1" customWidth="1"/>
    <col min="8466" max="8466" width="22.42578125" style="1" bestFit="1" customWidth="1"/>
    <col min="8467" max="8467" width="17.28515625" style="1" bestFit="1" customWidth="1"/>
    <col min="8468" max="8469" width="8" style="1" bestFit="1" customWidth="1"/>
    <col min="8470" max="8470" width="17.28515625" style="1" bestFit="1" customWidth="1"/>
    <col min="8471" max="8472" width="15.140625" style="1" bestFit="1" customWidth="1"/>
    <col min="8473" max="8473" width="8" style="1" bestFit="1" customWidth="1"/>
    <col min="8474" max="8704" width="9.140625" style="1"/>
    <col min="8705" max="8705" width="17.28515625" style="1" bestFit="1" customWidth="1"/>
    <col min="8706" max="8706" width="9" style="1" bestFit="1" customWidth="1"/>
    <col min="8707" max="8707" width="6" style="1" bestFit="1" customWidth="1"/>
    <col min="8708" max="8708" width="9" style="1" bestFit="1" customWidth="1"/>
    <col min="8709" max="8709" width="6" style="1" bestFit="1" customWidth="1"/>
    <col min="8710" max="8710" width="15.140625" style="1" bestFit="1" customWidth="1"/>
    <col min="8711" max="8711" width="9" style="1" bestFit="1" customWidth="1"/>
    <col min="8712" max="8712" width="5" style="1" bestFit="1" customWidth="1"/>
    <col min="8713" max="8713" width="9" style="1" bestFit="1" customWidth="1"/>
    <col min="8714" max="8714" width="7" style="1" bestFit="1" customWidth="1"/>
    <col min="8715" max="8716" width="17.28515625" style="1" bestFit="1" customWidth="1"/>
    <col min="8717" max="8717" width="8" style="1" bestFit="1" customWidth="1"/>
    <col min="8718" max="8718" width="6.28515625" style="1" customWidth="1"/>
    <col min="8719" max="8719" width="6" style="1" bestFit="1" customWidth="1"/>
    <col min="8720" max="8720" width="3" style="1" customWidth="1"/>
    <col min="8721" max="8721" width="11" style="1" bestFit="1" customWidth="1"/>
    <col min="8722" max="8722" width="22.42578125" style="1" bestFit="1" customWidth="1"/>
    <col min="8723" max="8723" width="17.28515625" style="1" bestFit="1" customWidth="1"/>
    <col min="8724" max="8725" width="8" style="1" bestFit="1" customWidth="1"/>
    <col min="8726" max="8726" width="17.28515625" style="1" bestFit="1" customWidth="1"/>
    <col min="8727" max="8728" width="15.140625" style="1" bestFit="1" customWidth="1"/>
    <col min="8729" max="8729" width="8" style="1" bestFit="1" customWidth="1"/>
    <col min="8730" max="8960" width="9.140625" style="1"/>
    <col min="8961" max="8961" width="17.28515625" style="1" bestFit="1" customWidth="1"/>
    <col min="8962" max="8962" width="9" style="1" bestFit="1" customWidth="1"/>
    <col min="8963" max="8963" width="6" style="1" bestFit="1" customWidth="1"/>
    <col min="8964" max="8964" width="9" style="1" bestFit="1" customWidth="1"/>
    <col min="8965" max="8965" width="6" style="1" bestFit="1" customWidth="1"/>
    <col min="8966" max="8966" width="15.140625" style="1" bestFit="1" customWidth="1"/>
    <col min="8967" max="8967" width="9" style="1" bestFit="1" customWidth="1"/>
    <col min="8968" max="8968" width="5" style="1" bestFit="1" customWidth="1"/>
    <col min="8969" max="8969" width="9" style="1" bestFit="1" customWidth="1"/>
    <col min="8970" max="8970" width="7" style="1" bestFit="1" customWidth="1"/>
    <col min="8971" max="8972" width="17.28515625" style="1" bestFit="1" customWidth="1"/>
    <col min="8973" max="8973" width="8" style="1" bestFit="1" customWidth="1"/>
    <col min="8974" max="8974" width="6.28515625" style="1" customWidth="1"/>
    <col min="8975" max="8975" width="6" style="1" bestFit="1" customWidth="1"/>
    <col min="8976" max="8976" width="3" style="1" customWidth="1"/>
    <col min="8977" max="8977" width="11" style="1" bestFit="1" customWidth="1"/>
    <col min="8978" max="8978" width="22.42578125" style="1" bestFit="1" customWidth="1"/>
    <col min="8979" max="8979" width="17.28515625" style="1" bestFit="1" customWidth="1"/>
    <col min="8980" max="8981" width="8" style="1" bestFit="1" customWidth="1"/>
    <col min="8982" max="8982" width="17.28515625" style="1" bestFit="1" customWidth="1"/>
    <col min="8983" max="8984" width="15.140625" style="1" bestFit="1" customWidth="1"/>
    <col min="8985" max="8985" width="8" style="1" bestFit="1" customWidth="1"/>
    <col min="8986" max="9216" width="9.140625" style="1"/>
    <col min="9217" max="9217" width="17.28515625" style="1" bestFit="1" customWidth="1"/>
    <col min="9218" max="9218" width="9" style="1" bestFit="1" customWidth="1"/>
    <col min="9219" max="9219" width="6" style="1" bestFit="1" customWidth="1"/>
    <col min="9220" max="9220" width="9" style="1" bestFit="1" customWidth="1"/>
    <col min="9221" max="9221" width="6" style="1" bestFit="1" customWidth="1"/>
    <col min="9222" max="9222" width="15.140625" style="1" bestFit="1" customWidth="1"/>
    <col min="9223" max="9223" width="9" style="1" bestFit="1" customWidth="1"/>
    <col min="9224" max="9224" width="5" style="1" bestFit="1" customWidth="1"/>
    <col min="9225" max="9225" width="9" style="1" bestFit="1" customWidth="1"/>
    <col min="9226" max="9226" width="7" style="1" bestFit="1" customWidth="1"/>
    <col min="9227" max="9228" width="17.28515625" style="1" bestFit="1" customWidth="1"/>
    <col min="9229" max="9229" width="8" style="1" bestFit="1" customWidth="1"/>
    <col min="9230" max="9230" width="6.28515625" style="1" customWidth="1"/>
    <col min="9231" max="9231" width="6" style="1" bestFit="1" customWidth="1"/>
    <col min="9232" max="9232" width="3" style="1" customWidth="1"/>
    <col min="9233" max="9233" width="11" style="1" bestFit="1" customWidth="1"/>
    <col min="9234" max="9234" width="22.42578125" style="1" bestFit="1" customWidth="1"/>
    <col min="9235" max="9235" width="17.28515625" style="1" bestFit="1" customWidth="1"/>
    <col min="9236" max="9237" width="8" style="1" bestFit="1" customWidth="1"/>
    <col min="9238" max="9238" width="17.28515625" style="1" bestFit="1" customWidth="1"/>
    <col min="9239" max="9240" width="15.140625" style="1" bestFit="1" customWidth="1"/>
    <col min="9241" max="9241" width="8" style="1" bestFit="1" customWidth="1"/>
    <col min="9242" max="9472" width="9.140625" style="1"/>
    <col min="9473" max="9473" width="17.28515625" style="1" bestFit="1" customWidth="1"/>
    <col min="9474" max="9474" width="9" style="1" bestFit="1" customWidth="1"/>
    <col min="9475" max="9475" width="6" style="1" bestFit="1" customWidth="1"/>
    <col min="9476" max="9476" width="9" style="1" bestFit="1" customWidth="1"/>
    <col min="9477" max="9477" width="6" style="1" bestFit="1" customWidth="1"/>
    <col min="9478" max="9478" width="15.140625" style="1" bestFit="1" customWidth="1"/>
    <col min="9479" max="9479" width="9" style="1" bestFit="1" customWidth="1"/>
    <col min="9480" max="9480" width="5" style="1" bestFit="1" customWidth="1"/>
    <col min="9481" max="9481" width="9" style="1" bestFit="1" customWidth="1"/>
    <col min="9482" max="9482" width="7" style="1" bestFit="1" customWidth="1"/>
    <col min="9483" max="9484" width="17.28515625" style="1" bestFit="1" customWidth="1"/>
    <col min="9485" max="9485" width="8" style="1" bestFit="1" customWidth="1"/>
    <col min="9486" max="9486" width="6.28515625" style="1" customWidth="1"/>
    <col min="9487" max="9487" width="6" style="1" bestFit="1" customWidth="1"/>
    <col min="9488" max="9488" width="3" style="1" customWidth="1"/>
    <col min="9489" max="9489" width="11" style="1" bestFit="1" customWidth="1"/>
    <col min="9490" max="9490" width="22.42578125" style="1" bestFit="1" customWidth="1"/>
    <col min="9491" max="9491" width="17.28515625" style="1" bestFit="1" customWidth="1"/>
    <col min="9492" max="9493" width="8" style="1" bestFit="1" customWidth="1"/>
    <col min="9494" max="9494" width="17.28515625" style="1" bestFit="1" customWidth="1"/>
    <col min="9495" max="9496" width="15.140625" style="1" bestFit="1" customWidth="1"/>
    <col min="9497" max="9497" width="8" style="1" bestFit="1" customWidth="1"/>
    <col min="9498" max="9728" width="9.140625" style="1"/>
    <col min="9729" max="9729" width="17.28515625" style="1" bestFit="1" customWidth="1"/>
    <col min="9730" max="9730" width="9" style="1" bestFit="1" customWidth="1"/>
    <col min="9731" max="9731" width="6" style="1" bestFit="1" customWidth="1"/>
    <col min="9732" max="9732" width="9" style="1" bestFit="1" customWidth="1"/>
    <col min="9733" max="9733" width="6" style="1" bestFit="1" customWidth="1"/>
    <col min="9734" max="9734" width="15.140625" style="1" bestFit="1" customWidth="1"/>
    <col min="9735" max="9735" width="9" style="1" bestFit="1" customWidth="1"/>
    <col min="9736" max="9736" width="5" style="1" bestFit="1" customWidth="1"/>
    <col min="9737" max="9737" width="9" style="1" bestFit="1" customWidth="1"/>
    <col min="9738" max="9738" width="7" style="1" bestFit="1" customWidth="1"/>
    <col min="9739" max="9740" width="17.28515625" style="1" bestFit="1" customWidth="1"/>
    <col min="9741" max="9741" width="8" style="1" bestFit="1" customWidth="1"/>
    <col min="9742" max="9742" width="6.28515625" style="1" customWidth="1"/>
    <col min="9743" max="9743" width="6" style="1" bestFit="1" customWidth="1"/>
    <col min="9744" max="9744" width="3" style="1" customWidth="1"/>
    <col min="9745" max="9745" width="11" style="1" bestFit="1" customWidth="1"/>
    <col min="9746" max="9746" width="22.42578125" style="1" bestFit="1" customWidth="1"/>
    <col min="9747" max="9747" width="17.28515625" style="1" bestFit="1" customWidth="1"/>
    <col min="9748" max="9749" width="8" style="1" bestFit="1" customWidth="1"/>
    <col min="9750" max="9750" width="17.28515625" style="1" bestFit="1" customWidth="1"/>
    <col min="9751" max="9752" width="15.140625" style="1" bestFit="1" customWidth="1"/>
    <col min="9753" max="9753" width="8" style="1" bestFit="1" customWidth="1"/>
    <col min="9754" max="9984" width="9.140625" style="1"/>
    <col min="9985" max="9985" width="17.28515625" style="1" bestFit="1" customWidth="1"/>
    <col min="9986" max="9986" width="9" style="1" bestFit="1" customWidth="1"/>
    <col min="9987" max="9987" width="6" style="1" bestFit="1" customWidth="1"/>
    <col min="9988" max="9988" width="9" style="1" bestFit="1" customWidth="1"/>
    <col min="9989" max="9989" width="6" style="1" bestFit="1" customWidth="1"/>
    <col min="9990" max="9990" width="15.140625" style="1" bestFit="1" customWidth="1"/>
    <col min="9991" max="9991" width="9" style="1" bestFit="1" customWidth="1"/>
    <col min="9992" max="9992" width="5" style="1" bestFit="1" customWidth="1"/>
    <col min="9993" max="9993" width="9" style="1" bestFit="1" customWidth="1"/>
    <col min="9994" max="9994" width="7" style="1" bestFit="1" customWidth="1"/>
    <col min="9995" max="9996" width="17.28515625" style="1" bestFit="1" customWidth="1"/>
    <col min="9997" max="9997" width="8" style="1" bestFit="1" customWidth="1"/>
    <col min="9998" max="9998" width="6.28515625" style="1" customWidth="1"/>
    <col min="9999" max="9999" width="6" style="1" bestFit="1" customWidth="1"/>
    <col min="10000" max="10000" width="3" style="1" customWidth="1"/>
    <col min="10001" max="10001" width="11" style="1" bestFit="1" customWidth="1"/>
    <col min="10002" max="10002" width="22.42578125" style="1" bestFit="1" customWidth="1"/>
    <col min="10003" max="10003" width="17.28515625" style="1" bestFit="1" customWidth="1"/>
    <col min="10004" max="10005" width="8" style="1" bestFit="1" customWidth="1"/>
    <col min="10006" max="10006" width="17.28515625" style="1" bestFit="1" customWidth="1"/>
    <col min="10007" max="10008" width="15.140625" style="1" bestFit="1" customWidth="1"/>
    <col min="10009" max="10009" width="8" style="1" bestFit="1" customWidth="1"/>
    <col min="10010" max="10240" width="9.140625" style="1"/>
    <col min="10241" max="10241" width="17.28515625" style="1" bestFit="1" customWidth="1"/>
    <col min="10242" max="10242" width="9" style="1" bestFit="1" customWidth="1"/>
    <col min="10243" max="10243" width="6" style="1" bestFit="1" customWidth="1"/>
    <col min="10244" max="10244" width="9" style="1" bestFit="1" customWidth="1"/>
    <col min="10245" max="10245" width="6" style="1" bestFit="1" customWidth="1"/>
    <col min="10246" max="10246" width="15.140625" style="1" bestFit="1" customWidth="1"/>
    <col min="10247" max="10247" width="9" style="1" bestFit="1" customWidth="1"/>
    <col min="10248" max="10248" width="5" style="1" bestFit="1" customWidth="1"/>
    <col min="10249" max="10249" width="9" style="1" bestFit="1" customWidth="1"/>
    <col min="10250" max="10250" width="7" style="1" bestFit="1" customWidth="1"/>
    <col min="10251" max="10252" width="17.28515625" style="1" bestFit="1" customWidth="1"/>
    <col min="10253" max="10253" width="8" style="1" bestFit="1" customWidth="1"/>
    <col min="10254" max="10254" width="6.28515625" style="1" customWidth="1"/>
    <col min="10255" max="10255" width="6" style="1" bestFit="1" customWidth="1"/>
    <col min="10256" max="10256" width="3" style="1" customWidth="1"/>
    <col min="10257" max="10257" width="11" style="1" bestFit="1" customWidth="1"/>
    <col min="10258" max="10258" width="22.42578125" style="1" bestFit="1" customWidth="1"/>
    <col min="10259" max="10259" width="17.28515625" style="1" bestFit="1" customWidth="1"/>
    <col min="10260" max="10261" width="8" style="1" bestFit="1" customWidth="1"/>
    <col min="10262" max="10262" width="17.28515625" style="1" bestFit="1" customWidth="1"/>
    <col min="10263" max="10264" width="15.140625" style="1" bestFit="1" customWidth="1"/>
    <col min="10265" max="10265" width="8" style="1" bestFit="1" customWidth="1"/>
    <col min="10266" max="10496" width="9.140625" style="1"/>
    <col min="10497" max="10497" width="17.28515625" style="1" bestFit="1" customWidth="1"/>
    <col min="10498" max="10498" width="9" style="1" bestFit="1" customWidth="1"/>
    <col min="10499" max="10499" width="6" style="1" bestFit="1" customWidth="1"/>
    <col min="10500" max="10500" width="9" style="1" bestFit="1" customWidth="1"/>
    <col min="10501" max="10501" width="6" style="1" bestFit="1" customWidth="1"/>
    <col min="10502" max="10502" width="15.140625" style="1" bestFit="1" customWidth="1"/>
    <col min="10503" max="10503" width="9" style="1" bestFit="1" customWidth="1"/>
    <col min="10504" max="10504" width="5" style="1" bestFit="1" customWidth="1"/>
    <col min="10505" max="10505" width="9" style="1" bestFit="1" customWidth="1"/>
    <col min="10506" max="10506" width="7" style="1" bestFit="1" customWidth="1"/>
    <col min="10507" max="10508" width="17.28515625" style="1" bestFit="1" customWidth="1"/>
    <col min="10509" max="10509" width="8" style="1" bestFit="1" customWidth="1"/>
    <col min="10510" max="10510" width="6.28515625" style="1" customWidth="1"/>
    <col min="10511" max="10511" width="6" style="1" bestFit="1" customWidth="1"/>
    <col min="10512" max="10512" width="3" style="1" customWidth="1"/>
    <col min="10513" max="10513" width="11" style="1" bestFit="1" customWidth="1"/>
    <col min="10514" max="10514" width="22.42578125" style="1" bestFit="1" customWidth="1"/>
    <col min="10515" max="10515" width="17.28515625" style="1" bestFit="1" customWidth="1"/>
    <col min="10516" max="10517" width="8" style="1" bestFit="1" customWidth="1"/>
    <col min="10518" max="10518" width="17.28515625" style="1" bestFit="1" customWidth="1"/>
    <col min="10519" max="10520" width="15.140625" style="1" bestFit="1" customWidth="1"/>
    <col min="10521" max="10521" width="8" style="1" bestFit="1" customWidth="1"/>
    <col min="10522" max="10752" width="9.140625" style="1"/>
    <col min="10753" max="10753" width="17.28515625" style="1" bestFit="1" customWidth="1"/>
    <col min="10754" max="10754" width="9" style="1" bestFit="1" customWidth="1"/>
    <col min="10755" max="10755" width="6" style="1" bestFit="1" customWidth="1"/>
    <col min="10756" max="10756" width="9" style="1" bestFit="1" customWidth="1"/>
    <col min="10757" max="10757" width="6" style="1" bestFit="1" customWidth="1"/>
    <col min="10758" max="10758" width="15.140625" style="1" bestFit="1" customWidth="1"/>
    <col min="10759" max="10759" width="9" style="1" bestFit="1" customWidth="1"/>
    <col min="10760" max="10760" width="5" style="1" bestFit="1" customWidth="1"/>
    <col min="10761" max="10761" width="9" style="1" bestFit="1" customWidth="1"/>
    <col min="10762" max="10762" width="7" style="1" bestFit="1" customWidth="1"/>
    <col min="10763" max="10764" width="17.28515625" style="1" bestFit="1" customWidth="1"/>
    <col min="10765" max="10765" width="8" style="1" bestFit="1" customWidth="1"/>
    <col min="10766" max="10766" width="6.28515625" style="1" customWidth="1"/>
    <col min="10767" max="10767" width="6" style="1" bestFit="1" customWidth="1"/>
    <col min="10768" max="10768" width="3" style="1" customWidth="1"/>
    <col min="10769" max="10769" width="11" style="1" bestFit="1" customWidth="1"/>
    <col min="10770" max="10770" width="22.42578125" style="1" bestFit="1" customWidth="1"/>
    <col min="10771" max="10771" width="17.28515625" style="1" bestFit="1" customWidth="1"/>
    <col min="10772" max="10773" width="8" style="1" bestFit="1" customWidth="1"/>
    <col min="10774" max="10774" width="17.28515625" style="1" bestFit="1" customWidth="1"/>
    <col min="10775" max="10776" width="15.140625" style="1" bestFit="1" customWidth="1"/>
    <col min="10777" max="10777" width="8" style="1" bestFit="1" customWidth="1"/>
    <col min="10778" max="11008" width="9.140625" style="1"/>
    <col min="11009" max="11009" width="17.28515625" style="1" bestFit="1" customWidth="1"/>
    <col min="11010" max="11010" width="9" style="1" bestFit="1" customWidth="1"/>
    <col min="11011" max="11011" width="6" style="1" bestFit="1" customWidth="1"/>
    <col min="11012" max="11012" width="9" style="1" bestFit="1" customWidth="1"/>
    <col min="11013" max="11013" width="6" style="1" bestFit="1" customWidth="1"/>
    <col min="11014" max="11014" width="15.140625" style="1" bestFit="1" customWidth="1"/>
    <col min="11015" max="11015" width="9" style="1" bestFit="1" customWidth="1"/>
    <col min="11016" max="11016" width="5" style="1" bestFit="1" customWidth="1"/>
    <col min="11017" max="11017" width="9" style="1" bestFit="1" customWidth="1"/>
    <col min="11018" max="11018" width="7" style="1" bestFit="1" customWidth="1"/>
    <col min="11019" max="11020" width="17.28515625" style="1" bestFit="1" customWidth="1"/>
    <col min="11021" max="11021" width="8" style="1" bestFit="1" customWidth="1"/>
    <col min="11022" max="11022" width="6.28515625" style="1" customWidth="1"/>
    <col min="11023" max="11023" width="6" style="1" bestFit="1" customWidth="1"/>
    <col min="11024" max="11024" width="3" style="1" customWidth="1"/>
    <col min="11025" max="11025" width="11" style="1" bestFit="1" customWidth="1"/>
    <col min="11026" max="11026" width="22.42578125" style="1" bestFit="1" customWidth="1"/>
    <col min="11027" max="11027" width="17.28515625" style="1" bestFit="1" customWidth="1"/>
    <col min="11028" max="11029" width="8" style="1" bestFit="1" customWidth="1"/>
    <col min="11030" max="11030" width="17.28515625" style="1" bestFit="1" customWidth="1"/>
    <col min="11031" max="11032" width="15.140625" style="1" bestFit="1" customWidth="1"/>
    <col min="11033" max="11033" width="8" style="1" bestFit="1" customWidth="1"/>
    <col min="11034" max="11264" width="9.140625" style="1"/>
    <col min="11265" max="11265" width="17.28515625" style="1" bestFit="1" customWidth="1"/>
    <col min="11266" max="11266" width="9" style="1" bestFit="1" customWidth="1"/>
    <col min="11267" max="11267" width="6" style="1" bestFit="1" customWidth="1"/>
    <col min="11268" max="11268" width="9" style="1" bestFit="1" customWidth="1"/>
    <col min="11269" max="11269" width="6" style="1" bestFit="1" customWidth="1"/>
    <col min="11270" max="11270" width="15.140625" style="1" bestFit="1" customWidth="1"/>
    <col min="11271" max="11271" width="9" style="1" bestFit="1" customWidth="1"/>
    <col min="11272" max="11272" width="5" style="1" bestFit="1" customWidth="1"/>
    <col min="11273" max="11273" width="9" style="1" bestFit="1" customWidth="1"/>
    <col min="11274" max="11274" width="7" style="1" bestFit="1" customWidth="1"/>
    <col min="11275" max="11276" width="17.28515625" style="1" bestFit="1" customWidth="1"/>
    <col min="11277" max="11277" width="8" style="1" bestFit="1" customWidth="1"/>
    <col min="11278" max="11278" width="6.28515625" style="1" customWidth="1"/>
    <col min="11279" max="11279" width="6" style="1" bestFit="1" customWidth="1"/>
    <col min="11280" max="11280" width="3" style="1" customWidth="1"/>
    <col min="11281" max="11281" width="11" style="1" bestFit="1" customWidth="1"/>
    <col min="11282" max="11282" width="22.42578125" style="1" bestFit="1" customWidth="1"/>
    <col min="11283" max="11283" width="17.28515625" style="1" bestFit="1" customWidth="1"/>
    <col min="11284" max="11285" width="8" style="1" bestFit="1" customWidth="1"/>
    <col min="11286" max="11286" width="17.28515625" style="1" bestFit="1" customWidth="1"/>
    <col min="11287" max="11288" width="15.140625" style="1" bestFit="1" customWidth="1"/>
    <col min="11289" max="11289" width="8" style="1" bestFit="1" customWidth="1"/>
    <col min="11290" max="11520" width="9.140625" style="1"/>
    <col min="11521" max="11521" width="17.28515625" style="1" bestFit="1" customWidth="1"/>
    <col min="11522" max="11522" width="9" style="1" bestFit="1" customWidth="1"/>
    <col min="11523" max="11523" width="6" style="1" bestFit="1" customWidth="1"/>
    <col min="11524" max="11524" width="9" style="1" bestFit="1" customWidth="1"/>
    <col min="11525" max="11525" width="6" style="1" bestFit="1" customWidth="1"/>
    <col min="11526" max="11526" width="15.140625" style="1" bestFit="1" customWidth="1"/>
    <col min="11527" max="11527" width="9" style="1" bestFit="1" customWidth="1"/>
    <col min="11528" max="11528" width="5" style="1" bestFit="1" customWidth="1"/>
    <col min="11529" max="11529" width="9" style="1" bestFit="1" customWidth="1"/>
    <col min="11530" max="11530" width="7" style="1" bestFit="1" customWidth="1"/>
    <col min="11531" max="11532" width="17.28515625" style="1" bestFit="1" customWidth="1"/>
    <col min="11533" max="11533" width="8" style="1" bestFit="1" customWidth="1"/>
    <col min="11534" max="11534" width="6.28515625" style="1" customWidth="1"/>
    <col min="11535" max="11535" width="6" style="1" bestFit="1" customWidth="1"/>
    <col min="11536" max="11536" width="3" style="1" customWidth="1"/>
    <col min="11537" max="11537" width="11" style="1" bestFit="1" customWidth="1"/>
    <col min="11538" max="11538" width="22.42578125" style="1" bestFit="1" customWidth="1"/>
    <col min="11539" max="11539" width="17.28515625" style="1" bestFit="1" customWidth="1"/>
    <col min="11540" max="11541" width="8" style="1" bestFit="1" customWidth="1"/>
    <col min="11542" max="11542" width="17.28515625" style="1" bestFit="1" customWidth="1"/>
    <col min="11543" max="11544" width="15.140625" style="1" bestFit="1" customWidth="1"/>
    <col min="11545" max="11545" width="8" style="1" bestFit="1" customWidth="1"/>
    <col min="11546" max="11776" width="9.140625" style="1"/>
    <col min="11777" max="11777" width="17.28515625" style="1" bestFit="1" customWidth="1"/>
    <col min="11778" max="11778" width="9" style="1" bestFit="1" customWidth="1"/>
    <col min="11779" max="11779" width="6" style="1" bestFit="1" customWidth="1"/>
    <col min="11780" max="11780" width="9" style="1" bestFit="1" customWidth="1"/>
    <col min="11781" max="11781" width="6" style="1" bestFit="1" customWidth="1"/>
    <col min="11782" max="11782" width="15.140625" style="1" bestFit="1" customWidth="1"/>
    <col min="11783" max="11783" width="9" style="1" bestFit="1" customWidth="1"/>
    <col min="11784" max="11784" width="5" style="1" bestFit="1" customWidth="1"/>
    <col min="11785" max="11785" width="9" style="1" bestFit="1" customWidth="1"/>
    <col min="11786" max="11786" width="7" style="1" bestFit="1" customWidth="1"/>
    <col min="11787" max="11788" width="17.28515625" style="1" bestFit="1" customWidth="1"/>
    <col min="11789" max="11789" width="8" style="1" bestFit="1" customWidth="1"/>
    <col min="11790" max="11790" width="6.28515625" style="1" customWidth="1"/>
    <col min="11791" max="11791" width="6" style="1" bestFit="1" customWidth="1"/>
    <col min="11792" max="11792" width="3" style="1" customWidth="1"/>
    <col min="11793" max="11793" width="11" style="1" bestFit="1" customWidth="1"/>
    <col min="11794" max="11794" width="22.42578125" style="1" bestFit="1" customWidth="1"/>
    <col min="11795" max="11795" width="17.28515625" style="1" bestFit="1" customWidth="1"/>
    <col min="11796" max="11797" width="8" style="1" bestFit="1" customWidth="1"/>
    <col min="11798" max="11798" width="17.28515625" style="1" bestFit="1" customWidth="1"/>
    <col min="11799" max="11800" width="15.140625" style="1" bestFit="1" customWidth="1"/>
    <col min="11801" max="11801" width="8" style="1" bestFit="1" customWidth="1"/>
    <col min="11802" max="12032" width="9.140625" style="1"/>
    <col min="12033" max="12033" width="17.28515625" style="1" bestFit="1" customWidth="1"/>
    <col min="12034" max="12034" width="9" style="1" bestFit="1" customWidth="1"/>
    <col min="12035" max="12035" width="6" style="1" bestFit="1" customWidth="1"/>
    <col min="12036" max="12036" width="9" style="1" bestFit="1" customWidth="1"/>
    <col min="12037" max="12037" width="6" style="1" bestFit="1" customWidth="1"/>
    <col min="12038" max="12038" width="15.140625" style="1" bestFit="1" customWidth="1"/>
    <col min="12039" max="12039" width="9" style="1" bestFit="1" customWidth="1"/>
    <col min="12040" max="12040" width="5" style="1" bestFit="1" customWidth="1"/>
    <col min="12041" max="12041" width="9" style="1" bestFit="1" customWidth="1"/>
    <col min="12042" max="12042" width="7" style="1" bestFit="1" customWidth="1"/>
    <col min="12043" max="12044" width="17.28515625" style="1" bestFit="1" customWidth="1"/>
    <col min="12045" max="12045" width="8" style="1" bestFit="1" customWidth="1"/>
    <col min="12046" max="12046" width="6.28515625" style="1" customWidth="1"/>
    <col min="12047" max="12047" width="6" style="1" bestFit="1" customWidth="1"/>
    <col min="12048" max="12048" width="3" style="1" customWidth="1"/>
    <col min="12049" max="12049" width="11" style="1" bestFit="1" customWidth="1"/>
    <col min="12050" max="12050" width="22.42578125" style="1" bestFit="1" customWidth="1"/>
    <col min="12051" max="12051" width="17.28515625" style="1" bestFit="1" customWidth="1"/>
    <col min="12052" max="12053" width="8" style="1" bestFit="1" customWidth="1"/>
    <col min="12054" max="12054" width="17.28515625" style="1" bestFit="1" customWidth="1"/>
    <col min="12055" max="12056" width="15.140625" style="1" bestFit="1" customWidth="1"/>
    <col min="12057" max="12057" width="8" style="1" bestFit="1" customWidth="1"/>
    <col min="12058" max="12288" width="9.140625" style="1"/>
    <col min="12289" max="12289" width="17.28515625" style="1" bestFit="1" customWidth="1"/>
    <col min="12290" max="12290" width="9" style="1" bestFit="1" customWidth="1"/>
    <col min="12291" max="12291" width="6" style="1" bestFit="1" customWidth="1"/>
    <col min="12292" max="12292" width="9" style="1" bestFit="1" customWidth="1"/>
    <col min="12293" max="12293" width="6" style="1" bestFit="1" customWidth="1"/>
    <col min="12294" max="12294" width="15.140625" style="1" bestFit="1" customWidth="1"/>
    <col min="12295" max="12295" width="9" style="1" bestFit="1" customWidth="1"/>
    <col min="12296" max="12296" width="5" style="1" bestFit="1" customWidth="1"/>
    <col min="12297" max="12297" width="9" style="1" bestFit="1" customWidth="1"/>
    <col min="12298" max="12298" width="7" style="1" bestFit="1" customWidth="1"/>
    <col min="12299" max="12300" width="17.28515625" style="1" bestFit="1" customWidth="1"/>
    <col min="12301" max="12301" width="8" style="1" bestFit="1" customWidth="1"/>
    <col min="12302" max="12302" width="6.28515625" style="1" customWidth="1"/>
    <col min="12303" max="12303" width="6" style="1" bestFit="1" customWidth="1"/>
    <col min="12304" max="12304" width="3" style="1" customWidth="1"/>
    <col min="12305" max="12305" width="11" style="1" bestFit="1" customWidth="1"/>
    <col min="12306" max="12306" width="22.42578125" style="1" bestFit="1" customWidth="1"/>
    <col min="12307" max="12307" width="17.28515625" style="1" bestFit="1" customWidth="1"/>
    <col min="12308" max="12309" width="8" style="1" bestFit="1" customWidth="1"/>
    <col min="12310" max="12310" width="17.28515625" style="1" bestFit="1" customWidth="1"/>
    <col min="12311" max="12312" width="15.140625" style="1" bestFit="1" customWidth="1"/>
    <col min="12313" max="12313" width="8" style="1" bestFit="1" customWidth="1"/>
    <col min="12314" max="12544" width="9.140625" style="1"/>
    <col min="12545" max="12545" width="17.28515625" style="1" bestFit="1" customWidth="1"/>
    <col min="12546" max="12546" width="9" style="1" bestFit="1" customWidth="1"/>
    <col min="12547" max="12547" width="6" style="1" bestFit="1" customWidth="1"/>
    <col min="12548" max="12548" width="9" style="1" bestFit="1" customWidth="1"/>
    <col min="12549" max="12549" width="6" style="1" bestFit="1" customWidth="1"/>
    <col min="12550" max="12550" width="15.140625" style="1" bestFit="1" customWidth="1"/>
    <col min="12551" max="12551" width="9" style="1" bestFit="1" customWidth="1"/>
    <col min="12552" max="12552" width="5" style="1" bestFit="1" customWidth="1"/>
    <col min="12553" max="12553" width="9" style="1" bestFit="1" customWidth="1"/>
    <col min="12554" max="12554" width="7" style="1" bestFit="1" customWidth="1"/>
    <col min="12555" max="12556" width="17.28515625" style="1" bestFit="1" customWidth="1"/>
    <col min="12557" max="12557" width="8" style="1" bestFit="1" customWidth="1"/>
    <col min="12558" max="12558" width="6.28515625" style="1" customWidth="1"/>
    <col min="12559" max="12559" width="6" style="1" bestFit="1" customWidth="1"/>
    <col min="12560" max="12560" width="3" style="1" customWidth="1"/>
    <col min="12561" max="12561" width="11" style="1" bestFit="1" customWidth="1"/>
    <col min="12562" max="12562" width="22.42578125" style="1" bestFit="1" customWidth="1"/>
    <col min="12563" max="12563" width="17.28515625" style="1" bestFit="1" customWidth="1"/>
    <col min="12564" max="12565" width="8" style="1" bestFit="1" customWidth="1"/>
    <col min="12566" max="12566" width="17.28515625" style="1" bestFit="1" customWidth="1"/>
    <col min="12567" max="12568" width="15.140625" style="1" bestFit="1" customWidth="1"/>
    <col min="12569" max="12569" width="8" style="1" bestFit="1" customWidth="1"/>
    <col min="12570" max="12800" width="9.140625" style="1"/>
    <col min="12801" max="12801" width="17.28515625" style="1" bestFit="1" customWidth="1"/>
    <col min="12802" max="12802" width="9" style="1" bestFit="1" customWidth="1"/>
    <col min="12803" max="12803" width="6" style="1" bestFit="1" customWidth="1"/>
    <col min="12804" max="12804" width="9" style="1" bestFit="1" customWidth="1"/>
    <col min="12805" max="12805" width="6" style="1" bestFit="1" customWidth="1"/>
    <col min="12806" max="12806" width="15.140625" style="1" bestFit="1" customWidth="1"/>
    <col min="12807" max="12807" width="9" style="1" bestFit="1" customWidth="1"/>
    <col min="12808" max="12808" width="5" style="1" bestFit="1" customWidth="1"/>
    <col min="12809" max="12809" width="9" style="1" bestFit="1" customWidth="1"/>
    <col min="12810" max="12810" width="7" style="1" bestFit="1" customWidth="1"/>
    <col min="12811" max="12812" width="17.28515625" style="1" bestFit="1" customWidth="1"/>
    <col min="12813" max="12813" width="8" style="1" bestFit="1" customWidth="1"/>
    <col min="12814" max="12814" width="6.28515625" style="1" customWidth="1"/>
    <col min="12815" max="12815" width="6" style="1" bestFit="1" customWidth="1"/>
    <col min="12816" max="12816" width="3" style="1" customWidth="1"/>
    <col min="12817" max="12817" width="11" style="1" bestFit="1" customWidth="1"/>
    <col min="12818" max="12818" width="22.42578125" style="1" bestFit="1" customWidth="1"/>
    <col min="12819" max="12819" width="17.28515625" style="1" bestFit="1" customWidth="1"/>
    <col min="12820" max="12821" width="8" style="1" bestFit="1" customWidth="1"/>
    <col min="12822" max="12822" width="17.28515625" style="1" bestFit="1" customWidth="1"/>
    <col min="12823" max="12824" width="15.140625" style="1" bestFit="1" customWidth="1"/>
    <col min="12825" max="12825" width="8" style="1" bestFit="1" customWidth="1"/>
    <col min="12826" max="13056" width="9.140625" style="1"/>
    <col min="13057" max="13057" width="17.28515625" style="1" bestFit="1" customWidth="1"/>
    <col min="13058" max="13058" width="9" style="1" bestFit="1" customWidth="1"/>
    <col min="13059" max="13059" width="6" style="1" bestFit="1" customWidth="1"/>
    <col min="13060" max="13060" width="9" style="1" bestFit="1" customWidth="1"/>
    <col min="13061" max="13061" width="6" style="1" bestFit="1" customWidth="1"/>
    <col min="13062" max="13062" width="15.140625" style="1" bestFit="1" customWidth="1"/>
    <col min="13063" max="13063" width="9" style="1" bestFit="1" customWidth="1"/>
    <col min="13064" max="13064" width="5" style="1" bestFit="1" customWidth="1"/>
    <col min="13065" max="13065" width="9" style="1" bestFit="1" customWidth="1"/>
    <col min="13066" max="13066" width="7" style="1" bestFit="1" customWidth="1"/>
    <col min="13067" max="13068" width="17.28515625" style="1" bestFit="1" customWidth="1"/>
    <col min="13069" max="13069" width="8" style="1" bestFit="1" customWidth="1"/>
    <col min="13070" max="13070" width="6.28515625" style="1" customWidth="1"/>
    <col min="13071" max="13071" width="6" style="1" bestFit="1" customWidth="1"/>
    <col min="13072" max="13072" width="3" style="1" customWidth="1"/>
    <col min="13073" max="13073" width="11" style="1" bestFit="1" customWidth="1"/>
    <col min="13074" max="13074" width="22.42578125" style="1" bestFit="1" customWidth="1"/>
    <col min="13075" max="13075" width="17.28515625" style="1" bestFit="1" customWidth="1"/>
    <col min="13076" max="13077" width="8" style="1" bestFit="1" customWidth="1"/>
    <col min="13078" max="13078" width="17.28515625" style="1" bestFit="1" customWidth="1"/>
    <col min="13079" max="13080" width="15.140625" style="1" bestFit="1" customWidth="1"/>
    <col min="13081" max="13081" width="8" style="1" bestFit="1" customWidth="1"/>
    <col min="13082" max="13312" width="9.140625" style="1"/>
    <col min="13313" max="13313" width="17.28515625" style="1" bestFit="1" customWidth="1"/>
    <col min="13314" max="13314" width="9" style="1" bestFit="1" customWidth="1"/>
    <col min="13315" max="13315" width="6" style="1" bestFit="1" customWidth="1"/>
    <col min="13316" max="13316" width="9" style="1" bestFit="1" customWidth="1"/>
    <col min="13317" max="13317" width="6" style="1" bestFit="1" customWidth="1"/>
    <col min="13318" max="13318" width="15.140625" style="1" bestFit="1" customWidth="1"/>
    <col min="13319" max="13319" width="9" style="1" bestFit="1" customWidth="1"/>
    <col min="13320" max="13320" width="5" style="1" bestFit="1" customWidth="1"/>
    <col min="13321" max="13321" width="9" style="1" bestFit="1" customWidth="1"/>
    <col min="13322" max="13322" width="7" style="1" bestFit="1" customWidth="1"/>
    <col min="13323" max="13324" width="17.28515625" style="1" bestFit="1" customWidth="1"/>
    <col min="13325" max="13325" width="8" style="1" bestFit="1" customWidth="1"/>
    <col min="13326" max="13326" width="6.28515625" style="1" customWidth="1"/>
    <col min="13327" max="13327" width="6" style="1" bestFit="1" customWidth="1"/>
    <col min="13328" max="13328" width="3" style="1" customWidth="1"/>
    <col min="13329" max="13329" width="11" style="1" bestFit="1" customWidth="1"/>
    <col min="13330" max="13330" width="22.42578125" style="1" bestFit="1" customWidth="1"/>
    <col min="13331" max="13331" width="17.28515625" style="1" bestFit="1" customWidth="1"/>
    <col min="13332" max="13333" width="8" style="1" bestFit="1" customWidth="1"/>
    <col min="13334" max="13334" width="17.28515625" style="1" bestFit="1" customWidth="1"/>
    <col min="13335" max="13336" width="15.140625" style="1" bestFit="1" customWidth="1"/>
    <col min="13337" max="13337" width="8" style="1" bestFit="1" customWidth="1"/>
    <col min="13338" max="13568" width="9.140625" style="1"/>
    <col min="13569" max="13569" width="17.28515625" style="1" bestFit="1" customWidth="1"/>
    <col min="13570" max="13570" width="9" style="1" bestFit="1" customWidth="1"/>
    <col min="13571" max="13571" width="6" style="1" bestFit="1" customWidth="1"/>
    <col min="13572" max="13572" width="9" style="1" bestFit="1" customWidth="1"/>
    <col min="13573" max="13573" width="6" style="1" bestFit="1" customWidth="1"/>
    <col min="13574" max="13574" width="15.140625" style="1" bestFit="1" customWidth="1"/>
    <col min="13575" max="13575" width="9" style="1" bestFit="1" customWidth="1"/>
    <col min="13576" max="13576" width="5" style="1" bestFit="1" customWidth="1"/>
    <col min="13577" max="13577" width="9" style="1" bestFit="1" customWidth="1"/>
    <col min="13578" max="13578" width="7" style="1" bestFit="1" customWidth="1"/>
    <col min="13579" max="13580" width="17.28515625" style="1" bestFit="1" customWidth="1"/>
    <col min="13581" max="13581" width="8" style="1" bestFit="1" customWidth="1"/>
    <col min="13582" max="13582" width="6.28515625" style="1" customWidth="1"/>
    <col min="13583" max="13583" width="6" style="1" bestFit="1" customWidth="1"/>
    <col min="13584" max="13584" width="3" style="1" customWidth="1"/>
    <col min="13585" max="13585" width="11" style="1" bestFit="1" customWidth="1"/>
    <col min="13586" max="13586" width="22.42578125" style="1" bestFit="1" customWidth="1"/>
    <col min="13587" max="13587" width="17.28515625" style="1" bestFit="1" customWidth="1"/>
    <col min="13588" max="13589" width="8" style="1" bestFit="1" customWidth="1"/>
    <col min="13590" max="13590" width="17.28515625" style="1" bestFit="1" customWidth="1"/>
    <col min="13591" max="13592" width="15.140625" style="1" bestFit="1" customWidth="1"/>
    <col min="13593" max="13593" width="8" style="1" bestFit="1" customWidth="1"/>
    <col min="13594" max="13824" width="9.140625" style="1"/>
    <col min="13825" max="13825" width="17.28515625" style="1" bestFit="1" customWidth="1"/>
    <col min="13826" max="13826" width="9" style="1" bestFit="1" customWidth="1"/>
    <col min="13827" max="13827" width="6" style="1" bestFit="1" customWidth="1"/>
    <col min="13828" max="13828" width="9" style="1" bestFit="1" customWidth="1"/>
    <col min="13829" max="13829" width="6" style="1" bestFit="1" customWidth="1"/>
    <col min="13830" max="13830" width="15.140625" style="1" bestFit="1" customWidth="1"/>
    <col min="13831" max="13831" width="9" style="1" bestFit="1" customWidth="1"/>
    <col min="13832" max="13832" width="5" style="1" bestFit="1" customWidth="1"/>
    <col min="13833" max="13833" width="9" style="1" bestFit="1" customWidth="1"/>
    <col min="13834" max="13834" width="7" style="1" bestFit="1" customWidth="1"/>
    <col min="13835" max="13836" width="17.28515625" style="1" bestFit="1" customWidth="1"/>
    <col min="13837" max="13837" width="8" style="1" bestFit="1" customWidth="1"/>
    <col min="13838" max="13838" width="6.28515625" style="1" customWidth="1"/>
    <col min="13839" max="13839" width="6" style="1" bestFit="1" customWidth="1"/>
    <col min="13840" max="13840" width="3" style="1" customWidth="1"/>
    <col min="13841" max="13841" width="11" style="1" bestFit="1" customWidth="1"/>
    <col min="13842" max="13842" width="22.42578125" style="1" bestFit="1" customWidth="1"/>
    <col min="13843" max="13843" width="17.28515625" style="1" bestFit="1" customWidth="1"/>
    <col min="13844" max="13845" width="8" style="1" bestFit="1" customWidth="1"/>
    <col min="13846" max="13846" width="17.28515625" style="1" bestFit="1" customWidth="1"/>
    <col min="13847" max="13848" width="15.140625" style="1" bestFit="1" customWidth="1"/>
    <col min="13849" max="13849" width="8" style="1" bestFit="1" customWidth="1"/>
    <col min="13850" max="14080" width="9.140625" style="1"/>
    <col min="14081" max="14081" width="17.28515625" style="1" bestFit="1" customWidth="1"/>
    <col min="14082" max="14082" width="9" style="1" bestFit="1" customWidth="1"/>
    <col min="14083" max="14083" width="6" style="1" bestFit="1" customWidth="1"/>
    <col min="14084" max="14084" width="9" style="1" bestFit="1" customWidth="1"/>
    <col min="14085" max="14085" width="6" style="1" bestFit="1" customWidth="1"/>
    <col min="14086" max="14086" width="15.140625" style="1" bestFit="1" customWidth="1"/>
    <col min="14087" max="14087" width="9" style="1" bestFit="1" customWidth="1"/>
    <col min="14088" max="14088" width="5" style="1" bestFit="1" customWidth="1"/>
    <col min="14089" max="14089" width="9" style="1" bestFit="1" customWidth="1"/>
    <col min="14090" max="14090" width="7" style="1" bestFit="1" customWidth="1"/>
    <col min="14091" max="14092" width="17.28515625" style="1" bestFit="1" customWidth="1"/>
    <col min="14093" max="14093" width="8" style="1" bestFit="1" customWidth="1"/>
    <col min="14094" max="14094" width="6.28515625" style="1" customWidth="1"/>
    <col min="14095" max="14095" width="6" style="1" bestFit="1" customWidth="1"/>
    <col min="14096" max="14096" width="3" style="1" customWidth="1"/>
    <col min="14097" max="14097" width="11" style="1" bestFit="1" customWidth="1"/>
    <col min="14098" max="14098" width="22.42578125" style="1" bestFit="1" customWidth="1"/>
    <col min="14099" max="14099" width="17.28515625" style="1" bestFit="1" customWidth="1"/>
    <col min="14100" max="14101" width="8" style="1" bestFit="1" customWidth="1"/>
    <col min="14102" max="14102" width="17.28515625" style="1" bestFit="1" customWidth="1"/>
    <col min="14103" max="14104" width="15.140625" style="1" bestFit="1" customWidth="1"/>
    <col min="14105" max="14105" width="8" style="1" bestFit="1" customWidth="1"/>
    <col min="14106" max="14336" width="9.140625" style="1"/>
    <col min="14337" max="14337" width="17.28515625" style="1" bestFit="1" customWidth="1"/>
    <col min="14338" max="14338" width="9" style="1" bestFit="1" customWidth="1"/>
    <col min="14339" max="14339" width="6" style="1" bestFit="1" customWidth="1"/>
    <col min="14340" max="14340" width="9" style="1" bestFit="1" customWidth="1"/>
    <col min="14341" max="14341" width="6" style="1" bestFit="1" customWidth="1"/>
    <col min="14342" max="14342" width="15.140625" style="1" bestFit="1" customWidth="1"/>
    <col min="14343" max="14343" width="9" style="1" bestFit="1" customWidth="1"/>
    <col min="14344" max="14344" width="5" style="1" bestFit="1" customWidth="1"/>
    <col min="14345" max="14345" width="9" style="1" bestFit="1" customWidth="1"/>
    <col min="14346" max="14346" width="7" style="1" bestFit="1" customWidth="1"/>
    <col min="14347" max="14348" width="17.28515625" style="1" bestFit="1" customWidth="1"/>
    <col min="14349" max="14349" width="8" style="1" bestFit="1" customWidth="1"/>
    <col min="14350" max="14350" width="6.28515625" style="1" customWidth="1"/>
    <col min="14351" max="14351" width="6" style="1" bestFit="1" customWidth="1"/>
    <col min="14352" max="14352" width="3" style="1" customWidth="1"/>
    <col min="14353" max="14353" width="11" style="1" bestFit="1" customWidth="1"/>
    <col min="14354" max="14354" width="22.42578125" style="1" bestFit="1" customWidth="1"/>
    <col min="14355" max="14355" width="17.28515625" style="1" bestFit="1" customWidth="1"/>
    <col min="14356" max="14357" width="8" style="1" bestFit="1" customWidth="1"/>
    <col min="14358" max="14358" width="17.28515625" style="1" bestFit="1" customWidth="1"/>
    <col min="14359" max="14360" width="15.140625" style="1" bestFit="1" customWidth="1"/>
    <col min="14361" max="14361" width="8" style="1" bestFit="1" customWidth="1"/>
    <col min="14362" max="14592" width="9.140625" style="1"/>
    <col min="14593" max="14593" width="17.28515625" style="1" bestFit="1" customWidth="1"/>
    <col min="14594" max="14594" width="9" style="1" bestFit="1" customWidth="1"/>
    <col min="14595" max="14595" width="6" style="1" bestFit="1" customWidth="1"/>
    <col min="14596" max="14596" width="9" style="1" bestFit="1" customWidth="1"/>
    <col min="14597" max="14597" width="6" style="1" bestFit="1" customWidth="1"/>
    <col min="14598" max="14598" width="15.140625" style="1" bestFit="1" customWidth="1"/>
    <col min="14599" max="14599" width="9" style="1" bestFit="1" customWidth="1"/>
    <col min="14600" max="14600" width="5" style="1" bestFit="1" customWidth="1"/>
    <col min="14601" max="14601" width="9" style="1" bestFit="1" customWidth="1"/>
    <col min="14602" max="14602" width="7" style="1" bestFit="1" customWidth="1"/>
    <col min="14603" max="14604" width="17.28515625" style="1" bestFit="1" customWidth="1"/>
    <col min="14605" max="14605" width="8" style="1" bestFit="1" customWidth="1"/>
    <col min="14606" max="14606" width="6.28515625" style="1" customWidth="1"/>
    <col min="14607" max="14607" width="6" style="1" bestFit="1" customWidth="1"/>
    <col min="14608" max="14608" width="3" style="1" customWidth="1"/>
    <col min="14609" max="14609" width="11" style="1" bestFit="1" customWidth="1"/>
    <col min="14610" max="14610" width="22.42578125" style="1" bestFit="1" customWidth="1"/>
    <col min="14611" max="14611" width="17.28515625" style="1" bestFit="1" customWidth="1"/>
    <col min="14612" max="14613" width="8" style="1" bestFit="1" customWidth="1"/>
    <col min="14614" max="14614" width="17.28515625" style="1" bestFit="1" customWidth="1"/>
    <col min="14615" max="14616" width="15.140625" style="1" bestFit="1" customWidth="1"/>
    <col min="14617" max="14617" width="8" style="1" bestFit="1" customWidth="1"/>
    <col min="14618" max="14848" width="9.140625" style="1"/>
    <col min="14849" max="14849" width="17.28515625" style="1" bestFit="1" customWidth="1"/>
    <col min="14850" max="14850" width="9" style="1" bestFit="1" customWidth="1"/>
    <col min="14851" max="14851" width="6" style="1" bestFit="1" customWidth="1"/>
    <col min="14852" max="14852" width="9" style="1" bestFit="1" customWidth="1"/>
    <col min="14853" max="14853" width="6" style="1" bestFit="1" customWidth="1"/>
    <col min="14854" max="14854" width="15.140625" style="1" bestFit="1" customWidth="1"/>
    <col min="14855" max="14855" width="9" style="1" bestFit="1" customWidth="1"/>
    <col min="14856" max="14856" width="5" style="1" bestFit="1" customWidth="1"/>
    <col min="14857" max="14857" width="9" style="1" bestFit="1" customWidth="1"/>
    <col min="14858" max="14858" width="7" style="1" bestFit="1" customWidth="1"/>
    <col min="14859" max="14860" width="17.28515625" style="1" bestFit="1" customWidth="1"/>
    <col min="14861" max="14861" width="8" style="1" bestFit="1" customWidth="1"/>
    <col min="14862" max="14862" width="6.28515625" style="1" customWidth="1"/>
    <col min="14863" max="14863" width="6" style="1" bestFit="1" customWidth="1"/>
    <col min="14864" max="14864" width="3" style="1" customWidth="1"/>
    <col min="14865" max="14865" width="11" style="1" bestFit="1" customWidth="1"/>
    <col min="14866" max="14866" width="22.42578125" style="1" bestFit="1" customWidth="1"/>
    <col min="14867" max="14867" width="17.28515625" style="1" bestFit="1" customWidth="1"/>
    <col min="14868" max="14869" width="8" style="1" bestFit="1" customWidth="1"/>
    <col min="14870" max="14870" width="17.28515625" style="1" bestFit="1" customWidth="1"/>
    <col min="14871" max="14872" width="15.140625" style="1" bestFit="1" customWidth="1"/>
    <col min="14873" max="14873" width="8" style="1" bestFit="1" customWidth="1"/>
    <col min="14874" max="15104" width="9.140625" style="1"/>
    <col min="15105" max="15105" width="17.28515625" style="1" bestFit="1" customWidth="1"/>
    <col min="15106" max="15106" width="9" style="1" bestFit="1" customWidth="1"/>
    <col min="15107" max="15107" width="6" style="1" bestFit="1" customWidth="1"/>
    <col min="15108" max="15108" width="9" style="1" bestFit="1" customWidth="1"/>
    <col min="15109" max="15109" width="6" style="1" bestFit="1" customWidth="1"/>
    <col min="15110" max="15110" width="15.140625" style="1" bestFit="1" customWidth="1"/>
    <col min="15111" max="15111" width="9" style="1" bestFit="1" customWidth="1"/>
    <col min="15112" max="15112" width="5" style="1" bestFit="1" customWidth="1"/>
    <col min="15113" max="15113" width="9" style="1" bestFit="1" customWidth="1"/>
    <col min="15114" max="15114" width="7" style="1" bestFit="1" customWidth="1"/>
    <col min="15115" max="15116" width="17.28515625" style="1" bestFit="1" customWidth="1"/>
    <col min="15117" max="15117" width="8" style="1" bestFit="1" customWidth="1"/>
    <col min="15118" max="15118" width="6.28515625" style="1" customWidth="1"/>
    <col min="15119" max="15119" width="6" style="1" bestFit="1" customWidth="1"/>
    <col min="15120" max="15120" width="3" style="1" customWidth="1"/>
    <col min="15121" max="15121" width="11" style="1" bestFit="1" customWidth="1"/>
    <col min="15122" max="15122" width="22.42578125" style="1" bestFit="1" customWidth="1"/>
    <col min="15123" max="15123" width="17.28515625" style="1" bestFit="1" customWidth="1"/>
    <col min="15124" max="15125" width="8" style="1" bestFit="1" customWidth="1"/>
    <col min="15126" max="15126" width="17.28515625" style="1" bestFit="1" customWidth="1"/>
    <col min="15127" max="15128" width="15.140625" style="1" bestFit="1" customWidth="1"/>
    <col min="15129" max="15129" width="8" style="1" bestFit="1" customWidth="1"/>
    <col min="15130" max="15360" width="9.140625" style="1"/>
    <col min="15361" max="15361" width="17.28515625" style="1" bestFit="1" customWidth="1"/>
    <col min="15362" max="15362" width="9" style="1" bestFit="1" customWidth="1"/>
    <col min="15363" max="15363" width="6" style="1" bestFit="1" customWidth="1"/>
    <col min="15364" max="15364" width="9" style="1" bestFit="1" customWidth="1"/>
    <col min="15365" max="15365" width="6" style="1" bestFit="1" customWidth="1"/>
    <col min="15366" max="15366" width="15.140625" style="1" bestFit="1" customWidth="1"/>
    <col min="15367" max="15367" width="9" style="1" bestFit="1" customWidth="1"/>
    <col min="15368" max="15368" width="5" style="1" bestFit="1" customWidth="1"/>
    <col min="15369" max="15369" width="9" style="1" bestFit="1" customWidth="1"/>
    <col min="15370" max="15370" width="7" style="1" bestFit="1" customWidth="1"/>
    <col min="15371" max="15372" width="17.28515625" style="1" bestFit="1" customWidth="1"/>
    <col min="15373" max="15373" width="8" style="1" bestFit="1" customWidth="1"/>
    <col min="15374" max="15374" width="6.28515625" style="1" customWidth="1"/>
    <col min="15375" max="15375" width="6" style="1" bestFit="1" customWidth="1"/>
    <col min="15376" max="15376" width="3" style="1" customWidth="1"/>
    <col min="15377" max="15377" width="11" style="1" bestFit="1" customWidth="1"/>
    <col min="15378" max="15378" width="22.42578125" style="1" bestFit="1" customWidth="1"/>
    <col min="15379" max="15379" width="17.28515625" style="1" bestFit="1" customWidth="1"/>
    <col min="15380" max="15381" width="8" style="1" bestFit="1" customWidth="1"/>
    <col min="15382" max="15382" width="17.28515625" style="1" bestFit="1" customWidth="1"/>
    <col min="15383" max="15384" width="15.140625" style="1" bestFit="1" customWidth="1"/>
    <col min="15385" max="15385" width="8" style="1" bestFit="1" customWidth="1"/>
    <col min="15386" max="15616" width="9.140625" style="1"/>
    <col min="15617" max="15617" width="17.28515625" style="1" bestFit="1" customWidth="1"/>
    <col min="15618" max="15618" width="9" style="1" bestFit="1" customWidth="1"/>
    <col min="15619" max="15619" width="6" style="1" bestFit="1" customWidth="1"/>
    <col min="15620" max="15620" width="9" style="1" bestFit="1" customWidth="1"/>
    <col min="15621" max="15621" width="6" style="1" bestFit="1" customWidth="1"/>
    <col min="15622" max="15622" width="15.140625" style="1" bestFit="1" customWidth="1"/>
    <col min="15623" max="15623" width="9" style="1" bestFit="1" customWidth="1"/>
    <col min="15624" max="15624" width="5" style="1" bestFit="1" customWidth="1"/>
    <col min="15625" max="15625" width="9" style="1" bestFit="1" customWidth="1"/>
    <col min="15626" max="15626" width="7" style="1" bestFit="1" customWidth="1"/>
    <col min="15627" max="15628" width="17.28515625" style="1" bestFit="1" customWidth="1"/>
    <col min="15629" max="15629" width="8" style="1" bestFit="1" customWidth="1"/>
    <col min="15630" max="15630" width="6.28515625" style="1" customWidth="1"/>
    <col min="15631" max="15631" width="6" style="1" bestFit="1" customWidth="1"/>
    <col min="15632" max="15632" width="3" style="1" customWidth="1"/>
    <col min="15633" max="15633" width="11" style="1" bestFit="1" customWidth="1"/>
    <col min="15634" max="15634" width="22.42578125" style="1" bestFit="1" customWidth="1"/>
    <col min="15635" max="15635" width="17.28515625" style="1" bestFit="1" customWidth="1"/>
    <col min="15636" max="15637" width="8" style="1" bestFit="1" customWidth="1"/>
    <col min="15638" max="15638" width="17.28515625" style="1" bestFit="1" customWidth="1"/>
    <col min="15639" max="15640" width="15.140625" style="1" bestFit="1" customWidth="1"/>
    <col min="15641" max="15641" width="8" style="1" bestFit="1" customWidth="1"/>
    <col min="15642" max="15872" width="9.140625" style="1"/>
    <col min="15873" max="15873" width="17.28515625" style="1" bestFit="1" customWidth="1"/>
    <col min="15874" max="15874" width="9" style="1" bestFit="1" customWidth="1"/>
    <col min="15875" max="15875" width="6" style="1" bestFit="1" customWidth="1"/>
    <col min="15876" max="15876" width="9" style="1" bestFit="1" customWidth="1"/>
    <col min="15877" max="15877" width="6" style="1" bestFit="1" customWidth="1"/>
    <col min="15878" max="15878" width="15.140625" style="1" bestFit="1" customWidth="1"/>
    <col min="15879" max="15879" width="9" style="1" bestFit="1" customWidth="1"/>
    <col min="15880" max="15880" width="5" style="1" bestFit="1" customWidth="1"/>
    <col min="15881" max="15881" width="9" style="1" bestFit="1" customWidth="1"/>
    <col min="15882" max="15882" width="7" style="1" bestFit="1" customWidth="1"/>
    <col min="15883" max="15884" width="17.28515625" style="1" bestFit="1" customWidth="1"/>
    <col min="15885" max="15885" width="8" style="1" bestFit="1" customWidth="1"/>
    <col min="15886" max="15886" width="6.28515625" style="1" customWidth="1"/>
    <col min="15887" max="15887" width="6" style="1" bestFit="1" customWidth="1"/>
    <col min="15888" max="15888" width="3" style="1" customWidth="1"/>
    <col min="15889" max="15889" width="11" style="1" bestFit="1" customWidth="1"/>
    <col min="15890" max="15890" width="22.42578125" style="1" bestFit="1" customWidth="1"/>
    <col min="15891" max="15891" width="17.28515625" style="1" bestFit="1" customWidth="1"/>
    <col min="15892" max="15893" width="8" style="1" bestFit="1" customWidth="1"/>
    <col min="15894" max="15894" width="17.28515625" style="1" bestFit="1" customWidth="1"/>
    <col min="15895" max="15896" width="15.140625" style="1" bestFit="1" customWidth="1"/>
    <col min="15897" max="15897" width="8" style="1" bestFit="1" customWidth="1"/>
    <col min="15898" max="16128" width="9.140625" style="1"/>
    <col min="16129" max="16129" width="17.28515625" style="1" bestFit="1" customWidth="1"/>
    <col min="16130" max="16130" width="9" style="1" bestFit="1" customWidth="1"/>
    <col min="16131" max="16131" width="6" style="1" bestFit="1" customWidth="1"/>
    <col min="16132" max="16132" width="9" style="1" bestFit="1" customWidth="1"/>
    <col min="16133" max="16133" width="6" style="1" bestFit="1" customWidth="1"/>
    <col min="16134" max="16134" width="15.140625" style="1" bestFit="1" customWidth="1"/>
    <col min="16135" max="16135" width="9" style="1" bestFit="1" customWidth="1"/>
    <col min="16136" max="16136" width="5" style="1" bestFit="1" customWidth="1"/>
    <col min="16137" max="16137" width="9" style="1" bestFit="1" customWidth="1"/>
    <col min="16138" max="16138" width="7" style="1" bestFit="1" customWidth="1"/>
    <col min="16139" max="16140" width="17.28515625" style="1" bestFit="1" customWidth="1"/>
    <col min="16141" max="16141" width="8" style="1" bestFit="1" customWidth="1"/>
    <col min="16142" max="16142" width="6.28515625" style="1" customWidth="1"/>
    <col min="16143" max="16143" width="6" style="1" bestFit="1" customWidth="1"/>
    <col min="16144" max="16144" width="3" style="1" customWidth="1"/>
    <col min="16145" max="16145" width="11" style="1" bestFit="1" customWidth="1"/>
    <col min="16146" max="16146" width="22.42578125" style="1" bestFit="1" customWidth="1"/>
    <col min="16147" max="16147" width="17.28515625" style="1" bestFit="1" customWidth="1"/>
    <col min="16148" max="16149" width="8" style="1" bestFit="1" customWidth="1"/>
    <col min="16150" max="16150" width="17.28515625" style="1" bestFit="1" customWidth="1"/>
    <col min="16151" max="16152" width="15.140625" style="1" bestFit="1" customWidth="1"/>
    <col min="16153" max="16153" width="8" style="1" bestFit="1" customWidth="1"/>
    <col min="16154" max="16384" width="9.140625" style="1"/>
  </cols>
  <sheetData>
    <row r="1" spans="1:27" s="219" customFormat="1" ht="12" thickBot="1" x14ac:dyDescent="0.25"/>
    <row r="2" spans="1:27" ht="12" thickBot="1" x14ac:dyDescent="0.25">
      <c r="A2" s="220" t="s">
        <v>159</v>
      </c>
    </row>
    <row r="3" spans="1:27" ht="12" thickBot="1" x14ac:dyDescent="0.25">
      <c r="A3" s="222"/>
    </row>
    <row r="4" spans="1:27" ht="15.75" thickBot="1" x14ac:dyDescent="0.3">
      <c r="B4"/>
      <c r="C4"/>
      <c r="D4"/>
      <c r="E4"/>
      <c r="F4"/>
      <c r="G4"/>
      <c r="H4"/>
      <c r="I4"/>
      <c r="J4"/>
      <c r="K4"/>
      <c r="M4"/>
      <c r="N4"/>
      <c r="P4"/>
      <c r="Q4"/>
      <c r="R4"/>
      <c r="S4"/>
      <c r="T4"/>
      <c r="U4"/>
      <c r="V4"/>
      <c r="W4"/>
      <c r="X4"/>
      <c r="Y4"/>
      <c r="Z4"/>
      <c r="AA4"/>
    </row>
    <row r="5" spans="1:27" ht="12" hidden="1" outlineLevel="1" thickBot="1" x14ac:dyDescent="0.25">
      <c r="A5" s="226"/>
      <c r="B5" s="223" t="s">
        <v>180</v>
      </c>
      <c r="C5" s="225"/>
      <c r="D5" s="223"/>
      <c r="E5" s="224"/>
      <c r="F5" s="227"/>
      <c r="G5" s="226" t="s">
        <v>179</v>
      </c>
      <c r="H5" s="272"/>
      <c r="I5" s="227"/>
    </row>
    <row r="6" spans="1:27" hidden="1" outlineLevel="1" x14ac:dyDescent="0.2">
      <c r="A6" s="228"/>
      <c r="B6" s="275" t="s">
        <v>160</v>
      </c>
      <c r="C6" s="276" t="s">
        <v>161</v>
      </c>
      <c r="D6" s="276" t="s">
        <v>103</v>
      </c>
      <c r="E6" s="276" t="s">
        <v>162</v>
      </c>
      <c r="F6" s="277" t="s">
        <v>178</v>
      </c>
      <c r="G6" s="275" t="s">
        <v>161</v>
      </c>
      <c r="H6" s="276" t="s">
        <v>162</v>
      </c>
      <c r="I6" s="277" t="s">
        <v>161</v>
      </c>
    </row>
    <row r="7" spans="1:27" hidden="1" outlineLevel="1" x14ac:dyDescent="0.2">
      <c r="A7" s="281" t="s">
        <v>163</v>
      </c>
      <c r="B7" s="282" t="str">
        <f>_xll.qlPeriodEquivalent(D7&amp;"M")</f>
        <v>1Y</v>
      </c>
      <c r="C7" s="283">
        <f>_xll.qlDateEndOfMonth(EDATE(_xll.qlIMMNextDate(_xll.qlSettingsEvaluationDate(Trigger)-1,TRUE),-3))</f>
        <v>41729</v>
      </c>
      <c r="D7" s="229">
        <v>12</v>
      </c>
      <c r="E7" s="283">
        <f t="shared" ref="E7:E14" si="0">EDATE(C$8,$D7)</f>
        <v>42094</v>
      </c>
      <c r="F7" s="230">
        <v>1</v>
      </c>
      <c r="G7" s="231">
        <v>0</v>
      </c>
      <c r="H7" s="232">
        <v>4.4999999999999997E-3</v>
      </c>
      <c r="I7" s="233">
        <v>5.0000000000000001E-4</v>
      </c>
      <c r="AA7" s="234"/>
    </row>
    <row r="8" spans="1:27" hidden="1" outlineLevel="1" x14ac:dyDescent="0.2">
      <c r="A8" s="281"/>
      <c r="B8" s="282" t="str">
        <f>_xll.qlPeriodEquivalent(D8&amp;"M")</f>
        <v>2Y</v>
      </c>
      <c r="C8" s="283">
        <f>C7</f>
        <v>41729</v>
      </c>
      <c r="D8" s="229">
        <v>24</v>
      </c>
      <c r="E8" s="283">
        <f t="shared" si="0"/>
        <v>42460</v>
      </c>
      <c r="F8" s="230">
        <v>3</v>
      </c>
      <c r="G8" s="231">
        <v>0</v>
      </c>
      <c r="H8" s="232">
        <v>4.4999999999999997E-3</v>
      </c>
      <c r="I8" s="233">
        <v>5.0000000000000001E-4</v>
      </c>
      <c r="Y8" s="235"/>
    </row>
    <row r="9" spans="1:27" hidden="1" outlineLevel="1" x14ac:dyDescent="0.2">
      <c r="A9" s="281"/>
      <c r="B9" s="282" t="str">
        <f>_xll.qlPeriodEquivalent(D9&amp;"M")</f>
        <v>5Y</v>
      </c>
      <c r="C9" s="283">
        <f t="shared" ref="C9:C14" si="1">C8</f>
        <v>41729</v>
      </c>
      <c r="D9" s="229">
        <v>60</v>
      </c>
      <c r="E9" s="283">
        <f t="shared" si="0"/>
        <v>43555</v>
      </c>
      <c r="F9" s="230">
        <v>3</v>
      </c>
      <c r="G9" s="231">
        <v>0</v>
      </c>
      <c r="H9" s="232">
        <v>0.02</v>
      </c>
      <c r="I9" s="233">
        <v>5.0000000000000001E-3</v>
      </c>
      <c r="Y9" s="235"/>
    </row>
    <row r="10" spans="1:27" hidden="1" outlineLevel="1" x14ac:dyDescent="0.2">
      <c r="A10" s="281"/>
      <c r="B10" s="282" t="str">
        <f>_xll.qlPeriodEquivalent(D10&amp;"M")</f>
        <v>10Y</v>
      </c>
      <c r="C10" s="283">
        <f t="shared" si="1"/>
        <v>41729</v>
      </c>
      <c r="D10" s="229">
        <v>120</v>
      </c>
      <c r="E10" s="283">
        <f t="shared" si="0"/>
        <v>45382</v>
      </c>
      <c r="F10" s="230">
        <v>6</v>
      </c>
      <c r="G10" s="231">
        <v>0</v>
      </c>
      <c r="H10" s="232">
        <v>3.5000000000000003E-2</v>
      </c>
      <c r="I10" s="233">
        <v>5.0000000000000001E-3</v>
      </c>
    </row>
    <row r="11" spans="1:27" hidden="1" outlineLevel="1" x14ac:dyDescent="0.2">
      <c r="A11" s="281"/>
      <c r="B11" s="282" t="str">
        <f>_xll.qlPeriodEquivalent(D11&amp;"M")</f>
        <v>20Y</v>
      </c>
      <c r="C11" s="283">
        <f t="shared" si="1"/>
        <v>41729</v>
      </c>
      <c r="D11" s="229">
        <v>240</v>
      </c>
      <c r="E11" s="283">
        <f t="shared" si="0"/>
        <v>49034</v>
      </c>
      <c r="F11" s="230">
        <v>24</v>
      </c>
      <c r="G11" s="231">
        <v>0</v>
      </c>
      <c r="H11" s="232">
        <v>3.5000000000000003E-2</v>
      </c>
      <c r="I11" s="233">
        <v>5.0000000000000001E-3</v>
      </c>
    </row>
    <row r="12" spans="1:27" hidden="1" outlineLevel="1" x14ac:dyDescent="0.2">
      <c r="A12" s="281"/>
      <c r="B12" s="282" t="str">
        <f>_xll.qlPeriodEquivalent(D12&amp;"M")</f>
        <v>30Y</v>
      </c>
      <c r="C12" s="283">
        <f t="shared" si="1"/>
        <v>41729</v>
      </c>
      <c r="D12" s="229">
        <v>360</v>
      </c>
      <c r="E12" s="283">
        <f t="shared" si="0"/>
        <v>52687</v>
      </c>
      <c r="F12" s="230">
        <v>36</v>
      </c>
      <c r="G12" s="231">
        <v>0</v>
      </c>
      <c r="H12" s="232">
        <v>3.5000000000000003E-2</v>
      </c>
      <c r="I12" s="233">
        <v>5.0000000000000001E-3</v>
      </c>
    </row>
    <row r="13" spans="1:27" ht="12" hidden="1" outlineLevel="1" thickBot="1" x14ac:dyDescent="0.25">
      <c r="A13" s="281"/>
      <c r="B13" s="282" t="str">
        <f>_xll.qlPeriodEquivalent(D13&amp;"M")</f>
        <v>60Y</v>
      </c>
      <c r="C13" s="283">
        <f t="shared" si="1"/>
        <v>41729</v>
      </c>
      <c r="D13" s="229">
        <f>60*12</f>
        <v>720</v>
      </c>
      <c r="E13" s="283">
        <f t="shared" si="0"/>
        <v>63644</v>
      </c>
      <c r="F13" s="230">
        <v>36</v>
      </c>
      <c r="G13" s="231">
        <v>0</v>
      </c>
      <c r="H13" s="232">
        <v>3.5000000000000003E-2</v>
      </c>
      <c r="I13" s="233">
        <v>5.0000000000000001E-3</v>
      </c>
      <c r="W13" s="236" t="s">
        <v>165</v>
      </c>
      <c r="X13" s="236" t="s">
        <v>166</v>
      </c>
    </row>
    <row r="14" spans="1:27" ht="12" hidden="1" outlineLevel="1" thickBot="1" x14ac:dyDescent="0.25">
      <c r="A14" s="284" t="s">
        <v>164</v>
      </c>
      <c r="B14" s="285" t="str">
        <f>_xll.qlPeriodEquivalent(D14&amp;"M")</f>
        <v>2Y</v>
      </c>
      <c r="C14" s="286">
        <f t="shared" si="1"/>
        <v>41729</v>
      </c>
      <c r="D14" s="278">
        <v>24</v>
      </c>
      <c r="E14" s="286">
        <f t="shared" si="0"/>
        <v>42460</v>
      </c>
      <c r="F14" s="279">
        <v>3</v>
      </c>
      <c r="G14" s="280">
        <v>0</v>
      </c>
      <c r="H14" s="273">
        <v>8.0000000000000002E-3</v>
      </c>
      <c r="I14" s="274">
        <v>1E-3</v>
      </c>
      <c r="W14" s="240" t="str">
        <f>_xll.qlEuribor(,IndexTenor,YieldCurve)</f>
        <v>obj_00635#0001</v>
      </c>
      <c r="X14" s="240" t="str">
        <f>_xll.qlEonia(,YieldCurve)</f>
        <v>obj_00636#0001</v>
      </c>
    </row>
    <row r="15" spans="1:27" ht="12" collapsed="1" thickBot="1" x14ac:dyDescent="0.25">
      <c r="K15" s="237" t="s">
        <v>167</v>
      </c>
      <c r="L15" s="238" t="s">
        <v>168</v>
      </c>
      <c r="M15" s="291" t="s">
        <v>73</v>
      </c>
      <c r="N15" s="238" t="s">
        <v>169</v>
      </c>
      <c r="O15" s="238" t="s">
        <v>171</v>
      </c>
      <c r="P15" s="238" t="s">
        <v>184</v>
      </c>
      <c r="Q15" s="254" t="s">
        <v>175</v>
      </c>
      <c r="R15" s="236" t="s">
        <v>176</v>
      </c>
      <c r="S15" s="219"/>
      <c r="T15" s="241" t="s">
        <v>170</v>
      </c>
      <c r="U15" s="242" t="s">
        <v>171</v>
      </c>
      <c r="V15" s="242" t="s">
        <v>168</v>
      </c>
      <c r="W15" s="243" t="s">
        <v>183</v>
      </c>
      <c r="X15" s="244" t="s">
        <v>164</v>
      </c>
    </row>
    <row r="16" spans="1:27" x14ac:dyDescent="0.2">
      <c r="K16" s="247" t="str">
        <f t="array" ref="K16:K33">_xll.ohFilter(RateHelpers!E11:E28,RateHelpers!O11:O28)</f>
        <v>EUR_YC3MRH_1x4F</v>
      </c>
      <c r="L16" s="245">
        <f>_xll.qlRateHelperEarliestDate(K16)</f>
        <v>41822</v>
      </c>
      <c r="M16" s="262">
        <f>_xll.qlRateHelperQuoteValue(K16,"ohTrigger(Trigger,RecalcTrigger))")</f>
        <v>2.47E-3</v>
      </c>
      <c r="N16" s="257" t="e">
        <f>NA()</f>
        <v>#N/A</v>
      </c>
      <c r="O16" s="245">
        <f>_xll.qlInterestRateIndexFixingDate(IborIndex,L16)</f>
        <v>41820</v>
      </c>
      <c r="P16" s="262">
        <f>_xll.qlIndexFixing(IborIndex,O16,TRUE,RecalcTrigger)</f>
        <v>2.3131485377163009E-3</v>
      </c>
      <c r="Q16" s="292">
        <f>P16-M16</f>
        <v>-1.5685146228369912E-4</v>
      </c>
      <c r="R16" s="263">
        <f t="array" ref="R16">MAX(ABS(Q16:Q21))</f>
        <v>3.2362583542394564E-4</v>
      </c>
      <c r="S16" s="239"/>
      <c r="T16" s="247" t="s">
        <v>125</v>
      </c>
      <c r="U16" s="248">
        <f>_xll.qlSettingsEvaluationDate(Trigger)</f>
        <v>41788</v>
      </c>
      <c r="V16" s="248">
        <f>_xll.qlCalendarAdvance(Calendar,U16,NDays&amp;"D")</f>
        <v>41792</v>
      </c>
      <c r="W16" s="249">
        <f t="array" ref="W16:W3549">_xll.qlIndexFixing(IborIndex,U16:U3549,TRUE,RecalcTrigger)</f>
        <v>3.0513661533113443E-3</v>
      </c>
      <c r="X16" s="246">
        <f t="array" ref="X16:X3549">_xll.qlIndexFixing(OverNightIndex,V16:V3549,TRUE,RecalcTrigger)</f>
        <v>5.3391592005169741E-3</v>
      </c>
    </row>
    <row r="17" spans="11:24" x14ac:dyDescent="0.2">
      <c r="K17" s="247" t="str">
        <v>EUR_YC3MRH_2x5F</v>
      </c>
      <c r="L17" s="245">
        <f>_xll.qlRateHelperEarliestDate(K17)</f>
        <v>41855</v>
      </c>
      <c r="M17" s="262">
        <f>_xll.qlRateHelperQuoteValue(K17,"ohTrigger(Trigger,RecalcTrigger))")</f>
        <v>2.2500000000000003E-3</v>
      </c>
      <c r="N17" s="257" t="e">
        <f>NA()</f>
        <v>#N/A</v>
      </c>
      <c r="O17" s="245">
        <f>_xll.qlInterestRateIndexFixingDate(IborIndex,L17)</f>
        <v>41851</v>
      </c>
      <c r="P17" s="262">
        <f>_xll.qlIndexFixing(IborIndex,O17,TRUE,RecalcTrigger)</f>
        <v>1.9263741645760546E-3</v>
      </c>
      <c r="Q17" s="292">
        <f>P17-M17</f>
        <v>-3.2362583542394564E-4</v>
      </c>
      <c r="T17" s="247" t="str">
        <f>T16</f>
        <v>1D</v>
      </c>
      <c r="U17" s="245">
        <f>_xll.qlCalendarAdvance(Calendar,U16,T17,"f",FALSE)</f>
        <v>41789</v>
      </c>
      <c r="V17" s="248">
        <f>_xll.qlCalendarAdvance(Calendar,U17,NDays&amp;"D")</f>
        <v>41793</v>
      </c>
      <c r="W17" s="249">
        <v>3.0119849184642843E-3</v>
      </c>
      <c r="X17" s="246">
        <v>5.3245565299242514E-3</v>
      </c>
    </row>
    <row r="18" spans="11:24" x14ac:dyDescent="0.2">
      <c r="K18" s="247" t="str">
        <v>EUR_YC3MRH_3x6F</v>
      </c>
      <c r="L18" s="245">
        <f>_xll.qlRateHelperEarliestDate(K18)</f>
        <v>41884</v>
      </c>
      <c r="M18" s="262">
        <f>_xll.qlRateHelperQuoteValue(K18,"ohTrigger(Trigger,RecalcTrigger))")</f>
        <v>2.0700000000000002E-3</v>
      </c>
      <c r="N18" s="257" t="e">
        <f>NA()</f>
        <v>#N/A</v>
      </c>
      <c r="O18" s="245">
        <f>_xll.qlInterestRateIndexFixingDate(IborIndex,L18)</f>
        <v>41880</v>
      </c>
      <c r="P18" s="262">
        <f>_xll.qlIndexFixing(IborIndex,O18,TRUE,RecalcTrigger)</f>
        <v>1.9224319703310692E-3</v>
      </c>
      <c r="Q18" s="292">
        <f t="shared" ref="Q18:Q33" si="2">P18-M18</f>
        <v>-1.4756802966893099E-4</v>
      </c>
      <c r="T18" s="247" t="str">
        <f t="shared" ref="T18:T81" si="3">T17</f>
        <v>1D</v>
      </c>
      <c r="U18" s="245">
        <f>_xll.qlCalendarAdvance(Calendar,U17,T18,"f",FALSE)</f>
        <v>41792</v>
      </c>
      <c r="V18" s="248">
        <f>_xll.qlCalendarAdvance(Calendar,U18,NDays&amp;"D")</f>
        <v>41794</v>
      </c>
      <c r="W18" s="249">
        <v>2.9726641679929935E-3</v>
      </c>
      <c r="X18" s="246">
        <v>5.2953511904973993E-3</v>
      </c>
    </row>
    <row r="19" spans="11:24" x14ac:dyDescent="0.2">
      <c r="K19" s="247" t="str">
        <v>EUR_YC3MRH_4x7F</v>
      </c>
      <c r="L19" s="245">
        <f>_xll.qlRateHelperEarliestDate(K19)</f>
        <v>41914</v>
      </c>
      <c r="M19" s="262">
        <f>_xll.qlRateHelperQuoteValue(K19,"ohTrigger(Trigger,RecalcTrigger))")</f>
        <v>1.92E-3</v>
      </c>
      <c r="N19" s="257" t="e">
        <f>NA()</f>
        <v>#N/A</v>
      </c>
      <c r="O19" s="245">
        <f>_xll.qlInterestRateIndexFixingDate(IborIndex,L19)</f>
        <v>41912</v>
      </c>
      <c r="P19" s="262">
        <f>_xll.qlIndexFixing(IborIndex,O19,TRUE,RecalcTrigger)</f>
        <v>1.998601304097492E-3</v>
      </c>
      <c r="Q19" s="292">
        <f t="shared" si="2"/>
        <v>7.8601304097491954E-5</v>
      </c>
      <c r="T19" s="247" t="str">
        <f t="shared" si="3"/>
        <v>1D</v>
      </c>
      <c r="U19" s="245">
        <f>_xll.qlCalendarAdvance(Calendar,U18,T19,"f",FALSE)</f>
        <v>41793</v>
      </c>
      <c r="V19" s="248">
        <f>_xll.qlCalendarAdvance(Calendar,U19,NDays&amp;"D")</f>
        <v>41795</v>
      </c>
      <c r="W19" s="249">
        <v>2.9335772858116536E-3</v>
      </c>
      <c r="X19" s="246">
        <v>5.2515431858335404E-3</v>
      </c>
    </row>
    <row r="20" spans="11:24" x14ac:dyDescent="0.2">
      <c r="K20" s="247" t="str">
        <v>EUR_YC3MRH_5x8F</v>
      </c>
      <c r="L20" s="245">
        <f>_xll.qlRateHelperEarliestDate(K20)</f>
        <v>41946</v>
      </c>
      <c r="M20" s="262">
        <f>_xll.qlRateHelperQuoteValue(K20,"ohTrigger(Trigger,RecalcTrigger))")</f>
        <v>1.9300000000000001E-3</v>
      </c>
      <c r="N20" s="257" t="e">
        <f>NA()</f>
        <v>#N/A</v>
      </c>
      <c r="O20" s="245">
        <f>_xll.qlInterestRateIndexFixingDate(IborIndex,L20)</f>
        <v>41942</v>
      </c>
      <c r="P20" s="262">
        <f>_xll.qlIndexFixing(IborIndex,O20,TRUE,RecalcTrigger)</f>
        <v>1.9555342360717642E-3</v>
      </c>
      <c r="Q20" s="292">
        <f t="shared" si="2"/>
        <v>2.553423607176415E-5</v>
      </c>
      <c r="T20" s="247" t="str">
        <f t="shared" si="3"/>
        <v>1D</v>
      </c>
      <c r="U20" s="245">
        <f>_xll.qlCalendarAdvance(Calendar,U19,T20,"f",FALSE)</f>
        <v>41794</v>
      </c>
      <c r="V20" s="248">
        <f>_xll.qlCalendarAdvance(Calendar,U20,NDays&amp;"D")</f>
        <v>41796</v>
      </c>
      <c r="W20" s="249">
        <v>2.8692604946378708E-3</v>
      </c>
      <c r="X20" s="246">
        <v>5.1153243329427056E-3</v>
      </c>
    </row>
    <row r="21" spans="11:24" x14ac:dyDescent="0.2">
      <c r="K21" s="247" t="str">
        <v>EUR_YC3MRH_6x9F</v>
      </c>
      <c r="L21" s="245">
        <f>_xll.qlRateHelperEarliestDate(K21)</f>
        <v>41975</v>
      </c>
      <c r="M21" s="262">
        <f>_xll.qlRateHelperQuoteValue(K21,"ohTrigger(Trigger,RecalcTrigger))")</f>
        <v>1.8599999999999999E-3</v>
      </c>
      <c r="N21" s="257" t="e">
        <f>NA()</f>
        <v>#N/A</v>
      </c>
      <c r="O21" s="245">
        <f>_xll.qlInterestRateIndexFixingDate(IborIndex,L21)</f>
        <v>41971</v>
      </c>
      <c r="P21" s="262">
        <f>_xll.qlIndexFixing(IborIndex,O21,TRUE,RecalcTrigger)</f>
        <v>1.868677236139149E-3</v>
      </c>
      <c r="Q21" s="292">
        <f t="shared" si="2"/>
        <v>8.6772361391491536E-6</v>
      </c>
      <c r="T21" s="247" t="str">
        <f t="shared" si="3"/>
        <v>1D</v>
      </c>
      <c r="U21" s="245">
        <f>_xll.qlCalendarAdvance(Calendar,U20,T21,"f",FALSE)</f>
        <v>41795</v>
      </c>
      <c r="V21" s="248">
        <f>_xll.qlCalendarAdvance(Calendar,U21,NDays&amp;"D")</f>
        <v>41799</v>
      </c>
      <c r="W21" s="249">
        <v>2.7830358805013907E-3</v>
      </c>
      <c r="X21" s="246">
        <v>4.9302846477417006E-3</v>
      </c>
    </row>
    <row r="22" spans="11:24" x14ac:dyDescent="0.2">
      <c r="K22" s="247" t="e">
        <v>#N/A</v>
      </c>
      <c r="L22" s="245" t="e">
        <f>_xll.qlRateHelperEarliestDate(K22)</f>
        <v>#VALUE!</v>
      </c>
      <c r="M22" s="262" t="e">
        <f>_xll.qlRateHelperQuoteValue(K22,"ohTrigger(Trigger,RecalcTrigger))")</f>
        <v>#VALUE!</v>
      </c>
      <c r="N22" s="257" t="e">
        <f>NA()</f>
        <v>#N/A</v>
      </c>
      <c r="O22" s="245" t="e">
        <f>_xll.qlInterestRateIndexFixingDate(IborIndex,L22)</f>
        <v>#NUM!</v>
      </c>
      <c r="P22" s="262" t="e">
        <f>_xll.qlIndexFixing(IborIndex,O22,TRUE,RecalcTrigger)</f>
        <v>#NUM!</v>
      </c>
      <c r="Q22" s="292" t="e">
        <f t="shared" si="2"/>
        <v>#NUM!</v>
      </c>
      <c r="T22" s="247" t="str">
        <f t="shared" si="3"/>
        <v>1D</v>
      </c>
      <c r="U22" s="245">
        <f>_xll.qlCalendarAdvance(Calendar,U21,T22,"f",FALSE)</f>
        <v>41796</v>
      </c>
      <c r="V22" s="248">
        <f>_xll.qlCalendarAdvance(Calendar,U22,NDays&amp;"D")</f>
        <v>41800</v>
      </c>
      <c r="W22" s="249">
        <v>2.747718863777246E-3</v>
      </c>
      <c r="X22" s="246">
        <v>4.813463432320475E-3</v>
      </c>
    </row>
    <row r="23" spans="11:24" x14ac:dyDescent="0.2">
      <c r="K23" s="247" t="e">
        <v>#N/A</v>
      </c>
      <c r="L23" s="245" t="e">
        <f>_xll.qlRateHelperEarliestDate(K23)</f>
        <v>#VALUE!</v>
      </c>
      <c r="M23" s="262" t="e">
        <f>_xll.qlRateHelperQuoteValue(K23,"ohTrigger(Trigger,RecalcTrigger))")</f>
        <v>#VALUE!</v>
      </c>
      <c r="N23" s="257" t="e">
        <f>NA()</f>
        <v>#N/A</v>
      </c>
      <c r="O23" s="245" t="e">
        <f>_xll.qlInterestRateIndexFixingDate(IborIndex,L23)</f>
        <v>#NUM!</v>
      </c>
      <c r="P23" s="262" t="e">
        <f>_xll.qlIndexFixing(IborIndex,O23,TRUE,RecalcTrigger)</f>
        <v>#NUM!</v>
      </c>
      <c r="Q23" s="292" t="e">
        <f t="shared" si="2"/>
        <v>#NUM!</v>
      </c>
      <c r="T23" s="247" t="str">
        <f t="shared" si="3"/>
        <v>1D</v>
      </c>
      <c r="U23" s="245">
        <f>_xll.qlCalendarAdvance(Calendar,U22,T23,"f",FALSE)</f>
        <v>41799</v>
      </c>
      <c r="V23" s="248">
        <f>_xll.qlCalendarAdvance(Calendar,U23,NDays&amp;"D")</f>
        <v>41801</v>
      </c>
      <c r="W23" s="249">
        <v>2.7136758817126114E-3</v>
      </c>
      <c r="X23" s="246">
        <v>4.6820396100955008E-3</v>
      </c>
    </row>
    <row r="24" spans="11:24" x14ac:dyDescent="0.2">
      <c r="K24" s="247" t="e">
        <v>#N/A</v>
      </c>
      <c r="L24" s="245" t="e">
        <f>_xll.qlRateHelperEarliestDate(K24)</f>
        <v>#VALUE!</v>
      </c>
      <c r="M24" s="262" t="e">
        <f>_xll.qlRateHelperQuoteValue(K24,"ohTrigger(Trigger,RecalcTrigger))")</f>
        <v>#VALUE!</v>
      </c>
      <c r="N24" s="257" t="e">
        <f>NA()</f>
        <v>#N/A</v>
      </c>
      <c r="O24" s="245" t="e">
        <f>_xll.qlInterestRateIndexFixingDate(IborIndex,L24)</f>
        <v>#NUM!</v>
      </c>
      <c r="P24" s="262" t="e">
        <f>_xll.qlIndexFixing(IborIndex,O24,TRUE,RecalcTrigger)</f>
        <v>#NUM!</v>
      </c>
      <c r="Q24" s="292" t="e">
        <f t="shared" si="2"/>
        <v>#NUM!</v>
      </c>
      <c r="T24" s="247" t="str">
        <f t="shared" si="3"/>
        <v>1D</v>
      </c>
      <c r="U24" s="245">
        <f>_xll.qlCalendarAdvance(Calendar,U23,T24,"f",FALSE)</f>
        <v>41800</v>
      </c>
      <c r="V24" s="248">
        <f>_xll.qlCalendarAdvance(Calendar,U24,NDays&amp;"D")</f>
        <v>41802</v>
      </c>
      <c r="W24" s="249">
        <v>2.6810802756322585E-3</v>
      </c>
      <c r="X24" s="246">
        <v>4.5360131973737339E-3</v>
      </c>
    </row>
    <row r="25" spans="11:24" x14ac:dyDescent="0.2">
      <c r="K25" s="247" t="e">
        <v>#N/A</v>
      </c>
      <c r="L25" s="245" t="e">
        <f>_xll.qlRateHelperEarliestDate(K25)</f>
        <v>#VALUE!</v>
      </c>
      <c r="M25" s="262" t="e">
        <f>_xll.qlRateHelperQuoteValue(K25,"ohTrigger(Trigger,RecalcTrigger))")</f>
        <v>#VALUE!</v>
      </c>
      <c r="N25" s="257" t="e">
        <f>NA()</f>
        <v>#N/A</v>
      </c>
      <c r="O25" s="245" t="e">
        <f>_xll.qlInterestRateIndexFixingDate(IborIndex,L25)</f>
        <v>#NUM!</v>
      </c>
      <c r="P25" s="262" t="e">
        <f>_xll.qlIndexFixing(IborIndex,O25,TRUE,RecalcTrigger)</f>
        <v>#NUM!</v>
      </c>
      <c r="Q25" s="292" t="e">
        <f t="shared" si="2"/>
        <v>#NUM!</v>
      </c>
      <c r="T25" s="247" t="str">
        <f t="shared" si="3"/>
        <v>1D</v>
      </c>
      <c r="U25" s="245">
        <f>_xll.qlCalendarAdvance(Calendar,U24,T25,"f",FALSE)</f>
        <v>41801</v>
      </c>
      <c r="V25" s="248">
        <f>_xll.qlCalendarAdvance(Calendar,U25,NDays&amp;"D")</f>
        <v>41803</v>
      </c>
      <c r="W25" s="249">
        <v>2.6298158538123066E-3</v>
      </c>
      <c r="X25" s="246">
        <v>4.1953340215439283E-3</v>
      </c>
    </row>
    <row r="26" spans="11:24" x14ac:dyDescent="0.2">
      <c r="K26" s="247" t="e">
        <v>#N/A</v>
      </c>
      <c r="L26" s="245" t="e">
        <f>_xll.qlRateHelperEarliestDate(K26)</f>
        <v>#VALUE!</v>
      </c>
      <c r="M26" s="262" t="e">
        <f>_xll.qlRateHelperQuoteValue(K26,"ohTrigger(Trigger,RecalcTrigger))")</f>
        <v>#VALUE!</v>
      </c>
      <c r="N26" s="257" t="e">
        <f>NA()</f>
        <v>#N/A</v>
      </c>
      <c r="O26" s="245" t="e">
        <f>_xll.qlInterestRateIndexFixingDate(IborIndex,L26)</f>
        <v>#NUM!</v>
      </c>
      <c r="P26" s="262" t="e">
        <f>_xll.qlIndexFixing(IborIndex,O26,TRUE,RecalcTrigger)</f>
        <v>#NUM!</v>
      </c>
      <c r="Q26" s="292" t="e">
        <f t="shared" si="2"/>
        <v>#NUM!</v>
      </c>
      <c r="T26" s="247" t="str">
        <f t="shared" si="3"/>
        <v>1D</v>
      </c>
      <c r="U26" s="245">
        <f>_xll.qlCalendarAdvance(Calendar,U25,T26,"f",FALSE)</f>
        <v>41802</v>
      </c>
      <c r="V26" s="248">
        <f>_xll.qlCalendarAdvance(Calendar,U26,NDays&amp;"D")</f>
        <v>41806</v>
      </c>
      <c r="W26" s="249">
        <v>2.5686383023616815E-3</v>
      </c>
      <c r="X26" s="246">
        <v>3.8128719016494728E-3</v>
      </c>
    </row>
    <row r="27" spans="11:24" x14ac:dyDescent="0.2">
      <c r="K27" s="247" t="e">
        <v>#N/A</v>
      </c>
      <c r="L27" s="245" t="e">
        <f>_xll.qlRateHelperEarliestDate(K27)</f>
        <v>#VALUE!</v>
      </c>
      <c r="M27" s="262" t="e">
        <f>_xll.qlRateHelperQuoteValue(K27,"ohTrigger(Trigger,RecalcTrigger))")</f>
        <v>#VALUE!</v>
      </c>
      <c r="N27" s="257" t="e">
        <f>NA()</f>
        <v>#N/A</v>
      </c>
      <c r="O27" s="245" t="e">
        <f>_xll.qlInterestRateIndexFixingDate(IborIndex,L27)</f>
        <v>#NUM!</v>
      </c>
      <c r="P27" s="262" t="e">
        <f>_xll.qlIndexFixing(IborIndex,O27,TRUE,RecalcTrigger)</f>
        <v>#NUM!</v>
      </c>
      <c r="Q27" s="292" t="e">
        <f t="shared" si="2"/>
        <v>#NUM!</v>
      </c>
      <c r="T27" s="247" t="str">
        <f t="shared" si="3"/>
        <v>1D</v>
      </c>
      <c r="U27" s="245">
        <f>_xll.qlCalendarAdvance(Calendar,U26,T27,"f",FALSE)</f>
        <v>41803</v>
      </c>
      <c r="V27" s="248">
        <f>_xll.qlCalendarAdvance(Calendar,U27,NDays&amp;"D")</f>
        <v>41807</v>
      </c>
      <c r="W27" s="249">
        <v>2.5458035457873781E-3</v>
      </c>
      <c r="X27" s="246">
        <v>3.6357720886748268E-3</v>
      </c>
    </row>
    <row r="28" spans="11:24" x14ac:dyDescent="0.2">
      <c r="K28" s="247" t="e">
        <v>#N/A</v>
      </c>
      <c r="L28" s="245" t="e">
        <f>_xll.qlRateHelperEarliestDate(K28)</f>
        <v>#VALUE!</v>
      </c>
      <c r="M28" s="262" t="e">
        <f>_xll.qlRateHelperQuoteValue(K28,"ohTrigger(Trigger,RecalcTrigger))")</f>
        <v>#VALUE!</v>
      </c>
      <c r="N28" s="257" t="e">
        <f>NA()</f>
        <v>#N/A</v>
      </c>
      <c r="O28" s="245" t="e">
        <f>_xll.qlInterestRateIndexFixingDate(IborIndex,L28)</f>
        <v>#NUM!</v>
      </c>
      <c r="P28" s="262" t="e">
        <f>_xll.qlIndexFixing(IborIndex,O28,TRUE,RecalcTrigger)</f>
        <v>#NUM!</v>
      </c>
      <c r="Q28" s="292" t="e">
        <f t="shared" si="2"/>
        <v>#NUM!</v>
      </c>
      <c r="T28" s="247" t="str">
        <f t="shared" si="3"/>
        <v>1D</v>
      </c>
      <c r="U28" s="245">
        <f>_xll.qlCalendarAdvance(Calendar,U27,T28,"f",FALSE)</f>
        <v>41806</v>
      </c>
      <c r="V28" s="248">
        <f>_xll.qlCalendarAdvance(Calendar,U28,NDays&amp;"D")</f>
        <v>41808</v>
      </c>
      <c r="W28" s="249">
        <v>2.5249999992645348E-3</v>
      </c>
      <c r="X28" s="246">
        <v>3.4860090059396498E-3</v>
      </c>
    </row>
    <row r="29" spans="11:24" x14ac:dyDescent="0.2">
      <c r="K29" s="247" t="e">
        <v>#N/A</v>
      </c>
      <c r="L29" s="245" t="e">
        <f>_xll.qlRateHelperEarliestDate(K29)</f>
        <v>#VALUE!</v>
      </c>
      <c r="M29" s="262" t="e">
        <f>_xll.qlRateHelperQuoteValue(K29,"ohTrigger(Trigger,RecalcTrigger))")</f>
        <v>#VALUE!</v>
      </c>
      <c r="N29" s="257" t="e">
        <f>NA()</f>
        <v>#N/A</v>
      </c>
      <c r="O29" s="245" t="e">
        <f>_xll.qlInterestRateIndexFixingDate(IborIndex,L29)</f>
        <v>#NUM!</v>
      </c>
      <c r="P29" s="262" t="e">
        <f>_xll.qlIndexFixing(IborIndex,O29,TRUE,RecalcTrigger)</f>
        <v>#NUM!</v>
      </c>
      <c r="Q29" s="292" t="e">
        <f t="shared" si="2"/>
        <v>#NUM!</v>
      </c>
      <c r="T29" s="247" t="str">
        <f t="shared" si="3"/>
        <v>1D</v>
      </c>
      <c r="U29" s="245">
        <f>_xll.qlCalendarAdvance(Calendar,U28,T29,"f",FALSE)</f>
        <v>41807</v>
      </c>
      <c r="V29" s="248">
        <f>_xll.qlCalendarAdvance(Calendar,U29,NDays&amp;"D")</f>
        <v>41809</v>
      </c>
      <c r="W29" s="249">
        <v>2.5059420955572073E-3</v>
      </c>
      <c r="X29" s="246">
        <v>3.3635826195510532E-3</v>
      </c>
    </row>
    <row r="30" spans="11:24" x14ac:dyDescent="0.2">
      <c r="K30" s="247" t="e">
        <v>#N/A</v>
      </c>
      <c r="L30" s="245" t="e">
        <f>_xll.qlRateHelperEarliestDate(K30)</f>
        <v>#VALUE!</v>
      </c>
      <c r="M30" s="262" t="e">
        <f>_xll.qlRateHelperQuoteValue(K30,"ohTrigger(Trigger,RecalcTrigger))")</f>
        <v>#VALUE!</v>
      </c>
      <c r="N30" s="257" t="e">
        <f>NA()</f>
        <v>#N/A</v>
      </c>
      <c r="O30" s="245" t="e">
        <f>_xll.qlInterestRateIndexFixingDate(IborIndex,L30)</f>
        <v>#NUM!</v>
      </c>
      <c r="P30" s="262" t="e">
        <f>_xll.qlIndexFixing(IborIndex,O30,TRUE,RecalcTrigger)</f>
        <v>#NUM!</v>
      </c>
      <c r="Q30" s="292" t="e">
        <f t="shared" si="2"/>
        <v>#NUM!</v>
      </c>
      <c r="T30" s="247" t="str">
        <f t="shared" si="3"/>
        <v>1D</v>
      </c>
      <c r="U30" s="245">
        <f>_xll.qlCalendarAdvance(Calendar,U29,T30,"f",FALSE)</f>
        <v>41808</v>
      </c>
      <c r="V30" s="248">
        <f>_xll.qlCalendarAdvance(Calendar,U30,NDays&amp;"D")</f>
        <v>41810</v>
      </c>
      <c r="W30" s="249">
        <v>2.4728697268844892E-3</v>
      </c>
      <c r="X30" s="246">
        <v>3.2098806578062522E-3</v>
      </c>
    </row>
    <row r="31" spans="11:24" x14ac:dyDescent="0.2">
      <c r="K31" s="247" t="e">
        <v>#N/A</v>
      </c>
      <c r="L31" s="245" t="e">
        <f>_xll.qlRateHelperEarliestDate(K31)</f>
        <v>#VALUE!</v>
      </c>
      <c r="M31" s="262" t="e">
        <f>_xll.qlRateHelperQuoteValue(K31,"ohTrigger(Trigger,RecalcTrigger))")</f>
        <v>#VALUE!</v>
      </c>
      <c r="N31" s="257" t="e">
        <f>NA()</f>
        <v>#N/A</v>
      </c>
      <c r="O31" s="245" t="e">
        <f>_xll.qlInterestRateIndexFixingDate(IborIndex,L31)</f>
        <v>#NUM!</v>
      </c>
      <c r="P31" s="262" t="e">
        <f>_xll.qlIndexFixing(IborIndex,O31,TRUE,RecalcTrigger)</f>
        <v>#NUM!</v>
      </c>
      <c r="Q31" s="292" t="e">
        <f t="shared" si="2"/>
        <v>#NUM!</v>
      </c>
      <c r="T31" s="247" t="str">
        <f t="shared" si="3"/>
        <v>1D</v>
      </c>
      <c r="U31" s="245">
        <f>_xll.qlCalendarAdvance(Calendar,U30,T31,"f",FALSE)</f>
        <v>41809</v>
      </c>
      <c r="V31" s="248">
        <f>_xll.qlCalendarAdvance(Calendar,U31,NDays&amp;"D")</f>
        <v>41813</v>
      </c>
      <c r="W31" s="249">
        <v>2.4412080768813123E-3</v>
      </c>
      <c r="X31" s="246">
        <v>3.143202555273561E-3</v>
      </c>
    </row>
    <row r="32" spans="11:24" x14ac:dyDescent="0.2">
      <c r="K32" s="247" t="e">
        <v>#N/A</v>
      </c>
      <c r="L32" s="245" t="e">
        <f>_xll.qlRateHelperEarliestDate(K32)</f>
        <v>#VALUE!</v>
      </c>
      <c r="M32" s="262" t="e">
        <f>_xll.qlRateHelperQuoteValue(K32,"ohTrigger(Trigger,RecalcTrigger))")</f>
        <v>#VALUE!</v>
      </c>
      <c r="N32" s="257" t="e">
        <f>NA()</f>
        <v>#N/A</v>
      </c>
      <c r="O32" s="245" t="e">
        <f>_xll.qlInterestRateIndexFixingDate(IborIndex,L32)</f>
        <v>#NUM!</v>
      </c>
      <c r="P32" s="262" t="e">
        <f>_xll.qlIndexFixing(IborIndex,O32,TRUE,RecalcTrigger)</f>
        <v>#NUM!</v>
      </c>
      <c r="Q32" s="292" t="e">
        <f t="shared" si="2"/>
        <v>#NUM!</v>
      </c>
      <c r="T32" s="247" t="str">
        <f t="shared" si="3"/>
        <v>1D</v>
      </c>
      <c r="U32" s="245">
        <f>_xll.qlCalendarAdvance(Calendar,U31,T32,"f",FALSE)</f>
        <v>41810</v>
      </c>
      <c r="V32" s="248">
        <f>_xll.qlCalendarAdvance(Calendar,U32,NDays&amp;"D")</f>
        <v>41814</v>
      </c>
      <c r="W32" s="249">
        <v>2.4264463861689086E-3</v>
      </c>
      <c r="X32" s="246">
        <v>3.1332132543671065E-3</v>
      </c>
    </row>
    <row r="33" spans="2:24" ht="12" thickBot="1" x14ac:dyDescent="0.25">
      <c r="K33" s="265" t="e">
        <v>#N/A</v>
      </c>
      <c r="L33" s="252" t="e">
        <f>_xll.qlRateHelperEarliestDate(K33)</f>
        <v>#VALUE!</v>
      </c>
      <c r="M33" s="296" t="e">
        <f>_xll.qlRateHelperQuoteValue(K33,"ohTrigger(Trigger,RecalcTrigger))")</f>
        <v>#VALUE!</v>
      </c>
      <c r="N33" s="268" t="e">
        <f>NA()</f>
        <v>#N/A</v>
      </c>
      <c r="O33" s="252" t="e">
        <f>_xll.qlInterestRateIndexFixingDate(IborIndex,L33)</f>
        <v>#NUM!</v>
      </c>
      <c r="P33" s="296" t="e">
        <f>_xll.qlIndexFixing(IborIndex,O33,TRUE,RecalcTrigger)</f>
        <v>#NUM!</v>
      </c>
      <c r="Q33" s="307" t="e">
        <f t="shared" si="2"/>
        <v>#NUM!</v>
      </c>
      <c r="T33" s="247" t="str">
        <f t="shared" si="3"/>
        <v>1D</v>
      </c>
      <c r="U33" s="245">
        <f>_xll.qlCalendarAdvance(Calendar,U32,T33,"f",FALSE)</f>
        <v>41813</v>
      </c>
      <c r="V33" s="248">
        <f>_xll.qlCalendarAdvance(Calendar,U33,NDays&amp;"D")</f>
        <v>41815</v>
      </c>
      <c r="W33" s="249">
        <v>2.411900948624921E-3</v>
      </c>
      <c r="X33" s="246">
        <v>3.1263144702631251E-3</v>
      </c>
    </row>
    <row r="34" spans="2:24" ht="12" thickBot="1" x14ac:dyDescent="0.25">
      <c r="T34" s="247" t="str">
        <f t="shared" si="3"/>
        <v>1D</v>
      </c>
      <c r="U34" s="245">
        <f>_xll.qlCalendarAdvance(Calendar,U33,T34,"f",FALSE)</f>
        <v>41814</v>
      </c>
      <c r="V34" s="248">
        <f>_xll.qlCalendarAdvance(Calendar,U34,NDays&amp;"D")</f>
        <v>41816</v>
      </c>
      <c r="W34" s="249">
        <v>2.3975361749091787E-3</v>
      </c>
      <c r="X34" s="246">
        <v>3.1225062025619366E-3</v>
      </c>
    </row>
    <row r="35" spans="2:24" x14ac:dyDescent="0.2">
      <c r="K35" s="237" t="s">
        <v>182</v>
      </c>
      <c r="L35" s="238" t="s">
        <v>168</v>
      </c>
      <c r="M35" s="291" t="s">
        <v>73</v>
      </c>
      <c r="N35" s="238" t="s">
        <v>169</v>
      </c>
      <c r="O35" s="238" t="s">
        <v>171</v>
      </c>
      <c r="P35" s="238" t="s">
        <v>184</v>
      </c>
      <c r="Q35" s="254" t="s">
        <v>175</v>
      </c>
      <c r="R35" s="236" t="s">
        <v>176</v>
      </c>
      <c r="T35" s="247" t="str">
        <f t="shared" si="3"/>
        <v>1D</v>
      </c>
      <c r="U35" s="245">
        <f>_xll.qlCalendarAdvance(Calendar,U34,T35,"f",FALSE)</f>
        <v>41815</v>
      </c>
      <c r="V35" s="248">
        <f>_xll.qlCalendarAdvance(Calendar,U35,NDays&amp;"D")</f>
        <v>41817</v>
      </c>
      <c r="W35" s="249">
        <v>2.3715465064425307E-3</v>
      </c>
      <c r="X35" s="246">
        <v>3.1252185189067916E-3</v>
      </c>
    </row>
    <row r="36" spans="2:24" x14ac:dyDescent="0.2">
      <c r="K36" s="288" t="str">
        <f t="array" ref="K36:K69">_xll.ohFilter(RateHelpers!E29:E70,RateHelpers!P29:P70)</f>
        <v>EUR_YC3MRH_FUT3MM4#0001</v>
      </c>
      <c r="L36" s="245">
        <f>_xll.qlRateHelperEarliestDate(K36)</f>
        <v>41808</v>
      </c>
      <c r="M36" s="262">
        <f>1-_xll.qlRateHelperQuoteValue(K36,_xll.ohTrigger(RecalcTrigger,Trigger))/100</f>
        <v>2.5249999999999995E-3</v>
      </c>
      <c r="N36" s="249" t="e">
        <f>NA()</f>
        <v>#N/A</v>
      </c>
      <c r="O36" s="245">
        <f>_xll.qlInterestRateIndexFixingDate(IborIndex,L36)</f>
        <v>41806</v>
      </c>
      <c r="P36" s="262">
        <f>_xll.qlIndexFixing(IborIndex,O36,TRUE,RecalcTrigger)</f>
        <v>2.5249999992645348E-3</v>
      </c>
      <c r="Q36" s="292">
        <f>P36-M36</f>
        <v>-7.3546464057772098E-13</v>
      </c>
      <c r="R36" s="263">
        <f t="array" ref="R36">MAX(ABS(Q36:Q59))</f>
        <v>5.3441558402354469E-4</v>
      </c>
      <c r="T36" s="247" t="str">
        <f t="shared" si="3"/>
        <v>1D</v>
      </c>
      <c r="U36" s="245">
        <f>_xll.qlCalendarAdvance(Calendar,U35,T36,"f",FALSE)</f>
        <v>41816</v>
      </c>
      <c r="V36" s="248">
        <f>_xll.qlCalendarAdvance(Calendar,U36,NDays&amp;"D")</f>
        <v>41820</v>
      </c>
      <c r="W36" s="249">
        <v>2.3411719504961644E-3</v>
      </c>
      <c r="X36" s="246">
        <v>3.1381782965844707E-3</v>
      </c>
    </row>
    <row r="37" spans="2:24" x14ac:dyDescent="0.2">
      <c r="K37" s="288" t="str">
        <v>EUR_YC3MRH_FUT3MU4#0001</v>
      </c>
      <c r="L37" s="245">
        <f>_xll.qlRateHelperEarliestDate(K37)</f>
        <v>41899</v>
      </c>
      <c r="M37" s="262">
        <f>1-_xll.qlRateHelperQuoteValue(K37,_xll.ohTrigger(RecalcTrigger,Trigger))/100</f>
        <v>1.974999999999949E-3</v>
      </c>
      <c r="N37" s="249" t="e">
        <f>NA()</f>
        <v>#N/A</v>
      </c>
      <c r="O37" s="245">
        <f>_xll.qlInterestRateIndexFixingDate(IborIndex,L37)</f>
        <v>41897</v>
      </c>
      <c r="P37" s="262">
        <f>_xll.qlIndexFixing(IborIndex,O37,TRUE,RecalcTrigger)</f>
        <v>1.9750000003883527E-3</v>
      </c>
      <c r="Q37" s="292">
        <f t="shared" ref="Q37:Q69" si="4">P37-M37</f>
        <v>3.8840371890946912E-13</v>
      </c>
      <c r="T37" s="247" t="str">
        <f t="shared" si="3"/>
        <v>1D</v>
      </c>
      <c r="U37" s="245">
        <f>_xll.qlCalendarAdvance(Calendar,U36,T37,"f",FALSE)</f>
        <v>41817</v>
      </c>
      <c r="V37" s="248">
        <f>_xll.qlCalendarAdvance(Calendar,U37,NDays&amp;"D")</f>
        <v>41821</v>
      </c>
      <c r="W37" s="249">
        <v>2.3271766746336062E-3</v>
      </c>
      <c r="X37" s="246">
        <v>3.1498226116166705E-3</v>
      </c>
    </row>
    <row r="38" spans="2:24" x14ac:dyDescent="0.2">
      <c r="B38" s="302" t="b">
        <v>1</v>
      </c>
      <c r="D38" s="302" t="b">
        <v>1</v>
      </c>
      <c r="F38" s="302" t="b">
        <v>1</v>
      </c>
      <c r="K38" s="288" t="str">
        <v>EUR_YC3MRH_FUT3MZ4#0001</v>
      </c>
      <c r="L38" s="245">
        <f>_xll.qlRateHelperEarliestDate(K38)</f>
        <v>41990</v>
      </c>
      <c r="M38" s="262">
        <f>1-_xll.qlRateHelperQuoteValue(K38,_xll.ohTrigger(RecalcTrigger,Trigger))/100</f>
        <v>1.8250000000000766E-3</v>
      </c>
      <c r="N38" s="249" t="e">
        <f>NA()</f>
        <v>#N/A</v>
      </c>
      <c r="O38" s="245">
        <f>_xll.qlInterestRateIndexFixingDate(IborIndex,L38)</f>
        <v>41988</v>
      </c>
      <c r="P38" s="262">
        <f>_xll.qlIndexFixing(IborIndex,O38,TRUE,RecalcTrigger)</f>
        <v>1.8250000000001876E-3</v>
      </c>
      <c r="Q38" s="292">
        <f t="shared" si="4"/>
        <v>1.1102230246251565E-16</v>
      </c>
      <c r="R38" s="261"/>
      <c r="T38" s="247" t="str">
        <f t="shared" si="3"/>
        <v>1D</v>
      </c>
      <c r="U38" s="245">
        <f>_xll.qlCalendarAdvance(Calendar,U37,T38,"f",FALSE)</f>
        <v>41820</v>
      </c>
      <c r="V38" s="248">
        <f>_xll.qlCalendarAdvance(Calendar,U38,NDays&amp;"D")</f>
        <v>41822</v>
      </c>
      <c r="W38" s="249">
        <v>2.3131485377163009E-3</v>
      </c>
      <c r="X38" s="246">
        <v>3.1637194977385263E-3</v>
      </c>
    </row>
    <row r="39" spans="2:24" x14ac:dyDescent="0.2">
      <c r="K39" s="288" t="str">
        <v>EUR_YC3MRH_FUT3MH5#0001</v>
      </c>
      <c r="L39" s="245">
        <f>_xll.qlRateHelperEarliestDate(K39)</f>
        <v>42081</v>
      </c>
      <c r="M39" s="262">
        <f>1-_xll.qlRateHelperQuoteValue(K39,_xll.ohTrigger(RecalcTrigger,Trigger))/100</f>
        <v>1.7750000000000821E-3</v>
      </c>
      <c r="N39" s="249" t="e">
        <f>NA()</f>
        <v>#N/A</v>
      </c>
      <c r="O39" s="245">
        <f>_xll.qlInterestRateIndexFixingDate(IborIndex,L39)</f>
        <v>42079</v>
      </c>
      <c r="P39" s="262">
        <f>_xll.qlIndexFixing(IborIndex,O39,TRUE,RecalcTrigger)</f>
        <v>1.7750000007697177E-3</v>
      </c>
      <c r="Q39" s="292">
        <f t="shared" si="4"/>
        <v>7.6963565728838113E-13</v>
      </c>
      <c r="R39" s="261"/>
      <c r="T39" s="247" t="str">
        <f t="shared" si="3"/>
        <v>1D</v>
      </c>
      <c r="U39" s="245">
        <f>_xll.qlCalendarAdvance(Calendar,U38,T39,"f",FALSE)</f>
        <v>41821</v>
      </c>
      <c r="V39" s="248">
        <f>_xll.qlCalendarAdvance(Calendar,U39,NDays&amp;"D")</f>
        <v>41823</v>
      </c>
      <c r="W39" s="249">
        <v>2.2990610674416376E-3</v>
      </c>
      <c r="X39" s="246">
        <v>3.1765171703401762E-3</v>
      </c>
    </row>
    <row r="40" spans="2:24" x14ac:dyDescent="0.2">
      <c r="K40" s="288" t="str">
        <v>EUR_YC3MRH_FUT3MM5#0001</v>
      </c>
      <c r="L40" s="245">
        <f>_xll.qlRateHelperEarliestDate(K40)</f>
        <v>42172</v>
      </c>
      <c r="M40" s="262">
        <f>1-_xll.qlRateHelperQuoteValue(K40,_xll.ohTrigger(RecalcTrigger,Trigger))/100</f>
        <v>1.87499999999996E-3</v>
      </c>
      <c r="N40" s="249" t="e">
        <f>NA()</f>
        <v>#N/A</v>
      </c>
      <c r="O40" s="245">
        <f>_xll.qlInterestRateIndexFixingDate(IborIndex,L40)</f>
        <v>42170</v>
      </c>
      <c r="P40" s="262">
        <f>_xll.qlIndexFixing(IborIndex,O40,TRUE,RecalcTrigger)</f>
        <v>1.8749999982350096E-3</v>
      </c>
      <c r="Q40" s="292">
        <f t="shared" si="4"/>
        <v>-1.7649503820243995E-12</v>
      </c>
      <c r="R40" s="261"/>
      <c r="T40" s="247" t="str">
        <f t="shared" si="3"/>
        <v>1D</v>
      </c>
      <c r="U40" s="245">
        <f>_xll.qlCalendarAdvance(Calendar,U39,T40,"f",FALSE)</f>
        <v>41822</v>
      </c>
      <c r="V40" s="248">
        <f>_xll.qlCalendarAdvance(Calendar,U40,NDays&amp;"D")</f>
        <v>41824</v>
      </c>
      <c r="W40" s="249">
        <v>2.2765175463798576E-3</v>
      </c>
      <c r="X40" s="246">
        <v>3.1956836831170676E-3</v>
      </c>
    </row>
    <row r="41" spans="2:24" x14ac:dyDescent="0.2">
      <c r="K41" s="288" t="str">
        <v>EUR_YC3MRH_FUT3MU5#0001</v>
      </c>
      <c r="L41" s="245">
        <f>_xll.qlRateHelperEarliestDate(K41)</f>
        <v>42263</v>
      </c>
      <c r="M41" s="262">
        <f>1-_xll.qlRateHelperQuoteValue(K41,_xll.ohTrigger(RecalcTrigger,Trigger))/100</f>
        <v>2.1250000000000435E-3</v>
      </c>
      <c r="N41" s="249" t="e">
        <f>NA()</f>
        <v>#N/A</v>
      </c>
      <c r="O41" s="245">
        <f>_xll.qlInterestRateIndexFixingDate(IborIndex,L41)</f>
        <v>42261</v>
      </c>
      <c r="P41" s="262">
        <f>_xll.qlIndexFixing(IborIndex,O41,TRUE,RecalcTrigger)</f>
        <v>2.1249999982923314E-3</v>
      </c>
      <c r="Q41" s="292">
        <f t="shared" si="4"/>
        <v>-1.7077120967323722E-12</v>
      </c>
      <c r="T41" s="247" t="str">
        <f t="shared" si="3"/>
        <v>1D</v>
      </c>
      <c r="U41" s="245">
        <f>_xll.qlCalendarAdvance(Calendar,U40,T41,"f",FALSE)</f>
        <v>41823</v>
      </c>
      <c r="V41" s="248">
        <f>_xll.qlCalendarAdvance(Calendar,U41,NDays&amp;"D")</f>
        <v>41827</v>
      </c>
      <c r="W41" s="249">
        <v>2.2424086126655684E-3</v>
      </c>
      <c r="X41" s="246">
        <v>3.2083362609025556E-3</v>
      </c>
    </row>
    <row r="42" spans="2:24" x14ac:dyDescent="0.2">
      <c r="K42" s="288" t="str">
        <v>EUR_YC3MRH_FUT3MZ5#0001</v>
      </c>
      <c r="L42" s="245">
        <f>_xll.qlRateHelperEarliestDate(K42)</f>
        <v>42354</v>
      </c>
      <c r="M42" s="262">
        <f>1-_xll.qlRateHelperQuoteValue(K42,_xll.ohTrigger(RecalcTrigger,Trigger))/100</f>
        <v>2.5249999999999995E-3</v>
      </c>
      <c r="N42" s="249" t="e">
        <f>NA()</f>
        <v>#N/A</v>
      </c>
      <c r="O42" s="245">
        <f>_xll.qlInterestRateIndexFixingDate(IborIndex,L42)</f>
        <v>42352</v>
      </c>
      <c r="P42" s="262">
        <f>_xll.qlIndexFixing(IborIndex,O42,TRUE,RecalcTrigger)</f>
        <v>2.5249999999999617E-3</v>
      </c>
      <c r="Q42" s="292">
        <f t="shared" si="4"/>
        <v>-3.7730235602495554E-17</v>
      </c>
      <c r="T42" s="247" t="str">
        <f t="shared" si="3"/>
        <v>1D</v>
      </c>
      <c r="U42" s="245">
        <f>_xll.qlCalendarAdvance(Calendar,U41,T42,"f",FALSE)</f>
        <v>41824</v>
      </c>
      <c r="V42" s="248">
        <f>_xll.qlCalendarAdvance(Calendar,U42,NDays&amp;"D")</f>
        <v>41828</v>
      </c>
      <c r="W42" s="249">
        <v>2.2282653267344608E-3</v>
      </c>
      <c r="X42" s="246">
        <v>3.211448132942607E-3</v>
      </c>
    </row>
    <row r="43" spans="2:24" x14ac:dyDescent="0.2">
      <c r="K43" s="288" t="str">
        <v>EUR_YC3MRH_FUT3MH6#0001</v>
      </c>
      <c r="L43" s="245">
        <f>_xll.qlRateHelperEarliestDate(K43)</f>
        <v>42445</v>
      </c>
      <c r="M43" s="262">
        <f>1-_xll.qlRateHelperQuoteValue(K43,_xll.ohTrigger(RecalcTrigger,Trigger))/100</f>
        <v>3.0750000000000499E-3</v>
      </c>
      <c r="N43" s="249" t="e">
        <f>NA()</f>
        <v>#N/A</v>
      </c>
      <c r="O43" s="245">
        <f>_xll.qlInterestRateIndexFixingDate(IborIndex,L43)</f>
        <v>42443</v>
      </c>
      <c r="P43" s="262">
        <f>_xll.qlIndexFixing(IborIndex,O43,TRUE,RecalcTrigger)</f>
        <v>3.0749999999997268E-3</v>
      </c>
      <c r="Q43" s="292">
        <f t="shared" si="4"/>
        <v>-3.2309224740068032E-16</v>
      </c>
      <c r="R43" s="261"/>
      <c r="T43" s="247" t="str">
        <f t="shared" si="3"/>
        <v>1D</v>
      </c>
      <c r="U43" s="245">
        <f>_xll.qlCalendarAdvance(Calendar,U42,T43,"f",FALSE)</f>
        <v>41827</v>
      </c>
      <c r="V43" s="248">
        <f>_xll.qlCalendarAdvance(Calendar,U43,NDays&amp;"D")</f>
        <v>41829</v>
      </c>
      <c r="W43" s="249">
        <v>2.2141681594157604E-3</v>
      </c>
      <c r="X43" s="246">
        <v>3.2126228447104666E-3</v>
      </c>
    </row>
    <row r="44" spans="2:24" x14ac:dyDescent="0.2">
      <c r="K44" s="288" t="str">
        <v>EUR_YC3MRH_FUT3MM6#0001</v>
      </c>
      <c r="L44" s="245">
        <f>_xll.qlRateHelperEarliestDate(K44)</f>
        <v>42536</v>
      </c>
      <c r="M44" s="262">
        <f>1-_xll.qlRateHelperQuoteValue(K44,_xll.ohTrigger(RecalcTrigger,Trigger))/100</f>
        <v>3.7749999999999728E-3</v>
      </c>
      <c r="N44" s="249" t="e">
        <f>NA()</f>
        <v>#N/A</v>
      </c>
      <c r="O44" s="245">
        <f>_xll.qlInterestRateIndexFixingDate(IborIndex,L44)</f>
        <v>42534</v>
      </c>
      <c r="P44" s="262">
        <f>_xll.qlIndexFixing(IborIndex,O44,TRUE,RecalcTrigger)</f>
        <v>3.8061979140199703E-3</v>
      </c>
      <c r="Q44" s="292">
        <f t="shared" si="4"/>
        <v>3.1197914019997445E-5</v>
      </c>
      <c r="R44" s="261"/>
      <c r="T44" s="247" t="str">
        <f t="shared" si="3"/>
        <v>1D</v>
      </c>
      <c r="U44" s="245">
        <f>_xll.qlCalendarAdvance(Calendar,U43,T44,"f",FALSE)</f>
        <v>41828</v>
      </c>
      <c r="V44" s="248">
        <f>_xll.qlCalendarAdvance(Calendar,U44,NDays&amp;"D")</f>
        <v>41830</v>
      </c>
      <c r="W44" s="249">
        <v>2.2001362039816481E-3</v>
      </c>
      <c r="X44" s="246">
        <v>3.2118603958863901E-3</v>
      </c>
    </row>
    <row r="45" spans="2:24" x14ac:dyDescent="0.2">
      <c r="K45" s="288" t="str">
        <v>EUR_YC3MRH_FUT3MU6#0001</v>
      </c>
      <c r="L45" s="245">
        <f>_xll.qlRateHelperEarliestDate(K45)</f>
        <v>42634</v>
      </c>
      <c r="M45" s="262">
        <f>1-_xll.qlRateHelperQuoteValue(K45,_xll.ohTrigger(RecalcTrigger,Trigger))/100</f>
        <v>4.650000000000043E-3</v>
      </c>
      <c r="N45" s="249" t="e">
        <f>NA()</f>
        <v>#N/A</v>
      </c>
      <c r="O45" s="245">
        <f>_xll.qlInterestRateIndexFixingDate(IborIndex,L45)</f>
        <v>42632</v>
      </c>
      <c r="P45" s="262">
        <f>_xll.qlIndexFixing(IborIndex,O45,TRUE,RecalcTrigger)</f>
        <v>4.6982135723309566E-3</v>
      </c>
      <c r="Q45" s="292">
        <f t="shared" si="4"/>
        <v>4.821357233091364E-5</v>
      </c>
      <c r="R45" s="261"/>
      <c r="T45" s="247" t="str">
        <f t="shared" si="3"/>
        <v>1D</v>
      </c>
      <c r="U45" s="245">
        <f>_xll.qlCalendarAdvance(Calendar,U44,T45,"f",FALSE)</f>
        <v>41829</v>
      </c>
      <c r="V45" s="248">
        <f>_xll.qlCalendarAdvance(Calendar,U45,NDays&amp;"D")</f>
        <v>41831</v>
      </c>
      <c r="W45" s="249">
        <v>2.1809630313737905E-3</v>
      </c>
      <c r="X45" s="246">
        <v>3.2039068107891921E-3</v>
      </c>
    </row>
    <row r="46" spans="2:24" x14ac:dyDescent="0.2">
      <c r="K46" s="288" t="str">
        <v>EUR_YC3MRH_FUT3MZ6#0001</v>
      </c>
      <c r="L46" s="245">
        <f>_xll.qlRateHelperEarliestDate(K46)</f>
        <v>42725</v>
      </c>
      <c r="M46" s="262">
        <f>1-_xll.qlRateHelperQuoteValue(K46,_xll.ohTrigger(RecalcTrigger,Trigger))/100</f>
        <v>5.5749999999999966E-3</v>
      </c>
      <c r="N46" s="249" t="e">
        <f>NA()</f>
        <v>#N/A</v>
      </c>
      <c r="O46" s="245">
        <f>_xll.qlInterestRateIndexFixingDate(IborIndex,L46)</f>
        <v>42723</v>
      </c>
      <c r="P46" s="262">
        <f>_xll.qlIndexFixing(IborIndex,O46,TRUE,RecalcTrigger)</f>
        <v>5.6010384513891509E-3</v>
      </c>
      <c r="Q46" s="292">
        <f t="shared" si="4"/>
        <v>2.6038451389154282E-5</v>
      </c>
      <c r="R46" s="261"/>
      <c r="T46" s="247" t="str">
        <f t="shared" si="3"/>
        <v>1D</v>
      </c>
      <c r="U46" s="245">
        <f>_xll.qlCalendarAdvance(Calendar,U45,T46,"f",FALSE)</f>
        <v>41830</v>
      </c>
      <c r="V46" s="248">
        <f>_xll.qlCalendarAdvance(Calendar,U46,NDays&amp;"D")</f>
        <v>41834</v>
      </c>
      <c r="W46" s="249">
        <v>2.1450423571595825E-3</v>
      </c>
      <c r="X46" s="246">
        <v>3.1894389977882298E-3</v>
      </c>
    </row>
    <row r="47" spans="2:24" x14ac:dyDescent="0.2">
      <c r="K47" s="288" t="str">
        <v>EUR_YC3MRH_FUT3MH7#0001</v>
      </c>
      <c r="L47" s="245">
        <f>_xll.qlRateHelperEarliestDate(K47)</f>
        <v>42809</v>
      </c>
      <c r="M47" s="262">
        <f>1-_xll.qlRateHelperQuoteValue(K47,_xll.ohTrigger(RecalcTrigger,Trigger))/100</f>
        <v>6.525000000000003E-3</v>
      </c>
      <c r="N47" s="249" t="e">
        <f>NA()</f>
        <v>#N/A</v>
      </c>
      <c r="O47" s="245">
        <f>_xll.qlInterestRateIndexFixingDate(IborIndex,L47)</f>
        <v>42807</v>
      </c>
      <c r="P47" s="262">
        <f>_xll.qlIndexFixing(IborIndex,O47,TRUE,RecalcTrigger)</f>
        <v>6.5150080724413438E-3</v>
      </c>
      <c r="Q47" s="292">
        <f t="shared" si="4"/>
        <v>-9.9919275586592138E-6</v>
      </c>
      <c r="R47" s="261"/>
      <c r="T47" s="247" t="str">
        <f t="shared" si="3"/>
        <v>1D</v>
      </c>
      <c r="U47" s="245">
        <f>_xll.qlCalendarAdvance(Calendar,U46,T47,"f",FALSE)</f>
        <v>41831</v>
      </c>
      <c r="V47" s="248">
        <f>_xll.qlCalendarAdvance(Calendar,U47,NDays&amp;"D")</f>
        <v>41835</v>
      </c>
      <c r="W47" s="249">
        <v>2.1316228509090122E-3</v>
      </c>
      <c r="X47" s="246">
        <v>3.1789907479229385E-3</v>
      </c>
    </row>
    <row r="48" spans="2:24" x14ac:dyDescent="0.2">
      <c r="K48" s="288" t="str">
        <v>EUR_YC3MRH_FUT3MM7#0001</v>
      </c>
      <c r="L48" s="245">
        <f>_xll.qlRateHelperEarliestDate(K48)</f>
        <v>42907</v>
      </c>
      <c r="M48" s="262">
        <f>1-_xll.qlRateHelperQuoteValue(K48,_xll.ohTrigger(RecalcTrigger,Trigger))/100</f>
        <v>7.7000000000001512E-3</v>
      </c>
      <c r="N48" s="249" t="e">
        <f>NA()</f>
        <v>#N/A</v>
      </c>
      <c r="O48" s="245">
        <f>_xll.qlInterestRateIndexFixingDate(IborIndex,L48)</f>
        <v>42905</v>
      </c>
      <c r="P48" s="262">
        <f>_xll.qlIndexFixing(IborIndex,O48,TRUE,RecalcTrigger)</f>
        <v>7.6323742396441309E-3</v>
      </c>
      <c r="Q48" s="292">
        <f t="shared" si="4"/>
        <v>-6.762576035602031E-5</v>
      </c>
      <c r="R48" s="261"/>
      <c r="T48" s="247" t="str">
        <f t="shared" si="3"/>
        <v>1D</v>
      </c>
      <c r="U48" s="245">
        <f>_xll.qlCalendarAdvance(Calendar,U47,T48,"f",FALSE)</f>
        <v>41834</v>
      </c>
      <c r="V48" s="248">
        <f>_xll.qlCalendarAdvance(Calendar,U48,NDays&amp;"D")</f>
        <v>41836</v>
      </c>
      <c r="W48" s="249">
        <v>2.1183831106509681E-3</v>
      </c>
      <c r="X48" s="246">
        <v>3.1666053381051995E-3</v>
      </c>
    </row>
    <row r="49" spans="11:24" x14ac:dyDescent="0.2">
      <c r="K49" s="288" t="str">
        <v>EUR_YC3MRH_FUT3MU7#0001</v>
      </c>
      <c r="L49" s="245">
        <f>_xll.qlRateHelperEarliestDate(K49)</f>
        <v>42998</v>
      </c>
      <c r="M49" s="262">
        <f>1-_xll.qlRateHelperQuoteValue(K49,_xll.ohTrigger(RecalcTrigger,Trigger))/100</f>
        <v>8.900000000000019E-3</v>
      </c>
      <c r="N49" s="249" t="e">
        <f>NA()</f>
        <v>#N/A</v>
      </c>
      <c r="O49" s="245">
        <f>_xll.qlInterestRateIndexFixingDate(IborIndex,L49)</f>
        <v>42996</v>
      </c>
      <c r="P49" s="262">
        <f>_xll.qlIndexFixing(IborIndex,O49,TRUE,RecalcTrigger)</f>
        <v>8.691724381227223E-3</v>
      </c>
      <c r="Q49" s="292">
        <f t="shared" si="4"/>
        <v>-2.0827561877279598E-4</v>
      </c>
      <c r="R49" s="261"/>
      <c r="T49" s="247" t="str">
        <f t="shared" si="3"/>
        <v>1D</v>
      </c>
      <c r="U49" s="245">
        <f>_xll.qlCalendarAdvance(Calendar,U48,T49,"f",FALSE)</f>
        <v>41835</v>
      </c>
      <c r="V49" s="248">
        <f>_xll.qlCalendarAdvance(Calendar,U49,NDays&amp;"D")</f>
        <v>41837</v>
      </c>
      <c r="W49" s="249">
        <v>2.1053422278712345E-3</v>
      </c>
      <c r="X49" s="246">
        <v>3.1522827687346933E-3</v>
      </c>
    </row>
    <row r="50" spans="11:24" x14ac:dyDescent="0.2">
      <c r="K50" s="288" t="str">
        <v>EUR_YC3MRH_FUT3MZ7#0001</v>
      </c>
      <c r="L50" s="245">
        <f>_xll.qlRateHelperEarliestDate(K50)</f>
        <v>43089</v>
      </c>
      <c r="M50" s="262">
        <f>1-_xll.qlRateHelperQuoteValue(K50,_xll.ohTrigger(RecalcTrigger,Trigger))/100</f>
        <v>1.0099999999999887E-2</v>
      </c>
      <c r="N50" s="249" t="e">
        <f>NA()</f>
        <v>#N/A</v>
      </c>
      <c r="O50" s="245">
        <f>_xll.qlInterestRateIndexFixingDate(IborIndex,L50)</f>
        <v>43087</v>
      </c>
      <c r="P50" s="262">
        <f>_xll.qlIndexFixing(IborIndex,O50,TRUE,RecalcTrigger)</f>
        <v>9.7726671160058842E-3</v>
      </c>
      <c r="Q50" s="292">
        <f t="shared" si="4"/>
        <v>-3.2733288399400262E-4</v>
      </c>
      <c r="R50" s="261"/>
      <c r="T50" s="247" t="str">
        <f t="shared" si="3"/>
        <v>1D</v>
      </c>
      <c r="U50" s="245">
        <f>_xll.qlCalendarAdvance(Calendar,U49,T50,"f",FALSE)</f>
        <v>41836</v>
      </c>
      <c r="V50" s="248">
        <f>_xll.qlCalendarAdvance(Calendar,U50,NDays&amp;"D")</f>
        <v>41838</v>
      </c>
      <c r="W50" s="249">
        <v>2.0901778226274322E-3</v>
      </c>
      <c r="X50" s="246">
        <v>3.1172074231466951E-3</v>
      </c>
    </row>
    <row r="51" spans="11:24" x14ac:dyDescent="0.2">
      <c r="K51" s="288" t="str">
        <v>EUR_YC3MRH_FUT3MH8#0001</v>
      </c>
      <c r="L51" s="245">
        <f>_xll.qlRateHelperEarliestDate(K51)</f>
        <v>43180</v>
      </c>
      <c r="M51" s="262">
        <f>1-_xll.qlRateHelperQuoteValue(K51,_xll.ohTrigger(RecalcTrigger,Trigger))/100</f>
        <v>1.1200000000000099E-2</v>
      </c>
      <c r="N51" s="249" t="e">
        <f>NA()</f>
        <v>#N/A</v>
      </c>
      <c r="O51" s="245">
        <f>_xll.qlInterestRateIndexFixingDate(IborIndex,L51)</f>
        <v>43178</v>
      </c>
      <c r="P51" s="262">
        <f>_xll.qlIndexFixing(IborIndex,O51,TRUE,RecalcTrigger)</f>
        <v>1.0894161053797969E-2</v>
      </c>
      <c r="Q51" s="292">
        <f t="shared" si="4"/>
        <v>-3.0583894620212979E-4</v>
      </c>
      <c r="R51" s="261"/>
      <c r="T51" s="247" t="str">
        <f t="shared" si="3"/>
        <v>1D</v>
      </c>
      <c r="U51" s="245">
        <f>_xll.qlCalendarAdvance(Calendar,U50,T51,"f",FALSE)</f>
        <v>41837</v>
      </c>
      <c r="V51" s="248">
        <f>_xll.qlCalendarAdvance(Calendar,U51,NDays&amp;"D")</f>
        <v>41841</v>
      </c>
      <c r="W51" s="249">
        <v>2.0555490935389806E-3</v>
      </c>
      <c r="X51" s="246">
        <v>3.0756208996418621E-3</v>
      </c>
    </row>
    <row r="52" spans="11:24" x14ac:dyDescent="0.2">
      <c r="K52" s="288" t="str">
        <v>EUR_YC3MRH_FUT3MM8#0001</v>
      </c>
      <c r="L52" s="245">
        <f>_xll.qlRateHelperEarliestDate(K52)</f>
        <v>43271</v>
      </c>
      <c r="M52" s="262">
        <f>1-_xll.qlRateHelperQuoteValue(K52,_xll.ohTrigger(RecalcTrigger,Trigger))/100</f>
        <v>1.2274999999999925E-2</v>
      </c>
      <c r="N52" s="249" t="e">
        <f>NA()</f>
        <v>#N/A</v>
      </c>
      <c r="O52" s="245">
        <f>_xll.qlInterestRateIndexFixingDate(IborIndex,L52)</f>
        <v>43269</v>
      </c>
      <c r="P52" s="262">
        <f>_xll.qlIndexFixing(IborIndex,O52,TRUE,RecalcTrigger)</f>
        <v>1.2010055312766329E-2</v>
      </c>
      <c r="Q52" s="292">
        <f t="shared" si="4"/>
        <v>-2.6494468723359602E-4</v>
      </c>
      <c r="R52" s="261"/>
      <c r="T52" s="247" t="str">
        <f t="shared" si="3"/>
        <v>1D</v>
      </c>
      <c r="U52" s="245">
        <f>_xll.qlCalendarAdvance(Calendar,U51,T52,"f",FALSE)</f>
        <v>41838</v>
      </c>
      <c r="V52" s="248">
        <f>_xll.qlCalendarAdvance(Calendar,U52,NDays&amp;"D")</f>
        <v>41842</v>
      </c>
      <c r="W52" s="249">
        <v>2.0437888628896759E-3</v>
      </c>
      <c r="X52" s="246">
        <v>3.0516125360247059E-3</v>
      </c>
    </row>
    <row r="53" spans="11:24" x14ac:dyDescent="0.2">
      <c r="K53" s="288" t="str">
        <v>EUR_YC3MRH_FUT3MU8#0001</v>
      </c>
      <c r="L53" s="245">
        <f>_xll.qlRateHelperEarliestDate(K53)</f>
        <v>43362</v>
      </c>
      <c r="M53" s="262">
        <f>1-_xll.qlRateHelperQuoteValue(K53,_xll.ohTrigger(RecalcTrigger,Trigger))/100</f>
        <v>1.3375000000000026E-2</v>
      </c>
      <c r="N53" s="249" t="e">
        <f>NA()</f>
        <v>#N/A</v>
      </c>
      <c r="O53" s="245">
        <f>_xll.qlInterestRateIndexFixingDate(IborIndex,L53)</f>
        <v>43360</v>
      </c>
      <c r="P53" s="262">
        <f>_xll.qlIndexFixing(IborIndex,O53,TRUE,RecalcTrigger)</f>
        <v>1.309131492076065E-2</v>
      </c>
      <c r="Q53" s="292">
        <f t="shared" si="4"/>
        <v>-2.8368507923937601E-4</v>
      </c>
      <c r="R53" s="261"/>
      <c r="T53" s="247" t="str">
        <f t="shared" si="3"/>
        <v>1D</v>
      </c>
      <c r="U53" s="245">
        <f>_xll.qlCalendarAdvance(Calendar,U52,T53,"f",FALSE)</f>
        <v>41841</v>
      </c>
      <c r="V53" s="248">
        <f>_xll.qlCalendarAdvance(Calendar,U53,NDays&amp;"D")</f>
        <v>41843</v>
      </c>
      <c r="W53" s="249">
        <v>2.0323420342725231E-3</v>
      </c>
      <c r="X53" s="246">
        <v>3.0256670146133757E-3</v>
      </c>
    </row>
    <row r="54" spans="11:24" x14ac:dyDescent="0.2">
      <c r="K54" s="288" t="str">
        <v>EUR_YC3MRH_FUT3MZ8#0001</v>
      </c>
      <c r="L54" s="245">
        <f>_xll.qlRateHelperEarliestDate(K54)</f>
        <v>43453</v>
      </c>
      <c r="M54" s="262">
        <f>1-_xll.qlRateHelperQuoteValue(K54,_xll.ohTrigger(RecalcTrigger,Trigger))/100</f>
        <v>1.4499999999999846E-2</v>
      </c>
      <c r="N54" s="249" t="e">
        <f>NA()</f>
        <v>#N/A</v>
      </c>
      <c r="O54" s="245">
        <f>_xll.qlInterestRateIndexFixingDate(IborIndex,L54)</f>
        <v>43451</v>
      </c>
      <c r="P54" s="262">
        <f>_xll.qlIndexFixing(IborIndex,O54,TRUE,RecalcTrigger)</f>
        <v>1.4139160965380704E-2</v>
      </c>
      <c r="Q54" s="292">
        <f t="shared" si="4"/>
        <v>-3.6083903461914257E-4</v>
      </c>
      <c r="R54" s="261"/>
      <c r="T54" s="247" t="str">
        <f t="shared" si="3"/>
        <v>1D</v>
      </c>
      <c r="U54" s="245">
        <f>_xll.qlCalendarAdvance(Calendar,U53,T54,"f",FALSE)</f>
        <v>41842</v>
      </c>
      <c r="V54" s="248">
        <f>_xll.qlCalendarAdvance(Calendar,U54,NDays&amp;"D")</f>
        <v>41844</v>
      </c>
      <c r="W54" s="249">
        <v>2.0212276978361149E-3</v>
      </c>
      <c r="X54" s="246">
        <v>2.9977843358075518E-3</v>
      </c>
    </row>
    <row r="55" spans="11:24" x14ac:dyDescent="0.2">
      <c r="K55" s="288" t="str">
        <v>EUR_YC3MRH_FUT3MH9#0001</v>
      </c>
      <c r="L55" s="245">
        <f>_xll.qlRateHelperEarliestDate(K55)</f>
        <v>43544</v>
      </c>
      <c r="M55" s="262">
        <f>1-_xll.qlRateHelperQuoteValue(K55,_xll.ohTrigger(RecalcTrigger,Trigger))/100</f>
        <v>1.5550000000000064E-2</v>
      </c>
      <c r="N55" s="249" t="e">
        <f>NA()</f>
        <v>#N/A</v>
      </c>
      <c r="O55" s="245">
        <f>_xll.qlInterestRateIndexFixingDate(IborIndex,L55)</f>
        <v>43542</v>
      </c>
      <c r="P55" s="262">
        <f>_xll.qlIndexFixing(IborIndex,O55,TRUE,RecalcTrigger)</f>
        <v>1.5170974853228386E-2</v>
      </c>
      <c r="Q55" s="292">
        <f t="shared" si="4"/>
        <v>-3.7902514677167799E-4</v>
      </c>
      <c r="R55" s="261"/>
      <c r="T55" s="247" t="str">
        <f t="shared" si="3"/>
        <v>1D</v>
      </c>
      <c r="U55" s="245">
        <f>_xll.qlCalendarAdvance(Calendar,U54,T55,"f",FALSE)</f>
        <v>41843</v>
      </c>
      <c r="V55" s="248">
        <f>_xll.qlCalendarAdvance(Calendar,U55,NDays&amp;"D")</f>
        <v>41845</v>
      </c>
      <c r="W55" s="249">
        <v>2.0105711566193486E-3</v>
      </c>
      <c r="X55" s="246">
        <v>2.9355857259449891E-3</v>
      </c>
    </row>
    <row r="56" spans="11:24" x14ac:dyDescent="0.2">
      <c r="K56" s="288" t="str">
        <v>EUR_YC3MRH_FUT3MM9#0001</v>
      </c>
      <c r="L56" s="245">
        <f>_xll.qlRateHelperEarliestDate(K56)</f>
        <v>43635</v>
      </c>
      <c r="M56" s="262">
        <f>1-_xll.qlRateHelperQuoteValue(K56,_xll.ohTrigger(RecalcTrigger,Trigger))/100</f>
        <v>1.6599999999999948E-2</v>
      </c>
      <c r="N56" s="249" t="e">
        <f>NA()</f>
        <v>#N/A</v>
      </c>
      <c r="O56" s="245">
        <f>_xll.qlInterestRateIndexFixingDate(IborIndex,L56)</f>
        <v>43633</v>
      </c>
      <c r="P56" s="262">
        <f>_xll.qlIndexFixing(IborIndex,O56,TRUE,RecalcTrigger)</f>
        <v>1.61602510315495E-2</v>
      </c>
      <c r="Q56" s="292">
        <f t="shared" si="4"/>
        <v>-4.3974896845044853E-4</v>
      </c>
      <c r="R56" s="261"/>
      <c r="T56" s="247" t="str">
        <f t="shared" si="3"/>
        <v>1D</v>
      </c>
      <c r="U56" s="245">
        <f>_xll.qlCalendarAdvance(Calendar,U55,T56,"f",FALSE)</f>
        <v>41844</v>
      </c>
      <c r="V56" s="248">
        <f>_xll.qlCalendarAdvance(Calendar,U56,NDays&amp;"D")</f>
        <v>41848</v>
      </c>
      <c r="W56" s="249">
        <v>1.9804770725184717E-3</v>
      </c>
      <c r="X56" s="246">
        <v>2.8668820563115816E-3</v>
      </c>
    </row>
    <row r="57" spans="11:24" x14ac:dyDescent="0.2">
      <c r="K57" s="288" t="str">
        <v>EUR_YC3MRH_FUT3MU9#0001</v>
      </c>
      <c r="L57" s="245">
        <f>_xll.qlRateHelperEarliestDate(K57)</f>
        <v>43726</v>
      </c>
      <c r="M57" s="262">
        <f>1-_xll.qlRateHelperQuoteValue(K57,_xll.ohTrigger(RecalcTrigger,Trigger))/100</f>
        <v>1.7650000000000055E-2</v>
      </c>
      <c r="N57" s="249" t="e">
        <f>NA()</f>
        <v>#N/A</v>
      </c>
      <c r="O57" s="245">
        <f>_xll.qlInterestRateIndexFixingDate(IborIndex,L57)</f>
        <v>43724</v>
      </c>
      <c r="P57" s="262">
        <f>_xll.qlIndexFixing(IborIndex,O57,TRUE,RecalcTrigger)</f>
        <v>1.7120466128604621E-2</v>
      </c>
      <c r="Q57" s="292">
        <f t="shared" si="4"/>
        <v>-5.2953387139543368E-4</v>
      </c>
      <c r="R57" s="261"/>
      <c r="T57" s="247" t="str">
        <f t="shared" si="3"/>
        <v>1D</v>
      </c>
      <c r="U57" s="245">
        <f>_xll.qlCalendarAdvance(Calendar,U56,T57,"f",FALSE)</f>
        <v>41845</v>
      </c>
      <c r="V57" s="248">
        <f>_xll.qlCalendarAdvance(Calendar,U57,NDays&amp;"D")</f>
        <v>41849</v>
      </c>
      <c r="W57" s="249">
        <v>1.9713115451014396E-3</v>
      </c>
      <c r="X57" s="246">
        <v>2.8293135980472783E-3</v>
      </c>
    </row>
    <row r="58" spans="11:24" x14ac:dyDescent="0.2">
      <c r="K58" s="288" t="str">
        <v>EUR_YC3MRH_FUT3MZ9#0001</v>
      </c>
      <c r="L58" s="245">
        <f>_xll.qlRateHelperEarliestDate(K58)</f>
        <v>43817</v>
      </c>
      <c r="M58" s="262">
        <f>1-_xll.qlRateHelperQuoteValue(K58,_xll.ohTrigger(RecalcTrigger,Trigger))/100</f>
        <v>1.8575000000000008E-2</v>
      </c>
      <c r="N58" s="249" t="e">
        <f>NA()</f>
        <v>#N/A</v>
      </c>
      <c r="O58" s="245">
        <f>_xll.qlInterestRateIndexFixingDate(IborIndex,L58)</f>
        <v>43815</v>
      </c>
      <c r="P58" s="262">
        <f>_xll.qlIndexFixing(IborIndex,O58,TRUE,RecalcTrigger)</f>
        <v>1.8063995321019773E-2</v>
      </c>
      <c r="Q58" s="292">
        <f t="shared" si="4"/>
        <v>-5.1100467898023555E-4</v>
      </c>
      <c r="R58" s="261"/>
      <c r="T58" s="247" t="str">
        <f t="shared" si="3"/>
        <v>1D</v>
      </c>
      <c r="U58" s="245">
        <f>_xll.qlCalendarAdvance(Calendar,U57,T58,"f",FALSE)</f>
        <v>41848</v>
      </c>
      <c r="V58" s="248">
        <f>_xll.qlCalendarAdvance(Calendar,U58,NDays&amp;"D")</f>
        <v>41850</v>
      </c>
      <c r="W58" s="249">
        <v>1.9625930485384804E-3</v>
      </c>
      <c r="X58" s="246">
        <v>2.7898079855059876E-3</v>
      </c>
    </row>
    <row r="59" spans="11:24" x14ac:dyDescent="0.2">
      <c r="K59" s="288" t="str">
        <v>EUR_YC3MRH_FUT3MH0#0001</v>
      </c>
      <c r="L59" s="245">
        <f>_xll.qlRateHelperEarliestDate(K59)</f>
        <v>43908</v>
      </c>
      <c r="M59" s="262">
        <f>1-_xll.qlRateHelperQuoteValue(K59,_xll.ohTrigger(RecalcTrigger,Trigger))/100</f>
        <v>1.9525000000000015E-2</v>
      </c>
      <c r="N59" s="249" t="e">
        <f>NA()</f>
        <v>#N/A</v>
      </c>
      <c r="O59" s="245">
        <f>_xll.qlInterestRateIndexFixingDate(IborIndex,L59)</f>
        <v>43906</v>
      </c>
      <c r="P59" s="262">
        <f>_xll.qlIndexFixing(IborIndex,O59,TRUE,RecalcTrigger)</f>
        <v>1.899058441597647E-2</v>
      </c>
      <c r="Q59" s="292">
        <f t="shared" si="4"/>
        <v>-5.3441558402354469E-4</v>
      </c>
      <c r="R59" s="261"/>
      <c r="T59" s="247" t="str">
        <f t="shared" si="3"/>
        <v>1D</v>
      </c>
      <c r="U59" s="245">
        <f>_xll.qlCalendarAdvance(Calendar,U58,T59,"f",FALSE)</f>
        <v>41849</v>
      </c>
      <c r="V59" s="248">
        <f>_xll.qlCalendarAdvance(Calendar,U59,NDays&amp;"D")</f>
        <v>41851</v>
      </c>
      <c r="W59" s="249">
        <v>1.9543406724168966E-3</v>
      </c>
      <c r="X59" s="246">
        <v>2.748365219407134E-3</v>
      </c>
    </row>
    <row r="60" spans="11:24" x14ac:dyDescent="0.2">
      <c r="K60" s="288" t="e">
        <v>#N/A</v>
      </c>
      <c r="L60" s="245" t="e">
        <f>_xll.qlRateHelperEarliestDate(K60)</f>
        <v>#VALUE!</v>
      </c>
      <c r="M60" s="289" t="e">
        <f>1-_xll.qlRateHelperQuoteValue(K60,_xll.ohTrigger(RecalcTrigger,Trigger))/100</f>
        <v>#VALUE!</v>
      </c>
      <c r="N60" s="249" t="e">
        <f>NA()</f>
        <v>#N/A</v>
      </c>
      <c r="O60" s="245" t="e">
        <f>_xll.qlInterestRateIndexFixingDate(IborIndex,L60)</f>
        <v>#NUM!</v>
      </c>
      <c r="P60" s="262" t="e">
        <f>_xll.qlIndexFixing(IborIndex,O60,TRUE,RecalcTrigger)</f>
        <v>#NUM!</v>
      </c>
      <c r="Q60" s="293" t="e">
        <f t="shared" si="4"/>
        <v>#NUM!</v>
      </c>
      <c r="R60" s="261"/>
      <c r="T60" s="247" t="str">
        <f t="shared" si="3"/>
        <v>1D</v>
      </c>
      <c r="U60" s="245">
        <f>_xll.qlCalendarAdvance(Calendar,U59,T60,"f",FALSE)</f>
        <v>41850</v>
      </c>
      <c r="V60" s="248">
        <f>_xll.qlCalendarAdvance(Calendar,U60,NDays&amp;"D")</f>
        <v>41852</v>
      </c>
      <c r="W60" s="249">
        <v>1.9485518083410859E-3</v>
      </c>
      <c r="X60" s="246">
        <v>2.6590421501193617E-3</v>
      </c>
    </row>
    <row r="61" spans="11:24" x14ac:dyDescent="0.2">
      <c r="K61" s="288" t="e">
        <v>#N/A</v>
      </c>
      <c r="L61" s="245" t="e">
        <f>_xll.qlRateHelperEarliestDate(K61)</f>
        <v>#VALUE!</v>
      </c>
      <c r="M61" s="289" t="e">
        <f>1-_xll.qlRateHelperQuoteValue(K61,_xll.ohTrigger(RecalcTrigger,Trigger))/100</f>
        <v>#VALUE!</v>
      </c>
      <c r="N61" s="249" t="e">
        <f>NA()</f>
        <v>#N/A</v>
      </c>
      <c r="O61" s="245" t="e">
        <f>_xll.qlInterestRateIndexFixingDate(IborIndex,L61)</f>
        <v>#NUM!</v>
      </c>
      <c r="P61" s="262" t="e">
        <f>_xll.qlIndexFixing(IborIndex,O61,TRUE,RecalcTrigger)</f>
        <v>#NUM!</v>
      </c>
      <c r="Q61" s="293" t="e">
        <f t="shared" si="4"/>
        <v>#NUM!</v>
      </c>
      <c r="R61" s="261"/>
      <c r="T61" s="247" t="str">
        <f t="shared" si="3"/>
        <v>1D</v>
      </c>
      <c r="U61" s="245">
        <f>_xll.qlCalendarAdvance(Calendar,U60,T61,"f",FALSE)</f>
        <v>41851</v>
      </c>
      <c r="V61" s="248">
        <f>_xll.qlCalendarAdvance(Calendar,U61,NDays&amp;"D")</f>
        <v>41855</v>
      </c>
      <c r="W61" s="249">
        <v>1.9263741645760546E-3</v>
      </c>
      <c r="X61" s="246">
        <v>2.5637683413837209E-3</v>
      </c>
    </row>
    <row r="62" spans="11:24" x14ac:dyDescent="0.2">
      <c r="K62" s="247" t="e">
        <v>#N/A</v>
      </c>
      <c r="L62" s="245" t="e">
        <f>_xll.qlRateHelperEarliestDate(K62)</f>
        <v>#VALUE!</v>
      </c>
      <c r="M62" s="289" t="e">
        <f>1-_xll.qlRateHelperQuoteValue(K62,_xll.ohTrigger(RecalcTrigger,Trigger))/100</f>
        <v>#VALUE!</v>
      </c>
      <c r="N62" s="249" t="e">
        <f>NA()</f>
        <v>#N/A</v>
      </c>
      <c r="O62" s="245" t="e">
        <f>_xll.qlInterestRateIndexFixingDate(IborIndex,L62)</f>
        <v>#NUM!</v>
      </c>
      <c r="P62" s="262" t="e">
        <f>_xll.qlIndexFixing(IborIndex,O62,TRUE,RecalcTrigger)</f>
        <v>#NUM!</v>
      </c>
      <c r="Q62" s="293" t="e">
        <f t="shared" si="4"/>
        <v>#NUM!</v>
      </c>
      <c r="R62" s="261"/>
      <c r="T62" s="247" t="str">
        <f t="shared" si="3"/>
        <v>1D</v>
      </c>
      <c r="U62" s="245">
        <f>_xll.qlCalendarAdvance(Calendar,U61,T62,"f",FALSE)</f>
        <v>41852</v>
      </c>
      <c r="V62" s="248">
        <f>_xll.qlCalendarAdvance(Calendar,U62,NDays&amp;"D")</f>
        <v>41856</v>
      </c>
      <c r="W62" s="249">
        <v>1.9207328008277375E-3</v>
      </c>
      <c r="X62" s="246">
        <v>2.5159140672403879E-3</v>
      </c>
    </row>
    <row r="63" spans="11:24" x14ac:dyDescent="0.2">
      <c r="K63" s="247" t="e">
        <v>#N/A</v>
      </c>
      <c r="L63" s="245" t="e">
        <f>_xll.qlRateHelperEarliestDate(K63)</f>
        <v>#VALUE!</v>
      </c>
      <c r="M63" s="289" t="e">
        <f>1-_xll.qlRateHelperQuoteValue(K63,_xll.ohTrigger(RecalcTrigger,Trigger))/100</f>
        <v>#VALUE!</v>
      </c>
      <c r="N63" s="249" t="e">
        <f>NA()</f>
        <v>#N/A</v>
      </c>
      <c r="O63" s="245" t="e">
        <f>_xll.qlInterestRateIndexFixingDate(IborIndex,L63)</f>
        <v>#NUM!</v>
      </c>
      <c r="P63" s="262" t="e">
        <f>_xll.qlIndexFixing(IborIndex,O63,TRUE,RecalcTrigger)</f>
        <v>#NUM!</v>
      </c>
      <c r="Q63" s="293" t="e">
        <f t="shared" si="4"/>
        <v>#NUM!</v>
      </c>
      <c r="R63" s="261"/>
      <c r="T63" s="247" t="str">
        <f t="shared" si="3"/>
        <v>1D</v>
      </c>
      <c r="U63" s="245">
        <f>_xll.qlCalendarAdvance(Calendar,U62,T63,"f",FALSE)</f>
        <v>41855</v>
      </c>
      <c r="V63" s="248">
        <f>_xll.qlCalendarAdvance(Calendar,U63,NDays&amp;"D")</f>
        <v>41857</v>
      </c>
      <c r="W63" s="249">
        <v>1.9156364890760005E-3</v>
      </c>
      <c r="X63" s="246">
        <v>2.4693968918487741E-3</v>
      </c>
    </row>
    <row r="64" spans="11:24" x14ac:dyDescent="0.2">
      <c r="K64" s="247" t="e">
        <v>#N/A</v>
      </c>
      <c r="L64" s="245" t="e">
        <f>_xll.qlRateHelperEarliestDate(K64)</f>
        <v>#VALUE!</v>
      </c>
      <c r="M64" s="289" t="e">
        <f>1-_xll.qlRateHelperQuoteValue(K64,_xll.ohTrigger(RecalcTrigger,Trigger))/100</f>
        <v>#VALUE!</v>
      </c>
      <c r="N64" s="249" t="e">
        <f>NA()</f>
        <v>#N/A</v>
      </c>
      <c r="O64" s="245" t="e">
        <f>_xll.qlInterestRateIndexFixingDate(IborIndex,L64)</f>
        <v>#NUM!</v>
      </c>
      <c r="P64" s="262" t="e">
        <f>_xll.qlIndexFixing(IborIndex,O64,TRUE,RecalcTrigger)</f>
        <v>#NUM!</v>
      </c>
      <c r="Q64" s="293" t="e">
        <f t="shared" si="4"/>
        <v>#NUM!</v>
      </c>
      <c r="R64" s="261"/>
      <c r="T64" s="247" t="str">
        <f t="shared" si="3"/>
        <v>1D</v>
      </c>
      <c r="U64" s="245">
        <f>_xll.qlCalendarAdvance(Calendar,U63,T64,"f",FALSE)</f>
        <v>41856</v>
      </c>
      <c r="V64" s="248">
        <f>_xll.qlCalendarAdvance(Calendar,U64,NDays&amp;"D")</f>
        <v>41858</v>
      </c>
      <c r="W64" s="249">
        <v>1.9110687127553369E-3</v>
      </c>
      <c r="X64" s="246">
        <v>2.4242168147292631E-3</v>
      </c>
    </row>
    <row r="65" spans="10:24" x14ac:dyDescent="0.2">
      <c r="K65" s="247" t="e">
        <v>#N/A</v>
      </c>
      <c r="L65" s="245" t="e">
        <f>_xll.qlRateHelperEarliestDate(K65)</f>
        <v>#VALUE!</v>
      </c>
      <c r="M65" s="289" t="e">
        <f>1-_xll.qlRateHelperQuoteValue(K65,_xll.ohTrigger(RecalcTrigger,Trigger))/100</f>
        <v>#VALUE!</v>
      </c>
      <c r="N65" s="249" t="e">
        <f>NA()</f>
        <v>#N/A</v>
      </c>
      <c r="O65" s="245" t="e">
        <f>_xll.qlInterestRateIndexFixingDate(IborIndex,L65)</f>
        <v>#NUM!</v>
      </c>
      <c r="P65" s="262" t="e">
        <f>_xll.qlIndexFixing(IborIndex,O65,TRUE,RecalcTrigger)</f>
        <v>#NUM!</v>
      </c>
      <c r="Q65" s="293" t="e">
        <f t="shared" si="4"/>
        <v>#NUM!</v>
      </c>
      <c r="T65" s="247" t="str">
        <f t="shared" si="3"/>
        <v>1D</v>
      </c>
      <c r="U65" s="245">
        <f>_xll.qlCalendarAdvance(Calendar,U64,T65,"f",FALSE)</f>
        <v>41857</v>
      </c>
      <c r="V65" s="248">
        <f>_xll.qlCalendarAdvance(Calendar,U65,NDays&amp;"D")</f>
        <v>41859</v>
      </c>
      <c r="W65" s="249">
        <v>1.9101566031165293E-3</v>
      </c>
      <c r="X65" s="246">
        <v>2.3383288385847578E-3</v>
      </c>
    </row>
    <row r="66" spans="10:24" x14ac:dyDescent="0.2">
      <c r="K66" s="247" t="e">
        <v>#N/A</v>
      </c>
      <c r="L66" s="245" t="e">
        <f>_xll.qlRateHelperEarliestDate(K66)</f>
        <v>#VALUE!</v>
      </c>
      <c r="M66" s="289" t="e">
        <f>1-_xll.qlRateHelperQuoteValue(K66,_xll.ohTrigger(RecalcTrigger,Trigger))/100</f>
        <v>#VALUE!</v>
      </c>
      <c r="N66" s="249" t="e">
        <f>NA()</f>
        <v>#N/A</v>
      </c>
      <c r="O66" s="245" t="e">
        <f>_xll.qlInterestRateIndexFixingDate(IborIndex,L66)</f>
        <v>#NUM!</v>
      </c>
      <c r="P66" s="262" t="e">
        <f>_xll.qlIndexFixing(IborIndex,O66,TRUE,RecalcTrigger)</f>
        <v>#NUM!</v>
      </c>
      <c r="Q66" s="293" t="e">
        <f t="shared" si="4"/>
        <v>#NUM!</v>
      </c>
      <c r="T66" s="247" t="str">
        <f t="shared" si="3"/>
        <v>1D</v>
      </c>
      <c r="U66" s="245">
        <f>_xll.qlCalendarAdvance(Calendar,U65,T66,"f",FALSE)</f>
        <v>41858</v>
      </c>
      <c r="V66" s="248">
        <f>_xll.qlCalendarAdvance(Calendar,U66,NDays&amp;"D")</f>
        <v>41862</v>
      </c>
      <c r="W66" s="249">
        <v>1.8977526403575536E-3</v>
      </c>
      <c r="X66" s="246">
        <v>2.256867478820368E-3</v>
      </c>
    </row>
    <row r="67" spans="10:24" x14ac:dyDescent="0.2">
      <c r="K67" s="247" t="e">
        <v>#N/A</v>
      </c>
      <c r="L67" s="245" t="e">
        <f>_xll.qlRateHelperEarliestDate(K67)</f>
        <v>#VALUE!</v>
      </c>
      <c r="M67" s="289" t="e">
        <f>1-_xll.qlRateHelperQuoteValue(K67,_xll.ohTrigger(RecalcTrigger,Trigger))/100</f>
        <v>#VALUE!</v>
      </c>
      <c r="N67" s="249" t="e">
        <f>NA()</f>
        <v>#N/A</v>
      </c>
      <c r="O67" s="245" t="e">
        <f>_xll.qlInterestRateIndexFixingDate(IborIndex,L67)</f>
        <v>#NUM!</v>
      </c>
      <c r="P67" s="262" t="e">
        <f>_xll.qlIndexFixing(IborIndex,O67,TRUE,RecalcTrigger)</f>
        <v>#NUM!</v>
      </c>
      <c r="Q67" s="293" t="e">
        <f t="shared" si="4"/>
        <v>#NUM!</v>
      </c>
      <c r="R67" s="261"/>
      <c r="T67" s="247" t="str">
        <f t="shared" si="3"/>
        <v>1D</v>
      </c>
      <c r="U67" s="245">
        <f>_xll.qlCalendarAdvance(Calendar,U66,T67,"f",FALSE)</f>
        <v>41859</v>
      </c>
      <c r="V67" s="248">
        <f>_xll.qlCalendarAdvance(Calendar,U67,NDays&amp;"D")</f>
        <v>41863</v>
      </c>
      <c r="W67" s="249">
        <v>1.895579802300248E-3</v>
      </c>
      <c r="X67" s="246">
        <v>2.2183728856273177E-3</v>
      </c>
    </row>
    <row r="68" spans="10:24" x14ac:dyDescent="0.2">
      <c r="K68" s="247" t="e">
        <v>#N/A</v>
      </c>
      <c r="L68" s="245" t="e">
        <f>_xll.qlRateHelperEarliestDate(K68)</f>
        <v>#VALUE!</v>
      </c>
      <c r="M68" s="289" t="e">
        <f>1-_xll.qlRateHelperQuoteValue(K68,_xll.ohTrigger(RecalcTrigger,Trigger))/100</f>
        <v>#VALUE!</v>
      </c>
      <c r="N68" s="249" t="e">
        <f>NA()</f>
        <v>#N/A</v>
      </c>
      <c r="O68" s="245" t="e">
        <f>_xll.qlInterestRateIndexFixingDate(IborIndex,L68)</f>
        <v>#NUM!</v>
      </c>
      <c r="P68" s="262" t="e">
        <f>_xll.qlIndexFixing(IborIndex,O68,TRUE,RecalcTrigger)</f>
        <v>#NUM!</v>
      </c>
      <c r="Q68" s="293" t="e">
        <f t="shared" si="4"/>
        <v>#NUM!</v>
      </c>
      <c r="R68" s="261"/>
      <c r="T68" s="247" t="str">
        <f t="shared" si="3"/>
        <v>1D</v>
      </c>
      <c r="U68" s="245">
        <f>_xll.qlCalendarAdvance(Calendar,U67,T68,"f",FALSE)</f>
        <v>41862</v>
      </c>
      <c r="V68" s="248">
        <f>_xll.qlCalendarAdvance(Calendar,U68,NDays&amp;"D")</f>
        <v>41864</v>
      </c>
      <c r="W68" s="249">
        <v>1.8938364057453012E-3</v>
      </c>
      <c r="X68" s="246">
        <v>2.1812153879086082E-3</v>
      </c>
    </row>
    <row r="69" spans="10:24" ht="12" thickBot="1" x14ac:dyDescent="0.25">
      <c r="K69" s="247" t="e">
        <v>#N/A</v>
      </c>
      <c r="L69" s="245" t="e">
        <f>_xll.qlRateHelperEarliestDate(K69)</f>
        <v>#VALUE!</v>
      </c>
      <c r="M69" s="289" t="e">
        <f>1-_xll.qlRateHelperQuoteValue(K69,_xll.ohTrigger(RecalcTrigger,Trigger))/100</f>
        <v>#VALUE!</v>
      </c>
      <c r="N69" s="249" t="e">
        <f>NA()</f>
        <v>#N/A</v>
      </c>
      <c r="O69" s="257" t="e">
        <f>_xll.qlInterestRateIndexFixingDate(IborIndex,L69)</f>
        <v>#NUM!</v>
      </c>
      <c r="P69" s="262" t="e">
        <f>_xll.qlIndexFixing(IborIndex,O69,TRUE,RecalcTrigger)</f>
        <v>#NUM!</v>
      </c>
      <c r="Q69" s="293" t="e">
        <f t="shared" si="4"/>
        <v>#NUM!</v>
      </c>
      <c r="R69" s="261"/>
      <c r="T69" s="247" t="str">
        <f t="shared" si="3"/>
        <v>1D</v>
      </c>
      <c r="U69" s="245">
        <f>_xll.qlCalendarAdvance(Calendar,U68,T69,"f",FALSE)</f>
        <v>41863</v>
      </c>
      <c r="V69" s="248">
        <f>_xll.qlCalendarAdvance(Calendar,U69,NDays&amp;"D")</f>
        <v>41865</v>
      </c>
      <c r="W69" s="249">
        <v>1.8925059357589448E-3</v>
      </c>
      <c r="X69" s="246">
        <v>2.1453949853444954E-3</v>
      </c>
    </row>
    <row r="70" spans="10:24" x14ac:dyDescent="0.2">
      <c r="K70" s="297" t="str">
        <f t="array" ref="K70:K77">_xll.ohFilter(RateHelpers!E29:E70,RateHelpers!Q29:Q70)</f>
        <v>EUR_YC3MRH_FUT3MN4#0001</v>
      </c>
      <c r="L70" s="298">
        <f>_xll.qlRateHelperEarliestDate(K70)</f>
        <v>41836</v>
      </c>
      <c r="M70" s="299">
        <f>1-_xll.qlRateHelperQuoteValue(K70,_xll.ohTrigger(RecalcTrigger,Trigger))/100</f>
        <v>2.274999999999916E-3</v>
      </c>
      <c r="N70" s="300" t="e">
        <f>NA()</f>
        <v>#N/A</v>
      </c>
      <c r="O70" s="298">
        <f>_xll.qlInterestRateIndexFixingDate(IborIndex,L70)</f>
        <v>41834</v>
      </c>
      <c r="P70" s="308">
        <f>_xll.qlIndexFixing(IborIndex,O70,TRUE,RecalcTrigger)</f>
        <v>2.1183831106509681E-3</v>
      </c>
      <c r="Q70" s="301"/>
      <c r="R70" s="261"/>
      <c r="T70" s="247" t="str">
        <f t="shared" si="3"/>
        <v>1D</v>
      </c>
      <c r="U70" s="245">
        <f>_xll.qlCalendarAdvance(Calendar,U69,T70,"f",FALSE)</f>
        <v>41864</v>
      </c>
      <c r="V70" s="248">
        <f>_xll.qlCalendarAdvance(Calendar,U70,NDays&amp;"D")</f>
        <v>41866</v>
      </c>
      <c r="W70" s="249">
        <v>1.8951786346289175E-3</v>
      </c>
      <c r="X70" s="246">
        <v>2.0782231576443877E-3</v>
      </c>
    </row>
    <row r="71" spans="10:24" x14ac:dyDescent="0.2">
      <c r="J71" s="1"/>
      <c r="K71" s="247" t="str">
        <v>EUR_YC3MRH_FUT3MQ4#0001</v>
      </c>
      <c r="L71" s="245">
        <f>_xll.qlRateHelperEarliestDate(K71)</f>
        <v>41871</v>
      </c>
      <c r="M71" s="289">
        <f>1-_xll.qlRateHelperQuoteValue(K71,_xll.ohTrigger(RecalcTrigger,Trigger))/100</f>
        <v>2.1000000000001018E-3</v>
      </c>
      <c r="N71" s="249" t="e">
        <f>NA()</f>
        <v>#N/A</v>
      </c>
      <c r="O71" s="245">
        <f>_xll.qlInterestRateIndexFixingDate(IborIndex,L71)</f>
        <v>41869</v>
      </c>
      <c r="P71" s="262">
        <f>_xll.qlIndexFixing(IborIndex,O71,TRUE,RecalcTrigger)</f>
        <v>1.8922697552264222E-3</v>
      </c>
      <c r="Q71" s="293"/>
      <c r="R71" s="261"/>
      <c r="T71" s="247" t="str">
        <f t="shared" si="3"/>
        <v>1D</v>
      </c>
      <c r="U71" s="245">
        <f>_xll.qlCalendarAdvance(Calendar,U70,T71,"f",FALSE)</f>
        <v>41865</v>
      </c>
      <c r="V71" s="248">
        <f>_xll.qlCalendarAdvance(Calendar,U71,NDays&amp;"D")</f>
        <v>41869</v>
      </c>
      <c r="W71" s="249">
        <v>1.8909830279886194E-3</v>
      </c>
      <c r="X71" s="246">
        <v>2.0154843173614267E-3</v>
      </c>
    </row>
    <row r="72" spans="10:24" x14ac:dyDescent="0.2">
      <c r="K72" s="247" t="e">
        <v>#N/A</v>
      </c>
      <c r="L72" s="245" t="e">
        <f>_xll.qlRateHelperEarliestDate(K72)</f>
        <v>#VALUE!</v>
      </c>
      <c r="M72" s="289" t="e">
        <f>1-_xll.qlRateHelperQuoteValue(K72,_xll.ohTrigger(RecalcTrigger,Trigger))/100</f>
        <v>#VALUE!</v>
      </c>
      <c r="N72" s="249" t="e">
        <f>NA()</f>
        <v>#N/A</v>
      </c>
      <c r="O72" s="245" t="e">
        <f>_xll.qlInterestRateIndexFixingDate(IborIndex,L72)</f>
        <v>#NUM!</v>
      </c>
      <c r="P72" s="262" t="e">
        <f>_xll.qlIndexFixing(IborIndex,O72,TRUE,RecalcTrigger)</f>
        <v>#NUM!</v>
      </c>
      <c r="Q72" s="293"/>
      <c r="R72" s="261"/>
      <c r="T72" s="247" t="str">
        <f t="shared" si="3"/>
        <v>1D</v>
      </c>
      <c r="U72" s="245">
        <f>_xll.qlCalendarAdvance(Calendar,U71,T72,"f",FALSE)</f>
        <v>41866</v>
      </c>
      <c r="V72" s="248">
        <f>_xll.qlCalendarAdvance(Calendar,U72,NDays&amp;"D")</f>
        <v>41870</v>
      </c>
      <c r="W72" s="249">
        <v>1.8914694717617078E-3</v>
      </c>
      <c r="X72" s="246">
        <v>1.9863493841754121E-3</v>
      </c>
    </row>
    <row r="73" spans="10:24" x14ac:dyDescent="0.2">
      <c r="K73" s="247" t="e">
        <v>#N/A</v>
      </c>
      <c r="L73" s="245" t="e">
        <f>_xll.qlRateHelperEarliestDate(K73)</f>
        <v>#VALUE!</v>
      </c>
      <c r="M73" s="289" t="e">
        <f>1-_xll.qlRateHelperQuoteValue(K73,_xll.ohTrigger(RecalcTrigger,Trigger))/100</f>
        <v>#VALUE!</v>
      </c>
      <c r="N73" s="249" t="e">
        <f>NA()</f>
        <v>#N/A</v>
      </c>
      <c r="O73" s="245" t="e">
        <f>_xll.qlInterestRateIndexFixingDate(IborIndex,L73)</f>
        <v>#NUM!</v>
      </c>
      <c r="P73" s="262" t="e">
        <f>_xll.qlIndexFixing(IborIndex,O73,TRUE,RecalcTrigger)</f>
        <v>#NUM!</v>
      </c>
      <c r="Q73" s="293"/>
      <c r="R73" s="261"/>
      <c r="T73" s="247" t="str">
        <f t="shared" si="3"/>
        <v>1D</v>
      </c>
      <c r="U73" s="245">
        <f>_xll.qlCalendarAdvance(Calendar,U72,T73,"f",FALSE)</f>
        <v>41869</v>
      </c>
      <c r="V73" s="248">
        <f>_xll.qlCalendarAdvance(Calendar,U73,NDays&amp;"D")</f>
        <v>41871</v>
      </c>
      <c r="W73" s="249">
        <v>1.8922697552264222E-3</v>
      </c>
      <c r="X73" s="246">
        <v>1.9585515439057843E-3</v>
      </c>
    </row>
    <row r="74" spans="10:24" x14ac:dyDescent="0.2">
      <c r="K74" s="247" t="e">
        <v>#N/A</v>
      </c>
      <c r="L74" s="245" t="e">
        <f>_xll.qlRateHelperEarliestDate(K74)</f>
        <v>#VALUE!</v>
      </c>
      <c r="M74" s="289" t="e">
        <f>1-_xll.qlRateHelperQuoteValue(K74,_xll.ohTrigger(RecalcTrigger,Trigger))/100</f>
        <v>#VALUE!</v>
      </c>
      <c r="N74" s="249" t="e">
        <f>NA()</f>
        <v>#N/A</v>
      </c>
      <c r="O74" s="245" t="e">
        <f>_xll.qlInterestRateIndexFixingDate(IborIndex,L74)</f>
        <v>#NUM!</v>
      </c>
      <c r="P74" s="262" t="e">
        <f>_xll.qlIndexFixing(IborIndex,O74,TRUE,RecalcTrigger)</f>
        <v>#NUM!</v>
      </c>
      <c r="Q74" s="293"/>
      <c r="T74" s="247" t="str">
        <f t="shared" si="3"/>
        <v>1D</v>
      </c>
      <c r="U74" s="245">
        <f>_xll.qlCalendarAdvance(Calendar,U73,T74,"f",FALSE)</f>
        <v>41870</v>
      </c>
      <c r="V74" s="248">
        <f>_xll.qlCalendarAdvance(Calendar,U74,NDays&amp;"D")</f>
        <v>41872</v>
      </c>
      <c r="W74" s="249">
        <v>1.8933673642127311E-3</v>
      </c>
      <c r="X74" s="246">
        <v>1.9320907962327993E-3</v>
      </c>
    </row>
    <row r="75" spans="10:24" x14ac:dyDescent="0.2">
      <c r="K75" s="247" t="e">
        <v>#N/A</v>
      </c>
      <c r="L75" s="245" t="e">
        <f>_xll.qlRateHelperEarliestDate(K75)</f>
        <v>#VALUE!</v>
      </c>
      <c r="M75" s="289" t="e">
        <f>1-_xll.qlRateHelperQuoteValue(K75,_xll.ohTrigger(RecalcTrigger,Trigger))/100</f>
        <v>#VALUE!</v>
      </c>
      <c r="N75" s="249" t="e">
        <f>NA()</f>
        <v>#N/A</v>
      </c>
      <c r="O75" s="245" t="e">
        <f>_xll.qlInterestRateIndexFixingDate(IborIndex,L75)</f>
        <v>#NUM!</v>
      </c>
      <c r="P75" s="262" t="e">
        <f>_xll.qlIndexFixing(IborIndex,O75,TRUE,RecalcTrigger)</f>
        <v>#NUM!</v>
      </c>
      <c r="Q75" s="293"/>
      <c r="T75" s="247" t="str">
        <f t="shared" si="3"/>
        <v>1D</v>
      </c>
      <c r="U75" s="245">
        <f>_xll.qlCalendarAdvance(Calendar,U74,T75,"f",FALSE)</f>
        <v>41871</v>
      </c>
      <c r="V75" s="248">
        <f>_xll.qlCalendarAdvance(Calendar,U75,NDays&amp;"D")</f>
        <v>41873</v>
      </c>
      <c r="W75" s="249">
        <v>1.8982304751317808E-3</v>
      </c>
      <c r="X75" s="246">
        <v>1.8836361297136506E-3</v>
      </c>
    </row>
    <row r="76" spans="10:24" x14ac:dyDescent="0.2">
      <c r="K76" s="247" t="e">
        <v>#N/A</v>
      </c>
      <c r="L76" s="245" t="e">
        <f>_xll.qlRateHelperEarliestDate(K76)</f>
        <v>#VALUE!</v>
      </c>
      <c r="M76" s="289" t="e">
        <f>1-_xll.qlRateHelperQuoteValue(K76,_xll.ohTrigger(RecalcTrigger,Trigger))/100</f>
        <v>#VALUE!</v>
      </c>
      <c r="N76" s="249" t="e">
        <f>NA()</f>
        <v>#N/A</v>
      </c>
      <c r="O76" s="245" t="e">
        <f>_xll.qlInterestRateIndexFixingDate(IborIndex,L76)</f>
        <v>#NUM!</v>
      </c>
      <c r="P76" s="262" t="e">
        <f>_xll.qlIndexFixing(IborIndex,O76,TRUE,RecalcTrigger)</f>
        <v>#NUM!</v>
      </c>
      <c r="Q76" s="293"/>
      <c r="T76" s="247" t="str">
        <f t="shared" si="3"/>
        <v>1D</v>
      </c>
      <c r="U76" s="245">
        <f>_xll.qlCalendarAdvance(Calendar,U75,T76,"f",FALSE)</f>
        <v>41872</v>
      </c>
      <c r="V76" s="248">
        <f>_xll.qlCalendarAdvance(Calendar,U76,NDays&amp;"D")</f>
        <v>41876</v>
      </c>
      <c r="W76" s="249">
        <v>1.9004007735302982E-3</v>
      </c>
      <c r="X76" s="246">
        <v>1.8396187251923379E-3</v>
      </c>
    </row>
    <row r="77" spans="10:24" ht="12" thickBot="1" x14ac:dyDescent="0.25">
      <c r="K77" s="265" t="e">
        <v>#N/A</v>
      </c>
      <c r="L77" s="252" t="e">
        <f>_xll.qlRateHelperEarliestDate(K77)</f>
        <v>#VALUE!</v>
      </c>
      <c r="M77" s="290" t="e">
        <f>1-_xll.qlRateHelperQuoteValue(K77,_xll.ohTrigger(RecalcTrigger,Trigger))/100</f>
        <v>#VALUE!</v>
      </c>
      <c r="N77" s="250" t="e">
        <f>NA()</f>
        <v>#N/A</v>
      </c>
      <c r="O77" s="268" t="e">
        <f>_xll.qlInterestRateIndexFixingDate(IborIndex,L77)</f>
        <v>#NUM!</v>
      </c>
      <c r="P77" s="296" t="e">
        <f>_xll.qlIndexFixing(IborIndex,O77,TRUE,RecalcTrigger)</f>
        <v>#NUM!</v>
      </c>
      <c r="Q77" s="294"/>
      <c r="T77" s="247" t="str">
        <f t="shared" si="3"/>
        <v>1D</v>
      </c>
      <c r="U77" s="245">
        <f>_xll.qlCalendarAdvance(Calendar,U76,T77,"f",FALSE)</f>
        <v>41873</v>
      </c>
      <c r="V77" s="248">
        <f>_xll.qlCalendarAdvance(Calendar,U77,NDays&amp;"D")</f>
        <v>41877</v>
      </c>
      <c r="W77" s="249">
        <v>1.9027372989729888E-3</v>
      </c>
      <c r="X77" s="246">
        <v>1.8198434361860194E-3</v>
      </c>
    </row>
    <row r="78" spans="10:24" ht="12" thickBot="1" x14ac:dyDescent="0.25">
      <c r="T78" s="247" t="str">
        <f t="shared" si="3"/>
        <v>1D</v>
      </c>
      <c r="U78" s="245">
        <f>_xll.qlCalendarAdvance(Calendar,U77,T78,"f",FALSE)</f>
        <v>41876</v>
      </c>
      <c r="V78" s="248">
        <f>_xll.qlCalendarAdvance(Calendar,U78,NDays&amp;"D")</f>
        <v>41878</v>
      </c>
      <c r="W78" s="249">
        <v>1.9052720656026238E-3</v>
      </c>
      <c r="X78" s="246">
        <v>1.8014052381776224E-3</v>
      </c>
    </row>
    <row r="79" spans="10:24" x14ac:dyDescent="0.2">
      <c r="K79" s="237" t="s">
        <v>172</v>
      </c>
      <c r="L79" s="238" t="s">
        <v>168</v>
      </c>
      <c r="M79" s="238" t="s">
        <v>73</v>
      </c>
      <c r="N79" s="253" t="s">
        <v>173</v>
      </c>
      <c r="O79" s="238" t="s">
        <v>174</v>
      </c>
      <c r="P79" s="238"/>
      <c r="Q79" s="254" t="s">
        <v>175</v>
      </c>
      <c r="T79" s="247" t="str">
        <f t="shared" si="3"/>
        <v>1D</v>
      </c>
      <c r="U79" s="245">
        <f>_xll.qlCalendarAdvance(Calendar,U78,T79,"f",FALSE)</f>
        <v>41877</v>
      </c>
      <c r="V79" s="248">
        <f>_xll.qlCalendarAdvance(Calendar,U79,NDays&amp;"D")</f>
        <v>41879</v>
      </c>
      <c r="W79" s="249">
        <v>1.9079885593795024E-3</v>
      </c>
      <c r="X79" s="246">
        <v>1.7843041309273389E-3</v>
      </c>
    </row>
    <row r="80" spans="10:24" x14ac:dyDescent="0.2">
      <c r="K80" s="247" t="str">
        <f t="array" ref="K80:K116">_xll.ohFilter(RateHelpers!E89:E125,RateHelpers!O89:O125)</f>
        <v>EUR_YC3MRH_AB3E1Y#0001</v>
      </c>
      <c r="L80" s="245">
        <f>_xll.qlRateHelperLatestDate(K80,Trigger)</f>
        <v>42157</v>
      </c>
      <c r="M80" s="255">
        <f>_xll.qlRateHelperQuoteValue(K80,_xll.ohTrigger(RecalcTrigger,YieldCurve))</f>
        <v>2.2599999999999999E-3</v>
      </c>
      <c r="N80" s="256" t="str">
        <f t="array" ref="N80:N116">_xll.ohFilter(RateHelpers!D89:D125,RateHelpers!O89:O125)</f>
        <v>1Y</v>
      </c>
      <c r="O80" s="257" t="str">
        <f>_xll.qlEuriborSwap(,"IsdaFixA",Monitor!N80,YieldCurve,Discounting,,_xll.ohTrigger(Trigger,RecalcTrigger))</f>
        <v>obj_00638#0001</v>
      </c>
      <c r="P80" s="258">
        <f>_xll.qlIndexFixing(O80,$U$16,TRUE,Trigger)</f>
        <v>2.1848877483272885E-3</v>
      </c>
      <c r="Q80" s="259">
        <f t="shared" ref="Q80:Q116" si="5">P80-M80</f>
        <v>-7.5112251672711326E-5</v>
      </c>
      <c r="T80" s="247" t="str">
        <f t="shared" si="3"/>
        <v>1D</v>
      </c>
      <c r="U80" s="245">
        <f>_xll.qlCalendarAdvance(Calendar,U79,T80,"f",FALSE)</f>
        <v>41878</v>
      </c>
      <c r="V80" s="248">
        <f>_xll.qlCalendarAdvance(Calendar,U80,NDays&amp;"D")</f>
        <v>41880</v>
      </c>
      <c r="W80" s="249">
        <v>1.9093382654783993E-3</v>
      </c>
      <c r="X80" s="246">
        <v>1.7545674360608388E-3</v>
      </c>
    </row>
    <row r="81" spans="11:24" x14ac:dyDescent="0.2">
      <c r="K81" s="247" t="str">
        <v>EUR_YC3MRH_AB3E15M#0001</v>
      </c>
      <c r="L81" s="245">
        <f>_xll.qlRateHelperLatestDate(K81,Trigger)</f>
        <v>42249</v>
      </c>
      <c r="M81" s="255">
        <f>_xll.qlRateHelperQuoteValue(K81,_xll.ohTrigger(RecalcTrigger,YieldCurve))</f>
        <v>2.1900000000000001E-3</v>
      </c>
      <c r="N81" s="260" t="str">
        <v>15M</v>
      </c>
      <c r="O81" s="257" t="str">
        <f>_xll.qlEuriborSwap(,"IsdaFixA",Monitor!N81,YieldCurve,Discounting,,_xll.ohTrigger(Trigger,RecalcTrigger))</f>
        <v>obj_0064b#0001</v>
      </c>
      <c r="P81" s="258">
        <f>_xll.qlIndexFixing(O81,$U$16,TRUE,Trigger)</f>
        <v>2.1263070171334999E-3</v>
      </c>
      <c r="Q81" s="259">
        <f t="shared" si="5"/>
        <v>-6.3692982866500169E-5</v>
      </c>
      <c r="T81" s="247" t="str">
        <f t="shared" si="3"/>
        <v>1D</v>
      </c>
      <c r="U81" s="245">
        <f>_xll.qlCalendarAdvance(Calendar,U80,T81,"f",FALSE)</f>
        <v>41879</v>
      </c>
      <c r="V81" s="248">
        <f>_xll.qlCalendarAdvance(Calendar,U81,NDays&amp;"D")</f>
        <v>41883</v>
      </c>
      <c r="W81" s="249">
        <v>1.918988486826576E-3</v>
      </c>
      <c r="X81" s="246">
        <v>1.7292706064697683E-3</v>
      </c>
    </row>
    <row r="82" spans="11:24" x14ac:dyDescent="0.2">
      <c r="K82" s="247" t="str">
        <v>EUR_YC3MRH_AB3E18M#0001</v>
      </c>
      <c r="L82" s="245">
        <f>_xll.qlRateHelperLatestDate(K82,Trigger)</f>
        <v>42340</v>
      </c>
      <c r="M82" s="255">
        <f>_xll.qlRateHelperQuoteValue(K82,_xll.ohTrigger(RecalcTrigger,YieldCurve))</f>
        <v>2.1700000000000001E-3</v>
      </c>
      <c r="N82" s="260" t="str">
        <v>18M</v>
      </c>
      <c r="O82" s="257" t="str">
        <f>_xll.qlEuriborSwap(,"IsdaFixA",Monitor!N82,YieldCurve,Discounting,,_xll.ohTrigger(Trigger,RecalcTrigger))</f>
        <v>obj_00637#0001</v>
      </c>
      <c r="P82" s="258">
        <f>_xll.qlIndexFixing(O82,$U$16,TRUE,Trigger)</f>
        <v>2.1220474610373881E-3</v>
      </c>
      <c r="Q82" s="259">
        <f t="shared" si="5"/>
        <v>-4.7952538962611931E-5</v>
      </c>
      <c r="T82" s="247" t="str">
        <f t="shared" ref="T82:T145" si="6">T81</f>
        <v>1D</v>
      </c>
      <c r="U82" s="245">
        <f>_xll.qlCalendarAdvance(Calendar,U81,T82,"f",FALSE)</f>
        <v>41880</v>
      </c>
      <c r="V82" s="248">
        <f>_xll.qlCalendarAdvance(Calendar,U82,NDays&amp;"D")</f>
        <v>41884</v>
      </c>
      <c r="W82" s="249">
        <v>1.9224319703310692E-3</v>
      </c>
      <c r="X82" s="246">
        <v>1.718854950771842E-3</v>
      </c>
    </row>
    <row r="83" spans="11:24" x14ac:dyDescent="0.2">
      <c r="K83" s="247" t="str">
        <v>EUR_YC3MRH_AB3E21M#0001</v>
      </c>
      <c r="L83" s="245">
        <f>_xll.qlRateHelperLatestDate(K83,Trigger)</f>
        <v>42431</v>
      </c>
      <c r="M83" s="255">
        <f>_xll.qlRateHelperQuoteValue(K83,_xll.ohTrigger(RecalcTrigger,YieldCurve))</f>
        <v>2.2200000000000002E-3</v>
      </c>
      <c r="N83" s="260" t="str">
        <v>21M</v>
      </c>
      <c r="O83" s="257" t="str">
        <f>_xll.qlEuriborSwap(,"IsdaFixA",Monitor!N83,YieldCurve,Discounting,,_xll.ohTrigger(Trigger,RecalcTrigger))</f>
        <v>obj_00646#0001</v>
      </c>
      <c r="P83" s="258">
        <f>_xll.qlIndexFixing(O83,$U$16,TRUE,Trigger)</f>
        <v>2.173598714167E-3</v>
      </c>
      <c r="Q83" s="259">
        <f t="shared" si="5"/>
        <v>-4.6401285833000232E-5</v>
      </c>
      <c r="R83" s="236" t="s">
        <v>176</v>
      </c>
      <c r="T83" s="247" t="str">
        <f t="shared" si="6"/>
        <v>1D</v>
      </c>
      <c r="U83" s="245">
        <f>_xll.qlCalendarAdvance(Calendar,U82,T83,"f",FALSE)</f>
        <v>41883</v>
      </c>
      <c r="V83" s="248">
        <f>_xll.qlCalendarAdvance(Calendar,U83,NDays&amp;"D")</f>
        <v>41885</v>
      </c>
      <c r="W83" s="249">
        <v>1.925960999366661E-3</v>
      </c>
      <c r="X83" s="246">
        <v>1.7097763848727965E-3</v>
      </c>
    </row>
    <row r="84" spans="11:24" x14ac:dyDescent="0.2">
      <c r="K84" s="247" t="str">
        <v>EUR_YC3MRH_AB3E2Y#0001</v>
      </c>
      <c r="L84" s="245">
        <f>_xll.qlRateHelperLatestDate(K84,Trigger)</f>
        <v>42523</v>
      </c>
      <c r="M84" s="255">
        <f>_xll.qlRateHelperQuoteValue(K84,_xll.ohTrigger(RecalcTrigger,YieldCurve))</f>
        <v>2.31E-3</v>
      </c>
      <c r="N84" s="260" t="str">
        <v>2Y</v>
      </c>
      <c r="O84" s="257" t="str">
        <f>_xll.qlEuriborSwap(,"IsdaFixA",Monitor!N84,YieldCurve,Discounting,,_xll.ohTrigger(Trigger,RecalcTrigger))</f>
        <v>obj_0064c#0001</v>
      </c>
      <c r="P84" s="258">
        <f>_xll.qlIndexFixing(O84,$U$16,TRUE,Trigger)</f>
        <v>2.2828322062679821E-3</v>
      </c>
      <c r="Q84" s="259">
        <f t="shared" si="5"/>
        <v>-2.7167793732017862E-5</v>
      </c>
      <c r="R84" s="263">
        <f>MAX(ABS(Q84:Q101))</f>
        <v>2.7167793732017862E-5</v>
      </c>
      <c r="T84" s="247" t="str">
        <f t="shared" si="6"/>
        <v>1D</v>
      </c>
      <c r="U84" s="245">
        <f>_xll.qlCalendarAdvance(Calendar,U83,T84,"f",FALSE)</f>
        <v>41884</v>
      </c>
      <c r="V84" s="248">
        <f>_xll.qlCalendarAdvance(Calendar,U84,NDays&amp;"D")</f>
        <v>41886</v>
      </c>
      <c r="W84" s="249">
        <v>1.929558878259936E-3</v>
      </c>
      <c r="X84" s="246">
        <v>1.7020349088525677E-3</v>
      </c>
    </row>
    <row r="85" spans="11:24" x14ac:dyDescent="0.2">
      <c r="K85" s="247" t="str">
        <v>EUR_YC3MRH_AB3E3Y#0001</v>
      </c>
      <c r="L85" s="245">
        <f>_xll.qlRateHelperLatestDate(K85,Trigger)</f>
        <v>42888</v>
      </c>
      <c r="M85" s="255">
        <f>_xll.qlRateHelperQuoteValue(K85,_xll.ohTrigger(RecalcTrigger,YieldCurve))</f>
        <v>3.2099999999999993E-3</v>
      </c>
      <c r="N85" s="260" t="str">
        <v>3Y</v>
      </c>
      <c r="O85" s="257" t="str">
        <f>_xll.qlEuriborSwap(,"IsdaFixA",Monitor!N85,YieldCurve,Discounting,,_xll.ohTrigger(Trigger,RecalcTrigger))</f>
        <v>obj_00644#0001</v>
      </c>
      <c r="P85" s="258">
        <f>_xll.qlIndexFixing(O85,$U$16,TRUE,Trigger)</f>
        <v>3.2106697761889427E-3</v>
      </c>
      <c r="Q85" s="259">
        <f>P85-M85</f>
        <v>6.6977618894343074E-7</v>
      </c>
      <c r="T85" s="247" t="str">
        <f t="shared" si="6"/>
        <v>1D</v>
      </c>
      <c r="U85" s="245">
        <f>_xll.qlCalendarAdvance(Calendar,U84,T85,"f",FALSE)</f>
        <v>41885</v>
      </c>
      <c r="V85" s="248">
        <f>_xll.qlCalendarAdvance(Calendar,U85,NDays&amp;"D")</f>
        <v>41887</v>
      </c>
      <c r="W85" s="249">
        <v>1.9332089112768678E-3</v>
      </c>
      <c r="X85" s="246">
        <v>1.6910168652817248E-3</v>
      </c>
    </row>
    <row r="86" spans="11:24" x14ac:dyDescent="0.2">
      <c r="K86" s="247" t="str">
        <v>EUR_YC3MRH_AB3E4Y#0001</v>
      </c>
      <c r="L86" s="245">
        <f>_xll.qlRateHelperLatestDate(K86,Trigger)</f>
        <v>43255</v>
      </c>
      <c r="M86" s="255">
        <f>_xll.qlRateHelperQuoteValue(K86,_xll.ohTrigger(RecalcTrigger,YieldCurve))</f>
        <v>4.6999999999999993E-3</v>
      </c>
      <c r="N86" s="260" t="str">
        <v>4Y</v>
      </c>
      <c r="O86" s="257" t="str">
        <f>_xll.qlEuriborSwap(,"IsdaFixA",Monitor!N86,YieldCurve,Discounting,,_xll.ohTrigger(Trigger,RecalcTrigger))</f>
        <v>obj_0063e#0001</v>
      </c>
      <c r="P86" s="258">
        <f>_xll.qlIndexFixing(O86,$U$16,TRUE,Trigger)</f>
        <v>4.7010696099315285E-3</v>
      </c>
      <c r="Q86" s="259">
        <f t="shared" si="5"/>
        <v>1.0696099315291377E-6</v>
      </c>
      <c r="T86" s="247" t="str">
        <f t="shared" si="6"/>
        <v>1D</v>
      </c>
      <c r="U86" s="245">
        <f>_xll.qlCalendarAdvance(Calendar,U85,T86,"f",FALSE)</f>
        <v>41886</v>
      </c>
      <c r="V86" s="248">
        <f>_xll.qlCalendarAdvance(Calendar,U86,NDays&amp;"D")</f>
        <v>41890</v>
      </c>
      <c r="W86" s="249">
        <v>1.9443049768684962E-3</v>
      </c>
      <c r="X86" s="246">
        <v>1.6844399008419941E-3</v>
      </c>
    </row>
    <row r="87" spans="11:24" x14ac:dyDescent="0.2">
      <c r="K87" s="247" t="str">
        <v>EUR_YC3MRH_AB3E5Y#0001</v>
      </c>
      <c r="L87" s="245">
        <f>_xll.qlRateHelperLatestDate(K87,Trigger)</f>
        <v>43619</v>
      </c>
      <c r="M87" s="255">
        <f>_xll.qlRateHelperQuoteValue(K87,_xll.ohTrigger(RecalcTrigger,YieldCurve))</f>
        <v>6.4600000000000005E-3</v>
      </c>
      <c r="N87" s="260" t="str">
        <v>5Y</v>
      </c>
      <c r="O87" s="257" t="str">
        <f>_xll.qlEuriborSwap(,"IsdaFixA",Monitor!N87,YieldCurve,Discounting,,_xll.ohTrigger(Trigger,RecalcTrigger))</f>
        <v>obj_00648#0001</v>
      </c>
      <c r="P87" s="258">
        <f>_xll.qlIndexFixing(O87,$U$16,TRUE,Trigger)</f>
        <v>6.4615634762622953E-3</v>
      </c>
      <c r="Q87" s="259">
        <f t="shared" si="5"/>
        <v>1.5634762622947912E-6</v>
      </c>
      <c r="T87" s="247" t="str">
        <f t="shared" si="6"/>
        <v>1D</v>
      </c>
      <c r="U87" s="245">
        <f>_xll.qlCalendarAdvance(Calendar,U86,T87,"f",FALSE)</f>
        <v>41887</v>
      </c>
      <c r="V87" s="248">
        <f>_xll.qlCalendarAdvance(Calendar,U87,NDays&amp;"D")</f>
        <v>41891</v>
      </c>
      <c r="W87" s="249">
        <v>1.947996667867108E-3</v>
      </c>
      <c r="X87" s="246">
        <v>1.6833838727770001E-3</v>
      </c>
    </row>
    <row r="88" spans="11:24" x14ac:dyDescent="0.2">
      <c r="K88" s="247" t="str">
        <v>EUR_YC3MRH_AB3E6Y#0001</v>
      </c>
      <c r="L88" s="245">
        <f>_xll.qlRateHelperLatestDate(K88,Trigger)</f>
        <v>43984</v>
      </c>
      <c r="M88" s="255">
        <f>_xll.qlRateHelperQuoteValue(K88,_xll.ohTrigger(RecalcTrigger,YieldCurve))</f>
        <v>8.3000000000000001E-3</v>
      </c>
      <c r="N88" s="260" t="str">
        <v>6Y</v>
      </c>
      <c r="O88" s="257" t="str">
        <f>_xll.qlEuriborSwap(,"IsdaFixA",Monitor!N88,YieldCurve,Discounting,,_xll.ohTrigger(Trigger,RecalcTrigger))</f>
        <v>obj_0063c#0001</v>
      </c>
      <c r="P88" s="258">
        <f>_xll.qlIndexFixing(O88,$U$16,TRUE,Trigger)</f>
        <v>8.3019984493099726E-3</v>
      </c>
      <c r="Q88" s="259">
        <f t="shared" si="5"/>
        <v>1.9984493099724915E-6</v>
      </c>
      <c r="T88" s="247" t="str">
        <f t="shared" si="6"/>
        <v>1D</v>
      </c>
      <c r="U88" s="245">
        <f>_xll.qlCalendarAdvance(Calendar,U87,T88,"f",FALSE)</f>
        <v>41890</v>
      </c>
      <c r="V88" s="248">
        <f>_xll.qlCalendarAdvance(Calendar,U88,NDays&amp;"D")</f>
        <v>41892</v>
      </c>
      <c r="W88" s="249">
        <v>1.9516570334215028E-3</v>
      </c>
      <c r="X88" s="246">
        <v>1.6836649341112064E-3</v>
      </c>
    </row>
    <row r="89" spans="11:24" x14ac:dyDescent="0.2">
      <c r="K89" s="247" t="str">
        <v>EUR_YC3MRH_AB3E7Y#0001</v>
      </c>
      <c r="L89" s="245">
        <f>_xll.qlRateHelperLatestDate(K89,Trigger)</f>
        <v>44349</v>
      </c>
      <c r="M89" s="255">
        <f>_xll.qlRateHelperQuoteValue(K89,_xll.ohTrigger(RecalcTrigger,YieldCurve))</f>
        <v>1.0110000000000001E-2</v>
      </c>
      <c r="N89" s="260" t="str">
        <v>7Y</v>
      </c>
      <c r="O89" s="257" t="str">
        <f>_xll.qlEuriborSwap(,"IsdaFixA",Monitor!N89,YieldCurve,Discounting,,_xll.ohTrigger(Trigger,RecalcTrigger))</f>
        <v>obj_0063b#0001</v>
      </c>
      <c r="P89" s="258">
        <f>_xll.qlIndexFixing(O89,$U$16,TRUE,Trigger)</f>
        <v>1.0112432486269177E-2</v>
      </c>
      <c r="Q89" s="259">
        <f t="shared" si="5"/>
        <v>2.4324862691760957E-6</v>
      </c>
      <c r="T89" s="247" t="str">
        <f t="shared" si="6"/>
        <v>1D</v>
      </c>
      <c r="U89" s="245">
        <f>_xll.qlCalendarAdvance(Calendar,U88,T89,"f",FALSE)</f>
        <v>41891</v>
      </c>
      <c r="V89" s="248">
        <f>_xll.qlCalendarAdvance(Calendar,U89,NDays&amp;"D")</f>
        <v>41893</v>
      </c>
      <c r="W89" s="249">
        <v>1.9552693774322334E-3</v>
      </c>
      <c r="X89" s="246">
        <v>1.6852830849245493E-3</v>
      </c>
    </row>
    <row r="90" spans="11:24" x14ac:dyDescent="0.2">
      <c r="K90" s="247" t="str">
        <v>EUR_YC3MRH_AB3E8Y#0001</v>
      </c>
      <c r="L90" s="245">
        <f>_xll.qlRateHelperLatestDate(K90,Trigger)</f>
        <v>44714</v>
      </c>
      <c r="M90" s="255">
        <f>_xll.qlRateHelperQuoteValue(K90,_xll.ohTrigger(RecalcTrigger,YieldCurve))</f>
        <v>1.1829999999999999E-2</v>
      </c>
      <c r="N90" s="260" t="str">
        <v>8Y</v>
      </c>
      <c r="O90" s="257" t="str">
        <f>_xll.qlEuriborSwap(,"IsdaFixA",Monitor!N90,YieldCurve,Discounting,,_xll.ohTrigger(Trigger,RecalcTrigger))</f>
        <v>obj_0063a#0001</v>
      </c>
      <c r="P90" s="258">
        <f>_xll.qlIndexFixing(O90,$U$16,TRUE,Trigger)</f>
        <v>1.1832771063694722E-2</v>
      </c>
      <c r="Q90" s="259">
        <f t="shared" si="5"/>
        <v>2.7710636947234774E-6</v>
      </c>
      <c r="T90" s="247" t="str">
        <f t="shared" si="6"/>
        <v>1D</v>
      </c>
      <c r="U90" s="245">
        <f>_xll.qlCalendarAdvance(Calendar,U89,T90,"f",FALSE)</f>
        <v>41892</v>
      </c>
      <c r="V90" s="248">
        <f>_xll.qlCalendarAdvance(Calendar,U90,NDays&amp;"D")</f>
        <v>41894</v>
      </c>
      <c r="W90" s="249">
        <v>1.9588170037409969E-3</v>
      </c>
      <c r="X90" s="246">
        <v>1.6929843132995614E-3</v>
      </c>
    </row>
    <row r="91" spans="11:24" x14ac:dyDescent="0.2">
      <c r="K91" s="247" t="str">
        <v>EUR_YC3MRH_AB3E9Y#0001</v>
      </c>
      <c r="L91" s="245">
        <f>_xll.qlRateHelperLatestDate(K91,Trigger)</f>
        <v>45079</v>
      </c>
      <c r="M91" s="255">
        <f>_xll.qlRateHelperQuoteValue(K91,_xll.ohTrigger(RecalcTrigger,YieldCurve))</f>
        <v>1.3389999999999999E-2</v>
      </c>
      <c r="N91" s="260" t="str">
        <v>9Y</v>
      </c>
      <c r="O91" s="257" t="str">
        <f>_xll.qlEuriborSwap(,"IsdaFixA",Monitor!N91,YieldCurve,Discounting,,_xll.ohTrigger(Trigger,RecalcTrigger))</f>
        <v>obj_00649#0001</v>
      </c>
      <c r="P91" s="258">
        <f>_xll.qlIndexFixing(O91,$U$16,TRUE,Trigger)</f>
        <v>1.339308799379778E-2</v>
      </c>
      <c r="Q91" s="259">
        <f t="shared" si="5"/>
        <v>3.0879937977807553E-6</v>
      </c>
      <c r="T91" s="247" t="str">
        <f t="shared" si="6"/>
        <v>1D</v>
      </c>
      <c r="U91" s="245">
        <f>_xll.qlCalendarAdvance(Calendar,U90,T91,"f",FALSE)</f>
        <v>41893</v>
      </c>
      <c r="V91" s="248">
        <f>_xll.qlCalendarAdvance(Calendar,U91,NDays&amp;"D")</f>
        <v>41897</v>
      </c>
      <c r="W91" s="249">
        <v>1.9689046140291856E-3</v>
      </c>
      <c r="X91" s="246">
        <v>1.7051265838485818E-3</v>
      </c>
    </row>
    <row r="92" spans="11:24" x14ac:dyDescent="0.2">
      <c r="K92" s="247" t="str">
        <v>EUR_YC3MRH_AB3E10Y#0001</v>
      </c>
      <c r="L92" s="245">
        <f>_xll.qlRateHelperLatestDate(K92,Trigger)</f>
        <v>45446</v>
      </c>
      <c r="M92" s="255">
        <f>_xll.qlRateHelperQuoteValue(K92,_xll.ohTrigger(RecalcTrigger,YieldCurve))</f>
        <v>1.4769999999999998E-2</v>
      </c>
      <c r="N92" s="260" t="str">
        <v>10Y</v>
      </c>
      <c r="O92" s="257" t="str">
        <f>_xll.qlEuriborSwap(,"IsdaFixA",Monitor!N92,YieldCurve,Discounting,,_xll.ohTrigger(Trigger,RecalcTrigger))</f>
        <v>obj_00640#0001</v>
      </c>
      <c r="P92" s="258">
        <f>_xll.qlIndexFixing(O92,$U$16,TRUE,Trigger)</f>
        <v>1.4773316650349757E-2</v>
      </c>
      <c r="Q92" s="259">
        <f t="shared" si="5"/>
        <v>3.3166503497581573E-6</v>
      </c>
      <c r="T92" s="247" t="str">
        <f t="shared" si="6"/>
        <v>1D</v>
      </c>
      <c r="U92" s="245">
        <f>_xll.qlCalendarAdvance(Calendar,U91,T92,"f",FALSE)</f>
        <v>41894</v>
      </c>
      <c r="V92" s="248">
        <f>_xll.qlCalendarAdvance(Calendar,U92,NDays&amp;"D")</f>
        <v>41898</v>
      </c>
      <c r="W92" s="249">
        <v>1.9720264068490388E-3</v>
      </c>
      <c r="X92" s="246">
        <v>1.7134301827770315E-3</v>
      </c>
    </row>
    <row r="93" spans="11:24" x14ac:dyDescent="0.2">
      <c r="K93" s="247" t="str">
        <v>EUR_YC3MRH_AB3E11Y#0001</v>
      </c>
      <c r="L93" s="245">
        <f>_xll.qlRateHelperLatestDate(K93,Trigger)</f>
        <v>45810</v>
      </c>
      <c r="M93" s="255">
        <f>_xll.qlRateHelperQuoteValue(K93,_xll.ohTrigger(RecalcTrigger,YieldCurve))</f>
        <v>1.601E-2</v>
      </c>
      <c r="N93" s="260" t="str">
        <v>11Y</v>
      </c>
      <c r="O93" s="257" t="str">
        <f>_xll.qlEuriborSwap(,"IsdaFixA",Monitor!N93,YieldCurve,Discounting,,_xll.ohTrigger(Trigger,RecalcTrigger))</f>
        <v>obj_00639#0001</v>
      </c>
      <c r="P93" s="258">
        <f>_xll.qlIndexFixing(O93,$U$16,TRUE,Trigger)</f>
        <v>1.6004615928617176E-2</v>
      </c>
      <c r="Q93" s="259">
        <f t="shared" si="5"/>
        <v>-5.3840713828239017E-6</v>
      </c>
      <c r="T93" s="247" t="str">
        <f t="shared" si="6"/>
        <v>1D</v>
      </c>
      <c r="U93" s="245">
        <f>_xll.qlCalendarAdvance(Calendar,U92,T93,"f",FALSE)</f>
        <v>41897</v>
      </c>
      <c r="V93" s="248">
        <f>_xll.qlCalendarAdvance(Calendar,U93,NDays&amp;"D")</f>
        <v>41899</v>
      </c>
      <c r="W93" s="249">
        <v>1.9750000003883527E-3</v>
      </c>
      <c r="X93" s="246">
        <v>1.7230708715043619E-3</v>
      </c>
    </row>
    <row r="94" spans="11:24" x14ac:dyDescent="0.2">
      <c r="K94" s="247" t="str">
        <v>EUR_YC3MRH_AB3E12Y#0001</v>
      </c>
      <c r="L94" s="245">
        <f>_xll.qlRateHelperLatestDate(K94,Trigger)</f>
        <v>46175</v>
      </c>
      <c r="M94" s="255">
        <f>_xll.qlRateHelperQuoteValue(K94,_xll.ohTrigger(RecalcTrigger,YieldCurve))</f>
        <v>1.7100000000000001E-2</v>
      </c>
      <c r="N94" s="260" t="str">
        <v>12Y</v>
      </c>
      <c r="O94" s="257" t="str">
        <f>_xll.qlEuriborSwap(,"IsdaFixA",Monitor!N94,YieldCurve,Discounting,,_xll.ohTrigger(Trigger,RecalcTrigger))</f>
        <v>obj_00645#0001</v>
      </c>
      <c r="P94" s="258">
        <f>_xll.qlIndexFixing(O94,$U$16,TRUE,Trigger)</f>
        <v>1.7103613346145317E-2</v>
      </c>
      <c r="Q94" s="259">
        <f t="shared" si="5"/>
        <v>3.6133461453168036E-6</v>
      </c>
      <c r="T94" s="247" t="str">
        <f t="shared" si="6"/>
        <v>1D</v>
      </c>
      <c r="U94" s="245">
        <f>_xll.qlCalendarAdvance(Calendar,U93,T94,"f",FALSE)</f>
        <v>41898</v>
      </c>
      <c r="V94" s="248">
        <f>_xll.qlCalendarAdvance(Calendar,U94,NDays&amp;"D")</f>
        <v>41900</v>
      </c>
      <c r="W94" s="249">
        <v>1.9778091454016608E-3</v>
      </c>
      <c r="X94" s="246">
        <v>1.7337955511287362E-3</v>
      </c>
    </row>
    <row r="95" spans="11:24" x14ac:dyDescent="0.2">
      <c r="K95" s="247" t="str">
        <v>EUR_YC3MRH_AB3E15Y#0001</v>
      </c>
      <c r="L95" s="245">
        <f>_xll.qlRateHelperLatestDate(K95,Trigger)</f>
        <v>47273</v>
      </c>
      <c r="M95" s="255">
        <f>_xll.qlRateHelperQuoteValue(K95,_xll.ohTrigger(RecalcTrigger,YieldCurve))</f>
        <v>1.9550000000000001E-2</v>
      </c>
      <c r="N95" s="260" t="str">
        <v>15Y</v>
      </c>
      <c r="O95" s="257" t="str">
        <f>_xll.qlEuriborSwap(,"IsdaFixA",Monitor!N95,YieldCurve,Discounting,,_xll.ohTrigger(Trigger,RecalcTrigger))</f>
        <v>obj_00647#0001</v>
      </c>
      <c r="P95" s="258">
        <f>_xll.qlIndexFixing(O95,$U$16,TRUE,Trigger)</f>
        <v>1.955363261453363E-2</v>
      </c>
      <c r="Q95" s="259">
        <f t="shared" si="5"/>
        <v>3.6326145336287863E-6</v>
      </c>
      <c r="T95" s="247" t="str">
        <f t="shared" si="6"/>
        <v>1D</v>
      </c>
      <c r="U95" s="245">
        <f>_xll.qlCalendarAdvance(Calendar,U94,T95,"f",FALSE)</f>
        <v>41899</v>
      </c>
      <c r="V95" s="248">
        <f>_xll.qlCalendarAdvance(Calendar,U95,NDays&amp;"D")</f>
        <v>41901</v>
      </c>
      <c r="W95" s="249">
        <v>1.9804421640952866E-3</v>
      </c>
      <c r="X95" s="246">
        <v>1.7551546524963157E-3</v>
      </c>
    </row>
    <row r="96" spans="11:24" x14ac:dyDescent="0.2">
      <c r="K96" s="247" t="str">
        <v>EUR_YC3MRH_AB3E20Y#0001</v>
      </c>
      <c r="L96" s="245">
        <f>_xll.qlRateHelperLatestDate(K96,Trigger)</f>
        <v>49097</v>
      </c>
      <c r="M96" s="255">
        <f>_xll.qlRateHelperQuoteValue(K96,_xll.ohTrigger(RecalcTrigger,YieldCurve))</f>
        <v>2.1480000000000003E-2</v>
      </c>
      <c r="N96" s="260" t="str">
        <v>20Y</v>
      </c>
      <c r="O96" s="257" t="str">
        <f>_xll.qlEuriborSwap(,"IsdaFixA",Monitor!N96,YieldCurve,Discounting,,_xll.ohTrigger(Trigger,RecalcTrigger))</f>
        <v>obj_00641#0001</v>
      </c>
      <c r="P96" s="258">
        <f>_xll.qlIndexFixing(O96,$U$16,TRUE,Trigger)</f>
        <v>2.1483304921698289E-2</v>
      </c>
      <c r="Q96" s="259">
        <f t="shared" si="5"/>
        <v>3.3049216982862506E-6</v>
      </c>
      <c r="T96" s="247" t="str">
        <f t="shared" si="6"/>
        <v>1D</v>
      </c>
      <c r="U96" s="245">
        <f>_xll.qlCalendarAdvance(Calendar,U95,T96,"f",FALSE)</f>
        <v>41900</v>
      </c>
      <c r="V96" s="248">
        <f>_xll.qlCalendarAdvance(Calendar,U96,NDays&amp;"D")</f>
        <v>41904</v>
      </c>
      <c r="W96" s="249">
        <v>1.9872945946163181E-3</v>
      </c>
      <c r="X96" s="246">
        <v>1.7758916269539071E-3</v>
      </c>
    </row>
    <row r="97" spans="11:24" x14ac:dyDescent="0.2">
      <c r="K97" s="247" t="str">
        <v>EUR_YC3MRH_AB3E25Y#0001</v>
      </c>
      <c r="L97" s="245">
        <f>_xll.qlRateHelperLatestDate(K97,Trigger)</f>
        <v>50923</v>
      </c>
      <c r="M97" s="255">
        <f>_xll.qlRateHelperQuoteValue(K97,_xll.ohTrigger(RecalcTrigger,YieldCurve))</f>
        <v>2.2179999999999998E-2</v>
      </c>
      <c r="N97" s="260" t="str">
        <v>25Y</v>
      </c>
      <c r="O97" s="257" t="str">
        <f>_xll.qlEuriborSwap(,"IsdaFixA",Monitor!N97,YieldCurve,Discounting,,_xll.ohTrigger(Trigger,RecalcTrigger))</f>
        <v>obj_00642#0001</v>
      </c>
      <c r="P97" s="258">
        <f>_xll.qlIndexFixing(O97,$U$16,TRUE,Trigger)</f>
        <v>2.2182981565858823E-2</v>
      </c>
      <c r="Q97" s="259">
        <f t="shared" si="5"/>
        <v>2.9815658588241978E-6</v>
      </c>
      <c r="T97" s="247" t="str">
        <f t="shared" si="6"/>
        <v>1D</v>
      </c>
      <c r="U97" s="245">
        <f>_xll.qlCalendarAdvance(Calendar,U96,T97,"f",FALSE)</f>
        <v>41901</v>
      </c>
      <c r="V97" s="248">
        <f>_xll.qlCalendarAdvance(Calendar,U97,NDays&amp;"D")</f>
        <v>41905</v>
      </c>
      <c r="W97" s="249">
        <v>1.9892388058997132E-3</v>
      </c>
      <c r="X97" s="246">
        <v>1.7859618861404414E-3</v>
      </c>
    </row>
    <row r="98" spans="11:24" x14ac:dyDescent="0.2">
      <c r="K98" s="247" t="str">
        <v>EUR_YC3MRH_AB3E30Y#0001</v>
      </c>
      <c r="L98" s="245">
        <f>_xll.qlRateHelperLatestDate(K98,Trigger)</f>
        <v>52750</v>
      </c>
      <c r="M98" s="255">
        <f>_xll.qlRateHelperQuoteValue(K98,_xll.ohTrigger(RecalcTrigger,YieldCurve))</f>
        <v>2.2380000000000001E-2</v>
      </c>
      <c r="N98" s="260" t="str">
        <v>30Y</v>
      </c>
      <c r="O98" s="257" t="str">
        <f>_xll.qlEuriborSwap(,"IsdaFixA",Monitor!N98,YieldCurve,Discounting,,_xll.ohTrigger(Trigger,RecalcTrigger))</f>
        <v>obj_0063d#0001</v>
      </c>
      <c r="P98" s="258">
        <f>_xll.qlIndexFixing(O98,$U$16,TRUE,Trigger)</f>
        <v>2.2382791053949094E-2</v>
      </c>
      <c r="Q98" s="259">
        <f t="shared" si="5"/>
        <v>2.7910539490937081E-6</v>
      </c>
      <c r="T98" s="247" t="str">
        <f t="shared" si="6"/>
        <v>1D</v>
      </c>
      <c r="U98" s="245">
        <f>_xll.qlCalendarAdvance(Calendar,U97,T98,"f",FALSE)</f>
        <v>41904</v>
      </c>
      <c r="V98" s="248">
        <f>_xll.qlCalendarAdvance(Calendar,U98,NDays&amp;"D")</f>
        <v>41906</v>
      </c>
      <c r="W98" s="249">
        <v>1.9910175226235138E-3</v>
      </c>
      <c r="X98" s="246">
        <v>1.7958506413151554E-3</v>
      </c>
    </row>
    <row r="99" spans="11:24" x14ac:dyDescent="0.2">
      <c r="K99" s="247" t="str">
        <v>EUR_YC3MRH_AB3E40Y#0001</v>
      </c>
      <c r="L99" s="245">
        <f>_xll.qlRateHelperLatestDate(K99,Trigger)</f>
        <v>56402</v>
      </c>
      <c r="M99" s="255">
        <f>_xll.qlRateHelperQuoteValue(K99,_xll.ohTrigger(RecalcTrigger,YieldCurve))</f>
        <v>2.2679999999999999E-2</v>
      </c>
      <c r="N99" s="264" t="str">
        <v>40Y</v>
      </c>
      <c r="O99" s="257" t="str">
        <f>_xll.qlEuriborSwap(,"IsdaFixA",Monitor!N99,YieldCurve,Discounting,,_xll.ohTrigger(Trigger,RecalcTrigger))</f>
        <v>obj_00643#0001</v>
      </c>
      <c r="P99" s="258">
        <f>_xll.qlIndexFixing(O99,$U$16,TRUE,Trigger)</f>
        <v>2.2682442912387087E-2</v>
      </c>
      <c r="Q99" s="259">
        <f t="shared" si="5"/>
        <v>2.4429123870878255E-6</v>
      </c>
      <c r="T99" s="247" t="str">
        <f t="shared" si="6"/>
        <v>1D</v>
      </c>
      <c r="U99" s="245">
        <f>_xll.qlCalendarAdvance(Calendar,U98,T99,"f",FALSE)</f>
        <v>41905</v>
      </c>
      <c r="V99" s="248">
        <f>_xll.qlCalendarAdvance(Calendar,U99,NDays&amp;"D")</f>
        <v>41907</v>
      </c>
      <c r="W99" s="249">
        <v>1.9900731199305262E-3</v>
      </c>
      <c r="X99" s="246">
        <v>1.8055578926379212E-3</v>
      </c>
    </row>
    <row r="100" spans="11:24" x14ac:dyDescent="0.2">
      <c r="K100" s="247" t="str">
        <v>EUR_YC3MRH_AB3E50Y#0001</v>
      </c>
      <c r="L100" s="245">
        <f>_xll.qlRateHelperLatestDate(K100,Trigger)</f>
        <v>60055</v>
      </c>
      <c r="M100" s="255">
        <f>_xll.qlRateHelperQuoteValue(K100,_xll.ohTrigger(RecalcTrigger,YieldCurve))</f>
        <v>2.2759999999999999E-2</v>
      </c>
      <c r="N100" s="264" t="str">
        <v>50Y</v>
      </c>
      <c r="O100" s="257" t="str">
        <f>_xll.qlEuriborSwap(,"IsdaFixA",Monitor!N100,YieldCurve,Discounting,,_xll.ohTrigger(Trigger,RecalcTrigger))</f>
        <v>obj_0064a#0001</v>
      </c>
      <c r="P100" s="258">
        <f>_xll.qlIndexFixing(O100,$U$16,TRUE,Trigger)</f>
        <v>2.2762232434654504E-2</v>
      </c>
      <c r="Q100" s="259">
        <f t="shared" si="5"/>
        <v>2.232434654504678E-6</v>
      </c>
      <c r="T100" s="247" t="str">
        <f t="shared" si="6"/>
        <v>1D</v>
      </c>
      <c r="U100" s="245">
        <f>_xll.qlCalendarAdvance(Calendar,U99,T100,"f",FALSE)</f>
        <v>41906</v>
      </c>
      <c r="V100" s="248">
        <f>_xll.qlCalendarAdvance(Calendar,U100,NDays&amp;"D")</f>
        <v>41908</v>
      </c>
      <c r="W100" s="249">
        <v>1.992026056995732E-3</v>
      </c>
      <c r="X100" s="246">
        <v>1.8243766271819339E-3</v>
      </c>
    </row>
    <row r="101" spans="11:24" x14ac:dyDescent="0.2">
      <c r="K101" s="247" t="str">
        <v>EUR_YC3MRH_AB3E60Y#0001</v>
      </c>
      <c r="L101" s="245">
        <f>_xll.qlRateHelperLatestDate(K101,Trigger)</f>
        <v>63709</v>
      </c>
      <c r="M101" s="255">
        <f>_xll.qlRateHelperQuoteValue(K101,_xll.ohTrigger(RecalcTrigger,YieldCurve))</f>
        <v>2.2919999999999999E-2</v>
      </c>
      <c r="N101" s="264" t="str">
        <v>60Y</v>
      </c>
      <c r="O101" s="257" t="str">
        <f>_xll.qlEuriborSwap(,"IsdaFixA",Monitor!N101,YieldCurve,Discounting,,_xll.ohTrigger(Trigger,RecalcTrigger))</f>
        <v>obj_0063f#0001</v>
      </c>
      <c r="P101" s="258">
        <f>_xll.qlIndexFixing(O101,$U$16,TRUE,Trigger)</f>
        <v>2.2922027351885955E-2</v>
      </c>
      <c r="Q101" s="259">
        <f t="shared" si="5"/>
        <v>2.0273518859560691E-6</v>
      </c>
      <c r="T101" s="247" t="str">
        <f t="shared" si="6"/>
        <v>1D</v>
      </c>
      <c r="U101" s="245">
        <f>_xll.qlCalendarAdvance(Calendar,U100,T101,"f",FALSE)</f>
        <v>41907</v>
      </c>
      <c r="V101" s="248">
        <f>_xll.qlCalendarAdvance(Calendar,U101,NDays&amp;"D")</f>
        <v>41911</v>
      </c>
      <c r="W101" s="249">
        <v>1.9975225926630678E-3</v>
      </c>
      <c r="X101" s="246">
        <v>1.8425718578107819E-3</v>
      </c>
    </row>
    <row r="102" spans="11:24" x14ac:dyDescent="0.2">
      <c r="K102" s="247" t="e">
        <v>#N/A</v>
      </c>
      <c r="L102" s="245" t="e">
        <f>_xll.qlRateHelperLatestDate(K102,Trigger)</f>
        <v>#VALUE!</v>
      </c>
      <c r="M102" s="255" t="e">
        <f>_xll.qlRateHelperQuoteValue(K102,_xll.ohTrigger(RecalcTrigger,YieldCurve))</f>
        <v>#VALUE!</v>
      </c>
      <c r="N102" s="264" t="e">
        <v>#N/A</v>
      </c>
      <c r="O102" s="257" t="e">
        <f>_xll.qlEuriborSwap(,"IsdaFixA",Monitor!N102,YieldCurve,Discounting,,_xll.ohTrigger(Trigger,RecalcTrigger))</f>
        <v>#VALUE!</v>
      </c>
      <c r="P102" s="258" t="e">
        <f>_xll.qlIndexFixing(O102,$U$16,TRUE,Trigger)</f>
        <v>#VALUE!</v>
      </c>
      <c r="Q102" s="259" t="e">
        <f t="shared" si="5"/>
        <v>#VALUE!</v>
      </c>
      <c r="T102" s="247" t="str">
        <f t="shared" si="6"/>
        <v>1D</v>
      </c>
      <c r="U102" s="245">
        <f>_xll.qlCalendarAdvance(Calendar,U101,T102,"f",FALSE)</f>
        <v>41908</v>
      </c>
      <c r="V102" s="248">
        <f>_xll.qlCalendarAdvance(Calendar,U102,NDays&amp;"D")</f>
        <v>41912</v>
      </c>
      <c r="W102" s="249">
        <v>1.9974649238328215E-3</v>
      </c>
      <c r="X102" s="246">
        <v>1.8513715891543825E-3</v>
      </c>
    </row>
    <row r="103" spans="11:24" x14ac:dyDescent="0.2">
      <c r="K103" s="247" t="e">
        <v>#N/A</v>
      </c>
      <c r="L103" s="245" t="e">
        <f>_xll.qlRateHelperLatestDate(K103,Trigger)</f>
        <v>#VALUE!</v>
      </c>
      <c r="M103" s="255" t="e">
        <f>_xll.qlRateHelperQuoteValue(K103,_xll.ohTrigger(RecalcTrigger,YieldCurve))</f>
        <v>#VALUE!</v>
      </c>
      <c r="N103" s="264" t="e">
        <v>#N/A</v>
      </c>
      <c r="O103" s="257" t="e">
        <f>_xll.qlEuriborSwap(,"IsdaFixA",Monitor!N103,YieldCurve,Discounting,,_xll.ohTrigger(Trigger,RecalcTrigger))</f>
        <v>#VALUE!</v>
      </c>
      <c r="P103" s="258" t="e">
        <f>_xll.qlIndexFixing(O103,$U$16,TRUE,Trigger)</f>
        <v>#VALUE!</v>
      </c>
      <c r="Q103" s="259" t="e">
        <f t="shared" si="5"/>
        <v>#VALUE!</v>
      </c>
      <c r="T103" s="247" t="str">
        <f t="shared" si="6"/>
        <v>1D</v>
      </c>
      <c r="U103" s="245">
        <f>_xll.qlCalendarAdvance(Calendar,U102,T103,"f",FALSE)</f>
        <v>41911</v>
      </c>
      <c r="V103" s="248">
        <f>_xll.qlCalendarAdvance(Calendar,U103,NDays&amp;"D")</f>
        <v>41913</v>
      </c>
      <c r="W103" s="249">
        <v>1.9971210730092147E-3</v>
      </c>
      <c r="X103" s="246">
        <v>1.8599898163262907E-3</v>
      </c>
    </row>
    <row r="104" spans="11:24" x14ac:dyDescent="0.2">
      <c r="K104" s="247" t="e">
        <v>#N/A</v>
      </c>
      <c r="L104" s="245" t="e">
        <f>_xll.qlRateHelperLatestDate(K104,Trigger)</f>
        <v>#VALUE!</v>
      </c>
      <c r="M104" s="255" t="e">
        <f>_xll.qlRateHelperQuoteValue(K104,_xll.ohTrigger(RecalcTrigger,YieldCurve))</f>
        <v>#VALUE!</v>
      </c>
      <c r="N104" s="260" t="e">
        <v>#N/A</v>
      </c>
      <c r="O104" s="257" t="e">
        <f>_xll.qlEuriborSwap(,"IsdaFixA",Monitor!N104,YieldCurve,Discounting,,_xll.ohTrigger(Trigger,RecalcTrigger))</f>
        <v>#VALUE!</v>
      </c>
      <c r="P104" s="258" t="e">
        <f>_xll.qlIndexFixing(O104,$U$16,TRUE,Trigger)</f>
        <v>#VALUE!</v>
      </c>
      <c r="Q104" s="259" t="e">
        <f t="shared" si="5"/>
        <v>#VALUE!</v>
      </c>
      <c r="T104" s="247" t="str">
        <f t="shared" si="6"/>
        <v>1D</v>
      </c>
      <c r="U104" s="245">
        <f>_xll.qlCalendarAdvance(Calendar,U103,T104,"f",FALSE)</f>
        <v>41912</v>
      </c>
      <c r="V104" s="248">
        <f>_xll.qlCalendarAdvance(Calendar,U104,NDays&amp;"D")</f>
        <v>41914</v>
      </c>
      <c r="W104" s="249">
        <v>1.998601304097492E-3</v>
      </c>
      <c r="X104" s="246">
        <v>1.8684265394863786E-3</v>
      </c>
    </row>
    <row r="105" spans="11:24" x14ac:dyDescent="0.2">
      <c r="K105" s="247" t="e">
        <v>#N/A</v>
      </c>
      <c r="L105" s="245" t="e">
        <f>_xll.qlRateHelperLatestDate(K105,Trigger)</f>
        <v>#VALUE!</v>
      </c>
      <c r="M105" s="255" t="e">
        <f>_xll.qlRateHelperQuoteValue(K105,_xll.ohTrigger(RecalcTrigger,YieldCurve))</f>
        <v>#VALUE!</v>
      </c>
      <c r="N105" s="260" t="e">
        <v>#N/A</v>
      </c>
      <c r="O105" s="257" t="e">
        <f>_xll.qlEuriborSwap(,"IsdaFixA",Monitor!N105,YieldCurve,Discounting,,_xll.ohTrigger(Trigger,RecalcTrigger))</f>
        <v>#VALUE!</v>
      </c>
      <c r="P105" s="258" t="e">
        <f>_xll.qlIndexFixing(O105,$U$16,TRUE,Trigger)</f>
        <v>#VALUE!</v>
      </c>
      <c r="Q105" s="259" t="e">
        <f t="shared" si="5"/>
        <v>#VALUE!</v>
      </c>
      <c r="T105" s="247" t="str">
        <f t="shared" si="6"/>
        <v>1D</v>
      </c>
      <c r="U105" s="245">
        <f>_xll.qlCalendarAdvance(Calendar,U104,T105,"f",FALSE)</f>
        <v>41913</v>
      </c>
      <c r="V105" s="248">
        <f>_xll.qlCalendarAdvance(Calendar,U105,NDays&amp;"D")</f>
        <v>41915</v>
      </c>
      <c r="W105" s="249">
        <v>1.9967672256491539E-3</v>
      </c>
      <c r="X105" s="246">
        <v>1.8847048391279486E-3</v>
      </c>
    </row>
    <row r="106" spans="11:24" x14ac:dyDescent="0.2">
      <c r="K106" s="247" t="e">
        <v>#N/A</v>
      </c>
      <c r="L106" s="245" t="e">
        <f>_xll.qlRateHelperLatestDate(K106,Trigger)</f>
        <v>#VALUE!</v>
      </c>
      <c r="M106" s="255" t="e">
        <f>_xll.qlRateHelperQuoteValue(K106,_xll.ohTrigger(RecalcTrigger,YieldCurve))</f>
        <v>#VALUE!</v>
      </c>
      <c r="N106" s="260" t="e">
        <v>#N/A</v>
      </c>
      <c r="O106" s="257" t="e">
        <f>_xll.qlEuriborSwap(,"IsdaFixA",Monitor!N106,YieldCurve,Discounting,,_xll.ohTrigger(Trigger,RecalcTrigger))</f>
        <v>#VALUE!</v>
      </c>
      <c r="P106" s="258" t="e">
        <f>_xll.qlIndexFixing(O106,$U$16,TRUE,Trigger)</f>
        <v>#VALUE!</v>
      </c>
      <c r="Q106" s="259" t="e">
        <f t="shared" si="5"/>
        <v>#VALUE!</v>
      </c>
      <c r="T106" s="247" t="str">
        <f t="shared" si="6"/>
        <v>1D</v>
      </c>
      <c r="U106" s="245">
        <f>_xll.qlCalendarAdvance(Calendar,U105,T106,"f",FALSE)</f>
        <v>41914</v>
      </c>
      <c r="V106" s="248">
        <f>_xll.qlCalendarAdvance(Calendar,U106,NDays&amp;"D")</f>
        <v>41918</v>
      </c>
      <c r="W106" s="249">
        <v>1.9992257221912446E-3</v>
      </c>
      <c r="X106" s="246">
        <v>1.9003583914489752E-3</v>
      </c>
    </row>
    <row r="107" spans="11:24" x14ac:dyDescent="0.2">
      <c r="K107" s="247" t="e">
        <v>#N/A</v>
      </c>
      <c r="L107" s="245" t="e">
        <f>_xll.qlRateHelperLatestDate(K107,Trigger)</f>
        <v>#VALUE!</v>
      </c>
      <c r="M107" s="255" t="e">
        <f>_xll.qlRateHelperQuoteValue(K107,_xll.ohTrigger(RecalcTrigger,YieldCurve))</f>
        <v>#VALUE!</v>
      </c>
      <c r="N107" s="260" t="e">
        <v>#N/A</v>
      </c>
      <c r="O107" s="257" t="e">
        <f>_xll.qlEuriborSwap(,"IsdaFixA",Monitor!N107,YieldCurve,Discounting,,_xll.ohTrigger(Trigger,RecalcTrigger))</f>
        <v>#VALUE!</v>
      </c>
      <c r="P107" s="258" t="e">
        <f>_xll.qlIndexFixing(O107,$U$16,TRUE,Trigger)</f>
        <v>#VALUE!</v>
      </c>
      <c r="Q107" s="259" t="e">
        <f t="shared" si="5"/>
        <v>#VALUE!</v>
      </c>
      <c r="T107" s="247" t="str">
        <f t="shared" si="6"/>
        <v>1D</v>
      </c>
      <c r="U107" s="245">
        <f>_xll.qlCalendarAdvance(Calendar,U106,T107,"f",FALSE)</f>
        <v>41915</v>
      </c>
      <c r="V107" s="248">
        <f>_xll.qlCalendarAdvance(Calendar,U107,NDays&amp;"D")</f>
        <v>41919</v>
      </c>
      <c r="W107" s="249">
        <v>1.9990539038673284E-3</v>
      </c>
      <c r="X107" s="246">
        <v>1.9078875941502815E-3</v>
      </c>
    </row>
    <row r="108" spans="11:24" x14ac:dyDescent="0.2">
      <c r="K108" s="247" t="e">
        <v>#N/A</v>
      </c>
      <c r="L108" s="245" t="e">
        <f>_xll.qlRateHelperLatestDate(K108,Trigger)</f>
        <v>#VALUE!</v>
      </c>
      <c r="M108" s="255" t="e">
        <f>_xll.qlRateHelperQuoteValue(K108,_xll.ohTrigger(RecalcTrigger,YieldCurve))</f>
        <v>#VALUE!</v>
      </c>
      <c r="N108" s="260" t="e">
        <v>#N/A</v>
      </c>
      <c r="O108" s="257" t="e">
        <f>_xll.qlEuriborSwap(,"IsdaFixA",Monitor!N108,YieldCurve,Discounting,,_xll.ohTrigger(Trigger,RecalcTrigger))</f>
        <v>#VALUE!</v>
      </c>
      <c r="P108" s="258" t="e">
        <f>_xll.qlIndexFixing(O108,$U$16,TRUE,Trigger)</f>
        <v>#VALUE!</v>
      </c>
      <c r="Q108" s="259" t="e">
        <f t="shared" si="5"/>
        <v>#VALUE!</v>
      </c>
      <c r="T108" s="247" t="str">
        <f t="shared" si="6"/>
        <v>1D</v>
      </c>
      <c r="U108" s="245">
        <f>_xll.qlCalendarAdvance(Calendar,U107,T108,"f",FALSE)</f>
        <v>41918</v>
      </c>
      <c r="V108" s="248">
        <f>_xll.qlCalendarAdvance(Calendar,U108,NDays&amp;"D")</f>
        <v>41920</v>
      </c>
      <c r="W108" s="249">
        <v>1.9987562245139872E-3</v>
      </c>
      <c r="X108" s="246">
        <v>1.9152352927598315E-3</v>
      </c>
    </row>
    <row r="109" spans="11:24" x14ac:dyDescent="0.2">
      <c r="K109" s="247" t="e">
        <v>#N/A</v>
      </c>
      <c r="L109" s="245" t="e">
        <f>_xll.qlRateHelperLatestDate(K109,Trigger)</f>
        <v>#VALUE!</v>
      </c>
      <c r="M109" s="255" t="e">
        <f>_xll.qlRateHelperQuoteValue(K109,_xll.ohTrigger(RecalcTrigger,YieldCurve))</f>
        <v>#VALUE!</v>
      </c>
      <c r="N109" s="260" t="e">
        <v>#N/A</v>
      </c>
      <c r="O109" s="257" t="e">
        <f>_xll.qlEuriborSwap(,"IsdaFixA",Monitor!N109,YieldCurve,Discounting,,_xll.ohTrigger(Trigger,RecalcTrigger))</f>
        <v>#VALUE!</v>
      </c>
      <c r="P109" s="258" t="e">
        <f>_xll.qlIndexFixing(O109,$U$16,TRUE,Trigger)</f>
        <v>#VALUE!</v>
      </c>
      <c r="Q109" s="259" t="e">
        <f t="shared" si="5"/>
        <v>#VALUE!</v>
      </c>
      <c r="T109" s="247" t="str">
        <f t="shared" si="6"/>
        <v>1D</v>
      </c>
      <c r="U109" s="245">
        <f>_xll.qlCalendarAdvance(Calendar,U108,T109,"f",FALSE)</f>
        <v>41919</v>
      </c>
      <c r="V109" s="248">
        <f>_xll.qlCalendarAdvance(Calendar,U109,NDays&amp;"D")</f>
        <v>41921</v>
      </c>
      <c r="W109" s="249">
        <v>1.9983353382073111E-3</v>
      </c>
      <c r="X109" s="246">
        <v>1.9224014871976891E-3</v>
      </c>
    </row>
    <row r="110" spans="11:24" x14ac:dyDescent="0.2">
      <c r="K110" s="247" t="e">
        <v>#N/A</v>
      </c>
      <c r="L110" s="245" t="e">
        <f>_xll.qlRateHelperLatestDate(K110,Trigger)</f>
        <v>#VALUE!</v>
      </c>
      <c r="M110" s="255" t="e">
        <f>_xll.qlRateHelperQuoteValue(K110,_xll.ohTrigger(RecalcTrigger,YieldCurve))</f>
        <v>#VALUE!</v>
      </c>
      <c r="N110" s="260" t="e">
        <v>#N/A</v>
      </c>
      <c r="O110" s="257" t="e">
        <f>_xll.qlEuriborSwap(,"IsdaFixA",Monitor!N110,YieldCurve,Discounting,,_xll.ohTrigger(Trigger,RecalcTrigger))</f>
        <v>#VALUE!</v>
      </c>
      <c r="P110" s="258" t="e">
        <f>_xll.qlIndexFixing(O110,$U$16,TRUE,Trigger)</f>
        <v>#VALUE!</v>
      </c>
      <c r="Q110" s="259" t="e">
        <f t="shared" si="5"/>
        <v>#VALUE!</v>
      </c>
      <c r="T110" s="247" t="str">
        <f t="shared" si="6"/>
        <v>1D</v>
      </c>
      <c r="U110" s="245">
        <f>_xll.qlCalendarAdvance(Calendar,U109,T110,"f",FALSE)</f>
        <v>41920</v>
      </c>
      <c r="V110" s="248">
        <f>_xll.qlCalendarAdvance(Calendar,U110,NDays&amp;"D")</f>
        <v>41922</v>
      </c>
      <c r="W110" s="249">
        <v>1.9950284689998544E-3</v>
      </c>
      <c r="X110" s="246">
        <v>1.9361392749850381E-3</v>
      </c>
    </row>
    <row r="111" spans="11:24" x14ac:dyDescent="0.2">
      <c r="K111" s="247" t="e">
        <v>#N/A</v>
      </c>
      <c r="L111" s="245" t="e">
        <f>_xll.qlRateHelperLatestDate(K111,Trigger)</f>
        <v>#VALUE!</v>
      </c>
      <c r="M111" s="255" t="e">
        <f>_xll.qlRateHelperQuoteValue(K111,_xll.ohTrigger(RecalcTrigger,YieldCurve))</f>
        <v>#VALUE!</v>
      </c>
      <c r="N111" s="260" t="e">
        <v>#N/A</v>
      </c>
      <c r="O111" s="257" t="e">
        <f>_xll.qlEuriborSwap(,"IsdaFixA",Monitor!N111,YieldCurve,Discounting,,_xll.ohTrigger(Trigger,RecalcTrigger))</f>
        <v>#VALUE!</v>
      </c>
      <c r="P111" s="258" t="e">
        <f>_xll.qlIndexFixing(O111,$U$16,TRUE,Trigger)</f>
        <v>#VALUE!</v>
      </c>
      <c r="Q111" s="259" t="e">
        <f t="shared" si="5"/>
        <v>#VALUE!</v>
      </c>
      <c r="T111" s="247" t="str">
        <f t="shared" si="6"/>
        <v>1D</v>
      </c>
      <c r="U111" s="245">
        <f>_xll.qlCalendarAdvance(Calendar,U110,T111,"f",FALSE)</f>
        <v>41921</v>
      </c>
      <c r="V111" s="248">
        <f>_xll.qlCalendarAdvance(Calendar,U111,NDays&amp;"D")</f>
        <v>41925</v>
      </c>
      <c r="W111" s="249">
        <v>1.9954728053157181E-3</v>
      </c>
      <c r="X111" s="246">
        <v>1.9492512233920678E-3</v>
      </c>
    </row>
    <row r="112" spans="11:24" x14ac:dyDescent="0.2">
      <c r="K112" s="247" t="e">
        <v>#N/A</v>
      </c>
      <c r="L112" s="245" t="e">
        <f>_xll.qlRateHelperLatestDate(K112,Trigger)</f>
        <v>#VALUE!</v>
      </c>
      <c r="M112" s="255" t="e">
        <f>_xll.qlRateHelperQuoteValue(K112,_xll.ohTrigger(RecalcTrigger,YieldCurve))</f>
        <v>#VALUE!</v>
      </c>
      <c r="N112" s="260" t="e">
        <v>#N/A</v>
      </c>
      <c r="O112" s="257" t="e">
        <f>_xll.qlEuriborSwap(,"IsdaFixA",Monitor!N112,YieldCurve,Discounting,,_xll.ohTrigger(Trigger,RecalcTrigger))</f>
        <v>#VALUE!</v>
      </c>
      <c r="P112" s="258" t="e">
        <f>_xll.qlIndexFixing(O112,$U$16,TRUE,Trigger)</f>
        <v>#VALUE!</v>
      </c>
      <c r="Q112" s="259" t="e">
        <f t="shared" si="5"/>
        <v>#VALUE!</v>
      </c>
      <c r="T112" s="247" t="str">
        <f t="shared" si="6"/>
        <v>1D</v>
      </c>
      <c r="U112" s="245">
        <f>_xll.qlCalendarAdvance(Calendar,U111,T112,"f",FALSE)</f>
        <v>41922</v>
      </c>
      <c r="V112" s="248">
        <f>_xll.qlCalendarAdvance(Calendar,U112,NDays&amp;"D")</f>
        <v>41926</v>
      </c>
      <c r="W112" s="249">
        <v>1.9944756957216959E-3</v>
      </c>
      <c r="X112" s="246">
        <v>1.9555098969714635E-3</v>
      </c>
    </row>
    <row r="113" spans="11:24" x14ac:dyDescent="0.2">
      <c r="K113" s="247" t="e">
        <v>#N/A</v>
      </c>
      <c r="L113" s="245" t="e">
        <f>_xll.qlRateHelperLatestDate(K113,Trigger)</f>
        <v>#VALUE!</v>
      </c>
      <c r="M113" s="255" t="e">
        <f>_xll.qlRateHelperQuoteValue(K113,_xll.ohTrigger(RecalcTrigger,YieldCurve))</f>
        <v>#VALUE!</v>
      </c>
      <c r="N113" s="260" t="e">
        <v>#N/A</v>
      </c>
      <c r="O113" s="257" t="e">
        <f>_xll.qlEuriborSwap(,"IsdaFixA",Monitor!N113,YieldCurve,Discounting,,_xll.ohTrigger(Trigger,RecalcTrigger))</f>
        <v>#VALUE!</v>
      </c>
      <c r="P113" s="258" t="e">
        <f>_xll.qlIndexFixing(O113,$U$16,TRUE,Trigger)</f>
        <v>#VALUE!</v>
      </c>
      <c r="Q113" s="259" t="e">
        <f t="shared" si="5"/>
        <v>#VALUE!</v>
      </c>
      <c r="T113" s="247" t="str">
        <f t="shared" si="6"/>
        <v>1D</v>
      </c>
      <c r="U113" s="245">
        <f>_xll.qlCalendarAdvance(Calendar,U112,T113,"f",FALSE)</f>
        <v>41925</v>
      </c>
      <c r="V113" s="248">
        <f>_xll.qlCalendarAdvance(Calendar,U113,NDays&amp;"D")</f>
        <v>41927</v>
      </c>
      <c r="W113" s="249">
        <v>1.993371303824632E-3</v>
      </c>
      <c r="X113" s="246">
        <v>1.9615870664591029E-3</v>
      </c>
    </row>
    <row r="114" spans="11:24" x14ac:dyDescent="0.2">
      <c r="K114" s="247" t="e">
        <v>#N/A</v>
      </c>
      <c r="L114" s="245" t="e">
        <f>_xll.qlRateHelperLatestDate(K114,Trigger)</f>
        <v>#VALUE!</v>
      </c>
      <c r="M114" s="255" t="e">
        <f>_xll.qlRateHelperQuoteValue(K114,_xll.ohTrigger(RecalcTrigger,YieldCurve))</f>
        <v>#VALUE!</v>
      </c>
      <c r="N114" s="260" t="e">
        <v>#N/A</v>
      </c>
      <c r="O114" s="257" t="e">
        <f>_xll.qlEuriborSwap(,"IsdaFixA",Monitor!N114,YieldCurve,Discounting,,_xll.ohTrigger(Trigger,RecalcTrigger))</f>
        <v>#VALUE!</v>
      </c>
      <c r="P114" s="258" t="e">
        <f>_xll.qlIndexFixing(O114,$U$16,TRUE,Trigger)</f>
        <v>#VALUE!</v>
      </c>
      <c r="Q114" s="259" t="e">
        <f t="shared" si="5"/>
        <v>#VALUE!</v>
      </c>
      <c r="T114" s="247" t="str">
        <f t="shared" si="6"/>
        <v>1D</v>
      </c>
      <c r="U114" s="245">
        <f>_xll.qlCalendarAdvance(Calendar,U113,T114,"f",FALSE)</f>
        <v>41926</v>
      </c>
      <c r="V114" s="248">
        <f>_xll.qlCalendarAdvance(Calendar,U114,NDays&amp;"D")</f>
        <v>41928</v>
      </c>
      <c r="W114" s="249">
        <v>1.992162283757962E-3</v>
      </c>
      <c r="X114" s="246">
        <v>1.9674827316151777E-3</v>
      </c>
    </row>
    <row r="115" spans="11:24" x14ac:dyDescent="0.2">
      <c r="K115" s="247" t="e">
        <v>#N/A</v>
      </c>
      <c r="L115" s="245" t="e">
        <f>_xll.qlRateHelperLatestDate(K115,Trigger)</f>
        <v>#VALUE!</v>
      </c>
      <c r="M115" s="255" t="e">
        <f>_xll.qlRateHelperQuoteValue(K115,_xll.ohTrigger(RecalcTrigger,YieldCurve))</f>
        <v>#VALUE!</v>
      </c>
      <c r="N115" s="260" t="e">
        <v>#N/A</v>
      </c>
      <c r="O115" s="257" t="e">
        <f>_xll.qlEuriborSwap(,"IsdaFixA",Monitor!N115,YieldCurve,Discounting,,_xll.ohTrigger(Trigger,RecalcTrigger))</f>
        <v>#VALUE!</v>
      </c>
      <c r="P115" s="258" t="e">
        <f>_xll.qlIndexFixing(O115,$U$16,TRUE,Trigger)</f>
        <v>#VALUE!</v>
      </c>
      <c r="Q115" s="259" t="e">
        <f t="shared" si="5"/>
        <v>#VALUE!</v>
      </c>
      <c r="T115" s="247" t="str">
        <f t="shared" si="6"/>
        <v>1D</v>
      </c>
      <c r="U115" s="245">
        <f>_xll.qlCalendarAdvance(Calendar,U114,T115,"f",FALSE)</f>
        <v>41927</v>
      </c>
      <c r="V115" s="248">
        <f>_xll.qlCalendarAdvance(Calendar,U115,NDays&amp;"D")</f>
        <v>41929</v>
      </c>
      <c r="W115" s="249">
        <v>1.9877007724260769E-3</v>
      </c>
      <c r="X115" s="246">
        <v>1.9786799232957009E-3</v>
      </c>
    </row>
    <row r="116" spans="11:24" ht="12" thickBot="1" x14ac:dyDescent="0.25">
      <c r="K116" s="265" t="e">
        <v>#N/A</v>
      </c>
      <c r="L116" s="252" t="e">
        <f>_xll.qlRateHelperLatestDate(K116,Trigger)</f>
        <v>#VALUE!</v>
      </c>
      <c r="M116" s="266" t="e">
        <f>_xll.qlRateHelperQuoteValue(K116,_xll.ohTrigger(RecalcTrigger,YieldCurve))</f>
        <v>#VALUE!</v>
      </c>
      <c r="N116" s="267" t="e">
        <v>#N/A</v>
      </c>
      <c r="O116" s="268" t="e">
        <f>_xll.qlEuriborSwap(,"IsdaFixA",Monitor!N116,YieldCurve,Discounting,,_xll.ohTrigger(Trigger,RecalcTrigger))</f>
        <v>#VALUE!</v>
      </c>
      <c r="P116" s="269" t="e">
        <f>_xll.qlIndexFixing(O116,$U$16,TRUE,Trigger)</f>
        <v>#VALUE!</v>
      </c>
      <c r="Q116" s="270" t="e">
        <f t="shared" si="5"/>
        <v>#VALUE!</v>
      </c>
      <c r="T116" s="247" t="str">
        <f t="shared" si="6"/>
        <v>1D</v>
      </c>
      <c r="U116" s="245">
        <f>_xll.qlCalendarAdvance(Calendar,U115,T116,"f",FALSE)</f>
        <v>41928</v>
      </c>
      <c r="V116" s="248">
        <f>_xll.qlCalendarAdvance(Calendar,U116,NDays&amp;"D")</f>
        <v>41932</v>
      </c>
      <c r="W116" s="249">
        <v>1.9863330046342104E-3</v>
      </c>
      <c r="X116" s="246">
        <v>1.9892503501228731E-3</v>
      </c>
    </row>
    <row r="117" spans="11:24" x14ac:dyDescent="0.2">
      <c r="T117" s="247" t="str">
        <f t="shared" si="6"/>
        <v>1D</v>
      </c>
      <c r="U117" s="245">
        <f>_xll.qlCalendarAdvance(Calendar,U116,T117,"f",FALSE)</f>
        <v>41929</v>
      </c>
      <c r="V117" s="248">
        <f>_xll.qlCalendarAdvance(Calendar,U117,NDays&amp;"D")</f>
        <v>41933</v>
      </c>
      <c r="W117" s="249">
        <v>1.9846406558835083E-3</v>
      </c>
      <c r="X117" s="246">
        <v>1.9942384941806779E-3</v>
      </c>
    </row>
    <row r="118" spans="11:24" x14ac:dyDescent="0.2">
      <c r="T118" s="247" t="str">
        <f t="shared" si="6"/>
        <v>1D</v>
      </c>
      <c r="U118" s="245">
        <f>_xll.qlCalendarAdvance(Calendar,U117,T118,"f",FALSE)</f>
        <v>41932</v>
      </c>
      <c r="V118" s="248">
        <f>_xll.qlCalendarAdvance(Calendar,U118,NDays&amp;"D")</f>
        <v>41934</v>
      </c>
      <c r="W118" s="249">
        <v>1.9828596038515642E-3</v>
      </c>
      <c r="X118" s="246">
        <v>1.9990451339868542E-3</v>
      </c>
    </row>
    <row r="119" spans="11:24" x14ac:dyDescent="0.2">
      <c r="T119" s="247" t="str">
        <f t="shared" si="6"/>
        <v>1D</v>
      </c>
      <c r="U119" s="245">
        <f>_xll.qlCalendarAdvance(Calendar,U118,T119,"f",FALSE)</f>
        <v>41933</v>
      </c>
      <c r="V119" s="248">
        <f>_xll.qlCalendarAdvance(Calendar,U119,NDays&amp;"D")</f>
        <v>41935</v>
      </c>
      <c r="W119" s="249">
        <v>1.9809925026935344E-3</v>
      </c>
      <c r="X119" s="246">
        <v>2.0036702694614661E-3</v>
      </c>
    </row>
    <row r="120" spans="11:24" x14ac:dyDescent="0.2">
      <c r="T120" s="247" t="str">
        <f t="shared" si="6"/>
        <v>1D</v>
      </c>
      <c r="U120" s="245">
        <f>_xll.qlCalendarAdvance(Calendar,U119,T120,"f",FALSE)</f>
        <v>41934</v>
      </c>
      <c r="V120" s="248">
        <f>_xll.qlCalendarAdvance(Calendar,U120,NDays&amp;"D")</f>
        <v>41936</v>
      </c>
      <c r="W120" s="249">
        <v>1.9756751417518365E-3</v>
      </c>
      <c r="X120" s="246">
        <v>2.0123267746008366E-3</v>
      </c>
    </row>
    <row r="121" spans="11:24" x14ac:dyDescent="0.2">
      <c r="T121" s="247" t="str">
        <f t="shared" si="6"/>
        <v>1D</v>
      </c>
      <c r="U121" s="245">
        <f>_xll.qlCalendarAdvance(Calendar,U120,T121,"f",FALSE)</f>
        <v>41935</v>
      </c>
      <c r="V121" s="248">
        <f>_xll.qlCalendarAdvance(Calendar,U121,NDays&amp;"D")</f>
        <v>41939</v>
      </c>
      <c r="W121" s="249">
        <v>1.9727166899558245E-3</v>
      </c>
      <c r="X121" s="246">
        <v>2.020355768763693E-3</v>
      </c>
    </row>
    <row r="122" spans="11:24" x14ac:dyDescent="0.2">
      <c r="T122" s="247" t="str">
        <f t="shared" si="6"/>
        <v>1D</v>
      </c>
      <c r="U122" s="245">
        <f>_xll.qlCalendarAdvance(Calendar,U121,T122,"f",FALSE)</f>
        <v>41936</v>
      </c>
      <c r="V122" s="248">
        <f>_xll.qlCalendarAdvance(Calendar,U122,NDays&amp;"D")</f>
        <v>41940</v>
      </c>
      <c r="W122" s="249">
        <v>1.9704591555259948E-3</v>
      </c>
      <c r="X122" s="246">
        <v>2.0240733828202906E-3</v>
      </c>
    </row>
    <row r="123" spans="11:24" x14ac:dyDescent="0.2">
      <c r="T123" s="247" t="str">
        <f t="shared" si="6"/>
        <v>1D</v>
      </c>
      <c r="U123" s="245">
        <f>_xll.qlCalendarAdvance(Calendar,U122,T123,"f",FALSE)</f>
        <v>41939</v>
      </c>
      <c r="V123" s="248">
        <f>_xll.qlCalendarAdvance(Calendar,U123,NDays&amp;"D")</f>
        <v>41941</v>
      </c>
      <c r="W123" s="249">
        <v>1.9681314969036256E-3</v>
      </c>
      <c r="X123" s="246">
        <v>2.0276094925453236E-3</v>
      </c>
    </row>
    <row r="124" spans="11:24" x14ac:dyDescent="0.2">
      <c r="T124" s="247" t="str">
        <f t="shared" si="6"/>
        <v>1D</v>
      </c>
      <c r="U124" s="245">
        <f>_xll.qlCalendarAdvance(Calendar,U123,T124,"f",FALSE)</f>
        <v>41940</v>
      </c>
      <c r="V124" s="248">
        <f>_xll.qlCalendarAdvance(Calendar,U124,NDays&amp;"D")</f>
        <v>41942</v>
      </c>
      <c r="W124" s="249">
        <v>1.9657363682412665E-3</v>
      </c>
      <c r="X124" s="246">
        <v>2.0309640980986643E-3</v>
      </c>
    </row>
    <row r="125" spans="11:24" x14ac:dyDescent="0.2">
      <c r="T125" s="247" t="str">
        <f t="shared" si="6"/>
        <v>1D</v>
      </c>
      <c r="U125" s="245">
        <f>_xll.qlCalendarAdvance(Calendar,U124,T125,"f",FALSE)</f>
        <v>41941</v>
      </c>
      <c r="V125" s="248">
        <f>_xll.qlCalendarAdvance(Calendar,U125,NDays&amp;"D")</f>
        <v>41943</v>
      </c>
      <c r="W125" s="249">
        <v>1.9650084942744528E-3</v>
      </c>
      <c r="X125" s="246">
        <v>2.0370798214663921E-3</v>
      </c>
    </row>
    <row r="126" spans="11:24" x14ac:dyDescent="0.2">
      <c r="T126" s="247" t="str">
        <f t="shared" si="6"/>
        <v>1D</v>
      </c>
      <c r="U126" s="245">
        <f>_xll.qlCalendarAdvance(Calendar,U125,T126,"f",FALSE)</f>
        <v>41942</v>
      </c>
      <c r="V126" s="248">
        <f>_xll.qlCalendarAdvance(Calendar,U126,NDays&amp;"D")</f>
        <v>41946</v>
      </c>
      <c r="W126" s="249">
        <v>1.9555342360717642E-3</v>
      </c>
      <c r="X126" s="246">
        <v>2.0425674768365099E-3</v>
      </c>
    </row>
    <row r="127" spans="11:24" x14ac:dyDescent="0.2">
      <c r="T127" s="247" t="str">
        <f t="shared" si="6"/>
        <v>1D</v>
      </c>
      <c r="U127" s="245">
        <f>_xll.qlCalendarAdvance(Calendar,U126,T127,"f",FALSE)</f>
        <v>41943</v>
      </c>
      <c r="V127" s="248">
        <f>_xll.qlCalendarAdvance(Calendar,U127,NDays&amp;"D")</f>
        <v>41947</v>
      </c>
      <c r="W127" s="249">
        <v>1.9528415693378328E-3</v>
      </c>
      <c r="X127" s="246">
        <v>2.045014560652092E-3</v>
      </c>
    </row>
    <row r="128" spans="11:24" x14ac:dyDescent="0.2">
      <c r="T128" s="247" t="str">
        <f t="shared" si="6"/>
        <v>1D</v>
      </c>
      <c r="U128" s="245">
        <f>_xll.qlCalendarAdvance(Calendar,U127,T128,"f",FALSE)</f>
        <v>41946</v>
      </c>
      <c r="V128" s="248">
        <f>_xll.qlCalendarAdvance(Calendar,U128,NDays&amp;"D")</f>
        <v>41948</v>
      </c>
      <c r="W128" s="249">
        <v>1.9500973573879801E-3</v>
      </c>
      <c r="X128" s="246">
        <v>2.0472801402160457E-3</v>
      </c>
    </row>
    <row r="129" spans="20:24" x14ac:dyDescent="0.2">
      <c r="T129" s="247" t="str">
        <f t="shared" si="6"/>
        <v>1D</v>
      </c>
      <c r="U129" s="245">
        <f>_xll.qlCalendarAdvance(Calendar,U128,T129,"f",FALSE)</f>
        <v>41947</v>
      </c>
      <c r="V129" s="248">
        <f>_xll.qlCalendarAdvance(Calendar,U129,NDays&amp;"D")</f>
        <v>41949</v>
      </c>
      <c r="W129" s="249">
        <v>1.9473042543417386E-3</v>
      </c>
      <c r="X129" s="246">
        <v>2.0493642154484348E-3</v>
      </c>
    </row>
    <row r="130" spans="20:24" x14ac:dyDescent="0.2">
      <c r="T130" s="247" t="str">
        <f t="shared" si="6"/>
        <v>1D</v>
      </c>
      <c r="U130" s="245">
        <f>_xll.qlCalendarAdvance(Calendar,U129,T130,"f",FALSE)</f>
        <v>41948</v>
      </c>
      <c r="V130" s="248">
        <f>_xll.qlCalendarAdvance(Calendar,U130,NDays&amp;"D")</f>
        <v>41950</v>
      </c>
      <c r="W130" s="249">
        <v>1.9410941339388082E-3</v>
      </c>
      <c r="X130" s="246">
        <v>2.0529390582968432E-3</v>
      </c>
    </row>
    <row r="131" spans="20:24" x14ac:dyDescent="0.2">
      <c r="T131" s="247" t="str">
        <f t="shared" si="6"/>
        <v>1D</v>
      </c>
      <c r="U131" s="245">
        <f>_xll.qlCalendarAdvance(Calendar,U130,T131,"f",FALSE)</f>
        <v>41949</v>
      </c>
      <c r="V131" s="248">
        <f>_xll.qlCalendarAdvance(Calendar,U131,NDays&amp;"D")</f>
        <v>41953</v>
      </c>
      <c r="W131" s="249">
        <v>1.9356960134080297E-3</v>
      </c>
      <c r="X131" s="246">
        <v>2.0558854727426024E-3</v>
      </c>
    </row>
    <row r="132" spans="20:24" x14ac:dyDescent="0.2">
      <c r="T132" s="247" t="str">
        <f t="shared" si="6"/>
        <v>1D</v>
      </c>
      <c r="U132" s="245">
        <f>_xll.qlCalendarAdvance(Calendar,U131,T132,"f",FALSE)</f>
        <v>41950</v>
      </c>
      <c r="V132" s="248">
        <f>_xll.qlCalendarAdvance(Calendar,U132,NDays&amp;"D")</f>
        <v>41954</v>
      </c>
      <c r="W132" s="249">
        <v>1.932698266485161E-3</v>
      </c>
      <c r="X132" s="246">
        <v>2.057062026237233E-3</v>
      </c>
    </row>
    <row r="133" spans="20:24" x14ac:dyDescent="0.2">
      <c r="T133" s="247" t="str">
        <f t="shared" si="6"/>
        <v>1D</v>
      </c>
      <c r="U133" s="245">
        <f>_xll.qlCalendarAdvance(Calendar,U132,T133,"f",FALSE)</f>
        <v>41953</v>
      </c>
      <c r="V133" s="248">
        <f>_xll.qlCalendarAdvance(Calendar,U133,NDays&amp;"D")</f>
        <v>41955</v>
      </c>
      <c r="W133" s="249">
        <v>1.9296675530614588E-3</v>
      </c>
      <c r="X133" s="246">
        <v>2.0580570753203631E-3</v>
      </c>
    </row>
    <row r="134" spans="20:24" x14ac:dyDescent="0.2">
      <c r="T134" s="247" t="str">
        <f t="shared" si="6"/>
        <v>1D</v>
      </c>
      <c r="U134" s="245">
        <f>_xll.qlCalendarAdvance(Calendar,U133,T134,"f",FALSE)</f>
        <v>41954</v>
      </c>
      <c r="V134" s="248">
        <f>_xll.qlCalendarAdvance(Calendar,U134,NDays&amp;"D")</f>
        <v>41956</v>
      </c>
      <c r="W134" s="249">
        <v>1.9266065272121435E-3</v>
      </c>
      <c r="X134" s="246">
        <v>2.0588706200719287E-3</v>
      </c>
    </row>
    <row r="135" spans="20:24" x14ac:dyDescent="0.2">
      <c r="T135" s="247" t="str">
        <f t="shared" si="6"/>
        <v>1D</v>
      </c>
      <c r="U135" s="245">
        <f>_xll.qlCalendarAdvance(Calendar,U134,T135,"f",FALSE)</f>
        <v>41955</v>
      </c>
      <c r="V135" s="248">
        <f>_xll.qlCalendarAdvance(Calendar,U135,NDays&amp;"D")</f>
        <v>41957</v>
      </c>
      <c r="W135" s="249">
        <v>1.9203207734015356E-3</v>
      </c>
      <c r="X135" s="246">
        <v>2.0599044816282941E-3</v>
      </c>
    </row>
    <row r="136" spans="20:24" x14ac:dyDescent="0.2">
      <c r="T136" s="247" t="str">
        <f t="shared" si="6"/>
        <v>1D</v>
      </c>
      <c r="U136" s="245">
        <f>_xll.qlCalendarAdvance(Calendar,U135,T136,"f",FALSE)</f>
        <v>41956</v>
      </c>
      <c r="V136" s="248">
        <f>_xll.qlCalendarAdvance(Calendar,U136,NDays&amp;"D")</f>
        <v>41960</v>
      </c>
      <c r="W136" s="249">
        <v>1.9141123807903358E-3</v>
      </c>
      <c r="X136" s="246">
        <v>2.0603097555227379E-3</v>
      </c>
    </row>
    <row r="137" spans="20:24" x14ac:dyDescent="0.2">
      <c r="T137" s="247" t="str">
        <f t="shared" si="6"/>
        <v>1D</v>
      </c>
      <c r="U137" s="245">
        <f>_xll.qlCalendarAdvance(Calendar,U136,T137,"f",FALSE)</f>
        <v>41957</v>
      </c>
      <c r="V137" s="248">
        <f>_xll.qlCalendarAdvance(Calendar,U137,NDays&amp;"D")</f>
        <v>41961</v>
      </c>
      <c r="W137" s="249">
        <v>1.9109396036675681E-3</v>
      </c>
      <c r="X137" s="246">
        <v>2.0602157784566089E-3</v>
      </c>
    </row>
    <row r="138" spans="20:24" x14ac:dyDescent="0.2">
      <c r="T138" s="247" t="str">
        <f t="shared" si="6"/>
        <v>1D</v>
      </c>
      <c r="U138" s="245">
        <f>_xll.qlCalendarAdvance(Calendar,U137,T138,"f",FALSE)</f>
        <v>41960</v>
      </c>
      <c r="V138" s="248">
        <f>_xll.qlCalendarAdvance(Calendar,U138,NDays&amp;"D")</f>
        <v>41962</v>
      </c>
      <c r="W138" s="249">
        <v>1.9077524384036872E-3</v>
      </c>
      <c r="X138" s="246">
        <v>2.0599402971388514E-3</v>
      </c>
    </row>
    <row r="139" spans="20:24" x14ac:dyDescent="0.2">
      <c r="T139" s="247" t="str">
        <f t="shared" si="6"/>
        <v>1D</v>
      </c>
      <c r="U139" s="245">
        <f>_xll.qlCalendarAdvance(Calendar,U138,T139,"f",FALSE)</f>
        <v>41961</v>
      </c>
      <c r="V139" s="248">
        <f>_xll.qlCalendarAdvance(Calendar,U139,NDays&amp;"D")</f>
        <v>41963</v>
      </c>
      <c r="W139" s="249">
        <v>1.9045535390183057E-3</v>
      </c>
      <c r="X139" s="246">
        <v>2.0594833114095934E-3</v>
      </c>
    </row>
    <row r="140" spans="20:24" x14ac:dyDescent="0.2">
      <c r="T140" s="247" t="str">
        <f t="shared" si="6"/>
        <v>1D</v>
      </c>
      <c r="U140" s="245">
        <f>_xll.qlCalendarAdvance(Calendar,U139,T140,"f",FALSE)</f>
        <v>41962</v>
      </c>
      <c r="V140" s="248">
        <f>_xll.qlCalendarAdvance(Calendar,U140,NDays&amp;"D")</f>
        <v>41964</v>
      </c>
      <c r="W140" s="249">
        <v>1.8984134984032129E-3</v>
      </c>
      <c r="X140" s="246">
        <v>2.0579760899153143E-3</v>
      </c>
    </row>
    <row r="141" spans="20:24" x14ac:dyDescent="0.2">
      <c r="T141" s="247" t="str">
        <f t="shared" si="6"/>
        <v>1D</v>
      </c>
      <c r="U141" s="245">
        <f>_xll.qlCalendarAdvance(Calendar,U140,T141,"f",FALSE)</f>
        <v>41963</v>
      </c>
      <c r="V141" s="248">
        <f>_xll.qlCalendarAdvance(Calendar,U141,NDays&amp;"D")</f>
        <v>41967</v>
      </c>
      <c r="W141" s="249">
        <v>1.891693680329072E-3</v>
      </c>
      <c r="X141" s="246">
        <v>2.0558403249371082E-3</v>
      </c>
    </row>
    <row r="142" spans="20:24" x14ac:dyDescent="0.2">
      <c r="T142" s="247" t="str">
        <f t="shared" si="6"/>
        <v>1D</v>
      </c>
      <c r="U142" s="245">
        <f>_xll.qlCalendarAdvance(Calendar,U141,T142,"f",FALSE)</f>
        <v>41964</v>
      </c>
      <c r="V142" s="248">
        <f>_xll.qlCalendarAdvance(Calendar,U142,NDays&amp;"D")</f>
        <v>41968</v>
      </c>
      <c r="W142" s="249">
        <v>1.888475920311504E-3</v>
      </c>
      <c r="X142" s="246">
        <v>2.0544758173901556E-3</v>
      </c>
    </row>
    <row r="143" spans="20:24" x14ac:dyDescent="0.2">
      <c r="T143" s="247" t="str">
        <f t="shared" si="6"/>
        <v>1D</v>
      </c>
      <c r="U143" s="245">
        <f>_xll.qlCalendarAdvance(Calendar,U142,T143,"f",FALSE)</f>
        <v>41967</v>
      </c>
      <c r="V143" s="248">
        <f>_xll.qlCalendarAdvance(Calendar,U143,NDays&amp;"D")</f>
        <v>41969</v>
      </c>
      <c r="W143" s="249">
        <v>1.885262350103305E-3</v>
      </c>
      <c r="X143" s="246">
        <v>2.0529298055116385E-3</v>
      </c>
    </row>
    <row r="144" spans="20:24" x14ac:dyDescent="0.2">
      <c r="T144" s="247" t="str">
        <f t="shared" si="6"/>
        <v>1D</v>
      </c>
      <c r="U144" s="245">
        <f>_xll.qlCalendarAdvance(Calendar,U143,T144,"f",FALSE)</f>
        <v>41968</v>
      </c>
      <c r="V144" s="248">
        <f>_xll.qlCalendarAdvance(Calendar,U144,NDays&amp;"D")</f>
        <v>41970</v>
      </c>
      <c r="W144" s="249">
        <v>1.8820556236615292E-3</v>
      </c>
      <c r="X144" s="246">
        <v>2.0512022893015569E-3</v>
      </c>
    </row>
    <row r="145" spans="20:24" x14ac:dyDescent="0.2">
      <c r="T145" s="247" t="str">
        <f t="shared" si="6"/>
        <v>1D</v>
      </c>
      <c r="U145" s="245">
        <f>_xll.qlCalendarAdvance(Calendar,U144,T145,"f",FALSE)</f>
        <v>41969</v>
      </c>
      <c r="V145" s="248">
        <f>_xll.qlCalendarAdvance(Calendar,U145,NDays&amp;"D")</f>
        <v>41971</v>
      </c>
      <c r="W145" s="249">
        <v>1.8801861561988699E-3</v>
      </c>
      <c r="X145" s="246">
        <v>2.0471538835575842E-3</v>
      </c>
    </row>
    <row r="146" spans="20:24" x14ac:dyDescent="0.2">
      <c r="T146" s="247" t="str">
        <f t="shared" ref="T146:T209" si="7">T145</f>
        <v>1D</v>
      </c>
      <c r="U146" s="245">
        <f>_xll.qlCalendarAdvance(Calendar,U145,T146,"f",FALSE)</f>
        <v>41970</v>
      </c>
      <c r="V146" s="248">
        <f>_xll.qlCalendarAdvance(Calendar,U146,NDays&amp;"D")</f>
        <v>41974</v>
      </c>
      <c r="W146" s="249">
        <v>1.8705976111683725E-3</v>
      </c>
      <c r="X146" s="246">
        <v>2.0424771811455855E-3</v>
      </c>
    </row>
    <row r="147" spans="20:24" x14ac:dyDescent="0.2">
      <c r="T147" s="247" t="str">
        <f t="shared" si="7"/>
        <v>1D</v>
      </c>
      <c r="U147" s="245">
        <f>_xll.qlCalendarAdvance(Calendar,U146,T147,"f",FALSE)</f>
        <v>41971</v>
      </c>
      <c r="V147" s="248">
        <f>_xll.qlCalendarAdvance(Calendar,U147,NDays&amp;"D")</f>
        <v>41975</v>
      </c>
      <c r="W147" s="249">
        <v>1.868677236139149E-3</v>
      </c>
      <c r="X147" s="246">
        <v>2.0398421431977454E-3</v>
      </c>
    </row>
    <row r="148" spans="20:24" x14ac:dyDescent="0.2">
      <c r="T148" s="247" t="str">
        <f t="shared" si="7"/>
        <v>1D</v>
      </c>
      <c r="U148" s="245">
        <f>_xll.qlCalendarAdvance(Calendar,U147,T148,"f",FALSE)</f>
        <v>41974</v>
      </c>
      <c r="V148" s="248">
        <f>_xll.qlCalendarAdvance(Calendar,U148,NDays&amp;"D")</f>
        <v>41976</v>
      </c>
      <c r="W148" s="249">
        <v>1.8655109640048906E-3</v>
      </c>
      <c r="X148" s="246">
        <v>2.0370256010782128E-3</v>
      </c>
    </row>
    <row r="149" spans="20:24" x14ac:dyDescent="0.2">
      <c r="T149" s="247" t="str">
        <f t="shared" si="7"/>
        <v>1D</v>
      </c>
      <c r="U149" s="245">
        <f>_xll.qlCalendarAdvance(Calendar,U148,T149,"f",FALSE)</f>
        <v>41975</v>
      </c>
      <c r="V149" s="248">
        <f>_xll.qlCalendarAdvance(Calendar,U149,NDays&amp;"D")</f>
        <v>41977</v>
      </c>
      <c r="W149" s="249">
        <v>1.8623692872230535E-3</v>
      </c>
      <c r="X149" s="246">
        <v>2.0340275544672437E-3</v>
      </c>
    </row>
    <row r="150" spans="20:24" x14ac:dyDescent="0.2">
      <c r="T150" s="247" t="str">
        <f t="shared" si="7"/>
        <v>1D</v>
      </c>
      <c r="U150" s="245">
        <f>_xll.qlCalendarAdvance(Calendar,U149,T150,"f",FALSE)</f>
        <v>41976</v>
      </c>
      <c r="V150" s="248">
        <f>_xll.qlCalendarAdvance(Calendar,U150,NDays&amp;"D")</f>
        <v>41978</v>
      </c>
      <c r="W150" s="249">
        <v>1.8592549186395857E-3</v>
      </c>
      <c r="X150" s="246">
        <v>2.0274378649798308E-3</v>
      </c>
    </row>
    <row r="151" spans="20:24" x14ac:dyDescent="0.2">
      <c r="T151" s="247" t="str">
        <f t="shared" si="7"/>
        <v>1D</v>
      </c>
      <c r="U151" s="245">
        <f>_xll.qlCalendarAdvance(Calendar,U150,T151,"f",FALSE)</f>
        <v>41977</v>
      </c>
      <c r="V151" s="248">
        <f>_xll.qlCalendarAdvance(Calendar,U151,NDays&amp;"D")</f>
        <v>41981</v>
      </c>
      <c r="W151" s="249">
        <v>1.8490371833472627E-3</v>
      </c>
      <c r="X151" s="246">
        <v>2.0202203252672746E-3</v>
      </c>
    </row>
    <row r="152" spans="20:24" x14ac:dyDescent="0.2">
      <c r="T152" s="247" t="str">
        <f t="shared" si="7"/>
        <v>1D</v>
      </c>
      <c r="U152" s="245">
        <f>_xll.qlCalendarAdvance(Calendar,U151,T152,"f",FALSE)</f>
        <v>41978</v>
      </c>
      <c r="V152" s="248">
        <f>_xll.qlCalendarAdvance(Calendar,U152,NDays&amp;"D")</f>
        <v>41982</v>
      </c>
      <c r="W152" s="249">
        <v>1.8471247828841797E-3</v>
      </c>
      <c r="X152" s="246">
        <v>2.0163147571583551E-3</v>
      </c>
    </row>
    <row r="153" spans="20:24" x14ac:dyDescent="0.2">
      <c r="T153" s="247" t="str">
        <f t="shared" si="7"/>
        <v>1D</v>
      </c>
      <c r="U153" s="245">
        <f>_xll.qlCalendarAdvance(Calendar,U152,T153,"f",FALSE)</f>
        <v>41981</v>
      </c>
      <c r="V153" s="248">
        <f>_xll.qlCalendarAdvance(Calendar,U153,NDays&amp;"D")</f>
        <v>41983</v>
      </c>
      <c r="W153" s="249">
        <v>1.8441876476744667E-3</v>
      </c>
      <c r="X153" s="246">
        <v>2.0122276847978071E-3</v>
      </c>
    </row>
    <row r="154" spans="20:24" x14ac:dyDescent="0.2">
      <c r="T154" s="247" t="str">
        <f t="shared" si="7"/>
        <v>1D</v>
      </c>
      <c r="U154" s="245">
        <f>_xll.qlCalendarAdvance(Calendar,U153,T154,"f",FALSE)</f>
        <v>41982</v>
      </c>
      <c r="V154" s="248">
        <f>_xll.qlCalendarAdvance(Calendar,U154,NDays&amp;"D")</f>
        <v>41984</v>
      </c>
      <c r="W154" s="249">
        <v>1.8412940975638392E-3</v>
      </c>
      <c r="X154" s="246">
        <v>2.0079591081056947E-3</v>
      </c>
    </row>
    <row r="155" spans="20:24" x14ac:dyDescent="0.2">
      <c r="T155" s="247" t="str">
        <f t="shared" si="7"/>
        <v>1D</v>
      </c>
      <c r="U155" s="245">
        <f>_xll.qlCalendarAdvance(Calendar,U154,T155,"f",FALSE)</f>
        <v>41983</v>
      </c>
      <c r="V155" s="248">
        <f>_xll.qlCalendarAdvance(Calendar,U155,NDays&amp;"D")</f>
        <v>41985</v>
      </c>
      <c r="W155" s="249">
        <v>1.8384468453476188E-3</v>
      </c>
      <c r="X155" s="246">
        <v>1.998828038551892E-3</v>
      </c>
    </row>
    <row r="156" spans="20:24" x14ac:dyDescent="0.2">
      <c r="T156" s="247" t="str">
        <f t="shared" si="7"/>
        <v>1D</v>
      </c>
      <c r="U156" s="245">
        <f>_xll.qlCalendarAdvance(Calendar,U155,T156,"f",FALSE)</f>
        <v>41984</v>
      </c>
      <c r="V156" s="248">
        <f>_xll.qlCalendarAdvance(Calendar,U156,NDays&amp;"D")</f>
        <v>41988</v>
      </c>
      <c r="W156" s="249">
        <v>1.829359724703656E-3</v>
      </c>
      <c r="X156" s="246">
        <v>1.9890697588209605E-3</v>
      </c>
    </row>
    <row r="157" spans="20:24" x14ac:dyDescent="0.2">
      <c r="T157" s="247" t="str">
        <f t="shared" si="7"/>
        <v>1D</v>
      </c>
      <c r="U157" s="245">
        <f>_xll.qlCalendarAdvance(Calendar,U156,T157,"f",FALSE)</f>
        <v>41985</v>
      </c>
      <c r="V157" s="248">
        <f>_xll.qlCalendarAdvance(Calendar,U157,NDays&amp;"D")</f>
        <v>41989</v>
      </c>
      <c r="W157" s="249">
        <v>1.8275750710623484E-3</v>
      </c>
      <c r="X157" s="246">
        <v>1.9838936608707058E-3</v>
      </c>
    </row>
    <row r="158" spans="20:24" x14ac:dyDescent="0.2">
      <c r="T158" s="247" t="str">
        <f t="shared" si="7"/>
        <v>1D</v>
      </c>
      <c r="U158" s="245">
        <f>_xll.qlCalendarAdvance(Calendar,U157,T158,"f",FALSE)</f>
        <v>41988</v>
      </c>
      <c r="V158" s="248">
        <f>_xll.qlCalendarAdvance(Calendar,U158,NDays&amp;"D")</f>
        <v>41990</v>
      </c>
      <c r="W158" s="249">
        <v>1.8250000000001876E-3</v>
      </c>
      <c r="X158" s="246">
        <v>1.9785767334923321E-3</v>
      </c>
    </row>
    <row r="159" spans="20:24" x14ac:dyDescent="0.2">
      <c r="T159" s="247" t="str">
        <f t="shared" si="7"/>
        <v>1D</v>
      </c>
      <c r="U159" s="245">
        <f>_xll.qlCalendarAdvance(Calendar,U158,T159,"f",FALSE)</f>
        <v>41989</v>
      </c>
      <c r="V159" s="248">
        <f>_xll.qlCalendarAdvance(Calendar,U159,NDays&amp;"D")</f>
        <v>41991</v>
      </c>
      <c r="W159" s="249">
        <v>1.8224869474998684E-3</v>
      </c>
      <c r="X159" s="246">
        <v>1.9732816760598126E-3</v>
      </c>
    </row>
    <row r="160" spans="20:24" x14ac:dyDescent="0.2">
      <c r="T160" s="247" t="str">
        <f t="shared" si="7"/>
        <v>1D</v>
      </c>
      <c r="U160" s="245">
        <f>_xll.qlCalendarAdvance(Calendar,U159,T160,"f",FALSE)</f>
        <v>41990</v>
      </c>
      <c r="V160" s="248">
        <f>_xll.qlCalendarAdvance(Calendar,U160,NDays&amp;"D")</f>
        <v>41992</v>
      </c>
      <c r="W160" s="249">
        <v>1.8200358464639521E-3</v>
      </c>
      <c r="X160" s="246">
        <v>1.9629107466645479E-3</v>
      </c>
    </row>
    <row r="161" spans="20:24" x14ac:dyDescent="0.2">
      <c r="T161" s="247" t="str">
        <f t="shared" si="7"/>
        <v>1D</v>
      </c>
      <c r="U161" s="245">
        <f>_xll.qlCalendarAdvance(Calendar,U160,T161,"f",FALSE)</f>
        <v>41991</v>
      </c>
      <c r="V161" s="248">
        <f>_xll.qlCalendarAdvance(Calendar,U161,NDays&amp;"D")</f>
        <v>41995</v>
      </c>
      <c r="W161" s="249">
        <v>1.8124074234125754E-3</v>
      </c>
      <c r="X161" s="246">
        <v>1.9527268944230514E-3</v>
      </c>
    </row>
    <row r="162" spans="20:24" x14ac:dyDescent="0.2">
      <c r="T162" s="247" t="str">
        <f t="shared" si="7"/>
        <v>1D</v>
      </c>
      <c r="U162" s="245">
        <f>_xll.qlCalendarAdvance(Calendar,U161,T162,"f",FALSE)</f>
        <v>41992</v>
      </c>
      <c r="V162" s="248">
        <f>_xll.qlCalendarAdvance(Calendar,U162,NDays&amp;"D")</f>
        <v>41996</v>
      </c>
      <c r="W162" s="249">
        <v>1.8108384957544743E-3</v>
      </c>
      <c r="X162" s="246">
        <v>1.9477445609972222E-3</v>
      </c>
    </row>
    <row r="163" spans="20:24" x14ac:dyDescent="0.2">
      <c r="T163" s="247" t="str">
        <f t="shared" si="7"/>
        <v>1D</v>
      </c>
      <c r="U163" s="245">
        <f>_xll.qlCalendarAdvance(Calendar,U162,T163,"f",FALSE)</f>
        <v>41995</v>
      </c>
      <c r="V163" s="248">
        <f>_xll.qlCalendarAdvance(Calendar,U163,NDays&amp;"D")</f>
        <v>41997</v>
      </c>
      <c r="W163" s="249">
        <v>1.8086878061671641E-3</v>
      </c>
      <c r="X163" s="246">
        <v>1.9332561375442481E-3</v>
      </c>
    </row>
    <row r="164" spans="20:24" x14ac:dyDescent="0.2">
      <c r="T164" s="247" t="str">
        <f t="shared" si="7"/>
        <v>1D</v>
      </c>
      <c r="U164" s="245">
        <f>_xll.qlCalendarAdvance(Calendar,U163,T164,"f",FALSE)</f>
        <v>41996</v>
      </c>
      <c r="V164" s="248">
        <f>_xll.qlCalendarAdvance(Calendar,U164,NDays&amp;"D")</f>
        <v>42002</v>
      </c>
      <c r="W164" s="249">
        <v>1.798336446531329E-3</v>
      </c>
      <c r="X164" s="246">
        <v>1.9191640007587552E-3</v>
      </c>
    </row>
    <row r="165" spans="20:24" x14ac:dyDescent="0.2">
      <c r="T165" s="247" t="str">
        <f t="shared" si="7"/>
        <v>1D</v>
      </c>
      <c r="U165" s="245">
        <f>_xll.qlCalendarAdvance(Calendar,U164,T165,"f",FALSE)</f>
        <v>41997</v>
      </c>
      <c r="V165" s="248">
        <f>_xll.qlCalendarAdvance(Calendar,U165,NDays&amp;"D")</f>
        <v>42003</v>
      </c>
      <c r="W165" s="249">
        <v>1.7969843384078032E-3</v>
      </c>
      <c r="X165" s="246">
        <v>1.9146194807984074E-3</v>
      </c>
    </row>
    <row r="166" spans="20:24" x14ac:dyDescent="0.2">
      <c r="T166" s="247" t="str">
        <f t="shared" si="7"/>
        <v>1D</v>
      </c>
      <c r="U166" s="245">
        <f>_xll.qlCalendarAdvance(Calendar,U165,T166,"f",FALSE)</f>
        <v>42002</v>
      </c>
      <c r="V166" s="248">
        <f>_xll.qlCalendarAdvance(Calendar,U166,NDays&amp;"D")</f>
        <v>42004</v>
      </c>
      <c r="W166" s="249">
        <v>1.7952280571247314E-3</v>
      </c>
      <c r="X166" s="246">
        <v>1.907932846152427E-3</v>
      </c>
    </row>
    <row r="167" spans="20:24" x14ac:dyDescent="0.2">
      <c r="T167" s="247" t="str">
        <f t="shared" si="7"/>
        <v>1D</v>
      </c>
      <c r="U167" s="245">
        <f>_xll.qlCalendarAdvance(Calendar,U166,T167,"f",FALSE)</f>
        <v>42003</v>
      </c>
      <c r="V167" s="248">
        <f>_xll.qlCalendarAdvance(Calendar,U167,NDays&amp;"D")</f>
        <v>42006</v>
      </c>
      <c r="W167" s="249">
        <v>1.7918764273741061E-3</v>
      </c>
      <c r="X167" s="246">
        <v>1.8970976938170736E-3</v>
      </c>
    </row>
    <row r="168" spans="20:24" x14ac:dyDescent="0.2">
      <c r="T168" s="247" t="str">
        <f t="shared" si="7"/>
        <v>1D</v>
      </c>
      <c r="U168" s="245">
        <f>_xll.qlCalendarAdvance(Calendar,U167,T168,"f",FALSE)</f>
        <v>42004</v>
      </c>
      <c r="V168" s="248">
        <f>_xll.qlCalendarAdvance(Calendar,U168,NDays&amp;"D")</f>
        <v>42009</v>
      </c>
      <c r="W168" s="249">
        <v>1.7866473139419147E-3</v>
      </c>
      <c r="X168" s="246">
        <v>1.8886658009531487E-3</v>
      </c>
    </row>
    <row r="169" spans="20:24" x14ac:dyDescent="0.2">
      <c r="T169" s="247" t="str">
        <f t="shared" si="7"/>
        <v>1D</v>
      </c>
      <c r="U169" s="245">
        <f>_xll.qlCalendarAdvance(Calendar,U168,T169,"f",FALSE)</f>
        <v>42006</v>
      </c>
      <c r="V169" s="248">
        <f>_xll.qlCalendarAdvance(Calendar,U169,NDays&amp;"D")</f>
        <v>42010</v>
      </c>
      <c r="W169" s="249">
        <v>1.7855168643214855E-3</v>
      </c>
      <c r="X169" s="246">
        <v>1.8845590942984103E-3</v>
      </c>
    </row>
    <row r="170" spans="20:24" x14ac:dyDescent="0.2">
      <c r="T170" s="247" t="str">
        <f t="shared" si="7"/>
        <v>1D</v>
      </c>
      <c r="U170" s="245">
        <f>_xll.qlCalendarAdvance(Calendar,U169,T170,"f",FALSE)</f>
        <v>42009</v>
      </c>
      <c r="V170" s="248">
        <f>_xll.qlCalendarAdvance(Calendar,U170,NDays&amp;"D")</f>
        <v>42011</v>
      </c>
      <c r="W170" s="249">
        <v>1.7844070539316803E-3</v>
      </c>
      <c r="X170" s="246">
        <v>1.8805149323330994E-3</v>
      </c>
    </row>
    <row r="171" spans="20:24" x14ac:dyDescent="0.2">
      <c r="T171" s="247" t="str">
        <f t="shared" si="7"/>
        <v>1D</v>
      </c>
      <c r="U171" s="245">
        <f>_xll.qlCalendarAdvance(Calendar,U170,T171,"f",FALSE)</f>
        <v>42010</v>
      </c>
      <c r="V171" s="248">
        <f>_xll.qlCalendarAdvance(Calendar,U171,NDays&amp;"D")</f>
        <v>42012</v>
      </c>
      <c r="W171" s="249">
        <v>1.7830641439466888E-3</v>
      </c>
      <c r="X171" s="246">
        <v>1.8765333152170882E-3</v>
      </c>
    </row>
    <row r="172" spans="20:24" x14ac:dyDescent="0.2">
      <c r="T172" s="247" t="str">
        <f t="shared" si="7"/>
        <v>1D</v>
      </c>
      <c r="U172" s="245">
        <f>_xll.qlCalendarAdvance(Calendar,U171,T172,"f",FALSE)</f>
        <v>42011</v>
      </c>
      <c r="V172" s="248">
        <f>_xll.qlCalendarAdvance(Calendar,U172,NDays&amp;"D")</f>
        <v>42013</v>
      </c>
      <c r="W172" s="249">
        <v>1.7817701018696397E-3</v>
      </c>
      <c r="X172" s="246">
        <v>1.8687882643497744E-3</v>
      </c>
    </row>
    <row r="173" spans="20:24" x14ac:dyDescent="0.2">
      <c r="T173" s="247" t="str">
        <f t="shared" si="7"/>
        <v>1D</v>
      </c>
      <c r="U173" s="245">
        <f>_xll.qlCalendarAdvance(Calendar,U172,T173,"f",FALSE)</f>
        <v>42012</v>
      </c>
      <c r="V173" s="248">
        <f>_xll.qlCalendarAdvance(Calendar,U173,NDays&amp;"D")</f>
        <v>42016</v>
      </c>
      <c r="W173" s="249">
        <v>1.7780040981813022E-3</v>
      </c>
      <c r="X173" s="246">
        <v>1.8612322941269355E-3</v>
      </c>
    </row>
    <row r="174" spans="20:24" x14ac:dyDescent="0.2">
      <c r="T174" s="247" t="str">
        <f t="shared" si="7"/>
        <v>1D</v>
      </c>
      <c r="U174" s="245">
        <f>_xll.qlCalendarAdvance(Calendar,U173,T174,"f",FALSE)</f>
        <v>42013</v>
      </c>
      <c r="V174" s="248">
        <f>_xll.qlCalendarAdvance(Calendar,U174,NDays&amp;"D")</f>
        <v>42017</v>
      </c>
      <c r="W174" s="249">
        <v>1.7770701528361244E-3</v>
      </c>
      <c r="X174" s="246">
        <v>1.8575634006978703E-3</v>
      </c>
    </row>
    <row r="175" spans="20:24" x14ac:dyDescent="0.2">
      <c r="T175" s="247" t="str">
        <f t="shared" si="7"/>
        <v>1D</v>
      </c>
      <c r="U175" s="245">
        <f>_xll.qlCalendarAdvance(Calendar,U174,T175,"f",FALSE)</f>
        <v>42016</v>
      </c>
      <c r="V175" s="248">
        <f>_xll.qlCalendarAdvance(Calendar,U175,NDays&amp;"D")</f>
        <v>42018</v>
      </c>
      <c r="W175" s="249">
        <v>1.7760111054689887E-3</v>
      </c>
      <c r="X175" s="246">
        <v>1.8539570519582327E-3</v>
      </c>
    </row>
    <row r="176" spans="20:24" x14ac:dyDescent="0.2">
      <c r="T176" s="247" t="str">
        <f t="shared" si="7"/>
        <v>1D</v>
      </c>
      <c r="U176" s="245">
        <f>_xll.qlCalendarAdvance(Calendar,U175,T176,"f",FALSE)</f>
        <v>42017</v>
      </c>
      <c r="V176" s="248">
        <f>_xll.qlCalendarAdvance(Calendar,U176,NDays&amp;"D")</f>
        <v>42019</v>
      </c>
      <c r="W176" s="249">
        <v>1.7749971880958171E-3</v>
      </c>
      <c r="X176" s="246">
        <v>1.8504132480678948E-3</v>
      </c>
    </row>
    <row r="177" spans="20:24" x14ac:dyDescent="0.2">
      <c r="T177" s="247" t="str">
        <f t="shared" si="7"/>
        <v>1D</v>
      </c>
      <c r="U177" s="245">
        <f>_xll.qlCalendarAdvance(Calendar,U176,T177,"f",FALSE)</f>
        <v>42018</v>
      </c>
      <c r="V177" s="248">
        <f>_xll.qlCalendarAdvance(Calendar,U177,NDays&amp;"D")</f>
        <v>42020</v>
      </c>
      <c r="W177" s="249">
        <v>1.7740277777367197E-3</v>
      </c>
      <c r="X177" s="246">
        <v>1.8435435631936059E-3</v>
      </c>
    </row>
    <row r="178" spans="20:24" x14ac:dyDescent="0.2">
      <c r="T178" s="247" t="str">
        <f t="shared" si="7"/>
        <v>1D</v>
      </c>
      <c r="U178" s="245">
        <f>_xll.qlCalendarAdvance(Calendar,U177,T178,"f",FALSE)</f>
        <v>42019</v>
      </c>
      <c r="V178" s="248">
        <f>_xll.qlCalendarAdvance(Calendar,U178,NDays&amp;"D")</f>
        <v>42023</v>
      </c>
      <c r="W178" s="249">
        <v>1.7713200416124143E-3</v>
      </c>
      <c r="X178" s="246">
        <v>1.8368634795606908E-3</v>
      </c>
    </row>
    <row r="179" spans="20:24" x14ac:dyDescent="0.2">
      <c r="T179" s="247" t="str">
        <f t="shared" si="7"/>
        <v>1D</v>
      </c>
      <c r="U179" s="245">
        <f>_xll.qlCalendarAdvance(Calendar,U178,T179,"f",FALSE)</f>
        <v>42020</v>
      </c>
      <c r="V179" s="248">
        <f>_xll.qlCalendarAdvance(Calendar,U179,NDays&amp;"D")</f>
        <v>42024</v>
      </c>
      <c r="W179" s="249">
        <v>1.7705827469720603E-3</v>
      </c>
      <c r="X179" s="246">
        <v>1.8336323992773629E-3</v>
      </c>
    </row>
    <row r="180" spans="20:24" x14ac:dyDescent="0.2">
      <c r="T180" s="247" t="str">
        <f t="shared" si="7"/>
        <v>1D</v>
      </c>
      <c r="U180" s="245">
        <f>_xll.qlCalendarAdvance(Calendar,U179,T180,"f",FALSE)</f>
        <v>42023</v>
      </c>
      <c r="V180" s="248">
        <f>_xll.qlCalendarAdvance(Calendar,U180,NDays&amp;"D")</f>
        <v>42025</v>
      </c>
      <c r="W180" s="249">
        <v>1.7698265270951197E-3</v>
      </c>
      <c r="X180" s="246">
        <v>1.8304638636834625E-3</v>
      </c>
    </row>
    <row r="181" spans="20:24" x14ac:dyDescent="0.2">
      <c r="T181" s="247" t="str">
        <f t="shared" si="7"/>
        <v>1D</v>
      </c>
      <c r="U181" s="245">
        <f>_xll.qlCalendarAdvance(Calendar,U180,T181,"f",FALSE)</f>
        <v>42024</v>
      </c>
      <c r="V181" s="248">
        <f>_xll.qlCalendarAdvance(Calendar,U181,NDays&amp;"D")</f>
        <v>42026</v>
      </c>
      <c r="W181" s="249">
        <v>1.7691110764088691E-3</v>
      </c>
      <c r="X181" s="246">
        <v>1.8273578728589257E-3</v>
      </c>
    </row>
    <row r="182" spans="20:24" x14ac:dyDescent="0.2">
      <c r="T182" s="247" t="str">
        <f t="shared" si="7"/>
        <v>1D</v>
      </c>
      <c r="U182" s="245">
        <f>_xll.qlCalendarAdvance(Calendar,U181,T182,"f",FALSE)</f>
        <v>42025</v>
      </c>
      <c r="V182" s="248">
        <f>_xll.qlCalendarAdvance(Calendar,U182,NDays&amp;"D")</f>
        <v>42027</v>
      </c>
      <c r="W182" s="249">
        <v>1.7684357719485178E-3</v>
      </c>
      <c r="X182" s="246">
        <v>1.8213635884301027E-3</v>
      </c>
    </row>
    <row r="183" spans="20:24" x14ac:dyDescent="0.2">
      <c r="T183" s="247" t="str">
        <f t="shared" si="7"/>
        <v>1D</v>
      </c>
      <c r="U183" s="245">
        <f>_xll.qlCalendarAdvance(Calendar,U182,T183,"f",FALSE)</f>
        <v>42026</v>
      </c>
      <c r="V183" s="248">
        <f>_xll.qlCalendarAdvance(Calendar,U183,NDays&amp;"D")</f>
        <v>42030</v>
      </c>
      <c r="W183" s="249">
        <v>1.7666756167536465E-3</v>
      </c>
      <c r="X183" s="246">
        <v>1.8155593566948625E-3</v>
      </c>
    </row>
    <row r="184" spans="20:24" x14ac:dyDescent="0.2">
      <c r="T184" s="247" t="str">
        <f t="shared" si="7"/>
        <v>1D</v>
      </c>
      <c r="U184" s="245">
        <f>_xll.qlCalendarAdvance(Calendar,U183,T184,"f",FALSE)</f>
        <v>42027</v>
      </c>
      <c r="V184" s="248">
        <f>_xll.qlCalendarAdvance(Calendar,U184,NDays&amp;"D")</f>
        <v>42031</v>
      </c>
      <c r="W184" s="249">
        <v>1.7661235571369005E-3</v>
      </c>
      <c r="X184" s="246">
        <v>1.8127660895572717E-3</v>
      </c>
    </row>
    <row r="185" spans="20:24" x14ac:dyDescent="0.2">
      <c r="T185" s="247" t="str">
        <f t="shared" si="7"/>
        <v>1D</v>
      </c>
      <c r="U185" s="245">
        <f>_xll.qlCalendarAdvance(Calendar,U184,T185,"f",FALSE)</f>
        <v>42030</v>
      </c>
      <c r="V185" s="248">
        <f>_xll.qlCalendarAdvance(Calendar,U185,NDays&amp;"D")</f>
        <v>42032</v>
      </c>
      <c r="W185" s="249">
        <v>1.7656396393963547E-3</v>
      </c>
      <c r="X185" s="246">
        <v>1.8100353669492364E-3</v>
      </c>
    </row>
    <row r="186" spans="20:24" x14ac:dyDescent="0.2">
      <c r="T186" s="247" t="str">
        <f t="shared" si="7"/>
        <v>1D</v>
      </c>
      <c r="U186" s="245">
        <f>_xll.qlCalendarAdvance(Calendar,U185,T186,"f",FALSE)</f>
        <v>42031</v>
      </c>
      <c r="V186" s="248">
        <f>_xll.qlCalendarAdvance(Calendar,U186,NDays&amp;"D")</f>
        <v>42033</v>
      </c>
      <c r="W186" s="249">
        <v>1.7651921301284901E-3</v>
      </c>
      <c r="X186" s="246">
        <v>1.8073671891905008E-3</v>
      </c>
    </row>
    <row r="187" spans="20:24" x14ac:dyDescent="0.2">
      <c r="T187" s="247" t="str">
        <f t="shared" si="7"/>
        <v>1D</v>
      </c>
      <c r="U187" s="245">
        <f>_xll.qlCalendarAdvance(Calendar,U186,T187,"f",FALSE)</f>
        <v>42032</v>
      </c>
      <c r="V187" s="248">
        <f>_xll.qlCalendarAdvance(Calendar,U187,NDays&amp;"D")</f>
        <v>42034</v>
      </c>
      <c r="W187" s="249">
        <v>1.7647804063773975E-3</v>
      </c>
      <c r="X187" s="246">
        <v>1.8022483383273169E-3</v>
      </c>
    </row>
    <row r="188" spans="20:24" x14ac:dyDescent="0.2">
      <c r="T188" s="247" t="str">
        <f t="shared" si="7"/>
        <v>1D</v>
      </c>
      <c r="U188" s="245">
        <f>_xll.qlCalendarAdvance(Calendar,U187,T188,"f",FALSE)</f>
        <v>42033</v>
      </c>
      <c r="V188" s="248">
        <f>_xll.qlCalendarAdvance(Calendar,U188,NDays&amp;"D")</f>
        <v>42037</v>
      </c>
      <c r="W188" s="249">
        <v>1.7638594943388246E-3</v>
      </c>
      <c r="X188" s="246">
        <v>1.797319925049834E-3</v>
      </c>
    </row>
    <row r="189" spans="20:24" x14ac:dyDescent="0.2">
      <c r="T189" s="247" t="str">
        <f t="shared" si="7"/>
        <v>1D</v>
      </c>
      <c r="U189" s="245">
        <f>_xll.qlCalendarAdvance(Calendar,U188,T189,"f",FALSE)</f>
        <v>42034</v>
      </c>
      <c r="V189" s="248">
        <f>_xll.qlCalendarAdvance(Calendar,U189,NDays&amp;"D")</f>
        <v>42038</v>
      </c>
      <c r="W189" s="249">
        <v>1.763478907509608E-3</v>
      </c>
      <c r="X189" s="246">
        <v>1.7949644707382362E-3</v>
      </c>
    </row>
    <row r="190" spans="20:24" x14ac:dyDescent="0.2">
      <c r="T190" s="247" t="str">
        <f t="shared" si="7"/>
        <v>1D</v>
      </c>
      <c r="U190" s="245">
        <f>_xll.qlCalendarAdvance(Calendar,U189,T190,"f",FALSE)</f>
        <v>42037</v>
      </c>
      <c r="V190" s="248">
        <f>_xll.qlCalendarAdvance(Calendar,U190,NDays&amp;"D")</f>
        <v>42039</v>
      </c>
      <c r="W190" s="249">
        <v>1.7631163462159013E-3</v>
      </c>
      <c r="X190" s="246">
        <v>1.7926715612759381E-3</v>
      </c>
    </row>
    <row r="191" spans="20:24" x14ac:dyDescent="0.2">
      <c r="T191" s="247" t="str">
        <f t="shared" si="7"/>
        <v>1D</v>
      </c>
      <c r="U191" s="245">
        <f>_xll.qlCalendarAdvance(Calendar,U190,T191,"f",FALSE)</f>
        <v>42038</v>
      </c>
      <c r="V191" s="248">
        <f>_xll.qlCalendarAdvance(Calendar,U191,NDays&amp;"D")</f>
        <v>42040</v>
      </c>
      <c r="W191" s="249">
        <v>1.7628972604515397E-3</v>
      </c>
      <c r="X191" s="246">
        <v>1.7904411964231315E-3</v>
      </c>
    </row>
    <row r="192" spans="20:24" x14ac:dyDescent="0.2">
      <c r="T192" s="247" t="str">
        <f t="shared" si="7"/>
        <v>1D</v>
      </c>
      <c r="U192" s="245">
        <f>_xll.qlCalendarAdvance(Calendar,U191,T192,"f",FALSE)</f>
        <v>42039</v>
      </c>
      <c r="V192" s="248">
        <f>_xll.qlCalendarAdvance(Calendar,U192,NDays&amp;"D")</f>
        <v>42041</v>
      </c>
      <c r="W192" s="249">
        <v>1.7627098793745928E-3</v>
      </c>
      <c r="X192" s="246">
        <v>1.7861978114730448E-3</v>
      </c>
    </row>
    <row r="193" spans="20:24" x14ac:dyDescent="0.2">
      <c r="T193" s="247" t="str">
        <f t="shared" si="7"/>
        <v>1D</v>
      </c>
      <c r="U193" s="245">
        <f>_xll.qlCalendarAdvance(Calendar,U192,T193,"f",FALSE)</f>
        <v>42040</v>
      </c>
      <c r="V193" s="248">
        <f>_xll.qlCalendarAdvance(Calendar,U193,NDays&amp;"D")</f>
        <v>42044</v>
      </c>
      <c r="W193" s="249">
        <v>1.7626603484432769E-3</v>
      </c>
      <c r="X193" s="246">
        <v>1.7821451840660529E-3</v>
      </c>
    </row>
    <row r="194" spans="20:24" x14ac:dyDescent="0.2">
      <c r="T194" s="247" t="str">
        <f t="shared" si="7"/>
        <v>1D</v>
      </c>
      <c r="U194" s="245">
        <f>_xll.qlCalendarAdvance(Calendar,U193,T194,"f",FALSE)</f>
        <v>42041</v>
      </c>
      <c r="V194" s="248">
        <f>_xll.qlCalendarAdvance(Calendar,U194,NDays&amp;"D")</f>
        <v>42045</v>
      </c>
      <c r="W194" s="249">
        <v>1.7624351255056681E-3</v>
      </c>
      <c r="X194" s="246">
        <v>1.7802275426603842E-3</v>
      </c>
    </row>
    <row r="195" spans="20:24" x14ac:dyDescent="0.2">
      <c r="T195" s="247" t="str">
        <f t="shared" si="7"/>
        <v>1D</v>
      </c>
      <c r="U195" s="245">
        <f>_xll.qlCalendarAdvance(Calendar,U194,T195,"f",FALSE)</f>
        <v>42044</v>
      </c>
      <c r="V195" s="248">
        <f>_xll.qlCalendarAdvance(Calendar,U195,NDays&amp;"D")</f>
        <v>42046</v>
      </c>
      <c r="W195" s="249">
        <v>1.7622264963600782E-3</v>
      </c>
      <c r="X195" s="246">
        <v>1.7783724461040151E-3</v>
      </c>
    </row>
    <row r="196" spans="20:24" x14ac:dyDescent="0.2">
      <c r="T196" s="247" t="str">
        <f t="shared" si="7"/>
        <v>1D</v>
      </c>
      <c r="U196" s="245">
        <f>_xll.qlCalendarAdvance(Calendar,U195,T196,"f",FALSE)</f>
        <v>42045</v>
      </c>
      <c r="V196" s="248">
        <f>_xll.qlCalendarAdvance(Calendar,U196,NDays&amp;"D")</f>
        <v>42047</v>
      </c>
      <c r="W196" s="249">
        <v>1.7622161146502043E-3</v>
      </c>
      <c r="X196" s="246">
        <v>1.7765798940772015E-3</v>
      </c>
    </row>
    <row r="197" spans="20:24" x14ac:dyDescent="0.2">
      <c r="T197" s="247" t="str">
        <f t="shared" si="7"/>
        <v>1D</v>
      </c>
      <c r="U197" s="245">
        <f>_xll.qlCalendarAdvance(Calendar,U196,T197,"f",FALSE)</f>
        <v>42046</v>
      </c>
      <c r="V197" s="248">
        <f>_xll.qlCalendarAdvance(Calendar,U197,NDays&amp;"D")</f>
        <v>42048</v>
      </c>
      <c r="W197" s="249">
        <v>1.7622330280476284E-3</v>
      </c>
      <c r="X197" s="246">
        <v>1.7732120066149548E-3</v>
      </c>
    </row>
    <row r="198" spans="20:24" x14ac:dyDescent="0.2">
      <c r="T198" s="247" t="str">
        <f t="shared" si="7"/>
        <v>1D</v>
      </c>
      <c r="U198" s="245">
        <f>_xll.qlCalendarAdvance(Calendar,U197,T198,"f",FALSE)</f>
        <v>42047</v>
      </c>
      <c r="V198" s="248">
        <f>_xll.qlCalendarAdvance(Calendar,U198,NDays&amp;"D")</f>
        <v>42051</v>
      </c>
      <c r="W198" s="249">
        <v>1.7628668555641309E-3</v>
      </c>
      <c r="X198" s="246">
        <v>1.7700351333438391E-3</v>
      </c>
    </row>
    <row r="199" spans="20:24" x14ac:dyDescent="0.2">
      <c r="T199" s="247" t="str">
        <f t="shared" si="7"/>
        <v>1D</v>
      </c>
      <c r="U199" s="245">
        <f>_xll.qlCalendarAdvance(Calendar,U198,T199,"f",FALSE)</f>
        <v>42048</v>
      </c>
      <c r="V199" s="248">
        <f>_xll.qlCalendarAdvance(Calendar,U199,NDays&amp;"D")</f>
        <v>42052</v>
      </c>
      <c r="W199" s="249">
        <v>1.7627785408667052E-3</v>
      </c>
      <c r="X199" s="246">
        <v>1.7685553048440994E-3</v>
      </c>
    </row>
    <row r="200" spans="20:24" x14ac:dyDescent="0.2">
      <c r="T200" s="247" t="str">
        <f t="shared" si="7"/>
        <v>1D</v>
      </c>
      <c r="U200" s="245">
        <f>_xll.qlCalendarAdvance(Calendar,U199,T200,"f",FALSE)</f>
        <v>42051</v>
      </c>
      <c r="V200" s="248">
        <f>_xll.qlCalendarAdvance(Calendar,U200,NDays&amp;"D")</f>
        <v>42053</v>
      </c>
      <c r="W200" s="249">
        <v>1.7627049738469232E-3</v>
      </c>
      <c r="X200" s="246">
        <v>1.7671380211137233E-3</v>
      </c>
    </row>
    <row r="201" spans="20:24" x14ac:dyDescent="0.2">
      <c r="T201" s="247" t="str">
        <f t="shared" si="7"/>
        <v>1D</v>
      </c>
      <c r="U201" s="245">
        <f>_xll.qlCalendarAdvance(Calendar,U200,T201,"f",FALSE)</f>
        <v>42052</v>
      </c>
      <c r="V201" s="248">
        <f>_xll.qlCalendarAdvance(Calendar,U201,NDays&amp;"D")</f>
        <v>42054</v>
      </c>
      <c r="W201" s="249">
        <v>1.762872429216943E-3</v>
      </c>
      <c r="X201" s="246">
        <v>1.7657832819928387E-3</v>
      </c>
    </row>
    <row r="202" spans="20:24" x14ac:dyDescent="0.2">
      <c r="T202" s="247" t="str">
        <f t="shared" si="7"/>
        <v>1D</v>
      </c>
      <c r="U202" s="245">
        <f>_xll.qlCalendarAdvance(Calendar,U201,T202,"f",FALSE)</f>
        <v>42053</v>
      </c>
      <c r="V202" s="248">
        <f>_xll.qlCalendarAdvance(Calendar,U202,NDays&amp;"D")</f>
        <v>42055</v>
      </c>
      <c r="W202" s="249">
        <v>1.7630627701401907E-3</v>
      </c>
      <c r="X202" s="246">
        <v>1.7632909227405236E-3</v>
      </c>
    </row>
    <row r="203" spans="20:24" x14ac:dyDescent="0.2">
      <c r="T203" s="247" t="str">
        <f t="shared" si="7"/>
        <v>1D</v>
      </c>
      <c r="U203" s="245">
        <f>_xll.qlCalendarAdvance(Calendar,U202,T203,"f",FALSE)</f>
        <v>42054</v>
      </c>
      <c r="V203" s="248">
        <f>_xll.qlCalendarAdvance(Calendar,U203,NDays&amp;"D")</f>
        <v>42058</v>
      </c>
      <c r="W203" s="249">
        <v>1.7642676938139253E-3</v>
      </c>
      <c r="X203" s="246">
        <v>1.7609897725634482E-3</v>
      </c>
    </row>
    <row r="204" spans="20:24" x14ac:dyDescent="0.2">
      <c r="T204" s="247" t="str">
        <f t="shared" si="7"/>
        <v>1D</v>
      </c>
      <c r="U204" s="245">
        <f>_xll.qlCalendarAdvance(Calendar,U203,T204,"f",FALSE)</f>
        <v>42055</v>
      </c>
      <c r="V204" s="248">
        <f>_xll.qlCalendarAdvance(Calendar,U204,NDays&amp;"D")</f>
        <v>42059</v>
      </c>
      <c r="W204" s="249">
        <v>1.7642954848646752E-3</v>
      </c>
      <c r="X204" s="246">
        <v>1.7599477569696376E-3</v>
      </c>
    </row>
    <row r="205" spans="20:24" x14ac:dyDescent="0.2">
      <c r="T205" s="247" t="str">
        <f t="shared" si="7"/>
        <v>1D</v>
      </c>
      <c r="U205" s="245">
        <f>_xll.qlCalendarAdvance(Calendar,U204,T205,"f",FALSE)</f>
        <v>42058</v>
      </c>
      <c r="V205" s="248">
        <f>_xll.qlCalendarAdvance(Calendar,U205,NDays&amp;"D")</f>
        <v>42060</v>
      </c>
      <c r="W205" s="249">
        <v>1.7643357103545505E-3</v>
      </c>
      <c r="X205" s="246">
        <v>1.7589682860652545E-3</v>
      </c>
    </row>
    <row r="206" spans="20:24" x14ac:dyDescent="0.2">
      <c r="T206" s="247" t="str">
        <f t="shared" si="7"/>
        <v>1D</v>
      </c>
      <c r="U206" s="245">
        <f>_xll.qlCalendarAdvance(Calendar,U205,T206,"f",FALSE)</f>
        <v>42059</v>
      </c>
      <c r="V206" s="248">
        <f>_xll.qlCalendarAdvance(Calendar,U206,NDays&amp;"D")</f>
        <v>42061</v>
      </c>
      <c r="W206" s="249">
        <v>1.7646501359780658E-3</v>
      </c>
      <c r="X206" s="246">
        <v>1.7580513597703629E-3</v>
      </c>
    </row>
    <row r="207" spans="20:24" x14ac:dyDescent="0.2">
      <c r="T207" s="247" t="str">
        <f t="shared" si="7"/>
        <v>1D</v>
      </c>
      <c r="U207" s="245">
        <f>_xll.qlCalendarAdvance(Calendar,U206,T207,"f",FALSE)</f>
        <v>42060</v>
      </c>
      <c r="V207" s="248">
        <f>_xll.qlCalendarAdvance(Calendar,U207,NDays&amp;"D")</f>
        <v>42062</v>
      </c>
      <c r="W207" s="249">
        <v>1.7655230784084455E-3</v>
      </c>
      <c r="X207" s="246">
        <v>1.7564345591036812E-3</v>
      </c>
    </row>
    <row r="208" spans="20:24" x14ac:dyDescent="0.2">
      <c r="T208" s="247" t="str">
        <f t="shared" si="7"/>
        <v>1D</v>
      </c>
      <c r="U208" s="245">
        <f>_xll.qlCalendarAdvance(Calendar,U207,T208,"f",FALSE)</f>
        <v>42061</v>
      </c>
      <c r="V208" s="248">
        <f>_xll.qlCalendarAdvance(Calendar,U208,NDays&amp;"D")</f>
        <v>42065</v>
      </c>
      <c r="W208" s="249">
        <v>1.7669375484517743E-3</v>
      </c>
      <c r="X208" s="246">
        <v>1.7550091016449443E-3</v>
      </c>
    </row>
    <row r="209" spans="20:24" x14ac:dyDescent="0.2">
      <c r="T209" s="247" t="str">
        <f t="shared" si="7"/>
        <v>1D</v>
      </c>
      <c r="U209" s="245">
        <f>_xll.qlCalendarAdvance(Calendar,U208,T209,"f",FALSE)</f>
        <v>42062</v>
      </c>
      <c r="V209" s="248">
        <f>_xll.qlCalendarAdvance(Calendar,U209,NDays&amp;"D")</f>
        <v>42066</v>
      </c>
      <c r="W209" s="249">
        <v>1.7673499819912688E-3</v>
      </c>
      <c r="X209" s="246">
        <v>1.7544048987971905E-3</v>
      </c>
    </row>
    <row r="210" spans="20:24" x14ac:dyDescent="0.2">
      <c r="T210" s="247" t="str">
        <f t="shared" ref="T210:T273" si="8">T209</f>
        <v>1D</v>
      </c>
      <c r="U210" s="245">
        <f>_xll.qlCalendarAdvance(Calendar,U209,T210,"f",FALSE)</f>
        <v>42065</v>
      </c>
      <c r="V210" s="248">
        <f>_xll.qlCalendarAdvance(Calendar,U210,NDays&amp;"D")</f>
        <v>42067</v>
      </c>
      <c r="W210" s="249">
        <v>1.767777454524292E-3</v>
      </c>
      <c r="X210" s="246">
        <v>1.7538632407188004E-3</v>
      </c>
    </row>
    <row r="211" spans="20:24" x14ac:dyDescent="0.2">
      <c r="T211" s="247" t="str">
        <f t="shared" si="8"/>
        <v>1D</v>
      </c>
      <c r="U211" s="245">
        <f>_xll.qlCalendarAdvance(Calendar,U210,T211,"f",FALSE)</f>
        <v>42066</v>
      </c>
      <c r="V211" s="248">
        <f>_xll.qlCalendarAdvance(Calendar,U211,NDays&amp;"D")</f>
        <v>42068</v>
      </c>
      <c r="W211" s="249">
        <v>1.7682193566487502E-3</v>
      </c>
      <c r="X211" s="246">
        <v>1.7533841272499018E-3</v>
      </c>
    </row>
    <row r="212" spans="20:24" x14ac:dyDescent="0.2">
      <c r="T212" s="247" t="str">
        <f t="shared" si="8"/>
        <v>1D</v>
      </c>
      <c r="U212" s="245">
        <f>_xll.qlCalendarAdvance(Calendar,U211,T212,"f",FALSE)</f>
        <v>42067</v>
      </c>
      <c r="V212" s="248">
        <f>_xll.qlCalendarAdvance(Calendar,U212,NDays&amp;"D")</f>
        <v>42069</v>
      </c>
      <c r="W212" s="249">
        <v>1.769284311380088E-3</v>
      </c>
      <c r="X212" s="246">
        <v>1.752642915198166E-3</v>
      </c>
    </row>
    <row r="213" spans="20:24" x14ac:dyDescent="0.2">
      <c r="T213" s="247" t="str">
        <f t="shared" si="8"/>
        <v>1D</v>
      </c>
      <c r="U213" s="245">
        <f>_xll.qlCalendarAdvance(Calendar,U212,T213,"f",FALSE)</f>
        <v>42068</v>
      </c>
      <c r="V213" s="248">
        <f>_xll.qlCalendarAdvance(Calendar,U213,NDays&amp;"D")</f>
        <v>42072</v>
      </c>
      <c r="W213" s="249">
        <v>1.7701190730320829E-3</v>
      </c>
      <c r="X213" s="246">
        <v>1.752093120268583E-3</v>
      </c>
    </row>
    <row r="214" spans="20:24" x14ac:dyDescent="0.2">
      <c r="T214" s="247" t="str">
        <f t="shared" si="8"/>
        <v>1D</v>
      </c>
      <c r="U214" s="245">
        <f>_xll.qlCalendarAdvance(Calendar,U213,T214,"f",FALSE)</f>
        <v>42069</v>
      </c>
      <c r="V214" s="248">
        <f>_xll.qlCalendarAdvance(Calendar,U214,NDays&amp;"D")</f>
        <v>42073</v>
      </c>
      <c r="W214" s="249">
        <v>1.7706239820901245E-3</v>
      </c>
      <c r="X214" s="246">
        <v>1.7519267301668862E-3</v>
      </c>
    </row>
    <row r="215" spans="20:24" x14ac:dyDescent="0.2">
      <c r="T215" s="247" t="str">
        <f t="shared" si="8"/>
        <v>1D</v>
      </c>
      <c r="U215" s="245">
        <f>_xll.qlCalendarAdvance(Calendar,U214,T215,"f",FALSE)</f>
        <v>42072</v>
      </c>
      <c r="V215" s="248">
        <f>_xll.qlCalendarAdvance(Calendar,U215,NDays&amp;"D")</f>
        <v>42074</v>
      </c>
      <c r="W215" s="249">
        <v>1.7711396643287746E-3</v>
      </c>
      <c r="X215" s="246">
        <v>1.751822884914489E-3</v>
      </c>
    </row>
    <row r="216" spans="20:24" x14ac:dyDescent="0.2">
      <c r="T216" s="247" t="str">
        <f t="shared" si="8"/>
        <v>1D</v>
      </c>
      <c r="U216" s="245">
        <f>_xll.qlCalendarAdvance(Calendar,U215,T216,"f",FALSE)</f>
        <v>42073</v>
      </c>
      <c r="V216" s="248">
        <f>_xll.qlCalendarAdvance(Calendar,U216,NDays&amp;"D")</f>
        <v>42075</v>
      </c>
      <c r="W216" s="249">
        <v>1.7716655103442013E-3</v>
      </c>
      <c r="X216" s="246">
        <v>1.7517815841916473E-3</v>
      </c>
    </row>
    <row r="217" spans="20:24" x14ac:dyDescent="0.2">
      <c r="T217" s="247" t="str">
        <f t="shared" si="8"/>
        <v>1D</v>
      </c>
      <c r="U217" s="245">
        <f>_xll.qlCalendarAdvance(Calendar,U216,T217,"f",FALSE)</f>
        <v>42074</v>
      </c>
      <c r="V217" s="248">
        <f>_xll.qlCalendarAdvance(Calendar,U217,NDays&amp;"D")</f>
        <v>42076</v>
      </c>
      <c r="W217" s="249">
        <v>1.7728584677586085E-3</v>
      </c>
      <c r="X217" s="246">
        <v>1.7519159907042336E-3</v>
      </c>
    </row>
    <row r="218" spans="20:24" x14ac:dyDescent="0.2">
      <c r="T218" s="247" t="str">
        <f t="shared" si="8"/>
        <v>1D</v>
      </c>
      <c r="U218" s="245">
        <f>_xll.qlCalendarAdvance(Calendar,U217,T218,"f",FALSE)</f>
        <v>42075</v>
      </c>
      <c r="V218" s="248">
        <f>_xll.qlCalendarAdvance(Calendar,U218,NDays&amp;"D")</f>
        <v>42079</v>
      </c>
      <c r="W218" s="249">
        <v>1.7738583441283204E-3</v>
      </c>
      <c r="X218" s="246">
        <v>1.7522418284343644E-3</v>
      </c>
    </row>
    <row r="219" spans="20:24" x14ac:dyDescent="0.2">
      <c r="T219" s="247" t="str">
        <f t="shared" si="8"/>
        <v>1D</v>
      </c>
      <c r="U219" s="245">
        <f>_xll.qlCalendarAdvance(Calendar,U218,T219,"f",FALSE)</f>
        <v>42076</v>
      </c>
      <c r="V219" s="248">
        <f>_xll.qlCalendarAdvance(Calendar,U219,NDays&amp;"D")</f>
        <v>42080</v>
      </c>
      <c r="W219" s="249">
        <v>1.7744258679866631E-3</v>
      </c>
      <c r="X219" s="246">
        <v>1.7525039111099261E-3</v>
      </c>
    </row>
    <row r="220" spans="20:24" x14ac:dyDescent="0.2">
      <c r="T220" s="247" t="str">
        <f t="shared" si="8"/>
        <v>1D</v>
      </c>
      <c r="U220" s="245">
        <f>_xll.qlCalendarAdvance(Calendar,U219,T220,"f",FALSE)</f>
        <v>42079</v>
      </c>
      <c r="V220" s="248">
        <f>_xll.qlCalendarAdvance(Calendar,U220,NDays&amp;"D")</f>
        <v>42081</v>
      </c>
      <c r="W220" s="249">
        <v>1.7750000007697177E-3</v>
      </c>
      <c r="X220" s="246">
        <v>1.7527818382312432E-3</v>
      </c>
    </row>
    <row r="221" spans="20:24" x14ac:dyDescent="0.2">
      <c r="T221" s="247" t="str">
        <f t="shared" si="8"/>
        <v>1D</v>
      </c>
      <c r="U221" s="245">
        <f>_xll.qlCalendarAdvance(Calendar,U220,T221,"f",FALSE)</f>
        <v>42080</v>
      </c>
      <c r="V221" s="248">
        <f>_xll.qlCalendarAdvance(Calendar,U221,NDays&amp;"D")</f>
        <v>42082</v>
      </c>
      <c r="W221" s="249">
        <v>1.775580668134344E-3</v>
      </c>
      <c r="X221" s="246">
        <v>1.7530662697495814E-3</v>
      </c>
    </row>
    <row r="222" spans="20:24" x14ac:dyDescent="0.2">
      <c r="T222" s="247" t="str">
        <f t="shared" si="8"/>
        <v>1D</v>
      </c>
      <c r="U222" s="245">
        <f>_xll.qlCalendarAdvance(Calendar,U221,T222,"f",FALSE)</f>
        <v>42081</v>
      </c>
      <c r="V222" s="248">
        <f>_xll.qlCalendarAdvance(Calendar,U222,NDays&amp;"D")</f>
        <v>42083</v>
      </c>
      <c r="W222" s="249">
        <v>1.776872780017383E-3</v>
      </c>
      <c r="X222" s="246">
        <v>1.7536653563965388E-3</v>
      </c>
    </row>
    <row r="223" spans="20:24" x14ac:dyDescent="0.2">
      <c r="T223" s="247" t="str">
        <f t="shared" si="8"/>
        <v>1D</v>
      </c>
      <c r="U223" s="245">
        <f>_xll.qlCalendarAdvance(Calendar,U222,T223,"f",FALSE)</f>
        <v>42082</v>
      </c>
      <c r="V223" s="248">
        <f>_xll.qlCalendarAdvance(Calendar,U223,NDays&amp;"D")</f>
        <v>42086</v>
      </c>
      <c r="W223" s="249">
        <v>1.7779716778045991E-3</v>
      </c>
      <c r="X223" s="246">
        <v>1.7542690391536553E-3</v>
      </c>
    </row>
    <row r="224" spans="20:24" x14ac:dyDescent="0.2">
      <c r="T224" s="247" t="str">
        <f t="shared" si="8"/>
        <v>1D</v>
      </c>
      <c r="U224" s="245">
        <f>_xll.qlCalendarAdvance(Calendar,U223,T224,"f",FALSE)</f>
        <v>42083</v>
      </c>
      <c r="V224" s="248">
        <f>_xll.qlCalendarAdvance(Calendar,U224,NDays&amp;"D")</f>
        <v>42087</v>
      </c>
      <c r="W224" s="249">
        <v>1.7785873319314082E-3</v>
      </c>
      <c r="X224" s="246">
        <v>1.7545859924172902E-3</v>
      </c>
    </row>
    <row r="225" spans="20:24" x14ac:dyDescent="0.2">
      <c r="T225" s="247" t="str">
        <f t="shared" si="8"/>
        <v>1D</v>
      </c>
      <c r="U225" s="245">
        <f>_xll.qlCalendarAdvance(Calendar,U224,T225,"f",FALSE)</f>
        <v>42086</v>
      </c>
      <c r="V225" s="248">
        <f>_xll.qlCalendarAdvance(Calendar,U225,NDays&amp;"D")</f>
        <v>42088</v>
      </c>
      <c r="W225" s="249">
        <v>1.7792104734037435E-3</v>
      </c>
      <c r="X225" s="246">
        <v>1.75490944999801E-3</v>
      </c>
    </row>
    <row r="226" spans="20:24" x14ac:dyDescent="0.2">
      <c r="T226" s="247" t="str">
        <f t="shared" si="8"/>
        <v>1D</v>
      </c>
      <c r="U226" s="245">
        <f>_xll.qlCalendarAdvance(Calendar,U225,T226,"f",FALSE)</f>
        <v>42087</v>
      </c>
      <c r="V226" s="248">
        <f>_xll.qlCalendarAdvance(Calendar,U226,NDays&amp;"D")</f>
        <v>42089</v>
      </c>
      <c r="W226" s="249">
        <v>1.7798412655544305E-3</v>
      </c>
      <c r="X226" s="246">
        <v>1.7552394119757508E-3</v>
      </c>
    </row>
    <row r="227" spans="20:24" x14ac:dyDescent="0.2">
      <c r="T227" s="247" t="str">
        <f t="shared" si="8"/>
        <v>1D</v>
      </c>
      <c r="U227" s="245">
        <f>_xll.qlCalendarAdvance(Calendar,U226,T227,"f",FALSE)</f>
        <v>42088</v>
      </c>
      <c r="V227" s="248">
        <f>_xll.qlCalendarAdvance(Calendar,U227,NDays&amp;"D")</f>
        <v>42090</v>
      </c>
      <c r="W227" s="249">
        <v>1.7812443695358496E-3</v>
      </c>
      <c r="X227" s="246">
        <v>1.755929581710447E-3</v>
      </c>
    </row>
    <row r="228" spans="20:24" x14ac:dyDescent="0.2">
      <c r="T228" s="247" t="str">
        <f t="shared" si="8"/>
        <v>1D</v>
      </c>
      <c r="U228" s="245">
        <f>_xll.qlCalendarAdvance(Calendar,U227,T228,"f",FALSE)</f>
        <v>42089</v>
      </c>
      <c r="V228" s="248">
        <f>_xll.qlCalendarAdvance(Calendar,U228,NDays&amp;"D")</f>
        <v>42093</v>
      </c>
      <c r="W228" s="249">
        <v>1.7824442075711406E-3</v>
      </c>
      <c r="X228" s="246">
        <v>1.7566243033773077E-3</v>
      </c>
    </row>
    <row r="229" spans="20:24" x14ac:dyDescent="0.2">
      <c r="T229" s="247" t="str">
        <f t="shared" si="8"/>
        <v>1D</v>
      </c>
      <c r="U229" s="245">
        <f>_xll.qlCalendarAdvance(Calendar,U228,T229,"f",FALSE)</f>
        <v>42090</v>
      </c>
      <c r="V229" s="248">
        <f>_xll.qlCalendarAdvance(Calendar,U229,NDays&amp;"D")</f>
        <v>42094</v>
      </c>
      <c r="W229" s="249">
        <v>1.7827192439821395E-3</v>
      </c>
      <c r="X229" s="246">
        <v>1.7569867871802813E-3</v>
      </c>
    </row>
    <row r="230" spans="20:24" x14ac:dyDescent="0.2">
      <c r="T230" s="247" t="str">
        <f t="shared" si="8"/>
        <v>1D</v>
      </c>
      <c r="U230" s="245">
        <f>_xll.qlCalendarAdvance(Calendar,U229,T230,"f",FALSE)</f>
        <v>42093</v>
      </c>
      <c r="V230" s="248">
        <f>_xll.qlCalendarAdvance(Calendar,U230,NDays&amp;"D")</f>
        <v>42095</v>
      </c>
      <c r="W230" s="249">
        <v>1.7833941301457969E-3</v>
      </c>
      <c r="X230" s="246">
        <v>1.7573557752204039E-3</v>
      </c>
    </row>
    <row r="231" spans="20:24" x14ac:dyDescent="0.2">
      <c r="T231" s="247" t="str">
        <f t="shared" si="8"/>
        <v>1D</v>
      </c>
      <c r="U231" s="245">
        <f>_xll.qlCalendarAdvance(Calendar,U230,T231,"f",FALSE)</f>
        <v>42094</v>
      </c>
      <c r="V231" s="248">
        <f>_xll.qlCalendarAdvance(Calendar,U231,NDays&amp;"D")</f>
        <v>42096</v>
      </c>
      <c r="W231" s="249">
        <v>1.7840776702696402E-3</v>
      </c>
      <c r="X231" s="246">
        <v>1.7585254498495573E-3</v>
      </c>
    </row>
    <row r="232" spans="20:24" x14ac:dyDescent="0.2">
      <c r="T232" s="247" t="str">
        <f t="shared" si="8"/>
        <v>1D</v>
      </c>
      <c r="U232" s="245">
        <f>_xll.qlCalendarAdvance(Calendar,U231,T232,"f",FALSE)</f>
        <v>42095</v>
      </c>
      <c r="V232" s="248">
        <f>_xll.qlCalendarAdvance(Calendar,U232,NDays&amp;"D")</f>
        <v>42101</v>
      </c>
      <c r="W232" s="249">
        <v>1.787630959741529E-3</v>
      </c>
      <c r="X232" s="246">
        <v>1.7597062953189635E-3</v>
      </c>
    </row>
    <row r="233" spans="20:24" x14ac:dyDescent="0.2">
      <c r="T233" s="247" t="str">
        <f t="shared" si="8"/>
        <v>1D</v>
      </c>
      <c r="U233" s="245">
        <f>_xll.qlCalendarAdvance(Calendar,U232,T233,"f",FALSE)</f>
        <v>42096</v>
      </c>
      <c r="V233" s="248">
        <f>_xll.qlCalendarAdvance(Calendar,U233,NDays&amp;"D")</f>
        <v>42102</v>
      </c>
      <c r="W233" s="249">
        <v>1.7883698912974726E-3</v>
      </c>
      <c r="X233" s="246">
        <v>1.7601208138984248E-3</v>
      </c>
    </row>
    <row r="234" spans="20:24" x14ac:dyDescent="0.2">
      <c r="T234" s="247" t="str">
        <f t="shared" si="8"/>
        <v>1D</v>
      </c>
      <c r="U234" s="245">
        <f>_xll.qlCalendarAdvance(Calendar,U233,T234,"f",FALSE)</f>
        <v>42101</v>
      </c>
      <c r="V234" s="248">
        <f>_xll.qlCalendarAdvance(Calendar,U234,NDays&amp;"D")</f>
        <v>42103</v>
      </c>
      <c r="W234" s="249">
        <v>1.7891186327039306E-3</v>
      </c>
      <c r="X234" s="246">
        <v>1.7605418368749071E-3</v>
      </c>
    </row>
    <row r="235" spans="20:24" x14ac:dyDescent="0.2">
      <c r="T235" s="247" t="str">
        <f t="shared" si="8"/>
        <v>1D</v>
      </c>
      <c r="U235" s="245">
        <f>_xll.qlCalendarAdvance(Calendar,U234,T235,"f",FALSE)</f>
        <v>42102</v>
      </c>
      <c r="V235" s="248">
        <f>_xll.qlCalendarAdvance(Calendar,U235,NDays&amp;"D")</f>
        <v>42104</v>
      </c>
      <c r="W235" s="249">
        <v>1.7898773490894731E-3</v>
      </c>
      <c r="X235" s="246">
        <v>1.7614141821642448E-3</v>
      </c>
    </row>
    <row r="236" spans="20:24" x14ac:dyDescent="0.2">
      <c r="T236" s="247" t="str">
        <f t="shared" si="8"/>
        <v>1D</v>
      </c>
      <c r="U236" s="245">
        <f>_xll.qlCalendarAdvance(Calendar,U235,T236,"f",FALSE)</f>
        <v>42103</v>
      </c>
      <c r="V236" s="248">
        <f>_xll.qlCalendarAdvance(Calendar,U236,NDays&amp;"D")</f>
        <v>42107</v>
      </c>
      <c r="W236" s="249">
        <v>1.7922149994063089E-3</v>
      </c>
      <c r="X236" s="246">
        <v>1.7622909722714297E-3</v>
      </c>
    </row>
    <row r="237" spans="20:24" x14ac:dyDescent="0.2">
      <c r="T237" s="247" t="str">
        <f t="shared" si="8"/>
        <v>1D</v>
      </c>
      <c r="U237" s="245">
        <f>_xll.qlCalendarAdvance(Calendar,U236,T237,"f",FALSE)</f>
        <v>42104</v>
      </c>
      <c r="V237" s="248">
        <f>_xll.qlCalendarAdvance(Calendar,U237,NDays&amp;"D")</f>
        <v>42108</v>
      </c>
      <c r="W237" s="249">
        <v>1.7930152669930124E-3</v>
      </c>
      <c r="X237" s="246">
        <v>1.7627445169932088E-3</v>
      </c>
    </row>
    <row r="238" spans="20:24" x14ac:dyDescent="0.2">
      <c r="T238" s="247" t="str">
        <f t="shared" si="8"/>
        <v>1D</v>
      </c>
      <c r="U238" s="245">
        <f>_xll.qlCalendarAdvance(Calendar,U237,T238,"f",FALSE)</f>
        <v>42107</v>
      </c>
      <c r="V238" s="248">
        <f>_xll.qlCalendarAdvance(Calendar,U238,NDays&amp;"D")</f>
        <v>42109</v>
      </c>
      <c r="W238" s="249">
        <v>1.7938263352025297E-3</v>
      </c>
      <c r="X238" s="246">
        <v>1.7632045661120088E-3</v>
      </c>
    </row>
    <row r="239" spans="20:24" x14ac:dyDescent="0.2">
      <c r="T239" s="247" t="str">
        <f t="shared" si="8"/>
        <v>1D</v>
      </c>
      <c r="U239" s="245">
        <f>_xll.qlCalendarAdvance(Calendar,U238,T239,"f",FALSE)</f>
        <v>42108</v>
      </c>
      <c r="V239" s="248">
        <f>_xll.qlCalendarAdvance(Calendar,U239,NDays&amp;"D")</f>
        <v>42110</v>
      </c>
      <c r="W239" s="249">
        <v>1.7946483691634308E-3</v>
      </c>
      <c r="X239" s="246">
        <v>1.7636711195478938E-3</v>
      </c>
    </row>
    <row r="240" spans="20:24" x14ac:dyDescent="0.2">
      <c r="T240" s="247" t="str">
        <f t="shared" si="8"/>
        <v>1D</v>
      </c>
      <c r="U240" s="245">
        <f>_xll.qlCalendarAdvance(Calendar,U239,T240,"f",FALSE)</f>
        <v>42109</v>
      </c>
      <c r="V240" s="248">
        <f>_xll.qlCalendarAdvance(Calendar,U240,NDays&amp;"D")</f>
        <v>42111</v>
      </c>
      <c r="W240" s="249">
        <v>1.7954815340051641E-3</v>
      </c>
      <c r="X240" s="246">
        <v>1.7646345573307798E-3</v>
      </c>
    </row>
    <row r="241" spans="20:24" x14ac:dyDescent="0.2">
      <c r="T241" s="247" t="str">
        <f t="shared" si="8"/>
        <v>1D</v>
      </c>
      <c r="U241" s="245">
        <f>_xll.qlCalendarAdvance(Calendar,U240,T241,"f",FALSE)</f>
        <v>42110</v>
      </c>
      <c r="V241" s="248">
        <f>_xll.qlCalendarAdvance(Calendar,U241,NDays&amp;"D")</f>
        <v>42114</v>
      </c>
      <c r="W241" s="249">
        <v>1.798049465115994E-3</v>
      </c>
      <c r="X241" s="246">
        <v>1.7656023768619633E-3</v>
      </c>
    </row>
    <row r="242" spans="20:24" x14ac:dyDescent="0.2">
      <c r="T242" s="247" t="str">
        <f t="shared" si="8"/>
        <v>1D</v>
      </c>
      <c r="U242" s="245">
        <f>_xll.qlCalendarAdvance(Calendar,U241,T242,"f",FALSE)</f>
        <v>42111</v>
      </c>
      <c r="V242" s="248">
        <f>_xll.qlCalendarAdvance(Calendar,U242,NDays&amp;"D")</f>
        <v>42115</v>
      </c>
      <c r="W242" s="249">
        <v>1.798928804781692E-3</v>
      </c>
      <c r="X242" s="246">
        <v>1.7661014521230811E-3</v>
      </c>
    </row>
    <row r="243" spans="20:24" x14ac:dyDescent="0.2">
      <c r="T243" s="247" t="str">
        <f t="shared" si="8"/>
        <v>1D</v>
      </c>
      <c r="U243" s="245">
        <f>_xll.qlCalendarAdvance(Calendar,U242,T243,"f",FALSE)</f>
        <v>42114</v>
      </c>
      <c r="V243" s="248">
        <f>_xll.qlCalendarAdvance(Calendar,U243,NDays&amp;"D")</f>
        <v>42116</v>
      </c>
      <c r="W243" s="249">
        <v>1.7998201009789788E-3</v>
      </c>
      <c r="X243" s="246">
        <v>1.7666070317012839E-3</v>
      </c>
    </row>
    <row r="244" spans="20:24" x14ac:dyDescent="0.2">
      <c r="T244" s="247" t="str">
        <f t="shared" si="8"/>
        <v>1D</v>
      </c>
      <c r="U244" s="245">
        <f>_xll.qlCalendarAdvance(Calendar,U243,T244,"f",FALSE)</f>
        <v>42115</v>
      </c>
      <c r="V244" s="248">
        <f>_xll.qlCalendarAdvance(Calendar,U244,NDays&amp;"D")</f>
        <v>42117</v>
      </c>
      <c r="W244" s="249">
        <v>1.8007235188390602E-3</v>
      </c>
      <c r="X244" s="246">
        <v>1.7671191155965715E-3</v>
      </c>
    </row>
    <row r="245" spans="20:24" x14ac:dyDescent="0.2">
      <c r="T245" s="247" t="str">
        <f t="shared" si="8"/>
        <v>1D</v>
      </c>
      <c r="U245" s="245">
        <f>_xll.qlCalendarAdvance(Calendar,U244,T245,"f",FALSE)</f>
        <v>42116</v>
      </c>
      <c r="V245" s="248">
        <f>_xll.qlCalendarAdvance(Calendar,U245,NDays&amp;"D")</f>
        <v>42118</v>
      </c>
      <c r="W245" s="249">
        <v>1.801639223494898E-3</v>
      </c>
      <c r="X245" s="246">
        <v>1.7681736491770295E-3</v>
      </c>
    </row>
    <row r="246" spans="20:24" x14ac:dyDescent="0.2">
      <c r="T246" s="247" t="str">
        <f t="shared" si="8"/>
        <v>1D</v>
      </c>
      <c r="U246" s="245">
        <f>_xll.qlCalendarAdvance(Calendar,U245,T246,"f",FALSE)</f>
        <v>42117</v>
      </c>
      <c r="V246" s="248">
        <f>_xll.qlCalendarAdvance(Calendar,U246,NDays&amp;"D")</f>
        <v>42121</v>
      </c>
      <c r="W246" s="249">
        <v>1.8044617095402218E-3</v>
      </c>
      <c r="X246" s="246">
        <v>1.76923249498806E-3</v>
      </c>
    </row>
    <row r="247" spans="20:24" x14ac:dyDescent="0.2">
      <c r="T247" s="247" t="str">
        <f t="shared" si="8"/>
        <v>1D</v>
      </c>
      <c r="U247" s="245">
        <f>_xll.qlCalendarAdvance(Calendar,U246,T247,"f",FALSE)</f>
        <v>42118</v>
      </c>
      <c r="V247" s="248">
        <f>_xll.qlCalendarAdvance(Calendar,U247,NDays&amp;"D")</f>
        <v>42122</v>
      </c>
      <c r="W247" s="249">
        <v>1.8054282126893834E-3</v>
      </c>
      <c r="X247" s="246">
        <v>1.7697771007085805E-3</v>
      </c>
    </row>
    <row r="248" spans="20:24" x14ac:dyDescent="0.2">
      <c r="T248" s="247" t="str">
        <f t="shared" si="8"/>
        <v>1D</v>
      </c>
      <c r="U248" s="245">
        <f>_xll.qlCalendarAdvance(Calendar,U247,T248,"f",FALSE)</f>
        <v>42121</v>
      </c>
      <c r="V248" s="248">
        <f>_xll.qlCalendarAdvance(Calendar,U248,NDays&amp;"D")</f>
        <v>42123</v>
      </c>
      <c r="W248" s="249">
        <v>1.8064078282920859E-3</v>
      </c>
      <c r="X248" s="246">
        <v>1.770328210746186E-3</v>
      </c>
    </row>
    <row r="249" spans="20:24" x14ac:dyDescent="0.2">
      <c r="T249" s="247" t="str">
        <f t="shared" si="8"/>
        <v>1D</v>
      </c>
      <c r="U249" s="245">
        <f>_xll.qlCalendarAdvance(Calendar,U248,T249,"f",FALSE)</f>
        <v>42122</v>
      </c>
      <c r="V249" s="248">
        <f>_xll.qlCalendarAdvance(Calendar,U249,NDays&amp;"D")</f>
        <v>42124</v>
      </c>
      <c r="W249" s="249">
        <v>1.8080080170047924E-3</v>
      </c>
      <c r="X249" s="246">
        <v>1.7717515872428535E-3</v>
      </c>
    </row>
    <row r="250" spans="20:24" x14ac:dyDescent="0.2">
      <c r="T250" s="247" t="str">
        <f t="shared" si="8"/>
        <v>1D</v>
      </c>
      <c r="U250" s="245">
        <f>_xll.qlCalendarAdvance(Calendar,U249,T250,"f",FALSE)</f>
        <v>42123</v>
      </c>
      <c r="V250" s="248">
        <f>_xll.qlCalendarAdvance(Calendar,U250,NDays&amp;"D")</f>
        <v>42128</v>
      </c>
      <c r="W250" s="249">
        <v>1.812150822517347E-3</v>
      </c>
      <c r="X250" s="246">
        <v>1.7731813265697838E-3</v>
      </c>
    </row>
    <row r="251" spans="20:24" x14ac:dyDescent="0.2">
      <c r="T251" s="247" t="str">
        <f t="shared" si="8"/>
        <v>1D</v>
      </c>
      <c r="U251" s="245">
        <f>_xll.qlCalendarAdvance(Calendar,U250,T251,"f",FALSE)</f>
        <v>42124</v>
      </c>
      <c r="V251" s="248">
        <f>_xll.qlCalendarAdvance(Calendar,U251,NDays&amp;"D")</f>
        <v>42129</v>
      </c>
      <c r="W251" s="249">
        <v>1.8132215758051213E-3</v>
      </c>
      <c r="X251" s="246">
        <v>1.773771462829643E-3</v>
      </c>
    </row>
    <row r="252" spans="20:24" x14ac:dyDescent="0.2">
      <c r="T252" s="247" t="str">
        <f t="shared" si="8"/>
        <v>1D</v>
      </c>
      <c r="U252" s="245">
        <f>_xll.qlCalendarAdvance(Calendar,U251,T252,"f",FALSE)</f>
        <v>42128</v>
      </c>
      <c r="V252" s="248">
        <f>_xll.qlCalendarAdvance(Calendar,U252,NDays&amp;"D")</f>
        <v>42130</v>
      </c>
      <c r="W252" s="249">
        <v>1.8143066765387355E-3</v>
      </c>
      <c r="X252" s="246">
        <v>1.7743681034065872E-3</v>
      </c>
    </row>
    <row r="253" spans="20:24" x14ac:dyDescent="0.2">
      <c r="T253" s="247" t="str">
        <f t="shared" si="8"/>
        <v>1D</v>
      </c>
      <c r="U253" s="245">
        <f>_xll.qlCalendarAdvance(Calendar,U252,T253,"f",FALSE)</f>
        <v>42129</v>
      </c>
      <c r="V253" s="248">
        <f>_xll.qlCalendarAdvance(Calendar,U253,NDays&amp;"D")</f>
        <v>42131</v>
      </c>
      <c r="W253" s="249">
        <v>1.8154062880597044E-3</v>
      </c>
      <c r="X253" s="246">
        <v>1.7749712483006164E-3</v>
      </c>
    </row>
    <row r="254" spans="20:24" x14ac:dyDescent="0.2">
      <c r="T254" s="247" t="str">
        <f t="shared" si="8"/>
        <v>1D</v>
      </c>
      <c r="U254" s="245">
        <f>_xll.qlCalendarAdvance(Calendar,U253,T254,"f",FALSE)</f>
        <v>42130</v>
      </c>
      <c r="V254" s="248">
        <f>_xll.qlCalendarAdvance(Calendar,U254,NDays&amp;"D")</f>
        <v>42132</v>
      </c>
      <c r="W254" s="249">
        <v>1.8178986074513666E-3</v>
      </c>
      <c r="X254" s="246">
        <v>1.776207982988609E-3</v>
      </c>
    </row>
    <row r="255" spans="20:24" x14ac:dyDescent="0.2">
      <c r="T255" s="247" t="str">
        <f t="shared" si="8"/>
        <v>1D</v>
      </c>
      <c r="U255" s="245">
        <f>_xll.qlCalendarAdvance(Calendar,U254,T255,"f",FALSE)</f>
        <v>42131</v>
      </c>
      <c r="V255" s="248">
        <f>_xll.qlCalendarAdvance(Calendar,U255,NDays&amp;"D")</f>
        <v>42135</v>
      </c>
      <c r="W255" s="249">
        <v>1.8199531088552267E-3</v>
      </c>
      <c r="X255" s="246">
        <v>1.7774488716870707E-3</v>
      </c>
    </row>
    <row r="256" spans="20:24" x14ac:dyDescent="0.2">
      <c r="T256" s="247" t="str">
        <f t="shared" si="8"/>
        <v>1D</v>
      </c>
      <c r="U256" s="245">
        <f>_xll.qlCalendarAdvance(Calendar,U255,T256,"f",FALSE)</f>
        <v>42132</v>
      </c>
      <c r="V256" s="248">
        <f>_xll.qlCalendarAdvance(Calendar,U256,NDays&amp;"D")</f>
        <v>42136</v>
      </c>
      <c r="W256" s="249">
        <v>1.8211277244452378E-3</v>
      </c>
      <c r="X256" s="246">
        <v>1.7780845384063326E-3</v>
      </c>
    </row>
    <row r="257" spans="20:24" x14ac:dyDescent="0.2">
      <c r="T257" s="247" t="str">
        <f t="shared" si="8"/>
        <v>1D</v>
      </c>
      <c r="U257" s="245">
        <f>_xll.qlCalendarAdvance(Calendar,U256,T257,"f",FALSE)</f>
        <v>42135</v>
      </c>
      <c r="V257" s="248">
        <f>_xll.qlCalendarAdvance(Calendar,U257,NDays&amp;"D")</f>
        <v>42137</v>
      </c>
      <c r="W257" s="249">
        <v>1.822317830877771E-3</v>
      </c>
      <c r="X257" s="246">
        <v>1.7787267095226156E-3</v>
      </c>
    </row>
    <row r="258" spans="20:24" x14ac:dyDescent="0.2">
      <c r="T258" s="247" t="str">
        <f t="shared" si="8"/>
        <v>1D</v>
      </c>
      <c r="U258" s="245">
        <f>_xll.qlCalendarAdvance(Calendar,U257,T258,"f",FALSE)</f>
        <v>42136</v>
      </c>
      <c r="V258" s="248">
        <f>_xll.qlCalendarAdvance(Calendar,U258,NDays&amp;"D")</f>
        <v>42138</v>
      </c>
      <c r="W258" s="249">
        <v>1.8235235914978154E-3</v>
      </c>
      <c r="X258" s="246">
        <v>1.7793753849559835E-3</v>
      </c>
    </row>
    <row r="259" spans="20:24" x14ac:dyDescent="0.2">
      <c r="T259" s="247" t="str">
        <f t="shared" si="8"/>
        <v>1D</v>
      </c>
      <c r="U259" s="245">
        <f>_xll.qlCalendarAdvance(Calendar,U258,T259,"f",FALSE)</f>
        <v>42137</v>
      </c>
      <c r="V259" s="248">
        <f>_xll.qlCalendarAdvance(Calendar,U259,NDays&amp;"D")</f>
        <v>42139</v>
      </c>
      <c r="W259" s="249">
        <v>1.8262568731496507E-3</v>
      </c>
      <c r="X259" s="246">
        <v>1.7807032250072297E-3</v>
      </c>
    </row>
    <row r="260" spans="20:24" x14ac:dyDescent="0.2">
      <c r="T260" s="247" t="str">
        <f t="shared" si="8"/>
        <v>1D</v>
      </c>
      <c r="U260" s="245">
        <f>_xll.qlCalendarAdvance(Calendar,U259,T260,"f",FALSE)</f>
        <v>42138</v>
      </c>
      <c r="V260" s="248">
        <f>_xll.qlCalendarAdvance(Calendar,U260,NDays&amp;"D")</f>
        <v>42142</v>
      </c>
      <c r="W260" s="249">
        <v>1.8285064427398694E-3</v>
      </c>
      <c r="X260" s="246">
        <v>1.7820351302599846E-3</v>
      </c>
    </row>
    <row r="261" spans="20:24" x14ac:dyDescent="0.2">
      <c r="T261" s="247" t="str">
        <f t="shared" si="8"/>
        <v>1D</v>
      </c>
      <c r="U261" s="245">
        <f>_xll.qlCalendarAdvance(Calendar,U260,T261,"f",FALSE)</f>
        <v>42139</v>
      </c>
      <c r="V261" s="248">
        <f>_xll.qlCalendarAdvance(Calendar,U261,NDays&amp;"D")</f>
        <v>42143</v>
      </c>
      <c r="W261" s="249">
        <v>1.8297929244671036E-3</v>
      </c>
      <c r="X261" s="246">
        <v>1.7827163275185853E-3</v>
      </c>
    </row>
    <row r="262" spans="20:24" x14ac:dyDescent="0.2">
      <c r="T262" s="247" t="str">
        <f t="shared" si="8"/>
        <v>1D</v>
      </c>
      <c r="U262" s="245">
        <f>_xll.qlCalendarAdvance(Calendar,U261,T262,"f",FALSE)</f>
        <v>42142</v>
      </c>
      <c r="V262" s="248">
        <f>_xll.qlCalendarAdvance(Calendar,U262,NDays&amp;"D")</f>
        <v>42144</v>
      </c>
      <c r="W262" s="249">
        <v>1.8310960404543943E-3</v>
      </c>
      <c r="X262" s="246">
        <v>1.783404029094271E-3</v>
      </c>
    </row>
    <row r="263" spans="20:24" x14ac:dyDescent="0.2">
      <c r="T263" s="247" t="str">
        <f t="shared" si="8"/>
        <v>1D</v>
      </c>
      <c r="U263" s="245">
        <f>_xll.qlCalendarAdvance(Calendar,U262,T263,"f",FALSE)</f>
        <v>42143</v>
      </c>
      <c r="V263" s="248">
        <f>_xll.qlCalendarAdvance(Calendar,U263,NDays&amp;"D")</f>
        <v>42145</v>
      </c>
      <c r="W263" s="249">
        <v>1.8324159540467309E-3</v>
      </c>
      <c r="X263" s="246">
        <v>1.7840982350669776E-3</v>
      </c>
    </row>
    <row r="264" spans="20:24" x14ac:dyDescent="0.2">
      <c r="T264" s="247" t="str">
        <f t="shared" si="8"/>
        <v>1D</v>
      </c>
      <c r="U264" s="245">
        <f>_xll.qlCalendarAdvance(Calendar,U263,T264,"f",FALSE)</f>
        <v>42144</v>
      </c>
      <c r="V264" s="248">
        <f>_xll.qlCalendarAdvance(Calendar,U264,NDays&amp;"D")</f>
        <v>42146</v>
      </c>
      <c r="W264" s="249">
        <v>1.8354040007122767E-3</v>
      </c>
      <c r="X264" s="246">
        <v>1.7855171838121464E-3</v>
      </c>
    </row>
    <row r="265" spans="20:24" x14ac:dyDescent="0.2">
      <c r="T265" s="247" t="str">
        <f t="shared" si="8"/>
        <v>1D</v>
      </c>
      <c r="U265" s="245">
        <f>_xll.qlCalendarAdvance(Calendar,U264,T265,"f",FALSE)</f>
        <v>42145</v>
      </c>
      <c r="V265" s="248">
        <f>_xll.qlCalendarAdvance(Calendar,U265,NDays&amp;"D")</f>
        <v>42149</v>
      </c>
      <c r="W265" s="249">
        <v>1.8378668514271532E-3</v>
      </c>
      <c r="X265" s="246">
        <v>1.7869401023684617E-3</v>
      </c>
    </row>
    <row r="266" spans="20:24" x14ac:dyDescent="0.2">
      <c r="T266" s="247" t="str">
        <f t="shared" si="8"/>
        <v>1D</v>
      </c>
      <c r="U266" s="245">
        <f>_xll.qlCalendarAdvance(Calendar,U265,T266,"f",FALSE)</f>
        <v>42146</v>
      </c>
      <c r="V266" s="248">
        <f>_xll.qlCalendarAdvance(Calendar,U266,NDays&amp;"D")</f>
        <v>42150</v>
      </c>
      <c r="W266" s="249">
        <v>1.8392732032664846E-3</v>
      </c>
      <c r="X266" s="246">
        <v>1.7876668301664012E-3</v>
      </c>
    </row>
    <row r="267" spans="20:24" x14ac:dyDescent="0.2">
      <c r="T267" s="247" t="str">
        <f t="shared" si="8"/>
        <v>1D</v>
      </c>
      <c r="U267" s="245">
        <f>_xll.qlCalendarAdvance(Calendar,U266,T267,"f",FALSE)</f>
        <v>42149</v>
      </c>
      <c r="V267" s="248">
        <f>_xll.qlCalendarAdvance(Calendar,U267,NDays&amp;"D")</f>
        <v>42151</v>
      </c>
      <c r="W267" s="249">
        <v>1.8406973328016533E-3</v>
      </c>
      <c r="X267" s="246">
        <v>1.7884000622014895E-3</v>
      </c>
    </row>
    <row r="268" spans="20:24" x14ac:dyDescent="0.2">
      <c r="T268" s="247" t="str">
        <f t="shared" si="8"/>
        <v>1D</v>
      </c>
      <c r="U268" s="245">
        <f>_xll.qlCalendarAdvance(Calendar,U267,T268,"f",FALSE)</f>
        <v>42150</v>
      </c>
      <c r="V268" s="248">
        <f>_xll.qlCalendarAdvance(Calendar,U268,NDays&amp;"D")</f>
        <v>42152</v>
      </c>
      <c r="W268" s="249">
        <v>1.8421394033828621E-3</v>
      </c>
      <c r="X268" s="246">
        <v>1.7891397987135349E-3</v>
      </c>
    </row>
    <row r="269" spans="20:24" x14ac:dyDescent="0.2">
      <c r="T269" s="247" t="str">
        <f t="shared" si="8"/>
        <v>1D</v>
      </c>
      <c r="U269" s="245">
        <f>_xll.qlCalendarAdvance(Calendar,U268,T269,"f",FALSE)</f>
        <v>42151</v>
      </c>
      <c r="V269" s="248">
        <f>_xll.qlCalendarAdvance(Calendar,U269,NDays&amp;"D")</f>
        <v>42153</v>
      </c>
      <c r="W269" s="249">
        <v>1.8453948268250754E-3</v>
      </c>
      <c r="X269" s="246">
        <v>1.79064985945665E-3</v>
      </c>
    </row>
    <row r="270" spans="20:24" x14ac:dyDescent="0.2">
      <c r="T270" s="247" t="str">
        <f t="shared" si="8"/>
        <v>1D</v>
      </c>
      <c r="U270" s="245">
        <f>_xll.qlCalendarAdvance(Calendar,U269,T270,"f",FALSE)</f>
        <v>42152</v>
      </c>
      <c r="V270" s="248">
        <f>_xll.qlCalendarAdvance(Calendar,U270,NDays&amp;"D")</f>
        <v>42156</v>
      </c>
      <c r="W270" s="249">
        <v>1.8480903631851902E-3</v>
      </c>
      <c r="X270" s="246">
        <v>1.7921637880125019E-3</v>
      </c>
    </row>
    <row r="271" spans="20:24" x14ac:dyDescent="0.2">
      <c r="T271" s="247" t="str">
        <f t="shared" si="8"/>
        <v>1D</v>
      </c>
      <c r="U271" s="245">
        <f>_xll.qlCalendarAdvance(Calendar,U270,T271,"f",FALSE)</f>
        <v>42153</v>
      </c>
      <c r="V271" s="248">
        <f>_xll.qlCalendarAdvance(Calendar,U271,NDays&amp;"D")</f>
        <v>42157</v>
      </c>
      <c r="W271" s="249">
        <v>1.8496245892644142E-3</v>
      </c>
      <c r="X271" s="246">
        <v>1.7929360463497801E-3</v>
      </c>
    </row>
    <row r="272" spans="20:24" x14ac:dyDescent="0.2">
      <c r="T272" s="247" t="str">
        <f t="shared" si="8"/>
        <v>1D</v>
      </c>
      <c r="U272" s="245">
        <f>_xll.qlCalendarAdvance(Calendar,U271,T272,"f",FALSE)</f>
        <v>42156</v>
      </c>
      <c r="V272" s="248">
        <f>_xll.qlCalendarAdvance(Calendar,U272,NDays&amp;"D")</f>
        <v>42158</v>
      </c>
      <c r="W272" s="249">
        <v>1.8511777364995847E-3</v>
      </c>
      <c r="X272" s="246">
        <v>1.7937148089242072E-3</v>
      </c>
    </row>
    <row r="273" spans="20:24" x14ac:dyDescent="0.2">
      <c r="T273" s="247" t="str">
        <f t="shared" si="8"/>
        <v>1D</v>
      </c>
      <c r="U273" s="245">
        <f>_xll.qlCalendarAdvance(Calendar,U272,T273,"f",FALSE)</f>
        <v>42157</v>
      </c>
      <c r="V273" s="248">
        <f>_xll.qlCalendarAdvance(Calendar,U273,NDays&amp;"D")</f>
        <v>42159</v>
      </c>
      <c r="W273" s="249">
        <v>1.85274996824438E-3</v>
      </c>
      <c r="X273" s="246">
        <v>1.7945000758956553E-3</v>
      </c>
    </row>
    <row r="274" spans="20:24" x14ac:dyDescent="0.2">
      <c r="T274" s="247" t="str">
        <f t="shared" ref="T274:T337" si="9">T273</f>
        <v>1D</v>
      </c>
      <c r="U274" s="245">
        <f>_xll.qlCalendarAdvance(Calendar,U273,T274,"f",FALSE)</f>
        <v>42158</v>
      </c>
      <c r="V274" s="248">
        <f>_xll.qlCalendarAdvance(Calendar,U274,NDays&amp;"D")</f>
        <v>42160</v>
      </c>
      <c r="W274" s="249">
        <v>1.8562841892776751E-3</v>
      </c>
      <c r="X274" s="246">
        <v>1.7961012519673858E-3</v>
      </c>
    </row>
    <row r="275" spans="20:24" x14ac:dyDescent="0.2">
      <c r="T275" s="247" t="str">
        <f t="shared" si="9"/>
        <v>1D</v>
      </c>
      <c r="U275" s="245">
        <f>_xll.qlCalendarAdvance(Calendar,U274,T275,"f",FALSE)</f>
        <v>42159</v>
      </c>
      <c r="V275" s="248">
        <f>_xll.qlCalendarAdvance(Calendar,U275,NDays&amp;"D")</f>
        <v>42163</v>
      </c>
      <c r="W275" s="249">
        <v>1.8592330074159676E-3</v>
      </c>
      <c r="X275" s="246">
        <v>1.7977061872720412E-3</v>
      </c>
    </row>
    <row r="276" spans="20:24" x14ac:dyDescent="0.2">
      <c r="T276" s="247" t="str">
        <f t="shared" si="9"/>
        <v>1D</v>
      </c>
      <c r="U276" s="245">
        <f>_xll.qlCalendarAdvance(Calendar,U275,T276,"f",FALSE)</f>
        <v>42160</v>
      </c>
      <c r="V276" s="248">
        <f>_xll.qlCalendarAdvance(Calendar,U276,NDays&amp;"D")</f>
        <v>42164</v>
      </c>
      <c r="W276" s="249">
        <v>1.860903112034916E-3</v>
      </c>
      <c r="X276" s="246">
        <v>1.7985239760687222E-3</v>
      </c>
    </row>
    <row r="277" spans="20:24" x14ac:dyDescent="0.2">
      <c r="T277" s="247" t="str">
        <f t="shared" si="9"/>
        <v>1D</v>
      </c>
      <c r="U277" s="245">
        <f>_xll.qlCalendarAdvance(Calendar,U276,T277,"f",FALSE)</f>
        <v>42163</v>
      </c>
      <c r="V277" s="248">
        <f>_xll.qlCalendarAdvance(Calendar,U277,NDays&amp;"D")</f>
        <v>42165</v>
      </c>
      <c r="W277" s="249">
        <v>1.8625932812959859E-3</v>
      </c>
      <c r="X277" s="246">
        <v>1.799348269182488E-3</v>
      </c>
    </row>
    <row r="278" spans="20:24" x14ac:dyDescent="0.2">
      <c r="T278" s="247" t="str">
        <f t="shared" si="9"/>
        <v>1D</v>
      </c>
      <c r="U278" s="245">
        <f>_xll.qlCalendarAdvance(Calendar,U277,T278,"f",FALSE)</f>
        <v>42164</v>
      </c>
      <c r="V278" s="248">
        <f>_xll.qlCalendarAdvance(Calendar,U278,NDays&amp;"D")</f>
        <v>42166</v>
      </c>
      <c r="W278" s="249">
        <v>1.8643036785572003E-3</v>
      </c>
      <c r="X278" s="246">
        <v>1.8001790666133388E-3</v>
      </c>
    </row>
    <row r="279" spans="20:24" x14ac:dyDescent="0.2">
      <c r="T279" s="247" t="str">
        <f t="shared" si="9"/>
        <v>1D</v>
      </c>
      <c r="U279" s="245">
        <f>_xll.qlCalendarAdvance(Calendar,U278,T279,"f",FALSE)</f>
        <v>42165</v>
      </c>
      <c r="V279" s="248">
        <f>_xll.qlCalendarAdvance(Calendar,U279,NDays&amp;"D")</f>
        <v>42167</v>
      </c>
      <c r="W279" s="249">
        <v>1.8681269270944608E-3</v>
      </c>
      <c r="X279" s="246">
        <v>1.8018713613976445E-3</v>
      </c>
    </row>
    <row r="280" spans="20:24" x14ac:dyDescent="0.2">
      <c r="T280" s="247" t="str">
        <f t="shared" si="9"/>
        <v>1D</v>
      </c>
      <c r="U280" s="245">
        <f>_xll.qlCalendarAdvance(Calendar,U279,T280,"f",FALSE)</f>
        <v>42166</v>
      </c>
      <c r="V280" s="248">
        <f>_xll.qlCalendarAdvance(Calendar,U280,NDays&amp;"D")</f>
        <v>42170</v>
      </c>
      <c r="W280" s="249">
        <v>1.8713508147804665E-3</v>
      </c>
      <c r="X280" s="246">
        <v>1.8035673000671437E-3</v>
      </c>
    </row>
    <row r="281" spans="20:24" x14ac:dyDescent="0.2">
      <c r="T281" s="247" t="str">
        <f t="shared" si="9"/>
        <v>1D</v>
      </c>
      <c r="U281" s="245">
        <f>_xll.qlCalendarAdvance(Calendar,U280,T281,"f",FALSE)</f>
        <v>42167</v>
      </c>
      <c r="V281" s="248">
        <f>_xll.qlCalendarAdvance(Calendar,U281,NDays&amp;"D")</f>
        <v>42171</v>
      </c>
      <c r="W281" s="249">
        <v>1.8731648024283845E-3</v>
      </c>
      <c r="X281" s="246">
        <v>1.8044306193232273E-3</v>
      </c>
    </row>
    <row r="282" spans="20:24" x14ac:dyDescent="0.2">
      <c r="T282" s="247" t="str">
        <f t="shared" si="9"/>
        <v>1D</v>
      </c>
      <c r="U282" s="245">
        <f>_xll.qlCalendarAdvance(Calendar,U281,T282,"f",FALSE)</f>
        <v>42170</v>
      </c>
      <c r="V282" s="248">
        <f>_xll.qlCalendarAdvance(Calendar,U282,NDays&amp;"D")</f>
        <v>42172</v>
      </c>
      <c r="W282" s="249">
        <v>1.8749999982350096E-3</v>
      </c>
      <c r="X282" s="246">
        <v>1.805300442976332E-3</v>
      </c>
    </row>
    <row r="283" spans="20:24" x14ac:dyDescent="0.2">
      <c r="T283" s="247" t="str">
        <f t="shared" si="9"/>
        <v>1D</v>
      </c>
      <c r="U283" s="245">
        <f>_xll.qlCalendarAdvance(Calendar,U282,T283,"f",FALSE)</f>
        <v>42171</v>
      </c>
      <c r="V283" s="248">
        <f>_xll.qlCalendarAdvance(Calendar,U283,NDays&amp;"D")</f>
        <v>42173</v>
      </c>
      <c r="W283" s="249">
        <v>1.8768565586899464E-3</v>
      </c>
      <c r="X283" s="246">
        <v>1.8061792741441707E-3</v>
      </c>
    </row>
    <row r="284" spans="20:24" x14ac:dyDescent="0.2">
      <c r="T284" s="247" t="str">
        <f t="shared" si="9"/>
        <v>1D</v>
      </c>
      <c r="U284" s="245">
        <f>_xll.qlCalendarAdvance(Calendar,U283,T284,"f",FALSE)</f>
        <v>42172</v>
      </c>
      <c r="V284" s="248">
        <f>_xll.qlCalendarAdvance(Calendar,U284,NDays&amp;"D")</f>
        <v>42174</v>
      </c>
      <c r="W284" s="249">
        <v>1.8809774235962584E-3</v>
      </c>
      <c r="X284" s="246">
        <v>1.8080127562836168E-3</v>
      </c>
    </row>
    <row r="285" spans="20:24" x14ac:dyDescent="0.2">
      <c r="T285" s="247" t="str">
        <f t="shared" si="9"/>
        <v>1D</v>
      </c>
      <c r="U285" s="245">
        <f>_xll.qlCalendarAdvance(Calendar,U284,T285,"f",FALSE)</f>
        <v>42173</v>
      </c>
      <c r="V285" s="248">
        <f>_xll.qlCalendarAdvance(Calendar,U285,NDays&amp;"D")</f>
        <v>42177</v>
      </c>
      <c r="W285" s="249">
        <v>1.8844972161905554E-3</v>
      </c>
      <c r="X285" s="246">
        <v>1.8098998238524899E-3</v>
      </c>
    </row>
    <row r="286" spans="20:24" x14ac:dyDescent="0.2">
      <c r="T286" s="247" t="str">
        <f t="shared" si="9"/>
        <v>1D</v>
      </c>
      <c r="U286" s="245">
        <f>_xll.qlCalendarAdvance(Calendar,U285,T286,"f",FALSE)</f>
        <v>42174</v>
      </c>
      <c r="V286" s="248">
        <f>_xll.qlCalendarAdvance(Calendar,U286,NDays&amp;"D")</f>
        <v>42178</v>
      </c>
      <c r="W286" s="249">
        <v>1.8864608057206599E-3</v>
      </c>
      <c r="X286" s="246">
        <v>1.810883770696492E-3</v>
      </c>
    </row>
    <row r="287" spans="20:24" x14ac:dyDescent="0.2">
      <c r="T287" s="247" t="str">
        <f t="shared" si="9"/>
        <v>1D</v>
      </c>
      <c r="U287" s="245">
        <f>_xll.qlCalendarAdvance(Calendar,U286,T287,"f",FALSE)</f>
        <v>42177</v>
      </c>
      <c r="V287" s="248">
        <f>_xll.qlCalendarAdvance(Calendar,U287,NDays&amp;"D")</f>
        <v>42179</v>
      </c>
      <c r="W287" s="249">
        <v>1.8884456829197831E-3</v>
      </c>
      <c r="X287" s="246">
        <v>1.8118892414431542E-3</v>
      </c>
    </row>
    <row r="288" spans="20:24" x14ac:dyDescent="0.2">
      <c r="T288" s="247" t="str">
        <f t="shared" si="9"/>
        <v>1D</v>
      </c>
      <c r="U288" s="245">
        <f>_xll.qlCalendarAdvance(Calendar,U287,T288,"f",FALSE)</f>
        <v>42178</v>
      </c>
      <c r="V288" s="248">
        <f>_xll.qlCalendarAdvance(Calendar,U288,NDays&amp;"D")</f>
        <v>42180</v>
      </c>
      <c r="W288" s="249">
        <v>1.8904518065904451E-3</v>
      </c>
      <c r="X288" s="246">
        <v>1.8129162358526685E-3</v>
      </c>
    </row>
    <row r="289" spans="20:24" x14ac:dyDescent="0.2">
      <c r="T289" s="247" t="str">
        <f t="shared" si="9"/>
        <v>1D</v>
      </c>
      <c r="U289" s="245">
        <f>_xll.qlCalendarAdvance(Calendar,U288,T289,"f",FALSE)</f>
        <v>42179</v>
      </c>
      <c r="V289" s="248">
        <f>_xll.qlCalendarAdvance(Calendar,U289,NDays&amp;"D")</f>
        <v>42181</v>
      </c>
      <c r="W289" s="249">
        <v>1.8948692991168185E-3</v>
      </c>
      <c r="X289" s="246">
        <v>1.8150511216941112E-3</v>
      </c>
    </row>
    <row r="290" spans="20:24" x14ac:dyDescent="0.2">
      <c r="T290" s="247" t="str">
        <f t="shared" si="9"/>
        <v>1D</v>
      </c>
      <c r="U290" s="245">
        <f>_xll.qlCalendarAdvance(Calendar,U289,T290,"f",FALSE)</f>
        <v>42180</v>
      </c>
      <c r="V290" s="248">
        <f>_xll.qlCalendarAdvance(Calendar,U290,NDays&amp;"D")</f>
        <v>42184</v>
      </c>
      <c r="W290" s="249">
        <v>1.8986879420771052E-3</v>
      </c>
      <c r="X290" s="246">
        <v>1.8172394513982226E-3</v>
      </c>
    </row>
    <row r="291" spans="20:24" x14ac:dyDescent="0.2">
      <c r="T291" s="247" t="str">
        <f t="shared" si="9"/>
        <v>1D</v>
      </c>
      <c r="U291" s="245">
        <f>_xll.qlCalendarAdvance(Calendar,U290,T291,"f",FALSE)</f>
        <v>42181</v>
      </c>
      <c r="V291" s="248">
        <f>_xll.qlCalendarAdvance(Calendar,U291,NDays&amp;"D")</f>
        <v>42185</v>
      </c>
      <c r="W291" s="249">
        <v>1.9007996801727988E-3</v>
      </c>
      <c r="X291" s="246">
        <v>1.8183740646815494E-3</v>
      </c>
    </row>
    <row r="292" spans="20:24" x14ac:dyDescent="0.2">
      <c r="T292" s="247" t="str">
        <f t="shared" si="9"/>
        <v>1D</v>
      </c>
      <c r="U292" s="245">
        <f>_xll.qlCalendarAdvance(Calendar,U291,T292,"f",FALSE)</f>
        <v>42184</v>
      </c>
      <c r="V292" s="248">
        <f>_xll.qlCalendarAdvance(Calendar,U292,NDays&amp;"D")</f>
        <v>42186</v>
      </c>
      <c r="W292" s="249">
        <v>1.9029324175673138E-3</v>
      </c>
      <c r="X292" s="246">
        <v>1.8195302017876003E-3</v>
      </c>
    </row>
    <row r="293" spans="20:24" x14ac:dyDescent="0.2">
      <c r="T293" s="247" t="str">
        <f t="shared" si="9"/>
        <v>1D</v>
      </c>
      <c r="U293" s="245">
        <f>_xll.qlCalendarAdvance(Calendar,U292,T293,"f",FALSE)</f>
        <v>42185</v>
      </c>
      <c r="V293" s="248">
        <f>_xll.qlCalendarAdvance(Calendar,U293,NDays&amp;"D")</f>
        <v>42187</v>
      </c>
      <c r="W293" s="249">
        <v>1.9050861130675146E-3</v>
      </c>
      <c r="X293" s="246">
        <v>1.8207078627163753E-3</v>
      </c>
    </row>
    <row r="294" spans="20:24" x14ac:dyDescent="0.2">
      <c r="T294" s="247" t="str">
        <f t="shared" si="9"/>
        <v>1D</v>
      </c>
      <c r="U294" s="245">
        <f>_xll.qlCalendarAdvance(Calendar,U293,T294,"f",FALSE)</f>
        <v>42186</v>
      </c>
      <c r="V294" s="248">
        <f>_xll.qlCalendarAdvance(Calendar,U294,NDays&amp;"D")</f>
        <v>42188</v>
      </c>
      <c r="W294" s="249">
        <v>1.9097946607408839E-3</v>
      </c>
      <c r="X294" s="246">
        <v>1.8231441632643453E-3</v>
      </c>
    </row>
    <row r="295" spans="20:24" x14ac:dyDescent="0.2">
      <c r="T295" s="247" t="str">
        <f t="shared" si="9"/>
        <v>1D</v>
      </c>
      <c r="U295" s="245">
        <f>_xll.qlCalendarAdvance(Calendar,U294,T295,"f",FALSE)</f>
        <v>42187</v>
      </c>
      <c r="V295" s="248">
        <f>_xll.qlCalendarAdvance(Calendar,U295,NDays&amp;"D")</f>
        <v>42191</v>
      </c>
      <c r="W295" s="249">
        <v>1.9139096522329162E-3</v>
      </c>
      <c r="X295" s="246">
        <v>1.8256337440991643E-3</v>
      </c>
    </row>
    <row r="296" spans="20:24" x14ac:dyDescent="0.2">
      <c r="T296" s="247" t="str">
        <f t="shared" si="9"/>
        <v>1D</v>
      </c>
      <c r="U296" s="245">
        <f>_xll.qlCalendarAdvance(Calendar,U295,T296,"f",FALSE)</f>
        <v>42188</v>
      </c>
      <c r="V296" s="248">
        <f>_xll.qlCalendarAdvance(Calendar,U296,NDays&amp;"D")</f>
        <v>42192</v>
      </c>
      <c r="W296" s="249">
        <v>1.9161675203471303E-3</v>
      </c>
      <c r="X296" s="246">
        <v>1.8269190239017519E-3</v>
      </c>
    </row>
    <row r="297" spans="20:24" x14ac:dyDescent="0.2">
      <c r="T297" s="247" t="str">
        <f t="shared" si="9"/>
        <v>1D</v>
      </c>
      <c r="U297" s="245">
        <f>_xll.qlCalendarAdvance(Calendar,U296,T297,"f",FALSE)</f>
        <v>42191</v>
      </c>
      <c r="V297" s="248">
        <f>_xll.qlCalendarAdvance(Calendar,U297,NDays&amp;"D")</f>
        <v>42193</v>
      </c>
      <c r="W297" s="249">
        <v>1.9184460994047393E-3</v>
      </c>
      <c r="X297" s="246">
        <v>1.8282258274471275E-3</v>
      </c>
    </row>
    <row r="298" spans="20:24" x14ac:dyDescent="0.2">
      <c r="T298" s="247" t="str">
        <f t="shared" si="9"/>
        <v>1D</v>
      </c>
      <c r="U298" s="245">
        <f>_xll.qlCalendarAdvance(Calendar,U297,T298,"f",FALSE)</f>
        <v>42192</v>
      </c>
      <c r="V298" s="248">
        <f>_xll.qlCalendarAdvance(Calendar,U298,NDays&amp;"D")</f>
        <v>42194</v>
      </c>
      <c r="W298" s="249">
        <v>1.9207453482117389E-3</v>
      </c>
      <c r="X298" s="246">
        <v>1.8295541548951633E-3</v>
      </c>
    </row>
    <row r="299" spans="20:24" x14ac:dyDescent="0.2">
      <c r="T299" s="247" t="str">
        <f t="shared" si="9"/>
        <v>1D</v>
      </c>
      <c r="U299" s="245">
        <f>_xll.qlCalendarAdvance(Calendar,U298,T299,"f",FALSE)</f>
        <v>42193</v>
      </c>
      <c r="V299" s="248">
        <f>_xll.qlCalendarAdvance(Calendar,U299,NDays&amp;"D")</f>
        <v>42195</v>
      </c>
      <c r="W299" s="249">
        <v>1.9257396797013869E-3</v>
      </c>
      <c r="X299" s="246">
        <v>1.8322918812607725E-3</v>
      </c>
    </row>
    <row r="300" spans="20:24" x14ac:dyDescent="0.2">
      <c r="T300" s="247" t="str">
        <f t="shared" si="9"/>
        <v>1D</v>
      </c>
      <c r="U300" s="245">
        <f>_xll.qlCalendarAdvance(Calendar,U299,T300,"f",FALSE)</f>
        <v>42194</v>
      </c>
      <c r="V300" s="248">
        <f>_xll.qlCalendarAdvance(Calendar,U300,NDays&amp;"D")</f>
        <v>42198</v>
      </c>
      <c r="W300" s="249">
        <v>1.9301482170874314E-3</v>
      </c>
      <c r="X300" s="246">
        <v>1.8350827021951233E-3</v>
      </c>
    </row>
    <row r="301" spans="20:24" x14ac:dyDescent="0.2">
      <c r="T301" s="247" t="str">
        <f t="shared" si="9"/>
        <v>1D</v>
      </c>
      <c r="U301" s="245">
        <f>_xll.qlCalendarAdvance(Calendar,U300,T301,"f",FALSE)</f>
        <v>42195</v>
      </c>
      <c r="V301" s="248">
        <f>_xll.qlCalendarAdvance(Calendar,U301,NDays&amp;"D")</f>
        <v>42199</v>
      </c>
      <c r="W301" s="249">
        <v>1.9325501967582465E-3</v>
      </c>
      <c r="X301" s="246">
        <v>1.8365186484370355E-3</v>
      </c>
    </row>
    <row r="302" spans="20:24" x14ac:dyDescent="0.2">
      <c r="T302" s="247" t="str">
        <f t="shared" si="9"/>
        <v>1D</v>
      </c>
      <c r="U302" s="245">
        <f>_xll.qlCalendarAdvance(Calendar,U301,T302,"f",FALSE)</f>
        <v>42198</v>
      </c>
      <c r="V302" s="248">
        <f>_xll.qlCalendarAdvance(Calendar,U302,NDays&amp;"D")</f>
        <v>42200</v>
      </c>
      <c r="W302" s="249">
        <v>1.9349725990257191E-3</v>
      </c>
      <c r="X302" s="246">
        <v>1.8379761185016719E-3</v>
      </c>
    </row>
    <row r="303" spans="20:24" x14ac:dyDescent="0.2">
      <c r="T303" s="247" t="str">
        <f t="shared" si="9"/>
        <v>1D</v>
      </c>
      <c r="U303" s="245">
        <f>_xll.qlCalendarAdvance(Calendar,U302,T303,"f",FALSE)</f>
        <v>42199</v>
      </c>
      <c r="V303" s="248">
        <f>_xll.qlCalendarAdvance(Calendar,U303,NDays&amp;"D")</f>
        <v>42201</v>
      </c>
      <c r="W303" s="249">
        <v>1.9374153827001884E-3</v>
      </c>
      <c r="X303" s="246">
        <v>1.8394551123890324E-3</v>
      </c>
    </row>
    <row r="304" spans="20:24" x14ac:dyDescent="0.2">
      <c r="T304" s="247" t="str">
        <f t="shared" si="9"/>
        <v>1D</v>
      </c>
      <c r="U304" s="245">
        <f>_xll.qlCalendarAdvance(Calendar,U303,T304,"f",FALSE)</f>
        <v>42200</v>
      </c>
      <c r="V304" s="248">
        <f>_xll.qlCalendarAdvance(Calendar,U304,NDays&amp;"D")</f>
        <v>42202</v>
      </c>
      <c r="W304" s="249">
        <v>1.9426905278231265E-3</v>
      </c>
      <c r="X304" s="246">
        <v>1.842494275923201E-3</v>
      </c>
    </row>
    <row r="305" spans="20:24" x14ac:dyDescent="0.2">
      <c r="T305" s="247" t="str">
        <f t="shared" si="9"/>
        <v>1D</v>
      </c>
      <c r="U305" s="245">
        <f>_xll.qlCalendarAdvance(Calendar,U304,T305,"f",FALSE)</f>
        <v>42201</v>
      </c>
      <c r="V305" s="248">
        <f>_xll.qlCalendarAdvance(Calendar,U305,NDays&amp;"D")</f>
        <v>42205</v>
      </c>
      <c r="W305" s="249">
        <v>1.9473895076365969E-3</v>
      </c>
      <c r="X305" s="246">
        <v>1.8455863256061633E-3</v>
      </c>
    </row>
    <row r="306" spans="20:24" x14ac:dyDescent="0.2">
      <c r="T306" s="247" t="str">
        <f t="shared" si="9"/>
        <v>1D</v>
      </c>
      <c r="U306" s="245">
        <f>_xll.qlCalendarAdvance(Calendar,U305,T306,"f",FALSE)</f>
        <v>42202</v>
      </c>
      <c r="V306" s="248">
        <f>_xll.qlCalendarAdvance(Calendar,U306,NDays&amp;"D")</f>
        <v>42206</v>
      </c>
      <c r="W306" s="249">
        <v>1.9499335804776857E-3</v>
      </c>
      <c r="X306" s="246">
        <v>1.8471729383673363E-3</v>
      </c>
    </row>
    <row r="307" spans="20:24" x14ac:dyDescent="0.2">
      <c r="T307" s="247" t="str">
        <f t="shared" si="9"/>
        <v>1D</v>
      </c>
      <c r="U307" s="245">
        <f>_xll.qlCalendarAdvance(Calendar,U306,T307,"f",FALSE)</f>
        <v>42205</v>
      </c>
      <c r="V307" s="248">
        <f>_xll.qlCalendarAdvance(Calendar,U307,NDays&amp;"D")</f>
        <v>42207</v>
      </c>
      <c r="W307" s="249">
        <v>1.9524977875817269E-3</v>
      </c>
      <c r="X307" s="246">
        <v>1.8487810749512334E-3</v>
      </c>
    </row>
    <row r="308" spans="20:24" x14ac:dyDescent="0.2">
      <c r="T308" s="247" t="str">
        <f t="shared" si="9"/>
        <v>1D</v>
      </c>
      <c r="U308" s="245">
        <f>_xll.qlCalendarAdvance(Calendar,U307,T308,"f",FALSE)</f>
        <v>42206</v>
      </c>
      <c r="V308" s="248">
        <f>_xll.qlCalendarAdvance(Calendar,U308,NDays&amp;"D")</f>
        <v>42208</v>
      </c>
      <c r="W308" s="249">
        <v>1.9550820877590603E-3</v>
      </c>
      <c r="X308" s="246">
        <v>1.8504107353578547E-3</v>
      </c>
    </row>
    <row r="309" spans="20:24" x14ac:dyDescent="0.2">
      <c r="T309" s="247" t="str">
        <f t="shared" si="9"/>
        <v>1D</v>
      </c>
      <c r="U309" s="245">
        <f>_xll.qlCalendarAdvance(Calendar,U308,T309,"f",FALSE)</f>
        <v>42207</v>
      </c>
      <c r="V309" s="248">
        <f>_xll.qlCalendarAdvance(Calendar,U309,NDays&amp;"D")</f>
        <v>42209</v>
      </c>
      <c r="W309" s="249">
        <v>1.9606333774862031E-3</v>
      </c>
      <c r="X309" s="246">
        <v>1.8537513474381484E-3</v>
      </c>
    </row>
    <row r="310" spans="20:24" x14ac:dyDescent="0.2">
      <c r="T310" s="247" t="str">
        <f t="shared" si="9"/>
        <v>1D</v>
      </c>
      <c r="U310" s="245">
        <f>_xll.qlCalendarAdvance(Calendar,U309,T310,"f",FALSE)</f>
        <v>42208</v>
      </c>
      <c r="V310" s="248">
        <f>_xll.qlCalendarAdvance(Calendar,U310,NDays&amp;"D")</f>
        <v>42212</v>
      </c>
      <c r="W310" s="249">
        <v>1.9656193954028949E-3</v>
      </c>
      <c r="X310" s="246">
        <v>1.8571446146520287E-3</v>
      </c>
    </row>
    <row r="311" spans="20:24" x14ac:dyDescent="0.2">
      <c r="T311" s="247" t="str">
        <f t="shared" si="9"/>
        <v>1D</v>
      </c>
      <c r="U311" s="245">
        <f>_xll.qlCalendarAdvance(Calendar,U310,T311,"f",FALSE)</f>
        <v>42209</v>
      </c>
      <c r="V311" s="248">
        <f>_xll.qlCalendarAdvance(Calendar,U311,NDays&amp;"D")</f>
        <v>42213</v>
      </c>
      <c r="W311" s="249">
        <v>1.9683035431026521E-3</v>
      </c>
      <c r="X311" s="246">
        <v>1.8588818939324625E-3</v>
      </c>
    </row>
    <row r="312" spans="20:24" x14ac:dyDescent="0.2">
      <c r="T312" s="247" t="str">
        <f t="shared" si="9"/>
        <v>1D</v>
      </c>
      <c r="U312" s="245">
        <f>_xll.qlCalendarAdvance(Calendar,U311,T312,"f",FALSE)</f>
        <v>42212</v>
      </c>
      <c r="V312" s="248">
        <f>_xll.qlCalendarAdvance(Calendar,U312,NDays&amp;"D")</f>
        <v>42214</v>
      </c>
      <c r="W312" s="249">
        <v>1.9710075367403461E-3</v>
      </c>
      <c r="X312" s="246">
        <v>1.8606406970356204E-3</v>
      </c>
    </row>
    <row r="313" spans="20:24" x14ac:dyDescent="0.2">
      <c r="T313" s="247" t="str">
        <f t="shared" si="9"/>
        <v>1D</v>
      </c>
      <c r="U313" s="245">
        <f>_xll.qlCalendarAdvance(Calendar,U312,T313,"f",FALSE)</f>
        <v>42213</v>
      </c>
      <c r="V313" s="248">
        <f>_xll.qlCalendarAdvance(Calendar,U313,NDays&amp;"D")</f>
        <v>42215</v>
      </c>
      <c r="W313" s="249">
        <v>1.973731335127185E-3</v>
      </c>
      <c r="X313" s="246">
        <v>1.8624210238016303E-3</v>
      </c>
    </row>
    <row r="314" spans="20:24" x14ac:dyDescent="0.2">
      <c r="T314" s="247" t="str">
        <f t="shared" si="9"/>
        <v>1D</v>
      </c>
      <c r="U314" s="245">
        <f>_xll.qlCalendarAdvance(Calendar,U313,T314,"f",FALSE)</f>
        <v>42214</v>
      </c>
      <c r="V314" s="248">
        <f>_xll.qlCalendarAdvance(Calendar,U314,NDays&amp;"D")</f>
        <v>42216</v>
      </c>
      <c r="W314" s="249">
        <v>1.9749443082007876E-3</v>
      </c>
      <c r="X314" s="246">
        <v>1.8660630962052949E-3</v>
      </c>
    </row>
    <row r="315" spans="20:24" x14ac:dyDescent="0.2">
      <c r="T315" s="247" t="str">
        <f t="shared" si="9"/>
        <v>1D</v>
      </c>
      <c r="U315" s="245">
        <f>_xll.qlCalendarAdvance(Calendar,U314,T315,"f",FALSE)</f>
        <v>42215</v>
      </c>
      <c r="V315" s="248">
        <f>_xll.qlCalendarAdvance(Calendar,U315,NDays&amp;"D")</f>
        <v>42219</v>
      </c>
      <c r="W315" s="249">
        <v>1.9848237524040624E-3</v>
      </c>
      <c r="X315" s="246">
        <v>1.8697575692527835E-3</v>
      </c>
    </row>
    <row r="316" spans="20:24" x14ac:dyDescent="0.2">
      <c r="T316" s="247" t="str">
        <f t="shared" si="9"/>
        <v>1D</v>
      </c>
      <c r="U316" s="245">
        <f>_xll.qlCalendarAdvance(Calendar,U315,T316,"f",FALSE)</f>
        <v>42216</v>
      </c>
      <c r="V316" s="248">
        <f>_xll.qlCalendarAdvance(Calendar,U316,NDays&amp;"D")</f>
        <v>42220</v>
      </c>
      <c r="W316" s="249">
        <v>1.9876459567169176E-3</v>
      </c>
      <c r="X316" s="246">
        <v>1.8716455149725419E-3</v>
      </c>
    </row>
    <row r="317" spans="20:24" x14ac:dyDescent="0.2">
      <c r="T317" s="247" t="str">
        <f t="shared" si="9"/>
        <v>1D</v>
      </c>
      <c r="U317" s="245">
        <f>_xll.qlCalendarAdvance(Calendar,U316,T317,"f",FALSE)</f>
        <v>42219</v>
      </c>
      <c r="V317" s="248">
        <f>_xll.qlCalendarAdvance(Calendar,U317,NDays&amp;"D")</f>
        <v>42221</v>
      </c>
      <c r="W317" s="249">
        <v>1.990487718652251E-3</v>
      </c>
      <c r="X317" s="246">
        <v>1.8735549845949606E-3</v>
      </c>
    </row>
    <row r="318" spans="20:24" x14ac:dyDescent="0.2">
      <c r="T318" s="247" t="str">
        <f t="shared" si="9"/>
        <v>1D</v>
      </c>
      <c r="U318" s="245">
        <f>_xll.qlCalendarAdvance(Calendar,U317,T318,"f",FALSE)</f>
        <v>42220</v>
      </c>
      <c r="V318" s="248">
        <f>_xll.qlCalendarAdvance(Calendar,U318,NDays&amp;"D")</f>
        <v>42222</v>
      </c>
      <c r="W318" s="249">
        <v>1.99334899702214E-3</v>
      </c>
      <c r="X318" s="246">
        <v>1.8754859780401034E-3</v>
      </c>
    </row>
    <row r="319" spans="20:24" x14ac:dyDescent="0.2">
      <c r="T319" s="247" t="str">
        <f t="shared" si="9"/>
        <v>1D</v>
      </c>
      <c r="U319" s="245">
        <f>_xll.qlCalendarAdvance(Calendar,U318,T319,"f",FALSE)</f>
        <v>42221</v>
      </c>
      <c r="V319" s="248">
        <f>_xll.qlCalendarAdvance(Calendar,U319,NDays&amp;"D")</f>
        <v>42223</v>
      </c>
      <c r="W319" s="249">
        <v>1.999439773510467E-3</v>
      </c>
      <c r="X319" s="246">
        <v>1.879429522491094E-3</v>
      </c>
    </row>
    <row r="320" spans="20:24" x14ac:dyDescent="0.2">
      <c r="T320" s="247" t="str">
        <f t="shared" si="9"/>
        <v>1D</v>
      </c>
      <c r="U320" s="245">
        <f>_xll.qlCalendarAdvance(Calendar,U319,T320,"f",FALSE)</f>
        <v>42222</v>
      </c>
      <c r="V320" s="248">
        <f>_xll.qlCalendarAdvance(Calendar,U320,NDays&amp;"D")</f>
        <v>42226</v>
      </c>
      <c r="W320" s="249">
        <v>2.0049884511139939E-3</v>
      </c>
      <c r="X320" s="246">
        <v>1.8834251894883636E-3</v>
      </c>
    </row>
    <row r="321" spans="20:24" x14ac:dyDescent="0.2">
      <c r="T321" s="247" t="str">
        <f t="shared" si="9"/>
        <v>1D</v>
      </c>
      <c r="U321" s="245">
        <f>_xll.qlCalendarAdvance(Calendar,U320,T321,"f",FALSE)</f>
        <v>42223</v>
      </c>
      <c r="V321" s="248">
        <f>_xll.qlCalendarAdvance(Calendar,U321,NDays&amp;"D")</f>
        <v>42227</v>
      </c>
      <c r="W321" s="249">
        <v>2.0079466938569355E-3</v>
      </c>
      <c r="X321" s="246">
        <v>1.8854638018872549E-3</v>
      </c>
    </row>
    <row r="322" spans="20:24" x14ac:dyDescent="0.2">
      <c r="T322" s="247" t="str">
        <f t="shared" si="9"/>
        <v>1D</v>
      </c>
      <c r="U322" s="245">
        <f>_xll.qlCalendarAdvance(Calendar,U321,T322,"f",FALSE)</f>
        <v>42226</v>
      </c>
      <c r="V322" s="248">
        <f>_xll.qlCalendarAdvance(Calendar,U322,NDays&amp;"D")</f>
        <v>42228</v>
      </c>
      <c r="W322" s="249">
        <v>2.0109242059147161E-3</v>
      </c>
      <c r="X322" s="246">
        <v>1.8875239379489983E-3</v>
      </c>
    </row>
    <row r="323" spans="20:24" x14ac:dyDescent="0.2">
      <c r="T323" s="247" t="str">
        <f t="shared" si="9"/>
        <v>1D</v>
      </c>
      <c r="U323" s="245">
        <f>_xll.qlCalendarAdvance(Calendar,U322,T323,"f",FALSE)</f>
        <v>42227</v>
      </c>
      <c r="V323" s="248">
        <f>_xll.qlCalendarAdvance(Calendar,U323,NDays&amp;"D")</f>
        <v>42229</v>
      </c>
      <c r="W323" s="249">
        <v>2.0139209461028894E-3</v>
      </c>
      <c r="X323" s="246">
        <v>1.8896055979134019E-3</v>
      </c>
    </row>
    <row r="324" spans="20:24" x14ac:dyDescent="0.2">
      <c r="T324" s="247" t="str">
        <f t="shared" si="9"/>
        <v>1D</v>
      </c>
      <c r="U324" s="245">
        <f>_xll.qlCalendarAdvance(Calendar,U323,T324,"f",FALSE)</f>
        <v>42228</v>
      </c>
      <c r="V324" s="248">
        <f>_xll.qlCalendarAdvance(Calendar,U324,NDays&amp;"D")</f>
        <v>42230</v>
      </c>
      <c r="W324" s="249">
        <v>2.0202756670818097E-3</v>
      </c>
      <c r="X324" s="246">
        <v>1.8938506266685806E-3</v>
      </c>
    </row>
    <row r="325" spans="20:24" x14ac:dyDescent="0.2">
      <c r="T325" s="247" t="str">
        <f t="shared" si="9"/>
        <v>1D</v>
      </c>
      <c r="U325" s="245">
        <f>_xll.qlCalendarAdvance(Calendar,U324,T325,"f",FALSE)</f>
        <v>42229</v>
      </c>
      <c r="V325" s="248">
        <f>_xll.qlCalendarAdvance(Calendar,U325,NDays&amp;"D")</f>
        <v>42233</v>
      </c>
      <c r="W325" s="249">
        <v>2.0260993644279864E-3</v>
      </c>
      <c r="X325" s="246">
        <v>1.8981474755985772E-3</v>
      </c>
    </row>
    <row r="326" spans="20:24" x14ac:dyDescent="0.2">
      <c r="T326" s="247" t="str">
        <f t="shared" si="9"/>
        <v>1D</v>
      </c>
      <c r="U326" s="245">
        <f>_xll.qlCalendarAdvance(Calendar,U325,T326,"f",FALSE)</f>
        <v>42230</v>
      </c>
      <c r="V326" s="248">
        <f>_xll.qlCalendarAdvance(Calendar,U326,NDays&amp;"D")</f>
        <v>42234</v>
      </c>
      <c r="W326" s="249">
        <v>2.0291916274762165E-3</v>
      </c>
      <c r="X326" s="246">
        <v>1.9003367545167293E-3</v>
      </c>
    </row>
    <row r="327" spans="20:24" x14ac:dyDescent="0.2">
      <c r="T327" s="247" t="str">
        <f t="shared" si="9"/>
        <v>1D</v>
      </c>
      <c r="U327" s="245">
        <f>_xll.qlCalendarAdvance(Calendar,U326,T327,"f",FALSE)</f>
        <v>42233</v>
      </c>
      <c r="V327" s="248">
        <f>_xll.qlCalendarAdvance(Calendar,U327,NDays&amp;"D")</f>
        <v>42235</v>
      </c>
      <c r="W327" s="249">
        <v>2.0323028715403357E-3</v>
      </c>
      <c r="X327" s="246">
        <v>1.9025475572576056E-3</v>
      </c>
    </row>
    <row r="328" spans="20:24" x14ac:dyDescent="0.2">
      <c r="T328" s="247" t="str">
        <f t="shared" si="9"/>
        <v>1D</v>
      </c>
      <c r="U328" s="245">
        <f>_xll.qlCalendarAdvance(Calendar,U327,T328,"f",FALSE)</f>
        <v>42234</v>
      </c>
      <c r="V328" s="248">
        <f>_xll.qlCalendarAdvance(Calendar,U328,NDays&amp;"D")</f>
        <v>42236</v>
      </c>
      <c r="W328" s="249">
        <v>2.0354330554350282E-3</v>
      </c>
      <c r="X328" s="246">
        <v>1.9047798837412699E-3</v>
      </c>
    </row>
    <row r="329" spans="20:24" x14ac:dyDescent="0.2">
      <c r="T329" s="247" t="str">
        <f t="shared" si="9"/>
        <v>1D</v>
      </c>
      <c r="U329" s="245">
        <f>_xll.qlCalendarAdvance(Calendar,U328,T329,"f",FALSE)</f>
        <v>42235</v>
      </c>
      <c r="V329" s="248">
        <f>_xll.qlCalendarAdvance(Calendar,U329,NDays&amp;"D")</f>
        <v>42237</v>
      </c>
      <c r="W329" s="249">
        <v>2.0420482565425158E-3</v>
      </c>
      <c r="X329" s="246">
        <v>1.9093264090841444E-3</v>
      </c>
    </row>
    <row r="330" spans="20:24" x14ac:dyDescent="0.2">
      <c r="T330" s="247" t="str">
        <f t="shared" si="9"/>
        <v>1D</v>
      </c>
      <c r="U330" s="245">
        <f>_xll.qlCalendarAdvance(Calendar,U329,T330,"f",FALSE)</f>
        <v>42236</v>
      </c>
      <c r="V330" s="248">
        <f>_xll.qlCalendarAdvance(Calendar,U330,NDays&amp;"D")</f>
        <v>42240</v>
      </c>
      <c r="W330" s="249">
        <v>2.0481423656305902E-3</v>
      </c>
      <c r="X330" s="246">
        <v>1.9139244277432965E-3</v>
      </c>
    </row>
    <row r="331" spans="20:24" x14ac:dyDescent="0.2">
      <c r="T331" s="247" t="str">
        <f t="shared" si="9"/>
        <v>1D</v>
      </c>
      <c r="U331" s="245">
        <f>_xll.qlCalendarAdvance(Calendar,U330,T331,"f",FALSE)</f>
        <v>42237</v>
      </c>
      <c r="V331" s="248">
        <f>_xll.qlCalendarAdvance(Calendar,U331,NDays&amp;"D")</f>
        <v>42241</v>
      </c>
      <c r="W331" s="249">
        <v>2.051366630910574E-3</v>
      </c>
      <c r="X331" s="246">
        <v>1.9162643731807094E-3</v>
      </c>
    </row>
    <row r="332" spans="20:24" x14ac:dyDescent="0.2">
      <c r="T332" s="247" t="str">
        <f t="shared" si="9"/>
        <v>1D</v>
      </c>
      <c r="U332" s="245">
        <f>_xll.qlCalendarAdvance(Calendar,U331,T332,"f",FALSE)</f>
        <v>42240</v>
      </c>
      <c r="V332" s="248">
        <f>_xll.qlCalendarAdvance(Calendar,U332,NDays&amp;"D")</f>
        <v>42242</v>
      </c>
      <c r="W332" s="249">
        <v>2.0546095889153173E-3</v>
      </c>
      <c r="X332" s="246">
        <v>1.9186258424408464E-3</v>
      </c>
    </row>
    <row r="333" spans="20:24" x14ac:dyDescent="0.2">
      <c r="T333" s="247" t="str">
        <f t="shared" si="9"/>
        <v>1D</v>
      </c>
      <c r="U333" s="245">
        <f>_xll.qlCalendarAdvance(Calendar,U332,T333,"f",FALSE)</f>
        <v>42241</v>
      </c>
      <c r="V333" s="248">
        <f>_xll.qlCalendarAdvance(Calendar,U333,NDays&amp;"D")</f>
        <v>42243</v>
      </c>
      <c r="W333" s="249">
        <v>2.0578711984595038E-3</v>
      </c>
      <c r="X333" s="246">
        <v>1.9210088356036437E-3</v>
      </c>
    </row>
    <row r="334" spans="20:24" x14ac:dyDescent="0.2">
      <c r="T334" s="247" t="str">
        <f t="shared" si="9"/>
        <v>1D</v>
      </c>
      <c r="U334" s="245">
        <f>_xll.qlCalendarAdvance(Calendar,U333,T334,"f",FALSE)</f>
        <v>42242</v>
      </c>
      <c r="V334" s="248">
        <f>_xll.qlCalendarAdvance(Calendar,U334,NDays&amp;"D")</f>
        <v>42244</v>
      </c>
      <c r="W334" s="249">
        <v>2.064743716515998E-3</v>
      </c>
      <c r="X334" s="246">
        <v>1.9258568702174017E-3</v>
      </c>
    </row>
    <row r="335" spans="20:24" x14ac:dyDescent="0.2">
      <c r="T335" s="247" t="str">
        <f t="shared" si="9"/>
        <v>1D</v>
      </c>
      <c r="U335" s="245">
        <f>_xll.qlCalendarAdvance(Calendar,U334,T335,"f",FALSE)</f>
        <v>42243</v>
      </c>
      <c r="V335" s="248">
        <f>_xll.qlCalendarAdvance(Calendar,U335,NDays&amp;"D")</f>
        <v>42247</v>
      </c>
      <c r="W335" s="249">
        <v>2.0692891941334278E-3</v>
      </c>
      <c r="X335" s="246">
        <v>1.9307560459225215E-3</v>
      </c>
    </row>
    <row r="336" spans="20:24" x14ac:dyDescent="0.2">
      <c r="T336" s="247" t="str">
        <f t="shared" si="9"/>
        <v>1D</v>
      </c>
      <c r="U336" s="245">
        <f>_xll.qlCalendarAdvance(Calendar,U335,T336,"f",FALSE)</f>
        <v>42244</v>
      </c>
      <c r="V336" s="248">
        <f>_xll.qlCalendarAdvance(Calendar,U336,NDays&amp;"D")</f>
        <v>42248</v>
      </c>
      <c r="W336" s="249">
        <v>2.0726344902131369E-3</v>
      </c>
      <c r="X336" s="246">
        <v>1.9332466579591312E-3</v>
      </c>
    </row>
    <row r="337" spans="20:24" x14ac:dyDescent="0.2">
      <c r="T337" s="247" t="str">
        <f t="shared" si="9"/>
        <v>1D</v>
      </c>
      <c r="U337" s="245">
        <f>_xll.qlCalendarAdvance(Calendar,U336,T337,"f",FALSE)</f>
        <v>42247</v>
      </c>
      <c r="V337" s="248">
        <f>_xll.qlCalendarAdvance(Calendar,U337,NDays&amp;"D")</f>
        <v>42249</v>
      </c>
      <c r="W337" s="249">
        <v>2.0759981978183371E-3</v>
      </c>
      <c r="X337" s="246">
        <v>1.9357587938984011E-3</v>
      </c>
    </row>
    <row r="338" spans="20:24" x14ac:dyDescent="0.2">
      <c r="T338" s="247" t="str">
        <f t="shared" ref="T338:T401" si="10">T337</f>
        <v>1D</v>
      </c>
      <c r="U338" s="245">
        <f>_xll.qlCalendarAdvance(Calendar,U337,T338,"f",FALSE)</f>
        <v>42248</v>
      </c>
      <c r="V338" s="248">
        <f>_xll.qlCalendarAdvance(Calendar,U338,NDays&amp;"D")</f>
        <v>42250</v>
      </c>
      <c r="W338" s="249">
        <v>2.0793802753155182E-3</v>
      </c>
      <c r="X338" s="246">
        <v>1.9382924535804591E-3</v>
      </c>
    </row>
    <row r="339" spans="20:24" x14ac:dyDescent="0.2">
      <c r="T339" s="247" t="str">
        <f t="shared" si="10"/>
        <v>1D</v>
      </c>
      <c r="U339" s="245">
        <f>_xll.qlCalendarAdvance(Calendar,U338,T339,"f",FALSE)</f>
        <v>42249</v>
      </c>
      <c r="V339" s="248">
        <f>_xll.qlCalendarAdvance(Calendar,U339,NDays&amp;"D")</f>
        <v>42251</v>
      </c>
      <c r="W339" s="249">
        <v>2.0827806810650223E-3</v>
      </c>
      <c r="X339" s="246">
        <v>1.9434420104147421E-3</v>
      </c>
    </row>
    <row r="340" spans="20:24" x14ac:dyDescent="0.2">
      <c r="T340" s="247" t="str">
        <f t="shared" si="10"/>
        <v>1D</v>
      </c>
      <c r="U340" s="245">
        <f>_xll.qlCalendarAdvance(Calendar,U339,T340,"f",FALSE)</f>
        <v>42250</v>
      </c>
      <c r="V340" s="248">
        <f>_xll.qlCalendarAdvance(Calendar,U340,NDays&amp;"D")</f>
        <v>42254</v>
      </c>
      <c r="W340" s="249">
        <v>2.0930914514712875E-3</v>
      </c>
      <c r="X340" s="246">
        <v>1.9486423303760603E-3</v>
      </c>
    </row>
    <row r="341" spans="20:24" x14ac:dyDescent="0.2">
      <c r="T341" s="247" t="str">
        <f t="shared" si="10"/>
        <v>1D</v>
      </c>
      <c r="U341" s="245">
        <f>_xll.qlCalendarAdvance(Calendar,U340,T341,"f",FALSE)</f>
        <v>42251</v>
      </c>
      <c r="V341" s="248">
        <f>_xll.qlCalendarAdvance(Calendar,U341,NDays&amp;"D")</f>
        <v>42255</v>
      </c>
      <c r="W341" s="249">
        <v>2.0965647538721439E-3</v>
      </c>
      <c r="X341" s="246">
        <v>1.9512836090918029E-3</v>
      </c>
    </row>
    <row r="342" spans="20:24" x14ac:dyDescent="0.2">
      <c r="T342" s="247" t="str">
        <f t="shared" si="10"/>
        <v>1D</v>
      </c>
      <c r="U342" s="245">
        <f>_xll.qlCalendarAdvance(Calendar,U341,T342,"f",FALSE)</f>
        <v>42254</v>
      </c>
      <c r="V342" s="248">
        <f>_xll.qlCalendarAdvance(Calendar,U342,NDays&amp;"D")</f>
        <v>42256</v>
      </c>
      <c r="W342" s="249">
        <v>2.1000561763454759E-3</v>
      </c>
      <c r="X342" s="246">
        <v>1.9539464115503336E-3</v>
      </c>
    </row>
    <row r="343" spans="20:24" x14ac:dyDescent="0.2">
      <c r="T343" s="247" t="str">
        <f t="shared" si="10"/>
        <v>1D</v>
      </c>
      <c r="U343" s="245">
        <f>_xll.qlCalendarAdvance(Calendar,U342,T343,"f",FALSE)</f>
        <v>42255</v>
      </c>
      <c r="V343" s="248">
        <f>_xll.qlCalendarAdvance(Calendar,U343,NDays&amp;"D")</f>
        <v>42257</v>
      </c>
      <c r="W343" s="249">
        <v>2.1035656772551382E-3</v>
      </c>
      <c r="X343" s="246">
        <v>1.9566307379115244E-3</v>
      </c>
    </row>
    <row r="344" spans="20:24" x14ac:dyDescent="0.2">
      <c r="T344" s="247" t="str">
        <f t="shared" si="10"/>
        <v>1D</v>
      </c>
      <c r="U344" s="245">
        <f>_xll.qlCalendarAdvance(Calendar,U343,T344,"f",FALSE)</f>
        <v>42256</v>
      </c>
      <c r="V344" s="248">
        <f>_xll.qlCalendarAdvance(Calendar,U344,NDays&amp;"D")</f>
        <v>42258</v>
      </c>
      <c r="W344" s="249">
        <v>2.1070932149667423E-3</v>
      </c>
      <c r="X344" s="246">
        <v>1.9620818302090726E-3</v>
      </c>
    </row>
    <row r="345" spans="20:24" x14ac:dyDescent="0.2">
      <c r="T345" s="247" t="str">
        <f t="shared" si="10"/>
        <v>1D</v>
      </c>
      <c r="U345" s="245">
        <f>_xll.qlCalendarAdvance(Calendar,U344,T345,"f",FALSE)</f>
        <v>42257</v>
      </c>
      <c r="V345" s="248">
        <f>_xll.qlCalendarAdvance(Calendar,U345,NDays&amp;"D")</f>
        <v>42261</v>
      </c>
      <c r="W345" s="249">
        <v>2.1177836325500005E-3</v>
      </c>
      <c r="X345" s="246">
        <v>1.967583281183849E-3</v>
      </c>
    </row>
    <row r="346" spans="20:24" x14ac:dyDescent="0.2">
      <c r="T346" s="247" t="str">
        <f t="shared" si="10"/>
        <v>1D</v>
      </c>
      <c r="U346" s="245">
        <f>_xll.qlCalendarAdvance(Calendar,U345,T346,"f",FALSE)</f>
        <v>42258</v>
      </c>
      <c r="V346" s="248">
        <f>_xll.qlCalendarAdvance(Calendar,U346,NDays&amp;"D")</f>
        <v>42262</v>
      </c>
      <c r="W346" s="249">
        <v>2.1213829011096793E-3</v>
      </c>
      <c r="X346" s="246">
        <v>1.9703752265787244E-3</v>
      </c>
    </row>
    <row r="347" spans="20:24" x14ac:dyDescent="0.2">
      <c r="T347" s="247" t="str">
        <f t="shared" si="10"/>
        <v>1D</v>
      </c>
      <c r="U347" s="245">
        <f>_xll.qlCalendarAdvance(Calendar,U346,T347,"f",FALSE)</f>
        <v>42261</v>
      </c>
      <c r="V347" s="248">
        <f>_xll.qlCalendarAdvance(Calendar,U347,NDays&amp;"D")</f>
        <v>42263</v>
      </c>
      <c r="W347" s="249">
        <v>2.1249999982923314E-3</v>
      </c>
      <c r="X347" s="246">
        <v>1.973188695716388E-3</v>
      </c>
    </row>
    <row r="348" spans="20:24" x14ac:dyDescent="0.2">
      <c r="T348" s="247" t="str">
        <f t="shared" si="10"/>
        <v>1D</v>
      </c>
      <c r="U348" s="245">
        <f>_xll.qlCalendarAdvance(Calendar,U347,T348,"f",FALSE)</f>
        <v>42262</v>
      </c>
      <c r="V348" s="248">
        <f>_xll.qlCalendarAdvance(Calendar,U348,NDays&amp;"D")</f>
        <v>42264</v>
      </c>
      <c r="W348" s="249">
        <v>2.1286348778870104E-3</v>
      </c>
      <c r="X348" s="246">
        <v>1.976023056782239E-3</v>
      </c>
    </row>
    <row r="349" spans="20:24" x14ac:dyDescent="0.2">
      <c r="T349" s="247" t="str">
        <f t="shared" si="10"/>
        <v>1D</v>
      </c>
      <c r="U349" s="245">
        <f>_xll.qlCalendarAdvance(Calendar,U348,T349,"f",FALSE)</f>
        <v>42263</v>
      </c>
      <c r="V349" s="248">
        <f>_xll.qlCalendarAdvance(Calendar,U349,NDays&amp;"D")</f>
        <v>42265</v>
      </c>
      <c r="W349" s="249">
        <v>2.1322874823248208E-3</v>
      </c>
      <c r="X349" s="246">
        <v>1.9817630606144832E-3</v>
      </c>
    </row>
    <row r="350" spans="20:24" x14ac:dyDescent="0.2">
      <c r="T350" s="247" t="str">
        <f t="shared" si="10"/>
        <v>1D</v>
      </c>
      <c r="U350" s="245">
        <f>_xll.qlCalendarAdvance(Calendar,U349,T350,"f",FALSE)</f>
        <v>42264</v>
      </c>
      <c r="V350" s="248">
        <f>_xll.qlCalendarAdvance(Calendar,U350,NDays&amp;"D")</f>
        <v>42268</v>
      </c>
      <c r="W350" s="249">
        <v>2.1433513289250182E-3</v>
      </c>
      <c r="X350" s="246">
        <v>1.9875403544578063E-3</v>
      </c>
    </row>
    <row r="351" spans="20:24" x14ac:dyDescent="0.2">
      <c r="T351" s="247" t="str">
        <f t="shared" si="10"/>
        <v>1D</v>
      </c>
      <c r="U351" s="245">
        <f>_xll.qlCalendarAdvance(Calendar,U350,T351,"f",FALSE)</f>
        <v>42265</v>
      </c>
      <c r="V351" s="248">
        <f>_xll.qlCalendarAdvance(Calendar,U351,NDays&amp;"D")</f>
        <v>42269</v>
      </c>
      <c r="W351" s="249">
        <v>2.147074530858151E-3</v>
      </c>
      <c r="X351" s="246">
        <v>1.9904640102552662E-3</v>
      </c>
    </row>
    <row r="352" spans="20:24" x14ac:dyDescent="0.2">
      <c r="T352" s="247" t="str">
        <f t="shared" si="10"/>
        <v>1D</v>
      </c>
      <c r="U352" s="245">
        <f>_xll.qlCalendarAdvance(Calendar,U351,T352,"f",FALSE)</f>
        <v>42268</v>
      </c>
      <c r="V352" s="248">
        <f>_xll.qlCalendarAdvance(Calendar,U352,NDays&amp;"D")</f>
        <v>42270</v>
      </c>
      <c r="W352" s="249">
        <v>2.1508153136441011E-3</v>
      </c>
      <c r="X352" s="246">
        <v>1.9934053987480382E-3</v>
      </c>
    </row>
    <row r="353" spans="20:24" x14ac:dyDescent="0.2">
      <c r="T353" s="247" t="str">
        <f t="shared" si="10"/>
        <v>1D</v>
      </c>
      <c r="U353" s="245">
        <f>_xll.qlCalendarAdvance(Calendar,U352,T353,"f",FALSE)</f>
        <v>42269</v>
      </c>
      <c r="V353" s="248">
        <f>_xll.qlCalendarAdvance(Calendar,U353,NDays&amp;"D")</f>
        <v>42271</v>
      </c>
      <c r="W353" s="249">
        <v>2.1545736498753418E-3</v>
      </c>
      <c r="X353" s="246">
        <v>1.9963645197762503E-3</v>
      </c>
    </row>
    <row r="354" spans="20:24" x14ac:dyDescent="0.2">
      <c r="T354" s="247" t="str">
        <f t="shared" si="10"/>
        <v>1D</v>
      </c>
      <c r="U354" s="245">
        <f>_xll.qlCalendarAdvance(Calendar,U353,T354,"f",FALSE)</f>
        <v>42270</v>
      </c>
      <c r="V354" s="248">
        <f>_xll.qlCalendarAdvance(Calendar,U354,NDays&amp;"D")</f>
        <v>42272</v>
      </c>
      <c r="W354" s="249">
        <v>2.1644735532920954E-3</v>
      </c>
      <c r="X354" s="246">
        <v>2.0023530075352625E-3</v>
      </c>
    </row>
    <row r="355" spans="20:24" x14ac:dyDescent="0.2">
      <c r="T355" s="247" t="str">
        <f t="shared" si="10"/>
        <v>1D</v>
      </c>
      <c r="U355" s="245">
        <f>_xll.qlCalendarAdvance(Calendar,U354,T355,"f",FALSE)</f>
        <v>42271</v>
      </c>
      <c r="V355" s="248">
        <f>_xll.qlCalendarAdvance(Calendar,U355,NDays&amp;"D")</f>
        <v>42275</v>
      </c>
      <c r="W355" s="249">
        <v>2.1697819810903786E-3</v>
      </c>
      <c r="X355" s="246">
        <v>2.008378329643179E-3</v>
      </c>
    </row>
    <row r="356" spans="20:24" x14ac:dyDescent="0.2">
      <c r="T356" s="247" t="str">
        <f t="shared" si="10"/>
        <v>1D</v>
      </c>
      <c r="U356" s="245">
        <f>_xll.qlCalendarAdvance(Calendar,U355,T356,"f",FALSE)</f>
        <v>42272</v>
      </c>
      <c r="V356" s="248">
        <f>_xll.qlCalendarAdvance(Calendar,U356,NDays&amp;"D")</f>
        <v>42276</v>
      </c>
      <c r="W356" s="249">
        <v>2.173627673428144E-3</v>
      </c>
      <c r="X356" s="246">
        <v>2.0114261135084632E-3</v>
      </c>
    </row>
    <row r="357" spans="20:24" x14ac:dyDescent="0.2">
      <c r="T357" s="247" t="str">
        <f t="shared" si="10"/>
        <v>1D</v>
      </c>
      <c r="U357" s="245">
        <f>_xll.qlCalendarAdvance(Calendar,U356,T357,"f",FALSE)</f>
        <v>42275</v>
      </c>
      <c r="V357" s="248">
        <f>_xll.qlCalendarAdvance(Calendar,U357,NDays&amp;"D")</f>
        <v>42277</v>
      </c>
      <c r="W357" s="249">
        <v>2.1795693632085883E-3</v>
      </c>
      <c r="X357" s="246">
        <v>2.0144916299891236E-3</v>
      </c>
    </row>
    <row r="358" spans="20:24" x14ac:dyDescent="0.2">
      <c r="T358" s="247" t="str">
        <f t="shared" si="10"/>
        <v>1D</v>
      </c>
      <c r="U358" s="245">
        <f>_xll.qlCalendarAdvance(Calendar,U357,T358,"f",FALSE)</f>
        <v>42276</v>
      </c>
      <c r="V358" s="248">
        <f>_xll.qlCalendarAdvance(Calendar,U358,NDays&amp;"D")</f>
        <v>42278</v>
      </c>
      <c r="W358" s="249">
        <v>2.1897531188098149E-3</v>
      </c>
      <c r="X358" s="246">
        <v>2.01757487908516E-3</v>
      </c>
    </row>
    <row r="359" spans="20:24" x14ac:dyDescent="0.2">
      <c r="T359" s="247" t="str">
        <f t="shared" si="10"/>
        <v>1D</v>
      </c>
      <c r="U359" s="245">
        <f>_xll.qlCalendarAdvance(Calendar,U358,T359,"f",FALSE)</f>
        <v>42277</v>
      </c>
      <c r="V359" s="248">
        <f>_xll.qlCalendarAdvance(Calendar,U359,NDays&amp;"D")</f>
        <v>42279</v>
      </c>
      <c r="W359" s="249">
        <v>2.1915725198164648E-3</v>
      </c>
      <c r="X359" s="246">
        <v>2.0238118630544477E-3</v>
      </c>
    </row>
    <row r="360" spans="20:24" x14ac:dyDescent="0.2">
      <c r="T360" s="247" t="str">
        <f t="shared" si="10"/>
        <v>1D</v>
      </c>
      <c r="U360" s="245">
        <f>_xll.qlCalendarAdvance(Calendar,U359,T360,"f",FALSE)</f>
        <v>42278</v>
      </c>
      <c r="V360" s="248">
        <f>_xll.qlCalendarAdvance(Calendar,U360,NDays&amp;"D")</f>
        <v>42282</v>
      </c>
      <c r="W360" s="249">
        <v>2.1991870270445996E-3</v>
      </c>
      <c r="X360" s="246">
        <v>2.0300852013033222E-3</v>
      </c>
    </row>
    <row r="361" spans="20:24" x14ac:dyDescent="0.2">
      <c r="T361" s="247" t="str">
        <f t="shared" si="10"/>
        <v>1D</v>
      </c>
      <c r="U361" s="245">
        <f>_xll.qlCalendarAdvance(Calendar,U360,T361,"f",FALSE)</f>
        <v>42279</v>
      </c>
      <c r="V361" s="248">
        <f>_xll.qlCalendarAdvance(Calendar,U361,NDays&amp;"D")</f>
        <v>42283</v>
      </c>
      <c r="W361" s="249">
        <v>2.2031622779721646E-3</v>
      </c>
      <c r="X361" s="246">
        <v>2.0332571133163668E-3</v>
      </c>
    </row>
    <row r="362" spans="20:24" x14ac:dyDescent="0.2">
      <c r="T362" s="247" t="str">
        <f t="shared" si="10"/>
        <v>1D</v>
      </c>
      <c r="U362" s="245">
        <f>_xll.qlCalendarAdvance(Calendar,U361,T362,"f",FALSE)</f>
        <v>42282</v>
      </c>
      <c r="V362" s="248">
        <f>_xll.qlCalendarAdvance(Calendar,U362,NDays&amp;"D")</f>
        <v>42284</v>
      </c>
      <c r="W362" s="249">
        <v>2.2071547050350267E-3</v>
      </c>
      <c r="X362" s="246">
        <v>2.0364467579447876E-3</v>
      </c>
    </row>
    <row r="363" spans="20:24" x14ac:dyDescent="0.2">
      <c r="T363" s="247" t="str">
        <f t="shared" si="10"/>
        <v>1D</v>
      </c>
      <c r="U363" s="245">
        <f>_xll.qlCalendarAdvance(Calendar,U362,T363,"f",FALSE)</f>
        <v>42283</v>
      </c>
      <c r="V363" s="248">
        <f>_xll.qlCalendarAdvance(Calendar,U363,NDays&amp;"D")</f>
        <v>42285</v>
      </c>
      <c r="W363" s="249">
        <v>2.2111642811244352E-3</v>
      </c>
      <c r="X363" s="246">
        <v>2.0396541351086483E-3</v>
      </c>
    </row>
    <row r="364" spans="20:24" x14ac:dyDescent="0.2">
      <c r="T364" s="247" t="str">
        <f t="shared" si="10"/>
        <v>1D</v>
      </c>
      <c r="U364" s="245">
        <f>_xll.qlCalendarAdvance(Calendar,U363,T364,"f",FALSE)</f>
        <v>42284</v>
      </c>
      <c r="V364" s="248">
        <f>_xll.qlCalendarAdvance(Calendar,U364,NDays&amp;"D")</f>
        <v>42286</v>
      </c>
      <c r="W364" s="249">
        <v>2.2195163235027653E-3</v>
      </c>
      <c r="X364" s="246">
        <v>2.0461396276516552E-3</v>
      </c>
    </row>
    <row r="365" spans="20:24" x14ac:dyDescent="0.2">
      <c r="T365" s="247" t="str">
        <f t="shared" si="10"/>
        <v>1D</v>
      </c>
      <c r="U365" s="245">
        <f>_xll.qlCalendarAdvance(Calendar,U364,T365,"f",FALSE)</f>
        <v>42285</v>
      </c>
      <c r="V365" s="248">
        <f>_xll.qlCalendarAdvance(Calendar,U365,NDays&amp;"D")</f>
        <v>42289</v>
      </c>
      <c r="W365" s="249">
        <v>2.2273735336168477E-3</v>
      </c>
      <c r="X365" s="246">
        <v>2.052660969678044E-3</v>
      </c>
    </row>
    <row r="366" spans="20:24" x14ac:dyDescent="0.2">
      <c r="T366" s="247" t="str">
        <f t="shared" si="10"/>
        <v>1D</v>
      </c>
      <c r="U366" s="245">
        <f>_xll.qlCalendarAdvance(Calendar,U365,T366,"f",FALSE)</f>
        <v>42286</v>
      </c>
      <c r="V366" s="248">
        <f>_xll.qlCalendarAdvance(Calendar,U366,NDays&amp;"D")</f>
        <v>42290</v>
      </c>
      <c r="W366" s="249">
        <v>2.2314684482381492E-3</v>
      </c>
      <c r="X366" s="246">
        <v>2.0559570098388491E-3</v>
      </c>
    </row>
    <row r="367" spans="20:24" x14ac:dyDescent="0.2">
      <c r="T367" s="247" t="str">
        <f t="shared" si="10"/>
        <v>1D</v>
      </c>
      <c r="U367" s="245">
        <f>_xll.qlCalendarAdvance(Calendar,U366,T367,"f",FALSE)</f>
        <v>42289</v>
      </c>
      <c r="V367" s="248">
        <f>_xll.qlCalendarAdvance(Calendar,U367,NDays&amp;"D")</f>
        <v>42291</v>
      </c>
      <c r="W367" s="249">
        <v>2.2355803492430551E-3</v>
      </c>
      <c r="X367" s="246">
        <v>2.0592707825350942E-3</v>
      </c>
    </row>
    <row r="368" spans="20:24" x14ac:dyDescent="0.2">
      <c r="T368" s="247" t="str">
        <f t="shared" si="10"/>
        <v>1D</v>
      </c>
      <c r="U368" s="245">
        <f>_xll.qlCalendarAdvance(Calendar,U367,T368,"f",FALSE)</f>
        <v>42290</v>
      </c>
      <c r="V368" s="248">
        <f>_xll.qlCalendarAdvance(Calendar,U368,NDays&amp;"D")</f>
        <v>42292</v>
      </c>
      <c r="W368" s="249">
        <v>2.2397092095271594E-3</v>
      </c>
      <c r="X368" s="246">
        <v>2.0626022878467154E-3</v>
      </c>
    </row>
    <row r="369" spans="20:24" x14ac:dyDescent="0.2">
      <c r="T369" s="247" t="str">
        <f t="shared" si="10"/>
        <v>1D</v>
      </c>
      <c r="U369" s="245">
        <f>_xll.qlCalendarAdvance(Calendar,U368,T369,"f",FALSE)</f>
        <v>42291</v>
      </c>
      <c r="V369" s="248">
        <f>_xll.qlCalendarAdvance(Calendar,U369,NDays&amp;"D")</f>
        <v>42293</v>
      </c>
      <c r="W369" s="249">
        <v>2.248295864943811E-3</v>
      </c>
      <c r="X369" s="246">
        <v>2.0693363018065014E-3</v>
      </c>
    </row>
    <row r="370" spans="20:24" x14ac:dyDescent="0.2">
      <c r="T370" s="247" t="str">
        <f t="shared" si="10"/>
        <v>1D</v>
      </c>
      <c r="U370" s="245">
        <f>_xll.qlCalendarAdvance(Calendar,U369,T370,"f",FALSE)</f>
        <v>42292</v>
      </c>
      <c r="V370" s="248">
        <f>_xll.qlCalendarAdvance(Calendar,U370,NDays&amp;"D")</f>
        <v>42296</v>
      </c>
      <c r="W370" s="249">
        <v>2.2563937013135764E-3</v>
      </c>
      <c r="X370" s="246">
        <v>2.0761056349272167E-3</v>
      </c>
    </row>
    <row r="371" spans="20:24" x14ac:dyDescent="0.2">
      <c r="T371" s="247" t="str">
        <f t="shared" si="10"/>
        <v>1D</v>
      </c>
      <c r="U371" s="245">
        <f>_xll.qlCalendarAdvance(Calendar,U370,T371,"f",FALSE)</f>
        <v>42293</v>
      </c>
      <c r="V371" s="248">
        <f>_xll.qlCalendarAdvance(Calendar,U371,NDays&amp;"D")</f>
        <v>42297</v>
      </c>
      <c r="W371" s="249">
        <v>2.2606069513910949E-3</v>
      </c>
      <c r="X371" s="246">
        <v>2.0795258031558461E-3</v>
      </c>
    </row>
    <row r="372" spans="20:24" x14ac:dyDescent="0.2">
      <c r="T372" s="247" t="str">
        <f t="shared" si="10"/>
        <v>1D</v>
      </c>
      <c r="U372" s="245">
        <f>_xll.qlCalendarAdvance(Calendar,U371,T372,"f",FALSE)</f>
        <v>42296</v>
      </c>
      <c r="V372" s="248">
        <f>_xll.qlCalendarAdvance(Calendar,U372,NDays&amp;"D")</f>
        <v>42298</v>
      </c>
      <c r="W372" s="249">
        <v>2.2648369981092134E-3</v>
      </c>
      <c r="X372" s="246">
        <v>2.0829637040797877E-3</v>
      </c>
    </row>
    <row r="373" spans="20:24" x14ac:dyDescent="0.2">
      <c r="T373" s="247" t="str">
        <f t="shared" si="10"/>
        <v>1D</v>
      </c>
      <c r="U373" s="245">
        <f>_xll.qlCalendarAdvance(Calendar,U372,T373,"f",FALSE)</f>
        <v>42297</v>
      </c>
      <c r="V373" s="248">
        <f>_xll.qlCalendarAdvance(Calendar,U373,NDays&amp;"D")</f>
        <v>42299</v>
      </c>
      <c r="W373" s="249">
        <v>2.2690838143609197E-3</v>
      </c>
      <c r="X373" s="246">
        <v>2.0864193374592332E-3</v>
      </c>
    </row>
    <row r="374" spans="20:24" x14ac:dyDescent="0.2">
      <c r="T374" s="247" t="str">
        <f t="shared" si="10"/>
        <v>1D</v>
      </c>
      <c r="U374" s="245">
        <f>_xll.qlCalendarAdvance(Calendar,U373,T374,"f",FALSE)</f>
        <v>42298</v>
      </c>
      <c r="V374" s="248">
        <f>_xll.qlCalendarAdvance(Calendar,U374,NDays&amp;"D")</f>
        <v>42300</v>
      </c>
      <c r="W374" s="249">
        <v>2.277902045007941E-3</v>
      </c>
      <c r="X374" s="246">
        <v>2.0934018860252479E-3</v>
      </c>
    </row>
    <row r="375" spans="20:24" x14ac:dyDescent="0.2">
      <c r="T375" s="247" t="str">
        <f t="shared" si="10"/>
        <v>1D</v>
      </c>
      <c r="U375" s="245">
        <f>_xll.qlCalendarAdvance(Calendar,U374,T375,"f",FALSE)</f>
        <v>42299</v>
      </c>
      <c r="V375" s="248">
        <f>_xll.qlCalendarAdvance(Calendar,U375,NDays&amp;"D")</f>
        <v>42303</v>
      </c>
      <c r="W375" s="249">
        <v>2.2862382325911815E-3</v>
      </c>
      <c r="X375" s="246">
        <v>2.1004191972107122E-3</v>
      </c>
    </row>
    <row r="376" spans="20:24" x14ac:dyDescent="0.2">
      <c r="T376" s="247" t="str">
        <f t="shared" si="10"/>
        <v>1D</v>
      </c>
      <c r="U376" s="245">
        <f>_xll.qlCalendarAdvance(Calendar,U375,T376,"f",FALSE)</f>
        <v>42300</v>
      </c>
      <c r="V376" s="248">
        <f>_xll.qlCalendarAdvance(Calendar,U376,NDays&amp;"D")</f>
        <v>42304</v>
      </c>
      <c r="W376" s="249">
        <v>2.2905684899264958E-3</v>
      </c>
      <c r="X376" s="246">
        <v>2.1039634936670382E-3</v>
      </c>
    </row>
    <row r="377" spans="20:24" x14ac:dyDescent="0.2">
      <c r="T377" s="247" t="str">
        <f t="shared" si="10"/>
        <v>1D</v>
      </c>
      <c r="U377" s="245">
        <f>_xll.qlCalendarAdvance(Calendar,U376,T377,"f",FALSE)</f>
        <v>42303</v>
      </c>
      <c r="V377" s="248">
        <f>_xll.qlCalendarAdvance(Calendar,U377,NDays&amp;"D")</f>
        <v>42305</v>
      </c>
      <c r="W377" s="249">
        <v>2.2949153541611438E-3</v>
      </c>
      <c r="X377" s="246">
        <v>2.1075255226588041E-3</v>
      </c>
    </row>
    <row r="378" spans="20:24" x14ac:dyDescent="0.2">
      <c r="T378" s="247" t="str">
        <f t="shared" si="10"/>
        <v>1D</v>
      </c>
      <c r="U378" s="245">
        <f>_xll.qlCalendarAdvance(Calendar,U377,T378,"f",FALSE)</f>
        <v>42304</v>
      </c>
      <c r="V378" s="248">
        <f>_xll.qlCalendarAdvance(Calendar,U378,NDays&amp;"D")</f>
        <v>42306</v>
      </c>
      <c r="W378" s="249">
        <v>2.2992787981907202E-3</v>
      </c>
      <c r="X378" s="246">
        <v>2.1111052841860101E-3</v>
      </c>
    </row>
    <row r="379" spans="20:24" x14ac:dyDescent="0.2">
      <c r="T379" s="247" t="str">
        <f t="shared" si="10"/>
        <v>1D</v>
      </c>
      <c r="U379" s="245">
        <f>_xll.qlCalendarAdvance(Calendar,U378,T379,"f",FALSE)</f>
        <v>42305</v>
      </c>
      <c r="V379" s="248">
        <f>_xll.qlCalendarAdvance(Calendar,U379,NDays&amp;"D")</f>
        <v>42307</v>
      </c>
      <c r="W379" s="249">
        <v>2.3013331435688595E-3</v>
      </c>
      <c r="X379" s="246">
        <v>2.1183363808408018E-3</v>
      </c>
    </row>
    <row r="380" spans="20:24" x14ac:dyDescent="0.2">
      <c r="T380" s="247" t="str">
        <f t="shared" si="10"/>
        <v>1D</v>
      </c>
      <c r="U380" s="245">
        <f>_xll.qlCalendarAdvance(Calendar,U379,T380,"f",FALSE)</f>
        <v>42306</v>
      </c>
      <c r="V380" s="248">
        <f>_xll.qlCalendarAdvance(Calendar,U380,NDays&amp;"D")</f>
        <v>42310</v>
      </c>
      <c r="W380" s="249">
        <v>2.3168978301502108E-3</v>
      </c>
      <c r="X380" s="246">
        <v>2.1256016566084668E-3</v>
      </c>
    </row>
    <row r="381" spans="20:24" x14ac:dyDescent="0.2">
      <c r="T381" s="247" t="str">
        <f t="shared" si="10"/>
        <v>1D</v>
      </c>
      <c r="U381" s="245">
        <f>_xll.qlCalendarAdvance(Calendar,U380,T381,"f",FALSE)</f>
        <v>42307</v>
      </c>
      <c r="V381" s="248">
        <f>_xll.qlCalendarAdvance(Calendar,U381,NDays&amp;"D")</f>
        <v>42311</v>
      </c>
      <c r="W381" s="249">
        <v>2.3213437665753106E-3</v>
      </c>
      <c r="X381" s="246">
        <v>2.1292700812125531E-3</v>
      </c>
    </row>
    <row r="382" spans="20:24" x14ac:dyDescent="0.2">
      <c r="T382" s="247" t="str">
        <f t="shared" si="10"/>
        <v>1D</v>
      </c>
      <c r="U382" s="245">
        <f>_xll.qlCalendarAdvance(Calendar,U381,T382,"f",FALSE)</f>
        <v>42310</v>
      </c>
      <c r="V382" s="248">
        <f>_xll.qlCalendarAdvance(Calendar,U382,NDays&amp;"D")</f>
        <v>42312</v>
      </c>
      <c r="W382" s="249">
        <v>2.3258061201645599E-3</v>
      </c>
      <c r="X382" s="246">
        <v>2.1329562384320155E-3</v>
      </c>
    </row>
    <row r="383" spans="20:24" x14ac:dyDescent="0.2">
      <c r="T383" s="247" t="str">
        <f t="shared" si="10"/>
        <v>1D</v>
      </c>
      <c r="U383" s="245">
        <f>_xll.qlCalendarAdvance(Calendar,U382,T383,"f",FALSE)</f>
        <v>42311</v>
      </c>
      <c r="V383" s="248">
        <f>_xll.qlCalendarAdvance(Calendar,U383,NDays&amp;"D")</f>
        <v>42313</v>
      </c>
      <c r="W383" s="249">
        <v>2.3302848638135534E-3</v>
      </c>
      <c r="X383" s="246">
        <v>2.136660128266854E-3</v>
      </c>
    </row>
    <row r="384" spans="20:24" x14ac:dyDescent="0.2">
      <c r="T384" s="247" t="str">
        <f t="shared" si="10"/>
        <v>1D</v>
      </c>
      <c r="U384" s="245">
        <f>_xll.qlCalendarAdvance(Calendar,U383,T384,"f",FALSE)</f>
        <v>42312</v>
      </c>
      <c r="V384" s="248">
        <f>_xll.qlCalendarAdvance(Calendar,U384,NDays&amp;"D")</f>
        <v>42314</v>
      </c>
      <c r="W384" s="249">
        <v>2.3395579257518358E-3</v>
      </c>
      <c r="X384" s="246">
        <v>2.1441397867594247E-3</v>
      </c>
    </row>
    <row r="385" spans="20:24" x14ac:dyDescent="0.2">
      <c r="T385" s="247" t="str">
        <f t="shared" si="10"/>
        <v>1D</v>
      </c>
      <c r="U385" s="245">
        <f>_xll.qlCalendarAdvance(Calendar,U384,T385,"f",FALSE)</f>
        <v>42313</v>
      </c>
      <c r="V385" s="248">
        <f>_xll.qlCalendarAdvance(Calendar,U385,NDays&amp;"D")</f>
        <v>42317</v>
      </c>
      <c r="W385" s="249">
        <v>2.3483631969110365E-3</v>
      </c>
      <c r="X385" s="246">
        <v>2.1516530134402245E-3</v>
      </c>
    </row>
    <row r="386" spans="20:24" x14ac:dyDescent="0.2">
      <c r="T386" s="247" t="str">
        <f t="shared" si="10"/>
        <v>1D</v>
      </c>
      <c r="U386" s="245">
        <f>_xll.qlCalendarAdvance(Calendar,U385,T386,"f",FALSE)</f>
        <v>42314</v>
      </c>
      <c r="V386" s="248">
        <f>_xll.qlCalendarAdvance(Calendar,U386,NDays&amp;"D")</f>
        <v>42318</v>
      </c>
      <c r="W386" s="249">
        <v>2.3529234842883215E-3</v>
      </c>
      <c r="X386" s="246">
        <v>2.1554455662720073E-3</v>
      </c>
    </row>
    <row r="387" spans="20:24" x14ac:dyDescent="0.2">
      <c r="T387" s="247" t="str">
        <f t="shared" si="10"/>
        <v>1D</v>
      </c>
      <c r="U387" s="245">
        <f>_xll.qlCalendarAdvance(Calendar,U386,T387,"f",FALSE)</f>
        <v>42317</v>
      </c>
      <c r="V387" s="248">
        <f>_xll.qlCalendarAdvance(Calendar,U387,NDays&amp;"D")</f>
        <v>42319</v>
      </c>
      <c r="W387" s="249">
        <v>2.3574999990989168E-3</v>
      </c>
      <c r="X387" s="246">
        <v>2.1592558517191662E-3</v>
      </c>
    </row>
    <row r="388" spans="20:24" x14ac:dyDescent="0.2">
      <c r="T388" s="247" t="str">
        <f t="shared" si="10"/>
        <v>1D</v>
      </c>
      <c r="U388" s="245">
        <f>_xll.qlCalendarAdvance(Calendar,U387,T388,"f",FALSE)</f>
        <v>42318</v>
      </c>
      <c r="V388" s="248">
        <f>_xll.qlCalendarAdvance(Calendar,U388,NDays&amp;"D")</f>
        <v>42320</v>
      </c>
      <c r="W388" s="249">
        <v>2.3620927142375477E-3</v>
      </c>
      <c r="X388" s="246">
        <v>2.1630838697017651E-3</v>
      </c>
    </row>
    <row r="389" spans="20:24" x14ac:dyDescent="0.2">
      <c r="T389" s="247" t="str">
        <f t="shared" si="10"/>
        <v>1D</v>
      </c>
      <c r="U389" s="245">
        <f>_xll.qlCalendarAdvance(Calendar,U388,T389,"f",FALSE)</f>
        <v>42319</v>
      </c>
      <c r="V389" s="248">
        <f>_xll.qlCalendarAdvance(Calendar,U389,NDays&amp;"D")</f>
        <v>42321</v>
      </c>
      <c r="W389" s="249">
        <v>2.3715894293783743E-3</v>
      </c>
      <c r="X389" s="246">
        <v>2.1708121043673145E-3</v>
      </c>
    </row>
    <row r="390" spans="20:24" x14ac:dyDescent="0.2">
      <c r="T390" s="247" t="str">
        <f t="shared" si="10"/>
        <v>1D</v>
      </c>
      <c r="U390" s="245">
        <f>_xll.qlCalendarAdvance(Calendar,U389,T390,"f",FALSE)</f>
        <v>42320</v>
      </c>
      <c r="V390" s="248">
        <f>_xll.qlCalendarAdvance(Calendar,U390,NDays&amp;"D")</f>
        <v>42324</v>
      </c>
      <c r="W390" s="249">
        <v>2.3806250359947397E-3</v>
      </c>
      <c r="X390" s="246">
        <v>2.1785732678658576E-3</v>
      </c>
    </row>
    <row r="391" spans="20:24" x14ac:dyDescent="0.2">
      <c r="T391" s="247" t="str">
        <f t="shared" si="10"/>
        <v>1D</v>
      </c>
      <c r="U391" s="245">
        <f>_xll.qlCalendarAdvance(Calendar,U390,T391,"f",FALSE)</f>
        <v>42321</v>
      </c>
      <c r="V391" s="248">
        <f>_xll.qlCalendarAdvance(Calendar,U391,NDays&amp;"D")</f>
        <v>42325</v>
      </c>
      <c r="W391" s="249">
        <v>2.3852983462152831E-3</v>
      </c>
      <c r="X391" s="246">
        <v>2.1824899489253369E-3</v>
      </c>
    </row>
    <row r="392" spans="20:24" x14ac:dyDescent="0.2">
      <c r="T392" s="247" t="str">
        <f t="shared" si="10"/>
        <v>1D</v>
      </c>
      <c r="U392" s="245">
        <f>_xll.qlCalendarAdvance(Calendar,U391,T392,"f",FALSE)</f>
        <v>42324</v>
      </c>
      <c r="V392" s="248">
        <f>_xll.qlCalendarAdvance(Calendar,U392,NDays&amp;"D")</f>
        <v>42326</v>
      </c>
      <c r="W392" s="249">
        <v>2.389987694139166E-3</v>
      </c>
      <c r="X392" s="246">
        <v>2.1864243626001922E-3</v>
      </c>
    </row>
    <row r="393" spans="20:24" x14ac:dyDescent="0.2">
      <c r="T393" s="247" t="str">
        <f t="shared" si="10"/>
        <v>1D</v>
      </c>
      <c r="U393" s="245">
        <f>_xll.qlCalendarAdvance(Calendar,U392,T393,"f",FALSE)</f>
        <v>42325</v>
      </c>
      <c r="V393" s="248">
        <f>_xll.qlCalendarAdvance(Calendar,U393,NDays&amp;"D")</f>
        <v>42327</v>
      </c>
      <c r="W393" s="249">
        <v>2.3946930526654578E-3</v>
      </c>
      <c r="X393" s="246">
        <v>2.1903765088104876E-3</v>
      </c>
    </row>
    <row r="394" spans="20:24" x14ac:dyDescent="0.2">
      <c r="T394" s="247" t="str">
        <f t="shared" si="10"/>
        <v>1D</v>
      </c>
      <c r="U394" s="245">
        <f>_xll.qlCalendarAdvance(Calendar,U393,T394,"f",FALSE)</f>
        <v>42326</v>
      </c>
      <c r="V394" s="248">
        <f>_xll.qlCalendarAdvance(Calendar,U394,NDays&amp;"D")</f>
        <v>42328</v>
      </c>
      <c r="W394" s="249">
        <v>2.4044111774832785E-3</v>
      </c>
      <c r="X394" s="246">
        <v>2.1983533342506689E-3</v>
      </c>
    </row>
    <row r="395" spans="20:24" x14ac:dyDescent="0.2">
      <c r="T395" s="247" t="str">
        <f t="shared" si="10"/>
        <v>1D</v>
      </c>
      <c r="U395" s="245">
        <f>_xll.qlCalendarAdvance(Calendar,U394,T395,"f",FALSE)</f>
        <v>42327</v>
      </c>
      <c r="V395" s="248">
        <f>_xll.qlCalendarAdvance(Calendar,U395,NDays&amp;"D")</f>
        <v>42331</v>
      </c>
      <c r="W395" s="249">
        <v>2.4136740507066019E-3</v>
      </c>
      <c r="X395" s="246">
        <v>2.2063624200452381E-3</v>
      </c>
    </row>
    <row r="396" spans="20:24" x14ac:dyDescent="0.2">
      <c r="T396" s="247" t="str">
        <f t="shared" si="10"/>
        <v>1D</v>
      </c>
      <c r="U396" s="245">
        <f>_xll.qlCalendarAdvance(Calendar,U395,T396,"f",FALSE)</f>
        <v>42328</v>
      </c>
      <c r="V396" s="248">
        <f>_xll.qlCalendarAdvance(Calendar,U396,NDays&amp;"D")</f>
        <v>42332</v>
      </c>
      <c r="W396" s="249">
        <v>2.4184590556840671E-3</v>
      </c>
      <c r="X396" s="246">
        <v>2.2104032292524778E-3</v>
      </c>
    </row>
    <row r="397" spans="20:24" x14ac:dyDescent="0.2">
      <c r="T397" s="247" t="str">
        <f t="shared" si="10"/>
        <v>1D</v>
      </c>
      <c r="U397" s="245">
        <f>_xll.qlCalendarAdvance(Calendar,U396,T397,"f",FALSE)</f>
        <v>42331</v>
      </c>
      <c r="V397" s="248">
        <f>_xll.qlCalendarAdvance(Calendar,U397,NDays&amp;"D")</f>
        <v>42333</v>
      </c>
      <c r="W397" s="249">
        <v>2.4232599086418515E-3</v>
      </c>
      <c r="X397" s="246">
        <v>2.2144617713149017E-3</v>
      </c>
    </row>
    <row r="398" spans="20:24" x14ac:dyDescent="0.2">
      <c r="T398" s="247" t="str">
        <f t="shared" si="10"/>
        <v>1D</v>
      </c>
      <c r="U398" s="245">
        <f>_xll.qlCalendarAdvance(Calendar,U397,T398,"f",FALSE)</f>
        <v>42332</v>
      </c>
      <c r="V398" s="248">
        <f>_xll.qlCalendarAdvance(Calendar,U398,NDays&amp;"D")</f>
        <v>42334</v>
      </c>
      <c r="W398" s="249">
        <v>2.4280765824755499E-3</v>
      </c>
      <c r="X398" s="246">
        <v>2.2185380458328297E-3</v>
      </c>
    </row>
    <row r="399" spans="20:24" x14ac:dyDescent="0.2">
      <c r="T399" s="247" t="str">
        <f t="shared" si="10"/>
        <v>1D</v>
      </c>
      <c r="U399" s="245">
        <f>_xll.qlCalendarAdvance(Calendar,U398,T399,"f",FALSE)</f>
        <v>42333</v>
      </c>
      <c r="V399" s="248">
        <f>_xll.qlCalendarAdvance(Calendar,U399,NDays&amp;"D")</f>
        <v>42335</v>
      </c>
      <c r="W399" s="249">
        <v>2.43801407202848E-3</v>
      </c>
      <c r="X399" s="246">
        <v>2.2267634769956857E-3</v>
      </c>
    </row>
    <row r="400" spans="20:24" x14ac:dyDescent="0.2">
      <c r="T400" s="247" t="str">
        <f t="shared" si="10"/>
        <v>1D</v>
      </c>
      <c r="U400" s="245">
        <f>_xll.qlCalendarAdvance(Calendar,U399,T400,"f",FALSE)</f>
        <v>42334</v>
      </c>
      <c r="V400" s="248">
        <f>_xll.qlCalendarAdvance(Calendar,U400,NDays&amp;"D")</f>
        <v>42338</v>
      </c>
      <c r="W400" s="249">
        <v>2.4449330082968786E-3</v>
      </c>
      <c r="X400" s="246">
        <v>2.2350204701382381E-3</v>
      </c>
    </row>
    <row r="401" spans="20:24" x14ac:dyDescent="0.2">
      <c r="T401" s="247" t="str">
        <f t="shared" si="10"/>
        <v>1D</v>
      </c>
      <c r="U401" s="245">
        <f>_xll.qlCalendarAdvance(Calendar,U400,T401,"f",FALSE)</f>
        <v>42335</v>
      </c>
      <c r="V401" s="248">
        <f>_xll.qlCalendarAdvance(Calendar,U401,NDays&amp;"D")</f>
        <v>42339</v>
      </c>
      <c r="W401" s="249">
        <v>2.4498206853415133E-3</v>
      </c>
      <c r="X401" s="246">
        <v>2.2391854077330464E-3</v>
      </c>
    </row>
    <row r="402" spans="20:24" x14ac:dyDescent="0.2">
      <c r="T402" s="247" t="str">
        <f t="shared" ref="T402:T465" si="11">T401</f>
        <v>1D</v>
      </c>
      <c r="U402" s="245">
        <f>_xll.qlCalendarAdvance(Calendar,U401,T402,"f",FALSE)</f>
        <v>42338</v>
      </c>
      <c r="V402" s="248">
        <f>_xll.qlCalendarAdvance(Calendar,U402,NDays&amp;"D")</f>
        <v>42340</v>
      </c>
      <c r="W402" s="249">
        <v>2.4547240249193961E-3</v>
      </c>
      <c r="X402" s="246">
        <v>2.2433680780231668E-3</v>
      </c>
    </row>
    <row r="403" spans="20:24" x14ac:dyDescent="0.2">
      <c r="T403" s="247" t="str">
        <f t="shared" si="11"/>
        <v>1D</v>
      </c>
      <c r="U403" s="245">
        <f>_xll.qlCalendarAdvance(Calendar,U402,T403,"f",FALSE)</f>
        <v>42339</v>
      </c>
      <c r="V403" s="248">
        <f>_xll.qlCalendarAdvance(Calendar,U403,NDays&amp;"D")</f>
        <v>42341</v>
      </c>
      <c r="W403" s="249">
        <v>2.4596429996273927E-3</v>
      </c>
      <c r="X403" s="246">
        <v>2.2475684808487273E-3</v>
      </c>
    </row>
    <row r="404" spans="20:24" x14ac:dyDescent="0.2">
      <c r="T404" s="247" t="str">
        <f t="shared" si="11"/>
        <v>1D</v>
      </c>
      <c r="U404" s="245">
        <f>_xll.qlCalendarAdvance(Calendar,U403,T404,"f",FALSE)</f>
        <v>42340</v>
      </c>
      <c r="V404" s="248">
        <f>_xll.qlCalendarAdvance(Calendar,U404,NDays&amp;"D")</f>
        <v>42342</v>
      </c>
      <c r="W404" s="249">
        <v>2.4645775820650033E-3</v>
      </c>
      <c r="X404" s="246">
        <v>2.2560425332152079E-3</v>
      </c>
    </row>
    <row r="405" spans="20:24" x14ac:dyDescent="0.2">
      <c r="T405" s="247" t="str">
        <f t="shared" si="11"/>
        <v>1D</v>
      </c>
      <c r="U405" s="245">
        <f>_xll.qlCalendarAdvance(Calendar,U404,T405,"f",FALSE)</f>
        <v>42341</v>
      </c>
      <c r="V405" s="248">
        <f>_xll.qlCalendarAdvance(Calendar,U405,NDays&amp;"D")</f>
        <v>42345</v>
      </c>
      <c r="W405" s="249">
        <v>2.4794747017373503E-3</v>
      </c>
      <c r="X405" s="246">
        <v>2.2645474183846659E-3</v>
      </c>
    </row>
    <row r="406" spans="20:24" x14ac:dyDescent="0.2">
      <c r="T406" s="247" t="str">
        <f t="shared" si="11"/>
        <v>1D</v>
      </c>
      <c r="U406" s="245">
        <f>_xll.qlCalendarAdvance(Calendar,U405,T406,"f",FALSE)</f>
        <v>42342</v>
      </c>
      <c r="V406" s="248">
        <f>_xll.qlCalendarAdvance(Calendar,U406,NDays&amp;"D")</f>
        <v>42346</v>
      </c>
      <c r="W406" s="249">
        <v>2.4844714410743687E-3</v>
      </c>
      <c r="X406" s="246">
        <v>2.2688364843670428E-3</v>
      </c>
    </row>
    <row r="407" spans="20:24" x14ac:dyDescent="0.2">
      <c r="T407" s="247" t="str">
        <f t="shared" si="11"/>
        <v>1D</v>
      </c>
      <c r="U407" s="245">
        <f>_xll.qlCalendarAdvance(Calendar,U406,T407,"f",FALSE)</f>
        <v>42345</v>
      </c>
      <c r="V407" s="248">
        <f>_xll.qlCalendarAdvance(Calendar,U407,NDays&amp;"D")</f>
        <v>42347</v>
      </c>
      <c r="W407" s="249">
        <v>2.4894836511332335E-3</v>
      </c>
      <c r="X407" s="246">
        <v>2.2731432828848597E-3</v>
      </c>
    </row>
    <row r="408" spans="20:24" x14ac:dyDescent="0.2">
      <c r="T408" s="247" t="str">
        <f t="shared" si="11"/>
        <v>1D</v>
      </c>
      <c r="U408" s="245">
        <f>_xll.qlCalendarAdvance(Calendar,U407,T408,"f",FALSE)</f>
        <v>42346</v>
      </c>
      <c r="V408" s="248">
        <f>_xll.qlCalendarAdvance(Calendar,U408,NDays&amp;"D")</f>
        <v>42348</v>
      </c>
      <c r="W408" s="249">
        <v>2.4945113045108103E-3</v>
      </c>
      <c r="X408" s="246">
        <v>2.2774678140979887E-3</v>
      </c>
    </row>
    <row r="409" spans="20:24" x14ac:dyDescent="0.2">
      <c r="T409" s="247" t="str">
        <f t="shared" si="11"/>
        <v>1D</v>
      </c>
      <c r="U409" s="245">
        <f>_xll.qlCalendarAdvance(Calendar,U408,T409,"f",FALSE)</f>
        <v>42347</v>
      </c>
      <c r="V409" s="248">
        <f>_xll.qlCalendarAdvance(Calendar,U409,NDays&amp;"D")</f>
        <v>42349</v>
      </c>
      <c r="W409" s="249">
        <v>2.4995543738057205E-3</v>
      </c>
      <c r="X409" s="246">
        <v>2.286190503548724E-3</v>
      </c>
    </row>
    <row r="410" spans="20:24" x14ac:dyDescent="0.2">
      <c r="T410" s="247" t="str">
        <f t="shared" si="11"/>
        <v>1D</v>
      </c>
      <c r="U410" s="245">
        <f>_xll.qlCalendarAdvance(Calendar,U409,T410,"f",FALSE)</f>
        <v>42348</v>
      </c>
      <c r="V410" s="248">
        <f>_xll.qlCalendarAdvance(Calendar,U410,NDays&amp;"D")</f>
        <v>42352</v>
      </c>
      <c r="W410" s="249">
        <v>2.5147758031850687E-3</v>
      </c>
      <c r="X410" s="246">
        <v>2.2949432651042656E-3</v>
      </c>
    </row>
    <row r="411" spans="20:24" x14ac:dyDescent="0.2">
      <c r="T411" s="247" t="str">
        <f t="shared" si="11"/>
        <v>1D</v>
      </c>
      <c r="U411" s="245">
        <f>_xll.qlCalendarAdvance(Calendar,U410,T411,"f",FALSE)</f>
        <v>42349</v>
      </c>
      <c r="V411" s="248">
        <f>_xll.qlCalendarAdvance(Calendar,U411,NDays&amp;"D")</f>
        <v>42353</v>
      </c>
      <c r="W411" s="249">
        <v>2.5198802621364145E-3</v>
      </c>
      <c r="X411" s="246">
        <v>2.299356459314339E-3</v>
      </c>
    </row>
    <row r="412" spans="20:24" x14ac:dyDescent="0.2">
      <c r="T412" s="247" t="str">
        <f t="shared" si="11"/>
        <v>1D</v>
      </c>
      <c r="U412" s="245">
        <f>_xll.qlCalendarAdvance(Calendar,U411,T412,"f",FALSE)</f>
        <v>42352</v>
      </c>
      <c r="V412" s="248">
        <f>_xll.qlCalendarAdvance(Calendar,U412,NDays&amp;"D")</f>
        <v>42354</v>
      </c>
      <c r="W412" s="249">
        <v>2.5249999999999617E-3</v>
      </c>
      <c r="X412" s="246">
        <v>2.3037869700726077E-3</v>
      </c>
    </row>
    <row r="413" spans="20:24" x14ac:dyDescent="0.2">
      <c r="T413" s="247" t="str">
        <f t="shared" si="11"/>
        <v>1D</v>
      </c>
      <c r="U413" s="245">
        <f>_xll.qlCalendarAdvance(Calendar,U412,T413,"f",FALSE)</f>
        <v>42353</v>
      </c>
      <c r="V413" s="248">
        <f>_xll.qlCalendarAdvance(Calendar,U413,NDays&amp;"D")</f>
        <v>42355</v>
      </c>
      <c r="W413" s="249">
        <v>2.5301350158401948E-3</v>
      </c>
      <c r="X413" s="246">
        <v>2.3082331323109884E-3</v>
      </c>
    </row>
    <row r="414" spans="20:24" x14ac:dyDescent="0.2">
      <c r="T414" s="247" t="str">
        <f t="shared" si="11"/>
        <v>1D</v>
      </c>
      <c r="U414" s="245">
        <f>_xll.qlCalendarAdvance(Calendar,U413,T414,"f",FALSE)</f>
        <v>42354</v>
      </c>
      <c r="V414" s="248">
        <f>_xll.qlCalendarAdvance(Calendar,U414,NDays&amp;"D")</f>
        <v>42356</v>
      </c>
      <c r="W414" s="249">
        <v>2.5352854145991033E-3</v>
      </c>
      <c r="X414" s="246">
        <v>2.3171911558339531E-3</v>
      </c>
    </row>
    <row r="415" spans="20:24" x14ac:dyDescent="0.2">
      <c r="T415" s="247" t="str">
        <f t="shared" si="11"/>
        <v>1D</v>
      </c>
      <c r="U415" s="245">
        <f>_xll.qlCalendarAdvance(Calendar,U414,T415,"f",FALSE)</f>
        <v>42355</v>
      </c>
      <c r="V415" s="248">
        <f>_xll.qlCalendarAdvance(Calendar,U415,NDays&amp;"D")</f>
        <v>42359</v>
      </c>
      <c r="W415" s="249">
        <v>2.5508302224769358E-3</v>
      </c>
      <c r="X415" s="246">
        <v>2.3261701341148466E-3</v>
      </c>
    </row>
    <row r="416" spans="20:24" x14ac:dyDescent="0.2">
      <c r="T416" s="247" t="str">
        <f t="shared" si="11"/>
        <v>1D</v>
      </c>
      <c r="U416" s="245">
        <f>_xll.qlCalendarAdvance(Calendar,U415,T416,"f",FALSE)</f>
        <v>42356</v>
      </c>
      <c r="V416" s="248">
        <f>_xll.qlCalendarAdvance(Calendar,U416,NDays&amp;"D")</f>
        <v>42360</v>
      </c>
      <c r="W416" s="249">
        <v>2.556043467008386E-3</v>
      </c>
      <c r="X416" s="246">
        <v>2.3306924728583311E-3</v>
      </c>
    </row>
    <row r="417" spans="20:24" x14ac:dyDescent="0.2">
      <c r="T417" s="247" t="str">
        <f t="shared" si="11"/>
        <v>1D</v>
      </c>
      <c r="U417" s="245">
        <f>_xll.qlCalendarAdvance(Calendar,U416,T417,"f",FALSE)</f>
        <v>42359</v>
      </c>
      <c r="V417" s="248">
        <f>_xll.qlCalendarAdvance(Calendar,U417,NDays&amp;"D")</f>
        <v>42361</v>
      </c>
      <c r="W417" s="249">
        <v>2.5612727515109462E-3</v>
      </c>
      <c r="X417" s="246">
        <v>2.3352300469348108E-3</v>
      </c>
    </row>
    <row r="418" spans="20:24" x14ac:dyDescent="0.2">
      <c r="T418" s="247" t="str">
        <f t="shared" si="11"/>
        <v>1D</v>
      </c>
      <c r="U418" s="245">
        <f>_xll.qlCalendarAdvance(Calendar,U417,T418,"f",FALSE)</f>
        <v>42360</v>
      </c>
      <c r="V418" s="248">
        <f>_xll.qlCalendarAdvance(Calendar,U418,NDays&amp;"D")</f>
        <v>42362</v>
      </c>
      <c r="W418" s="249">
        <v>2.5665182073994946E-3</v>
      </c>
      <c r="X418" s="246">
        <v>2.346673103357233E-3</v>
      </c>
    </row>
    <row r="419" spans="20:24" x14ac:dyDescent="0.2">
      <c r="T419" s="247" t="str">
        <f t="shared" si="11"/>
        <v>1D</v>
      </c>
      <c r="U419" s="245">
        <f>_xll.qlCalendarAdvance(Calendar,U418,T419,"f",FALSE)</f>
        <v>42361</v>
      </c>
      <c r="V419" s="248">
        <f>_xll.qlCalendarAdvance(Calendar,U419,NDays&amp;"D")</f>
        <v>42366</v>
      </c>
      <c r="W419" s="249">
        <v>2.5904567815042113E-3</v>
      </c>
      <c r="X419" s="246">
        <v>2.3581464465127766E-3</v>
      </c>
    </row>
    <row r="420" spans="20:24" x14ac:dyDescent="0.2">
      <c r="T420" s="247" t="str">
        <f t="shared" si="11"/>
        <v>1D</v>
      </c>
      <c r="U420" s="245">
        <f>_xll.qlCalendarAdvance(Calendar,U419,T420,"f",FALSE)</f>
        <v>42362</v>
      </c>
      <c r="V420" s="248">
        <f>_xll.qlCalendarAdvance(Calendar,U420,NDays&amp;"D")</f>
        <v>42367</v>
      </c>
      <c r="W420" s="249">
        <v>2.5929926571721541E-3</v>
      </c>
      <c r="X420" s="246">
        <v>2.3627754322674832E-3</v>
      </c>
    </row>
    <row r="421" spans="20:24" x14ac:dyDescent="0.2">
      <c r="T421" s="247" t="str">
        <f t="shared" si="11"/>
        <v>1D</v>
      </c>
      <c r="U421" s="245">
        <f>_xll.qlCalendarAdvance(Calendar,U420,T421,"f",FALSE)</f>
        <v>42366</v>
      </c>
      <c r="V421" s="248">
        <f>_xll.qlCalendarAdvance(Calendar,U421,NDays&amp;"D")</f>
        <v>42368</v>
      </c>
      <c r="W421" s="249">
        <v>2.5983379011128098E-3</v>
      </c>
      <c r="X421" s="246">
        <v>2.3674196534351211E-3</v>
      </c>
    </row>
    <row r="422" spans="20:24" x14ac:dyDescent="0.2">
      <c r="T422" s="247" t="str">
        <f t="shared" si="11"/>
        <v>1D</v>
      </c>
      <c r="U422" s="245">
        <f>_xll.qlCalendarAdvance(Calendar,U421,T422,"f",FALSE)</f>
        <v>42367</v>
      </c>
      <c r="V422" s="248">
        <f>_xll.qlCalendarAdvance(Calendar,U422,NDays&amp;"D")</f>
        <v>42369</v>
      </c>
      <c r="W422" s="249">
        <v>2.6037002363602964E-3</v>
      </c>
      <c r="X422" s="246">
        <v>2.3791299667941246E-3</v>
      </c>
    </row>
    <row r="423" spans="20:24" x14ac:dyDescent="0.2">
      <c r="T423" s="247" t="str">
        <f t="shared" si="11"/>
        <v>1D</v>
      </c>
      <c r="U423" s="245">
        <f>_xll.qlCalendarAdvance(Calendar,U422,T423,"f",FALSE)</f>
        <v>42368</v>
      </c>
      <c r="V423" s="248">
        <f>_xll.qlCalendarAdvance(Calendar,U423,NDays&amp;"D")</f>
        <v>42373</v>
      </c>
      <c r="W423" s="249">
        <v>2.6253231188426295E-3</v>
      </c>
      <c r="X423" s="246">
        <v>2.3908692886287497E-3</v>
      </c>
    </row>
    <row r="424" spans="20:24" x14ac:dyDescent="0.2">
      <c r="T424" s="247" t="str">
        <f t="shared" si="11"/>
        <v>1D</v>
      </c>
      <c r="U424" s="245">
        <f>_xll.qlCalendarAdvance(Calendar,U423,T424,"f",FALSE)</f>
        <v>42369</v>
      </c>
      <c r="V424" s="248">
        <f>_xll.qlCalendarAdvance(Calendar,U424,NDays&amp;"D")</f>
        <v>42374</v>
      </c>
      <c r="W424" s="249">
        <v>2.6307728819528679E-3</v>
      </c>
      <c r="X424" s="246">
        <v>2.3956049216344866E-3</v>
      </c>
    </row>
    <row r="425" spans="20:24" x14ac:dyDescent="0.2">
      <c r="T425" s="247" t="str">
        <f t="shared" si="11"/>
        <v>1D</v>
      </c>
      <c r="U425" s="245">
        <f>_xll.qlCalendarAdvance(Calendar,U424,T425,"f",FALSE)</f>
        <v>42373</v>
      </c>
      <c r="V425" s="248">
        <f>_xll.qlCalendarAdvance(Calendar,U425,NDays&amp;"D")</f>
        <v>42375</v>
      </c>
      <c r="W425" s="249">
        <v>2.636240524908403E-3</v>
      </c>
      <c r="X425" s="246">
        <v>2.4003557898932826E-3</v>
      </c>
    </row>
    <row r="426" spans="20:24" x14ac:dyDescent="0.2">
      <c r="T426" s="247" t="str">
        <f t="shared" si="11"/>
        <v>1D</v>
      </c>
      <c r="U426" s="245">
        <f>_xll.qlCalendarAdvance(Calendar,U425,T426,"f",FALSE)</f>
        <v>42374</v>
      </c>
      <c r="V426" s="248">
        <f>_xll.qlCalendarAdvance(Calendar,U426,NDays&amp;"D")</f>
        <v>42376</v>
      </c>
      <c r="W426" s="249">
        <v>2.6417261791372897E-3</v>
      </c>
      <c r="X426" s="246">
        <v>2.4051218934051377E-3</v>
      </c>
    </row>
    <row r="427" spans="20:24" x14ac:dyDescent="0.2">
      <c r="T427" s="247" t="str">
        <f t="shared" si="11"/>
        <v>1D</v>
      </c>
      <c r="U427" s="245">
        <f>_xll.qlCalendarAdvance(Calendar,U426,T427,"f",FALSE)</f>
        <v>42375</v>
      </c>
      <c r="V427" s="248">
        <f>_xll.qlCalendarAdvance(Calendar,U427,NDays&amp;"D")</f>
        <v>42377</v>
      </c>
      <c r="W427" s="249">
        <v>2.6472299760658272E-3</v>
      </c>
      <c r="X427" s="246">
        <v>2.4147210816760634E-3</v>
      </c>
    </row>
    <row r="428" spans="20:24" x14ac:dyDescent="0.2">
      <c r="T428" s="247" t="str">
        <f t="shared" si="11"/>
        <v>1D</v>
      </c>
      <c r="U428" s="245">
        <f>_xll.qlCalendarAdvance(Calendar,U427,T428,"f",FALSE)</f>
        <v>42376</v>
      </c>
      <c r="V428" s="248">
        <f>_xll.qlCalendarAdvance(Calendar,U428,NDays&amp;"D")</f>
        <v>42380</v>
      </c>
      <c r="W428" s="249">
        <v>2.6638515373404344E-3</v>
      </c>
      <c r="X428" s="246">
        <v>2.4243386608624462E-3</v>
      </c>
    </row>
    <row r="429" spans="20:24" x14ac:dyDescent="0.2">
      <c r="T429" s="247" t="str">
        <f t="shared" si="11"/>
        <v>1D</v>
      </c>
      <c r="U429" s="245">
        <f>_xll.qlCalendarAdvance(Calendar,U428,T429,"f",FALSE)</f>
        <v>42377</v>
      </c>
      <c r="V429" s="248">
        <f>_xll.qlCalendarAdvance(Calendar,U429,NDays&amp;"D")</f>
        <v>42381</v>
      </c>
      <c r="W429" s="249">
        <v>2.6694292193630586E-3</v>
      </c>
      <c r="X429" s="246">
        <v>2.4291809410392773E-3</v>
      </c>
    </row>
    <row r="430" spans="20:24" x14ac:dyDescent="0.2">
      <c r="T430" s="247" t="str">
        <f t="shared" si="11"/>
        <v>1D</v>
      </c>
      <c r="U430" s="245">
        <f>_xll.qlCalendarAdvance(Calendar,U429,T430,"f",FALSE)</f>
        <v>42380</v>
      </c>
      <c r="V430" s="248">
        <f>_xll.qlCalendarAdvance(Calendar,U430,NDays&amp;"D")</f>
        <v>42382</v>
      </c>
      <c r="W430" s="249">
        <v>2.6750257012387855E-3</v>
      </c>
      <c r="X430" s="246">
        <v>2.4340384564691675E-3</v>
      </c>
    </row>
    <row r="431" spans="20:24" x14ac:dyDescent="0.2">
      <c r="T431" s="247" t="str">
        <f t="shared" si="11"/>
        <v>1D</v>
      </c>
      <c r="U431" s="245">
        <f>_xll.qlCalendarAdvance(Calendar,U430,T431,"f",FALSE)</f>
        <v>42381</v>
      </c>
      <c r="V431" s="248">
        <f>_xll.qlCalendarAdvance(Calendar,U431,NDays&amp;"D")</f>
        <v>42383</v>
      </c>
      <c r="W431" s="249">
        <v>2.6806411144000629E-3</v>
      </c>
      <c r="X431" s="246">
        <v>2.4389112072320529E-3</v>
      </c>
    </row>
    <row r="432" spans="20:24" x14ac:dyDescent="0.2">
      <c r="T432" s="247" t="str">
        <f t="shared" si="11"/>
        <v>1D</v>
      </c>
      <c r="U432" s="245">
        <f>_xll.qlCalendarAdvance(Calendar,U431,T432,"f",FALSE)</f>
        <v>42382</v>
      </c>
      <c r="V432" s="248">
        <f>_xll.qlCalendarAdvance(Calendar,U432,NDays&amp;"D")</f>
        <v>42384</v>
      </c>
      <c r="W432" s="249">
        <v>2.6862755902828514E-3</v>
      </c>
      <c r="X432" s="246">
        <v>2.4487241491577549E-3</v>
      </c>
    </row>
    <row r="433" spans="20:24" x14ac:dyDescent="0.2">
      <c r="T433" s="247" t="str">
        <f t="shared" si="11"/>
        <v>1D</v>
      </c>
      <c r="U433" s="245">
        <f>_xll.qlCalendarAdvance(Calendar,U432,T433,"f",FALSE)</f>
        <v>42383</v>
      </c>
      <c r="V433" s="248">
        <f>_xll.qlCalendarAdvance(Calendar,U433,NDays&amp;"D")</f>
        <v>42387</v>
      </c>
      <c r="W433" s="249">
        <v>2.7032947086119878E-3</v>
      </c>
      <c r="X433" s="246">
        <v>2.4585545633737382E-3</v>
      </c>
    </row>
    <row r="434" spans="20:24" x14ac:dyDescent="0.2">
      <c r="T434" s="247" t="str">
        <f t="shared" si="11"/>
        <v>1D</v>
      </c>
      <c r="U434" s="245">
        <f>_xll.qlCalendarAdvance(Calendar,U433,T434,"f",FALSE)</f>
        <v>42384</v>
      </c>
      <c r="V434" s="248">
        <f>_xll.qlCalendarAdvance(Calendar,U434,NDays&amp;"D")</f>
        <v>42388</v>
      </c>
      <c r="W434" s="249">
        <v>2.7090067497421884E-3</v>
      </c>
      <c r="X434" s="246">
        <v>2.4635034907216635E-3</v>
      </c>
    </row>
    <row r="435" spans="20:24" x14ac:dyDescent="0.2">
      <c r="T435" s="247" t="str">
        <f t="shared" si="11"/>
        <v>1D</v>
      </c>
      <c r="U435" s="245">
        <f>_xll.qlCalendarAdvance(Calendar,U434,T435,"f",FALSE)</f>
        <v>42387</v>
      </c>
      <c r="V435" s="248">
        <f>_xll.qlCalendarAdvance(Calendar,U435,NDays&amp;"D")</f>
        <v>42389</v>
      </c>
      <c r="W435" s="249">
        <v>2.7147385107807319E-3</v>
      </c>
      <c r="X435" s="246">
        <v>2.468467653402584E-3</v>
      </c>
    </row>
    <row r="436" spans="20:24" x14ac:dyDescent="0.2">
      <c r="T436" s="247" t="str">
        <f t="shared" si="11"/>
        <v>1D</v>
      </c>
      <c r="U436" s="245">
        <f>_xll.qlCalendarAdvance(Calendar,U435,T436,"f",FALSE)</f>
        <v>42388</v>
      </c>
      <c r="V436" s="248">
        <f>_xll.qlCalendarAdvance(Calendar,U436,NDays&amp;"D")</f>
        <v>42390</v>
      </c>
      <c r="W436" s="249">
        <v>2.7204901231688509E-3</v>
      </c>
      <c r="X436" s="246">
        <v>2.4734470513365636E-3</v>
      </c>
    </row>
    <row r="437" spans="20:24" x14ac:dyDescent="0.2">
      <c r="T437" s="247" t="str">
        <f t="shared" si="11"/>
        <v>1D</v>
      </c>
      <c r="U437" s="245">
        <f>_xll.qlCalendarAdvance(Calendar,U436,T437,"f",FALSE)</f>
        <v>42389</v>
      </c>
      <c r="V437" s="248">
        <f>_xll.qlCalendarAdvance(Calendar,U437,NDays&amp;"D")</f>
        <v>42391</v>
      </c>
      <c r="W437" s="249">
        <v>2.7262617183477765E-3</v>
      </c>
      <c r="X437" s="246">
        <v>2.4834737637835502E-3</v>
      </c>
    </row>
    <row r="438" spans="20:24" x14ac:dyDescent="0.2">
      <c r="T438" s="247" t="str">
        <f t="shared" si="11"/>
        <v>1D</v>
      </c>
      <c r="U438" s="245">
        <f>_xll.qlCalendarAdvance(Calendar,U437,T438,"f",FALSE)</f>
        <v>42390</v>
      </c>
      <c r="V438" s="248">
        <f>_xll.qlCalendarAdvance(Calendar,U438,NDays&amp;"D")</f>
        <v>42394</v>
      </c>
      <c r="W438" s="249">
        <v>2.7436977150671828E-3</v>
      </c>
      <c r="X438" s="246">
        <v>2.493516996402434E-3</v>
      </c>
    </row>
    <row r="439" spans="20:24" x14ac:dyDescent="0.2">
      <c r="T439" s="247" t="str">
        <f t="shared" si="11"/>
        <v>1D</v>
      </c>
      <c r="U439" s="245">
        <f>_xll.qlCalendarAdvance(Calendar,U438,T439,"f",FALSE)</f>
        <v>42391</v>
      </c>
      <c r="V439" s="248">
        <f>_xll.qlCalendarAdvance(Calendar,U439,NDays&amp;"D")</f>
        <v>42395</v>
      </c>
      <c r="W439" s="249">
        <v>2.7495505558506384E-3</v>
      </c>
      <c r="X439" s="246">
        <v>2.4985725709214535E-3</v>
      </c>
    </row>
    <row r="440" spans="20:24" x14ac:dyDescent="0.2">
      <c r="T440" s="247" t="str">
        <f t="shared" si="11"/>
        <v>1D</v>
      </c>
      <c r="U440" s="245">
        <f>_xll.qlCalendarAdvance(Calendar,U439,T440,"f",FALSE)</f>
        <v>42394</v>
      </c>
      <c r="V440" s="248">
        <f>_xll.qlCalendarAdvance(Calendar,U440,NDays&amp;"D")</f>
        <v>42396</v>
      </c>
      <c r="W440" s="249">
        <v>2.7554240366503835E-3</v>
      </c>
      <c r="X440" s="246">
        <v>2.5036433807734682E-3</v>
      </c>
    </row>
    <row r="441" spans="20:24" x14ac:dyDescent="0.2">
      <c r="T441" s="247" t="str">
        <f t="shared" si="11"/>
        <v>1D</v>
      </c>
      <c r="U441" s="245">
        <f>_xll.qlCalendarAdvance(Calendar,U440,T441,"f",FALSE)</f>
        <v>42395</v>
      </c>
      <c r="V441" s="248">
        <f>_xll.qlCalendarAdvance(Calendar,U441,NDays&amp;"D")</f>
        <v>42397</v>
      </c>
      <c r="W441" s="249">
        <v>2.7613182889155551E-3</v>
      </c>
      <c r="X441" s="246">
        <v>2.5087294260384141E-3</v>
      </c>
    </row>
    <row r="442" spans="20:24" x14ac:dyDescent="0.2">
      <c r="T442" s="247" t="str">
        <f t="shared" si="11"/>
        <v>1D</v>
      </c>
      <c r="U442" s="245">
        <f>_xll.qlCalendarAdvance(Calendar,U441,T442,"f",FALSE)</f>
        <v>42396</v>
      </c>
      <c r="V442" s="248">
        <f>_xll.qlCalendarAdvance(Calendar,U442,NDays&amp;"D")</f>
        <v>42398</v>
      </c>
      <c r="W442" s="249">
        <v>2.7672334440952909E-3</v>
      </c>
      <c r="X442" s="246">
        <v>2.518969926219583E-3</v>
      </c>
    </row>
    <row r="443" spans="20:24" x14ac:dyDescent="0.2">
      <c r="T443" s="247" t="str">
        <f t="shared" si="11"/>
        <v>1D</v>
      </c>
      <c r="U443" s="245">
        <f>_xll.qlCalendarAdvance(Calendar,U442,T443,"f",FALSE)</f>
        <v>42397</v>
      </c>
      <c r="V443" s="248">
        <f>_xll.qlCalendarAdvance(Calendar,U443,NDays&amp;"D")</f>
        <v>42401</v>
      </c>
      <c r="W443" s="249">
        <v>2.7851056416290671E-3</v>
      </c>
      <c r="X443" s="246">
        <v>2.5292259601084055E-3</v>
      </c>
    </row>
    <row r="444" spans="20:24" x14ac:dyDescent="0.2">
      <c r="T444" s="247" t="str">
        <f t="shared" si="11"/>
        <v>1D</v>
      </c>
      <c r="U444" s="245">
        <f>_xll.qlCalendarAdvance(Calendar,U443,T444,"f",FALSE)</f>
        <v>42398</v>
      </c>
      <c r="V444" s="248">
        <f>_xll.qlCalendarAdvance(Calendar,U444,NDays&amp;"D")</f>
        <v>42402</v>
      </c>
      <c r="W444" s="249">
        <v>2.7879291622490143E-3</v>
      </c>
      <c r="X444" s="246">
        <v>2.5343881819583913E-3</v>
      </c>
    </row>
    <row r="445" spans="20:24" x14ac:dyDescent="0.2">
      <c r="T445" s="247" t="str">
        <f t="shared" si="11"/>
        <v>1D</v>
      </c>
      <c r="U445" s="245">
        <f>_xll.qlCalendarAdvance(Calendar,U444,T445,"f",FALSE)</f>
        <v>42401</v>
      </c>
      <c r="V445" s="248">
        <f>_xll.qlCalendarAdvance(Calendar,U445,NDays&amp;"D")</f>
        <v>42403</v>
      </c>
      <c r="W445" s="249">
        <v>2.7939384708695059E-3</v>
      </c>
      <c r="X445" s="246">
        <v>2.5395656390614363E-3</v>
      </c>
    </row>
    <row r="446" spans="20:24" x14ac:dyDescent="0.2">
      <c r="T446" s="247" t="str">
        <f t="shared" si="11"/>
        <v>1D</v>
      </c>
      <c r="U446" s="245">
        <f>_xll.qlCalendarAdvance(Calendar,U445,T446,"f",FALSE)</f>
        <v>42402</v>
      </c>
      <c r="V446" s="248">
        <f>_xll.qlCalendarAdvance(Calendar,U446,NDays&amp;"D")</f>
        <v>42404</v>
      </c>
      <c r="W446" s="249">
        <v>2.7999694095006689E-3</v>
      </c>
      <c r="X446" s="246">
        <v>2.5447583315774125E-3</v>
      </c>
    </row>
    <row r="447" spans="20:24" x14ac:dyDescent="0.2">
      <c r="T447" s="247" t="str">
        <f t="shared" si="11"/>
        <v>1D</v>
      </c>
      <c r="U447" s="245">
        <f>_xll.qlCalendarAdvance(Calendar,U446,T447,"f",FALSE)</f>
        <v>42403</v>
      </c>
      <c r="V447" s="248">
        <f>_xll.qlCalendarAdvance(Calendar,U447,NDays&amp;"D")</f>
        <v>42405</v>
      </c>
      <c r="W447" s="249">
        <v>2.8060221110575156E-3</v>
      </c>
      <c r="X447" s="246">
        <v>2.5552126370786965E-3</v>
      </c>
    </row>
    <row r="448" spans="20:24" x14ac:dyDescent="0.2">
      <c r="T448" s="247" t="str">
        <f t="shared" si="11"/>
        <v>1D</v>
      </c>
      <c r="U448" s="245">
        <f>_xll.qlCalendarAdvance(Calendar,U447,T448,"f",FALSE)</f>
        <v>42404</v>
      </c>
      <c r="V448" s="248">
        <f>_xll.qlCalendarAdvance(Calendar,U448,NDays&amp;"D")</f>
        <v>42408</v>
      </c>
      <c r="W448" s="249">
        <v>2.8275635758506718E-3</v>
      </c>
      <c r="X448" s="246">
        <v>2.565681454731461E-3</v>
      </c>
    </row>
    <row r="449" spans="20:24" x14ac:dyDescent="0.2">
      <c r="T449" s="247" t="str">
        <f t="shared" si="11"/>
        <v>1D</v>
      </c>
      <c r="U449" s="245">
        <f>_xll.qlCalendarAdvance(Calendar,U448,T449,"f",FALSE)</f>
        <v>42405</v>
      </c>
      <c r="V449" s="248">
        <f>_xll.qlCalendarAdvance(Calendar,U449,NDays&amp;"D")</f>
        <v>42409</v>
      </c>
      <c r="W449" s="249">
        <v>2.8304532048597508E-3</v>
      </c>
      <c r="X449" s="246">
        <v>2.5709503238324771E-3</v>
      </c>
    </row>
    <row r="450" spans="20:24" x14ac:dyDescent="0.2">
      <c r="T450" s="247" t="str">
        <f t="shared" si="11"/>
        <v>1D</v>
      </c>
      <c r="U450" s="245">
        <f>_xll.qlCalendarAdvance(Calendar,U449,T450,"f",FALSE)</f>
        <v>42408</v>
      </c>
      <c r="V450" s="248">
        <f>_xll.qlCalendarAdvance(Calendar,U450,NDays&amp;"D")</f>
        <v>42410</v>
      </c>
      <c r="W450" s="249">
        <v>2.8366167147959587E-3</v>
      </c>
      <c r="X450" s="246">
        <v>2.5762344282664884E-3</v>
      </c>
    </row>
    <row r="451" spans="20:24" x14ac:dyDescent="0.2">
      <c r="T451" s="247" t="str">
        <f t="shared" si="11"/>
        <v>1D</v>
      </c>
      <c r="U451" s="245">
        <f>_xll.qlCalendarAdvance(Calendar,U450,T451,"f",FALSE)</f>
        <v>42409</v>
      </c>
      <c r="V451" s="248">
        <f>_xll.qlCalendarAdvance(Calendar,U451,NDays&amp;"D")</f>
        <v>42411</v>
      </c>
      <c r="W451" s="249">
        <v>2.842802785166576E-3</v>
      </c>
      <c r="X451" s="246">
        <v>2.5815337680334949E-3</v>
      </c>
    </row>
    <row r="452" spans="20:24" x14ac:dyDescent="0.2">
      <c r="T452" s="247" t="str">
        <f t="shared" si="11"/>
        <v>1D</v>
      </c>
      <c r="U452" s="245">
        <f>_xll.qlCalendarAdvance(Calendar,U451,T452,"f",FALSE)</f>
        <v>42410</v>
      </c>
      <c r="V452" s="248">
        <f>_xll.qlCalendarAdvance(Calendar,U452,NDays&amp;"D")</f>
        <v>42412</v>
      </c>
      <c r="W452" s="249">
        <v>2.849011548895497E-3</v>
      </c>
      <c r="X452" s="246">
        <v>2.5922018971069605E-3</v>
      </c>
    </row>
    <row r="453" spans="20:24" x14ac:dyDescent="0.2">
      <c r="T453" s="247" t="str">
        <f t="shared" si="11"/>
        <v>1D</v>
      </c>
      <c r="U453" s="245">
        <f>_xll.qlCalendarAdvance(Calendar,U452,T453,"f",FALSE)</f>
        <v>42411</v>
      </c>
      <c r="V453" s="248">
        <f>_xll.qlCalendarAdvance(Calendar,U453,NDays&amp;"D")</f>
        <v>42415</v>
      </c>
      <c r="W453" s="249">
        <v>2.8711166080292077E-3</v>
      </c>
      <c r="X453" s="246">
        <v>2.6028834805114087E-3</v>
      </c>
    </row>
    <row r="454" spans="20:24" x14ac:dyDescent="0.2">
      <c r="T454" s="247" t="str">
        <f t="shared" si="11"/>
        <v>1D</v>
      </c>
      <c r="U454" s="245">
        <f>_xll.qlCalendarAdvance(Calendar,U453,T454,"f",FALSE)</f>
        <v>42412</v>
      </c>
      <c r="V454" s="248">
        <f>_xll.qlCalendarAdvance(Calendar,U454,NDays&amp;"D")</f>
        <v>42416</v>
      </c>
      <c r="W454" s="249">
        <v>2.8740761958756522E-3</v>
      </c>
      <c r="X454" s="246">
        <v>2.6082589969433911E-3</v>
      </c>
    </row>
    <row r="455" spans="20:24" x14ac:dyDescent="0.2">
      <c r="T455" s="247" t="str">
        <f t="shared" si="11"/>
        <v>1D</v>
      </c>
      <c r="U455" s="245">
        <f>_xll.qlCalendarAdvance(Calendar,U454,T455,"f",FALSE)</f>
        <v>42415</v>
      </c>
      <c r="V455" s="248">
        <f>_xll.qlCalendarAdvance(Calendar,U455,NDays&amp;"D")</f>
        <v>42417</v>
      </c>
      <c r="W455" s="249">
        <v>2.8804004202713784E-3</v>
      </c>
      <c r="X455" s="246">
        <v>2.6136497487083687E-3</v>
      </c>
    </row>
    <row r="456" spans="20:24" x14ac:dyDescent="0.2">
      <c r="T456" s="247" t="str">
        <f t="shared" si="11"/>
        <v>1D</v>
      </c>
      <c r="U456" s="245">
        <f>_xll.qlCalendarAdvance(Calendar,U455,T456,"f",FALSE)</f>
        <v>42416</v>
      </c>
      <c r="V456" s="248">
        <f>_xll.qlCalendarAdvance(Calendar,U456,NDays&amp;"D")</f>
        <v>42418</v>
      </c>
      <c r="W456" s="249">
        <v>2.8867481355847602E-3</v>
      </c>
      <c r="X456" s="246">
        <v>2.6190557358063415E-3</v>
      </c>
    </row>
    <row r="457" spans="20:24" x14ac:dyDescent="0.2">
      <c r="T457" s="247" t="str">
        <f t="shared" si="11"/>
        <v>1D</v>
      </c>
      <c r="U457" s="245">
        <f>_xll.qlCalendarAdvance(Calendar,U456,T457,"f",FALSE)</f>
        <v>42417</v>
      </c>
      <c r="V457" s="248">
        <f>_xll.qlCalendarAdvance(Calendar,U457,NDays&amp;"D")</f>
        <v>42419</v>
      </c>
      <c r="W457" s="249">
        <v>2.8931194747459088E-3</v>
      </c>
      <c r="X457" s="246">
        <v>2.6299377069438634E-3</v>
      </c>
    </row>
    <row r="458" spans="20:24" x14ac:dyDescent="0.2">
      <c r="T458" s="247" t="str">
        <f t="shared" si="11"/>
        <v>1D</v>
      </c>
      <c r="U458" s="245">
        <f>_xll.qlCalendarAdvance(Calendar,U457,T458,"f",FALSE)</f>
        <v>42418</v>
      </c>
      <c r="V458" s="248">
        <f>_xll.qlCalendarAdvance(Calendar,U458,NDays&amp;"D")</f>
        <v>42422</v>
      </c>
      <c r="W458" s="249">
        <v>2.915809831330799E-3</v>
      </c>
      <c r="X458" s="246">
        <v>2.6408320376081207E-3</v>
      </c>
    </row>
    <row r="459" spans="20:24" x14ac:dyDescent="0.2">
      <c r="T459" s="247" t="str">
        <f t="shared" si="11"/>
        <v>1D</v>
      </c>
      <c r="U459" s="245">
        <f>_xll.qlCalendarAdvance(Calendar,U458,T459,"f",FALSE)</f>
        <v>42419</v>
      </c>
      <c r="V459" s="248">
        <f>_xll.qlCalendarAdvance(Calendar,U459,NDays&amp;"D")</f>
        <v>42423</v>
      </c>
      <c r="W459" s="249">
        <v>2.9188437285494473E-3</v>
      </c>
      <c r="X459" s="246">
        <v>2.6463142014510055E-3</v>
      </c>
    </row>
    <row r="460" spans="20:24" x14ac:dyDescent="0.2">
      <c r="T460" s="247" t="str">
        <f t="shared" si="11"/>
        <v>1D</v>
      </c>
      <c r="U460" s="245">
        <f>_xll.qlCalendarAdvance(Calendar,U459,T460,"f",FALSE)</f>
        <v>42422</v>
      </c>
      <c r="V460" s="248">
        <f>_xll.qlCalendarAdvance(Calendar,U460,NDays&amp;"D")</f>
        <v>42424</v>
      </c>
      <c r="W460" s="249">
        <v>2.925335180966826E-3</v>
      </c>
      <c r="X460" s="246">
        <v>2.6518116005469494E-3</v>
      </c>
    </row>
    <row r="461" spans="20:24" x14ac:dyDescent="0.2">
      <c r="T461" s="247" t="str">
        <f t="shared" si="11"/>
        <v>1D</v>
      </c>
      <c r="U461" s="245">
        <f>_xll.qlCalendarAdvance(Calendar,U460,T461,"f",FALSE)</f>
        <v>42423</v>
      </c>
      <c r="V461" s="248">
        <f>_xll.qlCalendarAdvance(Calendar,U461,NDays&amp;"D")</f>
        <v>42425</v>
      </c>
      <c r="W461" s="249">
        <v>2.9318510548463905E-3</v>
      </c>
      <c r="X461" s="246">
        <v>2.6573242350558246E-3</v>
      </c>
    </row>
    <row r="462" spans="20:24" x14ac:dyDescent="0.2">
      <c r="T462" s="247" t="str">
        <f t="shared" si="11"/>
        <v>1D</v>
      </c>
      <c r="U462" s="245">
        <f>_xll.qlCalendarAdvance(Calendar,U461,T462,"f",FALSE)</f>
        <v>42424</v>
      </c>
      <c r="V462" s="248">
        <f>_xll.qlCalendarAdvance(Calendar,U462,NDays&amp;"D")</f>
        <v>42426</v>
      </c>
      <c r="W462" s="249">
        <v>2.9383914831280222E-3</v>
      </c>
      <c r="X462" s="246">
        <v>2.6684200673088299E-3</v>
      </c>
    </row>
    <row r="463" spans="20:24" x14ac:dyDescent="0.2">
      <c r="T463" s="247" t="str">
        <f t="shared" si="11"/>
        <v>1D</v>
      </c>
      <c r="U463" s="245">
        <f>_xll.qlCalendarAdvance(Calendar,U462,T463,"f",FALSE)</f>
        <v>42425</v>
      </c>
      <c r="V463" s="248">
        <f>_xll.qlCalendarAdvance(Calendar,U463,NDays&amp;"D")</f>
        <v>42429</v>
      </c>
      <c r="W463" s="249">
        <v>2.9652243663034982E-3</v>
      </c>
      <c r="X463" s="246">
        <v>2.6795271264212772E-3</v>
      </c>
    </row>
    <row r="464" spans="20:24" x14ac:dyDescent="0.2">
      <c r="T464" s="247" t="str">
        <f t="shared" si="11"/>
        <v>1D</v>
      </c>
      <c r="U464" s="245">
        <f>_xll.qlCalendarAdvance(Calendar,U463,T464,"f",FALSE)</f>
        <v>42426</v>
      </c>
      <c r="V464" s="248">
        <f>_xll.qlCalendarAdvance(Calendar,U464,NDays&amp;"D")</f>
        <v>42430</v>
      </c>
      <c r="W464" s="249">
        <v>2.9718913166726611E-3</v>
      </c>
      <c r="X464" s="246">
        <v>2.6851159375951283E-3</v>
      </c>
    </row>
    <row r="465" spans="20:24" x14ac:dyDescent="0.2">
      <c r="T465" s="247" t="str">
        <f t="shared" si="11"/>
        <v>1D</v>
      </c>
      <c r="U465" s="245">
        <f>_xll.qlCalendarAdvance(Calendar,U464,T465,"f",FALSE)</f>
        <v>42429</v>
      </c>
      <c r="V465" s="248">
        <f>_xll.qlCalendarAdvance(Calendar,U465,NDays&amp;"D")</f>
        <v>42431</v>
      </c>
      <c r="W465" s="249">
        <v>2.978583530275069E-3</v>
      </c>
      <c r="X465" s="246">
        <v>2.6907199841019747E-3</v>
      </c>
    </row>
    <row r="466" spans="20:24" x14ac:dyDescent="0.2">
      <c r="T466" s="247" t="str">
        <f t="shared" ref="T466:T529" si="12">T465</f>
        <v>1D</v>
      </c>
      <c r="U466" s="245">
        <f>_xll.qlCalendarAdvance(Calendar,U465,T466,"f",FALSE)</f>
        <v>42430</v>
      </c>
      <c r="V466" s="248">
        <f>_xll.qlCalendarAdvance(Calendar,U466,NDays&amp;"D")</f>
        <v>42432</v>
      </c>
      <c r="W466" s="249">
        <v>2.9853011371762444E-3</v>
      </c>
      <c r="X466" s="246">
        <v>2.6963392660217522E-3</v>
      </c>
    </row>
    <row r="467" spans="20:24" x14ac:dyDescent="0.2">
      <c r="T467" s="247" t="str">
        <f t="shared" si="12"/>
        <v>1D</v>
      </c>
      <c r="U467" s="245">
        <f>_xll.qlCalendarAdvance(Calendar,U466,T467,"f",FALSE)</f>
        <v>42431</v>
      </c>
      <c r="V467" s="248">
        <f>_xll.qlCalendarAdvance(Calendar,U467,NDays&amp;"D")</f>
        <v>42433</v>
      </c>
      <c r="W467" s="249">
        <v>2.9992518474091516E-3</v>
      </c>
      <c r="X467" s="246">
        <v>2.7076489789212843E-3</v>
      </c>
    </row>
    <row r="468" spans="20:24" x14ac:dyDescent="0.2">
      <c r="T468" s="247" t="str">
        <f t="shared" si="12"/>
        <v>1D</v>
      </c>
      <c r="U468" s="245">
        <f>_xll.qlCalendarAdvance(Calendar,U467,T468,"f",FALSE)</f>
        <v>42432</v>
      </c>
      <c r="V468" s="248">
        <f>_xll.qlCalendarAdvance(Calendar,U468,NDays&amp;"D")</f>
        <v>42436</v>
      </c>
      <c r="W468" s="249">
        <v>3.0124280991564289E-3</v>
      </c>
      <c r="X468" s="246">
        <v>2.7189687470308144E-3</v>
      </c>
    </row>
    <row r="469" spans="20:24" x14ac:dyDescent="0.2">
      <c r="T469" s="247" t="str">
        <f t="shared" si="12"/>
        <v>1D</v>
      </c>
      <c r="U469" s="245">
        <f>_xll.qlCalendarAdvance(Calendar,U468,T469,"f",FALSE)</f>
        <v>42433</v>
      </c>
      <c r="V469" s="248">
        <f>_xll.qlCalendarAdvance(Calendar,U469,NDays&amp;"D")</f>
        <v>42437</v>
      </c>
      <c r="W469" s="249">
        <v>3.0192746236029394E-3</v>
      </c>
      <c r="X469" s="246">
        <v>2.7246642056955039E-3</v>
      </c>
    </row>
    <row r="470" spans="20:24" x14ac:dyDescent="0.2">
      <c r="T470" s="247" t="str">
        <f t="shared" si="12"/>
        <v>1D</v>
      </c>
      <c r="U470" s="245">
        <f>_xll.qlCalendarAdvance(Calendar,U469,T470,"f",FALSE)</f>
        <v>42436</v>
      </c>
      <c r="V470" s="248">
        <f>_xll.qlCalendarAdvance(Calendar,U470,NDays&amp;"D")</f>
        <v>42438</v>
      </c>
      <c r="W470" s="249">
        <v>3.026147321776983E-3</v>
      </c>
      <c r="X470" s="246">
        <v>2.7303748996931887E-3</v>
      </c>
    </row>
    <row r="471" spans="20:24" x14ac:dyDescent="0.2">
      <c r="T471" s="247" t="str">
        <f t="shared" si="12"/>
        <v>1D</v>
      </c>
      <c r="U471" s="245">
        <f>_xll.qlCalendarAdvance(Calendar,U470,T471,"f",FALSE)</f>
        <v>42437</v>
      </c>
      <c r="V471" s="248">
        <f>_xll.qlCalendarAdvance(Calendar,U471,NDays&amp;"D")</f>
        <v>42439</v>
      </c>
      <c r="W471" s="249">
        <v>3.0330463237562473E-3</v>
      </c>
      <c r="X471" s="246">
        <v>2.7361008289439326E-3</v>
      </c>
    </row>
    <row r="472" spans="20:24" x14ac:dyDescent="0.2">
      <c r="T472" s="247" t="str">
        <f t="shared" si="12"/>
        <v>1D</v>
      </c>
      <c r="U472" s="245">
        <f>_xll.qlCalendarAdvance(Calendar,U471,T472,"f",FALSE)</f>
        <v>42438</v>
      </c>
      <c r="V472" s="248">
        <f>_xll.qlCalendarAdvance(Calendar,U472,NDays&amp;"D")</f>
        <v>42440</v>
      </c>
      <c r="W472" s="249">
        <v>3.0473699066271192E-3</v>
      </c>
      <c r="X472" s="246">
        <v>2.7476244425006513E-3</v>
      </c>
    </row>
    <row r="473" spans="20:24" x14ac:dyDescent="0.2">
      <c r="T473" s="247" t="str">
        <f t="shared" si="12"/>
        <v>1D</v>
      </c>
      <c r="U473" s="245">
        <f>_xll.qlCalendarAdvance(Calendar,U472,T473,"f",FALSE)</f>
        <v>42439</v>
      </c>
      <c r="V473" s="248">
        <f>_xll.qlCalendarAdvance(Calendar,U473,NDays&amp;"D")</f>
        <v>42443</v>
      </c>
      <c r="W473" s="249">
        <v>3.0609079713027286E-3</v>
      </c>
      <c r="X473" s="246">
        <v>2.7591568998364124E-3</v>
      </c>
    </row>
    <row r="474" spans="20:24" x14ac:dyDescent="0.2">
      <c r="T474" s="247" t="str">
        <f t="shared" si="12"/>
        <v>1D</v>
      </c>
      <c r="U474" s="245">
        <f>_xll.qlCalendarAdvance(Calendar,U473,T474,"f",FALSE)</f>
        <v>42440</v>
      </c>
      <c r="V474" s="248">
        <f>_xll.qlCalendarAdvance(Calendar,U474,NDays&amp;"D")</f>
        <v>42444</v>
      </c>
      <c r="W474" s="249">
        <v>3.0679404435038243E-3</v>
      </c>
      <c r="X474" s="246">
        <v>2.7649590059120044E-3</v>
      </c>
    </row>
    <row r="475" spans="20:24" x14ac:dyDescent="0.2">
      <c r="T475" s="247" t="str">
        <f t="shared" si="12"/>
        <v>1D</v>
      </c>
      <c r="U475" s="245">
        <f>_xll.qlCalendarAdvance(Calendar,U474,T475,"f",FALSE)</f>
        <v>42443</v>
      </c>
      <c r="V475" s="248">
        <f>_xll.qlCalendarAdvance(Calendar,U475,NDays&amp;"D")</f>
        <v>42445</v>
      </c>
      <c r="W475" s="249">
        <v>3.0749999999997268E-3</v>
      </c>
      <c r="X475" s="246">
        <v>2.7707783382080464E-3</v>
      </c>
    </row>
    <row r="476" spans="20:24" x14ac:dyDescent="0.2">
      <c r="T476" s="247" t="str">
        <f t="shared" si="12"/>
        <v>1D</v>
      </c>
      <c r="U476" s="245">
        <f>_xll.qlCalendarAdvance(Calendar,U475,T476,"f",FALSE)</f>
        <v>42444</v>
      </c>
      <c r="V476" s="248">
        <f>_xll.qlCalendarAdvance(Calendar,U476,NDays&amp;"D")</f>
        <v>42446</v>
      </c>
      <c r="W476" s="249">
        <v>3.0820867158390993E-3</v>
      </c>
      <c r="X476" s="246">
        <v>2.7766228601944221E-3</v>
      </c>
    </row>
    <row r="477" spans="20:24" x14ac:dyDescent="0.2">
      <c r="T477" s="247" t="str">
        <f t="shared" si="12"/>
        <v>1D</v>
      </c>
      <c r="U477" s="245">
        <f>_xll.qlCalendarAdvance(Calendar,U476,T477,"f",FALSE)</f>
        <v>42445</v>
      </c>
      <c r="V477" s="248">
        <f>_xll.qlCalendarAdvance(Calendar,U477,NDays&amp;"D")</f>
        <v>42447</v>
      </c>
      <c r="W477" s="249">
        <v>3.096788059525458E-3</v>
      </c>
      <c r="X477" s="246">
        <v>2.7884241037767765E-3</v>
      </c>
    </row>
    <row r="478" spans="20:24" x14ac:dyDescent="0.2">
      <c r="T478" s="247" t="str">
        <f t="shared" si="12"/>
        <v>1D</v>
      </c>
      <c r="U478" s="245">
        <f>_xll.qlCalendarAdvance(Calendar,U477,T478,"f",FALSE)</f>
        <v>42446</v>
      </c>
      <c r="V478" s="248">
        <f>_xll.qlCalendarAdvance(Calendar,U478,NDays&amp;"D")</f>
        <v>42450</v>
      </c>
      <c r="W478" s="249">
        <v>3.1107017202824457E-3</v>
      </c>
      <c r="X478" s="246">
        <v>2.8002727536780014E-3</v>
      </c>
    </row>
    <row r="479" spans="20:24" x14ac:dyDescent="0.2">
      <c r="T479" s="247" t="str">
        <f t="shared" si="12"/>
        <v>1D</v>
      </c>
      <c r="U479" s="245">
        <f>_xll.qlCalendarAdvance(Calendar,U478,T479,"f",FALSE)</f>
        <v>42447</v>
      </c>
      <c r="V479" s="248">
        <f>_xll.qlCalendarAdvance(Calendar,U479,NDays&amp;"D")</f>
        <v>42451</v>
      </c>
      <c r="W479" s="249">
        <v>3.1179215059760844E-3</v>
      </c>
      <c r="X479" s="246">
        <v>2.8062531783934475E-3</v>
      </c>
    </row>
    <row r="480" spans="20:24" x14ac:dyDescent="0.2">
      <c r="T480" s="247" t="str">
        <f t="shared" si="12"/>
        <v>1D</v>
      </c>
      <c r="U480" s="245">
        <f>_xll.qlCalendarAdvance(Calendar,U479,T480,"f",FALSE)</f>
        <v>42450</v>
      </c>
      <c r="V480" s="248">
        <f>_xll.qlCalendarAdvance(Calendar,U480,NDays&amp;"D")</f>
        <v>42452</v>
      </c>
      <c r="W480" s="249">
        <v>3.1251673052236422E-3</v>
      </c>
      <c r="X480" s="246">
        <v>2.8122607838465541E-3</v>
      </c>
    </row>
    <row r="481" spans="20:24" x14ac:dyDescent="0.2">
      <c r="T481" s="247" t="str">
        <f t="shared" si="12"/>
        <v>1D</v>
      </c>
      <c r="U481" s="245">
        <f>_xll.qlCalendarAdvance(Calendar,U480,T481,"f",FALSE)</f>
        <v>42451</v>
      </c>
      <c r="V481" s="248">
        <f>_xll.qlCalendarAdvance(Calendar,U481,NDays&amp;"D")</f>
        <v>42453</v>
      </c>
      <c r="W481" s="249">
        <v>3.1324389178843466E-3</v>
      </c>
      <c r="X481" s="246">
        <v>2.8305183727113103E-3</v>
      </c>
    </row>
    <row r="482" spans="20:24" x14ac:dyDescent="0.2">
      <c r="T482" s="247" t="str">
        <f t="shared" si="12"/>
        <v>1D</v>
      </c>
      <c r="U482" s="245">
        <f>_xll.qlCalendarAdvance(Calendar,U481,T482,"f",FALSE)</f>
        <v>42452</v>
      </c>
      <c r="V482" s="248">
        <f>_xll.qlCalendarAdvance(Calendar,U482,NDays&amp;"D")</f>
        <v>42458</v>
      </c>
      <c r="W482" s="249">
        <v>3.169177177377182E-3</v>
      </c>
      <c r="X482" s="246">
        <v>2.8488772074997115E-3</v>
      </c>
    </row>
    <row r="483" spans="20:24" x14ac:dyDescent="0.2">
      <c r="T483" s="247" t="str">
        <f t="shared" si="12"/>
        <v>1D</v>
      </c>
      <c r="U483" s="245">
        <f>_xll.qlCalendarAdvance(Calendar,U482,T483,"f",FALSE)</f>
        <v>42453</v>
      </c>
      <c r="V483" s="248">
        <f>_xll.qlCalendarAdvance(Calendar,U483,NDays&amp;"D")</f>
        <v>42459</v>
      </c>
      <c r="W483" s="249">
        <v>3.1765994674979605E-3</v>
      </c>
      <c r="X483" s="246">
        <v>2.8550750767575295E-3</v>
      </c>
    </row>
    <row r="484" spans="20:24" x14ac:dyDescent="0.2">
      <c r="T484" s="247" t="str">
        <f t="shared" si="12"/>
        <v>1D</v>
      </c>
      <c r="U484" s="245">
        <f>_xll.qlCalendarAdvance(Calendar,U483,T484,"f",FALSE)</f>
        <v>42458</v>
      </c>
      <c r="V484" s="248">
        <f>_xll.qlCalendarAdvance(Calendar,U484,NDays&amp;"D")</f>
        <v>42460</v>
      </c>
      <c r="W484" s="249">
        <v>3.1801074818783568E-3</v>
      </c>
      <c r="X484" s="246">
        <v>2.8613001265931359E-3</v>
      </c>
    </row>
    <row r="485" spans="20:24" x14ac:dyDescent="0.2">
      <c r="T485" s="247" t="str">
        <f t="shared" si="12"/>
        <v>1D</v>
      </c>
      <c r="U485" s="245">
        <f>_xll.qlCalendarAdvance(Calendar,U484,T485,"f",FALSE)</f>
        <v>42459</v>
      </c>
      <c r="V485" s="248">
        <f>_xll.qlCalendarAdvance(Calendar,U485,NDays&amp;"D")</f>
        <v>42461</v>
      </c>
      <c r="W485" s="249">
        <v>3.1875674948689992E-3</v>
      </c>
      <c r="X485" s="246">
        <v>2.8738637697856007E-3</v>
      </c>
    </row>
    <row r="486" spans="20:24" x14ac:dyDescent="0.2">
      <c r="T486" s="247" t="str">
        <f t="shared" si="12"/>
        <v>1D</v>
      </c>
      <c r="U486" s="245">
        <f>_xll.qlCalendarAdvance(Calendar,U485,T486,"f",FALSE)</f>
        <v>42460</v>
      </c>
      <c r="V486" s="248">
        <f>_xll.qlCalendarAdvance(Calendar,U486,NDays&amp;"D")</f>
        <v>42464</v>
      </c>
      <c r="W486" s="249">
        <v>3.2100917980625934E-3</v>
      </c>
      <c r="X486" s="246">
        <v>2.8864721317134467E-3</v>
      </c>
    </row>
    <row r="487" spans="20:24" x14ac:dyDescent="0.2">
      <c r="T487" s="247" t="str">
        <f t="shared" si="12"/>
        <v>1D</v>
      </c>
      <c r="U487" s="245">
        <f>_xll.qlCalendarAdvance(Calendar,U486,T487,"f",FALSE)</f>
        <v>42461</v>
      </c>
      <c r="V487" s="248">
        <f>_xll.qlCalendarAdvance(Calendar,U487,NDays&amp;"D")</f>
        <v>42465</v>
      </c>
      <c r="W487" s="249">
        <v>3.21764731269236E-3</v>
      </c>
      <c r="X487" s="246">
        <v>2.8928330843580596E-3</v>
      </c>
    </row>
    <row r="488" spans="20:24" x14ac:dyDescent="0.2">
      <c r="T488" s="247" t="str">
        <f t="shared" si="12"/>
        <v>1D</v>
      </c>
      <c r="U488" s="245">
        <f>_xll.qlCalendarAdvance(Calendar,U487,T488,"f",FALSE)</f>
        <v>42464</v>
      </c>
      <c r="V488" s="248">
        <f>_xll.qlCalendarAdvance(Calendar,U488,NDays&amp;"D")</f>
        <v>42466</v>
      </c>
      <c r="W488" s="249">
        <v>3.2252261968490994E-3</v>
      </c>
      <c r="X488" s="246">
        <v>2.8992212176603971E-3</v>
      </c>
    </row>
    <row r="489" spans="20:24" x14ac:dyDescent="0.2">
      <c r="T489" s="247" t="str">
        <f t="shared" si="12"/>
        <v>1D</v>
      </c>
      <c r="U489" s="245">
        <f>_xll.qlCalendarAdvance(Calendar,U488,T489,"f",FALSE)</f>
        <v>42465</v>
      </c>
      <c r="V489" s="248">
        <f>_xll.qlCalendarAdvance(Calendar,U489,NDays&amp;"D")</f>
        <v>42467</v>
      </c>
      <c r="W489" s="249">
        <v>3.2328282481768776E-3</v>
      </c>
      <c r="X489" s="246">
        <v>2.905636531540523E-3</v>
      </c>
    </row>
    <row r="490" spans="20:24" x14ac:dyDescent="0.2">
      <c r="T490" s="247" t="str">
        <f t="shared" si="12"/>
        <v>1D</v>
      </c>
      <c r="U490" s="245">
        <f>_xll.qlCalendarAdvance(Calendar,U489,T490,"f",FALSE)</f>
        <v>42466</v>
      </c>
      <c r="V490" s="248">
        <f>_xll.qlCalendarAdvance(Calendar,U490,NDays&amp;"D")</f>
        <v>42468</v>
      </c>
      <c r="W490" s="249">
        <v>3.2404532643188818E-3</v>
      </c>
      <c r="X490" s="246">
        <v>2.9185814222998374E-3</v>
      </c>
    </row>
    <row r="491" spans="20:24" x14ac:dyDescent="0.2">
      <c r="T491" s="247" t="str">
        <f t="shared" si="12"/>
        <v>1D</v>
      </c>
      <c r="U491" s="245">
        <f>_xll.qlCalendarAdvance(Calendar,U490,T491,"f",FALSE)</f>
        <v>42467</v>
      </c>
      <c r="V491" s="248">
        <f>_xll.qlCalendarAdvance(Calendar,U491,NDays&amp;"D")</f>
        <v>42471</v>
      </c>
      <c r="W491" s="249">
        <v>3.2634640780445563E-3</v>
      </c>
      <c r="X491" s="246">
        <v>2.9315695927589758E-3</v>
      </c>
    </row>
    <row r="492" spans="20:24" x14ac:dyDescent="0.2">
      <c r="T492" s="247" t="str">
        <f t="shared" si="12"/>
        <v>1D</v>
      </c>
      <c r="U492" s="245">
        <f>_xll.qlCalendarAdvance(Calendar,U491,T492,"f",FALSE)</f>
        <v>42468</v>
      </c>
      <c r="V492" s="248">
        <f>_xll.qlCalendarAdvance(Calendar,U492,NDays&amp;"D")</f>
        <v>42472</v>
      </c>
      <c r="W492" s="249">
        <v>3.2711789298524997E-3</v>
      </c>
      <c r="X492" s="246">
        <v>2.9381208096079803E-3</v>
      </c>
    </row>
    <row r="493" spans="20:24" x14ac:dyDescent="0.2">
      <c r="T493" s="247" t="str">
        <f t="shared" si="12"/>
        <v>1D</v>
      </c>
      <c r="U493" s="245">
        <f>_xll.qlCalendarAdvance(Calendar,U492,T493,"f",FALSE)</f>
        <v>42471</v>
      </c>
      <c r="V493" s="248">
        <f>_xll.qlCalendarAdvance(Calendar,U493,NDays&amp;"D")</f>
        <v>42473</v>
      </c>
      <c r="W493" s="249">
        <v>3.2789157346730376E-3</v>
      </c>
      <c r="X493" s="246">
        <v>2.9446992069548372E-3</v>
      </c>
    </row>
    <row r="494" spans="20:24" x14ac:dyDescent="0.2">
      <c r="T494" s="247" t="str">
        <f t="shared" si="12"/>
        <v>1D</v>
      </c>
      <c r="U494" s="245">
        <f>_xll.qlCalendarAdvance(Calendar,U493,T494,"f",FALSE)</f>
        <v>42472</v>
      </c>
      <c r="V494" s="248">
        <f>_xll.qlCalendarAdvance(Calendar,U494,NDays&amp;"D")</f>
        <v>42474</v>
      </c>
      <c r="W494" s="249">
        <v>3.286674290144087E-3</v>
      </c>
      <c r="X494" s="246">
        <v>2.9513047849594187E-3</v>
      </c>
    </row>
    <row r="495" spans="20:24" x14ac:dyDescent="0.2">
      <c r="T495" s="247" t="str">
        <f t="shared" si="12"/>
        <v>1D</v>
      </c>
      <c r="U495" s="245">
        <f>_xll.qlCalendarAdvance(Calendar,U494,T495,"f",FALSE)</f>
        <v>42473</v>
      </c>
      <c r="V495" s="248">
        <f>_xll.qlCalendarAdvance(Calendar,U495,NDays&amp;"D")</f>
        <v>42475</v>
      </c>
      <c r="W495" s="249">
        <v>3.2944543938974156E-3</v>
      </c>
      <c r="X495" s="246">
        <v>2.9646309564324014E-3</v>
      </c>
    </row>
    <row r="496" spans="20:24" x14ac:dyDescent="0.2">
      <c r="T496" s="247" t="str">
        <f t="shared" si="12"/>
        <v>1D</v>
      </c>
      <c r="U496" s="245">
        <f>_xll.qlCalendarAdvance(Calendar,U495,T496,"f",FALSE)</f>
        <v>42474</v>
      </c>
      <c r="V496" s="248">
        <f>_xll.qlCalendarAdvance(Calendar,U496,NDays&amp;"D")</f>
        <v>42478</v>
      </c>
      <c r="W496" s="249">
        <v>3.3179219711951106E-3</v>
      </c>
      <c r="X496" s="246">
        <v>2.9779989027556297E-3</v>
      </c>
    </row>
    <row r="497" spans="20:24" x14ac:dyDescent="0.2">
      <c r="T497" s="247" t="str">
        <f t="shared" si="12"/>
        <v>1D</v>
      </c>
      <c r="U497" s="245">
        <f>_xll.qlCalendarAdvance(Calendar,U496,T497,"f",FALSE)</f>
        <v>42475</v>
      </c>
      <c r="V497" s="248">
        <f>_xll.qlCalendarAdvance(Calendar,U497,NDays&amp;"D")</f>
        <v>42479</v>
      </c>
      <c r="W497" s="249">
        <v>3.3257862444092913E-3</v>
      </c>
      <c r="X497" s="246">
        <v>2.9847403835692177E-3</v>
      </c>
    </row>
    <row r="498" spans="20:24" x14ac:dyDescent="0.2">
      <c r="T498" s="247" t="str">
        <f t="shared" si="12"/>
        <v>1D</v>
      </c>
      <c r="U498" s="245">
        <f>_xll.qlCalendarAdvance(Calendar,U497,T498,"f",FALSE)</f>
        <v>42478</v>
      </c>
      <c r="V498" s="248">
        <f>_xll.qlCalendarAdvance(Calendar,U498,NDays&amp;"D")</f>
        <v>42480</v>
      </c>
      <c r="W498" s="249">
        <v>3.3336710540637121E-3</v>
      </c>
      <c r="X498" s="246">
        <v>2.9915090451204662E-3</v>
      </c>
    </row>
    <row r="499" spans="20:24" x14ac:dyDescent="0.2">
      <c r="T499" s="247" t="str">
        <f t="shared" si="12"/>
        <v>1D</v>
      </c>
      <c r="U499" s="245">
        <f>_xll.qlCalendarAdvance(Calendar,U498,T499,"f",FALSE)</f>
        <v>42479</v>
      </c>
      <c r="V499" s="248">
        <f>_xll.qlCalendarAdvance(Calendar,U499,NDays&amp;"D")</f>
        <v>42481</v>
      </c>
      <c r="W499" s="249">
        <v>3.3415761977857502E-3</v>
      </c>
      <c r="X499" s="246">
        <v>2.9983048872495033E-3</v>
      </c>
    </row>
    <row r="500" spans="20:24" x14ac:dyDescent="0.2">
      <c r="T500" s="247" t="str">
        <f t="shared" si="12"/>
        <v>1D</v>
      </c>
      <c r="U500" s="245">
        <f>_xll.qlCalendarAdvance(Calendar,U499,T500,"f",FALSE)</f>
        <v>42480</v>
      </c>
      <c r="V500" s="248">
        <f>_xll.qlCalendarAdvance(Calendar,U500,NDays&amp;"D")</f>
        <v>42482</v>
      </c>
      <c r="W500" s="249">
        <v>3.349501473201023E-3</v>
      </c>
      <c r="X500" s="246">
        <v>3.0120123737553683E-3</v>
      </c>
    </row>
    <row r="501" spans="20:24" x14ac:dyDescent="0.2">
      <c r="T501" s="247" t="str">
        <f t="shared" si="12"/>
        <v>1D</v>
      </c>
      <c r="U501" s="245">
        <f>_xll.qlCalendarAdvance(Calendar,U500,T501,"f",FALSE)</f>
        <v>42481</v>
      </c>
      <c r="V501" s="248">
        <f>_xll.qlCalendarAdvance(Calendar,U501,NDays&amp;"D")</f>
        <v>42485</v>
      </c>
      <c r="W501" s="249">
        <v>3.3733960658457562E-3</v>
      </c>
      <c r="X501" s="246">
        <v>3.0257600618632807E-3</v>
      </c>
    </row>
    <row r="502" spans="20:24" x14ac:dyDescent="0.2">
      <c r="T502" s="247" t="str">
        <f t="shared" si="12"/>
        <v>1D</v>
      </c>
      <c r="U502" s="245">
        <f>_xll.qlCalendarAdvance(Calendar,U501,T502,"f",FALSE)</f>
        <v>42482</v>
      </c>
      <c r="V502" s="248">
        <f>_xll.qlCalendarAdvance(Calendar,U502,NDays&amp;"D")</f>
        <v>42486</v>
      </c>
      <c r="W502" s="249">
        <v>3.3813998442673225E-3</v>
      </c>
      <c r="X502" s="246">
        <v>3.0326918069611963E-3</v>
      </c>
    </row>
    <row r="503" spans="20:24" x14ac:dyDescent="0.2">
      <c r="T503" s="247" t="str">
        <f t="shared" si="12"/>
        <v>1D</v>
      </c>
      <c r="U503" s="245">
        <f>_xll.qlCalendarAdvance(Calendar,U502,T503,"f",FALSE)</f>
        <v>42485</v>
      </c>
      <c r="V503" s="248">
        <f>_xll.qlCalendarAdvance(Calendar,U503,NDays&amp;"D")</f>
        <v>42487</v>
      </c>
      <c r="W503" s="249">
        <v>3.3894227424935298E-3</v>
      </c>
      <c r="X503" s="246">
        <v>3.0396507327967726E-3</v>
      </c>
    </row>
    <row r="504" spans="20:24" x14ac:dyDescent="0.2">
      <c r="T504" s="247" t="str">
        <f t="shared" si="12"/>
        <v>1D</v>
      </c>
      <c r="U504" s="245">
        <f>_xll.qlCalendarAdvance(Calendar,U503,T504,"f",FALSE)</f>
        <v>42486</v>
      </c>
      <c r="V504" s="248">
        <f>_xll.qlCalendarAdvance(Calendar,U504,NDays&amp;"D")</f>
        <v>42488</v>
      </c>
      <c r="W504" s="249">
        <v>3.3974645581403341E-3</v>
      </c>
      <c r="X504" s="246">
        <v>3.0466368391302012E-3</v>
      </c>
    </row>
    <row r="505" spans="20:24" x14ac:dyDescent="0.2">
      <c r="T505" s="247" t="str">
        <f t="shared" si="12"/>
        <v>1D</v>
      </c>
      <c r="U505" s="245">
        <f>_xll.qlCalendarAdvance(Calendar,U504,T505,"f",FALSE)</f>
        <v>42487</v>
      </c>
      <c r="V505" s="248">
        <f>_xll.qlCalendarAdvance(Calendar,U505,NDays&amp;"D")</f>
        <v>42489</v>
      </c>
      <c r="W505" s="249">
        <v>3.4055250888263269E-3</v>
      </c>
      <c r="X505" s="246">
        <v>3.0607256758408141E-3</v>
      </c>
    </row>
    <row r="506" spans="20:24" x14ac:dyDescent="0.2">
      <c r="T506" s="247" t="str">
        <f t="shared" si="12"/>
        <v>1D</v>
      </c>
      <c r="U506" s="245">
        <f>_xll.qlCalendarAdvance(Calendar,U505,T506,"f",FALSE)</f>
        <v>42488</v>
      </c>
      <c r="V506" s="248">
        <f>_xll.qlCalendarAdvance(Calendar,U506,NDays&amp;"D")</f>
        <v>42492</v>
      </c>
      <c r="W506" s="249">
        <v>3.4340326503097362E-3</v>
      </c>
      <c r="X506" s="246">
        <v>3.0748530707214172E-3</v>
      </c>
    </row>
    <row r="507" spans="20:24" x14ac:dyDescent="0.2">
      <c r="T507" s="247" t="str">
        <f t="shared" si="12"/>
        <v>1D</v>
      </c>
      <c r="U507" s="245">
        <f>_xll.qlCalendarAdvance(Calendar,U506,T507,"f",FALSE)</f>
        <v>42489</v>
      </c>
      <c r="V507" s="248">
        <f>_xll.qlCalendarAdvance(Calendar,U507,NDays&amp;"D")</f>
        <v>42493</v>
      </c>
      <c r="W507" s="249">
        <v>3.442172671243558E-3</v>
      </c>
      <c r="X507" s="246">
        <v>3.0819750801835966E-3</v>
      </c>
    </row>
    <row r="508" spans="20:24" x14ac:dyDescent="0.2">
      <c r="T508" s="247" t="str">
        <f t="shared" si="12"/>
        <v>1D</v>
      </c>
      <c r="U508" s="245">
        <f>_xll.qlCalendarAdvance(Calendar,U507,T508,"f",FALSE)</f>
        <v>42492</v>
      </c>
      <c r="V508" s="248">
        <f>_xll.qlCalendarAdvance(Calendar,U508,NDays&amp;"D")</f>
        <v>42494</v>
      </c>
      <c r="W508" s="249">
        <v>3.4503302988282995E-3</v>
      </c>
      <c r="X508" s="246">
        <v>3.0891242703035005E-3</v>
      </c>
    </row>
    <row r="509" spans="20:24" x14ac:dyDescent="0.2">
      <c r="T509" s="247" t="str">
        <f t="shared" si="12"/>
        <v>1D</v>
      </c>
      <c r="U509" s="245">
        <f>_xll.qlCalendarAdvance(Calendar,U508,T509,"f",FALSE)</f>
        <v>42493</v>
      </c>
      <c r="V509" s="248">
        <f>_xll.qlCalendarAdvance(Calendar,U509,NDays&amp;"D")</f>
        <v>42495</v>
      </c>
      <c r="W509" s="249">
        <v>3.4585053328710551E-3</v>
      </c>
      <c r="X509" s="246">
        <v>3.0963006409212568E-3</v>
      </c>
    </row>
    <row r="510" spans="20:24" x14ac:dyDescent="0.2">
      <c r="T510" s="247" t="str">
        <f t="shared" si="12"/>
        <v>1D</v>
      </c>
      <c r="U510" s="245">
        <f>_xll.qlCalendarAdvance(Calendar,U509,T510,"f",FALSE)</f>
        <v>42494</v>
      </c>
      <c r="V510" s="248">
        <f>_xll.qlCalendarAdvance(Calendar,U510,NDays&amp;"D")</f>
        <v>42496</v>
      </c>
      <c r="W510" s="249">
        <v>3.4751917198855165E-3</v>
      </c>
      <c r="X510" s="246">
        <v>3.1107708642874599E-3</v>
      </c>
    </row>
    <row r="511" spans="20:24" x14ac:dyDescent="0.2">
      <c r="T511" s="247" t="str">
        <f t="shared" si="12"/>
        <v>1D</v>
      </c>
      <c r="U511" s="245">
        <f>_xll.qlCalendarAdvance(Calendar,U510,T511,"f",FALSE)</f>
        <v>42495</v>
      </c>
      <c r="V511" s="248">
        <f>_xll.qlCalendarAdvance(Calendar,U511,NDays&amp;"D")</f>
        <v>42499</v>
      </c>
      <c r="W511" s="249">
        <v>3.4913755297354314E-3</v>
      </c>
      <c r="X511" s="246">
        <v>3.1252779300494637E-3</v>
      </c>
    </row>
    <row r="512" spans="20:24" x14ac:dyDescent="0.2">
      <c r="T512" s="247" t="str">
        <f t="shared" si="12"/>
        <v>1D</v>
      </c>
      <c r="U512" s="245">
        <f>_xll.qlCalendarAdvance(Calendar,U511,T512,"f",FALSE)</f>
        <v>42496</v>
      </c>
      <c r="V512" s="248">
        <f>_xll.qlCalendarAdvance(Calendar,U512,NDays&amp;"D")</f>
        <v>42500</v>
      </c>
      <c r="W512" s="249">
        <v>3.4996345931381794E-3</v>
      </c>
      <c r="X512" s="246">
        <v>3.1325902038759068E-3</v>
      </c>
    </row>
    <row r="513" spans="20:24" x14ac:dyDescent="0.2">
      <c r="T513" s="247" t="str">
        <f t="shared" si="12"/>
        <v>1D</v>
      </c>
      <c r="U513" s="245">
        <f>_xll.qlCalendarAdvance(Calendar,U512,T513,"f",FALSE)</f>
        <v>42499</v>
      </c>
      <c r="V513" s="248">
        <f>_xll.qlCalendarAdvance(Calendar,U513,NDays&amp;"D")</f>
        <v>42501</v>
      </c>
      <c r="W513" s="249">
        <v>3.507909861817178E-3</v>
      </c>
      <c r="X513" s="246">
        <v>3.1399296582801384E-3</v>
      </c>
    </row>
    <row r="514" spans="20:24" x14ac:dyDescent="0.2">
      <c r="T514" s="247" t="str">
        <f t="shared" si="12"/>
        <v>1D</v>
      </c>
      <c r="U514" s="245">
        <f>_xll.qlCalendarAdvance(Calendar,U513,T514,"f",FALSE)</f>
        <v>42500</v>
      </c>
      <c r="V514" s="248">
        <f>_xll.qlCalendarAdvance(Calendar,U514,NDays&amp;"D")</f>
        <v>42502</v>
      </c>
      <c r="W514" s="249">
        <v>3.5162011355673586E-3</v>
      </c>
      <c r="X514" s="246">
        <v>3.1472962934220305E-3</v>
      </c>
    </row>
    <row r="515" spans="20:24" x14ac:dyDescent="0.2">
      <c r="T515" s="247" t="str">
        <f t="shared" si="12"/>
        <v>1D</v>
      </c>
      <c r="U515" s="245">
        <f>_xll.qlCalendarAdvance(Calendar,U514,T515,"f",FALSE)</f>
        <v>42501</v>
      </c>
      <c r="V515" s="248">
        <f>_xll.qlCalendarAdvance(Calendar,U515,NDays&amp;"D")</f>
        <v>42503</v>
      </c>
      <c r="W515" s="249">
        <v>3.5330860859075831E-3</v>
      </c>
      <c r="X515" s="246">
        <v>3.1621479407473174E-3</v>
      </c>
    </row>
    <row r="516" spans="20:24" x14ac:dyDescent="0.2">
      <c r="T516" s="247" t="str">
        <f t="shared" si="12"/>
        <v>1D</v>
      </c>
      <c r="U516" s="245">
        <f>_xll.qlCalendarAdvance(Calendar,U515,T516,"f",FALSE)</f>
        <v>42502</v>
      </c>
      <c r="V516" s="248">
        <f>_xll.qlCalendarAdvance(Calendar,U516,NDays&amp;"D")</f>
        <v>42506</v>
      </c>
      <c r="W516" s="249">
        <v>3.5495222771984801E-3</v>
      </c>
      <c r="X516" s="246">
        <v>3.1770346401671645E-3</v>
      </c>
    </row>
    <row r="517" spans="20:24" x14ac:dyDescent="0.2">
      <c r="T517" s="247" t="str">
        <f t="shared" si="12"/>
        <v>1D</v>
      </c>
      <c r="U517" s="245">
        <f>_xll.qlCalendarAdvance(Calendar,U516,T517,"f",FALSE)</f>
        <v>42503</v>
      </c>
      <c r="V517" s="248">
        <f>_xll.qlCalendarAdvance(Calendar,U517,NDays&amp;"D")</f>
        <v>42507</v>
      </c>
      <c r="W517" s="249">
        <v>3.5578905732241745E-3</v>
      </c>
      <c r="X517" s="246">
        <v>3.1845371784378074E-3</v>
      </c>
    </row>
    <row r="518" spans="20:24" x14ac:dyDescent="0.2">
      <c r="T518" s="247" t="str">
        <f t="shared" si="12"/>
        <v>1D</v>
      </c>
      <c r="U518" s="245">
        <f>_xll.qlCalendarAdvance(Calendar,U517,T518,"f",FALSE)</f>
        <v>42506</v>
      </c>
      <c r="V518" s="248">
        <f>_xll.qlCalendarAdvance(Calendar,U518,NDays&amp;"D")</f>
        <v>42508</v>
      </c>
      <c r="W518" s="249">
        <v>3.5662736730767289E-3</v>
      </c>
      <c r="X518" s="246">
        <v>3.1920668973661748E-3</v>
      </c>
    </row>
    <row r="519" spans="20:24" x14ac:dyDescent="0.2">
      <c r="T519" s="247" t="str">
        <f t="shared" si="12"/>
        <v>1D</v>
      </c>
      <c r="U519" s="245">
        <f>_xll.qlCalendarAdvance(Calendar,U518,T519,"f",FALSE)</f>
        <v>42507</v>
      </c>
      <c r="V519" s="248">
        <f>_xll.qlCalendarAdvance(Calendar,U519,NDays&amp;"D")</f>
        <v>42509</v>
      </c>
      <c r="W519" s="249">
        <v>3.5746713765423847E-3</v>
      </c>
      <c r="X519" s="246">
        <v>3.1996237969522667E-3</v>
      </c>
    </row>
    <row r="520" spans="20:24" x14ac:dyDescent="0.2">
      <c r="T520" s="247" t="str">
        <f t="shared" si="12"/>
        <v>1D</v>
      </c>
      <c r="U520" s="245">
        <f>_xll.qlCalendarAdvance(Calendar,U519,T520,"f",FALSE)</f>
        <v>42508</v>
      </c>
      <c r="V520" s="248">
        <f>_xll.qlCalendarAdvance(Calendar,U520,NDays&amp;"D")</f>
        <v>42510</v>
      </c>
      <c r="W520" s="249">
        <v>3.5917380176623483E-3</v>
      </c>
      <c r="X520" s="246">
        <v>3.2148569070056254E-3</v>
      </c>
    </row>
    <row r="521" spans="20:24" x14ac:dyDescent="0.2">
      <c r="T521" s="247" t="str">
        <f t="shared" si="12"/>
        <v>1D</v>
      </c>
      <c r="U521" s="245">
        <f>_xll.qlCalendarAdvance(Calendar,U520,T521,"f",FALSE)</f>
        <v>42509</v>
      </c>
      <c r="V521" s="248">
        <f>_xll.qlCalendarAdvance(Calendar,U521,NDays&amp;"D")</f>
        <v>42513</v>
      </c>
      <c r="W521" s="249">
        <v>3.6084042222278329E-3</v>
      </c>
      <c r="X521" s="246">
        <v>3.2301232017939441E-3</v>
      </c>
    </row>
    <row r="522" spans="20:24" x14ac:dyDescent="0.2">
      <c r="T522" s="247" t="str">
        <f t="shared" si="12"/>
        <v>1D</v>
      </c>
      <c r="U522" s="245">
        <f>_xll.qlCalendarAdvance(Calendar,U521,T522,"f",FALSE)</f>
        <v>42510</v>
      </c>
      <c r="V522" s="248">
        <f>_xll.qlCalendarAdvance(Calendar,U522,NDays&amp;"D")</f>
        <v>42514</v>
      </c>
      <c r="W522" s="249">
        <v>3.6168719405117798E-3</v>
      </c>
      <c r="X522" s="246">
        <v>3.2378160046686588E-3</v>
      </c>
    </row>
    <row r="523" spans="20:24" x14ac:dyDescent="0.2">
      <c r="T523" s="247" t="str">
        <f t="shared" si="12"/>
        <v>1D</v>
      </c>
      <c r="U523" s="245">
        <f>_xll.qlCalendarAdvance(Calendar,U522,T523,"f",FALSE)</f>
        <v>42513</v>
      </c>
      <c r="V523" s="248">
        <f>_xll.qlCalendarAdvance(Calendar,U523,NDays&amp;"D")</f>
        <v>42515</v>
      </c>
      <c r="W523" s="249">
        <v>3.6253530610976035E-3</v>
      </c>
      <c r="X523" s="246">
        <v>3.2455359881211621E-3</v>
      </c>
    </row>
    <row r="524" spans="20:24" x14ac:dyDescent="0.2">
      <c r="T524" s="247" t="str">
        <f t="shared" si="12"/>
        <v>1D</v>
      </c>
      <c r="U524" s="245">
        <f>_xll.qlCalendarAdvance(Calendar,U523,T524,"f",FALSE)</f>
        <v>42514</v>
      </c>
      <c r="V524" s="248">
        <f>_xll.qlCalendarAdvance(Calendar,U524,NDays&amp;"D")</f>
        <v>42516</v>
      </c>
      <c r="W524" s="249">
        <v>3.6338473837619878E-3</v>
      </c>
      <c r="X524" s="246">
        <v>3.2532831522313899E-3</v>
      </c>
    </row>
    <row r="525" spans="20:24" x14ac:dyDescent="0.2">
      <c r="T525" s="247" t="str">
        <f t="shared" si="12"/>
        <v>1D</v>
      </c>
      <c r="U525" s="245">
        <f>_xll.qlCalendarAdvance(Calendar,U524,T525,"f",FALSE)</f>
        <v>42515</v>
      </c>
      <c r="V525" s="248">
        <f>_xll.qlCalendarAdvance(Calendar,U525,NDays&amp;"D")</f>
        <v>42517</v>
      </c>
      <c r="W525" s="249">
        <v>3.6510803033893988E-3</v>
      </c>
      <c r="X525" s="246">
        <v>3.2688977647410411E-3</v>
      </c>
    </row>
    <row r="526" spans="20:24" x14ac:dyDescent="0.2">
      <c r="T526" s="247" t="str">
        <f t="shared" si="12"/>
        <v>1D</v>
      </c>
      <c r="U526" s="245">
        <f>_xll.qlCalendarAdvance(Calendar,U525,T526,"f",FALSE)</f>
        <v>42516</v>
      </c>
      <c r="V526" s="248">
        <f>_xll.qlCalendarAdvance(Calendar,U526,NDays&amp;"D")</f>
        <v>42520</v>
      </c>
      <c r="W526" s="249">
        <v>3.6679526906658252E-3</v>
      </c>
      <c r="X526" s="246">
        <v>3.2845436154893548E-3</v>
      </c>
    </row>
    <row r="527" spans="20:24" x14ac:dyDescent="0.2">
      <c r="T527" s="247" t="str">
        <f t="shared" si="12"/>
        <v>1D</v>
      </c>
      <c r="U527" s="245">
        <f>_xll.qlCalendarAdvance(Calendar,U526,T527,"f",FALSE)</f>
        <v>42517</v>
      </c>
      <c r="V527" s="248">
        <f>_xll.qlCalendarAdvance(Calendar,U527,NDays&amp;"D")</f>
        <v>42521</v>
      </c>
      <c r="W527" s="249">
        <v>3.6765100203046304E-3</v>
      </c>
      <c r="X527" s="246">
        <v>3.2924266828882054E-3</v>
      </c>
    </row>
    <row r="528" spans="20:24" x14ac:dyDescent="0.2">
      <c r="T528" s="247" t="str">
        <f t="shared" si="12"/>
        <v>1D</v>
      </c>
      <c r="U528" s="245">
        <f>_xll.qlCalendarAdvance(Calendar,U527,T528,"f",FALSE)</f>
        <v>42520</v>
      </c>
      <c r="V528" s="248">
        <f>_xll.qlCalendarAdvance(Calendar,U528,NDays&amp;"D")</f>
        <v>42522</v>
      </c>
      <c r="W528" s="249">
        <v>3.6850793506429998E-3</v>
      </c>
      <c r="X528" s="246">
        <v>3.3003369311046526E-3</v>
      </c>
    </row>
    <row r="529" spans="20:24" x14ac:dyDescent="0.2">
      <c r="T529" s="247" t="str">
        <f t="shared" si="12"/>
        <v>1D</v>
      </c>
      <c r="U529" s="245">
        <f>_xll.qlCalendarAdvance(Calendar,U528,T529,"f",FALSE)</f>
        <v>42521</v>
      </c>
      <c r="V529" s="248">
        <f>_xll.qlCalendarAdvance(Calendar,U529,NDays&amp;"D")</f>
        <v>42523</v>
      </c>
      <c r="W529" s="249">
        <v>3.6936604814463221E-3</v>
      </c>
      <c r="X529" s="246">
        <v>3.3082743598988884E-3</v>
      </c>
    </row>
    <row r="530" spans="20:24" x14ac:dyDescent="0.2">
      <c r="T530" s="247" t="str">
        <f t="shared" ref="T530:T593" si="13">T529</f>
        <v>1D</v>
      </c>
      <c r="U530" s="245">
        <f>_xll.qlCalendarAdvance(Calendar,U529,T530,"f",FALSE)</f>
        <v>42522</v>
      </c>
      <c r="V530" s="248">
        <f>_xll.qlCalendarAdvance(Calendar,U530,NDays&amp;"D")</f>
        <v>42524</v>
      </c>
      <c r="W530" s="249">
        <v>3.7110457275611238E-3</v>
      </c>
      <c r="X530" s="246">
        <v>3.3242705157920938E-3</v>
      </c>
    </row>
    <row r="531" spans="20:24" x14ac:dyDescent="0.2">
      <c r="T531" s="247" t="str">
        <f t="shared" si="13"/>
        <v>1D</v>
      </c>
      <c r="U531" s="245">
        <f>_xll.qlCalendarAdvance(Calendar,U530,T531,"f",FALSE)</f>
        <v>42523</v>
      </c>
      <c r="V531" s="248">
        <f>_xll.qlCalendarAdvance(Calendar,U531,NDays&amp;"D")</f>
        <v>42527</v>
      </c>
      <c r="W531" s="249">
        <v>3.7280990045387144E-3</v>
      </c>
      <c r="X531" s="246">
        <v>3.3402958818129491E-3</v>
      </c>
    </row>
    <row r="532" spans="20:24" x14ac:dyDescent="0.2">
      <c r="T532" s="247" t="str">
        <f t="shared" si="13"/>
        <v>1D</v>
      </c>
      <c r="U532" s="245">
        <f>_xll.qlCalendarAdvance(Calendar,U531,T532,"f",FALSE)</f>
        <v>42524</v>
      </c>
      <c r="V532" s="248">
        <f>_xll.qlCalendarAdvance(Calendar,U532,NDays&amp;"D")</f>
        <v>42528</v>
      </c>
      <c r="W532" s="249">
        <v>3.7367361340755133E-3</v>
      </c>
      <c r="X532" s="246">
        <v>3.3483692139757437E-3</v>
      </c>
    </row>
    <row r="533" spans="20:24" x14ac:dyDescent="0.2">
      <c r="T533" s="247" t="str">
        <f t="shared" si="13"/>
        <v>1D</v>
      </c>
      <c r="U533" s="245">
        <f>_xll.qlCalendarAdvance(Calendar,U532,T533,"f",FALSE)</f>
        <v>42527</v>
      </c>
      <c r="V533" s="248">
        <f>_xll.qlCalendarAdvance(Calendar,U533,NDays&amp;"D")</f>
        <v>42529</v>
      </c>
      <c r="W533" s="249">
        <v>3.745383862629628E-3</v>
      </c>
      <c r="X533" s="246">
        <v>3.3564697268761989E-3</v>
      </c>
    </row>
    <row r="534" spans="20:24" x14ac:dyDescent="0.2">
      <c r="T534" s="247" t="s">
        <v>177</v>
      </c>
      <c r="U534" s="245">
        <f>_xll.qlCalendarAdvance(Calendar,U533,T534,"f",FALSE)</f>
        <v>42534</v>
      </c>
      <c r="V534" s="248">
        <f>_xll.qlCalendarAdvance(Calendar,U534,NDays&amp;"D")</f>
        <v>42536</v>
      </c>
      <c r="W534" s="249">
        <v>3.8061979140199703E-3</v>
      </c>
      <c r="X534" s="246">
        <v>3.4139343761552254E-3</v>
      </c>
    </row>
    <row r="535" spans="20:24" x14ac:dyDescent="0.2">
      <c r="T535" s="247" t="str">
        <f t="shared" si="13"/>
        <v>1w</v>
      </c>
      <c r="U535" s="245">
        <f>_xll.qlCalendarAdvance(Calendar,U534,T535,"f",FALSE)</f>
        <v>42541</v>
      </c>
      <c r="V535" s="248">
        <f>_xll.qlCalendarAdvance(Calendar,U535,NDays&amp;"D")</f>
        <v>42543</v>
      </c>
      <c r="W535" s="249">
        <v>3.8674600293553893E-3</v>
      </c>
      <c r="X535" s="246">
        <v>3.4723411652404224E-3</v>
      </c>
    </row>
    <row r="536" spans="20:24" x14ac:dyDescent="0.2">
      <c r="T536" s="247" t="str">
        <f t="shared" si="13"/>
        <v>1w</v>
      </c>
      <c r="U536" s="245">
        <f>_xll.qlCalendarAdvance(Calendar,U535,T536,"f",FALSE)</f>
        <v>42548</v>
      </c>
      <c r="V536" s="248">
        <f>_xll.qlCalendarAdvance(Calendar,U536,NDays&amp;"D")</f>
        <v>42550</v>
      </c>
      <c r="W536" s="249">
        <v>3.9291532352948915E-3</v>
      </c>
      <c r="X536" s="246">
        <v>3.5311807042415211E-3</v>
      </c>
    </row>
    <row r="537" spans="20:24" x14ac:dyDescent="0.2">
      <c r="T537" s="247" t="str">
        <f t="shared" si="13"/>
        <v>1w</v>
      </c>
      <c r="U537" s="245">
        <f>_xll.qlCalendarAdvance(Calendar,U536,T537,"f",FALSE)</f>
        <v>42555</v>
      </c>
      <c r="V537" s="248">
        <f>_xll.qlCalendarAdvance(Calendar,U537,NDays&amp;"D")</f>
        <v>42557</v>
      </c>
      <c r="W537" s="249">
        <v>3.991277518788916E-3</v>
      </c>
      <c r="X537" s="246">
        <v>3.590449924812944E-3</v>
      </c>
    </row>
    <row r="538" spans="20:24" x14ac:dyDescent="0.2">
      <c r="T538" s="247" t="str">
        <f t="shared" si="13"/>
        <v>1w</v>
      </c>
      <c r="U538" s="245">
        <f>_xll.qlCalendarAdvance(Calendar,U537,T538,"f",FALSE)</f>
        <v>42562</v>
      </c>
      <c r="V538" s="248">
        <f>_xll.qlCalendarAdvance(Calendar,U538,NDays&amp;"D")</f>
        <v>42564</v>
      </c>
      <c r="W538" s="249">
        <v>4.053832900317602E-3</v>
      </c>
      <c r="X538" s="246">
        <v>3.6501488271145632E-3</v>
      </c>
    </row>
    <row r="539" spans="20:24" x14ac:dyDescent="0.2">
      <c r="T539" s="247" t="str">
        <f t="shared" si="13"/>
        <v>1w</v>
      </c>
      <c r="U539" s="245">
        <f>_xll.qlCalendarAdvance(Calendar,U538,T539,"f",FALSE)</f>
        <v>42569</v>
      </c>
      <c r="V539" s="248">
        <f>_xll.qlCalendarAdvance(Calendar,U539,NDays&amp;"D")</f>
        <v>42571</v>
      </c>
      <c r="W539" s="249">
        <v>4.1168194005035833E-3</v>
      </c>
      <c r="X539" s="246">
        <v>3.7102774113062509E-3</v>
      </c>
    </row>
    <row r="540" spans="20:24" x14ac:dyDescent="0.2">
      <c r="T540" s="247" t="str">
        <f t="shared" si="13"/>
        <v>1w</v>
      </c>
      <c r="U540" s="245">
        <f>_xll.qlCalendarAdvance(Calendar,U539,T540,"f",FALSE)</f>
        <v>42576</v>
      </c>
      <c r="V540" s="248">
        <f>_xll.qlCalendarAdvance(Calendar,U540,NDays&amp;"D")</f>
        <v>42578</v>
      </c>
      <c r="W540" s="249">
        <v>4.1802370401119882E-3</v>
      </c>
      <c r="X540" s="246">
        <v>3.7708356777077512E-3</v>
      </c>
    </row>
    <row r="541" spans="20:24" x14ac:dyDescent="0.2">
      <c r="T541" s="247" t="str">
        <f t="shared" si="13"/>
        <v>1w</v>
      </c>
      <c r="U541" s="245">
        <f>_xll.qlCalendarAdvance(Calendar,U540,T541,"f",FALSE)</f>
        <v>42583</v>
      </c>
      <c r="V541" s="248">
        <f>_xll.qlCalendarAdvance(Calendar,U541,NDays&amp;"D")</f>
        <v>42585</v>
      </c>
      <c r="W541" s="249">
        <v>4.2440858400495723E-3</v>
      </c>
      <c r="X541" s="246">
        <v>3.8318236264789363E-3</v>
      </c>
    </row>
    <row r="542" spans="20:24" x14ac:dyDescent="0.2">
      <c r="T542" s="247" t="str">
        <f t="shared" si="13"/>
        <v>1w</v>
      </c>
      <c r="U542" s="245">
        <f>_xll.qlCalendarAdvance(Calendar,U541,T542,"f",FALSE)</f>
        <v>42590</v>
      </c>
      <c r="V542" s="248">
        <f>_xll.qlCalendarAdvance(Calendar,U542,NDays&amp;"D")</f>
        <v>42592</v>
      </c>
      <c r="W542" s="249">
        <v>4.3083658213664538E-3</v>
      </c>
      <c r="X542" s="246">
        <v>3.8932412579395503E-3</v>
      </c>
    </row>
    <row r="543" spans="20:24" x14ac:dyDescent="0.2">
      <c r="T543" s="247" t="str">
        <f t="shared" si="13"/>
        <v>1w</v>
      </c>
      <c r="U543" s="245">
        <f>_xll.qlCalendarAdvance(Calendar,U542,T543,"f",FALSE)</f>
        <v>42597</v>
      </c>
      <c r="V543" s="248">
        <f>_xll.qlCalendarAdvance(Calendar,U543,NDays&amp;"D")</f>
        <v>42599</v>
      </c>
      <c r="W543" s="249">
        <v>4.3730770052535064E-3</v>
      </c>
      <c r="X543" s="246">
        <v>3.9550885721695295E-3</v>
      </c>
    </row>
    <row r="544" spans="20:24" x14ac:dyDescent="0.2">
      <c r="T544" s="247" t="str">
        <f t="shared" si="13"/>
        <v>1w</v>
      </c>
      <c r="U544" s="245">
        <f>_xll.qlCalendarAdvance(Calendar,U543,T544,"f",FALSE)</f>
        <v>42604</v>
      </c>
      <c r="V544" s="248">
        <f>_xll.qlCalendarAdvance(Calendar,U544,NDays&amp;"D")</f>
        <v>42606</v>
      </c>
      <c r="W544" s="249">
        <v>4.438219413045839E-3</v>
      </c>
      <c r="X544" s="246">
        <v>4.0173655694086818E-3</v>
      </c>
    </row>
    <row r="545" spans="20:24" x14ac:dyDescent="0.2">
      <c r="T545" s="247" t="str">
        <f t="shared" si="13"/>
        <v>1w</v>
      </c>
      <c r="U545" s="245">
        <f>_xll.qlCalendarAdvance(Calendar,U544,T545,"f",FALSE)</f>
        <v>42611</v>
      </c>
      <c r="V545" s="248">
        <f>_xll.qlCalendarAdvance(Calendar,U545,NDays&amp;"D")</f>
        <v>42613</v>
      </c>
      <c r="W545" s="249">
        <v>4.4989998915003016E-3</v>
      </c>
      <c r="X545" s="246">
        <v>4.0800722498968156E-3</v>
      </c>
    </row>
    <row r="546" spans="20:24" x14ac:dyDescent="0.2">
      <c r="T546" s="247" t="str">
        <f t="shared" si="13"/>
        <v>1w</v>
      </c>
      <c r="U546" s="245">
        <f>_xll.qlCalendarAdvance(Calendar,U545,T546,"f",FALSE)</f>
        <v>42618</v>
      </c>
      <c r="V546" s="248">
        <f>_xll.qlCalendarAdvance(Calendar,U546,NDays&amp;"D")</f>
        <v>42620</v>
      </c>
      <c r="W546" s="249">
        <v>4.564973174984447E-3</v>
      </c>
      <c r="X546" s="246">
        <v>4.143208613873739E-3</v>
      </c>
    </row>
    <row r="547" spans="20:24" x14ac:dyDescent="0.2">
      <c r="T547" s="247" t="str">
        <f t="shared" si="13"/>
        <v>1w</v>
      </c>
      <c r="U547" s="245">
        <f>_xll.qlCalendarAdvance(Calendar,U546,T547,"f",FALSE)</f>
        <v>42625</v>
      </c>
      <c r="V547" s="248">
        <f>_xll.qlCalendarAdvance(Calendar,U547,NDays&amp;"D")</f>
        <v>42627</v>
      </c>
      <c r="W547" s="249">
        <v>4.6313777280424908E-3</v>
      </c>
      <c r="X547" s="246">
        <v>4.2067746616591961E-3</v>
      </c>
    </row>
    <row r="548" spans="20:24" x14ac:dyDescent="0.2">
      <c r="T548" s="247" t="str">
        <f t="shared" si="13"/>
        <v>1w</v>
      </c>
      <c r="U548" s="245">
        <f>_xll.qlCalendarAdvance(Calendar,U547,T548,"f",FALSE)</f>
        <v>42632</v>
      </c>
      <c r="V548" s="248">
        <f>_xll.qlCalendarAdvance(Calendar,U548,NDays&amp;"D")</f>
        <v>42634</v>
      </c>
      <c r="W548" s="249">
        <v>4.6982135723309566E-3</v>
      </c>
      <c r="X548" s="246">
        <v>4.2707703933331231E-3</v>
      </c>
    </row>
    <row r="549" spans="20:24" x14ac:dyDescent="0.2">
      <c r="T549" s="247" t="str">
        <f t="shared" si="13"/>
        <v>1w</v>
      </c>
      <c r="U549" s="245">
        <f>_xll.qlCalendarAdvance(Calendar,U548,T549,"f",FALSE)</f>
        <v>42639</v>
      </c>
      <c r="V549" s="248">
        <f>_xll.qlCalendarAdvance(Calendar,U549,NDays&amp;"D")</f>
        <v>42641</v>
      </c>
      <c r="W549" s="249">
        <v>4.7654807296460353E-3</v>
      </c>
      <c r="X549" s="246">
        <v>4.3351958091353282E-3</v>
      </c>
    </row>
    <row r="550" spans="20:24" x14ac:dyDescent="0.2">
      <c r="T550" s="247" t="str">
        <f t="shared" si="13"/>
        <v>1w</v>
      </c>
      <c r="U550" s="245">
        <f>_xll.qlCalendarAdvance(Calendar,U549,T550,"f",FALSE)</f>
        <v>42646</v>
      </c>
      <c r="V550" s="248">
        <f>_xll.qlCalendarAdvance(Calendar,U550,NDays&amp;"D")</f>
        <v>42648</v>
      </c>
      <c r="W550" s="249">
        <v>4.8381307744676362E-3</v>
      </c>
      <c r="X550" s="246">
        <v>4.4000509093855555E-3</v>
      </c>
    </row>
    <row r="551" spans="20:24" x14ac:dyDescent="0.2">
      <c r="T551" s="247" t="str">
        <f t="shared" si="13"/>
        <v>1w</v>
      </c>
      <c r="U551" s="245">
        <f>_xll.qlCalendarAdvance(Calendar,U550,T551,"f",FALSE)</f>
        <v>42653</v>
      </c>
      <c r="V551" s="248">
        <f>_xll.qlCalendarAdvance(Calendar,U551,NDays&amp;"D")</f>
        <v>42655</v>
      </c>
      <c r="W551" s="249">
        <v>4.9062923589190842E-3</v>
      </c>
      <c r="X551" s="246">
        <v>4.4653356943236133E-3</v>
      </c>
    </row>
    <row r="552" spans="20:24" x14ac:dyDescent="0.2">
      <c r="T552" s="247" t="str">
        <f t="shared" si="13"/>
        <v>1w</v>
      </c>
      <c r="U552" s="245">
        <f>_xll.qlCalendarAdvance(Calendar,U551,T552,"f",FALSE)</f>
        <v>42660</v>
      </c>
      <c r="V552" s="248">
        <f>_xll.qlCalendarAdvance(Calendar,U552,NDays&amp;"D")</f>
        <v>42662</v>
      </c>
      <c r="W552" s="249">
        <v>4.9748853430760546E-3</v>
      </c>
      <c r="X552" s="246">
        <v>4.5310501640294376E-3</v>
      </c>
    </row>
    <row r="553" spans="20:24" x14ac:dyDescent="0.2">
      <c r="T553" s="247" t="str">
        <f t="shared" si="13"/>
        <v>1w</v>
      </c>
      <c r="U553" s="245">
        <f>_xll.qlCalendarAdvance(Calendar,U552,T553,"f",FALSE)</f>
        <v>42667</v>
      </c>
      <c r="V553" s="248">
        <f>_xll.qlCalendarAdvance(Calendar,U553,NDays&amp;"D")</f>
        <v>42669</v>
      </c>
      <c r="W553" s="249">
        <v>5.0439097495569782E-3</v>
      </c>
      <c r="X553" s="246">
        <v>4.5971943189027087E-3</v>
      </c>
    </row>
    <row r="554" spans="20:24" x14ac:dyDescent="0.2">
      <c r="T554" s="247" t="str">
        <f t="shared" si="13"/>
        <v>1w</v>
      </c>
      <c r="U554" s="245">
        <f>_xll.qlCalendarAdvance(Calendar,U553,T554,"f",FALSE)</f>
        <v>42674</v>
      </c>
      <c r="V554" s="248">
        <f>_xll.qlCalendarAdvance(Calendar,U554,NDays&amp;"D")</f>
        <v>42676</v>
      </c>
      <c r="W554" s="249">
        <v>5.1133656011201709E-3</v>
      </c>
      <c r="X554" s="246">
        <v>4.6637681591032987E-3</v>
      </c>
    </row>
    <row r="555" spans="20:24" x14ac:dyDescent="0.2">
      <c r="T555" s="247" t="str">
        <f t="shared" si="13"/>
        <v>1w</v>
      </c>
      <c r="U555" s="245">
        <f>_xll.qlCalendarAdvance(Calendar,U554,T555,"f",FALSE)</f>
        <v>42681</v>
      </c>
      <c r="V555" s="248">
        <f>_xll.qlCalendarAdvance(Calendar,U555,NDays&amp;"D")</f>
        <v>42683</v>
      </c>
      <c r="W555" s="249">
        <v>5.1832529206664452E-3</v>
      </c>
      <c r="X555" s="246">
        <v>4.7307716848710157E-3</v>
      </c>
    </row>
    <row r="556" spans="20:24" x14ac:dyDescent="0.2">
      <c r="T556" s="247" t="str">
        <f t="shared" si="13"/>
        <v>1w</v>
      </c>
      <c r="U556" s="245">
        <f>_xll.qlCalendarAdvance(Calendar,U555,T556,"f",FALSE)</f>
        <v>42688</v>
      </c>
      <c r="V556" s="248">
        <f>_xll.qlCalendarAdvance(Calendar,U556,NDays&amp;"D")</f>
        <v>42690</v>
      </c>
      <c r="W556" s="249">
        <v>5.2535717312399751E-3</v>
      </c>
      <c r="X556" s="246">
        <v>4.7982048965256041E-3</v>
      </c>
    </row>
    <row r="557" spans="20:24" x14ac:dyDescent="0.2">
      <c r="T557" s="247" t="str">
        <f t="shared" si="13"/>
        <v>1w</v>
      </c>
      <c r="U557" s="245">
        <f>_xll.qlCalendarAdvance(Calendar,U556,T557,"f",FALSE)</f>
        <v>42695</v>
      </c>
      <c r="V557" s="248">
        <f>_xll.qlCalendarAdvance(Calendar,U557,NDays&amp;"D")</f>
        <v>42697</v>
      </c>
      <c r="W557" s="249">
        <v>5.3243220560283003E-3</v>
      </c>
      <c r="X557" s="246">
        <v>4.8660677941469999E-3</v>
      </c>
    </row>
    <row r="558" spans="20:24" x14ac:dyDescent="0.2">
      <c r="T558" s="247" t="str">
        <f t="shared" si="13"/>
        <v>1w</v>
      </c>
      <c r="U558" s="245">
        <f>_xll.qlCalendarAdvance(Calendar,U557,T558,"f",FALSE)</f>
        <v>42702</v>
      </c>
      <c r="V558" s="248">
        <f>_xll.qlCalendarAdvance(Calendar,U558,NDays&amp;"D")</f>
        <v>42704</v>
      </c>
      <c r="W558" s="249">
        <v>5.3850949657983094E-3</v>
      </c>
      <c r="X558" s="246">
        <v>4.9343603781348833E-3</v>
      </c>
    </row>
    <row r="559" spans="20:24" x14ac:dyDescent="0.2">
      <c r="T559" s="247" t="str">
        <f t="shared" si="13"/>
        <v>1w</v>
      </c>
      <c r="U559" s="245">
        <f>_xll.qlCalendarAdvance(Calendar,U558,T559,"f",FALSE)</f>
        <v>42709</v>
      </c>
      <c r="V559" s="248">
        <f>_xll.qlCalendarAdvance(Calendar,U559,NDays&amp;"D")</f>
        <v>42711</v>
      </c>
      <c r="W559" s="249">
        <v>5.4566445803381214E-3</v>
      </c>
      <c r="X559" s="246">
        <v>5.0030826486491264E-3</v>
      </c>
    </row>
    <row r="560" spans="20:24" x14ac:dyDescent="0.2">
      <c r="T560" s="247" t="str">
        <f t="shared" si="13"/>
        <v>1w</v>
      </c>
      <c r="U560" s="245">
        <f>_xll.qlCalendarAdvance(Calendar,U559,T560,"f",FALSE)</f>
        <v>42716</v>
      </c>
      <c r="V560" s="248">
        <f>_xll.qlCalendarAdvance(Calendar,U560,NDays&amp;"D")</f>
        <v>42718</v>
      </c>
      <c r="W560" s="249">
        <v>5.5286257344624445E-3</v>
      </c>
      <c r="X560" s="246">
        <v>5.0722346059295376E-3</v>
      </c>
    </row>
    <row r="561" spans="20:24" x14ac:dyDescent="0.2">
      <c r="T561" s="247" t="str">
        <f t="shared" si="13"/>
        <v>1w</v>
      </c>
      <c r="U561" s="245">
        <f>_xll.qlCalendarAdvance(Calendar,U560,T561,"f",FALSE)</f>
        <v>42723</v>
      </c>
      <c r="V561" s="248">
        <f>_xll.qlCalendarAdvance(Calendar,U561,NDays&amp;"D")</f>
        <v>42725</v>
      </c>
      <c r="W561" s="249">
        <v>5.6010384513891509E-3</v>
      </c>
      <c r="X561" s="246">
        <v>5.1418162503757969E-3</v>
      </c>
    </row>
    <row r="562" spans="20:24" x14ac:dyDescent="0.2">
      <c r="T562" s="247" t="str">
        <f t="shared" si="13"/>
        <v>1w</v>
      </c>
      <c r="U562" s="245">
        <f>_xll.qlCalendarAdvance(Calendar,U561,T562,"f",FALSE)</f>
        <v>42731</v>
      </c>
      <c r="V562" s="248">
        <f>_xll.qlCalendarAdvance(Calendar,U562,NDays&amp;"D")</f>
        <v>42733</v>
      </c>
      <c r="W562" s="249">
        <v>5.6843243163839929E-3</v>
      </c>
      <c r="X562" s="246">
        <v>5.2218642773027568E-3</v>
      </c>
    </row>
    <row r="563" spans="20:24" x14ac:dyDescent="0.2">
      <c r="T563" s="247" t="str">
        <f t="shared" si="13"/>
        <v>1w</v>
      </c>
      <c r="U563" s="245">
        <f>_xll.qlCalendarAdvance(Calendar,U562,T563,"f",FALSE)</f>
        <v>42738</v>
      </c>
      <c r="V563" s="248">
        <f>_xll.qlCalendarAdvance(Calendar,U563,NDays&amp;"D")</f>
        <v>42740</v>
      </c>
      <c r="W563" s="249">
        <v>5.7576618895822662E-3</v>
      </c>
      <c r="X563" s="246">
        <v>5.2923666804183256E-3</v>
      </c>
    </row>
    <row r="564" spans="20:24" x14ac:dyDescent="0.2">
      <c r="T564" s="247" t="str">
        <f t="shared" si="13"/>
        <v>1w</v>
      </c>
      <c r="U564" s="245">
        <f>_xll.qlCalendarAdvance(Calendar,U563,T564,"f",FALSE)</f>
        <v>42745</v>
      </c>
      <c r="V564" s="248">
        <f>_xll.qlCalendarAdvance(Calendar,U564,NDays&amp;"D")</f>
        <v>42747</v>
      </c>
      <c r="W564" s="249">
        <v>5.8314310994669327E-3</v>
      </c>
      <c r="X564" s="246">
        <v>5.3632987714191671E-3</v>
      </c>
    </row>
    <row r="565" spans="20:24" x14ac:dyDescent="0.2">
      <c r="T565" s="247" t="str">
        <f t="shared" si="13"/>
        <v>1w</v>
      </c>
      <c r="U565" s="245">
        <f>_xll.qlCalendarAdvance(Calendar,U564,T565,"f",FALSE)</f>
        <v>42752</v>
      </c>
      <c r="V565" s="248">
        <f>_xll.qlCalendarAdvance(Calendar,U565,NDays&amp;"D")</f>
        <v>42754</v>
      </c>
      <c r="W565" s="249">
        <v>5.905631969835845E-3</v>
      </c>
      <c r="X565" s="246">
        <v>5.4346605505450896E-3</v>
      </c>
    </row>
    <row r="566" spans="20:24" x14ac:dyDescent="0.2">
      <c r="T566" s="247" t="str">
        <f t="shared" si="13"/>
        <v>1w</v>
      </c>
      <c r="U566" s="245">
        <f>_xll.qlCalendarAdvance(Calendar,U565,T566,"f",FALSE)</f>
        <v>42759</v>
      </c>
      <c r="V566" s="248">
        <f>_xll.qlCalendarAdvance(Calendar,U566,NDays&amp;"D")</f>
        <v>42761</v>
      </c>
      <c r="W566" s="249">
        <v>5.9802645246245234E-3</v>
      </c>
      <c r="X566" s="246">
        <v>5.5064520179559651E-3</v>
      </c>
    </row>
    <row r="567" spans="20:24" x14ac:dyDescent="0.2">
      <c r="T567" s="247" t="str">
        <f t="shared" si="13"/>
        <v>1w</v>
      </c>
      <c r="U567" s="245">
        <f>_xll.qlCalendarAdvance(Calendar,U566,T567,"f",FALSE)</f>
        <v>42766</v>
      </c>
      <c r="V567" s="248">
        <f>_xll.qlCalendarAdvance(Calendar,U567,NDays&amp;"D")</f>
        <v>42768</v>
      </c>
      <c r="W567" s="249">
        <v>6.0498364294162962E-3</v>
      </c>
      <c r="X567" s="246">
        <v>5.5786731738916018E-3</v>
      </c>
    </row>
    <row r="568" spans="20:24" x14ac:dyDescent="0.2">
      <c r="T568" s="247" t="str">
        <f t="shared" si="13"/>
        <v>1w</v>
      </c>
      <c r="U568" s="245">
        <f>_xll.qlCalendarAdvance(Calendar,U567,T568,"f",FALSE)</f>
        <v>42773</v>
      </c>
      <c r="V568" s="248">
        <f>_xll.qlCalendarAdvance(Calendar,U568,NDays&amp;"D")</f>
        <v>42775</v>
      </c>
      <c r="W568" s="249">
        <v>6.1253003101830591E-3</v>
      </c>
      <c r="X568" s="246">
        <v>5.65132401875168E-3</v>
      </c>
    </row>
    <row r="569" spans="20:24" x14ac:dyDescent="0.2">
      <c r="T569" s="247" t="str">
        <f t="shared" si="13"/>
        <v>1w</v>
      </c>
      <c r="U569" s="245">
        <f>_xll.qlCalendarAdvance(Calendar,U568,T569,"f",FALSE)</f>
        <v>42780</v>
      </c>
      <c r="V569" s="248">
        <f>_xll.qlCalendarAdvance(Calendar,U569,NDays&amp;"D")</f>
        <v>42782</v>
      </c>
      <c r="W569" s="249">
        <v>6.2011959230407979E-3</v>
      </c>
      <c r="X569" s="246">
        <v>5.7244045526960718E-3</v>
      </c>
    </row>
    <row r="570" spans="20:24" x14ac:dyDescent="0.2">
      <c r="T570" s="247" t="str">
        <f t="shared" si="13"/>
        <v>1w</v>
      </c>
      <c r="U570" s="245">
        <f>_xll.qlCalendarAdvance(Calendar,U569,T570,"f",FALSE)</f>
        <v>42787</v>
      </c>
      <c r="V570" s="248">
        <f>_xll.qlCalendarAdvance(Calendar,U570,NDays&amp;"D")</f>
        <v>42789</v>
      </c>
      <c r="W570" s="249">
        <v>6.2775232922002589E-3</v>
      </c>
      <c r="X570" s="246">
        <v>5.7979147761244576E-3</v>
      </c>
    </row>
    <row r="571" spans="20:24" x14ac:dyDescent="0.2">
      <c r="T571" s="247" t="str">
        <f t="shared" si="13"/>
        <v>1w</v>
      </c>
      <c r="U571" s="245">
        <f>_xll.qlCalendarAdvance(Calendar,U570,T571,"f",FALSE)</f>
        <v>42794</v>
      </c>
      <c r="V571" s="248">
        <f>_xll.qlCalendarAdvance(Calendar,U571,NDays&amp;"D")</f>
        <v>42796</v>
      </c>
      <c r="W571" s="249">
        <v>6.3711547510855613E-3</v>
      </c>
      <c r="X571" s="246">
        <v>5.8718546890368373E-3</v>
      </c>
    </row>
    <row r="572" spans="20:24" x14ac:dyDescent="0.2">
      <c r="T572" s="247" t="str">
        <f t="shared" si="13"/>
        <v>1w</v>
      </c>
      <c r="U572" s="245">
        <f>_xll.qlCalendarAdvance(Calendar,U571,T572,"f",FALSE)</f>
        <v>42801</v>
      </c>
      <c r="V572" s="248">
        <f>_xll.qlCalendarAdvance(Calendar,U572,NDays&amp;"D")</f>
        <v>42803</v>
      </c>
      <c r="W572" s="249">
        <v>6.4484385291496702E-3</v>
      </c>
      <c r="X572" s="246">
        <v>5.9462242919927633E-3</v>
      </c>
    </row>
    <row r="573" spans="20:24" x14ac:dyDescent="0.2">
      <c r="T573" s="247" t="str">
        <f t="shared" si="13"/>
        <v>1w</v>
      </c>
      <c r="U573" s="245">
        <f>_xll.qlCalendarAdvance(Calendar,U572,T573,"f",FALSE)</f>
        <v>42808</v>
      </c>
      <c r="V573" s="248">
        <f>_xll.qlCalendarAdvance(Calendar,U573,NDays&amp;"D")</f>
        <v>42810</v>
      </c>
      <c r="W573" s="249">
        <v>6.5261311845544595E-3</v>
      </c>
      <c r="X573" s="246">
        <v>6.0210235849922356E-3</v>
      </c>
    </row>
    <row r="574" spans="20:24" x14ac:dyDescent="0.2">
      <c r="T574" s="247" t="str">
        <f t="shared" si="13"/>
        <v>1w</v>
      </c>
      <c r="U574" s="245">
        <f>_xll.qlCalendarAdvance(Calendar,U573,T574,"f",FALSE)</f>
        <v>42815</v>
      </c>
      <c r="V574" s="248">
        <f>_xll.qlCalendarAdvance(Calendar,U574,NDays&amp;"D")</f>
        <v>42817</v>
      </c>
      <c r="W574" s="249">
        <v>6.6042097103435901E-3</v>
      </c>
      <c r="X574" s="246">
        <v>6.0962525685948066E-3</v>
      </c>
    </row>
    <row r="575" spans="20:24" x14ac:dyDescent="0.2">
      <c r="T575" s="247" t="str">
        <f t="shared" si="13"/>
        <v>1w</v>
      </c>
      <c r="U575" s="245">
        <f>_xll.qlCalendarAdvance(Calendar,U574,T575,"f",FALSE)</f>
        <v>42822</v>
      </c>
      <c r="V575" s="248">
        <f>_xll.qlCalendarAdvance(Calendar,U575,NDays&amp;"D")</f>
        <v>42824</v>
      </c>
      <c r="W575" s="249">
        <v>6.6826510978447023E-3</v>
      </c>
      <c r="X575" s="246">
        <v>6.1719112428004763E-3</v>
      </c>
    </row>
    <row r="576" spans="20:24" x14ac:dyDescent="0.2">
      <c r="T576" s="247" t="str">
        <f t="shared" si="13"/>
        <v>1w</v>
      </c>
      <c r="U576" s="245">
        <f>_xll.qlCalendarAdvance(Calendar,U575,T576,"f",FALSE)</f>
        <v>42829</v>
      </c>
      <c r="V576" s="248">
        <f>_xll.qlCalendarAdvance(Calendar,U576,NDays&amp;"D")</f>
        <v>42831</v>
      </c>
      <c r="W576" s="249">
        <v>6.7556788553139874E-3</v>
      </c>
      <c r="X576" s="246">
        <v>6.2479996080089251E-3</v>
      </c>
    </row>
    <row r="577" spans="20:24" x14ac:dyDescent="0.2">
      <c r="T577" s="247" t="str">
        <f t="shared" si="13"/>
        <v>1w</v>
      </c>
      <c r="U577" s="245">
        <f>_xll.qlCalendarAdvance(Calendar,U576,T577,"f",FALSE)</f>
        <v>42836</v>
      </c>
      <c r="V577" s="248">
        <f>_xll.qlCalendarAdvance(Calendar,U577,NDays&amp;"D")</f>
        <v>42838</v>
      </c>
      <c r="W577" s="249">
        <v>6.8347588023679792E-3</v>
      </c>
      <c r="X577" s="246">
        <v>6.3466914267582553E-3</v>
      </c>
    </row>
    <row r="578" spans="20:24" x14ac:dyDescent="0.2">
      <c r="T578" s="247" t="str">
        <f t="shared" si="13"/>
        <v>1w</v>
      </c>
      <c r="U578" s="245">
        <f>_xll.qlCalendarAdvance(Calendar,U577,T578,"f",FALSE)</f>
        <v>42843</v>
      </c>
      <c r="V578" s="248">
        <f>_xll.qlCalendarAdvance(Calendar,U578,NDays&amp;"D")</f>
        <v>42845</v>
      </c>
      <c r="W578" s="249">
        <v>6.9141343584212282E-3</v>
      </c>
      <c r="X578" s="246">
        <v>6.4014654123933923E-3</v>
      </c>
    </row>
    <row r="579" spans="20:24" x14ac:dyDescent="0.2">
      <c r="T579" s="247" t="str">
        <f t="shared" si="13"/>
        <v>1w</v>
      </c>
      <c r="U579" s="245">
        <f>_xll.qlCalendarAdvance(Calendar,U578,T579,"f",FALSE)</f>
        <v>42850</v>
      </c>
      <c r="V579" s="248">
        <f>_xll.qlCalendarAdvance(Calendar,U579,NDays&amp;"D")</f>
        <v>42852</v>
      </c>
      <c r="W579" s="249">
        <v>6.9937822550096554E-3</v>
      </c>
      <c r="X579" s="246">
        <v>6.4788428522088992E-3</v>
      </c>
    </row>
    <row r="580" spans="20:24" x14ac:dyDescent="0.2">
      <c r="T580" s="247" t="str">
        <f t="shared" si="13"/>
        <v>1w</v>
      </c>
      <c r="U580" s="245">
        <f>_xll.qlCalendarAdvance(Calendar,U579,T580,"f",FALSE)</f>
        <v>42857</v>
      </c>
      <c r="V580" s="248">
        <f>_xll.qlCalendarAdvance(Calendar,U580,NDays&amp;"D")</f>
        <v>42859</v>
      </c>
      <c r="W580" s="249">
        <v>7.0794955346331146E-3</v>
      </c>
      <c r="X580" s="246">
        <v>6.5566499840663539E-3</v>
      </c>
    </row>
    <row r="581" spans="20:24" x14ac:dyDescent="0.2">
      <c r="T581" s="247" t="str">
        <f t="shared" si="13"/>
        <v>1w</v>
      </c>
      <c r="U581" s="245">
        <f>_xll.qlCalendarAdvance(Calendar,U580,T581,"f",FALSE)</f>
        <v>42864</v>
      </c>
      <c r="V581" s="248">
        <f>_xll.qlCalendarAdvance(Calendar,U581,NDays&amp;"D")</f>
        <v>42866</v>
      </c>
      <c r="W581" s="249">
        <v>7.1596308115351457E-3</v>
      </c>
      <c r="X581" s="246">
        <v>6.6348868082855006E-3</v>
      </c>
    </row>
    <row r="582" spans="20:24" x14ac:dyDescent="0.2">
      <c r="T582" s="247" t="str">
        <f t="shared" si="13"/>
        <v>1w</v>
      </c>
      <c r="U582" s="245">
        <f>_xll.qlCalendarAdvance(Calendar,U581,T582,"f",FALSE)</f>
        <v>42871</v>
      </c>
      <c r="V582" s="248">
        <f>_xll.qlCalendarAdvance(Calendar,U582,NDays&amp;"D")</f>
        <v>42873</v>
      </c>
      <c r="W582" s="249">
        <v>7.2399678396963532E-3</v>
      </c>
      <c r="X582" s="246">
        <v>6.7135533251061474E-3</v>
      </c>
    </row>
    <row r="583" spans="20:24" x14ac:dyDescent="0.2">
      <c r="T583" s="247" t="str">
        <f t="shared" si="13"/>
        <v>1w</v>
      </c>
      <c r="U583" s="245">
        <f>_xll.qlCalendarAdvance(Calendar,U582,T583,"f",FALSE)</f>
        <v>42878</v>
      </c>
      <c r="V583" s="248">
        <f>_xll.qlCalendarAdvance(Calendar,U583,NDays&amp;"D")</f>
        <v>42880</v>
      </c>
      <c r="W583" s="249">
        <v>7.3204835960332991E-3</v>
      </c>
      <c r="X583" s="246">
        <v>6.7926495348480387E-3</v>
      </c>
    </row>
    <row r="584" spans="20:24" x14ac:dyDescent="0.2">
      <c r="T584" s="247" t="str">
        <f t="shared" si="13"/>
        <v>1w</v>
      </c>
      <c r="U584" s="245">
        <f>_xll.qlCalendarAdvance(Calendar,U583,T584,"f",FALSE)</f>
        <v>42885</v>
      </c>
      <c r="V584" s="248">
        <f>_xll.qlCalendarAdvance(Calendar,U584,NDays&amp;"D")</f>
        <v>42887</v>
      </c>
      <c r="W584" s="249">
        <v>7.4011550555970777E-3</v>
      </c>
      <c r="X584" s="246">
        <v>6.8721754379108546E-3</v>
      </c>
    </row>
    <row r="585" spans="20:24" x14ac:dyDescent="0.2">
      <c r="T585" s="247" t="str">
        <f t="shared" si="13"/>
        <v>1w</v>
      </c>
      <c r="U585" s="245">
        <f>_xll.qlCalendarAdvance(Calendar,U584,T585,"f",FALSE)</f>
        <v>42892</v>
      </c>
      <c r="V585" s="248">
        <f>_xll.qlCalendarAdvance(Calendar,U585,NDays&amp;"D")</f>
        <v>42894</v>
      </c>
      <c r="W585" s="249">
        <v>7.4819616093740647E-3</v>
      </c>
      <c r="X585" s="246">
        <v>6.9520004957546178E-3</v>
      </c>
    </row>
    <row r="586" spans="20:24" x14ac:dyDescent="0.2">
      <c r="T586" s="247" t="str">
        <f t="shared" si="13"/>
        <v>1w</v>
      </c>
      <c r="U586" s="245">
        <f>_xll.qlCalendarAdvance(Calendar,U585,T586,"f",FALSE)</f>
        <v>42899</v>
      </c>
      <c r="V586" s="248">
        <f>_xll.qlCalendarAdvance(Calendar,U586,NDays&amp;"D")</f>
        <v>42901</v>
      </c>
      <c r="W586" s="249">
        <v>7.5628975680048401E-3</v>
      </c>
      <c r="X586" s="246">
        <v>7.0319540834251626E-3</v>
      </c>
    </row>
    <row r="587" spans="20:24" x14ac:dyDescent="0.2">
      <c r="T587" s="247" t="str">
        <f t="shared" si="13"/>
        <v>1w</v>
      </c>
      <c r="U587" s="245">
        <f>_xll.qlCalendarAdvance(Calendar,U586,T587,"f",FALSE)</f>
        <v>42906</v>
      </c>
      <c r="V587" s="248">
        <f>_xll.qlCalendarAdvance(Calendar,U587,NDays&amp;"D")</f>
        <v>42908</v>
      </c>
      <c r="W587" s="249">
        <v>7.6439629282406994E-3</v>
      </c>
      <c r="X587" s="246">
        <v>7.1120351730247222E-3</v>
      </c>
    </row>
    <row r="588" spans="20:24" x14ac:dyDescent="0.2">
      <c r="T588" s="247" t="str">
        <f t="shared" si="13"/>
        <v>1w</v>
      </c>
      <c r="U588" s="245">
        <f>_xll.qlCalendarAdvance(Calendar,U587,T588,"f",FALSE)</f>
        <v>42913</v>
      </c>
      <c r="V588" s="248">
        <f>_xll.qlCalendarAdvance(Calendar,U588,NDays&amp;"D")</f>
        <v>42915</v>
      </c>
      <c r="W588" s="249">
        <v>7.7251576980387551E-3</v>
      </c>
      <c r="X588" s="246">
        <v>7.1922437647131687E-3</v>
      </c>
    </row>
    <row r="589" spans="20:24" x14ac:dyDescent="0.2">
      <c r="T589" s="247" t="str">
        <f t="shared" si="13"/>
        <v>1w</v>
      </c>
      <c r="U589" s="245">
        <f>_xll.qlCalendarAdvance(Calendar,U588,T589,"f",FALSE)</f>
        <v>42920</v>
      </c>
      <c r="V589" s="248">
        <f>_xll.qlCalendarAdvance(Calendar,U589,NDays&amp;"D")</f>
        <v>42922</v>
      </c>
      <c r="W589" s="249">
        <v>7.8064818853708908E-3</v>
      </c>
      <c r="X589" s="246">
        <v>7.2725798586503743E-3</v>
      </c>
    </row>
    <row r="590" spans="20:24" x14ac:dyDescent="0.2">
      <c r="T590" s="247" t="str">
        <f t="shared" si="13"/>
        <v>1w</v>
      </c>
      <c r="U590" s="245">
        <f>_xll.qlCalendarAdvance(Calendar,U589,T590,"f",FALSE)</f>
        <v>42927</v>
      </c>
      <c r="V590" s="248">
        <f>_xll.qlCalendarAdvance(Calendar,U590,NDays&amp;"D")</f>
        <v>42929</v>
      </c>
      <c r="W590" s="249">
        <v>7.8879354982185502E-3</v>
      </c>
      <c r="X590" s="246">
        <v>7.3530434547564028E-3</v>
      </c>
    </row>
    <row r="591" spans="20:24" x14ac:dyDescent="0.2">
      <c r="T591" s="247" t="str">
        <f t="shared" si="13"/>
        <v>1w</v>
      </c>
      <c r="U591" s="245">
        <f>_xll.qlCalendarAdvance(Calendar,U590,T591,"f",FALSE)</f>
        <v>42934</v>
      </c>
      <c r="V591" s="248">
        <f>_xll.qlCalendarAdvance(Calendar,U591,NDays&amp;"D")</f>
        <v>42936</v>
      </c>
      <c r="W591" s="249">
        <v>7.96951854457968E-3</v>
      </c>
      <c r="X591" s="246">
        <v>7.4336345532710624E-3</v>
      </c>
    </row>
    <row r="592" spans="20:24" x14ac:dyDescent="0.2">
      <c r="T592" s="247" t="str">
        <f t="shared" si="13"/>
        <v>1w</v>
      </c>
      <c r="U592" s="245">
        <f>_xll.qlCalendarAdvance(Calendar,U591,T592,"f",FALSE)</f>
        <v>42941</v>
      </c>
      <c r="V592" s="248">
        <f>_xll.qlCalendarAdvance(Calendar,U592,NDays&amp;"D")</f>
        <v>42943</v>
      </c>
      <c r="W592" s="249">
        <v>8.0512310324617909E-3</v>
      </c>
      <c r="X592" s="246">
        <v>7.5143531541943531E-3</v>
      </c>
    </row>
    <row r="593" spans="20:24" x14ac:dyDescent="0.2">
      <c r="T593" s="247" t="str">
        <f t="shared" si="13"/>
        <v>1w</v>
      </c>
      <c r="U593" s="245">
        <f>_xll.qlCalendarAdvance(Calendar,U592,T593,"f",FALSE)</f>
        <v>42948</v>
      </c>
      <c r="V593" s="248">
        <f>_xll.qlCalendarAdvance(Calendar,U593,NDays&amp;"D")</f>
        <v>42950</v>
      </c>
      <c r="W593" s="249">
        <v>8.1330729698871618E-3</v>
      </c>
      <c r="X593" s="246">
        <v>7.595199257526275E-3</v>
      </c>
    </row>
    <row r="594" spans="20:24" x14ac:dyDescent="0.2">
      <c r="T594" s="247" t="str">
        <f t="shared" ref="T594:T657" si="14">T593</f>
        <v>1w</v>
      </c>
      <c r="U594" s="245">
        <f>_xll.qlCalendarAdvance(Calendar,U593,T594,"f",FALSE)</f>
        <v>42955</v>
      </c>
      <c r="V594" s="248">
        <f>_xll.qlCalendarAdvance(Calendar,U594,NDays&amp;"D")</f>
        <v>42957</v>
      </c>
      <c r="W594" s="249">
        <v>8.2150443648902321E-3</v>
      </c>
      <c r="X594" s="246">
        <v>7.6761728635865722E-3</v>
      </c>
    </row>
    <row r="595" spans="20:24" x14ac:dyDescent="0.2">
      <c r="T595" s="247" t="str">
        <f t="shared" si="14"/>
        <v>1w</v>
      </c>
      <c r="U595" s="245">
        <f>_xll.qlCalendarAdvance(Calendar,U594,T595,"f",FALSE)</f>
        <v>42962</v>
      </c>
      <c r="V595" s="248">
        <f>_xll.qlCalendarAdvance(Calendar,U595,NDays&amp;"D")</f>
        <v>42964</v>
      </c>
      <c r="W595" s="249">
        <v>8.2971452255184795E-3</v>
      </c>
      <c r="X595" s="246">
        <v>7.7572739722153727E-3</v>
      </c>
    </row>
    <row r="596" spans="20:24" x14ac:dyDescent="0.2">
      <c r="T596" s="247" t="str">
        <f t="shared" si="14"/>
        <v>1w</v>
      </c>
      <c r="U596" s="245">
        <f>_xll.qlCalendarAdvance(Calendar,U595,T596,"f",FALSE)</f>
        <v>42969</v>
      </c>
      <c r="V596" s="248">
        <f>_xll.qlCalendarAdvance(Calendar,U596,NDays&amp;"D")</f>
        <v>42971</v>
      </c>
      <c r="W596" s="249">
        <v>8.3793755598315454E-3</v>
      </c>
      <c r="X596" s="246">
        <v>7.8385025837324207E-3</v>
      </c>
    </row>
    <row r="597" spans="20:24" x14ac:dyDescent="0.2">
      <c r="T597" s="247" t="str">
        <f t="shared" si="14"/>
        <v>1w</v>
      </c>
      <c r="U597" s="245">
        <f>_xll.qlCalendarAdvance(Calendar,U596,T597,"f",FALSE)</f>
        <v>42976</v>
      </c>
      <c r="V597" s="248">
        <f>_xll.qlCalendarAdvance(Calendar,U597,NDays&amp;"D")</f>
        <v>42978</v>
      </c>
      <c r="W597" s="249">
        <v>8.455729122343365E-3</v>
      </c>
      <c r="X597" s="246">
        <v>7.919858697977844E-3</v>
      </c>
    </row>
    <row r="598" spans="20:24" x14ac:dyDescent="0.2">
      <c r="T598" s="247" t="str">
        <f t="shared" si="14"/>
        <v>1w</v>
      </c>
      <c r="U598" s="245">
        <f>_xll.qlCalendarAdvance(Calendar,U597,T598,"f",FALSE)</f>
        <v>42983</v>
      </c>
      <c r="V598" s="248">
        <f>_xll.qlCalendarAdvance(Calendar,U598,NDays&amp;"D")</f>
        <v>42985</v>
      </c>
      <c r="W598" s="249">
        <v>8.5382072336581075E-3</v>
      </c>
      <c r="X598" s="246">
        <v>8.001342315271387E-3</v>
      </c>
    </row>
    <row r="599" spans="20:24" x14ac:dyDescent="0.2">
      <c r="T599" s="247" t="str">
        <f t="shared" si="14"/>
        <v>1w</v>
      </c>
      <c r="U599" s="245">
        <f>_xll.qlCalendarAdvance(Calendar,U598,T599,"f",FALSE)</f>
        <v>42990</v>
      </c>
      <c r="V599" s="248">
        <f>_xll.qlCalendarAdvance(Calendar,U599,NDays&amp;"D")</f>
        <v>42992</v>
      </c>
      <c r="W599" s="249">
        <v>8.620814820382584E-3</v>
      </c>
      <c r="X599" s="246">
        <v>8.0829534355331134E-3</v>
      </c>
    </row>
    <row r="600" spans="20:24" x14ac:dyDescent="0.2">
      <c r="T600" s="247" t="str">
        <f t="shared" si="14"/>
        <v>1w</v>
      </c>
      <c r="U600" s="245">
        <f>_xll.qlCalendarAdvance(Calendar,U599,T600,"f",FALSE)</f>
        <v>42997</v>
      </c>
      <c r="V600" s="248">
        <f>_xll.qlCalendarAdvance(Calendar,U600,NDays&amp;"D")</f>
        <v>42999</v>
      </c>
      <c r="W600" s="249">
        <v>8.7035518905393891E-3</v>
      </c>
      <c r="X600" s="246">
        <v>8.1646920589228955E-3</v>
      </c>
    </row>
    <row r="601" spans="20:24" x14ac:dyDescent="0.2">
      <c r="T601" s="247" t="str">
        <f t="shared" si="14"/>
        <v>1w</v>
      </c>
      <c r="U601" s="245">
        <f>_xll.qlCalendarAdvance(Calendar,U600,T601,"f",FALSE)</f>
        <v>43004</v>
      </c>
      <c r="V601" s="248">
        <f>_xll.qlCalendarAdvance(Calendar,U601,NDays&amp;"D")</f>
        <v>43006</v>
      </c>
      <c r="W601" s="249">
        <v>8.7864184521625338E-3</v>
      </c>
      <c r="X601" s="246">
        <v>8.2465581855206693E-3</v>
      </c>
    </row>
    <row r="602" spans="20:24" x14ac:dyDescent="0.2">
      <c r="T602" s="247" t="str">
        <f t="shared" si="14"/>
        <v>1w</v>
      </c>
      <c r="U602" s="245">
        <f>_xll.qlCalendarAdvance(Calendar,U601,T602,"f",FALSE)</f>
        <v>43011</v>
      </c>
      <c r="V602" s="248">
        <f>_xll.qlCalendarAdvance(Calendar,U602,NDays&amp;"D")</f>
        <v>43013</v>
      </c>
      <c r="W602" s="249">
        <v>8.875476966092203E-3</v>
      </c>
      <c r="X602" s="246">
        <v>8.3285518154063709E-3</v>
      </c>
    </row>
    <row r="603" spans="20:24" x14ac:dyDescent="0.2">
      <c r="T603" s="247" t="str">
        <f t="shared" si="14"/>
        <v>1w</v>
      </c>
      <c r="U603" s="245">
        <f>_xll.qlCalendarAdvance(Calendar,U602,T603,"f",FALSE)</f>
        <v>43018</v>
      </c>
      <c r="V603" s="248">
        <f>_xll.qlCalendarAdvance(Calendar,U603,NDays&amp;"D")</f>
        <v>43020</v>
      </c>
      <c r="W603" s="249">
        <v>8.9586138429654169E-3</v>
      </c>
      <c r="X603" s="246">
        <v>8.4106729486599363E-3</v>
      </c>
    </row>
    <row r="604" spans="20:24" x14ac:dyDescent="0.2">
      <c r="T604" s="247" t="str">
        <f t="shared" si="14"/>
        <v>1w</v>
      </c>
      <c r="U604" s="245">
        <f>_xll.qlCalendarAdvance(Calendar,U603,T604,"f",FALSE)</f>
        <v>43025</v>
      </c>
      <c r="V604" s="248">
        <f>_xll.qlCalendarAdvance(Calendar,U604,NDays&amp;"D")</f>
        <v>43027</v>
      </c>
      <c r="W604" s="249">
        <v>9.0418802584688891E-3</v>
      </c>
      <c r="X604" s="246">
        <v>8.4929215853613016E-3</v>
      </c>
    </row>
    <row r="605" spans="20:24" x14ac:dyDescent="0.2">
      <c r="T605" s="247" t="str">
        <f t="shared" si="14"/>
        <v>1w</v>
      </c>
      <c r="U605" s="245">
        <f>_xll.qlCalendarAdvance(Calendar,U604,T605,"f",FALSE)</f>
        <v>43032</v>
      </c>
      <c r="V605" s="248">
        <f>_xll.qlCalendarAdvance(Calendar,U605,NDays&amp;"D")</f>
        <v>43034</v>
      </c>
      <c r="W605" s="249">
        <v>9.1252762207743431E-3</v>
      </c>
      <c r="X605" s="246">
        <v>8.5752977255904028E-3</v>
      </c>
    </row>
    <row r="606" spans="20:24" x14ac:dyDescent="0.2">
      <c r="T606" s="247" t="str">
        <f t="shared" si="14"/>
        <v>1w</v>
      </c>
      <c r="U606" s="245">
        <f>_xll.qlCalendarAdvance(Calendar,U605,T606,"f",FALSE)</f>
        <v>43039</v>
      </c>
      <c r="V606" s="248">
        <f>_xll.qlCalendarAdvance(Calendar,U606,NDays&amp;"D")</f>
        <v>43041</v>
      </c>
      <c r="W606" s="249">
        <v>9.2088017380743542E-3</v>
      </c>
      <c r="X606" s="246">
        <v>8.6578013695071121E-3</v>
      </c>
    </row>
    <row r="607" spans="20:24" x14ac:dyDescent="0.2">
      <c r="T607" s="247" t="str">
        <f t="shared" si="14"/>
        <v>1w</v>
      </c>
      <c r="U607" s="245">
        <f>_xll.qlCalendarAdvance(Calendar,U606,T607,"f",FALSE)</f>
        <v>43046</v>
      </c>
      <c r="V607" s="248">
        <f>_xll.qlCalendarAdvance(Calendar,U607,NDays&amp;"D")</f>
        <v>43048</v>
      </c>
      <c r="W607" s="249">
        <v>9.2924568185684519E-3</v>
      </c>
      <c r="X607" s="246">
        <v>8.7404325171913655E-3</v>
      </c>
    </row>
    <row r="608" spans="20:24" x14ac:dyDescent="0.2">
      <c r="T608" s="247" t="str">
        <f t="shared" si="14"/>
        <v>1w</v>
      </c>
      <c r="U608" s="245">
        <f>_xll.qlCalendarAdvance(Calendar,U607,T608,"f",FALSE)</f>
        <v>43053</v>
      </c>
      <c r="V608" s="248">
        <f>_xll.qlCalendarAdvance(Calendar,U608,NDays&amp;"D")</f>
        <v>43055</v>
      </c>
      <c r="W608" s="249">
        <v>9.3762414704709352E-3</v>
      </c>
      <c r="X608" s="246">
        <v>8.823191168643163E-3</v>
      </c>
    </row>
    <row r="609" spans="20:24" x14ac:dyDescent="0.2">
      <c r="T609" s="247" t="str">
        <f t="shared" si="14"/>
        <v>1w</v>
      </c>
      <c r="U609" s="245">
        <f>_xll.qlCalendarAdvance(Calendar,U608,T609,"f",FALSE)</f>
        <v>43060</v>
      </c>
      <c r="V609" s="248">
        <f>_xll.qlCalendarAdvance(Calendar,U609,NDays&amp;"D")</f>
        <v>43062</v>
      </c>
      <c r="W609" s="249">
        <v>9.4601557020073997E-3</v>
      </c>
      <c r="X609" s="246">
        <v>8.9060773239424407E-3</v>
      </c>
    </row>
    <row r="610" spans="20:24" x14ac:dyDescent="0.2">
      <c r="T610" s="247" t="str">
        <f t="shared" si="14"/>
        <v>1w</v>
      </c>
      <c r="U610" s="245">
        <f>_xll.qlCalendarAdvance(Calendar,U609,T610,"f",FALSE)</f>
        <v>43067</v>
      </c>
      <c r="V610" s="248">
        <f>_xll.qlCalendarAdvance(Calendar,U610,NDays&amp;"D")</f>
        <v>43069</v>
      </c>
      <c r="W610" s="249">
        <v>9.5318935877344302E-3</v>
      </c>
      <c r="X610" s="246">
        <v>8.9890909832490706E-3</v>
      </c>
    </row>
    <row r="611" spans="20:24" x14ac:dyDescent="0.2">
      <c r="T611" s="247" t="str">
        <f t="shared" si="14"/>
        <v>1w</v>
      </c>
      <c r="U611" s="245">
        <f>_xll.qlCalendarAdvance(Calendar,U610,T611,"f",FALSE)</f>
        <v>43074</v>
      </c>
      <c r="V611" s="248">
        <f>_xll.qlCalendarAdvance(Calendar,U611,NDays&amp;"D")</f>
        <v>43076</v>
      </c>
      <c r="W611" s="249">
        <v>9.6160440175632189E-3</v>
      </c>
      <c r="X611" s="246">
        <v>9.0722321466429889E-3</v>
      </c>
    </row>
    <row r="612" spans="20:24" x14ac:dyDescent="0.2">
      <c r="T612" s="247" t="str">
        <f t="shared" si="14"/>
        <v>1w</v>
      </c>
      <c r="U612" s="245">
        <f>_xll.qlCalendarAdvance(Calendar,U611,T612,"f",FALSE)</f>
        <v>43081</v>
      </c>
      <c r="V612" s="248">
        <f>_xll.qlCalendarAdvance(Calendar,U612,NDays&amp;"D")</f>
        <v>43083</v>
      </c>
      <c r="W612" s="249">
        <v>9.7003240043820327E-3</v>
      </c>
      <c r="X612" s="246">
        <v>9.1555008142041316E-3</v>
      </c>
    </row>
    <row r="613" spans="20:24" x14ac:dyDescent="0.2">
      <c r="T613" s="247" t="str">
        <f t="shared" si="14"/>
        <v>1w</v>
      </c>
      <c r="U613" s="245">
        <f>_xll.qlCalendarAdvance(Calendar,U612,T613,"f",FALSE)</f>
        <v>43088</v>
      </c>
      <c r="V613" s="248">
        <f>_xll.qlCalendarAdvance(Calendar,U613,NDays&amp;"D")</f>
        <v>43090</v>
      </c>
      <c r="W613" s="249">
        <v>9.7847335562839532E-3</v>
      </c>
      <c r="X613" s="246">
        <v>9.2388969860124348E-3</v>
      </c>
    </row>
    <row r="614" spans="20:24" x14ac:dyDescent="0.2">
      <c r="T614" s="247" t="str">
        <f t="shared" si="14"/>
        <v>1w</v>
      </c>
      <c r="U614" s="245">
        <f>_xll.qlCalendarAdvance(Calendar,U613,T614,"f",FALSE)</f>
        <v>43096</v>
      </c>
      <c r="V614" s="248">
        <f>_xll.qlCalendarAdvance(Calendar,U614,NDays&amp;"D")</f>
        <v>43098</v>
      </c>
      <c r="W614" s="249">
        <v>9.8813602771254949E-3</v>
      </c>
      <c r="X614" s="246">
        <v>9.3526475175864654E-3</v>
      </c>
    </row>
    <row r="615" spans="20:24" x14ac:dyDescent="0.2">
      <c r="T615" s="247" t="str">
        <f t="shared" si="14"/>
        <v>1w</v>
      </c>
      <c r="U615" s="245">
        <f>_xll.qlCalendarAdvance(Calendar,U614,T615,"f",FALSE)</f>
        <v>43103</v>
      </c>
      <c r="V615" s="248">
        <f>_xll.qlCalendarAdvance(Calendar,U615,NDays&amp;"D")</f>
        <v>43105</v>
      </c>
      <c r="W615" s="249">
        <v>9.9660474958112033E-3</v>
      </c>
      <c r="X615" s="246">
        <v>9.4302434821535996E-3</v>
      </c>
    </row>
    <row r="616" spans="20:24" x14ac:dyDescent="0.2">
      <c r="T616" s="247" t="str">
        <f t="shared" si="14"/>
        <v>1w</v>
      </c>
      <c r="U616" s="245">
        <f>_xll.qlCalendarAdvance(Calendar,U615,T616,"f",FALSE)</f>
        <v>43110</v>
      </c>
      <c r="V616" s="248">
        <f>_xll.qlCalendarAdvance(Calendar,U616,NDays&amp;"D")</f>
        <v>43112</v>
      </c>
      <c r="W616" s="249">
        <v>1.0050864305105378E-2</v>
      </c>
      <c r="X616" s="246">
        <v>9.5140630076873123E-3</v>
      </c>
    </row>
    <row r="617" spans="20:24" x14ac:dyDescent="0.2">
      <c r="T617" s="247" t="str">
        <f t="shared" si="14"/>
        <v>1w</v>
      </c>
      <c r="U617" s="245">
        <f>_xll.qlCalendarAdvance(Calendar,U616,T617,"f",FALSE)</f>
        <v>43117</v>
      </c>
      <c r="V617" s="248">
        <f>_xll.qlCalendarAdvance(Calendar,U617,NDays&amp;"D")</f>
        <v>43119</v>
      </c>
      <c r="W617" s="249">
        <v>1.013581071315528E-2</v>
      </c>
      <c r="X617" s="246">
        <v>9.5980100836978721E-3</v>
      </c>
    </row>
    <row r="618" spans="20:24" x14ac:dyDescent="0.2">
      <c r="T618" s="247" t="str">
        <f t="shared" si="14"/>
        <v>1w</v>
      </c>
      <c r="U618" s="245">
        <f>_xll.qlCalendarAdvance(Calendar,U617,T618,"f",FALSE)</f>
        <v>43124</v>
      </c>
      <c r="V618" s="248">
        <f>_xll.qlCalendarAdvance(Calendar,U618,NDays&amp;"D")</f>
        <v>43126</v>
      </c>
      <c r="W618" s="249">
        <v>1.0220886728121492E-2</v>
      </c>
      <c r="X618" s="246">
        <v>9.6820847104517327E-3</v>
      </c>
    </row>
    <row r="619" spans="20:24" x14ac:dyDescent="0.2">
      <c r="T619" s="247" t="str">
        <f t="shared" si="14"/>
        <v>1w</v>
      </c>
      <c r="U619" s="245">
        <f>_xll.qlCalendarAdvance(Calendar,U618,T619,"f",FALSE)</f>
        <v>43131</v>
      </c>
      <c r="V619" s="248">
        <f>_xll.qlCalendarAdvance(Calendar,U619,NDays&amp;"D")</f>
        <v>43133</v>
      </c>
      <c r="W619" s="249">
        <v>1.0299835270027979E-2</v>
      </c>
      <c r="X619" s="246">
        <v>9.7662868881620568E-3</v>
      </c>
    </row>
    <row r="620" spans="20:24" x14ac:dyDescent="0.2">
      <c r="T620" s="247" t="str">
        <f t="shared" si="14"/>
        <v>1w</v>
      </c>
      <c r="U620" s="245">
        <f>_xll.qlCalendarAdvance(Calendar,U619,T620,"f",FALSE)</f>
        <v>43138</v>
      </c>
      <c r="V620" s="248">
        <f>_xll.qlCalendarAdvance(Calendar,U620,NDays&amp;"D")</f>
        <v>43140</v>
      </c>
      <c r="W620" s="249">
        <v>1.038515881568422E-2</v>
      </c>
      <c r="X620" s="246">
        <v>9.8506166171752341E-3</v>
      </c>
    </row>
    <row r="621" spans="20:24" x14ac:dyDescent="0.2">
      <c r="T621" s="247" t="str">
        <f t="shared" si="14"/>
        <v>1w</v>
      </c>
      <c r="U621" s="245">
        <f>_xll.qlCalendarAdvance(Calendar,U620,T621,"f",FALSE)</f>
        <v>43145</v>
      </c>
      <c r="V621" s="248">
        <f>_xll.qlCalendarAdvance(Calendar,U621,NDays&amp;"D")</f>
        <v>43147</v>
      </c>
      <c r="W621" s="249">
        <v>1.0470611968287656E-2</v>
      </c>
      <c r="X621" s="246">
        <v>9.9350738976777819E-3</v>
      </c>
    </row>
    <row r="622" spans="20:24" x14ac:dyDescent="0.2">
      <c r="T622" s="247" t="str">
        <f t="shared" si="14"/>
        <v>1w</v>
      </c>
      <c r="U622" s="245">
        <f>_xll.qlCalendarAdvance(Calendar,U621,T622,"f",FALSE)</f>
        <v>43152</v>
      </c>
      <c r="V622" s="248">
        <f>_xll.qlCalendarAdvance(Calendar,U622,NDays&amp;"D")</f>
        <v>43154</v>
      </c>
      <c r="W622" s="249">
        <v>1.0556194735957638E-2</v>
      </c>
      <c r="X622" s="246">
        <v>1.0019658730042735E-2</v>
      </c>
    </row>
    <row r="623" spans="20:24" x14ac:dyDescent="0.2">
      <c r="T623" s="247" t="str">
        <f t="shared" si="14"/>
        <v>1w</v>
      </c>
      <c r="U623" s="245">
        <f>_xll.qlCalendarAdvance(Calendar,U622,T623,"f",FALSE)</f>
        <v>43159</v>
      </c>
      <c r="V623" s="248">
        <f>_xll.qlCalendarAdvance(Calendar,U623,NDays&amp;"D")</f>
        <v>43161</v>
      </c>
      <c r="W623" s="249">
        <v>1.0673439914904837E-2</v>
      </c>
      <c r="X623" s="246">
        <v>1.0104371114429966E-2</v>
      </c>
    </row>
    <row r="624" spans="20:24" x14ac:dyDescent="0.2">
      <c r="T624" s="247" t="str">
        <f t="shared" si="14"/>
        <v>1w</v>
      </c>
      <c r="U624" s="245">
        <f>_xll.qlCalendarAdvance(Calendar,U623,T624,"f",FALSE)</f>
        <v>43166</v>
      </c>
      <c r="V624" s="248">
        <f>_xll.qlCalendarAdvance(Calendar,U624,NDays&amp;"D")</f>
        <v>43168</v>
      </c>
      <c r="W624" s="249">
        <v>1.0759336922745869E-2</v>
      </c>
      <c r="X624" s="246">
        <v>1.0189211051185865E-2</v>
      </c>
    </row>
    <row r="625" spans="20:24" x14ac:dyDescent="0.2">
      <c r="T625" s="247" t="str">
        <f t="shared" si="14"/>
        <v>1w</v>
      </c>
      <c r="U625" s="245">
        <f>_xll.qlCalendarAdvance(Calendar,U624,T625,"f",FALSE)</f>
        <v>43173</v>
      </c>
      <c r="V625" s="248">
        <f>_xll.qlCalendarAdvance(Calendar,U625,NDays&amp;"D")</f>
        <v>43175</v>
      </c>
      <c r="W625" s="249">
        <v>1.0845339202219162E-2</v>
      </c>
      <c r="X625" s="246">
        <v>1.0274178540576884E-2</v>
      </c>
    </row>
    <row r="626" spans="20:24" x14ac:dyDescent="0.2">
      <c r="T626" s="247" t="str">
        <f t="shared" si="14"/>
        <v>1w</v>
      </c>
      <c r="U626" s="245">
        <f>_xll.qlCalendarAdvance(Calendar,U625,T626,"f",FALSE)</f>
        <v>43180</v>
      </c>
      <c r="V626" s="248">
        <f>_xll.qlCalendarAdvance(Calendar,U626,NDays&amp;"D")</f>
        <v>43182</v>
      </c>
      <c r="W626" s="249">
        <v>1.0931422267464569E-2</v>
      </c>
      <c r="X626" s="246">
        <v>1.0359273582816186E-2</v>
      </c>
    </row>
    <row r="627" spans="20:24" x14ac:dyDescent="0.2">
      <c r="T627" s="247" t="str">
        <f t="shared" si="14"/>
        <v>1w</v>
      </c>
      <c r="U627" s="245">
        <f>_xll.qlCalendarAdvance(Calendar,U626,T627,"f",FALSE)</f>
        <v>43187</v>
      </c>
      <c r="V627" s="248">
        <f>_xll.qlCalendarAdvance(Calendar,U627,NDays&amp;"D")</f>
        <v>43193</v>
      </c>
      <c r="W627" s="249">
        <v>1.1047804073162412E-2</v>
      </c>
      <c r="X627" s="246">
        <v>1.0480753196038251E-2</v>
      </c>
    </row>
    <row r="628" spans="20:24" x14ac:dyDescent="0.2">
      <c r="T628" s="247" t="str">
        <f t="shared" si="14"/>
        <v>1w</v>
      </c>
      <c r="U628" s="245">
        <f>_xll.qlCalendarAdvance(Calendar,U627,T628,"f",FALSE)</f>
        <v>43194</v>
      </c>
      <c r="V628" s="248">
        <f>_xll.qlCalendarAdvance(Calendar,U628,NDays&amp;"D")</f>
        <v>43196</v>
      </c>
      <c r="W628" s="249">
        <v>1.1084738856640226E-2</v>
      </c>
      <c r="X628" s="246">
        <v>1.0529846327038683E-2</v>
      </c>
    </row>
    <row r="629" spans="20:24" x14ac:dyDescent="0.2">
      <c r="T629" s="247" t="str">
        <f t="shared" si="14"/>
        <v>1w</v>
      </c>
      <c r="U629" s="245">
        <f>_xll.qlCalendarAdvance(Calendar,U628,T629,"f",FALSE)</f>
        <v>43201</v>
      </c>
      <c r="V629" s="248">
        <f>_xll.qlCalendarAdvance(Calendar,U629,NDays&amp;"D")</f>
        <v>43203</v>
      </c>
      <c r="W629" s="249">
        <v>1.1170926618053282E-2</v>
      </c>
      <c r="X629" s="246">
        <v>1.061532402958143E-2</v>
      </c>
    </row>
    <row r="630" spans="20:24" x14ac:dyDescent="0.2">
      <c r="T630" s="247" t="str">
        <f t="shared" si="14"/>
        <v>1w</v>
      </c>
      <c r="U630" s="245">
        <f>_xll.qlCalendarAdvance(Calendar,U629,T630,"f",FALSE)</f>
        <v>43208</v>
      </c>
      <c r="V630" s="248">
        <f>_xll.qlCalendarAdvance(Calendar,U630,NDays&amp;"D")</f>
        <v>43210</v>
      </c>
      <c r="W630" s="249">
        <v>1.1257103138819244E-2</v>
      </c>
      <c r="X630" s="246">
        <v>1.070092928606492E-2</v>
      </c>
    </row>
    <row r="631" spans="20:24" x14ac:dyDescent="0.2">
      <c r="T631" s="247" t="str">
        <f t="shared" si="14"/>
        <v>1w</v>
      </c>
      <c r="U631" s="245">
        <f>_xll.qlCalendarAdvance(Calendar,U630,T631,"f",FALSE)</f>
        <v>43215</v>
      </c>
      <c r="V631" s="248">
        <f>_xll.qlCalendarAdvance(Calendar,U631,NDays&amp;"D")</f>
        <v>43217</v>
      </c>
      <c r="W631" s="249">
        <v>1.134324311749541E-2</v>
      </c>
      <c r="X631" s="246">
        <v>1.0786662096835542E-2</v>
      </c>
    </row>
    <row r="632" spans="20:24" x14ac:dyDescent="0.2">
      <c r="T632" s="247" t="str">
        <f t="shared" si="14"/>
        <v>1w</v>
      </c>
      <c r="U632" s="245">
        <f>_xll.qlCalendarAdvance(Calendar,U631,T632,"f",FALSE)</f>
        <v>43222</v>
      </c>
      <c r="V632" s="248">
        <f>_xll.qlCalendarAdvance(Calendar,U632,NDays&amp;"D")</f>
        <v>43224</v>
      </c>
      <c r="W632" s="249">
        <v>1.1448245675701156E-2</v>
      </c>
      <c r="X632" s="246">
        <v>1.087252246210646E-2</v>
      </c>
    </row>
    <row r="633" spans="20:24" x14ac:dyDescent="0.2">
      <c r="T633" s="247" t="str">
        <f t="shared" si="14"/>
        <v>1w</v>
      </c>
      <c r="U633" s="245">
        <f>_xll.qlCalendarAdvance(Calendar,U632,T633,"f",FALSE)</f>
        <v>43229</v>
      </c>
      <c r="V633" s="248">
        <f>_xll.qlCalendarAdvance(Calendar,U633,NDays&amp;"D")</f>
        <v>43231</v>
      </c>
      <c r="W633" s="249">
        <v>1.15342084529993E-2</v>
      </c>
      <c r="X633" s="246">
        <v>1.0958510382170772E-2</v>
      </c>
    </row>
    <row r="634" spans="20:24" x14ac:dyDescent="0.2">
      <c r="T634" s="247" t="str">
        <f t="shared" si="14"/>
        <v>1w</v>
      </c>
      <c r="U634" s="245">
        <f>_xll.qlCalendarAdvance(Calendar,U633,T634,"f",FALSE)</f>
        <v>43236</v>
      </c>
      <c r="V634" s="248">
        <f>_xll.qlCalendarAdvance(Calendar,U634,NDays&amp;"D")</f>
        <v>43238</v>
      </c>
      <c r="W634" s="249">
        <v>1.1620056050196243E-2</v>
      </c>
      <c r="X634" s="246">
        <v>1.1044625857268286E-2</v>
      </c>
    </row>
    <row r="635" spans="20:24" x14ac:dyDescent="0.2">
      <c r="T635" s="247" t="str">
        <f t="shared" si="14"/>
        <v>1w</v>
      </c>
      <c r="U635" s="245">
        <f>_xll.qlCalendarAdvance(Calendar,U634,T635,"f",FALSE)</f>
        <v>43243</v>
      </c>
      <c r="V635" s="248">
        <f>_xll.qlCalendarAdvance(Calendar,U635,NDays&amp;"D")</f>
        <v>43245</v>
      </c>
      <c r="W635" s="249">
        <v>1.1705763961699537E-2</v>
      </c>
      <c r="X635" s="246">
        <v>1.1130868887745393E-2</v>
      </c>
    </row>
    <row r="636" spans="20:24" x14ac:dyDescent="0.2">
      <c r="T636" s="247" t="str">
        <f t="shared" si="14"/>
        <v>1w</v>
      </c>
      <c r="U636" s="245">
        <f>_xll.qlCalendarAdvance(Calendar,U635,T636,"f",FALSE)</f>
        <v>43250</v>
      </c>
      <c r="V636" s="248">
        <f>_xll.qlCalendarAdvance(Calendar,U636,NDays&amp;"D")</f>
        <v>43252</v>
      </c>
      <c r="W636" s="249">
        <v>1.1791307679744002E-2</v>
      </c>
      <c r="X636" s="246">
        <v>1.1217239473815255E-2</v>
      </c>
    </row>
    <row r="637" spans="20:24" x14ac:dyDescent="0.2">
      <c r="T637" s="247" t="str">
        <f t="shared" si="14"/>
        <v>1w</v>
      </c>
      <c r="U637" s="245">
        <f>_xll.qlCalendarAdvance(Calendar,U636,T637,"f",FALSE)</f>
        <v>43257</v>
      </c>
      <c r="V637" s="248">
        <f>_xll.qlCalendarAdvance(Calendar,U637,NDays&amp;"D")</f>
        <v>43259</v>
      </c>
      <c r="W637" s="249">
        <v>1.1876663456271648E-2</v>
      </c>
      <c r="X637" s="246">
        <v>1.1303633861086126E-2</v>
      </c>
    </row>
    <row r="638" spans="20:24" x14ac:dyDescent="0.2">
      <c r="T638" s="247" t="str">
        <f t="shared" si="14"/>
        <v>1w</v>
      </c>
      <c r="U638" s="245">
        <f>_xll.qlCalendarAdvance(Calendar,U637,T638,"f",FALSE)</f>
        <v>43264</v>
      </c>
      <c r="V638" s="248">
        <f>_xll.qlCalendarAdvance(Calendar,U638,NDays&amp;"D")</f>
        <v>43266</v>
      </c>
      <c r="W638" s="249">
        <v>1.1961820338454898E-2</v>
      </c>
      <c r="X638" s="246">
        <v>1.1389837846236261E-2</v>
      </c>
    </row>
    <row r="639" spans="20:24" x14ac:dyDescent="0.2">
      <c r="T639" s="247" t="str">
        <f t="shared" si="14"/>
        <v>1w</v>
      </c>
      <c r="U639" s="245">
        <f>_xll.qlCalendarAdvance(Calendar,U638,T639,"f",FALSE)</f>
        <v>43271</v>
      </c>
      <c r="V639" s="248">
        <f>_xll.qlCalendarAdvance(Calendar,U639,NDays&amp;"D")</f>
        <v>43273</v>
      </c>
      <c r="W639" s="249">
        <v>1.2046777991555553E-2</v>
      </c>
      <c r="X639" s="246">
        <v>1.1475841388044472E-2</v>
      </c>
    </row>
    <row r="640" spans="20:24" x14ac:dyDescent="0.2">
      <c r="T640" s="247" t="str">
        <f t="shared" si="14"/>
        <v>1w</v>
      </c>
      <c r="U640" s="245">
        <f>_xll.qlCalendarAdvance(Calendar,U639,T640,"f",FALSE)</f>
        <v>43278</v>
      </c>
      <c r="V640" s="248">
        <f>_xll.qlCalendarAdvance(Calendar,U640,NDays&amp;"D")</f>
        <v>43280</v>
      </c>
      <c r="W640" s="249">
        <v>1.2112874837637981E-2</v>
      </c>
      <c r="X640" s="246">
        <v>1.1561644486084433E-2</v>
      </c>
    </row>
    <row r="641" spans="20:24" x14ac:dyDescent="0.2">
      <c r="T641" s="247" t="str">
        <f t="shared" si="14"/>
        <v>1w</v>
      </c>
      <c r="U641" s="245">
        <f>_xll.qlCalendarAdvance(Calendar,U640,T641,"f",FALSE)</f>
        <v>43285</v>
      </c>
      <c r="V641" s="248">
        <f>_xll.qlCalendarAdvance(Calendar,U641,NDays&amp;"D")</f>
        <v>43287</v>
      </c>
      <c r="W641" s="249">
        <v>1.2216095557334597E-2</v>
      </c>
      <c r="X641" s="246">
        <v>1.1647247139929817E-2</v>
      </c>
    </row>
    <row r="642" spans="20:24" x14ac:dyDescent="0.2">
      <c r="T642" s="247" t="str">
        <f t="shared" si="14"/>
        <v>1w</v>
      </c>
      <c r="U642" s="245">
        <f>_xll.qlCalendarAdvance(Calendar,U641,T642,"f",FALSE)</f>
        <v>43292</v>
      </c>
      <c r="V642" s="248">
        <f>_xll.qlCalendarAdvance(Calendar,U642,NDays&amp;"D")</f>
        <v>43294</v>
      </c>
      <c r="W642" s="249">
        <v>1.230045544350483E-2</v>
      </c>
      <c r="X642" s="246">
        <v>1.1732649349127655E-2</v>
      </c>
    </row>
    <row r="643" spans="20:24" x14ac:dyDescent="0.2">
      <c r="T643" s="247" t="str">
        <f t="shared" si="14"/>
        <v>1w</v>
      </c>
      <c r="U643" s="245">
        <f>_xll.qlCalendarAdvance(Calendar,U642,T643,"f",FALSE)</f>
        <v>43299</v>
      </c>
      <c r="V643" s="248">
        <f>_xll.qlCalendarAdvance(Calendar,U643,NDays&amp;"D")</f>
        <v>43301</v>
      </c>
      <c r="W643" s="249">
        <v>1.2384616047574454E-2</v>
      </c>
      <c r="X643" s="246">
        <v>1.1817851113304911E-2</v>
      </c>
    </row>
    <row r="644" spans="20:24" x14ac:dyDescent="0.2">
      <c r="T644" s="247" t="str">
        <f t="shared" si="14"/>
        <v>1w</v>
      </c>
      <c r="U644" s="245">
        <f>_xll.qlCalendarAdvance(Calendar,U643,T644,"f",FALSE)</f>
        <v>43306</v>
      </c>
      <c r="V644" s="248">
        <f>_xll.qlCalendarAdvance(Calendar,U644,NDays&amp;"D")</f>
        <v>43308</v>
      </c>
      <c r="W644" s="249">
        <v>1.2468577356367626E-2</v>
      </c>
      <c r="X644" s="246">
        <v>1.190285243198197E-2</v>
      </c>
    </row>
    <row r="645" spans="20:24" x14ac:dyDescent="0.2">
      <c r="T645" s="247" t="str">
        <f t="shared" si="14"/>
        <v>1w</v>
      </c>
      <c r="U645" s="245">
        <f>_xll.qlCalendarAdvance(Calendar,U644,T645,"f",FALSE)</f>
        <v>43313</v>
      </c>
      <c r="V645" s="248">
        <f>_xll.qlCalendarAdvance(Calendar,U645,NDays&amp;"D")</f>
        <v>43315</v>
      </c>
      <c r="W645" s="249">
        <v>1.2552339356736565E-2</v>
      </c>
      <c r="X645" s="246">
        <v>1.1987653304759149E-2</v>
      </c>
    </row>
    <row r="646" spans="20:24" x14ac:dyDescent="0.2">
      <c r="T646" s="247" t="str">
        <f t="shared" si="14"/>
        <v>1w</v>
      </c>
      <c r="U646" s="245">
        <f>_xll.qlCalendarAdvance(Calendar,U645,T646,"f",FALSE)</f>
        <v>43320</v>
      </c>
      <c r="V646" s="248">
        <f>_xll.qlCalendarAdvance(Calendar,U646,NDays&amp;"D")</f>
        <v>43322</v>
      </c>
      <c r="W646" s="249">
        <v>1.2635902035568356E-2</v>
      </c>
      <c r="X646" s="246">
        <v>1.2072253731210125E-2</v>
      </c>
    </row>
    <row r="647" spans="20:24" x14ac:dyDescent="0.2">
      <c r="T647" s="247" t="str">
        <f t="shared" si="14"/>
        <v>1w</v>
      </c>
      <c r="U647" s="245">
        <f>_xll.qlCalendarAdvance(Calendar,U646,T647,"f",FALSE)</f>
        <v>43327</v>
      </c>
      <c r="V647" s="248">
        <f>_xll.qlCalendarAdvance(Calendar,U647,NDays&amp;"D")</f>
        <v>43329</v>
      </c>
      <c r="W647" s="249">
        <v>1.2719265379778999E-2</v>
      </c>
      <c r="X647" s="246">
        <v>1.2156653710881926E-2</v>
      </c>
    </row>
    <row r="648" spans="20:24" x14ac:dyDescent="0.2">
      <c r="T648" s="247" t="str">
        <f t="shared" si="14"/>
        <v>1w</v>
      </c>
      <c r="U648" s="245">
        <f>_xll.qlCalendarAdvance(Calendar,U647,T648,"f",FALSE)</f>
        <v>43334</v>
      </c>
      <c r="V648" s="248">
        <f>_xll.qlCalendarAdvance(Calendar,U648,NDays&amp;"D")</f>
        <v>43336</v>
      </c>
      <c r="W648" s="249">
        <v>1.2802429376313401E-2</v>
      </c>
      <c r="X648" s="246">
        <v>1.2240853243374872E-2</v>
      </c>
    </row>
    <row r="649" spans="20:24" x14ac:dyDescent="0.2">
      <c r="T649" s="247" t="str">
        <f t="shared" si="14"/>
        <v>1w</v>
      </c>
      <c r="U649" s="245">
        <f>_xll.qlCalendarAdvance(Calendar,U648,T649,"f",FALSE)</f>
        <v>43341</v>
      </c>
      <c r="V649" s="248">
        <f>_xll.qlCalendarAdvance(Calendar,U649,NDays&amp;"D")</f>
        <v>43343</v>
      </c>
      <c r="W649" s="249">
        <v>1.2867038480453423E-2</v>
      </c>
      <c r="X649" s="246">
        <v>1.2324852328289282E-2</v>
      </c>
    </row>
    <row r="650" spans="20:24" x14ac:dyDescent="0.2">
      <c r="T650" s="247" t="str">
        <f t="shared" si="14"/>
        <v>1w</v>
      </c>
      <c r="U650" s="245">
        <f>_xll.qlCalendarAdvance(Calendar,U649,T650,"f",FALSE)</f>
        <v>43348</v>
      </c>
      <c r="V650" s="248">
        <f>_xll.qlCalendarAdvance(Calendar,U650,NDays&amp;"D")</f>
        <v>43350</v>
      </c>
      <c r="W650" s="249">
        <v>1.2949837575974413E-2</v>
      </c>
      <c r="X650" s="246">
        <v>1.2408650965172185E-2</v>
      </c>
    </row>
    <row r="651" spans="20:24" x14ac:dyDescent="0.2">
      <c r="T651" s="247" t="str">
        <f t="shared" si="14"/>
        <v>1w</v>
      </c>
      <c r="U651" s="245">
        <f>_xll.qlCalendarAdvance(Calendar,U650,T651,"f",FALSE)</f>
        <v>43355</v>
      </c>
      <c r="V651" s="248">
        <f>_xll.qlCalendarAdvance(Calendar,U651,NDays&amp;"D")</f>
        <v>43357</v>
      </c>
      <c r="W651" s="249">
        <v>1.3032437252290738E-2</v>
      </c>
      <c r="X651" s="246">
        <v>1.2492249153597257E-2</v>
      </c>
    </row>
    <row r="652" spans="20:24" x14ac:dyDescent="0.2">
      <c r="T652" s="247" t="str">
        <f t="shared" si="14"/>
        <v>1w</v>
      </c>
      <c r="U652" s="245">
        <f>_xll.qlCalendarAdvance(Calendar,U651,T652,"f",FALSE)</f>
        <v>43362</v>
      </c>
      <c r="V652" s="248">
        <f>_xll.qlCalendarAdvance(Calendar,U652,NDays&amp;"D")</f>
        <v>43364</v>
      </c>
      <c r="W652" s="249">
        <v>1.3114837496881422E-2</v>
      </c>
      <c r="X652" s="246">
        <v>1.2575646893191461E-2</v>
      </c>
    </row>
    <row r="653" spans="20:24" x14ac:dyDescent="0.2">
      <c r="T653" s="247" t="str">
        <f t="shared" si="14"/>
        <v>1w</v>
      </c>
      <c r="U653" s="245">
        <f>_xll.qlCalendarAdvance(Calendar,U652,T653,"f",FALSE)</f>
        <v>43369</v>
      </c>
      <c r="V653" s="248">
        <f>_xll.qlCalendarAdvance(Calendar,U653,NDays&amp;"D")</f>
        <v>43371</v>
      </c>
      <c r="W653" s="249">
        <v>1.3215258689202106E-2</v>
      </c>
      <c r="X653" s="246">
        <v>1.2658844183475182E-2</v>
      </c>
    </row>
    <row r="654" spans="20:24" x14ac:dyDescent="0.2">
      <c r="T654" s="247" t="str">
        <f t="shared" si="14"/>
        <v>1w</v>
      </c>
      <c r="U654" s="245">
        <f>_xll.qlCalendarAdvance(Calendar,U653,T654,"f",FALSE)</f>
        <v>43376</v>
      </c>
      <c r="V654" s="248">
        <f>_xll.qlCalendarAdvance(Calendar,U654,NDays&amp;"D")</f>
        <v>43378</v>
      </c>
      <c r="W654" s="249">
        <v>1.3297226327321622E-2</v>
      </c>
      <c r="X654" s="246">
        <v>1.274184102410203E-2</v>
      </c>
    </row>
    <row r="655" spans="20:24" x14ac:dyDescent="0.2">
      <c r="T655" s="247" t="str">
        <f t="shared" si="14"/>
        <v>1w</v>
      </c>
      <c r="U655" s="245">
        <f>_xll.qlCalendarAdvance(Calendar,U654,T655,"f",FALSE)</f>
        <v>43383</v>
      </c>
      <c r="V655" s="248">
        <f>_xll.qlCalendarAdvance(Calendar,U655,NDays&amp;"D")</f>
        <v>43385</v>
      </c>
      <c r="W655" s="249">
        <v>1.3378994527266225E-2</v>
      </c>
      <c r="X655" s="246">
        <v>1.2824637414592388E-2</v>
      </c>
    </row>
    <row r="656" spans="20:24" x14ac:dyDescent="0.2">
      <c r="T656" s="247" t="str">
        <f t="shared" si="14"/>
        <v>1w</v>
      </c>
      <c r="U656" s="245">
        <f>_xll.qlCalendarAdvance(Calendar,U655,T656,"f",FALSE)</f>
        <v>43390</v>
      </c>
      <c r="V656" s="248">
        <f>_xll.qlCalendarAdvance(Calendar,U656,NDays&amp;"D")</f>
        <v>43392</v>
      </c>
      <c r="W656" s="249">
        <v>1.3460563276230844E-2</v>
      </c>
      <c r="X656" s="246">
        <v>1.2907233354546577E-2</v>
      </c>
    </row>
    <row r="657" spans="20:24" x14ac:dyDescent="0.2">
      <c r="T657" s="247" t="str">
        <f t="shared" si="14"/>
        <v>1w</v>
      </c>
      <c r="U657" s="245">
        <f>_xll.qlCalendarAdvance(Calendar,U656,T657,"f",FALSE)</f>
        <v>43397</v>
      </c>
      <c r="V657" s="248">
        <f>_xll.qlCalendarAdvance(Calendar,U657,NDays&amp;"D")</f>
        <v>43399</v>
      </c>
      <c r="W657" s="249">
        <v>1.3541932561443561E-2</v>
      </c>
      <c r="X657" s="246">
        <v>1.2989628843564915E-2</v>
      </c>
    </row>
    <row r="658" spans="20:24" x14ac:dyDescent="0.2">
      <c r="T658" s="247" t="str">
        <f t="shared" ref="T658:T721" si="15">T657</f>
        <v>1w</v>
      </c>
      <c r="U658" s="245">
        <f>_xll.qlCalendarAdvance(Calendar,U657,T658,"f",FALSE)</f>
        <v>43404</v>
      </c>
      <c r="V658" s="248">
        <f>_xll.qlCalendarAdvance(Calendar,U658,NDays&amp;"D")</f>
        <v>43406</v>
      </c>
      <c r="W658" s="249">
        <v>1.3623102370160534E-2</v>
      </c>
      <c r="X658" s="246">
        <v>1.3071823881221079E-2</v>
      </c>
    </row>
    <row r="659" spans="20:24" x14ac:dyDescent="0.2">
      <c r="T659" s="247" t="str">
        <f t="shared" si="15"/>
        <v>1w</v>
      </c>
      <c r="U659" s="245">
        <f>_xll.qlCalendarAdvance(Calendar,U658,T659,"f",FALSE)</f>
        <v>43411</v>
      </c>
      <c r="V659" s="248">
        <f>_xll.qlCalendarAdvance(Calendar,U659,NDays&amp;"D")</f>
        <v>43413</v>
      </c>
      <c r="W659" s="249">
        <v>1.3704072689671075E-2</v>
      </c>
      <c r="X659" s="246">
        <v>1.3153818467142031E-2</v>
      </c>
    </row>
    <row r="660" spans="20:24" x14ac:dyDescent="0.2">
      <c r="T660" s="247" t="str">
        <f t="shared" si="15"/>
        <v>1w</v>
      </c>
      <c r="U660" s="245">
        <f>_xll.qlCalendarAdvance(Calendar,U659,T660,"f",FALSE)</f>
        <v>43418</v>
      </c>
      <c r="V660" s="248">
        <f>_xll.qlCalendarAdvance(Calendar,U660,NDays&amp;"D")</f>
        <v>43420</v>
      </c>
      <c r="W660" s="249">
        <v>1.3784843507295967E-2</v>
      </c>
      <c r="X660" s="246">
        <v>1.3235612600874802E-2</v>
      </c>
    </row>
    <row r="661" spans="20:24" x14ac:dyDescent="0.2">
      <c r="T661" s="247" t="str">
        <f t="shared" si="15"/>
        <v>1w</v>
      </c>
      <c r="U661" s="245">
        <f>_xll.qlCalendarAdvance(Calendar,U660,T661,"f",FALSE)</f>
        <v>43425</v>
      </c>
      <c r="V661" s="248">
        <f>_xll.qlCalendarAdvance(Calendar,U661,NDays&amp;"D")</f>
        <v>43427</v>
      </c>
      <c r="W661" s="249">
        <v>1.3865414810384053E-2</v>
      </c>
      <c r="X661" s="246">
        <v>1.3317206281993066E-2</v>
      </c>
    </row>
    <row r="662" spans="20:24" x14ac:dyDescent="0.2">
      <c r="T662" s="247" t="str">
        <f t="shared" si="15"/>
        <v>1w</v>
      </c>
      <c r="U662" s="245">
        <f>_xll.qlCalendarAdvance(Calendar,U661,T662,"f",FALSE)</f>
        <v>43432</v>
      </c>
      <c r="V662" s="248">
        <f>_xll.qlCalendarAdvance(Calendar,U662,NDays&amp;"D")</f>
        <v>43434</v>
      </c>
      <c r="W662" s="249">
        <v>1.3921893931580165E-2</v>
      </c>
      <c r="X662" s="246">
        <v>1.3398599510150433E-2</v>
      </c>
    </row>
    <row r="663" spans="20:24" x14ac:dyDescent="0.2">
      <c r="T663" s="247" t="str">
        <f t="shared" si="15"/>
        <v>1w</v>
      </c>
      <c r="U663" s="245">
        <f>_xll.qlCalendarAdvance(Calendar,U662,T663,"f",FALSE)</f>
        <v>43439</v>
      </c>
      <c r="V663" s="248">
        <f>_xll.qlCalendarAdvance(Calendar,U663,NDays&amp;"D")</f>
        <v>43441</v>
      </c>
      <c r="W663" s="249">
        <v>1.4002110759439468E-2</v>
      </c>
      <c r="X663" s="246">
        <v>1.3479792284893932E-2</v>
      </c>
    </row>
    <row r="664" spans="20:24" x14ac:dyDescent="0.2">
      <c r="T664" s="247" t="str">
        <f t="shared" si="15"/>
        <v>1w</v>
      </c>
      <c r="U664" s="245">
        <f>_xll.qlCalendarAdvance(Calendar,U663,T664,"f",FALSE)</f>
        <v>43446</v>
      </c>
      <c r="V664" s="248">
        <f>_xll.qlCalendarAdvance(Calendar,U664,NDays&amp;"D")</f>
        <v>43448</v>
      </c>
      <c r="W664" s="249">
        <v>1.4082127998498173E-2</v>
      </c>
      <c r="X664" s="246">
        <v>1.3560784605823883E-2</v>
      </c>
    </row>
    <row r="665" spans="20:24" x14ac:dyDescent="0.2">
      <c r="T665" s="247" t="str">
        <f t="shared" si="15"/>
        <v>1w</v>
      </c>
      <c r="U665" s="245">
        <f>_xll.qlCalendarAdvance(Calendar,U664,T665,"f",FALSE)</f>
        <v>43453</v>
      </c>
      <c r="V665" s="248">
        <f>_xll.qlCalendarAdvance(Calendar,U665,NDays&amp;"D")</f>
        <v>43455</v>
      </c>
      <c r="W665" s="249">
        <v>1.4161945636756101E-2</v>
      </c>
      <c r="X665" s="246">
        <v>1.3641576472540606E-2</v>
      </c>
    </row>
    <row r="666" spans="20:24" x14ac:dyDescent="0.2">
      <c r="T666" s="247" t="str">
        <f t="shared" si="15"/>
        <v>1w</v>
      </c>
      <c r="U666" s="245">
        <f>_xll.qlCalendarAdvance(Calendar,U665,T666,"f",FALSE)</f>
        <v>43461</v>
      </c>
      <c r="V666" s="248">
        <f>_xll.qlCalendarAdvance(Calendar,U666,NDays&amp;"D")</f>
        <v>43465</v>
      </c>
      <c r="W666" s="249">
        <v>1.4263771399623185E-2</v>
      </c>
      <c r="X666" s="246">
        <v>1.3750640196765751E-2</v>
      </c>
    </row>
    <row r="667" spans="20:24" x14ac:dyDescent="0.2">
      <c r="T667" s="247" t="str">
        <f t="shared" si="15"/>
        <v>1w</v>
      </c>
      <c r="U667" s="245">
        <f>_xll.qlCalendarAdvance(Calendar,U666,T667,"f",FALSE)</f>
        <v>43468</v>
      </c>
      <c r="V667" s="248">
        <f>_xll.qlCalendarAdvance(Calendar,U667,NDays&amp;"D")</f>
        <v>43472</v>
      </c>
      <c r="W667" s="249">
        <v>1.4360871519723815E-2</v>
      </c>
      <c r="X667" s="246">
        <v>1.3824961309989447E-2</v>
      </c>
    </row>
    <row r="668" spans="20:24" x14ac:dyDescent="0.2">
      <c r="T668" s="247" t="str">
        <f t="shared" si="15"/>
        <v>1w</v>
      </c>
      <c r="U668" s="245">
        <f>_xll.qlCalendarAdvance(Calendar,U667,T668,"f",FALSE)</f>
        <v>43475</v>
      </c>
      <c r="V668" s="248">
        <f>_xll.qlCalendarAdvance(Calendar,U668,NDays&amp;"D")</f>
        <v>43479</v>
      </c>
      <c r="W668" s="249">
        <v>1.4439993619668214E-2</v>
      </c>
      <c r="X668" s="246">
        <v>1.3905088366419349E-2</v>
      </c>
    </row>
    <row r="669" spans="20:24" x14ac:dyDescent="0.2">
      <c r="T669" s="247" t="str">
        <f t="shared" si="15"/>
        <v>1w</v>
      </c>
      <c r="U669" s="245">
        <f>_xll.qlCalendarAdvance(Calendar,U668,T669,"f",FALSE)</f>
        <v>43482</v>
      </c>
      <c r="V669" s="248">
        <f>_xll.qlCalendarAdvance(Calendar,U669,NDays&amp;"D")</f>
        <v>43486</v>
      </c>
      <c r="W669" s="249">
        <v>1.4524807088353358E-2</v>
      </c>
      <c r="X669" s="246">
        <v>1.3985014946893415E-2</v>
      </c>
    </row>
    <row r="670" spans="20:24" x14ac:dyDescent="0.2">
      <c r="T670" s="247" t="str">
        <f t="shared" si="15"/>
        <v>1w</v>
      </c>
      <c r="U670" s="245">
        <f>_xll.qlCalendarAdvance(Calendar,U669,T670,"f",FALSE)</f>
        <v>43489</v>
      </c>
      <c r="V670" s="248">
        <f>_xll.qlCalendarAdvance(Calendar,U670,NDays&amp;"D")</f>
        <v>43493</v>
      </c>
      <c r="W670" s="249">
        <v>1.4597638872163357E-2</v>
      </c>
      <c r="X670" s="246">
        <v>1.40647410510919E-2</v>
      </c>
    </row>
    <row r="671" spans="20:24" x14ac:dyDescent="0.2">
      <c r="T671" s="247" t="str">
        <f t="shared" si="15"/>
        <v>1w</v>
      </c>
      <c r="U671" s="245">
        <f>_xll.qlCalendarAdvance(Calendar,U670,T671,"f",FALSE)</f>
        <v>43496</v>
      </c>
      <c r="V671" s="248">
        <f>_xll.qlCalendarAdvance(Calendar,U671,NDays&amp;"D")</f>
        <v>43500</v>
      </c>
      <c r="W671" s="249">
        <v>1.4676162000808823E-2</v>
      </c>
      <c r="X671" s="246">
        <v>1.4144266679094741E-2</v>
      </c>
    </row>
    <row r="672" spans="20:24" x14ac:dyDescent="0.2">
      <c r="T672" s="247" t="str">
        <f t="shared" si="15"/>
        <v>1w</v>
      </c>
      <c r="U672" s="245">
        <f>_xll.qlCalendarAdvance(Calendar,U671,T672,"f",FALSE)</f>
        <v>43503</v>
      </c>
      <c r="V672" s="248">
        <f>_xll.qlCalendarAdvance(Calendar,U672,NDays&amp;"D")</f>
        <v>43507</v>
      </c>
      <c r="W672" s="249">
        <v>1.4754485448499444E-2</v>
      </c>
      <c r="X672" s="246">
        <v>1.4223591830502258E-2</v>
      </c>
    </row>
    <row r="673" spans="20:24" x14ac:dyDescent="0.2">
      <c r="T673" s="247" t="str">
        <f t="shared" si="15"/>
        <v>1w</v>
      </c>
      <c r="U673" s="245">
        <f>_xll.qlCalendarAdvance(Calendar,U672,T673,"f",FALSE)</f>
        <v>43510</v>
      </c>
      <c r="V673" s="248">
        <f>_xll.qlCalendarAdvance(Calendar,U673,NDays&amp;"D")</f>
        <v>43514</v>
      </c>
      <c r="W673" s="249">
        <v>1.4832609203358122E-2</v>
      </c>
      <c r="X673" s="246">
        <v>1.4302716505474322E-2</v>
      </c>
    </row>
    <row r="674" spans="20:24" x14ac:dyDescent="0.2">
      <c r="T674" s="247" t="str">
        <f t="shared" si="15"/>
        <v>1w</v>
      </c>
      <c r="U674" s="245">
        <f>_xll.qlCalendarAdvance(Calendar,U673,T674,"f",FALSE)</f>
        <v>43517</v>
      </c>
      <c r="V674" s="248">
        <f>_xll.qlCalendarAdvance(Calendar,U674,NDays&amp;"D")</f>
        <v>43521</v>
      </c>
      <c r="W674" s="249">
        <v>1.4910533253537634E-2</v>
      </c>
      <c r="X674" s="246">
        <v>1.438164070369119E-2</v>
      </c>
    </row>
    <row r="675" spans="20:24" x14ac:dyDescent="0.2">
      <c r="T675" s="247" t="str">
        <f t="shared" si="15"/>
        <v>1w</v>
      </c>
      <c r="U675" s="245">
        <f>_xll.qlCalendarAdvance(Calendar,U674,T675,"f",FALSE)</f>
        <v>43524</v>
      </c>
      <c r="V675" s="248">
        <f>_xll.qlCalendarAdvance(Calendar,U675,NDays&amp;"D")</f>
        <v>43528</v>
      </c>
      <c r="W675" s="249">
        <v>1.499408222005575E-2</v>
      </c>
      <c r="X675" s="246">
        <v>1.4460364425072925E-2</v>
      </c>
    </row>
    <row r="676" spans="20:24" x14ac:dyDescent="0.2">
      <c r="T676" s="247" t="str">
        <f t="shared" si="15"/>
        <v>1w</v>
      </c>
      <c r="U676" s="245">
        <f>_xll.qlCalendarAdvance(Calendar,U675,T676,"f",FALSE)</f>
        <v>43531</v>
      </c>
      <c r="V676" s="248">
        <f>_xll.qlCalendarAdvance(Calendar,U676,NDays&amp;"D")</f>
        <v>43535</v>
      </c>
      <c r="W676" s="249">
        <v>1.5071597062814194E-2</v>
      </c>
      <c r="X676" s="246">
        <v>1.4538887669539591E-2</v>
      </c>
    </row>
    <row r="677" spans="20:24" x14ac:dyDescent="0.2">
      <c r="T677" s="247" t="str">
        <f t="shared" si="15"/>
        <v>1w</v>
      </c>
      <c r="U677" s="245">
        <f>_xll.qlCalendarAdvance(Calendar,U676,T677,"f",FALSE)</f>
        <v>43538</v>
      </c>
      <c r="V677" s="248">
        <f>_xll.qlCalendarAdvance(Calendar,U677,NDays&amp;"D")</f>
        <v>43542</v>
      </c>
      <c r="W677" s="249">
        <v>1.5148918037876827E-2</v>
      </c>
      <c r="X677" s="246">
        <v>1.4617210436771444E-2</v>
      </c>
    </row>
    <row r="678" spans="20:24" x14ac:dyDescent="0.2">
      <c r="T678" s="247" t="str">
        <f t="shared" si="15"/>
        <v>1w</v>
      </c>
      <c r="U678" s="245">
        <f>_xll.qlCalendarAdvance(Calendar,U677,T678,"f",FALSE)</f>
        <v>43545</v>
      </c>
      <c r="V678" s="248">
        <f>_xll.qlCalendarAdvance(Calendar,U678,NDays&amp;"D")</f>
        <v>43549</v>
      </c>
      <c r="W678" s="249">
        <v>1.5226050265619948E-2</v>
      </c>
      <c r="X678" s="246">
        <v>1.469533272684842E-2</v>
      </c>
    </row>
    <row r="679" spans="20:24" x14ac:dyDescent="0.2">
      <c r="T679" s="247" t="str">
        <f t="shared" si="15"/>
        <v>1w</v>
      </c>
      <c r="U679" s="245">
        <f>_xll.qlCalendarAdvance(Calendar,U678,T679,"f",FALSE)</f>
        <v>43552</v>
      </c>
      <c r="V679" s="248">
        <f>_xll.qlCalendarAdvance(Calendar,U679,NDays&amp;"D")</f>
        <v>43556</v>
      </c>
      <c r="W679" s="249">
        <v>1.5297212861991795E-2</v>
      </c>
      <c r="X679" s="246">
        <v>1.4773254539610647E-2</v>
      </c>
    </row>
    <row r="680" spans="20:24" x14ac:dyDescent="0.2">
      <c r="T680" s="247" t="str">
        <f t="shared" si="15"/>
        <v>1w</v>
      </c>
      <c r="U680" s="245">
        <f>_xll.qlCalendarAdvance(Calendar,U679,T680,"f",FALSE)</f>
        <v>43559</v>
      </c>
      <c r="V680" s="248">
        <f>_xll.qlCalendarAdvance(Calendar,U680,NDays&amp;"D")</f>
        <v>43563</v>
      </c>
      <c r="W680" s="249">
        <v>1.5373991185299689E-2</v>
      </c>
      <c r="X680" s="246">
        <v>1.4850975874898253E-2</v>
      </c>
    </row>
    <row r="681" spans="20:24" x14ac:dyDescent="0.2">
      <c r="T681" s="247" t="str">
        <f t="shared" si="15"/>
        <v>1w</v>
      </c>
      <c r="U681" s="245">
        <f>_xll.qlCalendarAdvance(Calendar,U680,T681,"f",FALSE)</f>
        <v>43566</v>
      </c>
      <c r="V681" s="248">
        <f>_xll.qlCalendarAdvance(Calendar,U681,NDays&amp;"D")</f>
        <v>43570</v>
      </c>
      <c r="W681" s="249">
        <v>1.545059566563943E-2</v>
      </c>
      <c r="X681" s="246">
        <v>1.4928496732551366E-2</v>
      </c>
    </row>
    <row r="682" spans="20:24" x14ac:dyDescent="0.2">
      <c r="T682" s="247" t="str">
        <f t="shared" si="15"/>
        <v>1w</v>
      </c>
      <c r="U682" s="245">
        <f>_xll.qlCalendarAdvance(Calendar,U681,T682,"f",FALSE)</f>
        <v>43573</v>
      </c>
      <c r="V682" s="248">
        <f>_xll.qlCalendarAdvance(Calendar,U682,NDays&amp;"D")</f>
        <v>43579</v>
      </c>
      <c r="W682" s="249">
        <v>1.5548840031331824E-2</v>
      </c>
      <c r="X682" s="246">
        <v>1.5027871827104633E-2</v>
      </c>
    </row>
    <row r="683" spans="20:24" x14ac:dyDescent="0.2">
      <c r="T683" s="247" t="str">
        <f t="shared" si="15"/>
        <v>1w</v>
      </c>
      <c r="U683" s="245">
        <f>_xll.qlCalendarAdvance(Calendar,U682,T683,"f",FALSE)</f>
        <v>43580</v>
      </c>
      <c r="V683" s="248">
        <f>_xll.qlCalendarAdvance(Calendar,U683,NDays&amp;"D")</f>
        <v>43584</v>
      </c>
      <c r="W683" s="249">
        <v>1.5603303811181858E-2</v>
      </c>
      <c r="X683" s="246">
        <v>1.508293701439456E-2</v>
      </c>
    </row>
    <row r="684" spans="20:24" x14ac:dyDescent="0.2">
      <c r="T684" s="247" t="str">
        <f t="shared" si="15"/>
        <v>1w</v>
      </c>
      <c r="U684" s="245">
        <f>_xll.qlCalendarAdvance(Calendar,U683,T684,"f",FALSE)</f>
        <v>43587</v>
      </c>
      <c r="V684" s="248">
        <f>_xll.qlCalendarAdvance(Calendar,U684,NDays&amp;"D")</f>
        <v>43591</v>
      </c>
      <c r="W684" s="249">
        <v>1.5685166733419215E-2</v>
      </c>
      <c r="X684" s="246">
        <v>1.5159856438424768E-2</v>
      </c>
    </row>
    <row r="685" spans="20:24" x14ac:dyDescent="0.2">
      <c r="T685" s="247" t="str">
        <f t="shared" si="15"/>
        <v>1w</v>
      </c>
      <c r="U685" s="245">
        <f>_xll.qlCalendarAdvance(Calendar,U684,T685,"f",FALSE)</f>
        <v>43594</v>
      </c>
      <c r="V685" s="248">
        <f>_xll.qlCalendarAdvance(Calendar,U685,NDays&amp;"D")</f>
        <v>43598</v>
      </c>
      <c r="W685" s="249">
        <v>1.5761121136346395E-2</v>
      </c>
      <c r="X685" s="246">
        <v>1.5236575384260931E-2</v>
      </c>
    </row>
    <row r="686" spans="20:24" x14ac:dyDescent="0.2">
      <c r="T686" s="247" t="str">
        <f t="shared" si="15"/>
        <v>1w</v>
      </c>
      <c r="U686" s="245">
        <f>_xll.qlCalendarAdvance(Calendar,U685,T686,"f",FALSE)</f>
        <v>43601</v>
      </c>
      <c r="V686" s="248">
        <f>_xll.qlCalendarAdvance(Calendar,U686,NDays&amp;"D")</f>
        <v>43605</v>
      </c>
      <c r="W686" s="249">
        <v>1.583692777027567E-2</v>
      </c>
      <c r="X686" s="246">
        <v>1.5313093851903048E-2</v>
      </c>
    </row>
    <row r="687" spans="20:24" x14ac:dyDescent="0.2">
      <c r="T687" s="247" t="str">
        <f t="shared" si="15"/>
        <v>1w</v>
      </c>
      <c r="U687" s="245">
        <f>_xll.qlCalendarAdvance(Calendar,U686,T687,"f",FALSE)</f>
        <v>43608</v>
      </c>
      <c r="V687" s="248">
        <f>_xll.qlCalendarAdvance(Calendar,U687,NDays&amp;"D")</f>
        <v>43612</v>
      </c>
      <c r="W687" s="249">
        <v>1.5912591759378557E-2</v>
      </c>
      <c r="X687" s="246">
        <v>1.5389411841031375E-2</v>
      </c>
    </row>
    <row r="688" spans="20:24" x14ac:dyDescent="0.2">
      <c r="T688" s="247" t="str">
        <f t="shared" si="15"/>
        <v>1w</v>
      </c>
      <c r="U688" s="245">
        <f>_xll.qlCalendarAdvance(Calendar,U687,T688,"f",FALSE)</f>
        <v>43615</v>
      </c>
      <c r="V688" s="248">
        <f>_xll.qlCalendarAdvance(Calendar,U688,NDays&amp;"D")</f>
        <v>43619</v>
      </c>
      <c r="W688" s="249">
        <v>1.5988118228236686E-2</v>
      </c>
      <c r="X688" s="246">
        <v>1.5465529580342974E-2</v>
      </c>
    </row>
    <row r="689" spans="20:24" x14ac:dyDescent="0.2">
      <c r="T689" s="247" t="str">
        <f t="shared" si="15"/>
        <v>1w</v>
      </c>
      <c r="U689" s="245">
        <f>_xll.qlCalendarAdvance(Calendar,U688,T689,"f",FALSE)</f>
        <v>43622</v>
      </c>
      <c r="V689" s="248">
        <f>_xll.qlCalendarAdvance(Calendar,U689,NDays&amp;"D")</f>
        <v>43626</v>
      </c>
      <c r="W689" s="249">
        <v>1.6063511446346122E-2</v>
      </c>
      <c r="X689" s="246">
        <v>1.554148500613195E-2</v>
      </c>
    </row>
    <row r="690" spans="20:24" x14ac:dyDescent="0.2">
      <c r="T690" s="247" t="str">
        <f t="shared" si="15"/>
        <v>1w</v>
      </c>
      <c r="U690" s="245">
        <f>_xll.qlCalendarAdvance(Calendar,U689,T690,"f",FALSE)</f>
        <v>43629</v>
      </c>
      <c r="V690" s="248">
        <f>_xll.qlCalendarAdvance(Calendar,U690,NDays&amp;"D")</f>
        <v>43633</v>
      </c>
      <c r="W690" s="249">
        <v>1.6138772261492181E-2</v>
      </c>
      <c r="X690" s="246">
        <v>1.5617307142301584E-2</v>
      </c>
    </row>
    <row r="691" spans="20:24" x14ac:dyDescent="0.2">
      <c r="T691" s="247" t="str">
        <f t="shared" si="15"/>
        <v>1w</v>
      </c>
      <c r="U691" s="245">
        <f>_xll.qlCalendarAdvance(Calendar,U690,T691,"f",FALSE)</f>
        <v>43636</v>
      </c>
      <c r="V691" s="248">
        <f>_xll.qlCalendarAdvance(Calendar,U691,NDays&amp;"D")</f>
        <v>43640</v>
      </c>
      <c r="W691" s="249">
        <v>1.621390066601143E-2</v>
      </c>
      <c r="X691" s="246">
        <v>1.5692995988771941E-2</v>
      </c>
    </row>
    <row r="692" spans="20:24" x14ac:dyDescent="0.2">
      <c r="T692" s="247" t="str">
        <f t="shared" si="15"/>
        <v>1w</v>
      </c>
      <c r="U692" s="245">
        <f>_xll.qlCalendarAdvance(Calendar,U691,T692,"f",FALSE)</f>
        <v>43643</v>
      </c>
      <c r="V692" s="248">
        <f>_xll.qlCalendarAdvance(Calendar,U692,NDays&amp;"D")</f>
        <v>43647</v>
      </c>
      <c r="W692" s="249">
        <v>1.6288896652255202E-2</v>
      </c>
      <c r="X692" s="246">
        <v>1.5768551545383147E-2</v>
      </c>
    </row>
    <row r="693" spans="20:24" x14ac:dyDescent="0.2">
      <c r="T693" s="247" t="str">
        <f t="shared" si="15"/>
        <v>1w</v>
      </c>
      <c r="U693" s="245">
        <f>_xll.qlCalendarAdvance(Calendar,U692,T693,"f",FALSE)</f>
        <v>43650</v>
      </c>
      <c r="V693" s="248">
        <f>_xll.qlCalendarAdvance(Calendar,U693,NDays&amp;"D")</f>
        <v>43654</v>
      </c>
      <c r="W693" s="249">
        <v>1.6363760212583525E-2</v>
      </c>
      <c r="X693" s="246">
        <v>1.5843973812135204E-2</v>
      </c>
    </row>
    <row r="694" spans="20:24" x14ac:dyDescent="0.2">
      <c r="T694" s="247" t="str">
        <f t="shared" si="15"/>
        <v>1w</v>
      </c>
      <c r="U694" s="245">
        <f>_xll.qlCalendarAdvance(Calendar,U693,T694,"f",FALSE)</f>
        <v>43657</v>
      </c>
      <c r="V694" s="248">
        <f>_xll.qlCalendarAdvance(Calendar,U694,NDays&amp;"D")</f>
        <v>43661</v>
      </c>
      <c r="W694" s="249">
        <v>1.6438491339375534E-2</v>
      </c>
      <c r="X694" s="246">
        <v>1.5919262788868238E-2</v>
      </c>
    </row>
    <row r="695" spans="20:24" x14ac:dyDescent="0.2">
      <c r="T695" s="247" t="str">
        <f t="shared" si="15"/>
        <v>1w</v>
      </c>
      <c r="U695" s="245">
        <f>_xll.qlCalendarAdvance(Calendar,U694,T695,"f",FALSE)</f>
        <v>43664</v>
      </c>
      <c r="V695" s="248">
        <f>_xll.qlCalendarAdvance(Calendar,U695,NDays&amp;"D")</f>
        <v>43668</v>
      </c>
      <c r="W695" s="249">
        <v>1.6513090025019932E-2</v>
      </c>
      <c r="X695" s="246">
        <v>1.599441847558225E-2</v>
      </c>
    </row>
    <row r="696" spans="20:24" x14ac:dyDescent="0.2">
      <c r="T696" s="247" t="str">
        <f t="shared" si="15"/>
        <v>1w</v>
      </c>
      <c r="U696" s="245">
        <f>_xll.qlCalendarAdvance(Calendar,U695,T696,"f",FALSE)</f>
        <v>43671</v>
      </c>
      <c r="V696" s="248">
        <f>_xll.qlCalendarAdvance(Calendar,U696,NDays&amp;"D")</f>
        <v>43675</v>
      </c>
      <c r="W696" s="249">
        <v>1.6587556261919316E-2</v>
      </c>
      <c r="X696" s="246">
        <v>1.6069440872117369E-2</v>
      </c>
    </row>
    <row r="697" spans="20:24" x14ac:dyDescent="0.2">
      <c r="T697" s="247" t="str">
        <f t="shared" si="15"/>
        <v>1w</v>
      </c>
      <c r="U697" s="245">
        <f>_xll.qlCalendarAdvance(Calendar,U696,T697,"f",FALSE)</f>
        <v>43678</v>
      </c>
      <c r="V697" s="248">
        <f>_xll.qlCalendarAdvance(Calendar,U697,NDays&amp;"D")</f>
        <v>43682</v>
      </c>
      <c r="W697" s="249">
        <v>1.6661890042491051E-2</v>
      </c>
      <c r="X697" s="246">
        <v>1.6144329978393657E-2</v>
      </c>
    </row>
    <row r="698" spans="20:24" x14ac:dyDescent="0.2">
      <c r="T698" s="247" t="str">
        <f t="shared" si="15"/>
        <v>1w</v>
      </c>
      <c r="U698" s="245">
        <f>_xll.qlCalendarAdvance(Calendar,U697,T698,"f",FALSE)</f>
        <v>43685</v>
      </c>
      <c r="V698" s="248">
        <f>_xll.qlCalendarAdvance(Calendar,U698,NDays&amp;"D")</f>
        <v>43689</v>
      </c>
      <c r="W698" s="249">
        <v>1.6736091359164675E-2</v>
      </c>
      <c r="X698" s="246">
        <v>1.6219085794411114E-2</v>
      </c>
    </row>
    <row r="699" spans="20:24" x14ac:dyDescent="0.2">
      <c r="T699" s="247" t="str">
        <f t="shared" si="15"/>
        <v>1w</v>
      </c>
      <c r="U699" s="245">
        <f>_xll.qlCalendarAdvance(Calendar,U698,T699,"f",FALSE)</f>
        <v>43692</v>
      </c>
      <c r="V699" s="248">
        <f>_xll.qlCalendarAdvance(Calendar,U699,NDays&amp;"D")</f>
        <v>43696</v>
      </c>
      <c r="W699" s="249">
        <v>1.6810160204383626E-2</v>
      </c>
      <c r="X699" s="246">
        <v>1.629370832000987E-2</v>
      </c>
    </row>
    <row r="700" spans="20:24" x14ac:dyDescent="0.2">
      <c r="T700" s="247" t="str">
        <f t="shared" si="15"/>
        <v>1w</v>
      </c>
      <c r="U700" s="245">
        <f>_xll.qlCalendarAdvance(Calendar,U699,T700,"f",FALSE)</f>
        <v>43699</v>
      </c>
      <c r="V700" s="248">
        <f>_xll.qlCalendarAdvance(Calendar,U700,NDays&amp;"D")</f>
        <v>43703</v>
      </c>
      <c r="W700" s="249">
        <v>1.6884096570604371E-2</v>
      </c>
      <c r="X700" s="246">
        <v>1.6368197555189923E-2</v>
      </c>
    </row>
    <row r="701" spans="20:24" x14ac:dyDescent="0.2">
      <c r="T701" s="247" t="str">
        <f t="shared" si="15"/>
        <v>1w</v>
      </c>
      <c r="U701" s="245">
        <f>_xll.qlCalendarAdvance(Calendar,U700,T701,"f",FALSE)</f>
        <v>43706</v>
      </c>
      <c r="V701" s="248">
        <f>_xll.qlCalendarAdvance(Calendar,U701,NDays&amp;"D")</f>
        <v>43710</v>
      </c>
      <c r="W701" s="249">
        <v>1.6952255396621256E-2</v>
      </c>
      <c r="X701" s="246">
        <v>1.6442553499711465E-2</v>
      </c>
    </row>
    <row r="702" spans="20:24" x14ac:dyDescent="0.2">
      <c r="T702" s="247" t="str">
        <f t="shared" si="15"/>
        <v>1w</v>
      </c>
      <c r="U702" s="245">
        <f>_xll.qlCalendarAdvance(Calendar,U701,T702,"f",FALSE)</f>
        <v>43713</v>
      </c>
      <c r="V702" s="248">
        <f>_xll.qlCalendarAdvance(Calendar,U702,NDays&amp;"D")</f>
        <v>43717</v>
      </c>
      <c r="W702" s="249">
        <v>1.7025932777155382E-2</v>
      </c>
      <c r="X702" s="246">
        <v>1.6516776153654433E-2</v>
      </c>
    </row>
    <row r="703" spans="20:24" x14ac:dyDescent="0.2">
      <c r="T703" s="247" t="str">
        <f t="shared" si="15"/>
        <v>1w</v>
      </c>
      <c r="U703" s="245">
        <f>_xll.qlCalendarAdvance(Calendar,U702,T703,"f",FALSE)</f>
        <v>43720</v>
      </c>
      <c r="V703" s="248">
        <f>_xll.qlCalendarAdvance(Calendar,U703,NDays&amp;"D")</f>
        <v>43724</v>
      </c>
      <c r="W703" s="249">
        <v>1.7099477647942157E-2</v>
      </c>
      <c r="X703" s="246">
        <v>1.6590865516779019E-2</v>
      </c>
    </row>
    <row r="704" spans="20:24" x14ac:dyDescent="0.2">
      <c r="T704" s="247" t="str">
        <f t="shared" si="15"/>
        <v>1w</v>
      </c>
      <c r="U704" s="245">
        <f>_xll.qlCalendarAdvance(Calendar,U703,T704,"f",FALSE)</f>
        <v>43727</v>
      </c>
      <c r="V704" s="248">
        <f>_xll.qlCalendarAdvance(Calendar,U704,NDays&amp;"D")</f>
        <v>43731</v>
      </c>
      <c r="W704" s="249">
        <v>1.7172890001573002E-2</v>
      </c>
      <c r="X704" s="246">
        <v>1.6664821589165157E-2</v>
      </c>
    </row>
    <row r="705" spans="20:24" x14ac:dyDescent="0.2">
      <c r="T705" s="247" t="str">
        <f t="shared" si="15"/>
        <v>1w</v>
      </c>
      <c r="U705" s="245">
        <f>_xll.qlCalendarAdvance(Calendar,U704,T705,"f",FALSE)</f>
        <v>43734</v>
      </c>
      <c r="V705" s="248">
        <f>_xll.qlCalendarAdvance(Calendar,U705,NDays&amp;"D")</f>
        <v>43738</v>
      </c>
      <c r="W705" s="249">
        <v>1.7251790953661951E-2</v>
      </c>
      <c r="X705" s="246">
        <v>1.6738644370732914E-2</v>
      </c>
    </row>
    <row r="706" spans="20:24" x14ac:dyDescent="0.2">
      <c r="T706" s="247" t="str">
        <f t="shared" si="15"/>
        <v>1w</v>
      </c>
      <c r="U706" s="245">
        <f>_xll.qlCalendarAdvance(Calendar,U705,T706,"f",FALSE)</f>
        <v>43741</v>
      </c>
      <c r="V706" s="248">
        <f>_xll.qlCalendarAdvance(Calendar,U706,NDays&amp;"D")</f>
        <v>43745</v>
      </c>
      <c r="W706" s="249">
        <v>1.7324932288236092E-2</v>
      </c>
      <c r="X706" s="246">
        <v>1.6812333861162543E-2</v>
      </c>
    </row>
    <row r="707" spans="20:24" x14ac:dyDescent="0.2">
      <c r="T707" s="247" t="str">
        <f t="shared" si="15"/>
        <v>1w</v>
      </c>
      <c r="U707" s="245">
        <f>_xll.qlCalendarAdvance(Calendar,U706,T707,"f",FALSE)</f>
        <v>43748</v>
      </c>
      <c r="V707" s="248">
        <f>_xll.qlCalendarAdvance(Calendar,U707,NDays&amp;"D")</f>
        <v>43752</v>
      </c>
      <c r="W707" s="249">
        <v>1.7397941091385268E-2</v>
      </c>
      <c r="X707" s="246">
        <v>1.6885890060613917E-2</v>
      </c>
    </row>
    <row r="708" spans="20:24" x14ac:dyDescent="0.2">
      <c r="T708" s="247" t="str">
        <f t="shared" si="15"/>
        <v>1w</v>
      </c>
      <c r="U708" s="245">
        <f>_xll.qlCalendarAdvance(Calendar,U707,T708,"f",FALSE)</f>
        <v>43755</v>
      </c>
      <c r="V708" s="248">
        <f>_xll.qlCalendarAdvance(Calendar,U708,NDays&amp;"D")</f>
        <v>43759</v>
      </c>
      <c r="W708" s="249">
        <v>1.747081735567195E-2</v>
      </c>
      <c r="X708" s="246">
        <v>1.6959312968927165E-2</v>
      </c>
    </row>
    <row r="709" spans="20:24" x14ac:dyDescent="0.2">
      <c r="T709" s="247" t="str">
        <f t="shared" si="15"/>
        <v>1w</v>
      </c>
      <c r="U709" s="245">
        <f>_xll.qlCalendarAdvance(Calendar,U708,T709,"f",FALSE)</f>
        <v>43762</v>
      </c>
      <c r="V709" s="248">
        <f>_xll.qlCalendarAdvance(Calendar,U709,NDays&amp;"D")</f>
        <v>43766</v>
      </c>
      <c r="W709" s="249">
        <v>1.7543561073675114E-2</v>
      </c>
      <c r="X709" s="246">
        <v>1.703260258602235E-2</v>
      </c>
    </row>
    <row r="710" spans="20:24" x14ac:dyDescent="0.2">
      <c r="T710" s="247" t="str">
        <f t="shared" si="15"/>
        <v>1w</v>
      </c>
      <c r="U710" s="245">
        <f>_xll.qlCalendarAdvance(Calendar,U709,T710,"f",FALSE)</f>
        <v>43769</v>
      </c>
      <c r="V710" s="248">
        <f>_xll.qlCalendarAdvance(Calendar,U710,NDays&amp;"D")</f>
        <v>43773</v>
      </c>
      <c r="W710" s="249">
        <v>1.7616172237984173E-2</v>
      </c>
      <c r="X710" s="246">
        <v>1.7105758911819535E-2</v>
      </c>
    </row>
    <row r="711" spans="20:24" x14ac:dyDescent="0.2">
      <c r="T711" s="247" t="str">
        <f t="shared" si="15"/>
        <v>1w</v>
      </c>
      <c r="U711" s="245">
        <f>_xll.qlCalendarAdvance(Calendar,U710,T711,"f",FALSE)</f>
        <v>43776</v>
      </c>
      <c r="V711" s="248">
        <f>_xll.qlCalendarAdvance(Calendar,U711,NDays&amp;"D")</f>
        <v>43780</v>
      </c>
      <c r="W711" s="249">
        <v>1.7688650841204172E-2</v>
      </c>
      <c r="X711" s="246">
        <v>1.7178781946318722E-2</v>
      </c>
    </row>
    <row r="712" spans="20:24" x14ac:dyDescent="0.2">
      <c r="T712" s="247" t="str">
        <f t="shared" si="15"/>
        <v>1w</v>
      </c>
      <c r="U712" s="245">
        <f>_xll.qlCalendarAdvance(Calendar,U711,T712,"f",FALSE)</f>
        <v>43783</v>
      </c>
      <c r="V712" s="248">
        <f>_xll.qlCalendarAdvance(Calendar,U712,NDays&amp;"D")</f>
        <v>43787</v>
      </c>
      <c r="W712" s="249">
        <v>1.7760996875951448E-2</v>
      </c>
      <c r="X712" s="246">
        <v>1.7251671689280101E-2</v>
      </c>
    </row>
    <row r="713" spans="20:24" x14ac:dyDescent="0.2">
      <c r="T713" s="247" t="str">
        <f t="shared" si="15"/>
        <v>1w</v>
      </c>
      <c r="U713" s="245">
        <f>_xll.qlCalendarAdvance(Calendar,U712,T713,"f",FALSE)</f>
        <v>43790</v>
      </c>
      <c r="V713" s="248">
        <f>_xll.qlCalendarAdvance(Calendar,U713,NDays&amp;"D")</f>
        <v>43794</v>
      </c>
      <c r="W713" s="249">
        <v>1.7833210334857984E-2</v>
      </c>
      <c r="X713" s="246">
        <v>1.7324428140623738E-2</v>
      </c>
    </row>
    <row r="714" spans="20:24" x14ac:dyDescent="0.2">
      <c r="T714" s="247" t="str">
        <f t="shared" si="15"/>
        <v>1w</v>
      </c>
      <c r="U714" s="245">
        <f>_xll.qlCalendarAdvance(Calendar,U713,T714,"f",FALSE)</f>
        <v>43797</v>
      </c>
      <c r="V714" s="248">
        <f>_xll.qlCalendarAdvance(Calendar,U714,NDays&amp;"D")</f>
        <v>43801</v>
      </c>
      <c r="W714" s="249">
        <v>1.7899723473773905E-2</v>
      </c>
      <c r="X714" s="246">
        <v>1.7397051300429567E-2</v>
      </c>
    </row>
    <row r="715" spans="20:24" x14ac:dyDescent="0.2">
      <c r="T715" s="247" t="str">
        <f t="shared" si="15"/>
        <v>1w</v>
      </c>
      <c r="U715" s="245">
        <f>_xll.qlCalendarAdvance(Calendar,U714,T715,"f",FALSE)</f>
        <v>43804</v>
      </c>
      <c r="V715" s="248">
        <f>_xll.qlCalendarAdvance(Calendar,U715,NDays&amp;"D")</f>
        <v>43808</v>
      </c>
      <c r="W715" s="249">
        <v>1.797167765347853E-2</v>
      </c>
      <c r="X715" s="246">
        <v>1.7469541168537717E-2</v>
      </c>
    </row>
    <row r="716" spans="20:24" x14ac:dyDescent="0.2">
      <c r="T716" s="247" t="str">
        <f t="shared" si="15"/>
        <v>1w</v>
      </c>
      <c r="U716" s="245">
        <f>_xll.qlCalendarAdvance(Calendar,U715,T716,"f",FALSE)</f>
        <v>43811</v>
      </c>
      <c r="V716" s="248">
        <f>_xll.qlCalendarAdvance(Calendar,U716,NDays&amp;"D")</f>
        <v>43815</v>
      </c>
      <c r="W716" s="249">
        <v>1.80434992281529E-2</v>
      </c>
      <c r="X716" s="246">
        <v>1.7541897744788315E-2</v>
      </c>
    </row>
    <row r="717" spans="20:24" x14ac:dyDescent="0.2">
      <c r="T717" s="247" t="str">
        <f t="shared" si="15"/>
        <v>1w</v>
      </c>
      <c r="U717" s="245">
        <f>_xll.qlCalendarAdvance(Calendar,U716,T717,"f",FALSE)</f>
        <v>43818</v>
      </c>
      <c r="V717" s="248">
        <f>_xll.qlCalendarAdvance(Calendar,U717,NDays&amp;"D")</f>
        <v>43822</v>
      </c>
      <c r="W717" s="249">
        <v>1.8115188190557973E-2</v>
      </c>
      <c r="X717" s="246">
        <v>1.7614121029261298E-2</v>
      </c>
    </row>
    <row r="718" spans="20:24" x14ac:dyDescent="0.2">
      <c r="T718" s="247" t="str">
        <f t="shared" si="15"/>
        <v>1w</v>
      </c>
      <c r="U718" s="245">
        <f>_xll.qlCalendarAdvance(Calendar,U717,T718,"f",FALSE)</f>
        <v>43826</v>
      </c>
      <c r="V718" s="248">
        <f>_xll.qlCalendarAdvance(Calendar,U718,NDays&amp;"D")</f>
        <v>43830</v>
      </c>
      <c r="W718" s="249">
        <v>1.8196956041673928E-2</v>
      </c>
      <c r="X718" s="246">
        <v>1.7702076401326927E-2</v>
      </c>
    </row>
    <row r="719" spans="20:24" x14ac:dyDescent="0.2">
      <c r="T719" s="247" t="str">
        <f t="shared" si="15"/>
        <v>1w</v>
      </c>
      <c r="U719" s="245">
        <f>_xll.qlCalendarAdvance(Calendar,U718,T719,"f",FALSE)</f>
        <v>43833</v>
      </c>
      <c r="V719" s="248">
        <f>_xll.qlCalendarAdvance(Calendar,U719,NDays&amp;"D")</f>
        <v>43837</v>
      </c>
      <c r="W719" s="249">
        <v>1.8268360810627812E-2</v>
      </c>
      <c r="X719" s="246">
        <v>1.7768436369847151E-2</v>
      </c>
    </row>
    <row r="720" spans="20:24" x14ac:dyDescent="0.2">
      <c r="T720" s="247" t="str">
        <f t="shared" si="15"/>
        <v>1w</v>
      </c>
      <c r="U720" s="245">
        <f>_xll.qlCalendarAdvance(Calendar,U719,T720,"f",FALSE)</f>
        <v>43840</v>
      </c>
      <c r="V720" s="248">
        <f>_xll.qlCalendarAdvance(Calendar,U720,NDays&amp;"D")</f>
        <v>43844</v>
      </c>
      <c r="W720" s="249">
        <v>1.8339632944656237E-2</v>
      </c>
      <c r="X720" s="246">
        <v>1.7840240736459734E-2</v>
      </c>
    </row>
    <row r="721" spans="20:24" x14ac:dyDescent="0.2">
      <c r="T721" s="247" t="str">
        <f t="shared" si="15"/>
        <v>1w</v>
      </c>
      <c r="U721" s="245">
        <f>_xll.qlCalendarAdvance(Calendar,U720,T721,"f",FALSE)</f>
        <v>43847</v>
      </c>
      <c r="V721" s="248">
        <f>_xll.qlCalendarAdvance(Calendar,U721,NDays&amp;"D")</f>
        <v>43851</v>
      </c>
      <c r="W721" s="249">
        <v>1.841077243657813E-2</v>
      </c>
      <c r="X721" s="246">
        <v>1.791191181089502E-2</v>
      </c>
    </row>
    <row r="722" spans="20:24" x14ac:dyDescent="0.2">
      <c r="T722" s="247" t="str">
        <f t="shared" ref="T722:T785" si="16">T721</f>
        <v>1w</v>
      </c>
      <c r="U722" s="245">
        <f>_xll.qlCalendarAdvance(Calendar,U721,T722,"f",FALSE)</f>
        <v>43854</v>
      </c>
      <c r="V722" s="248">
        <f>_xll.qlCalendarAdvance(Calendar,U722,NDays&amp;"D")</f>
        <v>43858</v>
      </c>
      <c r="W722" s="249">
        <v>1.8481779279224723E-2</v>
      </c>
      <c r="X722" s="246">
        <v>1.7983449592993139E-2</v>
      </c>
    </row>
    <row r="723" spans="20:24" x14ac:dyDescent="0.2">
      <c r="T723" s="247" t="str">
        <f t="shared" si="16"/>
        <v>1w</v>
      </c>
      <c r="U723" s="245">
        <f>_xll.qlCalendarAdvance(Calendar,U722,T723,"f",FALSE)</f>
        <v>43861</v>
      </c>
      <c r="V723" s="248">
        <f>_xll.qlCalendarAdvance(Calendar,U723,NDays&amp;"D")</f>
        <v>43865</v>
      </c>
      <c r="W723" s="249">
        <v>1.8547138991454659E-2</v>
      </c>
      <c r="X723" s="246">
        <v>1.805485408275409E-2</v>
      </c>
    </row>
    <row r="724" spans="20:24" x14ac:dyDescent="0.2">
      <c r="T724" s="247" t="str">
        <f t="shared" si="16"/>
        <v>1w</v>
      </c>
      <c r="U724" s="245">
        <f>_xll.qlCalendarAdvance(Calendar,U723,T724,"f",FALSE)</f>
        <v>43868</v>
      </c>
      <c r="V724" s="248">
        <f>_xll.qlCalendarAdvance(Calendar,U724,NDays&amp;"D")</f>
        <v>43872</v>
      </c>
      <c r="W724" s="249">
        <v>1.8617886347191082E-2</v>
      </c>
      <c r="X724" s="246">
        <v>1.8126125280097938E-2</v>
      </c>
    </row>
    <row r="725" spans="20:24" x14ac:dyDescent="0.2">
      <c r="T725" s="247" t="str">
        <f t="shared" si="16"/>
        <v>1w</v>
      </c>
      <c r="U725" s="245">
        <f>_xll.qlCalendarAdvance(Calendar,U724,T725,"f",FALSE)</f>
        <v>43875</v>
      </c>
      <c r="V725" s="248">
        <f>_xll.qlCalendarAdvance(Calendar,U725,NDays&amp;"D")</f>
        <v>43879</v>
      </c>
      <c r="W725" s="249">
        <v>1.8688501025765802E-2</v>
      </c>
      <c r="X725" s="246">
        <v>1.8197263184944745E-2</v>
      </c>
    </row>
    <row r="726" spans="20:24" x14ac:dyDescent="0.2">
      <c r="T726" s="247" t="str">
        <f t="shared" si="16"/>
        <v>1w</v>
      </c>
      <c r="U726" s="245">
        <f>_xll.qlCalendarAdvance(Calendar,U725,T726,"f",FALSE)</f>
        <v>43882</v>
      </c>
      <c r="V726" s="248">
        <f>_xll.qlCalendarAdvance(Calendar,U726,NDays&amp;"D")</f>
        <v>43886</v>
      </c>
      <c r="W726" s="249">
        <v>1.8758983020142672E-2</v>
      </c>
      <c r="X726" s="246">
        <v>1.8268267797214577E-2</v>
      </c>
    </row>
    <row r="727" spans="20:24" x14ac:dyDescent="0.2">
      <c r="T727" s="247" t="str">
        <f t="shared" si="16"/>
        <v>1w</v>
      </c>
      <c r="U727" s="245">
        <f>_xll.qlCalendarAdvance(Calendar,U726,T727,"f",FALSE)</f>
        <v>43889</v>
      </c>
      <c r="V727" s="248">
        <f>_xll.qlCalendarAdvance(Calendar,U727,NDays&amp;"D")</f>
        <v>43893</v>
      </c>
      <c r="W727" s="249">
        <v>1.8840314315940975E-2</v>
      </c>
      <c r="X727" s="246">
        <v>1.833913911674756E-2</v>
      </c>
    </row>
    <row r="728" spans="20:24" x14ac:dyDescent="0.2">
      <c r="T728" s="247" t="str">
        <f t="shared" si="16"/>
        <v>1w</v>
      </c>
      <c r="U728" s="245">
        <f>_xll.qlCalendarAdvance(Calendar,U727,T728,"f",FALSE)</f>
        <v>43896</v>
      </c>
      <c r="V728" s="248">
        <f>_xll.qlCalendarAdvance(Calendar,U728,NDays&amp;"D")</f>
        <v>43900</v>
      </c>
      <c r="W728" s="249">
        <v>1.8910518472479543E-2</v>
      </c>
      <c r="X728" s="246">
        <v>1.8409877143543696E-2</v>
      </c>
    </row>
    <row r="729" spans="20:24" x14ac:dyDescent="0.2">
      <c r="T729" s="247" t="str">
        <f t="shared" si="16"/>
        <v>1w</v>
      </c>
      <c r="U729" s="245">
        <f>_xll.qlCalendarAdvance(Calendar,U728,T729,"f",FALSE)</f>
        <v>43903</v>
      </c>
      <c r="V729" s="248">
        <f>_xll.qlCalendarAdvance(Calendar,U729,NDays&amp;"D")</f>
        <v>43907</v>
      </c>
      <c r="W729" s="249">
        <v>1.8980586097078443E-2</v>
      </c>
      <c r="X729" s="246">
        <v>1.8480481877523047E-2</v>
      </c>
    </row>
    <row r="730" spans="20:24" x14ac:dyDescent="0.2">
      <c r="T730" s="247" t="str">
        <f t="shared" si="16"/>
        <v>1w</v>
      </c>
      <c r="U730" s="245">
        <f>_xll.qlCalendarAdvance(Calendar,U729,T730,"f",FALSE)</f>
        <v>43910</v>
      </c>
      <c r="V730" s="248">
        <f>_xll.qlCalendarAdvance(Calendar,U730,NDays&amp;"D")</f>
        <v>43914</v>
      </c>
      <c r="W730" s="249">
        <v>1.9050513823235818E-2</v>
      </c>
      <c r="X730" s="246">
        <v>1.8550953318605679E-2</v>
      </c>
    </row>
    <row r="731" spans="20:24" x14ac:dyDescent="0.2">
      <c r="T731" s="247" t="str">
        <f t="shared" si="16"/>
        <v>1w</v>
      </c>
      <c r="U731" s="245">
        <f>_xll.qlCalendarAdvance(Calendar,U730,T731,"f",FALSE)</f>
        <v>43917</v>
      </c>
      <c r="V731" s="248">
        <f>_xll.qlCalendarAdvance(Calendar,U731,NDays&amp;"D")</f>
        <v>43921</v>
      </c>
      <c r="W731" s="249">
        <v>1.9114834246006466E-2</v>
      </c>
      <c r="X731" s="246">
        <v>1.8621291466631718E-2</v>
      </c>
    </row>
    <row r="732" spans="20:24" x14ac:dyDescent="0.2">
      <c r="T732" s="247" t="str">
        <f t="shared" si="16"/>
        <v>1w</v>
      </c>
      <c r="U732" s="245">
        <f>_xll.qlCalendarAdvance(Calendar,U731,T732,"f",FALSE)</f>
        <v>43924</v>
      </c>
      <c r="V732" s="248">
        <f>_xll.qlCalendarAdvance(Calendar,U732,NDays&amp;"D")</f>
        <v>43928</v>
      </c>
      <c r="W732" s="249">
        <v>1.9184479677855339E-2</v>
      </c>
      <c r="X732" s="246">
        <v>1.86914963216811E-2</v>
      </c>
    </row>
    <row r="733" spans="20:24" x14ac:dyDescent="0.2">
      <c r="T733" s="247" t="str">
        <f t="shared" si="16"/>
        <v>1w</v>
      </c>
      <c r="U733" s="245">
        <f>_xll.qlCalendarAdvance(Calendar,U732,T733,"f",FALSE)</f>
        <v>43935</v>
      </c>
      <c r="V733" s="248">
        <f>_xll.qlCalendarAdvance(Calendar,U733,NDays&amp;"D")</f>
        <v>43937</v>
      </c>
      <c r="W733" s="249">
        <v>1.9273803347900065E-2</v>
      </c>
      <c r="X733" s="246">
        <v>1.8781563847438676E-2</v>
      </c>
    </row>
    <row r="734" spans="20:24" x14ac:dyDescent="0.2">
      <c r="T734" s="247" t="str">
        <f t="shared" si="16"/>
        <v>1w</v>
      </c>
      <c r="U734" s="245">
        <f>_xll.qlCalendarAdvance(Calendar,U733,T734,"f",FALSE)</f>
        <v>43942</v>
      </c>
      <c r="V734" s="248">
        <f>_xll.qlCalendarAdvance(Calendar,U734,NDays&amp;"D")</f>
        <v>43944</v>
      </c>
      <c r="W734" s="249">
        <v>1.9343101586376862E-2</v>
      </c>
      <c r="X734" s="246">
        <v>1.8851464032278997E-2</v>
      </c>
    </row>
    <row r="735" spans="20:24" x14ac:dyDescent="0.2">
      <c r="T735" s="247" t="str">
        <f t="shared" si="16"/>
        <v>1w</v>
      </c>
      <c r="U735" s="245">
        <f>_xll.qlCalendarAdvance(Calendar,U734,T735,"f",FALSE)</f>
        <v>43949</v>
      </c>
      <c r="V735" s="248">
        <f>_xll.qlCalendarAdvance(Calendar,U735,NDays&amp;"D")</f>
        <v>43951</v>
      </c>
      <c r="W735" s="249">
        <v>1.941767194035305E-2</v>
      </c>
      <c r="X735" s="246">
        <v>1.8937656058255481E-2</v>
      </c>
    </row>
    <row r="736" spans="20:24" x14ac:dyDescent="0.2">
      <c r="T736" s="247" t="str">
        <f t="shared" si="16"/>
        <v>1w</v>
      </c>
      <c r="U736" s="245">
        <f>_xll.qlCalendarAdvance(Calendar,U735,T736,"f",FALSE)</f>
        <v>43956</v>
      </c>
      <c r="V736" s="248">
        <f>_xll.qlCalendarAdvance(Calendar,U736,NDays&amp;"D")</f>
        <v>43958</v>
      </c>
      <c r="W736" s="249">
        <v>1.9486643204801458E-2</v>
      </c>
      <c r="X736" s="246">
        <v>1.8990864521910567E-2</v>
      </c>
    </row>
    <row r="737" spans="20:24" x14ac:dyDescent="0.2">
      <c r="T737" s="247" t="str">
        <f t="shared" si="16"/>
        <v>1w</v>
      </c>
      <c r="U737" s="245">
        <f>_xll.qlCalendarAdvance(Calendar,U736,T737,"f",FALSE)</f>
        <v>43963</v>
      </c>
      <c r="V737" s="248">
        <f>_xll.qlCalendarAdvance(Calendar,U737,NDays&amp;"D")</f>
        <v>43965</v>
      </c>
      <c r="W737" s="249">
        <v>1.9555450036754424E-2</v>
      </c>
      <c r="X737" s="246">
        <v>1.9060364826621878E-2</v>
      </c>
    </row>
    <row r="738" spans="20:24" x14ac:dyDescent="0.2">
      <c r="T738" s="247" t="str">
        <f t="shared" si="16"/>
        <v>1w</v>
      </c>
      <c r="U738" s="245">
        <f>_xll.qlCalendarAdvance(Calendar,U737,T738,"f",FALSE)</f>
        <v>43970</v>
      </c>
      <c r="V738" s="248">
        <f>_xll.qlCalendarAdvance(Calendar,U738,NDays&amp;"D")</f>
        <v>43972</v>
      </c>
      <c r="W738" s="249">
        <v>1.9624089067891537E-2</v>
      </c>
      <c r="X738" s="246">
        <v>1.9129731837717046E-2</v>
      </c>
    </row>
    <row r="739" spans="20:24" x14ac:dyDescent="0.2">
      <c r="T739" s="247" t="str">
        <f t="shared" si="16"/>
        <v>1w</v>
      </c>
      <c r="U739" s="245">
        <f>_xll.qlCalendarAdvance(Calendar,U738,T739,"f",FALSE)</f>
        <v>43977</v>
      </c>
      <c r="V739" s="248">
        <f>_xll.qlCalendarAdvance(Calendar,U739,NDays&amp;"D")</f>
        <v>43979</v>
      </c>
      <c r="W739" s="249">
        <v>1.9692556929677783E-2</v>
      </c>
      <c r="X739" s="246">
        <v>1.9198965555196068E-2</v>
      </c>
    </row>
    <row r="740" spans="20:24" x14ac:dyDescent="0.2">
      <c r="T740" s="247" t="str">
        <f t="shared" si="16"/>
        <v>1w</v>
      </c>
      <c r="U740" s="245">
        <f>_xll.qlCalendarAdvance(Calendar,U739,T740,"f",FALSE)</f>
        <v>43984</v>
      </c>
      <c r="V740" s="248">
        <f>_xll.qlCalendarAdvance(Calendar,U740,NDays&amp;"D")</f>
        <v>43986</v>
      </c>
      <c r="W740" s="249">
        <v>1.9760850266426998E-2</v>
      </c>
      <c r="X740" s="246">
        <v>1.9268063139490366E-2</v>
      </c>
    </row>
    <row r="741" spans="20:24" x14ac:dyDescent="0.2">
      <c r="T741" s="247" t="str">
        <f t="shared" si="16"/>
        <v>1w</v>
      </c>
      <c r="U741" s="245">
        <f>_xll.qlCalendarAdvance(Calendar,U740,T741,"f",FALSE)</f>
        <v>43991</v>
      </c>
      <c r="V741" s="248">
        <f>_xll.qlCalendarAdvance(Calendar,U741,NDays&amp;"D")</f>
        <v>43993</v>
      </c>
      <c r="W741" s="249">
        <v>1.9828966860144698E-2</v>
      </c>
      <c r="X741" s="246">
        <v>1.9336992608902648E-2</v>
      </c>
    </row>
    <row r="742" spans="20:24" x14ac:dyDescent="0.2">
      <c r="T742" s="247" t="str">
        <f t="shared" si="16"/>
        <v>1w</v>
      </c>
      <c r="U742" s="245">
        <f>_xll.qlCalendarAdvance(Calendar,U741,T742,"f",FALSE)</f>
        <v>43998</v>
      </c>
      <c r="V742" s="248">
        <f>_xll.qlCalendarAdvance(Calendar,U742,NDays&amp;"D")</f>
        <v>44000</v>
      </c>
      <c r="W742" s="249">
        <v>1.98969064975302E-2</v>
      </c>
      <c r="X742" s="246">
        <v>1.9405744846965334E-2</v>
      </c>
    </row>
    <row r="743" spans="20:24" x14ac:dyDescent="0.2">
      <c r="T743" s="247" t="str">
        <f t="shared" si="16"/>
        <v>1w</v>
      </c>
      <c r="U743" s="245">
        <f>_xll.qlCalendarAdvance(Calendar,U742,T743,"f",FALSE)</f>
        <v>44005</v>
      </c>
      <c r="V743" s="248">
        <f>_xll.qlCalendarAdvance(Calendar,U743,NDays&amp;"D")</f>
        <v>44007</v>
      </c>
      <c r="W743" s="249">
        <v>1.9964669169372617E-2</v>
      </c>
      <c r="X743" s="246">
        <v>1.9474319853758359E-2</v>
      </c>
    </row>
    <row r="744" spans="20:24" x14ac:dyDescent="0.2">
      <c r="T744" s="247" t="str">
        <f t="shared" si="16"/>
        <v>1w</v>
      </c>
      <c r="U744" s="245">
        <f>_xll.qlCalendarAdvance(Calendar,U743,T744,"f",FALSE)</f>
        <v>44012</v>
      </c>
      <c r="V744" s="248">
        <f>_xll.qlCalendarAdvance(Calendar,U744,NDays&amp;"D")</f>
        <v>44014</v>
      </c>
      <c r="W744" s="249">
        <v>2.0032254866484508E-2</v>
      </c>
      <c r="X744" s="246">
        <v>1.9542717628882045E-2</v>
      </c>
    </row>
    <row r="745" spans="20:24" x14ac:dyDescent="0.2">
      <c r="T745" s="247" t="str">
        <f t="shared" si="16"/>
        <v>1w</v>
      </c>
      <c r="U745" s="245">
        <f>_xll.qlCalendarAdvance(Calendar,U744,T745,"f",FALSE)</f>
        <v>44019</v>
      </c>
      <c r="V745" s="248">
        <f>_xll.qlCalendarAdvance(Calendar,U745,NDays&amp;"D")</f>
        <v>44021</v>
      </c>
      <c r="W745" s="249">
        <v>2.0099663579701905E-2</v>
      </c>
      <c r="X745" s="246">
        <v>1.9610938172576198E-2</v>
      </c>
    </row>
    <row r="746" spans="20:24" x14ac:dyDescent="0.2">
      <c r="T746" s="247" t="str">
        <f t="shared" si="16"/>
        <v>1w</v>
      </c>
      <c r="U746" s="245">
        <f>_xll.qlCalendarAdvance(Calendar,U745,T746,"f",FALSE)</f>
        <v>44026</v>
      </c>
      <c r="V746" s="248">
        <f>_xll.qlCalendarAdvance(Calendar,U746,NDays&amp;"D")</f>
        <v>44028</v>
      </c>
      <c r="W746" s="249">
        <v>2.016689529988603E-2</v>
      </c>
      <c r="X746" s="246">
        <v>1.967898148460101E-2</v>
      </c>
    </row>
    <row r="747" spans="20:24" x14ac:dyDescent="0.2">
      <c r="T747" s="247" t="str">
        <f t="shared" si="16"/>
        <v>1w</v>
      </c>
      <c r="U747" s="245">
        <f>_xll.qlCalendarAdvance(Calendar,U746,T747,"f",FALSE)</f>
        <v>44033</v>
      </c>
      <c r="V747" s="248">
        <f>_xll.qlCalendarAdvance(Calendar,U747,NDays&amp;"D")</f>
        <v>44035</v>
      </c>
      <c r="W747" s="249">
        <v>2.0233950017920693E-2</v>
      </c>
      <c r="X747" s="246">
        <v>1.974684756479661E-2</v>
      </c>
    </row>
    <row r="748" spans="20:24" x14ac:dyDescent="0.2">
      <c r="T748" s="247" t="str">
        <f t="shared" si="16"/>
        <v>1w</v>
      </c>
      <c r="U748" s="245">
        <f>_xll.qlCalendarAdvance(Calendar,U747,T748,"f",FALSE)</f>
        <v>44040</v>
      </c>
      <c r="V748" s="248">
        <f>_xll.qlCalendarAdvance(Calendar,U748,NDays&amp;"D")</f>
        <v>44042</v>
      </c>
      <c r="W748" s="249">
        <v>2.0300827724713172E-2</v>
      </c>
      <c r="X748" s="246">
        <v>1.9814536413162998E-2</v>
      </c>
    </row>
    <row r="749" spans="20:24" x14ac:dyDescent="0.2">
      <c r="T749" s="247" t="str">
        <f t="shared" si="16"/>
        <v>1w</v>
      </c>
      <c r="U749" s="245">
        <f>_xll.qlCalendarAdvance(Calendar,U748,T749,"f",FALSE)</f>
        <v>44047</v>
      </c>
      <c r="V749" s="248">
        <f>_xll.qlCalendarAdvance(Calendar,U749,NDays&amp;"D")</f>
        <v>44049</v>
      </c>
      <c r="W749" s="249">
        <v>2.0367528411196805E-2</v>
      </c>
      <c r="X749" s="246">
        <v>1.9882048029460364E-2</v>
      </c>
    </row>
    <row r="750" spans="20:24" x14ac:dyDescent="0.2">
      <c r="T750" s="247" t="str">
        <f t="shared" si="16"/>
        <v>1w</v>
      </c>
      <c r="U750" s="245">
        <f>_xll.qlCalendarAdvance(Calendar,U749,T750,"f",FALSE)</f>
        <v>44054</v>
      </c>
      <c r="V750" s="248">
        <f>_xll.qlCalendarAdvance(Calendar,U750,NDays&amp;"D")</f>
        <v>44056</v>
      </c>
      <c r="W750" s="249">
        <v>2.0434052068326651E-2</v>
      </c>
      <c r="X750" s="246">
        <v>1.9949382413768646E-2</v>
      </c>
    </row>
    <row r="751" spans="20:24" x14ac:dyDescent="0.2">
      <c r="T751" s="247" t="str">
        <f t="shared" si="16"/>
        <v>1w</v>
      </c>
      <c r="U751" s="245">
        <f>_xll.qlCalendarAdvance(Calendar,U750,T751,"f",FALSE)</f>
        <v>44061</v>
      </c>
      <c r="V751" s="248">
        <f>_xll.qlCalendarAdvance(Calendar,U751,NDays&amp;"D")</f>
        <v>44063</v>
      </c>
      <c r="W751" s="249">
        <v>2.0500398687082106E-2</v>
      </c>
      <c r="X751" s="246">
        <v>2.0016539565848035E-2</v>
      </c>
    </row>
    <row r="752" spans="20:24" x14ac:dyDescent="0.2">
      <c r="T752" s="247" t="str">
        <f t="shared" si="16"/>
        <v>1w</v>
      </c>
      <c r="U752" s="245">
        <f>_xll.qlCalendarAdvance(Calendar,U751,T752,"f",FALSE)</f>
        <v>44068</v>
      </c>
      <c r="V752" s="248">
        <f>_xll.qlCalendarAdvance(Calendar,U752,NDays&amp;"D")</f>
        <v>44070</v>
      </c>
      <c r="W752" s="249">
        <v>2.0566568258467748E-2</v>
      </c>
      <c r="X752" s="246">
        <v>2.0083519485698531E-2</v>
      </c>
    </row>
    <row r="753" spans="20:24" x14ac:dyDescent="0.2">
      <c r="T753" s="247" t="str">
        <f t="shared" si="16"/>
        <v>1w</v>
      </c>
      <c r="U753" s="245">
        <f>_xll.qlCalendarAdvance(Calendar,U752,T753,"f",FALSE)</f>
        <v>44075</v>
      </c>
      <c r="V753" s="248">
        <f>_xll.qlCalendarAdvance(Calendar,U753,NDays&amp;"D")</f>
        <v>44077</v>
      </c>
      <c r="W753" s="249">
        <v>2.0627290681334679E-2</v>
      </c>
      <c r="X753" s="246">
        <v>2.0150322173160262E-2</v>
      </c>
    </row>
    <row r="754" spans="20:24" x14ac:dyDescent="0.2">
      <c r="T754" s="247" t="str">
        <f t="shared" si="16"/>
        <v>1w</v>
      </c>
      <c r="U754" s="245">
        <f>_xll.qlCalendarAdvance(Calendar,U753,T754,"f",FALSE)</f>
        <v>44082</v>
      </c>
      <c r="V754" s="248">
        <f>_xll.qlCalendarAdvance(Calendar,U754,NDays&amp;"D")</f>
        <v>44084</v>
      </c>
      <c r="W754" s="249">
        <v>2.0693115011467193E-2</v>
      </c>
      <c r="X754" s="246">
        <v>2.0216947628153292E-2</v>
      </c>
    </row>
    <row r="755" spans="20:24" x14ac:dyDescent="0.2">
      <c r="T755" s="247" t="str">
        <f t="shared" si="16"/>
        <v>1w</v>
      </c>
      <c r="U755" s="245">
        <f>_xll.qlCalendarAdvance(Calendar,U754,T755,"f",FALSE)</f>
        <v>44089</v>
      </c>
      <c r="V755" s="248">
        <f>_xll.qlCalendarAdvance(Calendar,U755,NDays&amp;"D")</f>
        <v>44091</v>
      </c>
      <c r="W755" s="249">
        <v>2.0758762266230833E-2</v>
      </c>
      <c r="X755" s="246">
        <v>2.0283395850517749E-2</v>
      </c>
    </row>
    <row r="756" spans="20:24" x14ac:dyDescent="0.2">
      <c r="T756" s="247" t="str">
        <f t="shared" si="16"/>
        <v>1w</v>
      </c>
      <c r="U756" s="245">
        <f>_xll.qlCalendarAdvance(Calendar,U755,T756,"f",FALSE)</f>
        <v>44096</v>
      </c>
      <c r="V756" s="248">
        <f>_xll.qlCalendarAdvance(Calendar,U756,NDays&amp;"D")</f>
        <v>44098</v>
      </c>
      <c r="W756" s="249">
        <v>2.0824232436818579E-2</v>
      </c>
      <c r="X756" s="246">
        <v>2.0349666840253633E-2</v>
      </c>
    </row>
    <row r="757" spans="20:24" x14ac:dyDescent="0.2">
      <c r="T757" s="247" t="str">
        <f t="shared" si="16"/>
        <v>1w</v>
      </c>
      <c r="U757" s="245">
        <f>_xll.qlCalendarAdvance(Calendar,U756,T757,"f",FALSE)</f>
        <v>44103</v>
      </c>
      <c r="V757" s="248">
        <f>_xll.qlCalendarAdvance(Calendar,U757,NDays&amp;"D")</f>
        <v>44105</v>
      </c>
      <c r="W757" s="249">
        <v>2.0910459938916888E-2</v>
      </c>
      <c r="X757" s="246">
        <v>2.0415760597281007E-2</v>
      </c>
    </row>
    <row r="758" spans="20:24" x14ac:dyDescent="0.2">
      <c r="T758" s="247" t="str">
        <f t="shared" si="16"/>
        <v>1w</v>
      </c>
      <c r="U758" s="245">
        <f>_xll.qlCalendarAdvance(Calendar,U757,T758,"f",FALSE)</f>
        <v>44110</v>
      </c>
      <c r="V758" s="248">
        <f>_xll.qlCalendarAdvance(Calendar,U758,NDays&amp;"D")</f>
        <v>44112</v>
      </c>
      <c r="W758" s="249">
        <v>2.0959867191225796E-2</v>
      </c>
      <c r="X758" s="246">
        <v>2.0481677121360065E-2</v>
      </c>
    </row>
    <row r="759" spans="20:24" x14ac:dyDescent="0.2">
      <c r="T759" s="247" t="str">
        <f t="shared" si="16"/>
        <v>1w</v>
      </c>
      <c r="U759" s="245">
        <f>_xll.qlCalendarAdvance(Calendar,U758,T759,"f",FALSE)</f>
        <v>44117</v>
      </c>
      <c r="V759" s="248">
        <f>_xll.qlCalendarAdvance(Calendar,U759,NDays&amp;"D")</f>
        <v>44119</v>
      </c>
      <c r="W759" s="249">
        <v>2.1024797181132239E-2</v>
      </c>
      <c r="X759" s="246">
        <v>2.0547416412490804E-2</v>
      </c>
    </row>
    <row r="760" spans="20:24" x14ac:dyDescent="0.2">
      <c r="T760" s="247" t="str">
        <f t="shared" si="16"/>
        <v>1w</v>
      </c>
      <c r="U760" s="245">
        <f>_xll.qlCalendarAdvance(Calendar,U759,T760,"f",FALSE)</f>
        <v>44124</v>
      </c>
      <c r="V760" s="248">
        <f>_xll.qlCalendarAdvance(Calendar,U760,NDays&amp;"D")</f>
        <v>44126</v>
      </c>
      <c r="W760" s="249">
        <v>2.1089550052557929E-2</v>
      </c>
      <c r="X760" s="246">
        <v>2.0612978470513355E-2</v>
      </c>
    </row>
    <row r="761" spans="20:24" x14ac:dyDescent="0.2">
      <c r="T761" s="247" t="str">
        <f t="shared" si="16"/>
        <v>1w</v>
      </c>
      <c r="U761" s="245">
        <f>_xll.qlCalendarAdvance(Calendar,U760,T761,"f",FALSE)</f>
        <v>44131</v>
      </c>
      <c r="V761" s="248">
        <f>_xll.qlCalendarAdvance(Calendar,U761,NDays&amp;"D")</f>
        <v>44133</v>
      </c>
      <c r="W761" s="249">
        <v>2.1154125796722933E-2</v>
      </c>
      <c r="X761" s="246">
        <v>2.0678363295507651E-2</v>
      </c>
    </row>
    <row r="762" spans="20:24" x14ac:dyDescent="0.2">
      <c r="T762" s="247" t="str">
        <f t="shared" si="16"/>
        <v>1w</v>
      </c>
      <c r="U762" s="245">
        <f>_xll.qlCalendarAdvance(Calendar,U761,T762,"f",FALSE)</f>
        <v>44138</v>
      </c>
      <c r="V762" s="248">
        <f>_xll.qlCalendarAdvance(Calendar,U762,NDays&amp;"D")</f>
        <v>44140</v>
      </c>
      <c r="W762" s="249">
        <v>2.1218524404869914E-2</v>
      </c>
      <c r="X762" s="246">
        <v>2.074357088715395E-2</v>
      </c>
    </row>
    <row r="763" spans="20:24" x14ac:dyDescent="0.2">
      <c r="T763" s="247" t="str">
        <f t="shared" si="16"/>
        <v>1w</v>
      </c>
      <c r="U763" s="245">
        <f>_xll.qlCalendarAdvance(Calendar,U762,T763,"f",FALSE)</f>
        <v>44145</v>
      </c>
      <c r="V763" s="248">
        <f>_xll.qlCalendarAdvance(Calendar,U763,NDays&amp;"D")</f>
        <v>44147</v>
      </c>
      <c r="W763" s="249">
        <v>2.128274586826585E-2</v>
      </c>
      <c r="X763" s="246">
        <v>2.0808601245452252E-2</v>
      </c>
    </row>
    <row r="764" spans="20:24" x14ac:dyDescent="0.2">
      <c r="T764" s="247" t="str">
        <f t="shared" si="16"/>
        <v>1w</v>
      </c>
      <c r="U764" s="245">
        <f>_xll.qlCalendarAdvance(Calendar,U763,T764,"f",FALSE)</f>
        <v>44152</v>
      </c>
      <c r="V764" s="248">
        <f>_xll.qlCalendarAdvance(Calendar,U764,NDays&amp;"D")</f>
        <v>44154</v>
      </c>
      <c r="W764" s="249">
        <v>2.1346790178200323E-2</v>
      </c>
      <c r="X764" s="246">
        <v>2.0873454370322619E-2</v>
      </c>
    </row>
    <row r="765" spans="20:24" x14ac:dyDescent="0.2">
      <c r="T765" s="247" t="str">
        <f t="shared" si="16"/>
        <v>1w</v>
      </c>
      <c r="U765" s="245">
        <f>_xll.qlCalendarAdvance(Calendar,U764,T765,"f",FALSE)</f>
        <v>44159</v>
      </c>
      <c r="V765" s="248">
        <f>_xll.qlCalendarAdvance(Calendar,U765,NDays&amp;"D")</f>
        <v>44161</v>
      </c>
      <c r="W765" s="249">
        <v>2.1410657325988972E-2</v>
      </c>
      <c r="X765" s="246">
        <v>2.0938130261605181E-2</v>
      </c>
    </row>
    <row r="766" spans="20:24" x14ac:dyDescent="0.2">
      <c r="T766" s="247" t="str">
        <f t="shared" si="16"/>
        <v>1w</v>
      </c>
      <c r="U766" s="245">
        <f>_xll.qlCalendarAdvance(Calendar,U765,T766,"f",FALSE)</f>
        <v>44166</v>
      </c>
      <c r="V766" s="248">
        <f>_xll.qlCalendarAdvance(Calendar,U766,NDays&amp;"D")</f>
        <v>44168</v>
      </c>
      <c r="W766" s="249">
        <v>2.1464037238126288E-2</v>
      </c>
      <c r="X766" s="246">
        <v>2.1002628919299937E-2</v>
      </c>
    </row>
    <row r="767" spans="20:24" x14ac:dyDescent="0.2">
      <c r="T767" s="247" t="str">
        <f t="shared" si="16"/>
        <v>1w</v>
      </c>
      <c r="U767" s="245">
        <f>_xll.qlCalendarAdvance(Calendar,U766,T767,"f",FALSE)</f>
        <v>44173</v>
      </c>
      <c r="V767" s="248">
        <f>_xll.qlCalendarAdvance(Calendar,U767,NDays&amp;"D")</f>
        <v>44175</v>
      </c>
      <c r="W767" s="249">
        <v>2.1527567781403967E-2</v>
      </c>
      <c r="X767" s="246">
        <v>2.1066950343247015E-2</v>
      </c>
    </row>
    <row r="768" spans="20:24" x14ac:dyDescent="0.2">
      <c r="T768" s="247" t="str">
        <f t="shared" si="16"/>
        <v>1w</v>
      </c>
      <c r="U768" s="245">
        <f>_xll.qlCalendarAdvance(Calendar,U767,T768,"f",FALSE)</f>
        <v>44180</v>
      </c>
      <c r="V768" s="248">
        <f>_xll.qlCalendarAdvance(Calendar,U768,NDays&amp;"D")</f>
        <v>44182</v>
      </c>
      <c r="W768" s="249">
        <v>2.159092113674177E-2</v>
      </c>
      <c r="X768" s="246">
        <v>2.1131094533446415E-2</v>
      </c>
    </row>
    <row r="769" spans="20:24" x14ac:dyDescent="0.2">
      <c r="T769" s="247" t="str">
        <f t="shared" si="16"/>
        <v>1w</v>
      </c>
      <c r="U769" s="245">
        <f>_xll.qlCalendarAdvance(Calendar,U768,T769,"f",FALSE)</f>
        <v>44187</v>
      </c>
      <c r="V769" s="248">
        <f>_xll.qlCalendarAdvance(Calendar,U769,NDays&amp;"D")</f>
        <v>44189</v>
      </c>
      <c r="W769" s="249">
        <v>2.1654097295734864E-2</v>
      </c>
      <c r="X769" s="246">
        <v>2.1210617660489817E-2</v>
      </c>
    </row>
    <row r="770" spans="20:24" x14ac:dyDescent="0.2">
      <c r="T770" s="247" t="str">
        <f t="shared" si="16"/>
        <v>1w</v>
      </c>
      <c r="U770" s="245">
        <f>_xll.qlCalendarAdvance(Calendar,U769,T770,"f",FALSE)</f>
        <v>44194</v>
      </c>
      <c r="V770" s="248">
        <f>_xll.qlCalendarAdvance(Calendar,U770,NDays&amp;"D")</f>
        <v>44196</v>
      </c>
      <c r="W770" s="249">
        <v>2.1717096249999734E-2</v>
      </c>
      <c r="X770" s="246">
        <v>2.1274380688987016E-2</v>
      </c>
    </row>
    <row r="771" spans="20:24" x14ac:dyDescent="0.2">
      <c r="T771" s="247" t="str">
        <f t="shared" si="16"/>
        <v>1w</v>
      </c>
      <c r="U771" s="245">
        <f>_xll.qlCalendarAdvance(Calendar,U770,T771,"f",FALSE)</f>
        <v>44201</v>
      </c>
      <c r="V771" s="248">
        <f>_xll.qlCalendarAdvance(Calendar,U771,NDays&amp;"D")</f>
        <v>44203</v>
      </c>
      <c r="W771" s="249">
        <v>2.1779917991178621E-2</v>
      </c>
      <c r="X771" s="246">
        <v>2.1322463699799954E-2</v>
      </c>
    </row>
    <row r="772" spans="20:24" x14ac:dyDescent="0.2">
      <c r="T772" s="247" t="str">
        <f t="shared" si="16"/>
        <v>1w</v>
      </c>
      <c r="U772" s="245">
        <f>_xll.qlCalendarAdvance(Calendar,U771,T772,"f",FALSE)</f>
        <v>44208</v>
      </c>
      <c r="V772" s="248">
        <f>_xll.qlCalendarAdvance(Calendar,U772,NDays&amp;"D")</f>
        <v>44210</v>
      </c>
      <c r="W772" s="249">
        <v>2.184256251093597E-2</v>
      </c>
      <c r="X772" s="246">
        <v>2.1385898953729665E-2</v>
      </c>
    </row>
    <row r="773" spans="20:24" x14ac:dyDescent="0.2">
      <c r="T773" s="247" t="str">
        <f t="shared" si="16"/>
        <v>1w</v>
      </c>
      <c r="U773" s="245">
        <f>_xll.qlCalendarAdvance(Calendar,U772,T773,"f",FALSE)</f>
        <v>44215</v>
      </c>
      <c r="V773" s="248">
        <f>_xll.qlCalendarAdvance(Calendar,U773,NDays&amp;"D")</f>
        <v>44217</v>
      </c>
      <c r="W773" s="249">
        <v>2.1905029800959319E-2</v>
      </c>
      <c r="X773" s="246">
        <v>2.144915697327221E-2</v>
      </c>
    </row>
    <row r="774" spans="20:24" x14ac:dyDescent="0.2">
      <c r="T774" s="247" t="str">
        <f t="shared" si="16"/>
        <v>1w</v>
      </c>
      <c r="U774" s="245">
        <f>_xll.qlCalendarAdvance(Calendar,U773,T774,"f",FALSE)</f>
        <v>44222</v>
      </c>
      <c r="V774" s="248">
        <f>_xll.qlCalendarAdvance(Calendar,U774,NDays&amp;"D")</f>
        <v>44224</v>
      </c>
      <c r="W774" s="249">
        <v>2.1967319852961076E-2</v>
      </c>
      <c r="X774" s="246">
        <v>2.1512237758507524E-2</v>
      </c>
    </row>
    <row r="775" spans="20:24" x14ac:dyDescent="0.2">
      <c r="T775" s="247" t="str">
        <f t="shared" si="16"/>
        <v>1w</v>
      </c>
      <c r="U775" s="245">
        <f>_xll.qlCalendarAdvance(Calendar,U774,T775,"f",FALSE)</f>
        <v>44229</v>
      </c>
      <c r="V775" s="248">
        <f>_xll.qlCalendarAdvance(Calendar,U775,NDays&amp;"D")</f>
        <v>44231</v>
      </c>
      <c r="W775" s="249">
        <v>2.2024356527827849E-2</v>
      </c>
      <c r="X775" s="246">
        <v>2.1575141309115864E-2</v>
      </c>
    </row>
    <row r="776" spans="20:24" x14ac:dyDescent="0.2">
      <c r="T776" s="247" t="str">
        <f t="shared" si="16"/>
        <v>1w</v>
      </c>
      <c r="U776" s="245">
        <f>_xll.qlCalendarAdvance(Calendar,U775,T776,"f",FALSE)</f>
        <v>44236</v>
      </c>
      <c r="V776" s="248">
        <f>_xll.qlCalendarAdvance(Calendar,U776,NDays&amp;"D")</f>
        <v>44238</v>
      </c>
      <c r="W776" s="249">
        <v>2.2086300955921744E-2</v>
      </c>
      <c r="X776" s="246">
        <v>2.1637867625257101E-2</v>
      </c>
    </row>
    <row r="777" spans="20:24" x14ac:dyDescent="0.2">
      <c r="T777" s="247" t="str">
        <f t="shared" si="16"/>
        <v>1w</v>
      </c>
      <c r="U777" s="245">
        <f>_xll.qlCalendarAdvance(Calendar,U776,T777,"f",FALSE)</f>
        <v>44243</v>
      </c>
      <c r="V777" s="248">
        <f>_xll.qlCalendarAdvance(Calendar,U777,NDays&amp;"D")</f>
        <v>44245</v>
      </c>
      <c r="W777" s="249">
        <v>2.214806812212957E-2</v>
      </c>
      <c r="X777" s="246">
        <v>2.1700416706691428E-2</v>
      </c>
    </row>
    <row r="778" spans="20:24" x14ac:dyDescent="0.2">
      <c r="T778" s="247" t="str">
        <f t="shared" si="16"/>
        <v>1w</v>
      </c>
      <c r="U778" s="245">
        <f>_xll.qlCalendarAdvance(Calendar,U777,T778,"f",FALSE)</f>
        <v>44250</v>
      </c>
      <c r="V778" s="248">
        <f>_xll.qlCalendarAdvance(Calendar,U778,NDays&amp;"D")</f>
        <v>44252</v>
      </c>
      <c r="W778" s="249">
        <v>2.2209658018344555E-2</v>
      </c>
      <c r="X778" s="246">
        <v>2.1762788553418844E-2</v>
      </c>
    </row>
    <row r="779" spans="20:24" x14ac:dyDescent="0.2">
      <c r="T779" s="247" t="str">
        <f t="shared" si="16"/>
        <v>1w</v>
      </c>
      <c r="U779" s="245">
        <f>_xll.qlCalendarAdvance(Calendar,U778,T779,"f",FALSE)</f>
        <v>44257</v>
      </c>
      <c r="V779" s="248">
        <f>_xll.qlCalendarAdvance(Calendar,U779,NDays&amp;"D")</f>
        <v>44259</v>
      </c>
      <c r="W779" s="249">
        <v>2.2286190515558073E-2</v>
      </c>
      <c r="X779" s="246">
        <v>2.1824983165199541E-2</v>
      </c>
    </row>
    <row r="780" spans="20:24" x14ac:dyDescent="0.2">
      <c r="T780" s="247" t="str">
        <f t="shared" si="16"/>
        <v>1w</v>
      </c>
      <c r="U780" s="245">
        <f>_xll.qlCalendarAdvance(Calendar,U779,T780,"f",FALSE)</f>
        <v>44264</v>
      </c>
      <c r="V780" s="248">
        <f>_xll.qlCalendarAdvance(Calendar,U780,NDays&amp;"D")</f>
        <v>44266</v>
      </c>
      <c r="W780" s="249">
        <v>2.2347394942414282E-2</v>
      </c>
      <c r="X780" s="246">
        <v>2.1887000542113455E-2</v>
      </c>
    </row>
    <row r="781" spans="20:24" x14ac:dyDescent="0.2">
      <c r="T781" s="247" t="str">
        <f t="shared" si="16"/>
        <v>1w</v>
      </c>
      <c r="U781" s="245">
        <f>_xll.qlCalendarAdvance(Calendar,U780,T781,"f",FALSE)</f>
        <v>44271</v>
      </c>
      <c r="V781" s="248">
        <f>_xll.qlCalendarAdvance(Calendar,U781,NDays&amp;"D")</f>
        <v>44273</v>
      </c>
      <c r="W781" s="249">
        <v>2.2408406427070881E-2</v>
      </c>
      <c r="X781" s="246">
        <v>2.1948840683920778E-2</v>
      </c>
    </row>
    <row r="782" spans="20:24" x14ac:dyDescent="0.2">
      <c r="T782" s="247" t="str">
        <f t="shared" si="16"/>
        <v>1w</v>
      </c>
      <c r="U782" s="245">
        <f>_xll.qlCalendarAdvance(Calendar,U781,T782,"f",FALSE)</f>
        <v>44278</v>
      </c>
      <c r="V782" s="248">
        <f>_xll.qlCalendarAdvance(Calendar,U782,NDays&amp;"D")</f>
        <v>44280</v>
      </c>
      <c r="W782" s="249">
        <v>2.2469212792617089E-2</v>
      </c>
      <c r="X782" s="246">
        <v>2.2010503590621511E-2</v>
      </c>
    </row>
    <row r="783" spans="20:24" x14ac:dyDescent="0.2">
      <c r="T783" s="247" t="str">
        <f t="shared" si="16"/>
        <v>1w</v>
      </c>
      <c r="U783" s="245">
        <f>_xll.qlCalendarAdvance(Calendar,U782,T783,"f",FALSE)</f>
        <v>44285</v>
      </c>
      <c r="V783" s="248">
        <f>_xll.qlCalendarAdvance(Calendar,U783,NDays&amp;"D")</f>
        <v>44287</v>
      </c>
      <c r="W783" s="249">
        <v>2.2524811921188676E-2</v>
      </c>
      <c r="X783" s="246">
        <v>2.2092231408638696E-2</v>
      </c>
    </row>
    <row r="784" spans="20:24" x14ac:dyDescent="0.2">
      <c r="T784" s="247" t="str">
        <f t="shared" si="16"/>
        <v>1w</v>
      </c>
      <c r="U784" s="245">
        <f>_xll.qlCalendarAdvance(Calendar,U783,T784,"f",FALSE)</f>
        <v>44292</v>
      </c>
      <c r="V784" s="248">
        <f>_xll.qlCalendarAdvance(Calendar,U784,NDays&amp;"D")</f>
        <v>44294</v>
      </c>
      <c r="W784" s="249">
        <v>2.2585187157989909E-2</v>
      </c>
      <c r="X784" s="246">
        <v>2.2133297698303522E-2</v>
      </c>
    </row>
    <row r="785" spans="20:24" x14ac:dyDescent="0.2">
      <c r="T785" s="247" t="str">
        <f t="shared" si="16"/>
        <v>1w</v>
      </c>
      <c r="U785" s="245">
        <f>_xll.qlCalendarAdvance(Calendar,U784,T785,"f",FALSE)</f>
        <v>44299</v>
      </c>
      <c r="V785" s="248">
        <f>_xll.qlCalendarAdvance(Calendar,U785,NDays&amp;"D")</f>
        <v>44301</v>
      </c>
      <c r="W785" s="249">
        <v>2.2645321797181615E-2</v>
      </c>
      <c r="X785" s="246">
        <v>2.2194428899044993E-2</v>
      </c>
    </row>
    <row r="786" spans="20:24" x14ac:dyDescent="0.2">
      <c r="T786" s="247" t="str">
        <f t="shared" ref="T786:T849" si="17">T785</f>
        <v>1w</v>
      </c>
      <c r="U786" s="245">
        <f>_xll.qlCalendarAdvance(Calendar,U785,T786,"f",FALSE)</f>
        <v>44306</v>
      </c>
      <c r="V786" s="248">
        <f>_xll.qlCalendarAdvance(Calendar,U786,NDays&amp;"D")</f>
        <v>44308</v>
      </c>
      <c r="W786" s="249">
        <v>2.2705203526238289E-2</v>
      </c>
      <c r="X786" s="246">
        <v>2.2255382864280193E-2</v>
      </c>
    </row>
    <row r="787" spans="20:24" x14ac:dyDescent="0.2">
      <c r="T787" s="247" t="str">
        <f t="shared" si="17"/>
        <v>1w</v>
      </c>
      <c r="U787" s="245">
        <f>_xll.qlCalendarAdvance(Calendar,U786,T787,"f",FALSE)</f>
        <v>44313</v>
      </c>
      <c r="V787" s="248">
        <f>_xll.qlCalendarAdvance(Calendar,U787,NDays&amp;"D")</f>
        <v>44315</v>
      </c>
      <c r="W787" s="249">
        <v>2.2764820031942232E-2</v>
      </c>
      <c r="X787" s="246">
        <v>2.2316159594009122E-2</v>
      </c>
    </row>
    <row r="788" spans="20:24" x14ac:dyDescent="0.2">
      <c r="T788" s="247" t="str">
        <f t="shared" si="17"/>
        <v>1w</v>
      </c>
      <c r="U788" s="245">
        <f>_xll.qlCalendarAdvance(Calendar,U787,T788,"f",FALSE)</f>
        <v>44320</v>
      </c>
      <c r="V788" s="248">
        <f>_xll.qlCalendarAdvance(Calendar,U788,NDays&amp;"D")</f>
        <v>44322</v>
      </c>
      <c r="W788" s="249">
        <v>2.2829061487565049E-2</v>
      </c>
      <c r="X788" s="246">
        <v>2.2376759088071907E-2</v>
      </c>
    </row>
    <row r="789" spans="20:24" x14ac:dyDescent="0.2">
      <c r="T789" s="247" t="str">
        <f t="shared" si="17"/>
        <v>1w</v>
      </c>
      <c r="U789" s="245">
        <f>_xll.qlCalendarAdvance(Calendar,U788,T789,"f",FALSE)</f>
        <v>44327</v>
      </c>
      <c r="V789" s="248">
        <f>_xll.qlCalendarAdvance(Calendar,U789,NDays&amp;"D")</f>
        <v>44329</v>
      </c>
      <c r="W789" s="249">
        <v>2.2888091006129534E-2</v>
      </c>
      <c r="X789" s="246">
        <v>2.2437181346228741E-2</v>
      </c>
    </row>
    <row r="790" spans="20:24" x14ac:dyDescent="0.2">
      <c r="T790" s="247" t="str">
        <f t="shared" si="17"/>
        <v>1w</v>
      </c>
      <c r="U790" s="245">
        <f>_xll.qlCalendarAdvance(Calendar,U789,T790,"f",FALSE)</f>
        <v>44334</v>
      </c>
      <c r="V790" s="248">
        <f>_xll.qlCalendarAdvance(Calendar,U790,NDays&amp;"D")</f>
        <v>44336</v>
      </c>
      <c r="W790" s="249">
        <v>2.2946817964931556E-2</v>
      </c>
      <c r="X790" s="246">
        <v>2.2497426368639495E-2</v>
      </c>
    </row>
    <row r="791" spans="20:24" x14ac:dyDescent="0.2">
      <c r="T791" s="247" t="str">
        <f t="shared" si="17"/>
        <v>1w</v>
      </c>
      <c r="U791" s="245">
        <f>_xll.qlCalendarAdvance(Calendar,U790,T791,"f",FALSE)</f>
        <v>44341</v>
      </c>
      <c r="V791" s="248">
        <f>_xll.qlCalendarAdvance(Calendar,U791,NDays&amp;"D")</f>
        <v>44343</v>
      </c>
      <c r="W791" s="249">
        <v>2.3005230180836615E-2</v>
      </c>
      <c r="X791" s="246">
        <v>2.2557494155144298E-2</v>
      </c>
    </row>
    <row r="792" spans="20:24" x14ac:dyDescent="0.2">
      <c r="T792" s="247" t="str">
        <f t="shared" si="17"/>
        <v>1w</v>
      </c>
      <c r="U792" s="245">
        <f>_xll.qlCalendarAdvance(Calendar,U791,T792,"f",FALSE)</f>
        <v>44348</v>
      </c>
      <c r="V792" s="248">
        <f>_xll.qlCalendarAdvance(Calendar,U792,NDays&amp;"D")</f>
        <v>44350</v>
      </c>
      <c r="W792" s="249">
        <v>2.3063315475974695E-2</v>
      </c>
      <c r="X792" s="246">
        <v>2.26173809194119E-2</v>
      </c>
    </row>
    <row r="793" spans="20:24" x14ac:dyDescent="0.2">
      <c r="T793" s="247" t="str">
        <f t="shared" si="17"/>
        <v>1w</v>
      </c>
      <c r="U793" s="245">
        <f>_xll.qlCalendarAdvance(Calendar,U792,T793,"f",FALSE)</f>
        <v>44355</v>
      </c>
      <c r="V793" s="248">
        <f>_xll.qlCalendarAdvance(Calendar,U793,NDays&amp;"D")</f>
        <v>44357</v>
      </c>
      <c r="W793" s="249">
        <v>2.3121064675879394E-2</v>
      </c>
      <c r="X793" s="246">
        <v>2.2676980649443124E-2</v>
      </c>
    </row>
    <row r="794" spans="20:24" x14ac:dyDescent="0.2">
      <c r="T794" s="247" t="str">
        <f t="shared" si="17"/>
        <v>1w</v>
      </c>
      <c r="U794" s="245">
        <f>_xll.qlCalendarAdvance(Calendar,U793,T794,"f",FALSE)</f>
        <v>44362</v>
      </c>
      <c r="V794" s="248">
        <f>_xll.qlCalendarAdvance(Calendar,U794,NDays&amp;"D")</f>
        <v>44364</v>
      </c>
      <c r="W794" s="249">
        <v>2.3178476488406055E-2</v>
      </c>
      <c r="X794" s="246">
        <v>2.273624412509001E-2</v>
      </c>
    </row>
    <row r="795" spans="20:24" x14ac:dyDescent="0.2">
      <c r="T795" s="247" t="str">
        <f t="shared" si="17"/>
        <v>1w</v>
      </c>
      <c r="U795" s="245">
        <f>_xll.qlCalendarAdvance(Calendar,U794,T795,"f",FALSE)</f>
        <v>44369</v>
      </c>
      <c r="V795" s="248">
        <f>_xll.qlCalendarAdvance(Calendar,U795,NDays&amp;"D")</f>
        <v>44371</v>
      </c>
      <c r="W795" s="249">
        <v>2.3235550898765642E-2</v>
      </c>
      <c r="X795" s="246">
        <v>2.2795171346352561E-2</v>
      </c>
    </row>
    <row r="796" spans="20:24" x14ac:dyDescent="0.2">
      <c r="T796" s="247" t="str">
        <f t="shared" si="17"/>
        <v>1w</v>
      </c>
      <c r="U796" s="245">
        <f>_xll.qlCalendarAdvance(Calendar,U795,T796,"f",FALSE)</f>
        <v>44376</v>
      </c>
      <c r="V796" s="248">
        <f>_xll.qlCalendarAdvance(Calendar,U796,NDays&amp;"D")</f>
        <v>44378</v>
      </c>
      <c r="W796" s="249">
        <v>2.3292287892257738E-2</v>
      </c>
      <c r="X796" s="246">
        <v>2.2853762312831094E-2</v>
      </c>
    </row>
    <row r="797" spans="20:24" x14ac:dyDescent="0.2">
      <c r="T797" s="247" t="str">
        <f t="shared" si="17"/>
        <v>1w</v>
      </c>
      <c r="U797" s="245">
        <f>_xll.qlCalendarAdvance(Calendar,U796,T797,"f",FALSE)</f>
        <v>44383</v>
      </c>
      <c r="V797" s="248">
        <f>_xll.qlCalendarAdvance(Calendar,U797,NDays&amp;"D")</f>
        <v>44385</v>
      </c>
      <c r="W797" s="249">
        <v>2.3348687454267082E-2</v>
      </c>
      <c r="X797" s="246">
        <v>2.2912017024605547E-2</v>
      </c>
    </row>
    <row r="798" spans="20:24" x14ac:dyDescent="0.2">
      <c r="T798" s="247" t="str">
        <f t="shared" si="17"/>
        <v>1w</v>
      </c>
      <c r="U798" s="245">
        <f>_xll.qlCalendarAdvance(Calendar,U797,T798,"f",FALSE)</f>
        <v>44390</v>
      </c>
      <c r="V798" s="248">
        <f>_xll.qlCalendarAdvance(Calendar,U798,NDays&amp;"D")</f>
        <v>44392</v>
      </c>
      <c r="W798" s="249">
        <v>2.3404749570267027E-2</v>
      </c>
      <c r="X798" s="246">
        <v>2.2969935481356174E-2</v>
      </c>
    </row>
    <row r="799" spans="20:24" x14ac:dyDescent="0.2">
      <c r="T799" s="247" t="str">
        <f t="shared" si="17"/>
        <v>1w</v>
      </c>
      <c r="U799" s="245">
        <f>_xll.qlCalendarAdvance(Calendar,U798,T799,"f",FALSE)</f>
        <v>44397</v>
      </c>
      <c r="V799" s="248">
        <f>_xll.qlCalendarAdvance(Calendar,U799,NDays&amp;"D")</f>
        <v>44399</v>
      </c>
      <c r="W799" s="249">
        <v>2.3460474225817821E-2</v>
      </c>
      <c r="X799" s="246">
        <v>2.3027517683082976E-2</v>
      </c>
    </row>
    <row r="800" spans="20:24" x14ac:dyDescent="0.2">
      <c r="T800" s="247" t="str">
        <f t="shared" si="17"/>
        <v>1w</v>
      </c>
      <c r="U800" s="245">
        <f>_xll.qlCalendarAdvance(Calendar,U799,T800,"f",FALSE)</f>
        <v>44404</v>
      </c>
      <c r="V800" s="248">
        <f>_xll.qlCalendarAdvance(Calendar,U800,NDays&amp;"D")</f>
        <v>44406</v>
      </c>
      <c r="W800" s="249">
        <v>2.3515861406563126E-2</v>
      </c>
      <c r="X800" s="246">
        <v>2.3084763629386273E-2</v>
      </c>
    </row>
    <row r="801" spans="20:24" x14ac:dyDescent="0.2">
      <c r="T801" s="247" t="str">
        <f t="shared" si="17"/>
        <v>1w</v>
      </c>
      <c r="U801" s="245">
        <f>_xll.qlCalendarAdvance(Calendar,U800,T801,"f",FALSE)</f>
        <v>44411</v>
      </c>
      <c r="V801" s="248">
        <f>_xll.qlCalendarAdvance(Calendar,U801,NDays&amp;"D")</f>
        <v>44413</v>
      </c>
      <c r="W801" s="249">
        <v>2.3570911098238695E-2</v>
      </c>
      <c r="X801" s="246">
        <v>2.3141673320266065E-2</v>
      </c>
    </row>
    <row r="802" spans="20:24" x14ac:dyDescent="0.2">
      <c r="T802" s="247" t="str">
        <f t="shared" si="17"/>
        <v>1w</v>
      </c>
      <c r="U802" s="245">
        <f>_xll.qlCalendarAdvance(Calendar,U801,T802,"f",FALSE)</f>
        <v>44418</v>
      </c>
      <c r="V802" s="248">
        <f>_xll.qlCalendarAdvance(Calendar,U802,NDays&amp;"D")</f>
        <v>44420</v>
      </c>
      <c r="W802" s="249">
        <v>2.3625623286662831E-2</v>
      </c>
      <c r="X802" s="246">
        <v>2.3198246755642415E-2</v>
      </c>
    </row>
    <row r="803" spans="20:24" x14ac:dyDescent="0.2">
      <c r="T803" s="247" t="str">
        <f t="shared" si="17"/>
        <v>1w</v>
      </c>
      <c r="U803" s="245">
        <f>_xll.qlCalendarAdvance(Calendar,U802,T803,"f",FALSE)</f>
        <v>44425</v>
      </c>
      <c r="V803" s="248">
        <f>_xll.qlCalendarAdvance(Calendar,U803,NDays&amp;"D")</f>
        <v>44427</v>
      </c>
      <c r="W803" s="249">
        <v>2.3679997957741592E-2</v>
      </c>
      <c r="X803" s="246">
        <v>2.3254483935115644E-2</v>
      </c>
    </row>
    <row r="804" spans="20:24" x14ac:dyDescent="0.2">
      <c r="T804" s="247" t="str">
        <f t="shared" si="17"/>
        <v>1w</v>
      </c>
      <c r="U804" s="245">
        <f>_xll.qlCalendarAdvance(Calendar,U803,T804,"f",FALSE)</f>
        <v>44432</v>
      </c>
      <c r="V804" s="248">
        <f>_xll.qlCalendarAdvance(Calendar,U804,NDays&amp;"D")</f>
        <v>44434</v>
      </c>
      <c r="W804" s="249">
        <v>2.373403509746792E-2</v>
      </c>
      <c r="X804" s="246">
        <v>2.3310384858685751E-2</v>
      </c>
    </row>
    <row r="805" spans="20:24" x14ac:dyDescent="0.2">
      <c r="T805" s="247" t="str">
        <f t="shared" si="17"/>
        <v>1w</v>
      </c>
      <c r="U805" s="245">
        <f>_xll.qlCalendarAdvance(Calendar,U804,T805,"f",FALSE)</f>
        <v>44439</v>
      </c>
      <c r="V805" s="248">
        <f>_xll.qlCalendarAdvance(Calendar,U805,NDays&amp;"D")</f>
        <v>44441</v>
      </c>
      <c r="W805" s="249">
        <v>2.3783178784394961E-2</v>
      </c>
      <c r="X805" s="246">
        <v>2.3365949526112928E-2</v>
      </c>
    </row>
    <row r="806" spans="20:24" x14ac:dyDescent="0.2">
      <c r="T806" s="247" t="str">
        <f t="shared" si="17"/>
        <v>1w</v>
      </c>
      <c r="U806" s="245">
        <f>_xll.qlCalendarAdvance(Calendar,U805,T806,"f",FALSE)</f>
        <v>44446</v>
      </c>
      <c r="V806" s="248">
        <f>_xll.qlCalendarAdvance(Calendar,U806,NDays&amp;"D")</f>
        <v>44448</v>
      </c>
      <c r="W806" s="249">
        <v>2.3836561412098726E-2</v>
      </c>
      <c r="X806" s="246">
        <v>2.3421177937397175E-2</v>
      </c>
    </row>
    <row r="807" spans="20:24" x14ac:dyDescent="0.2">
      <c r="T807" s="247" t="str">
        <f t="shared" si="17"/>
        <v>1w</v>
      </c>
      <c r="U807" s="245">
        <f>_xll.qlCalendarAdvance(Calendar,U806,T807,"f",FALSE)</f>
        <v>44453</v>
      </c>
      <c r="V807" s="248">
        <f>_xll.qlCalendarAdvance(Calendar,U807,NDays&amp;"D")</f>
        <v>44455</v>
      </c>
      <c r="W807" s="249">
        <v>2.3889606482392772E-2</v>
      </c>
      <c r="X807" s="246">
        <v>2.3476070092218748E-2</v>
      </c>
    </row>
    <row r="808" spans="20:24" x14ac:dyDescent="0.2">
      <c r="T808" s="247" t="str">
        <f t="shared" si="17"/>
        <v>1w</v>
      </c>
      <c r="U808" s="245">
        <f>_xll.qlCalendarAdvance(Calendar,U807,T808,"f",FALSE)</f>
        <v>44460</v>
      </c>
      <c r="V808" s="248">
        <f>_xll.qlCalendarAdvance(Calendar,U808,NDays&amp;"D")</f>
        <v>44462</v>
      </c>
      <c r="W808" s="249">
        <v>2.3942313981758244E-2</v>
      </c>
      <c r="X808" s="246">
        <v>2.3530625990497711E-2</v>
      </c>
    </row>
    <row r="809" spans="20:24" x14ac:dyDescent="0.2">
      <c r="T809" s="247" t="str">
        <f t="shared" si="17"/>
        <v>1w</v>
      </c>
      <c r="U809" s="245">
        <f>_xll.qlCalendarAdvance(Calendar,U808,T809,"f",FALSE)</f>
        <v>44467</v>
      </c>
      <c r="V809" s="248">
        <f>_xll.qlCalendarAdvance(Calendar,U809,NDays&amp;"D")</f>
        <v>44469</v>
      </c>
      <c r="W809" s="249">
        <v>2.3999157341674241E-2</v>
      </c>
      <c r="X809" s="246">
        <v>2.3584845632154128E-2</v>
      </c>
    </row>
    <row r="810" spans="20:24" x14ac:dyDescent="0.2">
      <c r="T810" s="247" t="str">
        <f t="shared" si="17"/>
        <v>1w</v>
      </c>
      <c r="U810" s="245">
        <f>_xll.qlCalendarAdvance(Calendar,U809,T810,"f",FALSE)</f>
        <v>44474</v>
      </c>
      <c r="V810" s="248">
        <f>_xll.qlCalendarAdvance(Calendar,U810,NDays&amp;"D")</f>
        <v>44476</v>
      </c>
      <c r="W810" s="249">
        <v>2.4051169004014751E-2</v>
      </c>
      <c r="X810" s="246">
        <v>2.3638729016868254E-2</v>
      </c>
    </row>
    <row r="811" spans="20:24" x14ac:dyDescent="0.2">
      <c r="T811" s="247" t="str">
        <f t="shared" si="17"/>
        <v>1w</v>
      </c>
      <c r="U811" s="245">
        <f>_xll.qlCalendarAdvance(Calendar,U810,T811,"f",FALSE)</f>
        <v>44481</v>
      </c>
      <c r="V811" s="248">
        <f>_xll.qlCalendarAdvance(Calendar,U811,NDays&amp;"D")</f>
        <v>44483</v>
      </c>
      <c r="W811" s="249">
        <v>2.4102843039388012E-2</v>
      </c>
      <c r="X811" s="246">
        <v>2.369227614464009E-2</v>
      </c>
    </row>
    <row r="812" spans="20:24" x14ac:dyDescent="0.2">
      <c r="T812" s="247" t="str">
        <f t="shared" si="17"/>
        <v>1w</v>
      </c>
      <c r="U812" s="245">
        <f>_xll.qlCalendarAdvance(Calendar,U811,T812,"f",FALSE)</f>
        <v>44488</v>
      </c>
      <c r="V812" s="248">
        <f>_xll.qlCalendarAdvance(Calendar,U812,NDays&amp;"D")</f>
        <v>44490</v>
      </c>
      <c r="W812" s="249">
        <v>2.4154179434482056E-2</v>
      </c>
      <c r="X812" s="246">
        <v>2.3745487015149891E-2</v>
      </c>
    </row>
    <row r="813" spans="20:24" x14ac:dyDescent="0.2">
      <c r="T813" s="247" t="str">
        <f t="shared" si="17"/>
        <v>1w</v>
      </c>
      <c r="U813" s="245">
        <f>_xll.qlCalendarAdvance(Calendar,U812,T813,"f",FALSE)</f>
        <v>44495</v>
      </c>
      <c r="V813" s="248">
        <f>_xll.qlCalendarAdvance(Calendar,U813,NDays&amp;"D")</f>
        <v>44497</v>
      </c>
      <c r="W813" s="249">
        <v>2.4205178176071814E-2</v>
      </c>
      <c r="X813" s="246">
        <v>2.3798361628397657E-2</v>
      </c>
    </row>
    <row r="814" spans="20:24" x14ac:dyDescent="0.2">
      <c r="T814" s="247" t="str">
        <f t="shared" si="17"/>
        <v>1w</v>
      </c>
      <c r="U814" s="245">
        <f>_xll.qlCalendarAdvance(Calendar,U813,T814,"f",FALSE)</f>
        <v>44502</v>
      </c>
      <c r="V814" s="248">
        <f>_xll.qlCalendarAdvance(Calendar,U814,NDays&amp;"D")</f>
        <v>44504</v>
      </c>
      <c r="W814" s="249">
        <v>2.4255839251019099E-2</v>
      </c>
      <c r="X814" s="246">
        <v>2.3850899984223517E-2</v>
      </c>
    </row>
    <row r="815" spans="20:24" x14ac:dyDescent="0.2">
      <c r="T815" s="247" t="str">
        <f t="shared" si="17"/>
        <v>1w</v>
      </c>
      <c r="U815" s="245">
        <f>_xll.qlCalendarAdvance(Calendar,U814,T815,"f",FALSE)</f>
        <v>44509</v>
      </c>
      <c r="V815" s="248">
        <f>_xll.qlCalendarAdvance(Calendar,U815,NDays&amp;"D")</f>
        <v>44511</v>
      </c>
      <c r="W815" s="249">
        <v>2.4306162646274349E-2</v>
      </c>
      <c r="X815" s="246">
        <v>2.3903102082387662E-2</v>
      </c>
    </row>
    <row r="816" spans="20:24" x14ac:dyDescent="0.2">
      <c r="T816" s="247" t="str">
        <f t="shared" si="17"/>
        <v>1w</v>
      </c>
      <c r="U816" s="245">
        <f>_xll.qlCalendarAdvance(Calendar,U815,T816,"f",FALSE)</f>
        <v>44516</v>
      </c>
      <c r="V816" s="248">
        <f>_xll.qlCalendarAdvance(Calendar,U816,NDays&amp;"D")</f>
        <v>44518</v>
      </c>
      <c r="W816" s="249">
        <v>2.4356148348870548E-2</v>
      </c>
      <c r="X816" s="246">
        <v>2.3954967922970027E-2</v>
      </c>
    </row>
    <row r="817" spans="20:24" x14ac:dyDescent="0.2">
      <c r="T817" s="247" t="str">
        <f t="shared" si="17"/>
        <v>1w</v>
      </c>
      <c r="U817" s="245">
        <f>_xll.qlCalendarAdvance(Calendar,U816,T817,"f",FALSE)</f>
        <v>44523</v>
      </c>
      <c r="V817" s="248">
        <f>_xll.qlCalendarAdvance(Calendar,U817,NDays&amp;"D")</f>
        <v>44525</v>
      </c>
      <c r="W817" s="249">
        <v>2.4405796345931034E-2</v>
      </c>
      <c r="X817" s="246">
        <v>2.4006497505490998E-2</v>
      </c>
    </row>
    <row r="818" spans="20:24" x14ac:dyDescent="0.2">
      <c r="T818" s="247" t="str">
        <f t="shared" si="17"/>
        <v>1w</v>
      </c>
      <c r="U818" s="245">
        <f>_xll.qlCalendarAdvance(Calendar,U817,T818,"f",FALSE)</f>
        <v>44530</v>
      </c>
      <c r="V818" s="248">
        <f>_xll.qlCalendarAdvance(Calendar,U818,NDays&amp;"D")</f>
        <v>44532</v>
      </c>
      <c r="W818" s="249">
        <v>2.444653090721971E-2</v>
      </c>
      <c r="X818" s="246">
        <v>2.4057690830030509E-2</v>
      </c>
    </row>
    <row r="819" spans="20:24" x14ac:dyDescent="0.2">
      <c r="T819" s="247" t="str">
        <f t="shared" si="17"/>
        <v>1w</v>
      </c>
      <c r="U819" s="245">
        <f>_xll.qlCalendarAdvance(Calendar,U818,T819,"f",FALSE)</f>
        <v>44537</v>
      </c>
      <c r="V819" s="248">
        <f>_xll.qlCalendarAdvance(Calendar,U819,NDays&amp;"D")</f>
        <v>44539</v>
      </c>
      <c r="W819" s="249">
        <v>2.4495545060657875E-2</v>
      </c>
      <c r="X819" s="246">
        <v>2.4108547896348753E-2</v>
      </c>
    </row>
    <row r="820" spans="20:24" x14ac:dyDescent="0.2">
      <c r="T820" s="247" t="str">
        <f t="shared" si="17"/>
        <v>1w</v>
      </c>
      <c r="U820" s="245">
        <f>_xll.qlCalendarAdvance(Calendar,U819,T820,"f",FALSE)</f>
        <v>44544</v>
      </c>
      <c r="V820" s="248">
        <f>_xll.qlCalendarAdvance(Calendar,U820,NDays&amp;"D")</f>
        <v>44546</v>
      </c>
      <c r="W820" s="249">
        <v>2.4544221504881669E-2</v>
      </c>
      <c r="X820" s="246">
        <v>2.4159068704365794E-2</v>
      </c>
    </row>
    <row r="821" spans="20:24" x14ac:dyDescent="0.2">
      <c r="T821" s="247" t="str">
        <f t="shared" si="17"/>
        <v>1w</v>
      </c>
      <c r="U821" s="245">
        <f>_xll.qlCalendarAdvance(Calendar,U820,T821,"f",FALSE)</f>
        <v>44551</v>
      </c>
      <c r="V821" s="248">
        <f>_xll.qlCalendarAdvance(Calendar,U821,NDays&amp;"D")</f>
        <v>44553</v>
      </c>
      <c r="W821" s="249">
        <v>2.4592560227621796E-2</v>
      </c>
      <c r="X821" s="246">
        <v>2.4209253253921759E-2</v>
      </c>
    </row>
    <row r="822" spans="20:24" x14ac:dyDescent="0.2">
      <c r="T822" s="247" t="str">
        <f t="shared" si="17"/>
        <v>1w</v>
      </c>
      <c r="U822" s="245">
        <f>_xll.qlCalendarAdvance(Calendar,U821,T822,"f",FALSE)</f>
        <v>44558</v>
      </c>
      <c r="V822" s="248">
        <f>_xll.qlCalendarAdvance(Calendar,U822,NDays&amp;"D")</f>
        <v>44560</v>
      </c>
      <c r="W822" s="249">
        <v>2.4640561216697776E-2</v>
      </c>
      <c r="X822" s="246">
        <v>2.4259101544856776E-2</v>
      </c>
    </row>
    <row r="823" spans="20:24" x14ac:dyDescent="0.2">
      <c r="T823" s="247" t="str">
        <f t="shared" si="17"/>
        <v>1w</v>
      </c>
      <c r="U823" s="245">
        <f>_xll.qlCalendarAdvance(Calendar,U822,T823,"f",FALSE)</f>
        <v>44565</v>
      </c>
      <c r="V823" s="248">
        <f>_xll.qlCalendarAdvance(Calendar,U823,NDays&amp;"D")</f>
        <v>44567</v>
      </c>
      <c r="W823" s="249">
        <v>2.4688224460009067E-2</v>
      </c>
      <c r="X823" s="246">
        <v>2.430861357709091E-2</v>
      </c>
    </row>
    <row r="824" spans="20:24" x14ac:dyDescent="0.2">
      <c r="T824" s="247" t="str">
        <f t="shared" si="17"/>
        <v>1w</v>
      </c>
      <c r="U824" s="245">
        <f>_xll.qlCalendarAdvance(Calendar,U823,T824,"f",FALSE)</f>
        <v>44572</v>
      </c>
      <c r="V824" s="248">
        <f>_xll.qlCalendarAdvance(Calendar,U824,NDays&amp;"D")</f>
        <v>44574</v>
      </c>
      <c r="W824" s="249">
        <v>2.4735549945543056E-2</v>
      </c>
      <c r="X824" s="246">
        <v>2.4357789350384351E-2</v>
      </c>
    </row>
    <row r="825" spans="20:24" x14ac:dyDescent="0.2">
      <c r="T825" s="247" t="str">
        <f t="shared" si="17"/>
        <v>1w</v>
      </c>
      <c r="U825" s="245">
        <f>_xll.qlCalendarAdvance(Calendar,U824,T825,"f",FALSE)</f>
        <v>44579</v>
      </c>
      <c r="V825" s="248">
        <f>_xll.qlCalendarAdvance(Calendar,U825,NDays&amp;"D")</f>
        <v>44581</v>
      </c>
      <c r="W825" s="249">
        <v>2.4782537661373283E-2</v>
      </c>
      <c r="X825" s="246">
        <v>2.4406628864657165E-2</v>
      </c>
    </row>
    <row r="826" spans="20:24" x14ac:dyDescent="0.2">
      <c r="T826" s="247" t="str">
        <f t="shared" si="17"/>
        <v>1w</v>
      </c>
      <c r="U826" s="245">
        <f>_xll.qlCalendarAdvance(Calendar,U825,T826,"f",FALSE)</f>
        <v>44586</v>
      </c>
      <c r="V826" s="248">
        <f>_xll.qlCalendarAdvance(Calendar,U826,NDays&amp;"D")</f>
        <v>44588</v>
      </c>
      <c r="W826" s="249">
        <v>2.4829187595654112E-2</v>
      </c>
      <c r="X826" s="246">
        <v>2.4455132119749479E-2</v>
      </c>
    </row>
    <row r="827" spans="20:24" x14ac:dyDescent="0.2">
      <c r="T827" s="247" t="str">
        <f t="shared" si="17"/>
        <v>1w</v>
      </c>
      <c r="U827" s="245">
        <f>_xll.qlCalendarAdvance(Calendar,U826,T827,"f",FALSE)</f>
        <v>44593</v>
      </c>
      <c r="V827" s="248">
        <f>_xll.qlCalendarAdvance(Calendar,U827,NDays&amp;"D")</f>
        <v>44595</v>
      </c>
      <c r="W827" s="249">
        <v>2.4871397015258936E-2</v>
      </c>
      <c r="X827" s="246">
        <v>2.4503299115581356E-2</v>
      </c>
    </row>
    <row r="828" spans="20:24" x14ac:dyDescent="0.2">
      <c r="T828" s="247" t="str">
        <f t="shared" si="17"/>
        <v>1w</v>
      </c>
      <c r="U828" s="245">
        <f>_xll.qlCalendarAdvance(Calendar,U827,T828,"f",FALSE)</f>
        <v>44600</v>
      </c>
      <c r="V828" s="248">
        <f>_xll.qlCalendarAdvance(Calendar,U828,NDays&amp;"D")</f>
        <v>44602</v>
      </c>
      <c r="W828" s="249">
        <v>2.4917392310168349E-2</v>
      </c>
      <c r="X828" s="246">
        <v>2.4551129852072862E-2</v>
      </c>
    </row>
    <row r="829" spans="20:24" x14ac:dyDescent="0.2">
      <c r="T829" s="247" t="str">
        <f t="shared" si="17"/>
        <v>1w</v>
      </c>
      <c r="U829" s="245">
        <f>_xll.qlCalendarAdvance(Calendar,U828,T829,"f",FALSE)</f>
        <v>44607</v>
      </c>
      <c r="V829" s="248">
        <f>_xll.qlCalendarAdvance(Calendar,U829,NDays&amp;"D")</f>
        <v>44609</v>
      </c>
      <c r="W829" s="249">
        <v>2.4963049806843437E-2</v>
      </c>
      <c r="X829" s="246">
        <v>2.4598624328904251E-2</v>
      </c>
    </row>
    <row r="830" spans="20:24" x14ac:dyDescent="0.2">
      <c r="T830" s="247" t="str">
        <f t="shared" si="17"/>
        <v>1w</v>
      </c>
      <c r="U830" s="245">
        <f>_xll.qlCalendarAdvance(Calendar,U829,T830,"f",FALSE)</f>
        <v>44614</v>
      </c>
      <c r="V830" s="248">
        <f>_xll.qlCalendarAdvance(Calendar,U830,NDays&amp;"D")</f>
        <v>44616</v>
      </c>
      <c r="W830" s="249">
        <v>2.5008369493902737E-2</v>
      </c>
      <c r="X830" s="246">
        <v>2.4645782546075523E-2</v>
      </c>
    </row>
    <row r="831" spans="20:24" x14ac:dyDescent="0.2">
      <c r="T831" s="247" t="str">
        <f t="shared" si="17"/>
        <v>1w</v>
      </c>
      <c r="U831" s="245">
        <f>_xll.qlCalendarAdvance(Calendar,U830,T831,"f",FALSE)</f>
        <v>44621</v>
      </c>
      <c r="V831" s="248">
        <f>_xll.qlCalendarAdvance(Calendar,U831,NDays&amp;"D")</f>
        <v>44623</v>
      </c>
      <c r="W831" s="249">
        <v>2.5065402216402174E-2</v>
      </c>
      <c r="X831" s="246">
        <v>2.4692604503426807E-2</v>
      </c>
    </row>
    <row r="832" spans="20:24" x14ac:dyDescent="0.2">
      <c r="T832" s="247" t="str">
        <f t="shared" si="17"/>
        <v>1w</v>
      </c>
      <c r="U832" s="245">
        <f>_xll.qlCalendarAdvance(Calendar,U831,T832,"f",FALSE)</f>
        <v>44628</v>
      </c>
      <c r="V832" s="248">
        <f>_xll.qlCalendarAdvance(Calendar,U832,NDays&amp;"D")</f>
        <v>44630</v>
      </c>
      <c r="W832" s="249">
        <v>2.5109981846994405E-2</v>
      </c>
      <c r="X832" s="246">
        <v>2.4739090200718294E-2</v>
      </c>
    </row>
    <row r="833" spans="20:24" x14ac:dyDescent="0.2">
      <c r="T833" s="247" t="str">
        <f t="shared" si="17"/>
        <v>1w</v>
      </c>
      <c r="U833" s="245">
        <f>_xll.qlCalendarAdvance(Calendar,U832,T833,"f",FALSE)</f>
        <v>44635</v>
      </c>
      <c r="V833" s="248">
        <f>_xll.qlCalendarAdvance(Calendar,U833,NDays&amp;"D")</f>
        <v>44637</v>
      </c>
      <c r="W833" s="249">
        <v>2.5154217606944237E-2</v>
      </c>
      <c r="X833" s="246">
        <v>2.4785239638029921E-2</v>
      </c>
    </row>
    <row r="834" spans="20:24" x14ac:dyDescent="0.2">
      <c r="T834" s="247" t="str">
        <f t="shared" si="17"/>
        <v>1w</v>
      </c>
      <c r="U834" s="245">
        <f>_xll.qlCalendarAdvance(Calendar,U833,T834,"f",FALSE)</f>
        <v>44642</v>
      </c>
      <c r="V834" s="248">
        <f>_xll.qlCalendarAdvance(Calendar,U834,NDays&amp;"D")</f>
        <v>44644</v>
      </c>
      <c r="W834" s="249">
        <v>2.5198104260092346E-2</v>
      </c>
      <c r="X834" s="246">
        <v>2.4831052815041943E-2</v>
      </c>
    </row>
    <row r="835" spans="20:24" x14ac:dyDescent="0.2">
      <c r="T835" s="247" t="str">
        <f t="shared" si="17"/>
        <v>1w</v>
      </c>
      <c r="U835" s="245">
        <f>_xll.qlCalendarAdvance(Calendar,U834,T835,"f",FALSE)</f>
        <v>44649</v>
      </c>
      <c r="V835" s="248">
        <f>_xll.qlCalendarAdvance(Calendar,U835,NDays&amp;"D")</f>
        <v>44651</v>
      </c>
      <c r="W835" s="249">
        <v>2.5237711282827858E-2</v>
      </c>
      <c r="X835" s="246">
        <v>2.487652973175436E-2</v>
      </c>
    </row>
    <row r="836" spans="20:24" x14ac:dyDescent="0.2">
      <c r="T836" s="247" t="str">
        <f t="shared" si="17"/>
        <v>1w</v>
      </c>
      <c r="U836" s="245">
        <f>_xll.qlCalendarAdvance(Calendar,U835,T836,"f",FALSE)</f>
        <v>44656</v>
      </c>
      <c r="V836" s="248">
        <f>_xll.qlCalendarAdvance(Calendar,U836,NDays&amp;"D")</f>
        <v>44658</v>
      </c>
      <c r="W836" s="249">
        <v>2.5280907959480205E-2</v>
      </c>
      <c r="X836" s="246">
        <v>2.49216703880073E-2</v>
      </c>
    </row>
    <row r="837" spans="20:24" x14ac:dyDescent="0.2">
      <c r="T837" s="247" t="str">
        <f t="shared" si="17"/>
        <v>1w</v>
      </c>
      <c r="U837" s="245">
        <f>_xll.qlCalendarAdvance(Calendar,U836,T837,"f",FALSE)</f>
        <v>44663</v>
      </c>
      <c r="V837" s="248">
        <f>_xll.qlCalendarAdvance(Calendar,U837,NDays&amp;"D")</f>
        <v>44665</v>
      </c>
      <c r="W837" s="249">
        <v>2.5323740300611682E-2</v>
      </c>
      <c r="X837" s="246">
        <v>2.4982674104181868E-2</v>
      </c>
    </row>
    <row r="838" spans="20:24" x14ac:dyDescent="0.2">
      <c r="T838" s="247" t="str">
        <f t="shared" si="17"/>
        <v>1w</v>
      </c>
      <c r="U838" s="245">
        <f>_xll.qlCalendarAdvance(Calendar,U837,T838,"f",FALSE)</f>
        <v>44670</v>
      </c>
      <c r="V838" s="248">
        <f>_xll.qlCalendarAdvance(Calendar,U838,NDays&amp;"D")</f>
        <v>44672</v>
      </c>
      <c r="W838" s="249">
        <v>2.5366203012627271E-2</v>
      </c>
      <c r="X838" s="246">
        <v>2.501094291849526E-2</v>
      </c>
    </row>
    <row r="839" spans="20:24" x14ac:dyDescent="0.2">
      <c r="T839" s="247" t="str">
        <f t="shared" si="17"/>
        <v>1w</v>
      </c>
      <c r="U839" s="245">
        <f>_xll.qlCalendarAdvance(Calendar,U838,T839,"f",FALSE)</f>
        <v>44677</v>
      </c>
      <c r="V839" s="248">
        <f>_xll.qlCalendarAdvance(Calendar,U839,NDays&amp;"D")</f>
        <v>44679</v>
      </c>
      <c r="W839" s="249">
        <v>2.5408290801805469E-2</v>
      </c>
      <c r="X839" s="246">
        <v>2.5055074792570409E-2</v>
      </c>
    </row>
    <row r="840" spans="20:24" x14ac:dyDescent="0.2">
      <c r="T840" s="247" t="str">
        <f t="shared" si="17"/>
        <v>1w</v>
      </c>
      <c r="U840" s="245">
        <f>_xll.qlCalendarAdvance(Calendar,U839,T840,"f",FALSE)</f>
        <v>44684</v>
      </c>
      <c r="V840" s="248">
        <f>_xll.qlCalendarAdvance(Calendar,U840,NDays&amp;"D")</f>
        <v>44686</v>
      </c>
      <c r="W840" s="249">
        <v>2.5453799694121856E-2</v>
      </c>
      <c r="X840" s="246">
        <v>2.5098870405626528E-2</v>
      </c>
    </row>
    <row r="841" spans="20:24" x14ac:dyDescent="0.2">
      <c r="T841" s="247" t="str">
        <f t="shared" si="17"/>
        <v>1w</v>
      </c>
      <c r="U841" s="245">
        <f>_xll.qlCalendarAdvance(Calendar,U840,T841,"f",FALSE)</f>
        <v>44691</v>
      </c>
      <c r="V841" s="248">
        <f>_xll.qlCalendarAdvance(Calendar,U841,NDays&amp;"D")</f>
        <v>44693</v>
      </c>
      <c r="W841" s="249">
        <v>2.5495095975984667E-2</v>
      </c>
      <c r="X841" s="246">
        <v>2.5142329757583681E-2</v>
      </c>
    </row>
    <row r="842" spans="20:24" x14ac:dyDescent="0.2">
      <c r="T842" s="247" t="str">
        <f t="shared" si="17"/>
        <v>1w</v>
      </c>
      <c r="U842" s="245">
        <f>_xll.qlCalendarAdvance(Calendar,U841,T842,"f",FALSE)</f>
        <v>44698</v>
      </c>
      <c r="V842" s="248">
        <f>_xll.qlCalendarAdvance(Calendar,U842,NDays&amp;"D")</f>
        <v>44700</v>
      </c>
      <c r="W842" s="249">
        <v>2.5536001257107862E-2</v>
      </c>
      <c r="X842" s="246">
        <v>2.5185452848281997E-2</v>
      </c>
    </row>
    <row r="843" spans="20:24" x14ac:dyDescent="0.2">
      <c r="T843" s="247" t="str">
        <f t="shared" si="17"/>
        <v>1w</v>
      </c>
      <c r="U843" s="245">
        <f>_xll.qlCalendarAdvance(Calendar,U842,T843,"f",FALSE)</f>
        <v>44705</v>
      </c>
      <c r="V843" s="248">
        <f>_xll.qlCalendarAdvance(Calendar,U843,NDays&amp;"D")</f>
        <v>44707</v>
      </c>
      <c r="W843" s="249">
        <v>2.55765103002356E-2</v>
      </c>
      <c r="X843" s="246">
        <v>2.5228239677721476E-2</v>
      </c>
    </row>
    <row r="844" spans="20:24" x14ac:dyDescent="0.2">
      <c r="T844" s="247" t="str">
        <f t="shared" si="17"/>
        <v>1w</v>
      </c>
      <c r="U844" s="245">
        <f>_xll.qlCalendarAdvance(Calendar,U843,T844,"f",FALSE)</f>
        <v>44712</v>
      </c>
      <c r="V844" s="248">
        <f>_xll.qlCalendarAdvance(Calendar,U844,NDays&amp;"D")</f>
        <v>44714</v>
      </c>
      <c r="W844" s="249">
        <v>2.5616617868019064E-2</v>
      </c>
      <c r="X844" s="246">
        <v>2.5270690013527997E-2</v>
      </c>
    </row>
    <row r="845" spans="20:24" x14ac:dyDescent="0.2">
      <c r="T845" s="247" t="str">
        <f t="shared" si="17"/>
        <v>1w</v>
      </c>
      <c r="U845" s="245">
        <f>_xll.qlCalendarAdvance(Calendar,U844,T845,"f",FALSE)</f>
        <v>44719</v>
      </c>
      <c r="V845" s="248">
        <f>_xll.qlCalendarAdvance(Calendar,U845,NDays&amp;"D")</f>
        <v>44721</v>
      </c>
      <c r="W845" s="249">
        <v>2.5656319593880723E-2</v>
      </c>
      <c r="X845" s="246">
        <v>2.5312765330758324E-2</v>
      </c>
    </row>
    <row r="846" spans="20:24" x14ac:dyDescent="0.2">
      <c r="T846" s="247" t="str">
        <f t="shared" si="17"/>
        <v>1w</v>
      </c>
      <c r="U846" s="245">
        <f>_xll.qlCalendarAdvance(Calendar,U845,T846,"f",FALSE)</f>
        <v>44726</v>
      </c>
      <c r="V846" s="248">
        <f>_xll.qlCalendarAdvance(Calendar,U846,NDays&amp;"D")</f>
        <v>44728</v>
      </c>
      <c r="W846" s="249">
        <v>2.5695614594668757E-2</v>
      </c>
      <c r="X846" s="246">
        <v>2.5354436155069493E-2</v>
      </c>
    </row>
    <row r="847" spans="20:24" x14ac:dyDescent="0.2">
      <c r="T847" s="247" t="str">
        <f t="shared" si="17"/>
        <v>1w</v>
      </c>
      <c r="U847" s="245">
        <f>_xll.qlCalendarAdvance(Calendar,U846,T847,"f",FALSE)</f>
        <v>44733</v>
      </c>
      <c r="V847" s="248">
        <f>_xll.qlCalendarAdvance(Calendar,U847,NDays&amp;"D")</f>
        <v>44735</v>
      </c>
      <c r="W847" s="249">
        <v>2.5734502858202481E-2</v>
      </c>
      <c r="X847" s="246">
        <v>2.5395702486461502E-2</v>
      </c>
    </row>
    <row r="848" spans="20:24" x14ac:dyDescent="0.2">
      <c r="T848" s="247" t="str">
        <f t="shared" si="17"/>
        <v>1w</v>
      </c>
      <c r="U848" s="245">
        <f>_xll.qlCalendarAdvance(Calendar,U847,T848,"f",FALSE)</f>
        <v>44740</v>
      </c>
      <c r="V848" s="248">
        <f>_xll.qlCalendarAdvance(Calendar,U848,NDays&amp;"D")</f>
        <v>44742</v>
      </c>
      <c r="W848" s="249">
        <v>2.5772984372426321E-2</v>
      </c>
      <c r="X848" s="246">
        <v>2.5436564324854416E-2</v>
      </c>
    </row>
    <row r="849" spans="20:24" x14ac:dyDescent="0.2">
      <c r="T849" s="247" t="str">
        <f t="shared" si="17"/>
        <v>1w</v>
      </c>
      <c r="U849" s="245">
        <f>_xll.qlCalendarAdvance(Calendar,U848,T849,"f",FALSE)</f>
        <v>44747</v>
      </c>
      <c r="V849" s="248">
        <f>_xll.qlCalendarAdvance(Calendar,U849,NDays&amp;"D")</f>
        <v>44749</v>
      </c>
      <c r="W849" s="249">
        <v>2.5811059125411553E-2</v>
      </c>
      <c r="X849" s="246">
        <v>2.547702166992849E-2</v>
      </c>
    </row>
    <row r="850" spans="20:24" x14ac:dyDescent="0.2">
      <c r="T850" s="247" t="str">
        <f t="shared" ref="T850:T913" si="18">T849</f>
        <v>1w</v>
      </c>
      <c r="U850" s="245">
        <f>_xll.qlCalendarAdvance(Calendar,U849,T850,"f",FALSE)</f>
        <v>44754</v>
      </c>
      <c r="V850" s="248">
        <f>_xll.qlCalendarAdvance(Calendar,U850,NDays&amp;"D")</f>
        <v>44756</v>
      </c>
      <c r="W850" s="249">
        <v>2.5848727105352843E-2</v>
      </c>
      <c r="X850" s="246">
        <v>2.5517074521683725E-2</v>
      </c>
    </row>
    <row r="851" spans="20:24" x14ac:dyDescent="0.2">
      <c r="T851" s="247" t="str">
        <f t="shared" si="18"/>
        <v>1w</v>
      </c>
      <c r="U851" s="245">
        <f>_xll.qlCalendarAdvance(Calendar,U850,T851,"f",FALSE)</f>
        <v>44761</v>
      </c>
      <c r="V851" s="248">
        <f>_xll.qlCalendarAdvance(Calendar,U851,NDays&amp;"D")</f>
        <v>44763</v>
      </c>
      <c r="W851" s="249">
        <v>2.5885988300576049E-2</v>
      </c>
      <c r="X851" s="246">
        <v>2.5556722879960247E-2</v>
      </c>
    </row>
    <row r="852" spans="20:24" x14ac:dyDescent="0.2">
      <c r="T852" s="247" t="str">
        <f t="shared" si="18"/>
        <v>1w</v>
      </c>
      <c r="U852" s="245">
        <f>_xll.qlCalendarAdvance(Calendar,U851,T852,"f",FALSE)</f>
        <v>44768</v>
      </c>
      <c r="V852" s="248">
        <f>_xll.qlCalendarAdvance(Calendar,U852,NDays&amp;"D")</f>
        <v>44770</v>
      </c>
      <c r="W852" s="249">
        <v>2.5922842699528673E-2</v>
      </c>
      <c r="X852" s="246">
        <v>2.5595966744598186E-2</v>
      </c>
    </row>
    <row r="853" spans="20:24" x14ac:dyDescent="0.2">
      <c r="T853" s="247" t="str">
        <f t="shared" si="18"/>
        <v>1w</v>
      </c>
      <c r="U853" s="245">
        <f>_xll.qlCalendarAdvance(Calendar,U852,T853,"f",FALSE)</f>
        <v>44775</v>
      </c>
      <c r="V853" s="248">
        <f>_xll.qlCalendarAdvance(Calendar,U853,NDays&amp;"D")</f>
        <v>44777</v>
      </c>
      <c r="W853" s="249">
        <v>2.595929029078594E-2</v>
      </c>
      <c r="X853" s="246">
        <v>2.5634806115437669E-2</v>
      </c>
    </row>
    <row r="854" spans="20:24" x14ac:dyDescent="0.2">
      <c r="T854" s="247" t="str">
        <f t="shared" si="18"/>
        <v>1w</v>
      </c>
      <c r="U854" s="245">
        <f>_xll.qlCalendarAdvance(Calendar,U853,T854,"f",FALSE)</f>
        <v>44782</v>
      </c>
      <c r="V854" s="248">
        <f>_xll.qlCalendarAdvance(Calendar,U854,NDays&amp;"D")</f>
        <v>44784</v>
      </c>
      <c r="W854" s="249">
        <v>2.5995331063048195E-2</v>
      </c>
      <c r="X854" s="246">
        <v>2.567324099239876E-2</v>
      </c>
    </row>
    <row r="855" spans="20:24" x14ac:dyDescent="0.2">
      <c r="T855" s="247" t="str">
        <f t="shared" si="18"/>
        <v>1w</v>
      </c>
      <c r="U855" s="245">
        <f>_xll.qlCalendarAdvance(Calendar,U854,T855,"f",FALSE)</f>
        <v>44789</v>
      </c>
      <c r="V855" s="248">
        <f>_xll.qlCalendarAdvance(Calendar,U855,NDays&amp;"D")</f>
        <v>44791</v>
      </c>
      <c r="W855" s="249">
        <v>2.6030965005143503E-2</v>
      </c>
      <c r="X855" s="246">
        <v>2.5711271375401523E-2</v>
      </c>
    </row>
    <row r="856" spans="20:24" x14ac:dyDescent="0.2">
      <c r="T856" s="247" t="str">
        <f t="shared" si="18"/>
        <v>1w</v>
      </c>
      <c r="U856" s="245">
        <f>_xll.qlCalendarAdvance(Calendar,U855,T856,"f",FALSE)</f>
        <v>44796</v>
      </c>
      <c r="V856" s="248">
        <f>_xll.qlCalendarAdvance(Calendar,U856,NDays&amp;"D")</f>
        <v>44798</v>
      </c>
      <c r="W856" s="249">
        <v>2.6066192106024181E-2</v>
      </c>
      <c r="X856" s="246">
        <v>2.574889726420615E-2</v>
      </c>
    </row>
    <row r="857" spans="20:24" x14ac:dyDescent="0.2">
      <c r="T857" s="247" t="str">
        <f t="shared" si="18"/>
        <v>1w</v>
      </c>
      <c r="U857" s="245">
        <f>_xll.qlCalendarAdvance(Calendar,U856,T857,"f",FALSE)</f>
        <v>44803</v>
      </c>
      <c r="V857" s="248">
        <f>_xll.qlCalendarAdvance(Calendar,U857,NDays&amp;"D")</f>
        <v>44805</v>
      </c>
      <c r="W857" s="249">
        <v>2.6097658142399109E-2</v>
      </c>
      <c r="X857" s="246">
        <v>2.5786118658732704E-2</v>
      </c>
    </row>
    <row r="858" spans="20:24" x14ac:dyDescent="0.2">
      <c r="T858" s="247" t="str">
        <f t="shared" si="18"/>
        <v>1w</v>
      </c>
      <c r="U858" s="245">
        <f>_xll.qlCalendarAdvance(Calendar,U857,T858,"f",FALSE)</f>
        <v>44810</v>
      </c>
      <c r="V858" s="248">
        <f>_xll.qlCalendarAdvance(Calendar,U858,NDays&amp;"D")</f>
        <v>44812</v>
      </c>
      <c r="W858" s="249">
        <v>2.6132098100560917E-2</v>
      </c>
      <c r="X858" s="246">
        <v>2.5822935558821314E-2</v>
      </c>
    </row>
    <row r="859" spans="20:24" x14ac:dyDescent="0.2">
      <c r="T859" s="247" t="str">
        <f t="shared" si="18"/>
        <v>1w</v>
      </c>
      <c r="U859" s="245">
        <f>_xll.qlCalendarAdvance(Calendar,U858,T859,"f",FALSE)</f>
        <v>44817</v>
      </c>
      <c r="V859" s="248">
        <f>_xll.qlCalendarAdvance(Calendar,U859,NDays&amp;"D")</f>
        <v>44819</v>
      </c>
      <c r="W859" s="249">
        <v>2.6166131212076681E-2</v>
      </c>
      <c r="X859" s="246">
        <v>2.5859347964471979E-2</v>
      </c>
    </row>
    <row r="860" spans="20:24" x14ac:dyDescent="0.2">
      <c r="T860" s="247" t="str">
        <f t="shared" si="18"/>
        <v>1w</v>
      </c>
      <c r="U860" s="245">
        <f>_xll.qlCalendarAdvance(Calendar,U859,T860,"f",FALSE)</f>
        <v>44824</v>
      </c>
      <c r="V860" s="248">
        <f>_xll.qlCalendarAdvance(Calendar,U860,NDays&amp;"D")</f>
        <v>44826</v>
      </c>
      <c r="W860" s="249">
        <v>2.6199757466510796E-2</v>
      </c>
      <c r="X860" s="246">
        <v>2.5895355875444892E-2</v>
      </c>
    </row>
    <row r="861" spans="20:24" x14ac:dyDescent="0.2">
      <c r="T861" s="247" t="str">
        <f t="shared" si="18"/>
        <v>1w</v>
      </c>
      <c r="U861" s="245">
        <f>_xll.qlCalendarAdvance(Calendar,U860,T861,"f",FALSE)</f>
        <v>44831</v>
      </c>
      <c r="V861" s="248">
        <f>_xll.qlCalendarAdvance(Calendar,U861,NDays&amp;"D")</f>
        <v>44833</v>
      </c>
      <c r="W861" s="249">
        <v>2.6232976853551505E-2</v>
      </c>
      <c r="X861" s="246">
        <v>2.5930959291660116E-2</v>
      </c>
    </row>
    <row r="862" spans="20:24" x14ac:dyDescent="0.2">
      <c r="T862" s="247" t="str">
        <f t="shared" si="18"/>
        <v>1w</v>
      </c>
      <c r="U862" s="245">
        <f>_xll.qlCalendarAdvance(Calendar,U861,T862,"f",FALSE)</f>
        <v>44838</v>
      </c>
      <c r="V862" s="248">
        <f>_xll.qlCalendarAdvance(Calendar,U862,NDays&amp;"D")</f>
        <v>44840</v>
      </c>
      <c r="W862" s="249">
        <v>2.6269010443061413E-2</v>
      </c>
      <c r="X862" s="246">
        <v>2.5966158212957779E-2</v>
      </c>
    </row>
    <row r="863" spans="20:24" x14ac:dyDescent="0.2">
      <c r="T863" s="247" t="str">
        <f t="shared" si="18"/>
        <v>1w</v>
      </c>
      <c r="U863" s="245">
        <f>_xll.qlCalendarAdvance(Calendar,U862,T863,"f",FALSE)</f>
        <v>44845</v>
      </c>
      <c r="V863" s="248">
        <f>_xll.qlCalendarAdvance(Calendar,U863,NDays&amp;"D")</f>
        <v>44847</v>
      </c>
      <c r="W863" s="249">
        <v>2.6301389356716894E-2</v>
      </c>
      <c r="X863" s="246">
        <v>2.6000952639257946E-2</v>
      </c>
    </row>
    <row r="864" spans="20:24" x14ac:dyDescent="0.2">
      <c r="T864" s="247" t="str">
        <f t="shared" si="18"/>
        <v>1w</v>
      </c>
      <c r="U864" s="245">
        <f>_xll.qlCalendarAdvance(Calendar,U863,T864,"f",FALSE)</f>
        <v>44852</v>
      </c>
      <c r="V864" s="248">
        <f>_xll.qlCalendarAdvance(Calendar,U864,NDays&amp;"D")</f>
        <v>44854</v>
      </c>
      <c r="W864" s="249">
        <v>2.6333361345321327E-2</v>
      </c>
      <c r="X864" s="246">
        <v>2.6035342570400744E-2</v>
      </c>
    </row>
    <row r="865" spans="20:24" x14ac:dyDescent="0.2">
      <c r="T865" s="247" t="str">
        <f t="shared" si="18"/>
        <v>1w</v>
      </c>
      <c r="U865" s="245">
        <f>_xll.qlCalendarAdvance(Calendar,U864,T865,"f",FALSE)</f>
        <v>44859</v>
      </c>
      <c r="V865" s="248">
        <f>_xll.qlCalendarAdvance(Calendar,U865,NDays&amp;"D")</f>
        <v>44861</v>
      </c>
      <c r="W865" s="249">
        <v>2.6364926398961774E-2</v>
      </c>
      <c r="X865" s="246">
        <v>2.6069328006386172E-2</v>
      </c>
    </row>
    <row r="866" spans="20:24" x14ac:dyDescent="0.2">
      <c r="T866" s="247" t="str">
        <f t="shared" si="18"/>
        <v>1w</v>
      </c>
      <c r="U866" s="245">
        <f>_xll.qlCalendarAdvance(Calendar,U865,T866,"f",FALSE)</f>
        <v>44866</v>
      </c>
      <c r="V866" s="248">
        <f>_xll.qlCalendarAdvance(Calendar,U866,NDays&amp;"D")</f>
        <v>44868</v>
      </c>
      <c r="W866" s="249">
        <v>2.6396084507853884E-2</v>
      </c>
      <c r="X866" s="246">
        <v>2.6102908946974424E-2</v>
      </c>
    </row>
    <row r="867" spans="20:24" x14ac:dyDescent="0.2">
      <c r="T867" s="247" t="str">
        <f t="shared" si="18"/>
        <v>1w</v>
      </c>
      <c r="U867" s="245">
        <f>_xll.qlCalendarAdvance(Calendar,U866,T867,"f",FALSE)</f>
        <v>44873</v>
      </c>
      <c r="V867" s="248">
        <f>_xll.qlCalendarAdvance(Calendar,U867,NDays&amp;"D")</f>
        <v>44875</v>
      </c>
      <c r="W867" s="249">
        <v>2.6426835662335828E-2</v>
      </c>
      <c r="X867" s="246">
        <v>2.6136085392085562E-2</v>
      </c>
    </row>
    <row r="868" spans="20:24" x14ac:dyDescent="0.2">
      <c r="T868" s="247" t="str">
        <f t="shared" si="18"/>
        <v>1w</v>
      </c>
      <c r="U868" s="245">
        <f>_xll.qlCalendarAdvance(Calendar,U867,T868,"f",FALSE)</f>
        <v>44880</v>
      </c>
      <c r="V868" s="248">
        <f>_xll.qlCalendarAdvance(Calendar,U868,NDays&amp;"D")</f>
        <v>44882</v>
      </c>
      <c r="W868" s="249">
        <v>2.6457179852874355E-2</v>
      </c>
      <c r="X868" s="246">
        <v>2.6168857341639651E-2</v>
      </c>
    </row>
    <row r="869" spans="20:24" x14ac:dyDescent="0.2">
      <c r="T869" s="247" t="str">
        <f t="shared" si="18"/>
        <v>1w</v>
      </c>
      <c r="U869" s="245">
        <f>_xll.qlCalendarAdvance(Calendar,U868,T869,"f",FALSE)</f>
        <v>44887</v>
      </c>
      <c r="V869" s="248">
        <f>_xll.qlCalendarAdvance(Calendar,U869,NDays&amp;"D")</f>
        <v>44889</v>
      </c>
      <c r="W869" s="249">
        <v>2.648711707006221E-2</v>
      </c>
      <c r="X869" s="246">
        <v>2.6201224795476818E-2</v>
      </c>
    </row>
    <row r="870" spans="20:24" x14ac:dyDescent="0.2">
      <c r="T870" s="247" t="str">
        <f t="shared" si="18"/>
        <v>1w</v>
      </c>
      <c r="U870" s="245">
        <f>_xll.qlCalendarAdvance(Calendar,U869,T870,"f",FALSE)</f>
        <v>44894</v>
      </c>
      <c r="V870" s="248">
        <f>_xll.qlCalendarAdvance(Calendar,U870,NDays&amp;"D")</f>
        <v>44896</v>
      </c>
      <c r="W870" s="249">
        <v>2.6510631601821544E-2</v>
      </c>
      <c r="X870" s="246">
        <v>2.6233187753517129E-2</v>
      </c>
    </row>
    <row r="871" spans="20:24" x14ac:dyDescent="0.2">
      <c r="T871" s="247" t="str">
        <f t="shared" si="18"/>
        <v>1w</v>
      </c>
      <c r="U871" s="245">
        <f>_xll.qlCalendarAdvance(Calendar,U870,T871,"f",FALSE)</f>
        <v>44901</v>
      </c>
      <c r="V871" s="248">
        <f>_xll.qlCalendarAdvance(Calendar,U871,NDays&amp;"D")</f>
        <v>44903</v>
      </c>
      <c r="W871" s="249">
        <v>2.653980870203565E-2</v>
      </c>
      <c r="X871" s="246">
        <v>2.6264746215600709E-2</v>
      </c>
    </row>
    <row r="872" spans="20:24" x14ac:dyDescent="0.2">
      <c r="T872" s="247" t="str">
        <f t="shared" si="18"/>
        <v>1w</v>
      </c>
      <c r="U872" s="245">
        <f>_xll.qlCalendarAdvance(Calendar,U871,T872,"f",FALSE)</f>
        <v>44908</v>
      </c>
      <c r="V872" s="248">
        <f>_xll.qlCalendarAdvance(Calendar,U872,NDays&amp;"D")</f>
        <v>44910</v>
      </c>
      <c r="W872" s="249">
        <v>2.6568578857873781E-2</v>
      </c>
      <c r="X872" s="246">
        <v>2.6295900181807497E-2</v>
      </c>
    </row>
    <row r="873" spans="20:24" x14ac:dyDescent="0.2">
      <c r="T873" s="247" t="str">
        <f t="shared" si="18"/>
        <v>1w</v>
      </c>
      <c r="U873" s="245">
        <f>_xll.qlCalendarAdvance(Calendar,U872,T873,"f",FALSE)</f>
        <v>44915</v>
      </c>
      <c r="V873" s="248">
        <f>_xll.qlCalendarAdvance(Calendar,U873,NDays&amp;"D")</f>
        <v>44917</v>
      </c>
      <c r="W873" s="249">
        <v>2.6596942060613138E-2</v>
      </c>
      <c r="X873" s="246">
        <v>2.6326649651817746E-2</v>
      </c>
    </row>
    <row r="874" spans="20:24" x14ac:dyDescent="0.2">
      <c r="T874" s="247" t="str">
        <f t="shared" si="18"/>
        <v>1w</v>
      </c>
      <c r="U874" s="245">
        <f>_xll.qlCalendarAdvance(Calendar,U873,T874,"f",FALSE)</f>
        <v>44922</v>
      </c>
      <c r="V874" s="248">
        <f>_xll.qlCalendarAdvance(Calendar,U874,NDays&amp;"D")</f>
        <v>44924</v>
      </c>
      <c r="W874" s="249">
        <v>2.6624898301648159E-2</v>
      </c>
      <c r="X874" s="246">
        <v>2.6356994625631458E-2</v>
      </c>
    </row>
    <row r="875" spans="20:24" x14ac:dyDescent="0.2">
      <c r="T875" s="247" t="str">
        <f t="shared" si="18"/>
        <v>1w</v>
      </c>
      <c r="U875" s="245">
        <f>_xll.qlCalendarAdvance(Calendar,U874,T875,"f",FALSE)</f>
        <v>44929</v>
      </c>
      <c r="V875" s="248">
        <f>_xll.qlCalendarAdvance(Calendar,U875,NDays&amp;"D")</f>
        <v>44931</v>
      </c>
      <c r="W875" s="249">
        <v>2.6652447572500293E-2</v>
      </c>
      <c r="X875" s="246">
        <v>2.638693510308876E-2</v>
      </c>
    </row>
    <row r="876" spans="20:24" x14ac:dyDescent="0.2">
      <c r="T876" s="247" t="str">
        <f t="shared" si="18"/>
        <v>1w</v>
      </c>
      <c r="U876" s="245">
        <f>_xll.qlCalendarAdvance(Calendar,U875,T876,"f",FALSE)</f>
        <v>44936</v>
      </c>
      <c r="V876" s="248">
        <f>_xll.qlCalendarAdvance(Calendar,U876,NDays&amp;"D")</f>
        <v>44938</v>
      </c>
      <c r="W876" s="249">
        <v>2.6679589864814446E-2</v>
      </c>
      <c r="X876" s="246">
        <v>2.6416471084109716E-2</v>
      </c>
    </row>
    <row r="877" spans="20:24" x14ac:dyDescent="0.2">
      <c r="T877" s="247" t="str">
        <f t="shared" si="18"/>
        <v>1w</v>
      </c>
      <c r="U877" s="245">
        <f>_xll.qlCalendarAdvance(Calendar,U876,T877,"f",FALSE)</f>
        <v>44943</v>
      </c>
      <c r="V877" s="248">
        <f>_xll.qlCalendarAdvance(Calendar,U877,NDays&amp;"D")</f>
        <v>44945</v>
      </c>
      <c r="W877" s="249">
        <v>2.6706325170358092E-2</v>
      </c>
      <c r="X877" s="246">
        <v>2.644560256861439E-2</v>
      </c>
    </row>
    <row r="878" spans="20:24" x14ac:dyDescent="0.2">
      <c r="T878" s="247" t="str">
        <f t="shared" si="18"/>
        <v>1w</v>
      </c>
      <c r="U878" s="245">
        <f>_xll.qlCalendarAdvance(Calendar,U877,T878,"f",FALSE)</f>
        <v>44950</v>
      </c>
      <c r="V878" s="248">
        <f>_xll.qlCalendarAdvance(Calendar,U878,NDays&amp;"D")</f>
        <v>44952</v>
      </c>
      <c r="W878" s="249">
        <v>2.6732653481021273E-2</v>
      </c>
      <c r="X878" s="246">
        <v>2.647432955644291E-2</v>
      </c>
    </row>
    <row r="879" spans="20:24" x14ac:dyDescent="0.2">
      <c r="T879" s="247" t="str">
        <f t="shared" si="18"/>
        <v>1w</v>
      </c>
      <c r="U879" s="245">
        <f>_xll.qlCalendarAdvance(Calendar,U878,T879,"f",FALSE)</f>
        <v>44957</v>
      </c>
      <c r="V879" s="248">
        <f>_xll.qlCalendarAdvance(Calendar,U879,NDays&amp;"D")</f>
        <v>44959</v>
      </c>
      <c r="W879" s="249">
        <v>2.675580663317282E-2</v>
      </c>
      <c r="X879" s="246">
        <v>2.6502652047675213E-2</v>
      </c>
    </row>
    <row r="880" spans="20:24" x14ac:dyDescent="0.2">
      <c r="T880" s="247" t="str">
        <f t="shared" si="18"/>
        <v>1w</v>
      </c>
      <c r="U880" s="245">
        <f>_xll.qlCalendarAdvance(Calendar,U879,T880,"f",FALSE)</f>
        <v>44964</v>
      </c>
      <c r="V880" s="248">
        <f>_xll.qlCalendarAdvance(Calendar,U880,NDays&amp;"D")</f>
        <v>44966</v>
      </c>
      <c r="W880" s="249">
        <v>2.6781348110084719E-2</v>
      </c>
      <c r="X880" s="246">
        <v>2.6530570041991552E-2</v>
      </c>
    </row>
    <row r="881" spans="20:24" x14ac:dyDescent="0.2">
      <c r="T881" s="247" t="str">
        <f t="shared" si="18"/>
        <v>1w</v>
      </c>
      <c r="U881" s="245">
        <f>_xll.qlCalendarAdvance(Calendar,U880,T881,"f",FALSE)</f>
        <v>44971</v>
      </c>
      <c r="V881" s="248">
        <f>_xll.qlCalendarAdvance(Calendar,U881,NDays&amp;"D")</f>
        <v>44973</v>
      </c>
      <c r="W881" s="249">
        <v>2.6806482597478577E-2</v>
      </c>
      <c r="X881" s="246">
        <v>2.655808353939193E-2</v>
      </c>
    </row>
    <row r="882" spans="20:24" x14ac:dyDescent="0.2">
      <c r="T882" s="247" t="str">
        <f t="shared" si="18"/>
        <v>1w</v>
      </c>
      <c r="U882" s="245">
        <f>_xll.qlCalendarAdvance(Calendar,U881,T882,"f",FALSE)</f>
        <v>44978</v>
      </c>
      <c r="V882" s="248">
        <f>_xll.qlCalendarAdvance(Calendar,U882,NDays&amp;"D")</f>
        <v>44980</v>
      </c>
      <c r="W882" s="249">
        <v>2.6831210087816151E-2</v>
      </c>
      <c r="X882" s="246">
        <v>2.6585192539876346E-2</v>
      </c>
    </row>
    <row r="883" spans="20:24" x14ac:dyDescent="0.2">
      <c r="T883" s="247" t="str">
        <f t="shared" si="18"/>
        <v>1w</v>
      </c>
      <c r="U883" s="245">
        <f>_xll.qlCalendarAdvance(Calendar,U882,T883,"f",FALSE)</f>
        <v>44985</v>
      </c>
      <c r="V883" s="248">
        <f>_xll.qlCalendarAdvance(Calendar,U883,NDays&amp;"D")</f>
        <v>44987</v>
      </c>
      <c r="W883" s="249">
        <v>2.6863500940729253E-2</v>
      </c>
      <c r="X883" s="246">
        <v>2.6611897043204991E-2</v>
      </c>
    </row>
    <row r="884" spans="20:24" x14ac:dyDescent="0.2">
      <c r="T884" s="247" t="str">
        <f t="shared" si="18"/>
        <v>1w</v>
      </c>
      <c r="U884" s="245">
        <f>_xll.qlCalendarAdvance(Calendar,U883,T884,"f",FALSE)</f>
        <v>44992</v>
      </c>
      <c r="V884" s="248">
        <f>_xll.qlCalendarAdvance(Calendar,U884,NDays&amp;"D")</f>
        <v>44994</v>
      </c>
      <c r="W884" s="249">
        <v>2.6887340253120347E-2</v>
      </c>
      <c r="X884" s="246">
        <v>2.6638197049457801E-2</v>
      </c>
    </row>
    <row r="885" spans="20:24" x14ac:dyDescent="0.2">
      <c r="T885" s="247" t="str">
        <f t="shared" si="18"/>
        <v>1w</v>
      </c>
      <c r="U885" s="245">
        <f>_xll.qlCalendarAdvance(Calendar,U884,T885,"f",FALSE)</f>
        <v>44999</v>
      </c>
      <c r="V885" s="248">
        <f>_xll.qlCalendarAdvance(Calendar,U885,NDays&amp;"D")</f>
        <v>45001</v>
      </c>
      <c r="W885" s="249">
        <v>2.6910818890861294E-2</v>
      </c>
      <c r="X885" s="246">
        <v>2.6664092558315033E-2</v>
      </c>
    </row>
    <row r="886" spans="20:24" x14ac:dyDescent="0.2">
      <c r="T886" s="247" t="str">
        <f t="shared" si="18"/>
        <v>1w</v>
      </c>
      <c r="U886" s="245">
        <f>_xll.qlCalendarAdvance(Calendar,U885,T886,"f",FALSE)</f>
        <v>45006</v>
      </c>
      <c r="V886" s="248">
        <f>_xll.qlCalendarAdvance(Calendar,U886,NDays&amp;"D")</f>
        <v>45008</v>
      </c>
      <c r="W886" s="249">
        <v>2.6933983279751824E-2</v>
      </c>
      <c r="X886" s="246">
        <v>2.6689583569856623E-2</v>
      </c>
    </row>
    <row r="887" spans="20:24" x14ac:dyDescent="0.2">
      <c r="T887" s="247" t="str">
        <f t="shared" si="18"/>
        <v>1w</v>
      </c>
      <c r="U887" s="245">
        <f>_xll.qlCalendarAdvance(Calendar,U886,T887,"f",FALSE)</f>
        <v>45013</v>
      </c>
      <c r="V887" s="248">
        <f>_xll.qlCalendarAdvance(Calendar,U887,NDays&amp;"D")</f>
        <v>45015</v>
      </c>
      <c r="W887" s="249">
        <v>2.6956879846765504E-2</v>
      </c>
      <c r="X887" s="246">
        <v>2.6714670083922698E-2</v>
      </c>
    </row>
    <row r="888" spans="20:24" x14ac:dyDescent="0.2">
      <c r="T888" s="247" t="str">
        <f t="shared" si="18"/>
        <v>1w</v>
      </c>
      <c r="U888" s="245">
        <f>_xll.qlCalendarAdvance(Calendar,U887,T888,"f",FALSE)</f>
        <v>45020</v>
      </c>
      <c r="V888" s="248">
        <f>_xll.qlCalendarAdvance(Calendar,U888,NDays&amp;"D")</f>
        <v>45022</v>
      </c>
      <c r="W888" s="249">
        <v>2.6976966626819684E-2</v>
      </c>
      <c r="X888" s="246">
        <v>2.6750296103912774E-2</v>
      </c>
    </row>
    <row r="889" spans="20:24" x14ac:dyDescent="0.2">
      <c r="T889" s="247" t="str">
        <f t="shared" si="18"/>
        <v>1w</v>
      </c>
      <c r="U889" s="245">
        <f>_xll.qlCalendarAdvance(Calendar,U888,T889,"f",FALSE)</f>
        <v>45027</v>
      </c>
      <c r="V889" s="248">
        <f>_xll.qlCalendarAdvance(Calendar,U889,NDays&amp;"D")</f>
        <v>45029</v>
      </c>
      <c r="W889" s="249">
        <v>2.6999465569345866E-2</v>
      </c>
      <c r="X889" s="246">
        <v>2.6763629619388496E-2</v>
      </c>
    </row>
    <row r="890" spans="20:24" x14ac:dyDescent="0.2">
      <c r="T890" s="247" t="str">
        <f t="shared" si="18"/>
        <v>1w</v>
      </c>
      <c r="U890" s="245">
        <f>_xll.qlCalendarAdvance(Calendar,U889,T890,"f",FALSE)</f>
        <v>45034</v>
      </c>
      <c r="V890" s="248">
        <f>_xll.qlCalendarAdvance(Calendar,U890,NDays&amp;"D")</f>
        <v>45036</v>
      </c>
      <c r="W890" s="249">
        <v>2.7021832341517386E-2</v>
      </c>
      <c r="X890" s="246">
        <v>2.6787502640628347E-2</v>
      </c>
    </row>
    <row r="891" spans="20:24" x14ac:dyDescent="0.2">
      <c r="T891" s="247" t="str">
        <f t="shared" si="18"/>
        <v>1w</v>
      </c>
      <c r="U891" s="245">
        <f>_xll.qlCalendarAdvance(Calendar,U890,T891,"f",FALSE)</f>
        <v>45041</v>
      </c>
      <c r="V891" s="248">
        <f>_xll.qlCalendarAdvance(Calendar,U891,NDays&amp;"D")</f>
        <v>45043</v>
      </c>
      <c r="W891" s="249">
        <v>2.7044113881406137E-2</v>
      </c>
      <c r="X891" s="246">
        <v>2.6810971164152875E-2</v>
      </c>
    </row>
    <row r="892" spans="20:24" x14ac:dyDescent="0.2">
      <c r="T892" s="247" t="str">
        <f t="shared" si="18"/>
        <v>1w</v>
      </c>
      <c r="U892" s="245">
        <f>_xll.qlCalendarAdvance(Calendar,U891,T892,"f",FALSE)</f>
        <v>45048</v>
      </c>
      <c r="V892" s="248">
        <f>_xll.qlCalendarAdvance(Calendar,U892,NDays&amp;"D")</f>
        <v>45050</v>
      </c>
      <c r="W892" s="249">
        <v>2.7068970376191621E-2</v>
      </c>
      <c r="X892" s="246">
        <v>2.6834035189802208E-2</v>
      </c>
    </row>
    <row r="893" spans="20:24" x14ac:dyDescent="0.2">
      <c r="T893" s="247" t="str">
        <f t="shared" si="18"/>
        <v>1w</v>
      </c>
      <c r="U893" s="245">
        <f>_xll.qlCalendarAdvance(Calendar,U892,T893,"f",FALSE)</f>
        <v>45055</v>
      </c>
      <c r="V893" s="248">
        <f>_xll.qlCalendarAdvance(Calendar,U893,NDays&amp;"D")</f>
        <v>45057</v>
      </c>
      <c r="W893" s="249">
        <v>2.7091235040584635E-2</v>
      </c>
      <c r="X893" s="246">
        <v>2.685669471749641E-2</v>
      </c>
    </row>
    <row r="894" spans="20:24" x14ac:dyDescent="0.2">
      <c r="T894" s="247" t="str">
        <f t="shared" si="18"/>
        <v>1w</v>
      </c>
      <c r="U894" s="245">
        <f>_xll.qlCalendarAdvance(Calendar,U893,T894,"f",FALSE)</f>
        <v>45062</v>
      </c>
      <c r="V894" s="248">
        <f>_xll.qlCalendarAdvance(Calendar,U894,NDays&amp;"D")</f>
        <v>45064</v>
      </c>
      <c r="W894" s="249">
        <v>2.7113556902634697E-2</v>
      </c>
      <c r="X894" s="246">
        <v>2.6878949747155545E-2</v>
      </c>
    </row>
    <row r="895" spans="20:24" x14ac:dyDescent="0.2">
      <c r="T895" s="247" t="str">
        <f t="shared" si="18"/>
        <v>1w</v>
      </c>
      <c r="U895" s="245">
        <f>_xll.qlCalendarAdvance(Calendar,U894,T895,"f",FALSE)</f>
        <v>45069</v>
      </c>
      <c r="V895" s="248">
        <f>_xll.qlCalendarAdvance(Calendar,U895,NDays&amp;"D")</f>
        <v>45071</v>
      </c>
      <c r="W895" s="249">
        <v>2.7135982397939778E-2</v>
      </c>
      <c r="X895" s="246">
        <v>2.6900800278779613E-2</v>
      </c>
    </row>
    <row r="896" spans="20:24" x14ac:dyDescent="0.2">
      <c r="T896" s="247" t="str">
        <f t="shared" si="18"/>
        <v>1w</v>
      </c>
      <c r="U896" s="245">
        <f>_xll.qlCalendarAdvance(Calendar,U895,T896,"f",FALSE)</f>
        <v>45076</v>
      </c>
      <c r="V896" s="248">
        <f>_xll.qlCalendarAdvance(Calendar,U896,NDays&amp;"D")</f>
        <v>45078</v>
      </c>
      <c r="W896" s="249">
        <v>2.7158557963164829E-2</v>
      </c>
      <c r="X896" s="246">
        <v>2.6922246312208742E-2</v>
      </c>
    </row>
    <row r="897" spans="20:24" x14ac:dyDescent="0.2">
      <c r="T897" s="247" t="str">
        <f t="shared" si="18"/>
        <v>1w</v>
      </c>
      <c r="U897" s="245">
        <f>_xll.qlCalendarAdvance(Calendar,U896,T897,"f",FALSE)</f>
        <v>45083</v>
      </c>
      <c r="V897" s="248">
        <f>_xll.qlCalendarAdvance(Calendar,U897,NDays&amp;"D")</f>
        <v>45085</v>
      </c>
      <c r="W897" s="249">
        <v>2.7181325162390722E-2</v>
      </c>
      <c r="X897" s="246">
        <v>2.6943549677360679E-2</v>
      </c>
    </row>
    <row r="898" spans="20:24" x14ac:dyDescent="0.2">
      <c r="T898" s="247" t="str">
        <f t="shared" si="18"/>
        <v>1w</v>
      </c>
      <c r="U898" s="245">
        <f>_xll.qlCalendarAdvance(Calendar,U897,T898,"f",FALSE)</f>
        <v>45090</v>
      </c>
      <c r="V898" s="248">
        <f>_xll.qlCalendarAdvance(Calendar,U898,NDays&amp;"D")</f>
        <v>45092</v>
      </c>
      <c r="W898" s="249">
        <v>2.7204295483696638E-2</v>
      </c>
      <c r="X898" s="246">
        <v>2.6965052608636242E-2</v>
      </c>
    </row>
    <row r="899" spans="20:24" x14ac:dyDescent="0.2">
      <c r="T899" s="247" t="str">
        <f t="shared" si="18"/>
        <v>1w</v>
      </c>
      <c r="U899" s="245">
        <f>_xll.qlCalendarAdvance(Calendar,U898,T899,"f",FALSE)</f>
        <v>45097</v>
      </c>
      <c r="V899" s="248">
        <f>_xll.qlCalendarAdvance(Calendar,U899,NDays&amp;"D")</f>
        <v>45099</v>
      </c>
      <c r="W899" s="249">
        <v>2.7227468953198216E-2</v>
      </c>
      <c r="X899" s="246">
        <v>2.698675716782617E-2</v>
      </c>
    </row>
    <row r="900" spans="20:24" x14ac:dyDescent="0.2">
      <c r="T900" s="247" t="str">
        <f t="shared" si="18"/>
        <v>1w</v>
      </c>
      <c r="U900" s="245">
        <f>_xll.qlCalendarAdvance(Calendar,U899,T900,"f",FALSE)</f>
        <v>45104</v>
      </c>
      <c r="V900" s="248">
        <f>_xll.qlCalendarAdvance(Calendar,U900,NDays&amp;"D")</f>
        <v>45106</v>
      </c>
      <c r="W900" s="249">
        <v>2.7250845574476931E-2</v>
      </c>
      <c r="X900" s="246">
        <v>2.7008663354850526E-2</v>
      </c>
    </row>
    <row r="901" spans="20:24" x14ac:dyDescent="0.2">
      <c r="T901" s="247" t="str">
        <f t="shared" si="18"/>
        <v>1w</v>
      </c>
      <c r="U901" s="245">
        <f>_xll.qlCalendarAdvance(Calendar,U900,T901,"f",FALSE)</f>
        <v>45111</v>
      </c>
      <c r="V901" s="248">
        <f>_xll.qlCalendarAdvance(Calendar,U901,NDays&amp;"D")</f>
        <v>45113</v>
      </c>
      <c r="W901" s="249">
        <v>2.7274425351148154E-2</v>
      </c>
      <c r="X901" s="246">
        <v>2.7030771169869183E-2</v>
      </c>
    </row>
    <row r="902" spans="20:24" x14ac:dyDescent="0.2">
      <c r="T902" s="247" t="str">
        <f t="shared" si="18"/>
        <v>1w</v>
      </c>
      <c r="U902" s="245">
        <f>_xll.qlCalendarAdvance(Calendar,U901,T902,"f",FALSE)</f>
        <v>45118</v>
      </c>
      <c r="V902" s="248">
        <f>_xll.qlCalendarAdvance(Calendar,U902,NDays&amp;"D")</f>
        <v>45120</v>
      </c>
      <c r="W902" s="249">
        <v>2.7298208286857664E-2</v>
      </c>
      <c r="X902" s="246">
        <v>2.7053080612882141E-2</v>
      </c>
    </row>
    <row r="903" spans="20:24" x14ac:dyDescent="0.2">
      <c r="T903" s="247" t="str">
        <f t="shared" si="18"/>
        <v>1w</v>
      </c>
      <c r="U903" s="245">
        <f>_xll.qlCalendarAdvance(Calendar,U902,T903,"f",FALSE)</f>
        <v>45125</v>
      </c>
      <c r="V903" s="248">
        <f>_xll.qlCalendarAdvance(Calendar,U903,NDays&amp;"D")</f>
        <v>45127</v>
      </c>
      <c r="W903" s="249">
        <v>2.7322194385279913E-2</v>
      </c>
      <c r="X903" s="246">
        <v>2.7075591683809463E-2</v>
      </c>
    </row>
    <row r="904" spans="20:24" x14ac:dyDescent="0.2">
      <c r="T904" s="247" t="str">
        <f t="shared" si="18"/>
        <v>1w</v>
      </c>
      <c r="U904" s="245">
        <f>_xll.qlCalendarAdvance(Calendar,U903,T904,"f",FALSE)</f>
        <v>45132</v>
      </c>
      <c r="V904" s="248">
        <f>_xll.qlCalendarAdvance(Calendar,U904,NDays&amp;"D")</f>
        <v>45134</v>
      </c>
      <c r="W904" s="249">
        <v>2.7346383650126718E-2</v>
      </c>
      <c r="X904" s="246">
        <v>2.7098304382731087E-2</v>
      </c>
    </row>
    <row r="905" spans="20:24" x14ac:dyDescent="0.2">
      <c r="T905" s="247" t="str">
        <f t="shared" si="18"/>
        <v>1w</v>
      </c>
      <c r="U905" s="245">
        <f>_xll.qlCalendarAdvance(Calendar,U904,T905,"f",FALSE)</f>
        <v>45139</v>
      </c>
      <c r="V905" s="248">
        <f>_xll.qlCalendarAdvance(Calendar,U905,NDays&amp;"D")</f>
        <v>45141</v>
      </c>
      <c r="W905" s="249">
        <v>2.7370776085135086E-2</v>
      </c>
      <c r="X905" s="246">
        <v>2.7121218709806882E-2</v>
      </c>
    </row>
    <row r="906" spans="20:24" x14ac:dyDescent="0.2">
      <c r="T906" s="247" t="str">
        <f t="shared" si="18"/>
        <v>1w</v>
      </c>
      <c r="U906" s="245">
        <f>_xll.qlCalendarAdvance(Calendar,U905,T906,"f",FALSE)</f>
        <v>45146</v>
      </c>
      <c r="V906" s="248">
        <f>_xll.qlCalendarAdvance(Calendar,U906,NDays&amp;"D")</f>
        <v>45148</v>
      </c>
      <c r="W906" s="249">
        <v>2.7395371694077655E-2</v>
      </c>
      <c r="X906" s="246">
        <v>2.7144334664956915E-2</v>
      </c>
    </row>
    <row r="907" spans="20:24" x14ac:dyDescent="0.2">
      <c r="T907" s="247" t="str">
        <f t="shared" si="18"/>
        <v>1w</v>
      </c>
      <c r="U907" s="245">
        <f>_xll.qlCalendarAdvance(Calendar,U906,T907,"f",FALSE)</f>
        <v>45153</v>
      </c>
      <c r="V907" s="248">
        <f>_xll.qlCalendarAdvance(Calendar,U907,NDays&amp;"D")</f>
        <v>45155</v>
      </c>
      <c r="W907" s="249">
        <v>2.7420170480757466E-2</v>
      </c>
      <c r="X907" s="246">
        <v>2.716765224826112E-2</v>
      </c>
    </row>
    <row r="908" spans="20:24" x14ac:dyDescent="0.2">
      <c r="T908" s="247" t="str">
        <f t="shared" si="18"/>
        <v>1w</v>
      </c>
      <c r="U908" s="245">
        <f>_xll.qlCalendarAdvance(Calendar,U907,T908,"f",FALSE)</f>
        <v>45160</v>
      </c>
      <c r="V908" s="248">
        <f>_xll.qlCalendarAdvance(Calendar,U908,NDays&amp;"D")</f>
        <v>45162</v>
      </c>
      <c r="W908" s="249">
        <v>2.7445172449007106E-2</v>
      </c>
      <c r="X908" s="246">
        <v>2.7191171459799435E-2</v>
      </c>
    </row>
    <row r="909" spans="20:24" x14ac:dyDescent="0.2">
      <c r="T909" s="247" t="str">
        <f t="shared" si="18"/>
        <v>1w</v>
      </c>
      <c r="U909" s="245">
        <f>_xll.qlCalendarAdvance(Calendar,U908,T909,"f",FALSE)</f>
        <v>45167</v>
      </c>
      <c r="V909" s="248">
        <f>_xll.qlCalendarAdvance(Calendar,U909,NDays&amp;"D")</f>
        <v>45169</v>
      </c>
      <c r="W909" s="249">
        <v>2.7467493427479311E-2</v>
      </c>
      <c r="X909" s="246">
        <v>2.7214892299491922E-2</v>
      </c>
    </row>
    <row r="910" spans="20:24" x14ac:dyDescent="0.2">
      <c r="T910" s="247" t="str">
        <f t="shared" si="18"/>
        <v>1w</v>
      </c>
      <c r="U910" s="245">
        <f>_xll.qlCalendarAdvance(Calendar,U909,T910,"f",FALSE)</f>
        <v>45174</v>
      </c>
      <c r="V910" s="248">
        <f>_xll.qlCalendarAdvance(Calendar,U910,NDays&amp;"D")</f>
        <v>45176</v>
      </c>
      <c r="W910" s="249">
        <v>2.74928853250072E-2</v>
      </c>
      <c r="X910" s="246">
        <v>2.7238814767498454E-2</v>
      </c>
    </row>
    <row r="911" spans="20:24" x14ac:dyDescent="0.2">
      <c r="T911" s="247" t="str">
        <f t="shared" si="18"/>
        <v>1w</v>
      </c>
      <c r="U911" s="245">
        <f>_xll.qlCalendarAdvance(Calendar,U910,T911,"f",FALSE)</f>
        <v>45181</v>
      </c>
      <c r="V911" s="248">
        <f>_xll.qlCalendarAdvance(Calendar,U911,NDays&amp;"D")</f>
        <v>45183</v>
      </c>
      <c r="W911" s="249">
        <v>2.7518480398257491E-2</v>
      </c>
      <c r="X911" s="246">
        <v>2.7262938863739095E-2</v>
      </c>
    </row>
    <row r="912" spans="20:24" x14ac:dyDescent="0.2">
      <c r="T912" s="247" t="str">
        <f t="shared" si="18"/>
        <v>1w</v>
      </c>
      <c r="U912" s="245">
        <f>_xll.qlCalendarAdvance(Calendar,U911,T912,"f",FALSE)</f>
        <v>45188</v>
      </c>
      <c r="V912" s="248">
        <f>_xll.qlCalendarAdvance(Calendar,U912,NDays&amp;"D")</f>
        <v>45190</v>
      </c>
      <c r="W912" s="249">
        <v>2.7544278651143533E-2</v>
      </c>
      <c r="X912" s="246">
        <v>2.7287264588453652E-2</v>
      </c>
    </row>
    <row r="913" spans="20:24" x14ac:dyDescent="0.2">
      <c r="T913" s="247" t="str">
        <f t="shared" si="18"/>
        <v>1w</v>
      </c>
      <c r="U913" s="245">
        <f>_xll.qlCalendarAdvance(Calendar,U912,T913,"f",FALSE)</f>
        <v>45195</v>
      </c>
      <c r="V913" s="248">
        <f>_xll.qlCalendarAdvance(Calendar,U913,NDays&amp;"D")</f>
        <v>45197</v>
      </c>
      <c r="W913" s="249">
        <v>2.7570280087611185E-2</v>
      </c>
      <c r="X913" s="246">
        <v>2.7311791941482255E-2</v>
      </c>
    </row>
    <row r="914" spans="20:24" x14ac:dyDescent="0.2">
      <c r="T914" s="247" t="str">
        <f t="shared" ref="T914:T977" si="19">T913</f>
        <v>1w</v>
      </c>
      <c r="U914" s="245">
        <f>_xll.qlCalendarAdvance(Calendar,U913,T914,"f",FALSE)</f>
        <v>45202</v>
      </c>
      <c r="V914" s="248">
        <f>_xll.qlCalendarAdvance(Calendar,U914,NDays&amp;"D")</f>
        <v>45204</v>
      </c>
      <c r="W914" s="249">
        <v>2.7599451290161656E-2</v>
      </c>
      <c r="X914" s="246">
        <v>2.7336520922984775E-2</v>
      </c>
    </row>
    <row r="915" spans="20:24" x14ac:dyDescent="0.2">
      <c r="T915" s="247" t="str">
        <f t="shared" si="19"/>
        <v>1w</v>
      </c>
      <c r="U915" s="245">
        <f>_xll.qlCalendarAdvance(Calendar,U914,T915,"f",FALSE)</f>
        <v>45209</v>
      </c>
      <c r="V915" s="248">
        <f>_xll.qlCalendarAdvance(Calendar,U915,NDays&amp;"D")</f>
        <v>45211</v>
      </c>
      <c r="W915" s="249">
        <v>2.7625875639401675E-2</v>
      </c>
      <c r="X915" s="246">
        <v>2.7361451532961212E-2</v>
      </c>
    </row>
    <row r="916" spans="20:24" x14ac:dyDescent="0.2">
      <c r="T916" s="247" t="str">
        <f t="shared" si="19"/>
        <v>1w</v>
      </c>
      <c r="U916" s="245">
        <f>_xll.qlCalendarAdvance(Calendar,U915,T916,"f",FALSE)</f>
        <v>45216</v>
      </c>
      <c r="V916" s="248">
        <f>_xll.qlCalendarAdvance(Calendar,U916,NDays&amp;"D")</f>
        <v>45218</v>
      </c>
      <c r="W916" s="249">
        <v>2.765250320201652E-2</v>
      </c>
      <c r="X916" s="246">
        <v>2.738658377133163E-2</v>
      </c>
    </row>
    <row r="917" spans="20:24" x14ac:dyDescent="0.2">
      <c r="T917" s="247" t="str">
        <f t="shared" si="19"/>
        <v>1w</v>
      </c>
      <c r="U917" s="245">
        <f>_xll.qlCalendarAdvance(Calendar,U916,T917,"f",FALSE)</f>
        <v>45223</v>
      </c>
      <c r="V917" s="248">
        <f>_xll.qlCalendarAdvance(Calendar,U917,NDays&amp;"D")</f>
        <v>45225</v>
      </c>
      <c r="W917" s="249">
        <v>2.7679333982122897E-2</v>
      </c>
      <c r="X917" s="246">
        <v>2.7411917638415773E-2</v>
      </c>
    </row>
    <row r="918" spans="20:24" x14ac:dyDescent="0.2">
      <c r="T918" s="247" t="str">
        <f t="shared" si="19"/>
        <v>1w</v>
      </c>
      <c r="U918" s="245">
        <f>_xll.qlCalendarAdvance(Calendar,U917,T918,"f",FALSE)</f>
        <v>45230</v>
      </c>
      <c r="V918" s="248">
        <f>_xll.qlCalendarAdvance(Calendar,U918,NDays&amp;"D")</f>
        <v>45232</v>
      </c>
      <c r="W918" s="249">
        <v>2.7706367983871393E-2</v>
      </c>
      <c r="X918" s="246">
        <v>2.7437453134053769E-2</v>
      </c>
    </row>
    <row r="919" spans="20:24" x14ac:dyDescent="0.2">
      <c r="T919" s="247" t="str">
        <f t="shared" si="19"/>
        <v>1w</v>
      </c>
      <c r="U919" s="245">
        <f>_xll.qlCalendarAdvance(Calendar,U918,T919,"f",FALSE)</f>
        <v>45237</v>
      </c>
      <c r="V919" s="248">
        <f>_xll.qlCalendarAdvance(Calendar,U919,NDays&amp;"D")</f>
        <v>45239</v>
      </c>
      <c r="W919" s="249">
        <v>2.7733605211438674E-2</v>
      </c>
      <c r="X919" s="246">
        <v>2.7463190258325554E-2</v>
      </c>
    </row>
    <row r="920" spans="20:24" x14ac:dyDescent="0.2">
      <c r="T920" s="247" t="str">
        <f t="shared" si="19"/>
        <v>1w</v>
      </c>
      <c r="U920" s="245">
        <f>_xll.qlCalendarAdvance(Calendar,U919,T920,"f",FALSE)</f>
        <v>45244</v>
      </c>
      <c r="V920" s="248">
        <f>_xll.qlCalendarAdvance(Calendar,U920,NDays&amp;"D")</f>
        <v>45246</v>
      </c>
      <c r="W920" s="249">
        <v>2.7761045669038757E-2</v>
      </c>
      <c r="X920" s="246">
        <v>2.7489129011231128E-2</v>
      </c>
    </row>
    <row r="921" spans="20:24" x14ac:dyDescent="0.2">
      <c r="T921" s="247" t="str">
        <f t="shared" si="19"/>
        <v>1w</v>
      </c>
      <c r="U921" s="245">
        <f>_xll.qlCalendarAdvance(Calendar,U920,T921,"f",FALSE)</f>
        <v>45251</v>
      </c>
      <c r="V921" s="248">
        <f>_xll.qlCalendarAdvance(Calendar,U921,NDays&amp;"D")</f>
        <v>45253</v>
      </c>
      <c r="W921" s="249">
        <v>2.7788689360912597E-2</v>
      </c>
      <c r="X921" s="246">
        <v>2.7515269392930364E-2</v>
      </c>
    </row>
    <row r="922" spans="20:24" x14ac:dyDescent="0.2">
      <c r="T922" s="247" t="str">
        <f t="shared" si="19"/>
        <v>1w</v>
      </c>
      <c r="U922" s="245">
        <f>_xll.qlCalendarAdvance(Calendar,U921,T922,"f",FALSE)</f>
        <v>45258</v>
      </c>
      <c r="V922" s="248">
        <f>_xll.qlCalendarAdvance(Calendar,U922,NDays&amp;"D")</f>
        <v>45260</v>
      </c>
      <c r="W922" s="249">
        <v>2.7813436943367496E-2</v>
      </c>
      <c r="X922" s="246">
        <v>2.7541611403423261E-2</v>
      </c>
    </row>
    <row r="923" spans="20:24" x14ac:dyDescent="0.2">
      <c r="T923" s="247" t="str">
        <f t="shared" si="19"/>
        <v>1w</v>
      </c>
      <c r="U923" s="245">
        <f>_xll.qlCalendarAdvance(Calendar,U922,T923,"f",FALSE)</f>
        <v>45265</v>
      </c>
      <c r="V923" s="248">
        <f>_xll.qlCalendarAdvance(Calendar,U923,NDays&amp;"D")</f>
        <v>45267</v>
      </c>
      <c r="W923" s="249">
        <v>2.7841470439485365E-2</v>
      </c>
      <c r="X923" s="246">
        <v>2.7568155042709819E-2</v>
      </c>
    </row>
    <row r="924" spans="20:24" x14ac:dyDescent="0.2">
      <c r="T924" s="247" t="str">
        <f t="shared" si="19"/>
        <v>1w</v>
      </c>
      <c r="U924" s="245">
        <f>_xll.qlCalendarAdvance(Calendar,U923,T924,"f",FALSE)</f>
        <v>45272</v>
      </c>
      <c r="V924" s="248">
        <f>_xll.qlCalendarAdvance(Calendar,U924,NDays&amp;"D")</f>
        <v>45274</v>
      </c>
      <c r="W924" s="249">
        <v>2.7869707164635958E-2</v>
      </c>
      <c r="X924" s="246">
        <v>2.7594900310790038E-2</v>
      </c>
    </row>
    <row r="925" spans="20:24" x14ac:dyDescent="0.2">
      <c r="T925" s="247" t="str">
        <f t="shared" si="19"/>
        <v>1w</v>
      </c>
      <c r="U925" s="245">
        <f>_xll.qlCalendarAdvance(Calendar,U924,T925,"f",FALSE)</f>
        <v>45279</v>
      </c>
      <c r="V925" s="248">
        <f>_xll.qlCalendarAdvance(Calendar,U925,NDays&amp;"D")</f>
        <v>45281</v>
      </c>
      <c r="W925" s="249">
        <v>2.7898147123137578E-2</v>
      </c>
      <c r="X925" s="246">
        <v>2.7621847207823791E-2</v>
      </c>
    </row>
    <row r="926" spans="20:24" x14ac:dyDescent="0.2">
      <c r="T926" s="247" t="str">
        <f t="shared" si="19"/>
        <v>1w</v>
      </c>
      <c r="U926" s="245">
        <f>_xll.qlCalendarAdvance(Calendar,U925,T926,"f",FALSE)</f>
        <v>45287</v>
      </c>
      <c r="V926" s="248">
        <f>_xll.qlCalendarAdvance(Calendar,U926,NDays&amp;"D")</f>
        <v>45289</v>
      </c>
      <c r="W926" s="249">
        <v>2.7927731998781624E-2</v>
      </c>
      <c r="X926" s="246">
        <v>2.766193076050083E-2</v>
      </c>
    </row>
    <row r="927" spans="20:24" x14ac:dyDescent="0.2">
      <c r="T927" s="247" t="str">
        <f t="shared" si="19"/>
        <v>1w</v>
      </c>
      <c r="U927" s="245">
        <f>_xll.qlCalendarAdvance(Calendar,U926,T927,"f",FALSE)</f>
        <v>45294</v>
      </c>
      <c r="V927" s="248">
        <f>_xll.qlCalendarAdvance(Calendar,U927,NDays&amp;"D")</f>
        <v>45296</v>
      </c>
      <c r="W927" s="249">
        <v>2.7959774268825698E-2</v>
      </c>
      <c r="X927" s="246">
        <v>2.7686327609082184E-2</v>
      </c>
    </row>
    <row r="928" spans="20:24" x14ac:dyDescent="0.2">
      <c r="T928" s="247" t="str">
        <f t="shared" si="19"/>
        <v>1w</v>
      </c>
      <c r="U928" s="245">
        <f>_xll.qlCalendarAdvance(Calendar,U927,T928,"f",FALSE)</f>
        <v>45301</v>
      </c>
      <c r="V928" s="248">
        <f>_xll.qlCalendarAdvance(Calendar,U928,NDays&amp;"D")</f>
        <v>45303</v>
      </c>
      <c r="W928" s="249">
        <v>2.7988852989177766E-2</v>
      </c>
      <c r="X928" s="246">
        <v>2.7713941250055996E-2</v>
      </c>
    </row>
    <row r="929" spans="20:24" x14ac:dyDescent="0.2">
      <c r="T929" s="247" t="str">
        <f t="shared" si="19"/>
        <v>1w</v>
      </c>
      <c r="U929" s="245">
        <f>_xll.qlCalendarAdvance(Calendar,U928,T929,"f",FALSE)</f>
        <v>45308</v>
      </c>
      <c r="V929" s="248">
        <f>_xll.qlCalendarAdvance(Calendar,U929,NDays&amp;"D")</f>
        <v>45310</v>
      </c>
      <c r="W929" s="249">
        <v>2.8018134961102767E-2</v>
      </c>
      <c r="X929" s="246">
        <v>2.774175655547495E-2</v>
      </c>
    </row>
    <row r="930" spans="20:24" x14ac:dyDescent="0.2">
      <c r="T930" s="247" t="str">
        <f t="shared" si="19"/>
        <v>1w</v>
      </c>
      <c r="U930" s="245">
        <f>_xll.qlCalendarAdvance(Calendar,U929,T930,"f",FALSE)</f>
        <v>45315</v>
      </c>
      <c r="V930" s="248">
        <f>_xll.qlCalendarAdvance(Calendar,U930,NDays&amp;"D")</f>
        <v>45317</v>
      </c>
      <c r="W930" s="249">
        <v>2.8047620189080635E-2</v>
      </c>
      <c r="X930" s="246">
        <v>2.7769773525418984E-2</v>
      </c>
    </row>
    <row r="931" spans="20:24" x14ac:dyDescent="0.2">
      <c r="T931" s="247" t="str">
        <f t="shared" si="19"/>
        <v>1w</v>
      </c>
      <c r="U931" s="245">
        <f>_xll.qlCalendarAdvance(Calendar,U930,T931,"f",FALSE)</f>
        <v>45322</v>
      </c>
      <c r="V931" s="248">
        <f>_xll.qlCalendarAdvance(Calendar,U931,NDays&amp;"D")</f>
        <v>45324</v>
      </c>
      <c r="W931" s="249">
        <v>2.8074057946994913E-2</v>
      </c>
      <c r="X931" s="246">
        <v>2.7797992160047968E-2</v>
      </c>
    </row>
    <row r="932" spans="20:24" x14ac:dyDescent="0.2">
      <c r="T932" s="247" t="str">
        <f t="shared" si="19"/>
        <v>1w</v>
      </c>
      <c r="U932" s="245">
        <f>_xll.qlCalendarAdvance(Calendar,U931,T932,"f",FALSE)</f>
        <v>45329</v>
      </c>
      <c r="V932" s="248">
        <f>_xll.qlCalendarAdvance(Calendar,U932,NDays&amp;"D")</f>
        <v>45331</v>
      </c>
      <c r="W932" s="249">
        <v>2.8103932858380531E-2</v>
      </c>
      <c r="X932" s="246">
        <v>2.7826412459521777E-2</v>
      </c>
    </row>
    <row r="933" spans="20:24" x14ac:dyDescent="0.2">
      <c r="T933" s="247" t="str">
        <f t="shared" si="19"/>
        <v>1w</v>
      </c>
      <c r="U933" s="245">
        <f>_xll.qlCalendarAdvance(Calendar,U932,T933,"f",FALSE)</f>
        <v>45336</v>
      </c>
      <c r="V933" s="248">
        <f>_xll.qlCalendarAdvance(Calendar,U933,NDays&amp;"D")</f>
        <v>45338</v>
      </c>
      <c r="W933" s="249">
        <v>2.8134011020819472E-2</v>
      </c>
      <c r="X933" s="246">
        <v>2.7855034423973635E-2</v>
      </c>
    </row>
    <row r="934" spans="20:24" x14ac:dyDescent="0.2">
      <c r="T934" s="247" t="str">
        <f t="shared" si="19"/>
        <v>1w</v>
      </c>
      <c r="U934" s="245">
        <f>_xll.qlCalendarAdvance(Calendar,U933,T934,"f",FALSE)</f>
        <v>45343</v>
      </c>
      <c r="V934" s="248">
        <f>_xll.qlCalendarAdvance(Calendar,U934,NDays&amp;"D")</f>
        <v>45345</v>
      </c>
      <c r="W934" s="249">
        <v>2.8164292438861871E-2</v>
      </c>
      <c r="X934" s="246">
        <v>2.7883858053563415E-2</v>
      </c>
    </row>
    <row r="935" spans="20:24" x14ac:dyDescent="0.2">
      <c r="T935" s="247" t="str">
        <f t="shared" si="19"/>
        <v>1w</v>
      </c>
      <c r="U935" s="245">
        <f>_xll.qlCalendarAdvance(Calendar,U934,T935,"f",FALSE)</f>
        <v>45350</v>
      </c>
      <c r="V935" s="248">
        <f>_xll.qlCalendarAdvance(Calendar,U935,NDays&amp;"D")</f>
        <v>45352</v>
      </c>
      <c r="W935" s="249">
        <v>2.820806068110663E-2</v>
      </c>
      <c r="X935" s="246">
        <v>2.7912883348424344E-2</v>
      </c>
    </row>
    <row r="936" spans="20:24" x14ac:dyDescent="0.2">
      <c r="T936" s="247" t="str">
        <f t="shared" si="19"/>
        <v>1w</v>
      </c>
      <c r="U936" s="245">
        <f>_xll.qlCalendarAdvance(Calendar,U935,T936,"f",FALSE)</f>
        <v>45357</v>
      </c>
      <c r="V936" s="248">
        <f>_xll.qlCalendarAdvance(Calendar,U936,NDays&amp;"D")</f>
        <v>45359</v>
      </c>
      <c r="W936" s="249">
        <v>2.8238810869826228E-2</v>
      </c>
      <c r="X936" s="246">
        <v>2.7942110308689649E-2</v>
      </c>
    </row>
    <row r="937" spans="20:24" x14ac:dyDescent="0.2">
      <c r="T937" s="247" t="str">
        <f t="shared" si="19"/>
        <v>1w</v>
      </c>
      <c r="U937" s="245">
        <f>_xll.qlCalendarAdvance(Calendar,U936,T937,"f",FALSE)</f>
        <v>45364</v>
      </c>
      <c r="V937" s="248">
        <f>_xll.qlCalendarAdvance(Calendar,U937,NDays&amp;"D")</f>
        <v>45366</v>
      </c>
      <c r="W937" s="249">
        <v>2.8269731764913163E-2</v>
      </c>
      <c r="X937" s="246">
        <v>2.7971538934519202E-2</v>
      </c>
    </row>
    <row r="938" spans="20:24" x14ac:dyDescent="0.2">
      <c r="T938" s="247" t="str">
        <f t="shared" si="19"/>
        <v>1w</v>
      </c>
      <c r="U938" s="245">
        <f>_xll.qlCalendarAdvance(Calendar,U937,T938,"f",FALSE)</f>
        <v>45371</v>
      </c>
      <c r="V938" s="248">
        <f>_xll.qlCalendarAdvance(Calendar,U938,NDays&amp;"D")</f>
        <v>45373</v>
      </c>
      <c r="W938" s="249">
        <v>2.8300790731824711E-2</v>
      </c>
      <c r="X938" s="246">
        <v>2.8001169226072875E-2</v>
      </c>
    </row>
    <row r="939" spans="20:24" x14ac:dyDescent="0.2">
      <c r="T939" s="247" t="str">
        <f t="shared" si="19"/>
        <v>1w</v>
      </c>
      <c r="U939" s="245">
        <f>_xll.qlCalendarAdvance(Calendar,U938,T939,"f",FALSE)</f>
        <v>45378</v>
      </c>
      <c r="V939" s="248">
        <f>_xll.qlCalendarAdvance(Calendar,U939,NDays&amp;"D")</f>
        <v>45384</v>
      </c>
      <c r="W939" s="249">
        <v>2.8339720475846077E-2</v>
      </c>
      <c r="X939" s="246">
        <v>2.804166235063299E-2</v>
      </c>
    </row>
    <row r="940" spans="20:24" x14ac:dyDescent="0.2">
      <c r="T940" s="247" t="str">
        <f t="shared" si="19"/>
        <v>1w</v>
      </c>
      <c r="U940" s="245">
        <f>_xll.qlCalendarAdvance(Calendar,U939,T940,"f",FALSE)</f>
        <v>45385</v>
      </c>
      <c r="V940" s="248">
        <f>_xll.qlCalendarAdvance(Calendar,U940,NDays&amp;"D")</f>
        <v>45387</v>
      </c>
      <c r="W940" s="249">
        <v>2.8353115864705753E-2</v>
      </c>
      <c r="X940" s="246">
        <v>2.8061034806885488E-2</v>
      </c>
    </row>
    <row r="941" spans="20:24" x14ac:dyDescent="0.2">
      <c r="T941" s="247" t="str">
        <f t="shared" si="19"/>
        <v>1w</v>
      </c>
      <c r="U941" s="245">
        <f>_xll.qlCalendarAdvance(Calendar,U940,T941,"f",FALSE)</f>
        <v>45392</v>
      </c>
      <c r="V941" s="248">
        <f>_xll.qlCalendarAdvance(Calendar,U941,NDays&amp;"D")</f>
        <v>45394</v>
      </c>
      <c r="W941" s="249">
        <v>2.8384402337402716E-2</v>
      </c>
      <c r="X941" s="246">
        <v>2.8091270096464172E-2</v>
      </c>
    </row>
    <row r="942" spans="20:24" x14ac:dyDescent="0.2">
      <c r="T942" s="247" t="str">
        <f t="shared" si="19"/>
        <v>1w</v>
      </c>
      <c r="U942" s="245">
        <f>_xll.qlCalendarAdvance(Calendar,U941,T942,"f",FALSE)</f>
        <v>45399</v>
      </c>
      <c r="V942" s="248">
        <f>_xll.qlCalendarAdvance(Calendar,U942,NDays&amp;"D")</f>
        <v>45401</v>
      </c>
      <c r="W942" s="249">
        <v>2.8415704315215111E-2</v>
      </c>
      <c r="X942" s="246">
        <v>2.8121707052353173E-2</v>
      </c>
    </row>
    <row r="943" spans="20:24" x14ac:dyDescent="0.2">
      <c r="T943" s="247" t="str">
        <f t="shared" si="19"/>
        <v>1w</v>
      </c>
      <c r="U943" s="245">
        <f>_xll.qlCalendarAdvance(Calendar,U942,T943,"f",FALSE)</f>
        <v>45406</v>
      </c>
      <c r="V943" s="248">
        <f>_xll.qlCalendarAdvance(Calendar,U943,NDays&amp;"D")</f>
        <v>45408</v>
      </c>
      <c r="W943" s="249">
        <v>2.8446988090517239E-2</v>
      </c>
      <c r="X943" s="246">
        <v>2.8152345674685719E-2</v>
      </c>
    </row>
    <row r="944" spans="20:24" x14ac:dyDescent="0.2">
      <c r="T944" s="247" t="str">
        <f t="shared" si="19"/>
        <v>1w</v>
      </c>
      <c r="U944" s="245">
        <f>_xll.qlCalendarAdvance(Calendar,U943,T944,"f",FALSE)</f>
        <v>45414</v>
      </c>
      <c r="V944" s="248">
        <f>_xll.qlCalendarAdvance(Calendar,U944,NDays&amp;"D")</f>
        <v>45418</v>
      </c>
      <c r="W944" s="249">
        <v>2.8494909271020673E-2</v>
      </c>
      <c r="X944" s="246">
        <v>2.8189825679918457E-2</v>
      </c>
    </row>
    <row r="945" spans="20:24" x14ac:dyDescent="0.2">
      <c r="T945" s="247" t="str">
        <f t="shared" si="19"/>
        <v>1w</v>
      </c>
      <c r="U945" s="245">
        <f>_xll.qlCalendarAdvance(Calendar,U944,T945,"f",FALSE)</f>
        <v>45421</v>
      </c>
      <c r="V945" s="248">
        <f>_xll.qlCalendarAdvance(Calendar,U945,NDays&amp;"D")</f>
        <v>45425</v>
      </c>
      <c r="W945" s="249">
        <v>2.8525996433328524E-2</v>
      </c>
      <c r="X945" s="246">
        <v>2.8220920382091563E-2</v>
      </c>
    </row>
    <row r="946" spans="20:24" x14ac:dyDescent="0.2">
      <c r="T946" s="247" t="str">
        <f t="shared" si="19"/>
        <v>1w</v>
      </c>
      <c r="U946" s="245">
        <f>_xll.qlCalendarAdvance(Calendar,U945,T946,"f",FALSE)</f>
        <v>45428</v>
      </c>
      <c r="V946" s="248">
        <f>_xll.qlCalendarAdvance(Calendar,U946,NDays&amp;"D")</f>
        <v>45432</v>
      </c>
      <c r="W946" s="249">
        <v>2.8556948708626122E-2</v>
      </c>
      <c r="X946" s="246">
        <v>2.8252216714257372E-2</v>
      </c>
    </row>
    <row r="947" spans="20:24" x14ac:dyDescent="0.2">
      <c r="T947" s="247" t="str">
        <f t="shared" si="19"/>
        <v>1w</v>
      </c>
      <c r="U947" s="245">
        <f>_xll.qlCalendarAdvance(Calendar,U946,T947,"f",FALSE)</f>
        <v>45435</v>
      </c>
      <c r="V947" s="248">
        <f>_xll.qlCalendarAdvance(Calendar,U947,NDays&amp;"D")</f>
        <v>45439</v>
      </c>
      <c r="W947" s="249">
        <v>2.8587732748329566E-2</v>
      </c>
      <c r="X947" s="246">
        <v>2.8283714676575755E-2</v>
      </c>
    </row>
    <row r="948" spans="20:24" x14ac:dyDescent="0.2">
      <c r="T948" s="247" t="str">
        <f t="shared" si="19"/>
        <v>1w</v>
      </c>
      <c r="U948" s="245">
        <f>_xll.qlCalendarAdvance(Calendar,U947,T948,"f",FALSE)</f>
        <v>45442</v>
      </c>
      <c r="V948" s="248">
        <f>_xll.qlCalendarAdvance(Calendar,U948,NDays&amp;"D")</f>
        <v>45446</v>
      </c>
      <c r="W948" s="249">
        <v>2.8618315202836649E-2</v>
      </c>
      <c r="X948" s="246">
        <v>2.8315412788870731E-2</v>
      </c>
    </row>
    <row r="949" spans="20:24" x14ac:dyDescent="0.2">
      <c r="T949" s="247" t="str">
        <f t="shared" si="19"/>
        <v>1w</v>
      </c>
      <c r="U949" s="245">
        <f>_xll.qlCalendarAdvance(Calendar,U948,T949,"f",FALSE)</f>
        <v>45449</v>
      </c>
      <c r="V949" s="248">
        <f>_xll.qlCalendarAdvance(Calendar,U949,NDays&amp;"D")</f>
        <v>45453</v>
      </c>
      <c r="W949" s="249">
        <v>2.8648668279187262E-2</v>
      </c>
      <c r="X949" s="246">
        <v>2.834706537726106E-2</v>
      </c>
    </row>
    <row r="950" spans="20:24" x14ac:dyDescent="0.2">
      <c r="T950" s="247" t="str">
        <f t="shared" si="19"/>
        <v>1w</v>
      </c>
      <c r="U950" s="245">
        <f>_xll.qlCalendarAdvance(Calendar,U949,T950,"f",FALSE)</f>
        <v>45456</v>
      </c>
      <c r="V950" s="248">
        <f>_xll.qlCalendarAdvance(Calendar,U950,NDays&amp;"D")</f>
        <v>45460</v>
      </c>
      <c r="W950" s="249">
        <v>2.8678786414383518E-2</v>
      </c>
      <c r="X950" s="246">
        <v>2.8378484486175637E-2</v>
      </c>
    </row>
    <row r="951" spans="20:24" x14ac:dyDescent="0.2">
      <c r="T951" s="247" t="str">
        <f t="shared" si="19"/>
        <v>1w</v>
      </c>
      <c r="U951" s="245">
        <f>_xll.qlCalendarAdvance(Calendar,U950,T951,"f",FALSE)</f>
        <v>45463</v>
      </c>
      <c r="V951" s="248">
        <f>_xll.qlCalendarAdvance(Calendar,U951,NDays&amp;"D")</f>
        <v>45467</v>
      </c>
      <c r="W951" s="249">
        <v>2.8708669603038424E-2</v>
      </c>
      <c r="X951" s="246">
        <v>2.840967011561446E-2</v>
      </c>
    </row>
    <row r="952" spans="20:24" x14ac:dyDescent="0.2">
      <c r="T952" s="247" t="str">
        <f t="shared" si="19"/>
        <v>1w</v>
      </c>
      <c r="U952" s="245">
        <f>_xll.qlCalendarAdvance(Calendar,U951,T952,"f",FALSE)</f>
        <v>45470</v>
      </c>
      <c r="V952" s="248">
        <f>_xll.qlCalendarAdvance(Calendar,U952,NDays&amp;"D")</f>
        <v>45474</v>
      </c>
      <c r="W952" s="249">
        <v>2.8738317839802342E-2</v>
      </c>
      <c r="X952" s="246">
        <v>2.8440622265497595E-2</v>
      </c>
    </row>
    <row r="953" spans="20:24" x14ac:dyDescent="0.2">
      <c r="T953" s="247" t="str">
        <f t="shared" si="19"/>
        <v>1w</v>
      </c>
      <c r="U953" s="245">
        <f>_xll.qlCalendarAdvance(Calendar,U952,T953,"f",FALSE)</f>
        <v>45477</v>
      </c>
      <c r="V953" s="248">
        <f>_xll.qlCalendarAdvance(Calendar,U953,NDays&amp;"D")</f>
        <v>45481</v>
      </c>
      <c r="W953" s="249">
        <v>2.8767731119372558E-2</v>
      </c>
      <c r="X953" s="246">
        <v>2.8471340935745104E-2</v>
      </c>
    </row>
    <row r="954" spans="20:24" x14ac:dyDescent="0.2">
      <c r="T954" s="247" t="str">
        <f t="shared" si="19"/>
        <v>1w</v>
      </c>
      <c r="U954" s="245">
        <f>_xll.qlCalendarAdvance(Calendar,U953,T954,"f",FALSE)</f>
        <v>45484</v>
      </c>
      <c r="V954" s="248">
        <f>_xll.qlCalendarAdvance(Calendar,U954,NDays&amp;"D")</f>
        <v>45488</v>
      </c>
      <c r="W954" s="249">
        <v>2.8796909436484591E-2</v>
      </c>
      <c r="X954" s="246">
        <v>2.8501826126356988E-2</v>
      </c>
    </row>
    <row r="955" spans="20:24" x14ac:dyDescent="0.2">
      <c r="T955" s="247" t="str">
        <f t="shared" si="19"/>
        <v>1w</v>
      </c>
      <c r="U955" s="245">
        <f>_xll.qlCalendarAdvance(Calendar,U954,T955,"f",FALSE)</f>
        <v>45491</v>
      </c>
      <c r="V955" s="248">
        <f>_xll.qlCalendarAdvance(Calendar,U955,NDays&amp;"D")</f>
        <v>45495</v>
      </c>
      <c r="W955" s="249">
        <v>2.8825852785917396E-2</v>
      </c>
      <c r="X955" s="246">
        <v>2.8532077837093439E-2</v>
      </c>
    </row>
    <row r="956" spans="20:24" x14ac:dyDescent="0.2">
      <c r="T956" s="247" t="str">
        <f t="shared" si="19"/>
        <v>1w</v>
      </c>
      <c r="U956" s="245">
        <f>_xll.qlCalendarAdvance(Calendar,U955,T956,"f",FALSE)</f>
        <v>45498</v>
      </c>
      <c r="V956" s="248">
        <f>_xll.qlCalendarAdvance(Calendar,U956,NDays&amp;"D")</f>
        <v>45502</v>
      </c>
      <c r="W956" s="249">
        <v>2.8854561162493377E-2</v>
      </c>
      <c r="X956" s="246">
        <v>2.8562096068114329E-2</v>
      </c>
    </row>
    <row r="957" spans="20:24" x14ac:dyDescent="0.2">
      <c r="T957" s="247" t="str">
        <f t="shared" si="19"/>
        <v>1w</v>
      </c>
      <c r="U957" s="245">
        <f>_xll.qlCalendarAdvance(Calendar,U956,T957,"f",FALSE)</f>
        <v>45505</v>
      </c>
      <c r="V957" s="248">
        <f>_xll.qlCalendarAdvance(Calendar,U957,NDays&amp;"D")</f>
        <v>45509</v>
      </c>
      <c r="W957" s="249">
        <v>2.8883034561074036E-2</v>
      </c>
      <c r="X957" s="246">
        <v>2.8591880819259785E-2</v>
      </c>
    </row>
    <row r="958" spans="20:24" x14ac:dyDescent="0.2">
      <c r="T958" s="247" t="str">
        <f t="shared" si="19"/>
        <v>1w</v>
      </c>
      <c r="U958" s="245">
        <f>_xll.qlCalendarAdvance(Calendar,U957,T958,"f",FALSE)</f>
        <v>45512</v>
      </c>
      <c r="V958" s="248">
        <f>_xll.qlCalendarAdvance(Calendar,U958,NDays&amp;"D")</f>
        <v>45516</v>
      </c>
      <c r="W958" s="249">
        <v>2.8911272976565185E-2</v>
      </c>
      <c r="X958" s="246">
        <v>2.8621432090529808E-2</v>
      </c>
    </row>
    <row r="959" spans="20:24" x14ac:dyDescent="0.2">
      <c r="T959" s="247" t="str">
        <f t="shared" si="19"/>
        <v>1w</v>
      </c>
      <c r="U959" s="245">
        <f>_xll.qlCalendarAdvance(Calendar,U958,T959,"f",FALSE)</f>
        <v>45519</v>
      </c>
      <c r="V959" s="248">
        <f>_xll.qlCalendarAdvance(Calendar,U959,NDays&amp;"D")</f>
        <v>45523</v>
      </c>
      <c r="W959" s="249">
        <v>2.8939276403913479E-2</v>
      </c>
      <c r="X959" s="246">
        <v>2.8650749881764526E-2</v>
      </c>
    </row>
    <row r="960" spans="20:24" x14ac:dyDescent="0.2">
      <c r="T960" s="247" t="str">
        <f t="shared" si="19"/>
        <v>1w</v>
      </c>
      <c r="U960" s="245">
        <f>_xll.qlCalendarAdvance(Calendar,U959,T960,"f",FALSE)</f>
        <v>45526</v>
      </c>
      <c r="V960" s="248">
        <f>_xll.qlCalendarAdvance(Calendar,U960,NDays&amp;"D")</f>
        <v>45530</v>
      </c>
      <c r="W960" s="249">
        <v>2.8967044838108139E-2</v>
      </c>
      <c r="X960" s="246">
        <v>2.8679834193043874E-2</v>
      </c>
    </row>
    <row r="961" spans="20:24" x14ac:dyDescent="0.2">
      <c r="T961" s="247" t="str">
        <f t="shared" si="19"/>
        <v>1w</v>
      </c>
      <c r="U961" s="245">
        <f>_xll.qlCalendarAdvance(Calendar,U960,T961,"f",FALSE)</f>
        <v>45533</v>
      </c>
      <c r="V961" s="248">
        <f>_xll.qlCalendarAdvance(Calendar,U961,NDays&amp;"D")</f>
        <v>45537</v>
      </c>
      <c r="W961" s="249">
        <v>2.8991491432431935E-2</v>
      </c>
      <c r="X961" s="246">
        <v>2.8708685024207981E-2</v>
      </c>
    </row>
    <row r="962" spans="20:24" x14ac:dyDescent="0.2">
      <c r="T962" s="247" t="str">
        <f t="shared" si="19"/>
        <v>1w</v>
      </c>
      <c r="U962" s="245">
        <f>_xll.qlCalendarAdvance(Calendar,U961,T962,"f",FALSE)</f>
        <v>45540</v>
      </c>
      <c r="V962" s="248">
        <f>_xll.qlCalendarAdvance(Calendar,U962,NDays&amp;"D")</f>
        <v>45544</v>
      </c>
      <c r="W962" s="249">
        <v>2.9018804459136446E-2</v>
      </c>
      <c r="X962" s="246">
        <v>2.873730237517691E-2</v>
      </c>
    </row>
    <row r="963" spans="20:24" x14ac:dyDescent="0.2">
      <c r="T963" s="247" t="str">
        <f t="shared" si="19"/>
        <v>1w</v>
      </c>
      <c r="U963" s="245">
        <f>_xll.qlCalendarAdvance(Calendar,U962,T963,"f",FALSE)</f>
        <v>45547</v>
      </c>
      <c r="V963" s="248">
        <f>_xll.qlCalendarAdvance(Calendar,U963,NDays&amp;"D")</f>
        <v>45551</v>
      </c>
      <c r="W963" s="249">
        <v>2.9045882495087067E-2</v>
      </c>
      <c r="X963" s="246">
        <v>2.8765686245950661E-2</v>
      </c>
    </row>
    <row r="964" spans="20:24" x14ac:dyDescent="0.2">
      <c r="T964" s="247" t="str">
        <f t="shared" si="19"/>
        <v>1w</v>
      </c>
      <c r="U964" s="245">
        <f>_xll.qlCalendarAdvance(Calendar,U963,T964,"f",FALSE)</f>
        <v>45554</v>
      </c>
      <c r="V964" s="248">
        <f>_xll.qlCalendarAdvance(Calendar,U964,NDays&amp;"D")</f>
        <v>45558</v>
      </c>
      <c r="W964" s="249">
        <v>2.9072725535490271E-2</v>
      </c>
      <c r="X964" s="246">
        <v>2.8793836636529235E-2</v>
      </c>
    </row>
    <row r="965" spans="20:24" x14ac:dyDescent="0.2">
      <c r="T965" s="247" t="str">
        <f t="shared" si="19"/>
        <v>1w</v>
      </c>
      <c r="U965" s="245">
        <f>_xll.qlCalendarAdvance(Calendar,U964,T965,"f",FALSE)</f>
        <v>45561</v>
      </c>
      <c r="V965" s="248">
        <f>_xll.qlCalendarAdvance(Calendar,U965,NDays&amp;"D")</f>
        <v>45565</v>
      </c>
      <c r="W965" s="249">
        <v>2.9102361939340994E-2</v>
      </c>
      <c r="X965" s="246">
        <v>2.8821753546672824E-2</v>
      </c>
    </row>
    <row r="966" spans="20:24" x14ac:dyDescent="0.2">
      <c r="T966" s="247" t="str">
        <f t="shared" si="19"/>
        <v>1w</v>
      </c>
      <c r="U966" s="245">
        <f>_xll.qlCalendarAdvance(Calendar,U965,T966,"f",FALSE)</f>
        <v>45568</v>
      </c>
      <c r="V966" s="248">
        <f>_xll.qlCalendarAdvance(Calendar,U966,NDays&amp;"D")</f>
        <v>45572</v>
      </c>
      <c r="W966" s="249">
        <v>2.9128720311739634E-2</v>
      </c>
      <c r="X966" s="246">
        <v>2.8849436976541298E-2</v>
      </c>
    </row>
    <row r="967" spans="20:24" x14ac:dyDescent="0.2">
      <c r="T967" s="247" t="str">
        <f t="shared" si="19"/>
        <v>1w</v>
      </c>
      <c r="U967" s="245">
        <f>_xll.qlCalendarAdvance(Calendar,U966,T967,"f",FALSE)</f>
        <v>45575</v>
      </c>
      <c r="V967" s="248">
        <f>_xll.qlCalendarAdvance(Calendar,U967,NDays&amp;"D")</f>
        <v>45579</v>
      </c>
      <c r="W967" s="249">
        <v>2.9154843657086541E-2</v>
      </c>
      <c r="X967" s="246">
        <v>2.8876886925974787E-2</v>
      </c>
    </row>
    <row r="968" spans="20:24" x14ac:dyDescent="0.2">
      <c r="T968" s="247" t="str">
        <f t="shared" si="19"/>
        <v>1w</v>
      </c>
      <c r="U968" s="245">
        <f>_xll.qlCalendarAdvance(Calendar,U967,T968,"f",FALSE)</f>
        <v>45582</v>
      </c>
      <c r="V968" s="248">
        <f>_xll.qlCalendarAdvance(Calendar,U968,NDays&amp;"D")</f>
        <v>45586</v>
      </c>
      <c r="W968" s="249">
        <v>2.9180731970705455E-2</v>
      </c>
      <c r="X968" s="246">
        <v>2.8904103394973291E-2</v>
      </c>
    </row>
    <row r="969" spans="20:24" x14ac:dyDescent="0.2">
      <c r="T969" s="247" t="str">
        <f t="shared" si="19"/>
        <v>1w</v>
      </c>
      <c r="U969" s="245">
        <f>_xll.qlCalendarAdvance(Calendar,U968,T969,"f",FALSE)</f>
        <v>45589</v>
      </c>
      <c r="V969" s="248">
        <f>_xll.qlCalendarAdvance(Calendar,U969,NDays&amp;"D")</f>
        <v>45593</v>
      </c>
      <c r="W969" s="249">
        <v>2.920638524796269E-2</v>
      </c>
      <c r="X969" s="246">
        <v>2.8931086383376936E-2</v>
      </c>
    </row>
    <row r="970" spans="20:24" x14ac:dyDescent="0.2">
      <c r="T970" s="247" t="str">
        <f t="shared" si="19"/>
        <v>1w</v>
      </c>
      <c r="U970" s="245">
        <f>_xll.qlCalendarAdvance(Calendar,U969,T970,"f",FALSE)</f>
        <v>45596</v>
      </c>
      <c r="V970" s="248">
        <f>_xll.qlCalendarAdvance(Calendar,U970,NDays&amp;"D")</f>
        <v>45600</v>
      </c>
      <c r="W970" s="249">
        <v>2.9231803484270614E-2</v>
      </c>
      <c r="X970" s="246">
        <v>2.8957835891345596E-2</v>
      </c>
    </row>
    <row r="971" spans="20:24" x14ac:dyDescent="0.2">
      <c r="T971" s="247" t="str">
        <f t="shared" si="19"/>
        <v>1w</v>
      </c>
      <c r="U971" s="245">
        <f>_xll.qlCalendarAdvance(Calendar,U970,T971,"f",FALSE)</f>
        <v>45603</v>
      </c>
      <c r="V971" s="248">
        <f>_xll.qlCalendarAdvance(Calendar,U971,NDays&amp;"D")</f>
        <v>45607</v>
      </c>
      <c r="W971" s="249">
        <v>2.9256986675078953E-2</v>
      </c>
      <c r="X971" s="246">
        <v>2.8984351918559526E-2</v>
      </c>
    </row>
    <row r="972" spans="20:24" x14ac:dyDescent="0.2">
      <c r="T972" s="247" t="str">
        <f t="shared" si="19"/>
        <v>1w</v>
      </c>
      <c r="U972" s="245">
        <f>_xll.qlCalendarAdvance(Calendar,U971,T972,"f",FALSE)</f>
        <v>45610</v>
      </c>
      <c r="V972" s="248">
        <f>_xll.qlCalendarAdvance(Calendar,U972,NDays&amp;"D")</f>
        <v>45614</v>
      </c>
      <c r="W972" s="249">
        <v>2.9281934815881747E-2</v>
      </c>
      <c r="X972" s="246">
        <v>2.9010634465098661E-2</v>
      </c>
    </row>
    <row r="973" spans="20:24" x14ac:dyDescent="0.2">
      <c r="T973" s="247" t="str">
        <f t="shared" si="19"/>
        <v>1w</v>
      </c>
      <c r="U973" s="245">
        <f>_xll.qlCalendarAdvance(Calendar,U972,T973,"f",FALSE)</f>
        <v>45617</v>
      </c>
      <c r="V973" s="248">
        <f>_xll.qlCalendarAdvance(Calendar,U973,NDays&amp;"D")</f>
        <v>45621</v>
      </c>
      <c r="W973" s="249">
        <v>2.9306647902214739E-2</v>
      </c>
      <c r="X973" s="246">
        <v>2.9036683530883067E-2</v>
      </c>
    </row>
    <row r="974" spans="20:24" x14ac:dyDescent="0.2">
      <c r="T974" s="247" t="str">
        <f t="shared" si="19"/>
        <v>1w</v>
      </c>
      <c r="U974" s="245">
        <f>_xll.qlCalendarAdvance(Calendar,U973,T974,"f",FALSE)</f>
        <v>45624</v>
      </c>
      <c r="V974" s="248">
        <f>_xll.qlCalendarAdvance(Calendar,U974,NDays&amp;"D")</f>
        <v>45628</v>
      </c>
      <c r="W974" s="249">
        <v>2.9328230159740416E-2</v>
      </c>
      <c r="X974" s="246">
        <v>2.9062499115912743E-2</v>
      </c>
    </row>
    <row r="975" spans="20:24" x14ac:dyDescent="0.2">
      <c r="T975" s="247" t="str">
        <f t="shared" si="19"/>
        <v>1w</v>
      </c>
      <c r="U975" s="245">
        <f>_xll.qlCalendarAdvance(Calendar,U974,T975,"f",FALSE)</f>
        <v>45631</v>
      </c>
      <c r="V975" s="248">
        <f>_xll.qlCalendarAdvance(Calendar,U975,NDays&amp;"D")</f>
        <v>45635</v>
      </c>
      <c r="W975" s="249">
        <v>2.9352487944692147E-2</v>
      </c>
      <c r="X975" s="246">
        <v>2.9088081220107753E-2</v>
      </c>
    </row>
    <row r="976" spans="20:24" x14ac:dyDescent="0.2">
      <c r="T976" s="247" t="str">
        <f t="shared" si="19"/>
        <v>1w</v>
      </c>
      <c r="U976" s="245">
        <f>_xll.qlCalendarAdvance(Calendar,U975,T976,"f",FALSE)</f>
        <v>45638</v>
      </c>
      <c r="V976" s="248">
        <f>_xll.qlCalendarAdvance(Calendar,U976,NDays&amp;"D")</f>
        <v>45642</v>
      </c>
      <c r="W976" s="249">
        <v>2.9376510679827786E-2</v>
      </c>
      <c r="X976" s="246">
        <v>2.9113429843388161E-2</v>
      </c>
    </row>
    <row r="977" spans="20:24" x14ac:dyDescent="0.2">
      <c r="T977" s="247" t="str">
        <f t="shared" si="19"/>
        <v>1w</v>
      </c>
      <c r="U977" s="245">
        <f>_xll.qlCalendarAdvance(Calendar,U976,T977,"f",FALSE)</f>
        <v>45645</v>
      </c>
      <c r="V977" s="248">
        <f>_xll.qlCalendarAdvance(Calendar,U977,NDays&amp;"D")</f>
        <v>45649</v>
      </c>
      <c r="W977" s="249">
        <v>2.9400298360893147E-2</v>
      </c>
      <c r="X977" s="246">
        <v>2.9138544985753967E-2</v>
      </c>
    </row>
    <row r="978" spans="20:24" x14ac:dyDescent="0.2">
      <c r="T978" s="247" t="str">
        <f t="shared" ref="T978:T1041" si="20">T977</f>
        <v>1w</v>
      </c>
      <c r="U978" s="245">
        <f>_xll.qlCalendarAdvance(Calendar,U977,T978,"f",FALSE)</f>
        <v>45653</v>
      </c>
      <c r="V978" s="248">
        <f>_xll.qlCalendarAdvance(Calendar,U978,NDays&amp;"D")</f>
        <v>45657</v>
      </c>
      <c r="W978" s="249">
        <v>2.9424360934107163E-2</v>
      </c>
      <c r="X978" s="246">
        <v>2.9169909146862238E-2</v>
      </c>
    </row>
    <row r="979" spans="20:24" x14ac:dyDescent="0.2">
      <c r="T979" s="247" t="str">
        <f t="shared" si="20"/>
        <v>1w</v>
      </c>
      <c r="U979" s="245">
        <f>_xll.qlCalendarAdvance(Calendar,U978,T979,"f",FALSE)</f>
        <v>45660</v>
      </c>
      <c r="V979" s="248">
        <f>_xll.qlCalendarAdvance(Calendar,U979,NDays&amp;"D")</f>
        <v>45664</v>
      </c>
      <c r="W979" s="249">
        <v>2.9447659806147719E-2</v>
      </c>
      <c r="X979" s="246">
        <v>2.9191576936584696E-2</v>
      </c>
    </row>
    <row r="980" spans="20:24" x14ac:dyDescent="0.2">
      <c r="T980" s="247" t="str">
        <f t="shared" si="20"/>
        <v>1w</v>
      </c>
      <c r="U980" s="245">
        <f>_xll.qlCalendarAdvance(Calendar,U979,T980,"f",FALSE)</f>
        <v>45667</v>
      </c>
      <c r="V980" s="248">
        <f>_xll.qlCalendarAdvance(Calendar,U980,NDays&amp;"D")</f>
        <v>45671</v>
      </c>
      <c r="W980" s="249">
        <v>2.9470723628993056E-2</v>
      </c>
      <c r="X980" s="246">
        <v>2.9215958281367804E-2</v>
      </c>
    </row>
    <row r="981" spans="20:24" x14ac:dyDescent="0.2">
      <c r="T981" s="247" t="str">
        <f t="shared" si="20"/>
        <v>1w</v>
      </c>
      <c r="U981" s="245">
        <f>_xll.qlCalendarAdvance(Calendar,U980,T981,"f",FALSE)</f>
        <v>45674</v>
      </c>
      <c r="V981" s="248">
        <f>_xll.qlCalendarAdvance(Calendar,U981,NDays&amp;"D")</f>
        <v>45678</v>
      </c>
      <c r="W981" s="249">
        <v>2.9496343188780902E-2</v>
      </c>
      <c r="X981" s="246">
        <v>2.9240106145076439E-2</v>
      </c>
    </row>
    <row r="982" spans="20:24" x14ac:dyDescent="0.2">
      <c r="T982" s="247" t="str">
        <f t="shared" si="20"/>
        <v>1w</v>
      </c>
      <c r="U982" s="245">
        <f>_xll.qlCalendarAdvance(Calendar,U981,T982,"f",FALSE)</f>
        <v>45681</v>
      </c>
      <c r="V982" s="248">
        <f>_xll.qlCalendarAdvance(Calendar,U982,NDays&amp;"D")</f>
        <v>45685</v>
      </c>
      <c r="W982" s="249">
        <v>2.9516146110983854E-2</v>
      </c>
      <c r="X982" s="246">
        <v>2.9264020527630663E-2</v>
      </c>
    </row>
    <row r="983" spans="20:24" x14ac:dyDescent="0.2">
      <c r="T983" s="247" t="str">
        <f t="shared" si="20"/>
        <v>1w</v>
      </c>
      <c r="U983" s="245">
        <f>_xll.qlCalendarAdvance(Calendar,U982,T983,"f",FALSE)</f>
        <v>45688</v>
      </c>
      <c r="V983" s="248">
        <f>_xll.qlCalendarAdvance(Calendar,U983,NDays&amp;"D")</f>
        <v>45692</v>
      </c>
      <c r="W983" s="249">
        <v>2.9538504762176565E-2</v>
      </c>
      <c r="X983" s="246">
        <v>2.9287701428950541E-2</v>
      </c>
    </row>
    <row r="984" spans="20:24" x14ac:dyDescent="0.2">
      <c r="T984" s="247" t="str">
        <f t="shared" si="20"/>
        <v>1w</v>
      </c>
      <c r="U984" s="245">
        <f>_xll.qlCalendarAdvance(Calendar,U983,T984,"f",FALSE)</f>
        <v>45695</v>
      </c>
      <c r="V984" s="248">
        <f>_xll.qlCalendarAdvance(Calendar,U984,NDays&amp;"D")</f>
        <v>45699</v>
      </c>
      <c r="W984" s="249">
        <v>2.9560628348270335E-2</v>
      </c>
      <c r="X984" s="246">
        <v>2.9311148849036073E-2</v>
      </c>
    </row>
    <row r="985" spans="20:24" x14ac:dyDescent="0.2">
      <c r="T985" s="247" t="str">
        <f t="shared" si="20"/>
        <v>1w</v>
      </c>
      <c r="U985" s="245">
        <f>_xll.qlCalendarAdvance(Calendar,U984,T985,"f",FALSE)</f>
        <v>45702</v>
      </c>
      <c r="V985" s="248">
        <f>_xll.qlCalendarAdvance(Calendar,U985,NDays&amp;"D")</f>
        <v>45706</v>
      </c>
      <c r="W985" s="249">
        <v>2.9582516865389152E-2</v>
      </c>
      <c r="X985" s="246">
        <v>2.9334362787727386E-2</v>
      </c>
    </row>
    <row r="986" spans="20:24" x14ac:dyDescent="0.2">
      <c r="T986" s="247" t="str">
        <f t="shared" si="20"/>
        <v>1w</v>
      </c>
      <c r="U986" s="245">
        <f>_xll.qlCalendarAdvance(Calendar,U985,T986,"f",FALSE)</f>
        <v>45709</v>
      </c>
      <c r="V986" s="248">
        <f>_xll.qlCalendarAdvance(Calendar,U986,NDays&amp;"D")</f>
        <v>45713</v>
      </c>
      <c r="W986" s="249">
        <v>2.9604170309704081E-2</v>
      </c>
      <c r="X986" s="246">
        <v>2.9357343245104417E-2</v>
      </c>
    </row>
    <row r="987" spans="20:24" x14ac:dyDescent="0.2">
      <c r="T987" s="247" t="str">
        <f t="shared" si="20"/>
        <v>1w</v>
      </c>
      <c r="U987" s="245">
        <f>_xll.qlCalendarAdvance(Calendar,U986,T987,"f",FALSE)</f>
        <v>45716</v>
      </c>
      <c r="V987" s="248">
        <f>_xll.qlCalendarAdvance(Calendar,U987,NDays&amp;"D")</f>
        <v>45720</v>
      </c>
      <c r="W987" s="249">
        <v>2.963098906676415E-2</v>
      </c>
      <c r="X987" s="246">
        <v>2.9380090221007293E-2</v>
      </c>
    </row>
    <row r="988" spans="20:24" x14ac:dyDescent="0.2">
      <c r="T988" s="247" t="str">
        <f t="shared" si="20"/>
        <v>1w</v>
      </c>
      <c r="U988" s="245">
        <f>_xll.qlCalendarAdvance(Calendar,U987,T988,"f",FALSE)</f>
        <v>45723</v>
      </c>
      <c r="V988" s="248">
        <f>_xll.qlCalendarAdvance(Calendar,U988,NDays&amp;"D")</f>
        <v>45727</v>
      </c>
      <c r="W988" s="249">
        <v>2.9652142240537624E-2</v>
      </c>
      <c r="X988" s="246">
        <v>2.9402603715515951E-2</v>
      </c>
    </row>
    <row r="989" spans="20:24" x14ac:dyDescent="0.2">
      <c r="T989" s="247" t="str">
        <f t="shared" si="20"/>
        <v>1w</v>
      </c>
      <c r="U989" s="245">
        <f>_xll.qlCalendarAdvance(Calendar,U988,T989,"f",FALSE)</f>
        <v>45730</v>
      </c>
      <c r="V989" s="248">
        <f>_xll.qlCalendarAdvance(Calendar,U989,NDays&amp;"D")</f>
        <v>45734</v>
      </c>
      <c r="W989" s="249">
        <v>2.9673060293590812E-2</v>
      </c>
      <c r="X989" s="246">
        <v>2.9424883728470519E-2</v>
      </c>
    </row>
    <row r="990" spans="20:24" x14ac:dyDescent="0.2">
      <c r="T990" s="247" t="str">
        <f t="shared" si="20"/>
        <v>1w</v>
      </c>
      <c r="U990" s="245">
        <f>_xll.qlCalendarAdvance(Calendar,U989,T990,"f",FALSE)</f>
        <v>45737</v>
      </c>
      <c r="V990" s="248">
        <f>_xll.qlCalendarAdvance(Calendar,U990,NDays&amp;"D")</f>
        <v>45741</v>
      </c>
      <c r="W990" s="249">
        <v>2.9693743222180623E-2</v>
      </c>
      <c r="X990" s="246">
        <v>2.9446930259950932E-2</v>
      </c>
    </row>
    <row r="991" spans="20:24" x14ac:dyDescent="0.2">
      <c r="T991" s="247" t="str">
        <f t="shared" si="20"/>
        <v>1w</v>
      </c>
      <c r="U991" s="245">
        <f>_xll.qlCalendarAdvance(Calendar,U990,T991,"f",FALSE)</f>
        <v>45744</v>
      </c>
      <c r="V991" s="248">
        <f>_xll.qlCalendarAdvance(Calendar,U991,NDays&amp;"D")</f>
        <v>45748</v>
      </c>
      <c r="W991" s="249">
        <v>2.9711551815045631E-2</v>
      </c>
      <c r="X991" s="246">
        <v>2.9468743309797318E-2</v>
      </c>
    </row>
    <row r="992" spans="20:24" x14ac:dyDescent="0.2">
      <c r="T992" s="247" t="str">
        <f t="shared" si="20"/>
        <v>1w</v>
      </c>
      <c r="U992" s="245">
        <f>_xll.qlCalendarAdvance(Calendar,U991,T992,"f",FALSE)</f>
        <v>45751</v>
      </c>
      <c r="V992" s="248">
        <f>_xll.qlCalendarAdvance(Calendar,U992,NDays&amp;"D")</f>
        <v>45755</v>
      </c>
      <c r="W992" s="249">
        <v>2.9731779615244421E-2</v>
      </c>
      <c r="X992" s="246">
        <v>2.9490322878089614E-2</v>
      </c>
    </row>
    <row r="993" spans="20:24" x14ac:dyDescent="0.2">
      <c r="T993" s="247" t="str">
        <f t="shared" si="20"/>
        <v>1w</v>
      </c>
      <c r="U993" s="245">
        <f>_xll.qlCalendarAdvance(Calendar,U992,T993,"f",FALSE)</f>
        <v>45758</v>
      </c>
      <c r="V993" s="248">
        <f>_xll.qlCalendarAdvance(Calendar,U993,NDays&amp;"D")</f>
        <v>45762</v>
      </c>
      <c r="W993" s="249">
        <v>2.9751772298488736E-2</v>
      </c>
      <c r="X993" s="246">
        <v>2.9511668964667948E-2</v>
      </c>
    </row>
    <row r="994" spans="20:24" x14ac:dyDescent="0.2">
      <c r="T994" s="247" t="str">
        <f t="shared" si="20"/>
        <v>1w</v>
      </c>
      <c r="U994" s="245">
        <f>_xll.qlCalendarAdvance(Calendar,U993,T994,"f",FALSE)</f>
        <v>45769</v>
      </c>
      <c r="V994" s="248">
        <f>_xll.qlCalendarAdvance(Calendar,U994,NDays&amp;"D")</f>
        <v>45771</v>
      </c>
      <c r="W994" s="249">
        <v>2.9777131693277666E-2</v>
      </c>
      <c r="X994" s="246">
        <v>2.953877085795753E-2</v>
      </c>
    </row>
    <row r="995" spans="20:24" x14ac:dyDescent="0.2">
      <c r="T995" s="247" t="str">
        <f t="shared" si="20"/>
        <v>1w</v>
      </c>
      <c r="U995" s="245">
        <f>_xll.qlCalendarAdvance(Calendar,U994,T995,"f",FALSE)</f>
        <v>45776</v>
      </c>
      <c r="V995" s="248">
        <f>_xll.qlCalendarAdvance(Calendar,U995,NDays&amp;"D")</f>
        <v>45779</v>
      </c>
      <c r="W995" s="249">
        <v>2.98070593154952E-2</v>
      </c>
      <c r="X995" s="246">
        <v>2.9567913375077026E-2</v>
      </c>
    </row>
    <row r="996" spans="20:24" x14ac:dyDescent="0.2">
      <c r="T996" s="247" t="str">
        <f t="shared" si="20"/>
        <v>1w</v>
      </c>
      <c r="U996" s="245">
        <f>_xll.qlCalendarAdvance(Calendar,U995,T996,"f",FALSE)</f>
        <v>45783</v>
      </c>
      <c r="V996" s="248">
        <f>_xll.qlCalendarAdvance(Calendar,U996,NDays&amp;"D")</f>
        <v>45785</v>
      </c>
      <c r="W996" s="249">
        <v>2.9818366100930256E-2</v>
      </c>
      <c r="X996" s="246">
        <v>2.9580162204307925E-2</v>
      </c>
    </row>
    <row r="997" spans="20:24" x14ac:dyDescent="0.2">
      <c r="T997" s="247" t="str">
        <f t="shared" si="20"/>
        <v>1w</v>
      </c>
      <c r="U997" s="245">
        <f>_xll.qlCalendarAdvance(Calendar,U996,T997,"f",FALSE)</f>
        <v>45790</v>
      </c>
      <c r="V997" s="248">
        <f>_xll.qlCalendarAdvance(Calendar,U997,NDays&amp;"D")</f>
        <v>45792</v>
      </c>
      <c r="W997" s="249">
        <v>2.9837335870789537E-2</v>
      </c>
      <c r="X997" s="246">
        <v>2.960050765467237E-2</v>
      </c>
    </row>
    <row r="998" spans="20:24" x14ac:dyDescent="0.2">
      <c r="T998" s="247" t="str">
        <f t="shared" si="20"/>
        <v>1w</v>
      </c>
      <c r="U998" s="245">
        <f>_xll.qlCalendarAdvance(Calendar,U997,T998,"f",FALSE)</f>
        <v>45797</v>
      </c>
      <c r="V998" s="248">
        <f>_xll.qlCalendarAdvance(Calendar,U998,NDays&amp;"D")</f>
        <v>45799</v>
      </c>
      <c r="W998" s="249">
        <v>2.9856070486785482E-2</v>
      </c>
      <c r="X998" s="246">
        <v>2.9620619623242916E-2</v>
      </c>
    </row>
    <row r="999" spans="20:24" x14ac:dyDescent="0.2">
      <c r="T999" s="247" t="str">
        <f t="shared" si="20"/>
        <v>1w</v>
      </c>
      <c r="U999" s="245">
        <f>_xll.qlCalendarAdvance(Calendar,U998,T999,"f",FALSE)</f>
        <v>45804</v>
      </c>
      <c r="V999" s="248">
        <f>_xll.qlCalendarAdvance(Calendar,U999,NDays&amp;"D")</f>
        <v>45806</v>
      </c>
      <c r="W999" s="249">
        <v>2.9874569945564249E-2</v>
      </c>
      <c r="X999" s="246">
        <v>2.9640498109779756E-2</v>
      </c>
    </row>
    <row r="1000" spans="20:24" x14ac:dyDescent="0.2">
      <c r="T1000" s="247" t="str">
        <f t="shared" si="20"/>
        <v>1w</v>
      </c>
      <c r="U1000" s="245">
        <f>_xll.qlCalendarAdvance(Calendar,U999,T1000,"f",FALSE)</f>
        <v>45811</v>
      </c>
      <c r="V1000" s="248">
        <f>_xll.qlCalendarAdvance(Calendar,U1000,NDays&amp;"D")</f>
        <v>45813</v>
      </c>
      <c r="W1000" s="249">
        <v>2.9892834243817178E-2</v>
      </c>
      <c r="X1000" s="246">
        <v>2.9660143114442761E-2</v>
      </c>
    </row>
    <row r="1001" spans="20:24" x14ac:dyDescent="0.2">
      <c r="T1001" s="247" t="str">
        <f t="shared" si="20"/>
        <v>1w</v>
      </c>
      <c r="U1001" s="245">
        <f>_xll.qlCalendarAdvance(Calendar,U1000,T1001,"f",FALSE)</f>
        <v>45818</v>
      </c>
      <c r="V1001" s="248">
        <f>_xll.qlCalendarAdvance(Calendar,U1001,NDays&amp;"D")</f>
        <v>45820</v>
      </c>
      <c r="W1001" s="249">
        <v>2.991086337827472E-2</v>
      </c>
      <c r="X1001" s="246">
        <v>2.9679554637151995E-2</v>
      </c>
    </row>
    <row r="1002" spans="20:24" x14ac:dyDescent="0.2">
      <c r="T1002" s="247" t="str">
        <f t="shared" si="20"/>
        <v>1w</v>
      </c>
      <c r="U1002" s="245">
        <f>_xll.qlCalendarAdvance(Calendar,U1001,T1002,"f",FALSE)</f>
        <v>45825</v>
      </c>
      <c r="V1002" s="248">
        <f>_xll.qlCalendarAdvance(Calendar,U1002,NDays&amp;"D")</f>
        <v>45827</v>
      </c>
      <c r="W1002" s="249">
        <v>2.9928657345709011E-2</v>
      </c>
      <c r="X1002" s="246">
        <v>2.9698732677747586E-2</v>
      </c>
    </row>
    <row r="1003" spans="20:24" x14ac:dyDescent="0.2">
      <c r="T1003" s="247" t="str">
        <f t="shared" si="20"/>
        <v>1w</v>
      </c>
      <c r="U1003" s="245">
        <f>_xll.qlCalendarAdvance(Calendar,U1002,T1003,"f",FALSE)</f>
        <v>45832</v>
      </c>
      <c r="V1003" s="248">
        <f>_xll.qlCalendarAdvance(Calendar,U1003,NDays&amp;"D")</f>
        <v>45834</v>
      </c>
      <c r="W1003" s="249">
        <v>2.9946216142936518E-2</v>
      </c>
      <c r="X1003" s="246">
        <v>2.971767723630947E-2</v>
      </c>
    </row>
    <row r="1004" spans="20:24" x14ac:dyDescent="0.2">
      <c r="T1004" s="247" t="str">
        <f t="shared" si="20"/>
        <v>1w</v>
      </c>
      <c r="U1004" s="245">
        <f>_xll.qlCalendarAdvance(Calendar,U1003,T1004,"f",FALSE)</f>
        <v>45839</v>
      </c>
      <c r="V1004" s="248">
        <f>_xll.qlCalendarAdvance(Calendar,U1004,NDays&amp;"D")</f>
        <v>45841</v>
      </c>
      <c r="W1004" s="249">
        <v>2.9963539766814533E-2</v>
      </c>
      <c r="X1004" s="246">
        <v>2.9736388312757711E-2</v>
      </c>
    </row>
    <row r="1005" spans="20:24" x14ac:dyDescent="0.2">
      <c r="T1005" s="247" t="str">
        <f t="shared" si="20"/>
        <v>1w</v>
      </c>
      <c r="U1005" s="245">
        <f>_xll.qlCalendarAdvance(Calendar,U1004,T1005,"f",FALSE)</f>
        <v>45846</v>
      </c>
      <c r="V1005" s="248">
        <f>_xll.qlCalendarAdvance(Calendar,U1005,NDays&amp;"D")</f>
        <v>45848</v>
      </c>
      <c r="W1005" s="249">
        <v>2.998062821424206E-2</v>
      </c>
      <c r="X1005" s="246">
        <v>2.9754865907012373E-2</v>
      </c>
    </row>
    <row r="1006" spans="20:24" x14ac:dyDescent="0.2">
      <c r="T1006" s="247" t="str">
        <f t="shared" si="20"/>
        <v>1w</v>
      </c>
      <c r="U1006" s="245">
        <f>_xll.qlCalendarAdvance(Calendar,U1005,T1006,"f",FALSE)</f>
        <v>45853</v>
      </c>
      <c r="V1006" s="248">
        <f>_xll.qlCalendarAdvance(Calendar,U1006,NDays&amp;"D")</f>
        <v>45855</v>
      </c>
      <c r="W1006" s="249">
        <v>2.9997481482161546E-2</v>
      </c>
      <c r="X1006" s="246">
        <v>2.9773110019153393E-2</v>
      </c>
    </row>
    <row r="1007" spans="20:24" x14ac:dyDescent="0.2">
      <c r="T1007" s="247" t="str">
        <f t="shared" si="20"/>
        <v>1w</v>
      </c>
      <c r="U1007" s="245">
        <f>_xll.qlCalendarAdvance(Calendar,U1006,T1007,"f",FALSE)</f>
        <v>45860</v>
      </c>
      <c r="V1007" s="248">
        <f>_xll.qlCalendarAdvance(Calendar,U1007,NDays&amp;"D")</f>
        <v>45862</v>
      </c>
      <c r="W1007" s="249">
        <v>3.0014099567557143E-2</v>
      </c>
      <c r="X1007" s="246">
        <v>2.9791120649020897E-2</v>
      </c>
    </row>
    <row r="1008" spans="20:24" x14ac:dyDescent="0.2">
      <c r="T1008" s="247" t="str">
        <f t="shared" si="20"/>
        <v>1w</v>
      </c>
      <c r="U1008" s="245">
        <f>_xll.qlCalendarAdvance(Calendar,U1007,T1008,"f",FALSE)</f>
        <v>45867</v>
      </c>
      <c r="V1008" s="248">
        <f>_xll.qlCalendarAdvance(Calendar,U1008,NDays&amp;"D")</f>
        <v>45869</v>
      </c>
      <c r="W1008" s="249">
        <v>3.0030482467452969E-2</v>
      </c>
      <c r="X1008" s="246">
        <v>2.9808897796694822E-2</v>
      </c>
    </row>
    <row r="1009" spans="20:24" x14ac:dyDescent="0.2">
      <c r="T1009" s="247" t="str">
        <f t="shared" si="20"/>
        <v>1w</v>
      </c>
      <c r="U1009" s="245">
        <f>_xll.qlCalendarAdvance(Calendar,U1008,T1009,"f",FALSE)</f>
        <v>45874</v>
      </c>
      <c r="V1009" s="248">
        <f>_xll.qlCalendarAdvance(Calendar,U1009,NDays&amp;"D")</f>
        <v>45876</v>
      </c>
      <c r="W1009" s="249">
        <v>3.0046630178919193E-2</v>
      </c>
      <c r="X1009" s="246">
        <v>2.9826441462015296E-2</v>
      </c>
    </row>
    <row r="1010" spans="20:24" x14ac:dyDescent="0.2">
      <c r="T1010" s="247" t="str">
        <f t="shared" si="20"/>
        <v>1w</v>
      </c>
      <c r="U1010" s="245">
        <f>_xll.qlCalendarAdvance(Calendar,U1009,T1010,"f",FALSE)</f>
        <v>45881</v>
      </c>
      <c r="V1010" s="248">
        <f>_xll.qlCalendarAdvance(Calendar,U1010,NDays&amp;"D")</f>
        <v>45883</v>
      </c>
      <c r="W1010" s="249">
        <v>3.0062542699065085E-2</v>
      </c>
      <c r="X1010" s="246">
        <v>2.9843751645062255E-2</v>
      </c>
    </row>
    <row r="1011" spans="20:24" x14ac:dyDescent="0.2">
      <c r="T1011" s="247" t="str">
        <f t="shared" si="20"/>
        <v>1w</v>
      </c>
      <c r="U1011" s="245">
        <f>_xll.qlCalendarAdvance(Calendar,U1010,T1011,"f",FALSE)</f>
        <v>45888</v>
      </c>
      <c r="V1011" s="248">
        <f>_xll.qlCalendarAdvance(Calendar,U1011,NDays&amp;"D")</f>
        <v>45890</v>
      </c>
      <c r="W1011" s="249">
        <v>3.007822002504075E-2</v>
      </c>
      <c r="X1011" s="246">
        <v>2.9860828345755763E-2</v>
      </c>
    </row>
    <row r="1012" spans="20:24" x14ac:dyDescent="0.2">
      <c r="T1012" s="247" t="str">
        <f t="shared" si="20"/>
        <v>1w</v>
      </c>
      <c r="U1012" s="245">
        <f>_xll.qlCalendarAdvance(Calendar,U1011,T1012,"f",FALSE)</f>
        <v>45895</v>
      </c>
      <c r="V1012" s="248">
        <f>_xll.qlCalendarAdvance(Calendar,U1012,NDays&amp;"D")</f>
        <v>45897</v>
      </c>
      <c r="W1012" s="249">
        <v>3.0093662154043216E-2</v>
      </c>
      <c r="X1012" s="246">
        <v>2.987767156409582E-2</v>
      </c>
    </row>
    <row r="1013" spans="20:24" x14ac:dyDescent="0.2">
      <c r="T1013" s="247" t="str">
        <f t="shared" si="20"/>
        <v>1w</v>
      </c>
      <c r="U1013" s="245">
        <f>_xll.qlCalendarAdvance(Calendar,U1012,T1013,"f",FALSE)</f>
        <v>45902</v>
      </c>
      <c r="V1013" s="248">
        <f>_xll.qlCalendarAdvance(Calendar,U1013,NDays&amp;"D")</f>
        <v>45904</v>
      </c>
      <c r="W1013" s="249">
        <v>3.0106571533271821E-2</v>
      </c>
      <c r="X1013" s="246">
        <v>2.9894281299922554E-2</v>
      </c>
    </row>
    <row r="1014" spans="20:24" x14ac:dyDescent="0.2">
      <c r="T1014" s="247" t="str">
        <f t="shared" si="20"/>
        <v>1w</v>
      </c>
      <c r="U1014" s="245">
        <f>_xll.qlCalendarAdvance(Calendar,U1013,T1014,"f",FALSE)</f>
        <v>45909</v>
      </c>
      <c r="V1014" s="248">
        <f>_xll.qlCalendarAdvance(Calendar,U1014,NDays&amp;"D")</f>
        <v>45911</v>
      </c>
      <c r="W1014" s="249">
        <v>3.0121558811487658E-2</v>
      </c>
      <c r="X1014" s="246">
        <v>2.9910657553395836E-2</v>
      </c>
    </row>
    <row r="1015" spans="20:24" x14ac:dyDescent="0.2">
      <c r="T1015" s="247" t="str">
        <f t="shared" si="20"/>
        <v>1w</v>
      </c>
      <c r="U1015" s="245">
        <f>_xll.qlCalendarAdvance(Calendar,U1014,T1015,"f",FALSE)</f>
        <v>45916</v>
      </c>
      <c r="V1015" s="248">
        <f>_xll.qlCalendarAdvance(Calendar,U1015,NDays&amp;"D")</f>
        <v>45918</v>
      </c>
      <c r="W1015" s="249">
        <v>3.0136310903746629E-2</v>
      </c>
      <c r="X1015" s="246">
        <v>2.992680032427586E-2</v>
      </c>
    </row>
    <row r="1016" spans="20:24" x14ac:dyDescent="0.2">
      <c r="T1016" s="247" t="str">
        <f t="shared" si="20"/>
        <v>1w</v>
      </c>
      <c r="U1016" s="245">
        <f>_xll.qlCalendarAdvance(Calendar,U1015,T1016,"f",FALSE)</f>
        <v>45923</v>
      </c>
      <c r="V1016" s="248">
        <f>_xll.qlCalendarAdvance(Calendar,U1016,NDays&amp;"D")</f>
        <v>45925</v>
      </c>
      <c r="W1016" s="249">
        <v>3.0159822970286854E-2</v>
      </c>
      <c r="X1016" s="246">
        <v>2.9942709612802432E-2</v>
      </c>
    </row>
    <row r="1017" spans="20:24" x14ac:dyDescent="0.2">
      <c r="T1017" s="247" t="str">
        <f t="shared" si="20"/>
        <v>1w</v>
      </c>
      <c r="U1017" s="245">
        <f>_xll.qlCalendarAdvance(Calendar,U1016,T1017,"f",FALSE)</f>
        <v>45930</v>
      </c>
      <c r="V1017" s="248">
        <f>_xll.qlCalendarAdvance(Calendar,U1017,NDays&amp;"D")</f>
        <v>45932</v>
      </c>
      <c r="W1017" s="249">
        <v>3.0167344749180681E-2</v>
      </c>
      <c r="X1017" s="246">
        <v>2.9958385418655809E-2</v>
      </c>
    </row>
    <row r="1018" spans="20:24" x14ac:dyDescent="0.2">
      <c r="T1018" s="247" t="str">
        <f t="shared" si="20"/>
        <v>1w</v>
      </c>
      <c r="U1018" s="245">
        <f>_xll.qlCalendarAdvance(Calendar,U1017,T1018,"f",FALSE)</f>
        <v>45937</v>
      </c>
      <c r="V1018" s="248">
        <f>_xll.qlCalendarAdvance(Calendar,U1018,NDays&amp;"D")</f>
        <v>45939</v>
      </c>
      <c r="W1018" s="249">
        <v>3.0181375639771798E-2</v>
      </c>
      <c r="X1018" s="246">
        <v>2.9973827741915926E-2</v>
      </c>
    </row>
    <row r="1019" spans="20:24" x14ac:dyDescent="0.2">
      <c r="T1019" s="247" t="str">
        <f t="shared" si="20"/>
        <v>1w</v>
      </c>
      <c r="U1019" s="245">
        <f>_xll.qlCalendarAdvance(Calendar,U1018,T1019,"f",FALSE)</f>
        <v>45944</v>
      </c>
      <c r="V1019" s="248">
        <f>_xll.qlCalendarAdvance(Calendar,U1019,NDays&amp;"D")</f>
        <v>45946</v>
      </c>
      <c r="W1019" s="249">
        <v>3.019517131492535E-2</v>
      </c>
      <c r="X1019" s="246">
        <v>2.998903658266272E-2</v>
      </c>
    </row>
    <row r="1020" spans="20:24" x14ac:dyDescent="0.2">
      <c r="T1020" s="247" t="str">
        <f t="shared" si="20"/>
        <v>1w</v>
      </c>
      <c r="U1020" s="245">
        <f>_xll.qlCalendarAdvance(Calendar,U1019,T1020,"f",FALSE)</f>
        <v>45951</v>
      </c>
      <c r="V1020" s="248">
        <f>_xll.qlCalendarAdvance(Calendar,U1020,NDays&amp;"D")</f>
        <v>45953</v>
      </c>
      <c r="W1020" s="249">
        <v>3.0208731772173751E-2</v>
      </c>
      <c r="X1020" s="246">
        <v>3.0004011940656383E-2</v>
      </c>
    </row>
    <row r="1021" spans="20:24" x14ac:dyDescent="0.2">
      <c r="T1021" s="247" t="str">
        <f t="shared" si="20"/>
        <v>1w</v>
      </c>
      <c r="U1021" s="245">
        <f>_xll.qlCalendarAdvance(Calendar,U1020,T1021,"f",FALSE)</f>
        <v>45958</v>
      </c>
      <c r="V1021" s="248">
        <f>_xll.qlCalendarAdvance(Calendar,U1021,NDays&amp;"D")</f>
        <v>45960</v>
      </c>
      <c r="W1021" s="249">
        <v>3.0222057009089375E-2</v>
      </c>
      <c r="X1021" s="246">
        <v>3.0018753816056787E-2</v>
      </c>
    </row>
    <row r="1022" spans="20:24" x14ac:dyDescent="0.2">
      <c r="T1022" s="247" t="str">
        <f t="shared" si="20"/>
        <v>1w</v>
      </c>
      <c r="U1022" s="245">
        <f>_xll.qlCalendarAdvance(Calendar,U1021,T1022,"f",FALSE)</f>
        <v>45965</v>
      </c>
      <c r="V1022" s="248">
        <f>_xll.qlCalendarAdvance(Calendar,U1022,NDays&amp;"D")</f>
        <v>45967</v>
      </c>
      <c r="W1022" s="249">
        <v>3.0235147023287171E-2</v>
      </c>
      <c r="X1022" s="246">
        <v>3.0033262208783995E-2</v>
      </c>
    </row>
    <row r="1023" spans="20:24" x14ac:dyDescent="0.2">
      <c r="T1023" s="247" t="str">
        <f t="shared" si="20"/>
        <v>1w</v>
      </c>
      <c r="U1023" s="245">
        <f>_xll.qlCalendarAdvance(Calendar,U1022,T1023,"f",FALSE)</f>
        <v>45972</v>
      </c>
      <c r="V1023" s="248">
        <f>_xll.qlCalendarAdvance(Calendar,U1023,NDays&amp;"D")</f>
        <v>45974</v>
      </c>
      <c r="W1023" s="249">
        <v>3.0248001812423802E-2</v>
      </c>
      <c r="X1023" s="246">
        <v>3.0047537118758072E-2</v>
      </c>
    </row>
    <row r="1024" spans="20:24" x14ac:dyDescent="0.2">
      <c r="T1024" s="247" t="str">
        <f t="shared" si="20"/>
        <v>1w</v>
      </c>
      <c r="U1024" s="245">
        <f>_xll.qlCalendarAdvance(Calendar,U1023,T1024,"f",FALSE)</f>
        <v>45979</v>
      </c>
      <c r="V1024" s="248">
        <f>_xll.qlCalendarAdvance(Calendar,U1024,NDays&amp;"D")</f>
        <v>45981</v>
      </c>
      <c r="W1024" s="249">
        <v>3.0260621374199364E-2</v>
      </c>
      <c r="X1024" s="246">
        <v>3.0061578545979017E-2</v>
      </c>
    </row>
    <row r="1025" spans="20:24" x14ac:dyDescent="0.2">
      <c r="T1025" s="247" t="str">
        <f t="shared" si="20"/>
        <v>1w</v>
      </c>
      <c r="U1025" s="245">
        <f>_xll.qlCalendarAdvance(Calendar,U1024,T1025,"f",FALSE)</f>
        <v>45986</v>
      </c>
      <c r="V1025" s="248">
        <f>_xll.qlCalendarAdvance(Calendar,U1025,NDays&amp;"D")</f>
        <v>45988</v>
      </c>
      <c r="W1025" s="249">
        <v>3.0273005706355664E-2</v>
      </c>
      <c r="X1025" s="246">
        <v>3.0075386490446832E-2</v>
      </c>
    </row>
    <row r="1026" spans="20:24" x14ac:dyDescent="0.2">
      <c r="T1026" s="247" t="str">
        <f t="shared" si="20"/>
        <v>1w</v>
      </c>
      <c r="U1026" s="245">
        <f>_xll.qlCalendarAdvance(Calendar,U1025,T1026,"f",FALSE)</f>
        <v>45993</v>
      </c>
      <c r="V1026" s="248">
        <f>_xll.qlCalendarAdvance(Calendar,U1026,NDays&amp;"D")</f>
        <v>45995</v>
      </c>
      <c r="W1026" s="249">
        <v>3.0280965658922021E-2</v>
      </c>
      <c r="X1026" s="246">
        <v>3.0088960952081578E-2</v>
      </c>
    </row>
    <row r="1027" spans="20:24" x14ac:dyDescent="0.2">
      <c r="T1027" s="247" t="str">
        <f t="shared" si="20"/>
        <v>1w</v>
      </c>
      <c r="U1027" s="245">
        <f>_xll.qlCalendarAdvance(Calendar,U1026,T1027,"f",FALSE)</f>
        <v>46000</v>
      </c>
      <c r="V1027" s="248">
        <f>_xll.qlCalendarAdvance(Calendar,U1027,NDays&amp;"D")</f>
        <v>46002</v>
      </c>
      <c r="W1027" s="249">
        <v>3.0292911127891564E-2</v>
      </c>
      <c r="X1027" s="246">
        <v>3.0102301930883257E-2</v>
      </c>
    </row>
    <row r="1028" spans="20:24" x14ac:dyDescent="0.2">
      <c r="T1028" s="247" t="str">
        <f t="shared" si="20"/>
        <v>1w</v>
      </c>
      <c r="U1028" s="245">
        <f>_xll.qlCalendarAdvance(Calendar,U1027,T1028,"f",FALSE)</f>
        <v>46007</v>
      </c>
      <c r="V1028" s="248">
        <f>_xll.qlCalendarAdvance(Calendar,U1028,NDays&amp;"D")</f>
        <v>46009</v>
      </c>
      <c r="W1028" s="249">
        <v>3.0304621399679377E-2</v>
      </c>
      <c r="X1028" s="246">
        <v>3.0115409426851869E-2</v>
      </c>
    </row>
    <row r="1029" spans="20:24" x14ac:dyDescent="0.2">
      <c r="T1029" s="247" t="str">
        <f t="shared" si="20"/>
        <v>1w</v>
      </c>
      <c r="U1029" s="245">
        <f>_xll.qlCalendarAdvance(Calendar,U1028,T1029,"f",FALSE)</f>
        <v>46014</v>
      </c>
      <c r="V1029" s="248">
        <f>_xll.qlCalendarAdvance(Calendar,U1029,NDays&amp;"D")</f>
        <v>46020</v>
      </c>
      <c r="W1029" s="249">
        <v>3.0324586807509921E-2</v>
      </c>
      <c r="X1029" s="246">
        <v>3.0135535189748097E-2</v>
      </c>
    </row>
    <row r="1030" spans="20:24" x14ac:dyDescent="0.2">
      <c r="T1030" s="247" t="str">
        <f t="shared" si="20"/>
        <v>1w</v>
      </c>
      <c r="U1030" s="245">
        <f>_xll.qlCalendarAdvance(Calendar,U1029,T1030,"f",FALSE)</f>
        <v>46021</v>
      </c>
      <c r="V1030" s="248">
        <f>_xll.qlCalendarAdvance(Calendar,U1030,NDays&amp;"D")</f>
        <v>46024</v>
      </c>
      <c r="W1030" s="249">
        <v>3.0328922839241379E-2</v>
      </c>
      <c r="X1030" s="246">
        <v>3.0147015287473877E-2</v>
      </c>
    </row>
    <row r="1031" spans="20:24" x14ac:dyDescent="0.2">
      <c r="T1031" s="247" t="str">
        <f t="shared" si="20"/>
        <v>1w</v>
      </c>
      <c r="U1031" s="245">
        <f>_xll.qlCalendarAdvance(Calendar,U1030,T1031,"f",FALSE)</f>
        <v>46028</v>
      </c>
      <c r="V1031" s="248">
        <f>_xll.qlCalendarAdvance(Calendar,U1031,NDays&amp;"D")</f>
        <v>46030</v>
      </c>
      <c r="W1031" s="249">
        <v>3.0338341011663772E-2</v>
      </c>
      <c r="X1031" s="246">
        <v>3.0153331017279683E-2</v>
      </c>
    </row>
    <row r="1032" spans="20:24" x14ac:dyDescent="0.2">
      <c r="T1032" s="247" t="str">
        <f t="shared" si="20"/>
        <v>1w</v>
      </c>
      <c r="U1032" s="245">
        <f>_xll.qlCalendarAdvance(Calendar,U1031,T1032,"f",FALSE)</f>
        <v>46035</v>
      </c>
      <c r="V1032" s="248">
        <f>_xll.qlCalendarAdvance(Calendar,U1032,NDays&amp;"D")</f>
        <v>46037</v>
      </c>
      <c r="W1032" s="249">
        <v>3.0349110474637619E-2</v>
      </c>
      <c r="X1032" s="246">
        <v>3.0165504581516345E-2</v>
      </c>
    </row>
    <row r="1033" spans="20:24" x14ac:dyDescent="0.2">
      <c r="T1033" s="247" t="str">
        <f t="shared" si="20"/>
        <v>1w</v>
      </c>
      <c r="U1033" s="245">
        <f>_xll.qlCalendarAdvance(Calendar,U1032,T1033,"f",FALSE)</f>
        <v>46042</v>
      </c>
      <c r="V1033" s="248">
        <f>_xll.qlCalendarAdvance(Calendar,U1033,NDays&amp;"D")</f>
        <v>46044</v>
      </c>
      <c r="W1033" s="249">
        <v>3.0359644730591384E-2</v>
      </c>
      <c r="X1033" s="246">
        <v>3.0177444662840003E-2</v>
      </c>
    </row>
    <row r="1034" spans="20:24" x14ac:dyDescent="0.2">
      <c r="T1034" s="247" t="str">
        <f t="shared" si="20"/>
        <v>1w</v>
      </c>
      <c r="U1034" s="245">
        <f>_xll.qlCalendarAdvance(Calendar,U1033,T1034,"f",FALSE)</f>
        <v>46049</v>
      </c>
      <c r="V1034" s="248">
        <f>_xll.qlCalendarAdvance(Calendar,U1034,NDays&amp;"D")</f>
        <v>46051</v>
      </c>
      <c r="W1034" s="249">
        <v>3.0369943777680319E-2</v>
      </c>
      <c r="X1034" s="246">
        <v>3.0189151261170721E-2</v>
      </c>
    </row>
    <row r="1035" spans="20:24" x14ac:dyDescent="0.2">
      <c r="T1035" s="247" t="str">
        <f t="shared" si="20"/>
        <v>1w</v>
      </c>
      <c r="U1035" s="245">
        <f>_xll.qlCalendarAdvance(Calendar,U1034,T1035,"f",FALSE)</f>
        <v>46056</v>
      </c>
      <c r="V1035" s="248">
        <f>_xll.qlCalendarAdvance(Calendar,U1035,NDays&amp;"D")</f>
        <v>46058</v>
      </c>
      <c r="W1035" s="249">
        <v>3.0378053832404644E-2</v>
      </c>
      <c r="X1035" s="246">
        <v>3.02006243765085E-2</v>
      </c>
    </row>
    <row r="1036" spans="20:24" x14ac:dyDescent="0.2">
      <c r="T1036" s="247" t="str">
        <f t="shared" si="20"/>
        <v>1w</v>
      </c>
      <c r="U1036" s="245">
        <f>_xll.qlCalendarAdvance(Calendar,U1035,T1036,"f",FALSE)</f>
        <v>46063</v>
      </c>
      <c r="V1036" s="248">
        <f>_xll.qlCalendarAdvance(Calendar,U1036,NDays&amp;"D")</f>
        <v>46065</v>
      </c>
      <c r="W1036" s="249">
        <v>3.0387898429640927E-2</v>
      </c>
      <c r="X1036" s="246">
        <v>3.0211864008693468E-2</v>
      </c>
    </row>
    <row r="1037" spans="20:24" x14ac:dyDescent="0.2">
      <c r="T1037" s="247" t="str">
        <f t="shared" si="20"/>
        <v>1w</v>
      </c>
      <c r="U1037" s="245">
        <f>_xll.qlCalendarAdvance(Calendar,U1036,T1037,"f",FALSE)</f>
        <v>46070</v>
      </c>
      <c r="V1037" s="248">
        <f>_xll.qlCalendarAdvance(Calendar,U1037,NDays&amp;"D")</f>
        <v>46072</v>
      </c>
      <c r="W1037" s="249">
        <v>3.0397507832364359E-2</v>
      </c>
      <c r="X1037" s="246">
        <v>3.0222870157805559E-2</v>
      </c>
    </row>
    <row r="1038" spans="20:24" x14ac:dyDescent="0.2">
      <c r="T1038" s="247" t="str">
        <f t="shared" si="20"/>
        <v>1w</v>
      </c>
      <c r="U1038" s="245">
        <f>_xll.qlCalendarAdvance(Calendar,U1037,T1038,"f",FALSE)</f>
        <v>46077</v>
      </c>
      <c r="V1038" s="248">
        <f>_xll.qlCalendarAdvance(Calendar,U1038,NDays&amp;"D")</f>
        <v>46079</v>
      </c>
      <c r="W1038" s="249">
        <v>3.0406882038910649E-2</v>
      </c>
      <c r="X1038" s="246">
        <v>3.0233642823844775E-2</v>
      </c>
    </row>
    <row r="1039" spans="20:24" x14ac:dyDescent="0.2">
      <c r="T1039" s="247" t="str">
        <f t="shared" si="20"/>
        <v>1w</v>
      </c>
      <c r="U1039" s="245">
        <f>_xll.qlCalendarAdvance(Calendar,U1038,T1039,"f",FALSE)</f>
        <v>46084</v>
      </c>
      <c r="V1039" s="248">
        <f>_xll.qlCalendarAdvance(Calendar,U1039,NDays&amp;"D")</f>
        <v>46086</v>
      </c>
      <c r="W1039" s="249">
        <v>3.0421686178178621E-2</v>
      </c>
      <c r="X1039" s="246">
        <v>3.0244182006811116E-2</v>
      </c>
    </row>
    <row r="1040" spans="20:24" x14ac:dyDescent="0.2">
      <c r="T1040" s="247" t="str">
        <f t="shared" si="20"/>
        <v>1w</v>
      </c>
      <c r="U1040" s="245">
        <f>_xll.qlCalendarAdvance(Calendar,U1039,T1040,"f",FALSE)</f>
        <v>46091</v>
      </c>
      <c r="V1040" s="248">
        <f>_xll.qlCalendarAdvance(Calendar,U1040,NDays&amp;"D")</f>
        <v>46093</v>
      </c>
      <c r="W1040" s="249">
        <v>3.0430545296486262E-2</v>
      </c>
      <c r="X1040" s="246">
        <v>3.0254487706624644E-2</v>
      </c>
    </row>
    <row r="1041" spans="20:24" x14ac:dyDescent="0.2">
      <c r="T1041" s="247" t="str">
        <f t="shared" si="20"/>
        <v>1w</v>
      </c>
      <c r="U1041" s="245">
        <f>_xll.qlCalendarAdvance(Calendar,U1040,T1041,"f",FALSE)</f>
        <v>46098</v>
      </c>
      <c r="V1041" s="248">
        <f>_xll.qlCalendarAdvance(Calendar,U1041,NDays&amp;"D")</f>
        <v>46100</v>
      </c>
      <c r="W1041" s="249">
        <v>3.0439179648332811E-2</v>
      </c>
      <c r="X1041" s="246">
        <v>3.0264559923285361E-2</v>
      </c>
    </row>
    <row r="1042" spans="20:24" x14ac:dyDescent="0.2">
      <c r="T1042" s="247" t="str">
        <f t="shared" ref="T1042:T1105" si="21">T1041</f>
        <v>1w</v>
      </c>
      <c r="U1042" s="245">
        <f>_xll.qlCalendarAdvance(Calendar,U1041,T1042,"f",FALSE)</f>
        <v>46105</v>
      </c>
      <c r="V1042" s="248">
        <f>_xll.qlCalendarAdvance(Calendar,U1042,NDays&amp;"D")</f>
        <v>46107</v>
      </c>
      <c r="W1042" s="249">
        <v>3.0447596577743648E-2</v>
      </c>
      <c r="X1042" s="246">
        <v>3.0274398656713331E-2</v>
      </c>
    </row>
    <row r="1043" spans="20:24" x14ac:dyDescent="0.2">
      <c r="T1043" s="247" t="str">
        <f t="shared" si="21"/>
        <v>1w</v>
      </c>
      <c r="U1043" s="245">
        <f>_xll.qlCalendarAdvance(Calendar,U1042,T1043,"f",FALSE)</f>
        <v>46112</v>
      </c>
      <c r="V1043" s="248">
        <f>_xll.qlCalendarAdvance(Calendar,U1043,NDays&amp;"D")</f>
        <v>46114</v>
      </c>
      <c r="W1043" s="249">
        <v>3.0453971947191676E-2</v>
      </c>
      <c r="X1043" s="246">
        <v>3.0291797066897885E-2</v>
      </c>
    </row>
    <row r="1044" spans="20:24" x14ac:dyDescent="0.2">
      <c r="T1044" s="247" t="str">
        <f t="shared" si="21"/>
        <v>1w</v>
      </c>
      <c r="U1044" s="245">
        <f>_xll.qlCalendarAdvance(Calendar,U1043,T1044,"f",FALSE)</f>
        <v>46119</v>
      </c>
      <c r="V1044" s="248">
        <f>_xll.qlCalendarAdvance(Calendar,U1044,NDays&amp;"D")</f>
        <v>46121</v>
      </c>
      <c r="W1044" s="249">
        <v>3.0461988024108648E-2</v>
      </c>
      <c r="X1044" s="246">
        <v>3.029337567419077E-2</v>
      </c>
    </row>
    <row r="1045" spans="20:24" x14ac:dyDescent="0.2">
      <c r="T1045" s="247" t="str">
        <f t="shared" si="21"/>
        <v>1w</v>
      </c>
      <c r="U1045" s="245">
        <f>_xll.qlCalendarAdvance(Calendar,U1044,T1045,"f",FALSE)</f>
        <v>46126</v>
      </c>
      <c r="V1045" s="248">
        <f>_xll.qlCalendarAdvance(Calendar,U1045,NDays&amp;"D")</f>
        <v>46128</v>
      </c>
      <c r="W1045" s="249">
        <v>3.0469808104980737E-2</v>
      </c>
      <c r="X1045" s="246">
        <v>3.0302513958080368E-2</v>
      </c>
    </row>
    <row r="1046" spans="20:24" x14ac:dyDescent="0.2">
      <c r="T1046" s="247" t="str">
        <f t="shared" si="21"/>
        <v>1w</v>
      </c>
      <c r="U1046" s="245">
        <f>_xll.qlCalendarAdvance(Calendar,U1045,T1046,"f",FALSE)</f>
        <v>46133</v>
      </c>
      <c r="V1046" s="248">
        <f>_xll.qlCalendarAdvance(Calendar,U1046,NDays&amp;"D")</f>
        <v>46135</v>
      </c>
      <c r="W1046" s="249">
        <v>3.0477439614310268E-2</v>
      </c>
      <c r="X1046" s="246">
        <v>3.0311418758577346E-2</v>
      </c>
    </row>
    <row r="1047" spans="20:24" x14ac:dyDescent="0.2">
      <c r="T1047" s="247" t="str">
        <f t="shared" si="21"/>
        <v>1w</v>
      </c>
      <c r="U1047" s="245">
        <f>_xll.qlCalendarAdvance(Calendar,U1046,T1047,"f",FALSE)</f>
        <v>46140</v>
      </c>
      <c r="V1047" s="248">
        <f>_xll.qlCalendarAdvance(Calendar,U1047,NDays&amp;"D")</f>
        <v>46142</v>
      </c>
      <c r="W1047" s="249">
        <v>3.0486676935987948E-2</v>
      </c>
      <c r="X1047" s="246">
        <v>3.0325745986221619E-2</v>
      </c>
    </row>
    <row r="1048" spans="20:24" x14ac:dyDescent="0.2">
      <c r="T1048" s="247" t="str">
        <f t="shared" si="21"/>
        <v>1w</v>
      </c>
      <c r="U1048" s="245">
        <f>_xll.qlCalendarAdvance(Calendar,U1047,T1048,"f",FALSE)</f>
        <v>46147</v>
      </c>
      <c r="V1048" s="248">
        <f>_xll.qlCalendarAdvance(Calendar,U1048,NDays&amp;"D")</f>
        <v>46149</v>
      </c>
      <c r="W1048" s="249">
        <v>3.0493943560670794E-2</v>
      </c>
      <c r="X1048" s="246">
        <v>3.0328527909952996E-2</v>
      </c>
    </row>
    <row r="1049" spans="20:24" x14ac:dyDescent="0.2">
      <c r="T1049" s="247" t="str">
        <f t="shared" si="21"/>
        <v>1w</v>
      </c>
      <c r="U1049" s="245">
        <f>_xll.qlCalendarAdvance(Calendar,U1048,T1049,"f",FALSE)</f>
        <v>46154</v>
      </c>
      <c r="V1049" s="248">
        <f>_xll.qlCalendarAdvance(Calendar,U1049,NDays&amp;"D")</f>
        <v>46156</v>
      </c>
      <c r="W1049" s="249">
        <v>3.0501044173684013E-2</v>
      </c>
      <c r="X1049" s="246">
        <v>3.0336732260751731E-2</v>
      </c>
    </row>
    <row r="1050" spans="20:24" x14ac:dyDescent="0.2">
      <c r="T1050" s="247" t="str">
        <f t="shared" si="21"/>
        <v>1w</v>
      </c>
      <c r="U1050" s="245">
        <f>_xll.qlCalendarAdvance(Calendar,U1049,T1050,"f",FALSE)</f>
        <v>46161</v>
      </c>
      <c r="V1050" s="248">
        <f>_xll.qlCalendarAdvance(Calendar,U1050,NDays&amp;"D")</f>
        <v>46163</v>
      </c>
      <c r="W1050" s="249">
        <v>3.0507986119748955E-2</v>
      </c>
      <c r="X1050" s="246">
        <v>3.0344703128237782E-2</v>
      </c>
    </row>
    <row r="1051" spans="20:24" x14ac:dyDescent="0.2">
      <c r="T1051" s="247" t="str">
        <f t="shared" si="21"/>
        <v>1w</v>
      </c>
      <c r="U1051" s="245">
        <f>_xll.qlCalendarAdvance(Calendar,U1050,T1051,"f",FALSE)</f>
        <v>46168</v>
      </c>
      <c r="V1051" s="248">
        <f>_xll.qlCalendarAdvance(Calendar,U1051,NDays&amp;"D")</f>
        <v>46170</v>
      </c>
      <c r="W1051" s="249">
        <v>3.0514776743655617E-2</v>
      </c>
      <c r="X1051" s="246">
        <v>3.0352440512331214E-2</v>
      </c>
    </row>
    <row r="1052" spans="20:24" x14ac:dyDescent="0.2">
      <c r="T1052" s="247" t="str">
        <f t="shared" si="21"/>
        <v>1w</v>
      </c>
      <c r="U1052" s="245">
        <f>_xll.qlCalendarAdvance(Calendar,U1051,T1052,"f",FALSE)</f>
        <v>46175</v>
      </c>
      <c r="V1052" s="248">
        <f>_xll.qlCalendarAdvance(Calendar,U1052,NDays&amp;"D")</f>
        <v>46177</v>
      </c>
      <c r="W1052" s="249">
        <v>3.052142336170895E-2</v>
      </c>
      <c r="X1052" s="246">
        <v>3.0359950604559316E-2</v>
      </c>
    </row>
    <row r="1053" spans="20:24" x14ac:dyDescent="0.2">
      <c r="T1053" s="247" t="str">
        <f t="shared" si="21"/>
        <v>1w</v>
      </c>
      <c r="U1053" s="245">
        <f>_xll.qlCalendarAdvance(Calendar,U1052,T1053,"f",FALSE)</f>
        <v>46182</v>
      </c>
      <c r="V1053" s="248">
        <f>_xll.qlCalendarAdvance(Calendar,U1053,NDays&amp;"D")</f>
        <v>46184</v>
      </c>
      <c r="W1053" s="249">
        <v>3.0527930802467376E-2</v>
      </c>
      <c r="X1053" s="246">
        <v>3.0367303139300361E-2</v>
      </c>
    </row>
    <row r="1054" spans="20:24" x14ac:dyDescent="0.2">
      <c r="T1054" s="247" t="str">
        <f t="shared" si="21"/>
        <v>1w</v>
      </c>
      <c r="U1054" s="245">
        <f>_xll.qlCalendarAdvance(Calendar,U1053,T1054,"f",FALSE)</f>
        <v>46189</v>
      </c>
      <c r="V1054" s="248">
        <f>_xll.qlCalendarAdvance(Calendar,U1054,NDays&amp;"D")</f>
        <v>46191</v>
      </c>
      <c r="W1054" s="249">
        <v>3.0534299511407594E-2</v>
      </c>
      <c r="X1054" s="246">
        <v>3.0374517994413708E-2</v>
      </c>
    </row>
    <row r="1055" spans="20:24" x14ac:dyDescent="0.2">
      <c r="T1055" s="247" t="str">
        <f t="shared" si="21"/>
        <v>1w</v>
      </c>
      <c r="U1055" s="245">
        <f>_xll.qlCalendarAdvance(Calendar,U1054,T1055,"f",FALSE)</f>
        <v>46196</v>
      </c>
      <c r="V1055" s="248">
        <f>_xll.qlCalendarAdvance(Calendar,U1055,NDays&amp;"D")</f>
        <v>46198</v>
      </c>
      <c r="W1055" s="249">
        <v>3.0540529487854493E-2</v>
      </c>
      <c r="X1055" s="246">
        <v>3.0381595169579612E-2</v>
      </c>
    </row>
    <row r="1056" spans="20:24" x14ac:dyDescent="0.2">
      <c r="T1056" s="247" t="str">
        <f t="shared" si="21"/>
        <v>1w</v>
      </c>
      <c r="U1056" s="245">
        <f>_xll.qlCalendarAdvance(Calendar,U1055,T1056,"f",FALSE)</f>
        <v>46203</v>
      </c>
      <c r="V1056" s="248">
        <f>_xll.qlCalendarAdvance(Calendar,U1056,NDays&amp;"D")</f>
        <v>46205</v>
      </c>
      <c r="W1056" s="249">
        <v>3.0546620731154682E-2</v>
      </c>
      <c r="X1056" s="246">
        <v>3.0388534665037881E-2</v>
      </c>
    </row>
    <row r="1057" spans="20:24" x14ac:dyDescent="0.2">
      <c r="T1057" s="247" t="str">
        <f t="shared" si="21"/>
        <v>1w</v>
      </c>
      <c r="U1057" s="245">
        <f>_xll.qlCalendarAdvance(Calendar,U1056,T1057,"f",FALSE)</f>
        <v>46210</v>
      </c>
      <c r="V1057" s="248">
        <f>_xll.qlCalendarAdvance(Calendar,U1057,NDays&amp;"D")</f>
        <v>46212</v>
      </c>
      <c r="W1057" s="249">
        <v>3.0552573240661723E-2</v>
      </c>
      <c r="X1057" s="246">
        <v>3.0395336480708579E-2</v>
      </c>
    </row>
    <row r="1058" spans="20:24" x14ac:dyDescent="0.2">
      <c r="T1058" s="247" t="str">
        <f t="shared" si="21"/>
        <v>1w</v>
      </c>
      <c r="U1058" s="245">
        <f>_xll.qlCalendarAdvance(Calendar,U1057,T1058,"f",FALSE)</f>
        <v>46217</v>
      </c>
      <c r="V1058" s="248">
        <f>_xll.qlCalendarAdvance(Calendar,U1058,NDays&amp;"D")</f>
        <v>46219</v>
      </c>
      <c r="W1058" s="249">
        <v>3.0558387015750029E-2</v>
      </c>
      <c r="X1058" s="246">
        <v>3.0402000616591707E-2</v>
      </c>
    </row>
    <row r="1059" spans="20:24" x14ac:dyDescent="0.2">
      <c r="T1059" s="247" t="str">
        <f t="shared" si="21"/>
        <v>1w</v>
      </c>
      <c r="U1059" s="245">
        <f>_xll.qlCalendarAdvance(Calendar,U1058,T1059,"f",FALSE)</f>
        <v>46224</v>
      </c>
      <c r="V1059" s="248">
        <f>_xll.qlCalendarAdvance(Calendar,U1059,NDays&amp;"D")</f>
        <v>46226</v>
      </c>
      <c r="W1059" s="249">
        <v>3.0564062055804437E-2</v>
      </c>
      <c r="X1059" s="246">
        <v>3.0408527072687264E-2</v>
      </c>
    </row>
    <row r="1060" spans="20:24" x14ac:dyDescent="0.2">
      <c r="T1060" s="247" t="str">
        <f t="shared" si="21"/>
        <v>1w</v>
      </c>
      <c r="U1060" s="245">
        <f>_xll.qlCalendarAdvance(Calendar,U1059,T1060,"f",FALSE)</f>
        <v>46231</v>
      </c>
      <c r="V1060" s="248">
        <f>_xll.qlCalendarAdvance(Calendar,U1060,NDays&amp;"D")</f>
        <v>46233</v>
      </c>
      <c r="W1060" s="249">
        <v>3.0569598360226297E-2</v>
      </c>
      <c r="X1060" s="246">
        <v>3.041491584899525E-2</v>
      </c>
    </row>
    <row r="1061" spans="20:24" x14ac:dyDescent="0.2">
      <c r="T1061" s="247" t="str">
        <f t="shared" si="21"/>
        <v>1w</v>
      </c>
      <c r="U1061" s="245">
        <f>_xll.qlCalendarAdvance(Calendar,U1060,T1061,"f",FALSE)</f>
        <v>46238</v>
      </c>
      <c r="V1061" s="248">
        <f>_xll.qlCalendarAdvance(Calendar,U1061,NDays&amp;"D")</f>
        <v>46240</v>
      </c>
      <c r="W1061" s="249">
        <v>3.0574995928431731E-2</v>
      </c>
      <c r="X1061" s="246">
        <v>3.0421166945435729E-2</v>
      </c>
    </row>
    <row r="1062" spans="20:24" x14ac:dyDescent="0.2">
      <c r="T1062" s="247" t="str">
        <f t="shared" si="21"/>
        <v>1w</v>
      </c>
      <c r="U1062" s="245">
        <f>_xll.qlCalendarAdvance(Calendar,U1061,T1062,"f",FALSE)</f>
        <v>46245</v>
      </c>
      <c r="V1062" s="248">
        <f>_xll.qlCalendarAdvance(Calendar,U1062,NDays&amp;"D")</f>
        <v>46247</v>
      </c>
      <c r="W1062" s="249">
        <v>3.0580254759849889E-2</v>
      </c>
      <c r="X1062" s="246">
        <v>3.0427280362008702E-2</v>
      </c>
    </row>
    <row r="1063" spans="20:24" x14ac:dyDescent="0.2">
      <c r="T1063" s="247" t="str">
        <f t="shared" si="21"/>
        <v>1w</v>
      </c>
      <c r="U1063" s="245">
        <f>_xll.qlCalendarAdvance(Calendar,U1062,T1063,"f",FALSE)</f>
        <v>46252</v>
      </c>
      <c r="V1063" s="248">
        <f>_xll.qlCalendarAdvance(Calendar,U1063,NDays&amp;"D")</f>
        <v>46254</v>
      </c>
      <c r="W1063" s="249">
        <v>3.0585374853927299E-2</v>
      </c>
      <c r="X1063" s="246">
        <v>3.043325609887404E-2</v>
      </c>
    </row>
    <row r="1064" spans="20:24" x14ac:dyDescent="0.2">
      <c r="T1064" s="247" t="str">
        <f t="shared" si="21"/>
        <v>1w</v>
      </c>
      <c r="U1064" s="245">
        <f>_xll.qlCalendarAdvance(Calendar,U1063,T1064,"f",FALSE)</f>
        <v>46259</v>
      </c>
      <c r="V1064" s="248">
        <f>_xll.qlCalendarAdvance(Calendar,U1064,NDays&amp;"D")</f>
        <v>46261</v>
      </c>
      <c r="W1064" s="249">
        <v>3.0590356210121791E-2</v>
      </c>
      <c r="X1064" s="246">
        <v>3.0439094155791935E-2</v>
      </c>
    </row>
    <row r="1065" spans="20:24" x14ac:dyDescent="0.2">
      <c r="T1065" s="247" t="str">
        <f t="shared" si="21"/>
        <v>1w</v>
      </c>
      <c r="U1065" s="245">
        <f>_xll.qlCalendarAdvance(Calendar,U1064,T1065,"f",FALSE)</f>
        <v>46266</v>
      </c>
      <c r="V1065" s="248">
        <f>_xll.qlCalendarAdvance(Calendar,U1065,NDays&amp;"D")</f>
        <v>46268</v>
      </c>
      <c r="W1065" s="249">
        <v>3.0593582464976354E-2</v>
      </c>
      <c r="X1065" s="246">
        <v>3.0444794532842323E-2</v>
      </c>
    </row>
    <row r="1066" spans="20:24" x14ac:dyDescent="0.2">
      <c r="T1066" s="247" t="str">
        <f t="shared" si="21"/>
        <v>1w</v>
      </c>
      <c r="U1066" s="245">
        <f>_xll.qlCalendarAdvance(Calendar,U1065,T1066,"f",FALSE)</f>
        <v>46273</v>
      </c>
      <c r="V1066" s="248">
        <f>_xll.qlCalendarAdvance(Calendar,U1066,NDays&amp;"D")</f>
        <v>46275</v>
      </c>
      <c r="W1066" s="249">
        <v>3.0598295854749779E-2</v>
      </c>
      <c r="X1066" s="246">
        <v>3.0450357230105141E-2</v>
      </c>
    </row>
    <row r="1067" spans="20:24" x14ac:dyDescent="0.2">
      <c r="T1067" s="247" t="str">
        <f t="shared" si="21"/>
        <v>1w</v>
      </c>
      <c r="U1067" s="245">
        <f>_xll.qlCalendarAdvance(Calendar,U1066,T1067,"f",FALSE)</f>
        <v>46280</v>
      </c>
      <c r="V1067" s="248">
        <f>_xll.qlCalendarAdvance(Calendar,U1067,NDays&amp;"D")</f>
        <v>46282</v>
      </c>
      <c r="W1067" s="249">
        <v>3.0602870516829257E-2</v>
      </c>
      <c r="X1067" s="246">
        <v>3.0455782247500451E-2</v>
      </c>
    </row>
    <row r="1068" spans="20:24" x14ac:dyDescent="0.2">
      <c r="T1068" s="247" t="str">
        <f t="shared" si="21"/>
        <v>1w</v>
      </c>
      <c r="U1068" s="245">
        <f>_xll.qlCalendarAdvance(Calendar,U1067,T1068,"f",FALSE)</f>
        <v>46287</v>
      </c>
      <c r="V1068" s="248">
        <f>_xll.qlCalendarAdvance(Calendar,U1068,NDays&amp;"D")</f>
        <v>46289</v>
      </c>
      <c r="W1068" s="249">
        <v>3.060730645073605E-2</v>
      </c>
      <c r="X1068" s="246">
        <v>3.0461069584948319E-2</v>
      </c>
    </row>
    <row r="1069" spans="20:24" x14ac:dyDescent="0.2">
      <c r="T1069" s="247" t="str">
        <f t="shared" si="21"/>
        <v>1w</v>
      </c>
      <c r="U1069" s="245">
        <f>_xll.qlCalendarAdvance(Calendar,U1068,T1069,"f",FALSE)</f>
        <v>46294</v>
      </c>
      <c r="V1069" s="248">
        <f>_xll.qlCalendarAdvance(Calendar,U1069,NDays&amp;"D")</f>
        <v>46296</v>
      </c>
      <c r="W1069" s="249">
        <v>3.0617911712384663E-2</v>
      </c>
      <c r="X1069" s="246">
        <v>3.0466219242608616E-2</v>
      </c>
    </row>
    <row r="1070" spans="20:24" x14ac:dyDescent="0.2">
      <c r="T1070" s="247" t="str">
        <f t="shared" si="21"/>
        <v>1w</v>
      </c>
      <c r="U1070" s="245">
        <f>_xll.qlCalendarAdvance(Calendar,U1069,T1070,"f",FALSE)</f>
        <v>46301</v>
      </c>
      <c r="V1070" s="248">
        <f>_xll.qlCalendarAdvance(Calendar,U1070,NDays&amp;"D")</f>
        <v>46303</v>
      </c>
      <c r="W1070" s="249">
        <v>3.061733082335618E-2</v>
      </c>
      <c r="X1070" s="246">
        <v>3.0471231220401407E-2</v>
      </c>
    </row>
    <row r="1071" spans="20:24" x14ac:dyDescent="0.2">
      <c r="T1071" s="247" t="str">
        <f t="shared" si="21"/>
        <v>1w</v>
      </c>
      <c r="U1071" s="245">
        <f>_xll.qlCalendarAdvance(Calendar,U1070,T1071,"f",FALSE)</f>
        <v>46308</v>
      </c>
      <c r="V1071" s="248">
        <f>_xll.qlCalendarAdvance(Calendar,U1071,NDays&amp;"D")</f>
        <v>46310</v>
      </c>
      <c r="W1071" s="249">
        <v>3.0621341000476986E-2</v>
      </c>
      <c r="X1071" s="246">
        <v>3.0476105518246754E-2</v>
      </c>
    </row>
    <row r="1072" spans="20:24" x14ac:dyDescent="0.2">
      <c r="T1072" s="247" t="str">
        <f t="shared" si="21"/>
        <v>1w</v>
      </c>
      <c r="U1072" s="245">
        <f>_xll.qlCalendarAdvance(Calendar,U1071,T1072,"f",FALSE)</f>
        <v>46315</v>
      </c>
      <c r="V1072" s="248">
        <f>_xll.qlCalendarAdvance(Calendar,U1072,NDays&amp;"D")</f>
        <v>46317</v>
      </c>
      <c r="W1072" s="249">
        <v>3.062521243591965E-2</v>
      </c>
      <c r="X1072" s="246">
        <v>3.0480842136304531E-2</v>
      </c>
    </row>
    <row r="1073" spans="20:24" x14ac:dyDescent="0.2">
      <c r="T1073" s="247" t="str">
        <f t="shared" si="21"/>
        <v>1w</v>
      </c>
      <c r="U1073" s="245">
        <f>_xll.qlCalendarAdvance(Calendar,U1072,T1073,"f",FALSE)</f>
        <v>46322</v>
      </c>
      <c r="V1073" s="248">
        <f>_xll.qlCalendarAdvance(Calendar,U1073,NDays&amp;"D")</f>
        <v>46324</v>
      </c>
      <c r="W1073" s="249">
        <v>3.0628945129275796E-2</v>
      </c>
      <c r="X1073" s="246">
        <v>3.0485441074414865E-2</v>
      </c>
    </row>
    <row r="1074" spans="20:24" x14ac:dyDescent="0.2">
      <c r="T1074" s="247" t="str">
        <f t="shared" si="21"/>
        <v>1w</v>
      </c>
      <c r="U1074" s="245">
        <f>_xll.qlCalendarAdvance(Calendar,U1073,T1074,"f",FALSE)</f>
        <v>46329</v>
      </c>
      <c r="V1074" s="248">
        <f>_xll.qlCalendarAdvance(Calendar,U1074,NDays&amp;"D")</f>
        <v>46331</v>
      </c>
      <c r="W1074" s="249">
        <v>3.0632539080150959E-2</v>
      </c>
      <c r="X1074" s="246">
        <v>3.0489902332577756E-2</v>
      </c>
    </row>
    <row r="1075" spans="20:24" x14ac:dyDescent="0.2">
      <c r="T1075" s="247" t="str">
        <f t="shared" si="21"/>
        <v>1w</v>
      </c>
      <c r="U1075" s="245">
        <f>_xll.qlCalendarAdvance(Calendar,U1074,T1075,"f",FALSE)</f>
        <v>46336</v>
      </c>
      <c r="V1075" s="248">
        <f>_xll.qlCalendarAdvance(Calendar,U1075,NDays&amp;"D")</f>
        <v>46338</v>
      </c>
      <c r="W1075" s="249">
        <v>3.0635994288168048E-2</v>
      </c>
      <c r="X1075" s="246">
        <v>3.0494225910873141E-2</v>
      </c>
    </row>
    <row r="1076" spans="20:24" x14ac:dyDescent="0.2">
      <c r="T1076" s="247" t="str">
        <f t="shared" si="21"/>
        <v>1w</v>
      </c>
      <c r="U1076" s="245">
        <f>_xll.qlCalendarAdvance(Calendar,U1075,T1076,"f",FALSE)</f>
        <v>46343</v>
      </c>
      <c r="V1076" s="248">
        <f>_xll.qlCalendarAdvance(Calendar,U1076,NDays&amp;"D")</f>
        <v>46345</v>
      </c>
      <c r="W1076" s="249">
        <v>3.0639310752958667E-2</v>
      </c>
      <c r="X1076" s="246">
        <v>3.0498411809221082E-2</v>
      </c>
    </row>
    <row r="1077" spans="20:24" x14ac:dyDescent="0.2">
      <c r="T1077" s="247" t="str">
        <f t="shared" si="21"/>
        <v>1w</v>
      </c>
      <c r="U1077" s="245">
        <f>_xll.qlCalendarAdvance(Calendar,U1076,T1077,"f",FALSE)</f>
        <v>46350</v>
      </c>
      <c r="V1077" s="248">
        <f>_xll.qlCalendarAdvance(Calendar,U1077,NDays&amp;"D")</f>
        <v>46352</v>
      </c>
      <c r="W1077" s="249">
        <v>3.0642488474176135E-2</v>
      </c>
      <c r="X1077" s="246">
        <v>3.0502460027701517E-2</v>
      </c>
    </row>
    <row r="1078" spans="20:24" x14ac:dyDescent="0.2">
      <c r="T1078" s="247" t="str">
        <f t="shared" si="21"/>
        <v>1w</v>
      </c>
      <c r="U1078" s="245">
        <f>_xll.qlCalendarAdvance(Calendar,U1077,T1078,"f",FALSE)</f>
        <v>46357</v>
      </c>
      <c r="V1078" s="248">
        <f>_xll.qlCalendarAdvance(Calendar,U1078,NDays&amp;"D")</f>
        <v>46359</v>
      </c>
      <c r="W1078" s="249">
        <v>3.0642543002089795E-2</v>
      </c>
      <c r="X1078" s="246">
        <v>3.0506370566154573E-2</v>
      </c>
    </row>
    <row r="1079" spans="20:24" x14ac:dyDescent="0.2">
      <c r="T1079" s="247" t="str">
        <f t="shared" si="21"/>
        <v>1w</v>
      </c>
      <c r="U1079" s="245">
        <f>_xll.qlCalendarAdvance(Calendar,U1078,T1079,"f",FALSE)</f>
        <v>46364</v>
      </c>
      <c r="V1079" s="248">
        <f>_xll.qlCalendarAdvance(Calendar,U1079,NDays&amp;"D")</f>
        <v>46366</v>
      </c>
      <c r="W1079" s="249">
        <v>3.064546256063494E-2</v>
      </c>
      <c r="X1079" s="246">
        <v>3.0510143424820058E-2</v>
      </c>
    </row>
    <row r="1080" spans="20:24" x14ac:dyDescent="0.2">
      <c r="T1080" s="247" t="str">
        <f t="shared" si="21"/>
        <v>1w</v>
      </c>
      <c r="U1080" s="245">
        <f>_xll.qlCalendarAdvance(Calendar,U1079,T1080,"f",FALSE)</f>
        <v>46371</v>
      </c>
      <c r="V1080" s="248">
        <f>_xll.qlCalendarAdvance(Calendar,U1080,NDays&amp;"D")</f>
        <v>46373</v>
      </c>
      <c r="W1080" s="249">
        <v>3.0648243398169406E-2</v>
      </c>
      <c r="X1080" s="246">
        <v>3.05137786035381E-2</v>
      </c>
    </row>
    <row r="1081" spans="20:24" x14ac:dyDescent="0.2">
      <c r="T1081" s="247" t="str">
        <f t="shared" si="21"/>
        <v>1w</v>
      </c>
      <c r="U1081" s="245">
        <f>_xll.qlCalendarAdvance(Calendar,U1080,T1081,"f",FALSE)</f>
        <v>46378</v>
      </c>
      <c r="V1081" s="248">
        <f>_xll.qlCalendarAdvance(Calendar,U1081,NDays&amp;"D")</f>
        <v>46380</v>
      </c>
      <c r="W1081" s="249">
        <v>3.0650885514405424E-2</v>
      </c>
      <c r="X1081" s="246">
        <v>3.0521886736523118E-2</v>
      </c>
    </row>
    <row r="1082" spans="20:24" x14ac:dyDescent="0.2">
      <c r="T1082" s="247" t="str">
        <f t="shared" si="21"/>
        <v>1w</v>
      </c>
      <c r="U1082" s="245">
        <f>_xll.qlCalendarAdvance(Calendar,U1081,T1082,"f",FALSE)</f>
        <v>46385</v>
      </c>
      <c r="V1082" s="248">
        <f>_xll.qlCalendarAdvance(Calendar,U1082,NDays&amp;"D")</f>
        <v>46387</v>
      </c>
      <c r="W1082" s="249">
        <v>3.0653388909071211E-2</v>
      </c>
      <c r="X1082" s="246">
        <v>3.052521789954854E-2</v>
      </c>
    </row>
    <row r="1083" spans="20:24" x14ac:dyDescent="0.2">
      <c r="T1083" s="247" t="str">
        <f t="shared" si="21"/>
        <v>1w</v>
      </c>
      <c r="U1083" s="245">
        <f>_xll.qlCalendarAdvance(Calendar,U1082,T1083,"f",FALSE)</f>
        <v>46392</v>
      </c>
      <c r="V1083" s="248">
        <f>_xll.qlCalendarAdvance(Calendar,U1083,NDays&amp;"D")</f>
        <v>46394</v>
      </c>
      <c r="W1083" s="249">
        <v>3.0655753581909195E-2</v>
      </c>
      <c r="X1083" s="246">
        <v>3.0523858059927633E-2</v>
      </c>
    </row>
    <row r="1084" spans="20:24" x14ac:dyDescent="0.2">
      <c r="T1084" s="247" t="str">
        <f t="shared" si="21"/>
        <v>1w</v>
      </c>
      <c r="U1084" s="245">
        <f>_xll.qlCalendarAdvance(Calendar,U1083,T1084,"f",FALSE)</f>
        <v>46399</v>
      </c>
      <c r="V1084" s="248">
        <f>_xll.qlCalendarAdvance(Calendar,U1084,NDays&amp;"D")</f>
        <v>46401</v>
      </c>
      <c r="W1084" s="249">
        <v>3.0657979532672464E-2</v>
      </c>
      <c r="X1084" s="246">
        <v>3.0526942518855904E-2</v>
      </c>
    </row>
    <row r="1085" spans="20:24" x14ac:dyDescent="0.2">
      <c r="T1085" s="247" t="str">
        <f t="shared" si="21"/>
        <v>1w</v>
      </c>
      <c r="U1085" s="245">
        <f>_xll.qlCalendarAdvance(Calendar,U1084,T1085,"f",FALSE)</f>
        <v>46406</v>
      </c>
      <c r="V1085" s="248">
        <f>_xll.qlCalendarAdvance(Calendar,U1085,NDays&amp;"D")</f>
        <v>46408</v>
      </c>
      <c r="W1085" s="249">
        <v>3.0660066761132754E-2</v>
      </c>
      <c r="X1085" s="246">
        <v>3.0529889297836732E-2</v>
      </c>
    </row>
    <row r="1086" spans="20:24" x14ac:dyDescent="0.2">
      <c r="T1086" s="247" t="str">
        <f t="shared" si="21"/>
        <v>1w</v>
      </c>
      <c r="U1086" s="245">
        <f>_xll.qlCalendarAdvance(Calendar,U1085,T1086,"f",FALSE)</f>
        <v>46413</v>
      </c>
      <c r="V1086" s="248">
        <f>_xll.qlCalendarAdvance(Calendar,U1086,NDays&amp;"D")</f>
        <v>46415</v>
      </c>
      <c r="W1086" s="249">
        <v>3.0662015267075127E-2</v>
      </c>
      <c r="X1086" s="246">
        <v>3.0532698396790181E-2</v>
      </c>
    </row>
    <row r="1087" spans="20:24" x14ac:dyDescent="0.2">
      <c r="T1087" s="247" t="str">
        <f t="shared" si="21"/>
        <v>1w</v>
      </c>
      <c r="U1087" s="245">
        <f>_xll.qlCalendarAdvance(Calendar,U1086,T1087,"f",FALSE)</f>
        <v>46420</v>
      </c>
      <c r="V1087" s="248">
        <f>_xll.qlCalendarAdvance(Calendar,U1087,NDays&amp;"D")</f>
        <v>46422</v>
      </c>
      <c r="W1087" s="249">
        <v>3.0662418935022206E-2</v>
      </c>
      <c r="X1087" s="246">
        <v>3.0535369815876123E-2</v>
      </c>
    </row>
    <row r="1088" spans="20:24" x14ac:dyDescent="0.2">
      <c r="T1088" s="247" t="str">
        <f t="shared" si="21"/>
        <v>1w</v>
      </c>
      <c r="U1088" s="245">
        <f>_xll.qlCalendarAdvance(Calendar,U1087,T1088,"f",FALSE)</f>
        <v>46427</v>
      </c>
      <c r="V1088" s="248">
        <f>_xll.qlCalendarAdvance(Calendar,U1088,NDays&amp;"D")</f>
        <v>46429</v>
      </c>
      <c r="W1088" s="249">
        <v>3.0664099761499756E-2</v>
      </c>
      <c r="X1088" s="246">
        <v>3.0537903555014623E-2</v>
      </c>
    </row>
    <row r="1089" spans="20:24" x14ac:dyDescent="0.2">
      <c r="T1089" s="247" t="str">
        <f t="shared" si="21"/>
        <v>1w</v>
      </c>
      <c r="U1089" s="245">
        <f>_xll.qlCalendarAdvance(Calendar,U1088,T1089,"f",FALSE)</f>
        <v>46434</v>
      </c>
      <c r="V1089" s="248">
        <f>_xll.qlCalendarAdvance(Calendar,U1089,NDays&amp;"D")</f>
        <v>46436</v>
      </c>
      <c r="W1089" s="249">
        <v>3.0665641876673293E-2</v>
      </c>
      <c r="X1089" s="246">
        <v>3.0540299614205679E-2</v>
      </c>
    </row>
    <row r="1090" spans="20:24" x14ac:dyDescent="0.2">
      <c r="T1090" s="247" t="str">
        <f t="shared" si="21"/>
        <v>1w</v>
      </c>
      <c r="U1090" s="245">
        <f>_xll.qlCalendarAdvance(Calendar,U1089,T1090,"f",FALSE)</f>
        <v>46441</v>
      </c>
      <c r="V1090" s="248">
        <f>_xll.qlCalendarAdvance(Calendar,U1090,NDays&amp;"D")</f>
        <v>46443</v>
      </c>
      <c r="W1090" s="249">
        <v>3.0667045280384737E-2</v>
      </c>
      <c r="X1090" s="246">
        <v>3.0542557993369357E-2</v>
      </c>
    </row>
    <row r="1091" spans="20:24" x14ac:dyDescent="0.2">
      <c r="T1091" s="247" t="str">
        <f t="shared" si="21"/>
        <v>1w</v>
      </c>
      <c r="U1091" s="245">
        <f>_xll.qlCalendarAdvance(Calendar,U1090,T1091,"f",FALSE)</f>
        <v>46448</v>
      </c>
      <c r="V1091" s="248">
        <f>_xll.qlCalendarAdvance(Calendar,U1091,NDays&amp;"D")</f>
        <v>46450</v>
      </c>
      <c r="W1091" s="249">
        <v>3.0672408334717436E-2</v>
      </c>
      <c r="X1091" s="246">
        <v>3.0544678692585592E-2</v>
      </c>
    </row>
    <row r="1092" spans="20:24" x14ac:dyDescent="0.2">
      <c r="T1092" s="247" t="str">
        <f t="shared" si="21"/>
        <v>1w</v>
      </c>
      <c r="U1092" s="245">
        <f>_xll.qlCalendarAdvance(Calendar,U1091,T1092,"f",FALSE)</f>
        <v>46455</v>
      </c>
      <c r="V1092" s="248">
        <f>_xll.qlCalendarAdvance(Calendar,U1092,NDays&amp;"D")</f>
        <v>46457</v>
      </c>
      <c r="W1092" s="249">
        <v>3.0673504870269361E-2</v>
      </c>
      <c r="X1092" s="246">
        <v>3.0546661711774448E-2</v>
      </c>
    </row>
    <row r="1093" spans="20:24" x14ac:dyDescent="0.2">
      <c r="T1093" s="247" t="str">
        <f t="shared" si="21"/>
        <v>1w</v>
      </c>
      <c r="U1093" s="245">
        <f>_xll.qlCalendarAdvance(Calendar,U1092,T1093,"f",FALSE)</f>
        <v>46462</v>
      </c>
      <c r="V1093" s="248">
        <f>_xll.qlCalendarAdvance(Calendar,U1093,NDays&amp;"D")</f>
        <v>46464</v>
      </c>
      <c r="W1093" s="249">
        <v>3.0674462658638844E-2</v>
      </c>
      <c r="X1093" s="246">
        <v>3.0548507051095797E-2</v>
      </c>
    </row>
    <row r="1094" spans="20:24" x14ac:dyDescent="0.2">
      <c r="T1094" s="247" t="str">
        <f t="shared" si="21"/>
        <v>1w</v>
      </c>
      <c r="U1094" s="245">
        <f>_xll.qlCalendarAdvance(Calendar,U1093,T1094,"f",FALSE)</f>
        <v>46469</v>
      </c>
      <c r="V1094" s="248">
        <f>_xll.qlCalendarAdvance(Calendar,U1094,NDays&amp;"D")</f>
        <v>46471</v>
      </c>
      <c r="W1094" s="249">
        <v>3.0675281699722497E-2</v>
      </c>
      <c r="X1094" s="246">
        <v>3.0555860197971185E-2</v>
      </c>
    </row>
    <row r="1095" spans="20:24" x14ac:dyDescent="0.2">
      <c r="T1095" s="247" t="str">
        <f t="shared" si="21"/>
        <v>1w</v>
      </c>
      <c r="U1095" s="245">
        <f>_xll.qlCalendarAdvance(Calendar,U1094,T1095,"f",FALSE)</f>
        <v>46476</v>
      </c>
      <c r="V1095" s="248">
        <f>_xll.qlCalendarAdvance(Calendar,U1095,NDays&amp;"D")</f>
        <v>46478</v>
      </c>
      <c r="W1095" s="249">
        <v>3.0674636069137104E-2</v>
      </c>
      <c r="X1095" s="246">
        <v>3.0551784689736294E-2</v>
      </c>
    </row>
    <row r="1096" spans="20:24" x14ac:dyDescent="0.2">
      <c r="T1096" s="247" t="str">
        <f t="shared" si="21"/>
        <v>1w</v>
      </c>
      <c r="U1096" s="245">
        <f>_xll.qlCalendarAdvance(Calendar,U1095,T1096,"f",FALSE)</f>
        <v>46483</v>
      </c>
      <c r="V1096" s="248">
        <f>_xll.qlCalendarAdvance(Calendar,U1096,NDays&amp;"D")</f>
        <v>46485</v>
      </c>
      <c r="W1096" s="249">
        <v>3.0675187479138718E-2</v>
      </c>
      <c r="X1096" s="246">
        <v>3.0553216989055443E-2</v>
      </c>
    </row>
    <row r="1097" spans="20:24" x14ac:dyDescent="0.2">
      <c r="T1097" s="247" t="str">
        <f t="shared" si="21"/>
        <v>1w</v>
      </c>
      <c r="U1097" s="245">
        <f>_xll.qlCalendarAdvance(Calendar,U1096,T1097,"f",FALSE)</f>
        <v>46490</v>
      </c>
      <c r="V1097" s="248">
        <f>_xll.qlCalendarAdvance(Calendar,U1097,NDays&amp;"D")</f>
        <v>46492</v>
      </c>
      <c r="W1097" s="249">
        <v>3.0675600153417644E-2</v>
      </c>
      <c r="X1097" s="246">
        <v>3.0554511608347212E-2</v>
      </c>
    </row>
    <row r="1098" spans="20:24" x14ac:dyDescent="0.2">
      <c r="T1098" s="247" t="str">
        <f t="shared" si="21"/>
        <v>1w</v>
      </c>
      <c r="U1098" s="245">
        <f>_xll.qlCalendarAdvance(Calendar,U1097,T1098,"f",FALSE)</f>
        <v>46497</v>
      </c>
      <c r="V1098" s="248">
        <f>_xll.qlCalendarAdvance(Calendar,U1098,NDays&amp;"D")</f>
        <v>46499</v>
      </c>
      <c r="W1098" s="249">
        <v>3.067587409193347E-2</v>
      </c>
      <c r="X1098" s="246">
        <v>3.0555668547771475E-2</v>
      </c>
    </row>
    <row r="1099" spans="20:24" x14ac:dyDescent="0.2">
      <c r="T1099" s="247" t="str">
        <f t="shared" si="21"/>
        <v>1w</v>
      </c>
      <c r="U1099" s="245">
        <f>_xll.qlCalendarAdvance(Calendar,U1098,T1099,"f",FALSE)</f>
        <v>46504</v>
      </c>
      <c r="V1099" s="248">
        <f>_xll.qlCalendarAdvance(Calendar,U1099,NDays&amp;"D")</f>
        <v>46506</v>
      </c>
      <c r="W1099" s="249">
        <v>3.0676009294656335E-2</v>
      </c>
      <c r="X1099" s="246">
        <v>3.0556687807248295E-2</v>
      </c>
    </row>
    <row r="1100" spans="20:24" x14ac:dyDescent="0.2">
      <c r="T1100" s="247" t="str">
        <f t="shared" si="21"/>
        <v>1w</v>
      </c>
      <c r="U1100" s="245">
        <f>_xll.qlCalendarAdvance(Calendar,U1099,T1100,"f",FALSE)</f>
        <v>46511</v>
      </c>
      <c r="V1100" s="248">
        <f>_xll.qlCalendarAdvance(Calendar,U1100,NDays&amp;"D")</f>
        <v>46513</v>
      </c>
      <c r="W1100" s="249">
        <v>3.0677282249432735E-2</v>
      </c>
      <c r="X1100" s="246">
        <v>3.05575693866178E-2</v>
      </c>
    </row>
    <row r="1101" spans="20:24" x14ac:dyDescent="0.2">
      <c r="T1101" s="247" t="str">
        <f t="shared" si="21"/>
        <v>1w</v>
      </c>
      <c r="U1101" s="245">
        <f>_xll.qlCalendarAdvance(Calendar,U1100,T1101,"f",FALSE)</f>
        <v>46518</v>
      </c>
      <c r="V1101" s="248">
        <f>_xll.qlCalendarAdvance(Calendar,U1101,NDays&amp;"D")</f>
        <v>46520</v>
      </c>
      <c r="W1101" s="249">
        <v>3.0677130057922906E-2</v>
      </c>
      <c r="X1101" s="246">
        <v>3.0558313286119798E-2</v>
      </c>
    </row>
    <row r="1102" spans="20:24" x14ac:dyDescent="0.2">
      <c r="T1102" s="247" t="str">
        <f t="shared" si="21"/>
        <v>1w</v>
      </c>
      <c r="U1102" s="245">
        <f>_xll.qlCalendarAdvance(Calendar,U1101,T1102,"f",FALSE)</f>
        <v>46525</v>
      </c>
      <c r="V1102" s="248">
        <f>_xll.qlCalendarAdvance(Calendar,U1102,NDays&amp;"D")</f>
        <v>46527</v>
      </c>
      <c r="W1102" s="249">
        <v>3.0676839118847464E-2</v>
      </c>
      <c r="X1102" s="246">
        <v>3.0558919505514481E-2</v>
      </c>
    </row>
    <row r="1103" spans="20:24" x14ac:dyDescent="0.2">
      <c r="T1103" s="247" t="str">
        <f t="shared" si="21"/>
        <v>1w</v>
      </c>
      <c r="U1103" s="245">
        <f>_xll.qlCalendarAdvance(Calendar,U1102,T1103,"f",FALSE)</f>
        <v>46532</v>
      </c>
      <c r="V1103" s="248">
        <f>_xll.qlCalendarAdvance(Calendar,U1103,NDays&amp;"D")</f>
        <v>46534</v>
      </c>
      <c r="W1103" s="249">
        <v>3.0676409432236824E-2</v>
      </c>
      <c r="X1103" s="246">
        <v>3.0559388044961722E-2</v>
      </c>
    </row>
    <row r="1104" spans="20:24" x14ac:dyDescent="0.2">
      <c r="T1104" s="247" t="str">
        <f t="shared" si="21"/>
        <v>1w</v>
      </c>
      <c r="U1104" s="245">
        <f>_xll.qlCalendarAdvance(Calendar,U1103,T1104,"f",FALSE)</f>
        <v>46539</v>
      </c>
      <c r="V1104" s="248">
        <f>_xll.qlCalendarAdvance(Calendar,U1104,NDays&amp;"D")</f>
        <v>46541</v>
      </c>
      <c r="W1104" s="249">
        <v>3.0675840998135296E-2</v>
      </c>
      <c r="X1104" s="246">
        <v>3.0559718904461519E-2</v>
      </c>
    </row>
    <row r="1105" spans="20:24" x14ac:dyDescent="0.2">
      <c r="T1105" s="247" t="str">
        <f t="shared" si="21"/>
        <v>1w</v>
      </c>
      <c r="U1105" s="245">
        <f>_xll.qlCalendarAdvance(Calendar,U1104,T1105,"f",FALSE)</f>
        <v>46546</v>
      </c>
      <c r="V1105" s="248">
        <f>_xll.qlCalendarAdvance(Calendar,U1105,NDays&amp;"D")</f>
        <v>46548</v>
      </c>
      <c r="W1105" s="249">
        <v>3.067513381660544E-2</v>
      </c>
      <c r="X1105" s="246">
        <v>3.0559912083933938E-2</v>
      </c>
    </row>
    <row r="1106" spans="20:24" x14ac:dyDescent="0.2">
      <c r="T1106" s="247" t="str">
        <f t="shared" ref="T1106:T1169" si="22">T1105</f>
        <v>1w</v>
      </c>
      <c r="U1106" s="245">
        <f>_xll.qlCalendarAdvance(Calendar,U1105,T1106,"f",FALSE)</f>
        <v>46553</v>
      </c>
      <c r="V1106" s="248">
        <f>_xll.qlCalendarAdvance(Calendar,U1106,NDays&amp;"D")</f>
        <v>46555</v>
      </c>
      <c r="W1106" s="249">
        <v>3.0674287887718501E-2</v>
      </c>
      <c r="X1106" s="246">
        <v>3.055996758353885E-2</v>
      </c>
    </row>
    <row r="1107" spans="20:24" x14ac:dyDescent="0.2">
      <c r="T1107" s="247" t="str">
        <f t="shared" si="22"/>
        <v>1w</v>
      </c>
      <c r="U1107" s="245">
        <f>_xll.qlCalendarAdvance(Calendar,U1106,T1107,"f",FALSE)</f>
        <v>46560</v>
      </c>
      <c r="V1107" s="248">
        <f>_xll.qlCalendarAdvance(Calendar,U1107,NDays&amp;"D")</f>
        <v>46562</v>
      </c>
      <c r="W1107" s="249">
        <v>3.0673303211565712E-2</v>
      </c>
      <c r="X1107" s="246">
        <v>3.0559885403036446E-2</v>
      </c>
    </row>
    <row r="1108" spans="20:24" x14ac:dyDescent="0.2">
      <c r="T1108" s="247" t="str">
        <f t="shared" si="22"/>
        <v>1w</v>
      </c>
      <c r="U1108" s="245">
        <f>_xll.qlCalendarAdvance(Calendar,U1107,T1108,"f",FALSE)</f>
        <v>46567</v>
      </c>
      <c r="V1108" s="248">
        <f>_xll.qlCalendarAdvance(Calendar,U1108,NDays&amp;"D")</f>
        <v>46569</v>
      </c>
      <c r="W1108" s="249">
        <v>3.0672179788250466E-2</v>
      </c>
      <c r="X1108" s="246">
        <v>3.0559665542506664E-2</v>
      </c>
    </row>
    <row r="1109" spans="20:24" x14ac:dyDescent="0.2">
      <c r="T1109" s="247" t="str">
        <f t="shared" si="22"/>
        <v>1w</v>
      </c>
      <c r="U1109" s="245">
        <f>_xll.qlCalendarAdvance(Calendar,U1108,T1109,"f",FALSE)</f>
        <v>46574</v>
      </c>
      <c r="V1109" s="248">
        <f>_xll.qlCalendarAdvance(Calendar,U1109,NDays&amp;"D")</f>
        <v>46576</v>
      </c>
      <c r="W1109" s="249">
        <v>3.0670917617891803E-2</v>
      </c>
      <c r="X1109" s="246">
        <v>3.0559308002109375E-2</v>
      </c>
    </row>
    <row r="1110" spans="20:24" x14ac:dyDescent="0.2">
      <c r="T1110" s="247" t="str">
        <f t="shared" si="22"/>
        <v>1w</v>
      </c>
      <c r="U1110" s="245">
        <f>_xll.qlCalendarAdvance(Calendar,U1109,T1110,"f",FALSE)</f>
        <v>46581</v>
      </c>
      <c r="V1110" s="248">
        <f>_xll.qlCalendarAdvance(Calendar,U1110,NDays&amp;"D")</f>
        <v>46583</v>
      </c>
      <c r="W1110" s="249">
        <v>3.0669516700622658E-2</v>
      </c>
      <c r="X1110" s="246">
        <v>3.0558812781684708E-2</v>
      </c>
    </row>
    <row r="1111" spans="20:24" x14ac:dyDescent="0.2">
      <c r="T1111" s="247" t="str">
        <f t="shared" si="22"/>
        <v>1w</v>
      </c>
      <c r="U1111" s="245">
        <f>_xll.qlCalendarAdvance(Calendar,U1110,T1111,"f",FALSE)</f>
        <v>46588</v>
      </c>
      <c r="V1111" s="248">
        <f>_xll.qlCalendarAdvance(Calendar,U1111,NDays&amp;"D")</f>
        <v>46590</v>
      </c>
      <c r="W1111" s="249">
        <v>3.0667977036589866E-2</v>
      </c>
      <c r="X1111" s="246">
        <v>3.0558179881232661E-2</v>
      </c>
    </row>
    <row r="1112" spans="20:24" x14ac:dyDescent="0.2">
      <c r="T1112" s="247" t="str">
        <f t="shared" si="22"/>
        <v>1w</v>
      </c>
      <c r="U1112" s="245">
        <f>_xll.qlCalendarAdvance(Calendar,U1111,T1112,"f",FALSE)</f>
        <v>46595</v>
      </c>
      <c r="V1112" s="248">
        <f>_xll.qlCalendarAdvance(Calendar,U1112,NDays&amp;"D")</f>
        <v>46597</v>
      </c>
      <c r="W1112" s="249">
        <v>3.0666298625957652E-2</v>
      </c>
      <c r="X1112" s="246">
        <v>3.0557409300833172E-2</v>
      </c>
    </row>
    <row r="1113" spans="20:24" x14ac:dyDescent="0.2">
      <c r="T1113" s="247" t="str">
        <f t="shared" si="22"/>
        <v>1w</v>
      </c>
      <c r="U1113" s="245">
        <f>_xll.qlCalendarAdvance(Calendar,U1112,T1113,"f",FALSE)</f>
        <v>46602</v>
      </c>
      <c r="V1113" s="248">
        <f>_xll.qlCalendarAdvance(Calendar,U1113,NDays&amp;"D")</f>
        <v>46604</v>
      </c>
      <c r="W1113" s="249">
        <v>3.0664481468903257E-2</v>
      </c>
      <c r="X1113" s="246">
        <v>3.0556501040406303E-2</v>
      </c>
    </row>
    <row r="1114" spans="20:24" x14ac:dyDescent="0.2">
      <c r="T1114" s="247" t="str">
        <f t="shared" si="22"/>
        <v>1w</v>
      </c>
      <c r="U1114" s="245">
        <f>_xll.qlCalendarAdvance(Calendar,U1113,T1114,"f",FALSE)</f>
        <v>46609</v>
      </c>
      <c r="V1114" s="248">
        <f>_xll.qlCalendarAdvance(Calendar,U1114,NDays&amp;"D")</f>
        <v>46611</v>
      </c>
      <c r="W1114" s="249">
        <v>3.0662525565616966E-2</v>
      </c>
      <c r="X1114" s="246">
        <v>3.0555455100031992E-2</v>
      </c>
    </row>
    <row r="1115" spans="20:24" x14ac:dyDescent="0.2">
      <c r="T1115" s="247" t="str">
        <f t="shared" si="22"/>
        <v>1w</v>
      </c>
      <c r="U1115" s="245">
        <f>_xll.qlCalendarAdvance(Calendar,U1114,T1115,"f",FALSE)</f>
        <v>46616</v>
      </c>
      <c r="V1115" s="248">
        <f>_xll.qlCalendarAdvance(Calendar,U1115,NDays&amp;"D")</f>
        <v>46618</v>
      </c>
      <c r="W1115" s="249">
        <v>3.0660430916306443E-2</v>
      </c>
      <c r="X1115" s="246">
        <v>3.0554271479710238E-2</v>
      </c>
    </row>
    <row r="1116" spans="20:24" x14ac:dyDescent="0.2">
      <c r="T1116" s="247" t="str">
        <f t="shared" si="22"/>
        <v>1w</v>
      </c>
      <c r="U1116" s="245">
        <f>_xll.qlCalendarAdvance(Calendar,U1115,T1116,"f",FALSE)</f>
        <v>46623</v>
      </c>
      <c r="V1116" s="248">
        <f>_xll.qlCalendarAdvance(Calendar,U1116,NDays&amp;"D")</f>
        <v>46625</v>
      </c>
      <c r="W1116" s="249">
        <v>3.0658197521191508E-2</v>
      </c>
      <c r="X1116" s="246">
        <v>3.0552950179361105E-2</v>
      </c>
    </row>
    <row r="1117" spans="20:24" x14ac:dyDescent="0.2">
      <c r="T1117" s="247" t="str">
        <f t="shared" si="22"/>
        <v>1w</v>
      </c>
      <c r="U1117" s="245">
        <f>_xll.qlCalendarAdvance(Calendar,U1116,T1117,"f",FALSE)</f>
        <v>46630</v>
      </c>
      <c r="V1117" s="248">
        <f>_xll.qlCalendarAdvance(Calendar,U1117,NDays&amp;"D")</f>
        <v>46632</v>
      </c>
      <c r="W1117" s="249">
        <v>3.065471917710785E-2</v>
      </c>
      <c r="X1117" s="246">
        <v>3.0551491199064529E-2</v>
      </c>
    </row>
    <row r="1118" spans="20:24" x14ac:dyDescent="0.2">
      <c r="T1118" s="247" t="str">
        <f t="shared" si="22"/>
        <v>1w</v>
      </c>
      <c r="U1118" s="245">
        <f>_xll.qlCalendarAdvance(Calendar,U1117,T1118,"f",FALSE)</f>
        <v>46637</v>
      </c>
      <c r="V1118" s="248">
        <f>_xll.qlCalendarAdvance(Calendar,U1118,NDays&amp;"D")</f>
        <v>46639</v>
      </c>
      <c r="W1118" s="249">
        <v>3.0652218413589827E-2</v>
      </c>
      <c r="X1118" s="246">
        <v>3.054989453882051E-2</v>
      </c>
    </row>
    <row r="1119" spans="20:24" x14ac:dyDescent="0.2">
      <c r="T1119" s="247" t="str">
        <f t="shared" si="22"/>
        <v>1w</v>
      </c>
      <c r="U1119" s="245">
        <f>_xll.qlCalendarAdvance(Calendar,U1118,T1119,"f",FALSE)</f>
        <v>46644</v>
      </c>
      <c r="V1119" s="248">
        <f>_xll.qlCalendarAdvance(Calendar,U1119,NDays&amp;"D")</f>
        <v>46646</v>
      </c>
      <c r="W1119" s="249">
        <v>3.0649578916748074E-2</v>
      </c>
      <c r="X1119" s="246">
        <v>3.0548160198549112E-2</v>
      </c>
    </row>
    <row r="1120" spans="20:24" x14ac:dyDescent="0.2">
      <c r="T1120" s="247" t="str">
        <f t="shared" si="22"/>
        <v>1w</v>
      </c>
      <c r="U1120" s="245">
        <f>_xll.qlCalendarAdvance(Calendar,U1119,T1120,"f",FALSE)</f>
        <v>46651</v>
      </c>
      <c r="V1120" s="248">
        <f>_xll.qlCalendarAdvance(Calendar,U1120,NDays&amp;"D")</f>
        <v>46653</v>
      </c>
      <c r="W1120" s="249">
        <v>3.0646800686859293E-2</v>
      </c>
      <c r="X1120" s="246">
        <v>3.0546288178330272E-2</v>
      </c>
    </row>
    <row r="1121" spans="20:24" x14ac:dyDescent="0.2">
      <c r="T1121" s="247" t="str">
        <f t="shared" si="22"/>
        <v>1w</v>
      </c>
      <c r="U1121" s="245">
        <f>_xll.qlCalendarAdvance(Calendar,U1120,T1121,"f",FALSE)</f>
        <v>46658</v>
      </c>
      <c r="V1121" s="248">
        <f>_xll.qlCalendarAdvance(Calendar,U1121,NDays&amp;"D")</f>
        <v>46660</v>
      </c>
      <c r="W1121" s="249">
        <v>3.0644949367326261E-2</v>
      </c>
      <c r="X1121" s="246">
        <v>3.0544278478084053E-2</v>
      </c>
    </row>
    <row r="1122" spans="20:24" x14ac:dyDescent="0.2">
      <c r="T1122" s="247" t="str">
        <f t="shared" si="22"/>
        <v>1w</v>
      </c>
      <c r="U1122" s="245">
        <f>_xll.qlCalendarAdvance(Calendar,U1121,T1122,"f",FALSE)</f>
        <v>46665</v>
      </c>
      <c r="V1122" s="248">
        <f>_xll.qlCalendarAdvance(Calendar,U1122,NDays&amp;"D")</f>
        <v>46667</v>
      </c>
      <c r="W1122" s="249">
        <v>3.0641883502851793E-2</v>
      </c>
      <c r="X1122" s="246">
        <v>3.054213109789039E-2</v>
      </c>
    </row>
    <row r="1123" spans="20:24" x14ac:dyDescent="0.2">
      <c r="T1123" s="247" t="str">
        <f t="shared" si="22"/>
        <v>1w</v>
      </c>
      <c r="U1123" s="245">
        <f>_xll.qlCalendarAdvance(Calendar,U1122,T1123,"f",FALSE)</f>
        <v>46672</v>
      </c>
      <c r="V1123" s="248">
        <f>_xll.qlCalendarAdvance(Calendar,U1123,NDays&amp;"D")</f>
        <v>46674</v>
      </c>
      <c r="W1123" s="249">
        <v>3.0638678894532218E-2</v>
      </c>
      <c r="X1123" s="246">
        <v>3.0539846037749285E-2</v>
      </c>
    </row>
    <row r="1124" spans="20:24" x14ac:dyDescent="0.2">
      <c r="T1124" s="247" t="str">
        <f t="shared" si="22"/>
        <v>1w</v>
      </c>
      <c r="U1124" s="245">
        <f>_xll.qlCalendarAdvance(Calendar,U1123,T1124,"f",FALSE)</f>
        <v>46679</v>
      </c>
      <c r="V1124" s="248">
        <f>_xll.qlCalendarAdvance(Calendar,U1124,NDays&amp;"D")</f>
        <v>46681</v>
      </c>
      <c r="W1124" s="249">
        <v>3.0635335542703784E-2</v>
      </c>
      <c r="X1124" s="246">
        <v>3.0537423297660737E-2</v>
      </c>
    </row>
    <row r="1125" spans="20:24" x14ac:dyDescent="0.2">
      <c r="T1125" s="247" t="str">
        <f t="shared" si="22"/>
        <v>1w</v>
      </c>
      <c r="U1125" s="245">
        <f>_xll.qlCalendarAdvance(Calendar,U1124,T1125,"f",FALSE)</f>
        <v>46686</v>
      </c>
      <c r="V1125" s="248">
        <f>_xll.qlCalendarAdvance(Calendar,U1125,NDays&amp;"D")</f>
        <v>46688</v>
      </c>
      <c r="W1125" s="249">
        <v>3.0631853447720996E-2</v>
      </c>
      <c r="X1125" s="246">
        <v>3.0534862877624747E-2</v>
      </c>
    </row>
    <row r="1126" spans="20:24" x14ac:dyDescent="0.2">
      <c r="T1126" s="247" t="str">
        <f t="shared" si="22"/>
        <v>1w</v>
      </c>
      <c r="U1126" s="245">
        <f>_xll.qlCalendarAdvance(Calendar,U1125,T1126,"f",FALSE)</f>
        <v>46693</v>
      </c>
      <c r="V1126" s="248">
        <f>_xll.qlCalendarAdvance(Calendar,U1126,NDays&amp;"D")</f>
        <v>46695</v>
      </c>
      <c r="W1126" s="249">
        <v>3.0628232609950515E-2</v>
      </c>
      <c r="X1126" s="246">
        <v>3.0532164777561377E-2</v>
      </c>
    </row>
    <row r="1127" spans="20:24" x14ac:dyDescent="0.2">
      <c r="T1127" s="247" t="str">
        <f t="shared" si="22"/>
        <v>1w</v>
      </c>
      <c r="U1127" s="245">
        <f>_xll.qlCalendarAdvance(Calendar,U1126,T1127,"f",FALSE)</f>
        <v>46700</v>
      </c>
      <c r="V1127" s="248">
        <f>_xll.qlCalendarAdvance(Calendar,U1127,NDays&amp;"D")</f>
        <v>46702</v>
      </c>
      <c r="W1127" s="249">
        <v>3.0624473029775511E-2</v>
      </c>
      <c r="X1127" s="246">
        <v>3.05293289976305E-2</v>
      </c>
    </row>
    <row r="1128" spans="20:24" x14ac:dyDescent="0.2">
      <c r="T1128" s="247" t="str">
        <f t="shared" si="22"/>
        <v>1w</v>
      </c>
      <c r="U1128" s="245">
        <f>_xll.qlCalendarAdvance(Calendar,U1127,T1128,"f",FALSE)</f>
        <v>46707</v>
      </c>
      <c r="V1128" s="248">
        <f>_xll.qlCalendarAdvance(Calendar,U1128,NDays&amp;"D")</f>
        <v>46709</v>
      </c>
      <c r="W1128" s="249">
        <v>3.062057470759132E-2</v>
      </c>
      <c r="X1128" s="246">
        <v>3.0526355537672245E-2</v>
      </c>
    </row>
    <row r="1129" spans="20:24" x14ac:dyDescent="0.2">
      <c r="T1129" s="247" t="str">
        <f t="shared" si="22"/>
        <v>1w</v>
      </c>
      <c r="U1129" s="245">
        <f>_xll.qlCalendarAdvance(Calendar,U1128,T1129,"f",FALSE)</f>
        <v>46714</v>
      </c>
      <c r="V1129" s="248">
        <f>_xll.qlCalendarAdvance(Calendar,U1129,NDays&amp;"D")</f>
        <v>46716</v>
      </c>
      <c r="W1129" s="249">
        <v>3.0616537643809789E-2</v>
      </c>
      <c r="X1129" s="246">
        <v>3.0523244397846483E-2</v>
      </c>
    </row>
    <row r="1130" spans="20:24" x14ac:dyDescent="0.2">
      <c r="T1130" s="247" t="str">
        <f t="shared" si="22"/>
        <v>1w</v>
      </c>
      <c r="U1130" s="245">
        <f>_xll.qlCalendarAdvance(Calendar,U1129,T1130,"f",FALSE)</f>
        <v>46721</v>
      </c>
      <c r="V1130" s="248">
        <f>_xll.qlCalendarAdvance(Calendar,U1130,NDays&amp;"D")</f>
        <v>46723</v>
      </c>
      <c r="W1130" s="249">
        <v>3.061138814130137E-2</v>
      </c>
      <c r="X1130" s="246">
        <v>3.0519995577913406E-2</v>
      </c>
    </row>
    <row r="1131" spans="20:24" x14ac:dyDescent="0.2">
      <c r="T1131" s="247" t="str">
        <f t="shared" si="22"/>
        <v>1w</v>
      </c>
      <c r="U1131" s="245">
        <f>_xll.qlCalendarAdvance(Calendar,U1130,T1131,"f",FALSE)</f>
        <v>46728</v>
      </c>
      <c r="V1131" s="248">
        <f>_xll.qlCalendarAdvance(Calendar,U1131,NDays&amp;"D")</f>
        <v>46730</v>
      </c>
      <c r="W1131" s="249">
        <v>3.0607083870214123E-2</v>
      </c>
      <c r="X1131" s="246">
        <v>3.0516609078192758E-2</v>
      </c>
    </row>
    <row r="1132" spans="20:24" x14ac:dyDescent="0.2">
      <c r="T1132" s="247" t="str">
        <f t="shared" si="22"/>
        <v>1w</v>
      </c>
      <c r="U1132" s="245">
        <f>_xll.qlCalendarAdvance(Calendar,U1131,T1132,"f",FALSE)</f>
        <v>46735</v>
      </c>
      <c r="V1132" s="248">
        <f>_xll.qlCalendarAdvance(Calendar,U1132,NDays&amp;"D")</f>
        <v>46737</v>
      </c>
      <c r="W1132" s="249">
        <v>3.0602640870513228E-2</v>
      </c>
      <c r="X1132" s="246">
        <v>3.0513084898444731E-2</v>
      </c>
    </row>
    <row r="1133" spans="20:24" x14ac:dyDescent="0.2">
      <c r="T1133" s="247" t="str">
        <f t="shared" si="22"/>
        <v>1w</v>
      </c>
      <c r="U1133" s="245">
        <f>_xll.qlCalendarAdvance(Calendar,U1132,T1133,"f",FALSE)</f>
        <v>46742</v>
      </c>
      <c r="V1133" s="248">
        <f>_xll.qlCalendarAdvance(Calendar,U1133,NDays&amp;"D")</f>
        <v>46744</v>
      </c>
      <c r="W1133" s="249">
        <v>3.0598059142666001E-2</v>
      </c>
      <c r="X1133" s="246">
        <v>3.0509423038829198E-2</v>
      </c>
    </row>
    <row r="1134" spans="20:24" x14ac:dyDescent="0.2">
      <c r="T1134" s="247" t="str">
        <f t="shared" si="22"/>
        <v>1w</v>
      </c>
      <c r="U1134" s="245">
        <f>_xll.qlCalendarAdvance(Calendar,U1133,T1134,"f",FALSE)</f>
        <v>46749</v>
      </c>
      <c r="V1134" s="248">
        <f>_xll.qlCalendarAdvance(Calendar,U1134,NDays&amp;"D")</f>
        <v>46751</v>
      </c>
      <c r="W1134" s="249">
        <v>3.0593338687148541E-2</v>
      </c>
      <c r="X1134" s="246">
        <v>3.0505623499346157E-2</v>
      </c>
    </row>
    <row r="1135" spans="20:24" x14ac:dyDescent="0.2">
      <c r="T1135" s="247" t="str">
        <f t="shared" si="22"/>
        <v>1w</v>
      </c>
      <c r="U1135" s="245">
        <f>_xll.qlCalendarAdvance(Calendar,U1134,T1135,"f",FALSE)</f>
        <v>46756</v>
      </c>
      <c r="V1135" s="248">
        <f>_xll.qlCalendarAdvance(Calendar,U1135,NDays&amp;"D")</f>
        <v>46758</v>
      </c>
      <c r="W1135" s="249">
        <v>3.0588479504455399E-2</v>
      </c>
      <c r="X1135" s="246">
        <v>3.0501686279835738E-2</v>
      </c>
    </row>
    <row r="1136" spans="20:24" x14ac:dyDescent="0.2">
      <c r="T1136" s="247" t="str">
        <f t="shared" si="22"/>
        <v>1w</v>
      </c>
      <c r="U1136" s="245">
        <f>_xll.qlCalendarAdvance(Calendar,U1135,T1136,"f",FALSE)</f>
        <v>46763</v>
      </c>
      <c r="V1136" s="248">
        <f>_xll.qlCalendarAdvance(Calendar,U1136,NDays&amp;"D")</f>
        <v>46765</v>
      </c>
      <c r="W1136" s="249">
        <v>3.0583481595092547E-2</v>
      </c>
      <c r="X1136" s="246">
        <v>3.0497611380457812E-2</v>
      </c>
    </row>
    <row r="1137" spans="20:24" x14ac:dyDescent="0.2">
      <c r="T1137" s="247" t="str">
        <f t="shared" si="22"/>
        <v>1w</v>
      </c>
      <c r="U1137" s="245">
        <f>_xll.qlCalendarAdvance(Calendar,U1136,T1137,"f",FALSE)</f>
        <v>46770</v>
      </c>
      <c r="V1137" s="248">
        <f>_xll.qlCalendarAdvance(Calendar,U1137,NDays&amp;"D")</f>
        <v>46772</v>
      </c>
      <c r="W1137" s="249">
        <v>3.0578344959581762E-2</v>
      </c>
      <c r="X1137" s="246">
        <v>3.0493398801132443E-2</v>
      </c>
    </row>
    <row r="1138" spans="20:24" x14ac:dyDescent="0.2">
      <c r="T1138" s="247" t="str">
        <f t="shared" si="22"/>
        <v>1w</v>
      </c>
      <c r="U1138" s="245">
        <f>_xll.qlCalendarAdvance(Calendar,U1137,T1138,"f",FALSE)</f>
        <v>46777</v>
      </c>
      <c r="V1138" s="248">
        <f>_xll.qlCalendarAdvance(Calendar,U1138,NDays&amp;"D")</f>
        <v>46779</v>
      </c>
      <c r="W1138" s="249">
        <v>3.0573069598458881E-2</v>
      </c>
      <c r="X1138" s="246">
        <v>3.0489048541859631E-2</v>
      </c>
    </row>
    <row r="1139" spans="20:24" x14ac:dyDescent="0.2">
      <c r="T1139" s="247" t="str">
        <f t="shared" si="22"/>
        <v>1w</v>
      </c>
      <c r="U1139" s="245">
        <f>_xll.qlCalendarAdvance(Calendar,U1138,T1139,"f",FALSE)</f>
        <v>46784</v>
      </c>
      <c r="V1139" s="248">
        <f>_xll.qlCalendarAdvance(Calendar,U1139,NDays&amp;"D")</f>
        <v>46786</v>
      </c>
      <c r="W1139" s="249">
        <v>3.0566773764838295E-2</v>
      </c>
      <c r="X1139" s="246">
        <v>3.0484560602719313E-2</v>
      </c>
    </row>
    <row r="1140" spans="20:24" x14ac:dyDescent="0.2">
      <c r="T1140" s="247" t="str">
        <f t="shared" si="22"/>
        <v>1w</v>
      </c>
      <c r="U1140" s="245">
        <f>_xll.qlCalendarAdvance(Calendar,U1139,T1140,"f",FALSE)</f>
        <v>46791</v>
      </c>
      <c r="V1140" s="248">
        <f>_xll.qlCalendarAdvance(Calendar,U1140,NDays&amp;"D")</f>
        <v>46793</v>
      </c>
      <c r="W1140" s="249">
        <v>3.0561231331788008E-2</v>
      </c>
      <c r="X1140" s="246">
        <v>3.0479934983711487E-2</v>
      </c>
    </row>
    <row r="1141" spans="20:24" x14ac:dyDescent="0.2">
      <c r="T1141" s="247" t="str">
        <f t="shared" si="22"/>
        <v>1w</v>
      </c>
      <c r="U1141" s="245">
        <f>_xll.qlCalendarAdvance(Calendar,U1140,T1141,"f",FALSE)</f>
        <v>46798</v>
      </c>
      <c r="V1141" s="248">
        <f>_xll.qlCalendarAdvance(Calendar,U1141,NDays&amp;"D")</f>
        <v>46800</v>
      </c>
      <c r="W1141" s="249">
        <v>3.0555550186424085E-2</v>
      </c>
      <c r="X1141" s="246">
        <v>3.0475171684756219E-2</v>
      </c>
    </row>
    <row r="1142" spans="20:24" x14ac:dyDescent="0.2">
      <c r="T1142" s="247" t="str">
        <f t="shared" si="22"/>
        <v>1w</v>
      </c>
      <c r="U1142" s="245">
        <f>_xll.qlCalendarAdvance(Calendar,U1141,T1142,"f",FALSE)</f>
        <v>46805</v>
      </c>
      <c r="V1142" s="248">
        <f>_xll.qlCalendarAdvance(Calendar,U1142,NDays&amp;"D")</f>
        <v>46807</v>
      </c>
      <c r="W1142" s="249">
        <v>3.0549730329332725E-2</v>
      </c>
      <c r="X1142" s="246">
        <v>3.0470270705933444E-2</v>
      </c>
    </row>
    <row r="1143" spans="20:24" x14ac:dyDescent="0.2">
      <c r="T1143" s="247" t="str">
        <f t="shared" si="22"/>
        <v>1w</v>
      </c>
      <c r="U1143" s="245">
        <f>_xll.qlCalendarAdvance(Calendar,U1142,T1143,"f",FALSE)</f>
        <v>46812</v>
      </c>
      <c r="V1143" s="248">
        <f>_xll.qlCalendarAdvance(Calendar,U1143,NDays&amp;"D")</f>
        <v>46814</v>
      </c>
      <c r="W1143" s="249">
        <v>3.0545451148444001E-2</v>
      </c>
      <c r="X1143" s="246">
        <v>3.0465232047243163E-2</v>
      </c>
    </row>
    <row r="1144" spans="20:24" x14ac:dyDescent="0.2">
      <c r="T1144" s="247" t="str">
        <f t="shared" si="22"/>
        <v>1w</v>
      </c>
      <c r="U1144" s="245">
        <f>_xll.qlCalendarAdvance(Calendar,U1143,T1144,"f",FALSE)</f>
        <v>46819</v>
      </c>
      <c r="V1144" s="248">
        <f>_xll.qlCalendarAdvance(Calendar,U1144,NDays&amp;"D")</f>
        <v>46821</v>
      </c>
      <c r="W1144" s="249">
        <v>3.0539333020038365E-2</v>
      </c>
      <c r="X1144" s="246">
        <v>3.0460055708605438E-2</v>
      </c>
    </row>
    <row r="1145" spans="20:24" x14ac:dyDescent="0.2">
      <c r="T1145" s="247" t="str">
        <f t="shared" si="22"/>
        <v>1w</v>
      </c>
      <c r="U1145" s="245">
        <f>_xll.qlCalendarAdvance(Calendar,U1144,T1145,"f",FALSE)</f>
        <v>46826</v>
      </c>
      <c r="V1145" s="248">
        <f>_xll.qlCalendarAdvance(Calendar,U1145,NDays&amp;"D")</f>
        <v>46828</v>
      </c>
      <c r="W1145" s="249">
        <v>3.0533076158609399E-2</v>
      </c>
      <c r="X1145" s="246">
        <v>3.0454741690260079E-2</v>
      </c>
    </row>
    <row r="1146" spans="20:24" x14ac:dyDescent="0.2">
      <c r="T1146" s="247" t="str">
        <f t="shared" si="22"/>
        <v>1w</v>
      </c>
      <c r="U1146" s="245">
        <f>_xll.qlCalendarAdvance(Calendar,U1145,T1146,"f",FALSE)</f>
        <v>46833</v>
      </c>
      <c r="V1146" s="248">
        <f>_xll.qlCalendarAdvance(Calendar,U1146,NDays&amp;"D")</f>
        <v>46835</v>
      </c>
      <c r="W1146" s="249">
        <v>3.0526680564818314E-2</v>
      </c>
      <c r="X1146" s="246">
        <v>3.0449289991887341E-2</v>
      </c>
    </row>
    <row r="1147" spans="20:24" x14ac:dyDescent="0.2">
      <c r="T1147" s="247" t="str">
        <f t="shared" si="22"/>
        <v>1w</v>
      </c>
      <c r="U1147" s="245">
        <f>_xll.qlCalendarAdvance(Calendar,U1146,T1147,"f",FALSE)</f>
        <v>46840</v>
      </c>
      <c r="V1147" s="248">
        <f>_xll.qlCalendarAdvance(Calendar,U1147,NDays&amp;"D")</f>
        <v>46842</v>
      </c>
      <c r="W1147" s="249">
        <v>3.052014623934109E-2</v>
      </c>
      <c r="X1147" s="246">
        <v>3.0443700613727032E-2</v>
      </c>
    </row>
    <row r="1148" spans="20:24" x14ac:dyDescent="0.2">
      <c r="T1148" s="247" t="str">
        <f t="shared" si="22"/>
        <v>1w</v>
      </c>
      <c r="U1148" s="245">
        <f>_xll.qlCalendarAdvance(Calendar,U1147,T1148,"f",FALSE)</f>
        <v>46847</v>
      </c>
      <c r="V1148" s="248">
        <f>_xll.qlCalendarAdvance(Calendar,U1148,NDays&amp;"D")</f>
        <v>46849</v>
      </c>
      <c r="W1148" s="249">
        <v>3.051268620694382E-2</v>
      </c>
      <c r="X1148" s="246">
        <v>3.0437973555699216E-2</v>
      </c>
    </row>
    <row r="1149" spans="20:24" x14ac:dyDescent="0.2">
      <c r="T1149" s="247" t="str">
        <f t="shared" si="22"/>
        <v>1w</v>
      </c>
      <c r="U1149" s="245">
        <f>_xll.qlCalendarAdvance(Calendar,U1148,T1149,"f",FALSE)</f>
        <v>46854</v>
      </c>
      <c r="V1149" s="248">
        <f>_xll.qlCalendarAdvance(Calendar,U1149,NDays&amp;"D")</f>
        <v>46856</v>
      </c>
      <c r="W1149" s="249">
        <v>3.0505884903630751E-2</v>
      </c>
      <c r="X1149" s="246">
        <v>3.0435550012844814E-2</v>
      </c>
    </row>
    <row r="1150" spans="20:24" x14ac:dyDescent="0.2">
      <c r="T1150" s="247" t="str">
        <f t="shared" si="22"/>
        <v>1w</v>
      </c>
      <c r="U1150" s="245">
        <f>_xll.qlCalendarAdvance(Calendar,U1149,T1150,"f",FALSE)</f>
        <v>46861</v>
      </c>
      <c r="V1150" s="248">
        <f>_xll.qlCalendarAdvance(Calendar,U1150,NDays&amp;"D")</f>
        <v>46863</v>
      </c>
      <c r="W1150" s="249">
        <v>3.0498944882271402E-2</v>
      </c>
      <c r="X1150" s="246">
        <v>3.0426106400041064E-2</v>
      </c>
    </row>
    <row r="1151" spans="20:24" x14ac:dyDescent="0.2">
      <c r="T1151" s="247" t="str">
        <f t="shared" si="22"/>
        <v>1w</v>
      </c>
      <c r="U1151" s="245">
        <f>_xll.qlCalendarAdvance(Calendar,U1150,T1151,"f",FALSE)</f>
        <v>46868</v>
      </c>
      <c r="V1151" s="248">
        <f>_xll.qlCalendarAdvance(Calendar,U1151,NDays&amp;"D")</f>
        <v>46870</v>
      </c>
      <c r="W1151" s="249">
        <v>3.0491866143589588E-2</v>
      </c>
      <c r="X1151" s="246">
        <v>3.0419966302490664E-2</v>
      </c>
    </row>
    <row r="1152" spans="20:24" x14ac:dyDescent="0.2">
      <c r="T1152" s="247" t="str">
        <f t="shared" si="22"/>
        <v>1w</v>
      </c>
      <c r="U1152" s="245">
        <f>_xll.qlCalendarAdvance(Calendar,U1151,T1152,"f",FALSE)</f>
        <v>46875</v>
      </c>
      <c r="V1152" s="248">
        <f>_xll.qlCalendarAdvance(Calendar,U1152,NDays&amp;"D")</f>
        <v>46877</v>
      </c>
      <c r="W1152" s="249">
        <v>3.0485393661296219E-2</v>
      </c>
      <c r="X1152" s="246">
        <v>3.0413688525152693E-2</v>
      </c>
    </row>
    <row r="1153" spans="20:24" x14ac:dyDescent="0.2">
      <c r="T1153" s="247" t="str">
        <f t="shared" si="22"/>
        <v>1w</v>
      </c>
      <c r="U1153" s="245">
        <f>_xll.qlCalendarAdvance(Calendar,U1152,T1153,"f",FALSE)</f>
        <v>46882</v>
      </c>
      <c r="V1153" s="248">
        <f>_xll.qlCalendarAdvance(Calendar,U1153,NDays&amp;"D")</f>
        <v>46884</v>
      </c>
      <c r="W1153" s="249">
        <v>3.0478026960691039E-2</v>
      </c>
      <c r="X1153" s="246">
        <v>3.0407273067947216E-2</v>
      </c>
    </row>
    <row r="1154" spans="20:24" x14ac:dyDescent="0.2">
      <c r="T1154" s="247" t="str">
        <f t="shared" si="22"/>
        <v>1w</v>
      </c>
      <c r="U1154" s="245">
        <f>_xll.qlCalendarAdvance(Calendar,U1153,T1154,"f",FALSE)</f>
        <v>46889</v>
      </c>
      <c r="V1154" s="248">
        <f>_xll.qlCalendarAdvance(Calendar,U1154,NDays&amp;"D")</f>
        <v>46891</v>
      </c>
      <c r="W1154" s="249">
        <v>3.0470521533533006E-2</v>
      </c>
      <c r="X1154" s="246">
        <v>3.0400719930954168E-2</v>
      </c>
    </row>
    <row r="1155" spans="20:24" x14ac:dyDescent="0.2">
      <c r="T1155" s="247" t="str">
        <f t="shared" si="22"/>
        <v>1w</v>
      </c>
      <c r="U1155" s="245">
        <f>_xll.qlCalendarAdvance(Calendar,U1154,T1155,"f",FALSE)</f>
        <v>46896</v>
      </c>
      <c r="V1155" s="248">
        <f>_xll.qlCalendarAdvance(Calendar,U1155,NDays&amp;"D")</f>
        <v>46898</v>
      </c>
      <c r="W1155" s="249">
        <v>3.0462877380616267E-2</v>
      </c>
      <c r="X1155" s="246">
        <v>3.0394029114093613E-2</v>
      </c>
    </row>
    <row r="1156" spans="20:24" x14ac:dyDescent="0.2">
      <c r="T1156" s="247" t="str">
        <f t="shared" si="22"/>
        <v>1w</v>
      </c>
      <c r="U1156" s="245">
        <f>_xll.qlCalendarAdvance(Calendar,U1155,T1156,"f",FALSE)</f>
        <v>46903</v>
      </c>
      <c r="V1156" s="248">
        <f>_xll.qlCalendarAdvance(Calendar,U1156,NDays&amp;"D")</f>
        <v>46905</v>
      </c>
      <c r="W1156" s="249">
        <v>3.0455094502746263E-2</v>
      </c>
      <c r="X1156" s="246">
        <v>3.0387200617525423E-2</v>
      </c>
    </row>
    <row r="1157" spans="20:24" x14ac:dyDescent="0.2">
      <c r="T1157" s="247" t="str">
        <f t="shared" si="22"/>
        <v>1w</v>
      </c>
      <c r="U1157" s="245">
        <f>_xll.qlCalendarAdvance(Calendar,U1156,T1157,"f",FALSE)</f>
        <v>46910</v>
      </c>
      <c r="V1157" s="248">
        <f>_xll.qlCalendarAdvance(Calendar,U1157,NDays&amp;"D")</f>
        <v>46912</v>
      </c>
      <c r="W1157" s="249">
        <v>3.0447172900743211E-2</v>
      </c>
      <c r="X1157" s="246">
        <v>3.0380234441089726E-2</v>
      </c>
    </row>
    <row r="1158" spans="20:24" x14ac:dyDescent="0.2">
      <c r="T1158" s="247" t="str">
        <f t="shared" si="22"/>
        <v>1w</v>
      </c>
      <c r="U1158" s="245">
        <f>_xll.qlCalendarAdvance(Calendar,U1157,T1158,"f",FALSE)</f>
        <v>46917</v>
      </c>
      <c r="V1158" s="248">
        <f>_xll.qlCalendarAdvance(Calendar,U1158,NDays&amp;"D")</f>
        <v>46919</v>
      </c>
      <c r="W1158" s="249">
        <v>3.0439112575445567E-2</v>
      </c>
      <c r="X1158" s="246">
        <v>3.0373130584866459E-2</v>
      </c>
    </row>
    <row r="1159" spans="20:24" x14ac:dyDescent="0.2">
      <c r="T1159" s="247" t="str">
        <f t="shared" si="22"/>
        <v>1w</v>
      </c>
      <c r="U1159" s="245">
        <f>_xll.qlCalendarAdvance(Calendar,U1158,T1159,"f",FALSE)</f>
        <v>46924</v>
      </c>
      <c r="V1159" s="248">
        <f>_xll.qlCalendarAdvance(Calendar,U1159,NDays&amp;"D")</f>
        <v>46926</v>
      </c>
      <c r="W1159" s="249">
        <v>3.0430913527703086E-2</v>
      </c>
      <c r="X1159" s="246">
        <v>3.0365889048935557E-2</v>
      </c>
    </row>
    <row r="1160" spans="20:24" x14ac:dyDescent="0.2">
      <c r="T1160" s="247" t="str">
        <f t="shared" si="22"/>
        <v>1w</v>
      </c>
      <c r="U1160" s="245">
        <f>_xll.qlCalendarAdvance(Calendar,U1159,T1160,"f",FALSE)</f>
        <v>46931</v>
      </c>
      <c r="V1160" s="248">
        <f>_xll.qlCalendarAdvance(Calendar,U1160,NDays&amp;"D")</f>
        <v>46933</v>
      </c>
      <c r="W1160" s="249">
        <v>3.0422575758380296E-2</v>
      </c>
      <c r="X1160" s="246">
        <v>3.0358509833217084E-2</v>
      </c>
    </row>
    <row r="1161" spans="20:24" x14ac:dyDescent="0.2">
      <c r="T1161" s="247" t="str">
        <f t="shared" si="22"/>
        <v>1w</v>
      </c>
      <c r="U1161" s="245">
        <f>_xll.qlCalendarAdvance(Calendar,U1160,T1161,"f",FALSE)</f>
        <v>46938</v>
      </c>
      <c r="V1161" s="248">
        <f>_xll.qlCalendarAdvance(Calendar,U1161,NDays&amp;"D")</f>
        <v>46940</v>
      </c>
      <c r="W1161" s="249">
        <v>3.0414099268358231E-2</v>
      </c>
      <c r="X1161" s="246">
        <v>3.0350992937711041E-2</v>
      </c>
    </row>
    <row r="1162" spans="20:24" x14ac:dyDescent="0.2">
      <c r="T1162" s="247" t="str">
        <f t="shared" si="22"/>
        <v>1w</v>
      </c>
      <c r="U1162" s="245">
        <f>_xll.qlCalendarAdvance(Calendar,U1161,T1162,"f",FALSE)</f>
        <v>46945</v>
      </c>
      <c r="V1162" s="248">
        <f>_xll.qlCalendarAdvance(Calendar,U1162,NDays&amp;"D")</f>
        <v>46947</v>
      </c>
      <c r="W1162" s="249">
        <v>3.0405484058531825E-2</v>
      </c>
      <c r="X1162" s="246">
        <v>3.0343338362577299E-2</v>
      </c>
    </row>
    <row r="1163" spans="20:24" x14ac:dyDescent="0.2">
      <c r="T1163" s="247" t="str">
        <f t="shared" si="22"/>
        <v>1w</v>
      </c>
      <c r="U1163" s="245">
        <f>_xll.qlCalendarAdvance(Calendar,U1162,T1163,"f",FALSE)</f>
        <v>46952</v>
      </c>
      <c r="V1163" s="248">
        <f>_xll.qlCalendarAdvance(Calendar,U1163,NDays&amp;"D")</f>
        <v>46954</v>
      </c>
      <c r="W1163" s="249">
        <v>3.0396730129808182E-2</v>
      </c>
      <c r="X1163" s="246">
        <v>3.033554610757605E-2</v>
      </c>
    </row>
    <row r="1164" spans="20:24" x14ac:dyDescent="0.2">
      <c r="T1164" s="247" t="str">
        <f t="shared" si="22"/>
        <v>1w</v>
      </c>
      <c r="U1164" s="245">
        <f>_xll.qlCalendarAdvance(Calendar,U1163,T1164,"f",FALSE)</f>
        <v>46959</v>
      </c>
      <c r="V1164" s="248">
        <f>_xll.qlCalendarAdvance(Calendar,U1164,NDays&amp;"D")</f>
        <v>46961</v>
      </c>
      <c r="W1164" s="249">
        <v>3.0387837483113519E-2</v>
      </c>
      <c r="X1164" s="246">
        <v>3.0327616172867167E-2</v>
      </c>
    </row>
    <row r="1165" spans="20:24" x14ac:dyDescent="0.2">
      <c r="T1165" s="247" t="str">
        <f t="shared" si="22"/>
        <v>1w</v>
      </c>
      <c r="U1165" s="245">
        <f>_xll.qlCalendarAdvance(Calendar,U1164,T1165,"f",FALSE)</f>
        <v>46966</v>
      </c>
      <c r="V1165" s="248">
        <f>_xll.qlCalendarAdvance(Calendar,U1165,NDays&amp;"D")</f>
        <v>46968</v>
      </c>
      <c r="W1165" s="249">
        <v>3.0378806119386207E-2</v>
      </c>
      <c r="X1165" s="246">
        <v>3.0319548558530585E-2</v>
      </c>
    </row>
    <row r="1166" spans="20:24" x14ac:dyDescent="0.2">
      <c r="T1166" s="247" t="str">
        <f t="shared" si="22"/>
        <v>1w</v>
      </c>
      <c r="U1166" s="245">
        <f>_xll.qlCalendarAdvance(Calendar,U1165,T1166,"f",FALSE)</f>
        <v>46973</v>
      </c>
      <c r="V1166" s="248">
        <f>_xll.qlCalendarAdvance(Calendar,U1166,NDays&amp;"D")</f>
        <v>46975</v>
      </c>
      <c r="W1166" s="249">
        <v>3.0369636039577669E-2</v>
      </c>
      <c r="X1166" s="246">
        <v>3.0311343264406432E-2</v>
      </c>
    </row>
    <row r="1167" spans="20:24" x14ac:dyDescent="0.2">
      <c r="T1167" s="247" t="str">
        <f t="shared" si="22"/>
        <v>1w</v>
      </c>
      <c r="U1167" s="245">
        <f>_xll.qlCalendarAdvance(Calendar,U1166,T1167,"f",FALSE)</f>
        <v>46980</v>
      </c>
      <c r="V1167" s="248">
        <f>_xll.qlCalendarAdvance(Calendar,U1167,NDays&amp;"D")</f>
        <v>46982</v>
      </c>
      <c r="W1167" s="249">
        <v>3.0360327244655819E-2</v>
      </c>
      <c r="X1167" s="246">
        <v>3.0303000290574644E-2</v>
      </c>
    </row>
    <row r="1168" spans="20:24" x14ac:dyDescent="0.2">
      <c r="T1168" s="247" t="str">
        <f t="shared" si="22"/>
        <v>1w</v>
      </c>
      <c r="U1168" s="245">
        <f>_xll.qlCalendarAdvance(Calendar,U1167,T1168,"f",FALSE)</f>
        <v>46987</v>
      </c>
      <c r="V1168" s="248">
        <f>_xll.qlCalendarAdvance(Calendar,U1168,NDays&amp;"D")</f>
        <v>46989</v>
      </c>
      <c r="W1168" s="249">
        <v>3.0350879735605962E-2</v>
      </c>
      <c r="X1168" s="246">
        <v>3.0294519637115158E-2</v>
      </c>
    </row>
    <row r="1169" spans="20:24" x14ac:dyDescent="0.2">
      <c r="T1169" s="247" t="str">
        <f t="shared" si="22"/>
        <v>1w</v>
      </c>
      <c r="U1169" s="245">
        <f>_xll.qlCalendarAdvance(Calendar,U1168,T1169,"f",FALSE)</f>
        <v>46994</v>
      </c>
      <c r="V1169" s="248">
        <f>_xll.qlCalendarAdvance(Calendar,U1169,NDays&amp;"D")</f>
        <v>46996</v>
      </c>
      <c r="W1169" s="249">
        <v>3.0340729097808217E-2</v>
      </c>
      <c r="X1169" s="246">
        <v>3.0285901303868101E-2</v>
      </c>
    </row>
    <row r="1170" spans="20:24" x14ac:dyDescent="0.2">
      <c r="T1170" s="247" t="str">
        <f t="shared" ref="T1170:T1233" si="23">T1169</f>
        <v>1w</v>
      </c>
      <c r="U1170" s="245">
        <f>_xll.qlCalendarAdvance(Calendar,U1169,T1170,"f",FALSE)</f>
        <v>47001</v>
      </c>
      <c r="V1170" s="248">
        <f>_xll.qlCalendarAdvance(Calendar,U1170,NDays&amp;"D")</f>
        <v>47003</v>
      </c>
      <c r="W1170" s="249">
        <v>3.0331014886917584E-2</v>
      </c>
      <c r="X1170" s="246">
        <v>3.0277145290993346E-2</v>
      </c>
    </row>
    <row r="1171" spans="20:24" x14ac:dyDescent="0.2">
      <c r="T1171" s="247" t="str">
        <f t="shared" si="23"/>
        <v>1w</v>
      </c>
      <c r="U1171" s="245">
        <f>_xll.qlCalendarAdvance(Calendar,U1170,T1171,"f",FALSE)</f>
        <v>47008</v>
      </c>
      <c r="V1171" s="248">
        <f>_xll.qlCalendarAdvance(Calendar,U1171,NDays&amp;"D")</f>
        <v>47010</v>
      </c>
      <c r="W1171" s="249">
        <v>3.0321161976235956E-2</v>
      </c>
      <c r="X1171" s="246">
        <v>3.0268251598490892E-2</v>
      </c>
    </row>
    <row r="1172" spans="20:24" x14ac:dyDescent="0.2">
      <c r="T1172" s="247" t="str">
        <f t="shared" si="23"/>
        <v>1w</v>
      </c>
      <c r="U1172" s="245">
        <f>_xll.qlCalendarAdvance(Calendar,U1171,T1172,"f",FALSE)</f>
        <v>47015</v>
      </c>
      <c r="V1172" s="248">
        <f>_xll.qlCalendarAdvance(Calendar,U1172,NDays&amp;"D")</f>
        <v>47017</v>
      </c>
      <c r="W1172" s="249">
        <v>3.0311170366791089E-2</v>
      </c>
      <c r="X1172" s="246">
        <v>3.0259220226360739E-2</v>
      </c>
    </row>
    <row r="1173" spans="20:24" x14ac:dyDescent="0.2">
      <c r="T1173" s="247" t="str">
        <f t="shared" si="23"/>
        <v>1w</v>
      </c>
      <c r="U1173" s="245">
        <f>_xll.qlCalendarAdvance(Calendar,U1172,T1173,"f",FALSE)</f>
        <v>47022</v>
      </c>
      <c r="V1173" s="248">
        <f>_xll.qlCalendarAdvance(Calendar,U1173,NDays&amp;"D")</f>
        <v>47024</v>
      </c>
      <c r="W1173" s="249">
        <v>3.0301040059626534E-2</v>
      </c>
      <c r="X1173" s="246">
        <v>3.0250051174522952E-2</v>
      </c>
    </row>
    <row r="1174" spans="20:24" x14ac:dyDescent="0.2">
      <c r="T1174" s="247" t="str">
        <f t="shared" si="23"/>
        <v>1w</v>
      </c>
      <c r="U1174" s="245">
        <f>_xll.qlCalendarAdvance(Calendar,U1173,T1174,"f",FALSE)</f>
        <v>47029</v>
      </c>
      <c r="V1174" s="248">
        <f>_xll.qlCalendarAdvance(Calendar,U1174,NDays&amp;"D")</f>
        <v>47031</v>
      </c>
      <c r="W1174" s="249">
        <v>3.029128174143576E-2</v>
      </c>
      <c r="X1174" s="246">
        <v>3.0240744443057466E-2</v>
      </c>
    </row>
    <row r="1175" spans="20:24" x14ac:dyDescent="0.2">
      <c r="T1175" s="247" t="str">
        <f t="shared" si="23"/>
        <v>1w</v>
      </c>
      <c r="U1175" s="245">
        <f>_xll.qlCalendarAdvance(Calendar,U1174,T1175,"f",FALSE)</f>
        <v>47036</v>
      </c>
      <c r="V1175" s="248">
        <f>_xll.qlCalendarAdvance(Calendar,U1175,NDays&amp;"D")</f>
        <v>47038</v>
      </c>
      <c r="W1175" s="249">
        <v>3.0280863262213808E-2</v>
      </c>
      <c r="X1175" s="246">
        <v>3.0231300031964281E-2</v>
      </c>
    </row>
    <row r="1176" spans="20:24" x14ac:dyDescent="0.2">
      <c r="T1176" s="247" t="str">
        <f t="shared" si="23"/>
        <v>1w</v>
      </c>
      <c r="U1176" s="245">
        <f>_xll.qlCalendarAdvance(Calendar,U1175,T1176,"f",FALSE)</f>
        <v>47043</v>
      </c>
      <c r="V1176" s="248">
        <f>_xll.qlCalendarAdvance(Calendar,U1176,NDays&amp;"D")</f>
        <v>47045</v>
      </c>
      <c r="W1176" s="249">
        <v>3.0270306077248448E-2</v>
      </c>
      <c r="X1176" s="246">
        <v>3.0221717941323334E-2</v>
      </c>
    </row>
    <row r="1177" spans="20:24" x14ac:dyDescent="0.2">
      <c r="T1177" s="247" t="str">
        <f t="shared" si="23"/>
        <v>1w</v>
      </c>
      <c r="U1177" s="245">
        <f>_xll.qlCalendarAdvance(Calendar,U1176,T1177,"f",FALSE)</f>
        <v>47050</v>
      </c>
      <c r="V1177" s="248">
        <f>_xll.qlCalendarAdvance(Calendar,U1177,NDays&amp;"D")</f>
        <v>47052</v>
      </c>
      <c r="W1177" s="249">
        <v>3.0259610187653562E-2</v>
      </c>
      <c r="X1177" s="246">
        <v>3.0211998170974752E-2</v>
      </c>
    </row>
    <row r="1178" spans="20:24" x14ac:dyDescent="0.2">
      <c r="T1178" s="247" t="str">
        <f t="shared" si="23"/>
        <v>1w</v>
      </c>
      <c r="U1178" s="245">
        <f>_xll.qlCalendarAdvance(Calendar,U1177,T1178,"f",FALSE)</f>
        <v>47057</v>
      </c>
      <c r="V1178" s="248">
        <f>_xll.qlCalendarAdvance(Calendar,U1178,NDays&amp;"D")</f>
        <v>47059</v>
      </c>
      <c r="W1178" s="249">
        <v>3.024877559455956E-2</v>
      </c>
      <c r="X1178" s="246">
        <v>3.0202140721078408E-2</v>
      </c>
    </row>
    <row r="1179" spans="20:24" x14ac:dyDescent="0.2">
      <c r="T1179" s="247" t="str">
        <f t="shared" si="23"/>
        <v>1w</v>
      </c>
      <c r="U1179" s="245">
        <f>_xll.qlCalendarAdvance(Calendar,U1178,T1179,"f",FALSE)</f>
        <v>47064</v>
      </c>
      <c r="V1179" s="248">
        <f>_xll.qlCalendarAdvance(Calendar,U1179,NDays&amp;"D")</f>
        <v>47066</v>
      </c>
      <c r="W1179" s="249">
        <v>3.0237802299107261E-2</v>
      </c>
      <c r="X1179" s="246">
        <v>3.0192145591714237E-2</v>
      </c>
    </row>
    <row r="1180" spans="20:24" x14ac:dyDescent="0.2">
      <c r="T1180" s="247" t="str">
        <f t="shared" si="23"/>
        <v>1w</v>
      </c>
      <c r="U1180" s="245">
        <f>_xll.qlCalendarAdvance(Calendar,U1179,T1180,"f",FALSE)</f>
        <v>47071</v>
      </c>
      <c r="V1180" s="248">
        <f>_xll.qlCalendarAdvance(Calendar,U1180,NDays&amp;"D")</f>
        <v>47073</v>
      </c>
      <c r="W1180" s="249">
        <v>3.0226690302457476E-2</v>
      </c>
      <c r="X1180" s="246">
        <v>3.0182012782722367E-2</v>
      </c>
    </row>
    <row r="1181" spans="20:24" x14ac:dyDescent="0.2">
      <c r="T1181" s="247" t="str">
        <f t="shared" si="23"/>
        <v>1w</v>
      </c>
      <c r="U1181" s="245">
        <f>_xll.qlCalendarAdvance(Calendar,U1180,T1181,"f",FALSE)</f>
        <v>47078</v>
      </c>
      <c r="V1181" s="248">
        <f>_xll.qlCalendarAdvance(Calendar,U1181,NDays&amp;"D")</f>
        <v>47080</v>
      </c>
      <c r="W1181" s="249">
        <v>3.0215439605781446E-2</v>
      </c>
      <c r="X1181" s="246">
        <v>3.0171742294102799E-2</v>
      </c>
    </row>
    <row r="1182" spans="20:24" x14ac:dyDescent="0.2">
      <c r="T1182" s="247" t="str">
        <f t="shared" si="23"/>
        <v>1w</v>
      </c>
      <c r="U1182" s="245">
        <f>_xll.qlCalendarAdvance(Calendar,U1181,T1182,"f",FALSE)</f>
        <v>47085</v>
      </c>
      <c r="V1182" s="248">
        <f>_xll.qlCalendarAdvance(Calendar,U1182,NDays&amp;"D")</f>
        <v>47087</v>
      </c>
      <c r="W1182" s="249">
        <v>3.0203200930470686E-2</v>
      </c>
      <c r="X1182" s="246">
        <v>3.0161334126015404E-2</v>
      </c>
    </row>
    <row r="1183" spans="20:24" x14ac:dyDescent="0.2">
      <c r="T1183" s="247" t="str">
        <f t="shared" si="23"/>
        <v>1w</v>
      </c>
      <c r="U1183" s="245">
        <f>_xll.qlCalendarAdvance(Calendar,U1182,T1183,"f",FALSE)</f>
        <v>47092</v>
      </c>
      <c r="V1183" s="248">
        <f>_xll.qlCalendarAdvance(Calendar,U1183,NDays&amp;"D")</f>
        <v>47094</v>
      </c>
      <c r="W1183" s="249">
        <v>3.0191694574326355E-2</v>
      </c>
      <c r="X1183" s="246">
        <v>3.0150788278460183E-2</v>
      </c>
    </row>
    <row r="1184" spans="20:24" x14ac:dyDescent="0.2">
      <c r="T1184" s="247" t="str">
        <f t="shared" si="23"/>
        <v>1w</v>
      </c>
      <c r="U1184" s="245">
        <f>_xll.qlCalendarAdvance(Calendar,U1183,T1184,"f",FALSE)</f>
        <v>47099</v>
      </c>
      <c r="V1184" s="248">
        <f>_xll.qlCalendarAdvance(Calendar,U1184,NDays&amp;"D")</f>
        <v>47101</v>
      </c>
      <c r="W1184" s="249">
        <v>3.018004954402187E-2</v>
      </c>
      <c r="X1184" s="246">
        <v>3.0140104751277264E-2</v>
      </c>
    </row>
    <row r="1185" spans="20:24" x14ac:dyDescent="0.2">
      <c r="T1185" s="247" t="str">
        <f t="shared" si="23"/>
        <v>1w</v>
      </c>
      <c r="U1185" s="245">
        <f>_xll.qlCalendarAdvance(Calendar,U1184,T1185,"f",FALSE)</f>
        <v>47106</v>
      </c>
      <c r="V1185" s="248">
        <f>_xll.qlCalendarAdvance(Calendar,U1185,NDays&amp;"D")</f>
        <v>47108</v>
      </c>
      <c r="W1185" s="249">
        <v>3.0168265840758046E-2</v>
      </c>
      <c r="X1185" s="246">
        <v>3.0129283544626517E-2</v>
      </c>
    </row>
    <row r="1186" spans="20:24" x14ac:dyDescent="0.2">
      <c r="T1186" s="247" t="str">
        <f t="shared" si="23"/>
        <v>1w</v>
      </c>
      <c r="U1186" s="245">
        <f>_xll.qlCalendarAdvance(Calendar,U1185,T1186,"f",FALSE)</f>
        <v>47114</v>
      </c>
      <c r="V1186" s="248">
        <f>_xll.qlCalendarAdvance(Calendar,U1186,NDays&amp;"D")</f>
        <v>47116</v>
      </c>
      <c r="W1186" s="249">
        <v>3.0154628949253137E-2</v>
      </c>
      <c r="X1186" s="246">
        <v>3.0118154507374761E-2</v>
      </c>
    </row>
    <row r="1187" spans="20:24" x14ac:dyDescent="0.2">
      <c r="T1187" s="247" t="str">
        <f t="shared" si="23"/>
        <v>1w</v>
      </c>
      <c r="U1187" s="245">
        <f>_xll.qlCalendarAdvance(Calendar,U1186,T1187,"f",FALSE)</f>
        <v>47121</v>
      </c>
      <c r="V1187" s="248">
        <f>_xll.qlCalendarAdvance(Calendar,U1187,NDays&amp;"D")</f>
        <v>47123</v>
      </c>
      <c r="W1187" s="249">
        <v>3.0142548093765598E-2</v>
      </c>
      <c r="X1187" s="246">
        <v>3.0106548859638593E-2</v>
      </c>
    </row>
    <row r="1188" spans="20:24" x14ac:dyDescent="0.2">
      <c r="T1188" s="247" t="str">
        <f t="shared" si="23"/>
        <v>1w</v>
      </c>
      <c r="U1188" s="245">
        <f>_xll.qlCalendarAdvance(Calendar,U1187,T1188,"f",FALSE)</f>
        <v>47128</v>
      </c>
      <c r="V1188" s="248">
        <f>_xll.qlCalendarAdvance(Calendar,U1188,NDays&amp;"D")</f>
        <v>47130</v>
      </c>
      <c r="W1188" s="249">
        <v>3.0130328569192066E-2</v>
      </c>
      <c r="X1188" s="246">
        <v>3.0095273392412025E-2</v>
      </c>
    </row>
    <row r="1189" spans="20:24" x14ac:dyDescent="0.2">
      <c r="T1189" s="247" t="str">
        <f t="shared" si="23"/>
        <v>1w</v>
      </c>
      <c r="U1189" s="245">
        <f>_xll.qlCalendarAdvance(Calendar,U1188,T1189,"f",FALSE)</f>
        <v>47135</v>
      </c>
      <c r="V1189" s="248">
        <f>_xll.qlCalendarAdvance(Calendar,U1189,NDays&amp;"D")</f>
        <v>47137</v>
      </c>
      <c r="W1189" s="249">
        <v>3.011797037679198E-2</v>
      </c>
      <c r="X1189" s="246">
        <v>3.0083860223388825E-2</v>
      </c>
    </row>
    <row r="1190" spans="20:24" x14ac:dyDescent="0.2">
      <c r="T1190" s="247" t="str">
        <f t="shared" si="23"/>
        <v>1w</v>
      </c>
      <c r="U1190" s="245">
        <f>_xll.qlCalendarAdvance(Calendar,U1189,T1190,"f",FALSE)</f>
        <v>47142</v>
      </c>
      <c r="V1190" s="248">
        <f>_xll.qlCalendarAdvance(Calendar,U1190,NDays&amp;"D")</f>
        <v>47144</v>
      </c>
      <c r="W1190" s="249">
        <v>3.0105473517843429E-2</v>
      </c>
      <c r="X1190" s="246">
        <v>3.0072309352675575E-2</v>
      </c>
    </row>
    <row r="1191" spans="20:24" x14ac:dyDescent="0.2">
      <c r="T1191" s="247" t="str">
        <f t="shared" si="23"/>
        <v>1w</v>
      </c>
      <c r="U1191" s="245">
        <f>_xll.qlCalendarAdvance(Calendar,U1190,T1191,"f",FALSE)</f>
        <v>47149</v>
      </c>
      <c r="V1191" s="248">
        <f>_xll.qlCalendarAdvance(Calendar,U1191,NDays&amp;"D")</f>
        <v>47151</v>
      </c>
      <c r="W1191" s="249">
        <v>3.0092511593276569E-2</v>
      </c>
      <c r="X1191" s="246">
        <v>3.0060620780245628E-2</v>
      </c>
    </row>
    <row r="1192" spans="20:24" x14ac:dyDescent="0.2">
      <c r="T1192" s="247" t="str">
        <f t="shared" si="23"/>
        <v>1w</v>
      </c>
      <c r="U1192" s="245">
        <f>_xll.qlCalendarAdvance(Calendar,U1191,T1192,"f",FALSE)</f>
        <v>47156</v>
      </c>
      <c r="V1192" s="248">
        <f>_xll.qlCalendarAdvance(Calendar,U1192,NDays&amp;"D")</f>
        <v>47158</v>
      </c>
      <c r="W1192" s="249">
        <v>3.0079748372325441E-2</v>
      </c>
      <c r="X1192" s="246">
        <v>3.0048794506232213E-2</v>
      </c>
    </row>
    <row r="1193" spans="20:24" x14ac:dyDescent="0.2">
      <c r="T1193" s="247" t="str">
        <f t="shared" si="23"/>
        <v>1w</v>
      </c>
      <c r="U1193" s="245">
        <f>_xll.qlCalendarAdvance(Calendar,U1192,T1193,"f",FALSE)</f>
        <v>47163</v>
      </c>
      <c r="V1193" s="248">
        <f>_xll.qlCalendarAdvance(Calendar,U1193,NDays&amp;"D")</f>
        <v>47165</v>
      </c>
      <c r="W1193" s="249">
        <v>3.0066846499731337E-2</v>
      </c>
      <c r="X1193" s="246">
        <v>3.0036830530608682E-2</v>
      </c>
    </row>
    <row r="1194" spans="20:24" x14ac:dyDescent="0.2">
      <c r="T1194" s="247" t="str">
        <f t="shared" si="23"/>
        <v>1w</v>
      </c>
      <c r="U1194" s="245">
        <f>_xll.qlCalendarAdvance(Calendar,U1193,T1194,"f",FALSE)</f>
        <v>47170</v>
      </c>
      <c r="V1194" s="248">
        <f>_xll.qlCalendarAdvance(Calendar,U1194,NDays&amp;"D")</f>
        <v>47172</v>
      </c>
      <c r="W1194" s="249">
        <v>3.0053805976811853E-2</v>
      </c>
      <c r="X1194" s="246">
        <v>3.0024728853401683E-2</v>
      </c>
    </row>
    <row r="1195" spans="20:24" x14ac:dyDescent="0.2">
      <c r="T1195" s="247" t="str">
        <f t="shared" si="23"/>
        <v>1w</v>
      </c>
      <c r="U1195" s="245">
        <f>_xll.qlCalendarAdvance(Calendar,U1194,T1195,"f",FALSE)</f>
        <v>47177</v>
      </c>
      <c r="V1195" s="248">
        <f>_xll.qlCalendarAdvance(Calendar,U1195,NDays&amp;"D")</f>
        <v>47179</v>
      </c>
      <c r="W1195" s="249">
        <v>3.0042028780722159E-2</v>
      </c>
      <c r="X1195" s="246">
        <v>3.0012489474717796E-2</v>
      </c>
    </row>
    <row r="1196" spans="20:24" x14ac:dyDescent="0.2">
      <c r="T1196" s="247" t="str">
        <f t="shared" si="23"/>
        <v>1w</v>
      </c>
      <c r="U1196" s="245">
        <f>_xll.qlCalendarAdvance(Calendar,U1195,T1196,"f",FALSE)</f>
        <v>47184</v>
      </c>
      <c r="V1196" s="248">
        <f>_xll.qlCalendarAdvance(Calendar,U1196,NDays&amp;"D")</f>
        <v>47186</v>
      </c>
      <c r="W1196" s="249">
        <v>3.0028657815755439E-2</v>
      </c>
      <c r="X1196" s="246">
        <v>3.0000112394583667E-2</v>
      </c>
    </row>
    <row r="1197" spans="20:24" x14ac:dyDescent="0.2">
      <c r="T1197" s="247" t="str">
        <f t="shared" si="23"/>
        <v>1w</v>
      </c>
      <c r="U1197" s="245">
        <f>_xll.qlCalendarAdvance(Calendar,U1196,T1197,"f",FALSE)</f>
        <v>47191</v>
      </c>
      <c r="V1197" s="248">
        <f>_xll.qlCalendarAdvance(Calendar,U1197,NDays&amp;"D")</f>
        <v>47193</v>
      </c>
      <c r="W1197" s="249">
        <v>3.001515970951589E-2</v>
      </c>
      <c r="X1197" s="246">
        <v>2.9987597612999295E-2</v>
      </c>
    </row>
    <row r="1198" spans="20:24" x14ac:dyDescent="0.2">
      <c r="T1198" s="247" t="str">
        <f t="shared" si="23"/>
        <v>1w</v>
      </c>
      <c r="U1198" s="245">
        <f>_xll.qlCalendarAdvance(Calendar,U1197,T1198,"f",FALSE)</f>
        <v>47198</v>
      </c>
      <c r="V1198" s="248">
        <f>_xll.qlCalendarAdvance(Calendar,U1198,NDays&amp;"D")</f>
        <v>47200</v>
      </c>
      <c r="W1198" s="249">
        <v>3.0001546022954007E-2</v>
      </c>
      <c r="X1198" s="246">
        <v>2.9974945130017971E-2</v>
      </c>
    </row>
    <row r="1199" spans="20:24" x14ac:dyDescent="0.2">
      <c r="T1199" s="247" t="str">
        <f t="shared" si="23"/>
        <v>1w</v>
      </c>
      <c r="U1199" s="245">
        <f>_xll.qlCalendarAdvance(Calendar,U1198,T1199,"f",FALSE)</f>
        <v>47205</v>
      </c>
      <c r="V1199" s="248">
        <f>_xll.qlCalendarAdvance(Calendar,U1199,NDays&amp;"D")</f>
        <v>47211</v>
      </c>
      <c r="W1199" s="249">
        <v>2.9979218056260255E-2</v>
      </c>
      <c r="X1199" s="246">
        <v>2.9954139789847289E-2</v>
      </c>
    </row>
    <row r="1200" spans="20:24" x14ac:dyDescent="0.2">
      <c r="T1200" s="247" t="str">
        <f t="shared" si="23"/>
        <v>1w</v>
      </c>
      <c r="U1200" s="245">
        <f>_xll.qlCalendarAdvance(Calendar,U1199,T1200,"f",FALSE)</f>
        <v>47212</v>
      </c>
      <c r="V1200" s="248">
        <f>_xll.qlCalendarAdvance(Calendar,U1200,NDays&amp;"D")</f>
        <v>47214</v>
      </c>
      <c r="W1200" s="249">
        <v>2.9973294891288131E-2</v>
      </c>
      <c r="X1200" s="246">
        <v>2.9949227060104278E-2</v>
      </c>
    </row>
    <row r="1201" spans="20:24" x14ac:dyDescent="0.2">
      <c r="T1201" s="247" t="str">
        <f t="shared" si="23"/>
        <v>1w</v>
      </c>
      <c r="U1201" s="245">
        <f>_xll.qlCalendarAdvance(Calendar,U1200,T1201,"f",FALSE)</f>
        <v>47219</v>
      </c>
      <c r="V1201" s="248">
        <f>_xll.qlCalendarAdvance(Calendar,U1201,NDays&amp;"D")</f>
        <v>47221</v>
      </c>
      <c r="W1201" s="249">
        <v>2.9959415732183491E-2</v>
      </c>
      <c r="X1201" s="246">
        <v>2.9936161473225198E-2</v>
      </c>
    </row>
    <row r="1202" spans="20:24" x14ac:dyDescent="0.2">
      <c r="T1202" s="247" t="str">
        <f t="shared" si="23"/>
        <v>1w</v>
      </c>
      <c r="U1202" s="245">
        <f>_xll.qlCalendarAdvance(Calendar,U1201,T1202,"f",FALSE)</f>
        <v>47226</v>
      </c>
      <c r="V1202" s="248">
        <f>_xll.qlCalendarAdvance(Calendar,U1202,NDays&amp;"D")</f>
        <v>47228</v>
      </c>
      <c r="W1202" s="249">
        <v>2.9945464420352862E-2</v>
      </c>
      <c r="X1202" s="246">
        <v>2.9922958185162329E-2</v>
      </c>
    </row>
    <row r="1203" spans="20:24" x14ac:dyDescent="0.2">
      <c r="T1203" s="247" t="str">
        <f t="shared" si="23"/>
        <v>1w</v>
      </c>
      <c r="U1203" s="245">
        <f>_xll.qlCalendarAdvance(Calendar,U1202,T1203,"f",FALSE)</f>
        <v>47233</v>
      </c>
      <c r="V1203" s="248">
        <f>_xll.qlCalendarAdvance(Calendar,U1203,NDays&amp;"D")</f>
        <v>47235</v>
      </c>
      <c r="W1203" s="249">
        <v>2.9931452894083079E-2</v>
      </c>
      <c r="X1203" s="246">
        <v>2.9909617195942317E-2</v>
      </c>
    </row>
    <row r="1204" spans="20:24" x14ac:dyDescent="0.2">
      <c r="T1204" s="247" t="str">
        <f t="shared" si="23"/>
        <v>1w</v>
      </c>
      <c r="U1204" s="245">
        <f>_xll.qlCalendarAdvance(Calendar,U1203,T1204,"f",FALSE)</f>
        <v>47240</v>
      </c>
      <c r="V1204" s="248">
        <f>_xll.qlCalendarAdvance(Calendar,U1204,NDays&amp;"D")</f>
        <v>47242</v>
      </c>
      <c r="W1204" s="249">
        <v>2.9918084110526801E-2</v>
      </c>
      <c r="X1204" s="246">
        <v>2.9896138505591807E-2</v>
      </c>
    </row>
    <row r="1205" spans="20:24" x14ac:dyDescent="0.2">
      <c r="T1205" s="247" t="str">
        <f t="shared" si="23"/>
        <v>1w</v>
      </c>
      <c r="U1205" s="245">
        <f>_xll.qlCalendarAdvance(Calendar,U1204,T1205,"f",FALSE)</f>
        <v>47247</v>
      </c>
      <c r="V1205" s="248">
        <f>_xll.qlCalendarAdvance(Calendar,U1205,NDays&amp;"D")</f>
        <v>47249</v>
      </c>
      <c r="W1205" s="249">
        <v>2.9903985055193358E-2</v>
      </c>
      <c r="X1205" s="246">
        <v>2.988252211416409E-2</v>
      </c>
    </row>
    <row r="1206" spans="20:24" x14ac:dyDescent="0.2">
      <c r="T1206" s="247" t="str">
        <f t="shared" si="23"/>
        <v>1w</v>
      </c>
      <c r="U1206" s="245">
        <f>_xll.qlCalendarAdvance(Calendar,U1205,T1206,"f",FALSE)</f>
        <v>47254</v>
      </c>
      <c r="V1206" s="248">
        <f>_xll.qlCalendarAdvance(Calendar,U1206,NDays&amp;"D")</f>
        <v>47256</v>
      </c>
      <c r="W1206" s="249">
        <v>2.9889862901440571E-2</v>
      </c>
      <c r="X1206" s="246">
        <v>2.9868768021739101E-2</v>
      </c>
    </row>
    <row r="1207" spans="20:24" x14ac:dyDescent="0.2">
      <c r="T1207" s="247" t="str">
        <f t="shared" si="23"/>
        <v>1w</v>
      </c>
      <c r="U1207" s="245">
        <f>_xll.qlCalendarAdvance(Calendar,U1206,T1207,"f",FALSE)</f>
        <v>47261</v>
      </c>
      <c r="V1207" s="248">
        <f>_xll.qlCalendarAdvance(Calendar,U1207,NDays&amp;"D")</f>
        <v>47263</v>
      </c>
      <c r="W1207" s="249">
        <v>2.9875729208760523E-2</v>
      </c>
      <c r="X1207" s="246">
        <v>2.9854876228343485E-2</v>
      </c>
    </row>
    <row r="1208" spans="20:24" x14ac:dyDescent="0.2">
      <c r="T1208" s="247" t="str">
        <f t="shared" si="23"/>
        <v>1w</v>
      </c>
      <c r="U1208" s="245">
        <f>_xll.qlCalendarAdvance(Calendar,U1207,T1208,"f",FALSE)</f>
        <v>47268</v>
      </c>
      <c r="V1208" s="248">
        <f>_xll.qlCalendarAdvance(Calendar,U1208,NDays&amp;"D")</f>
        <v>47270</v>
      </c>
      <c r="W1208" s="249">
        <v>2.9861595536477777E-2</v>
      </c>
      <c r="X1208" s="246">
        <v>2.984084673400389E-2</v>
      </c>
    </row>
    <row r="1209" spans="20:24" x14ac:dyDescent="0.2">
      <c r="T1209" s="247" t="str">
        <f t="shared" si="23"/>
        <v>1w</v>
      </c>
      <c r="U1209" s="245">
        <f>_xll.qlCalendarAdvance(Calendar,U1208,T1209,"f",FALSE)</f>
        <v>47275</v>
      </c>
      <c r="V1209" s="248">
        <f>_xll.qlCalendarAdvance(Calendar,U1209,NDays&amp;"D")</f>
        <v>47277</v>
      </c>
      <c r="W1209" s="249">
        <v>2.9847473084280315E-2</v>
      </c>
      <c r="X1209" s="246">
        <v>2.9826728272324132E-2</v>
      </c>
    </row>
    <row r="1210" spans="20:24" x14ac:dyDescent="0.2">
      <c r="T1210" s="247" t="str">
        <f t="shared" si="23"/>
        <v>1w</v>
      </c>
      <c r="U1210" s="245">
        <f>_xll.qlCalendarAdvance(Calendar,U1209,T1210,"f",FALSE)</f>
        <v>47282</v>
      </c>
      <c r="V1210" s="248">
        <f>_xll.qlCalendarAdvance(Calendar,U1210,NDays&amp;"D")</f>
        <v>47284</v>
      </c>
      <c r="W1210" s="249">
        <v>2.9833367013766949E-2</v>
      </c>
      <c r="X1210" s="246">
        <v>2.981262145447694E-2</v>
      </c>
    </row>
    <row r="1211" spans="20:24" x14ac:dyDescent="0.2">
      <c r="T1211" s="247" t="str">
        <f t="shared" si="23"/>
        <v>1w</v>
      </c>
      <c r="U1211" s="245">
        <f>_xll.qlCalendarAdvance(Calendar,U1210,T1211,"f",FALSE)</f>
        <v>47289</v>
      </c>
      <c r="V1211" s="248">
        <f>_xll.qlCalendarAdvance(Calendar,U1211,NDays&amp;"D")</f>
        <v>47291</v>
      </c>
      <c r="W1211" s="249">
        <v>2.9819277476408852E-2</v>
      </c>
      <c r="X1211" s="246">
        <v>2.9798530996609784E-2</v>
      </c>
    </row>
    <row r="1212" spans="20:24" x14ac:dyDescent="0.2">
      <c r="T1212" s="247" t="str">
        <f t="shared" si="23"/>
        <v>1w</v>
      </c>
      <c r="U1212" s="245">
        <f>_xll.qlCalendarAdvance(Calendar,U1211,T1212,"f",FALSE)</f>
        <v>47296</v>
      </c>
      <c r="V1212" s="248">
        <f>_xll.qlCalendarAdvance(Calendar,U1212,NDays&amp;"D")</f>
        <v>47298</v>
      </c>
      <c r="W1212" s="249">
        <v>2.9804518612352199E-2</v>
      </c>
      <c r="X1212" s="246">
        <v>2.9784456898722667E-2</v>
      </c>
    </row>
    <row r="1213" spans="20:24" x14ac:dyDescent="0.2">
      <c r="T1213" s="247" t="str">
        <f t="shared" si="23"/>
        <v>1w</v>
      </c>
      <c r="U1213" s="245">
        <f>_xll.qlCalendarAdvance(Calendar,U1212,T1213,"f",FALSE)</f>
        <v>47303</v>
      </c>
      <c r="V1213" s="248">
        <f>_xll.qlCalendarAdvance(Calendar,U1213,NDays&amp;"D")</f>
        <v>47305</v>
      </c>
      <c r="W1213" s="249">
        <v>2.9791148000433944E-2</v>
      </c>
      <c r="X1213" s="246">
        <v>2.9770399160815586E-2</v>
      </c>
    </row>
    <row r="1214" spans="20:24" x14ac:dyDescent="0.2">
      <c r="T1214" s="247" t="str">
        <f t="shared" si="23"/>
        <v>1w</v>
      </c>
      <c r="U1214" s="245">
        <f>_xll.qlCalendarAdvance(Calendar,U1213,T1214,"f",FALSE)</f>
        <v>47310</v>
      </c>
      <c r="V1214" s="248">
        <f>_xll.qlCalendarAdvance(Calendar,U1214,NDays&amp;"D")</f>
        <v>47312</v>
      </c>
      <c r="W1214" s="249">
        <v>2.9777108061456569E-2</v>
      </c>
      <c r="X1214" s="246">
        <v>2.9756357782861897E-2</v>
      </c>
    </row>
    <row r="1215" spans="20:24" x14ac:dyDescent="0.2">
      <c r="T1215" s="247" t="str">
        <f t="shared" si="23"/>
        <v>1w</v>
      </c>
      <c r="U1215" s="245">
        <f>_xll.qlCalendarAdvance(Calendar,U1214,T1215,"f",FALSE)</f>
        <v>47317</v>
      </c>
      <c r="V1215" s="248">
        <f>_xll.qlCalendarAdvance(Calendar,U1215,NDays&amp;"D")</f>
        <v>47319</v>
      </c>
      <c r="W1215" s="249">
        <v>2.9763084654912491E-2</v>
      </c>
      <c r="X1215" s="246">
        <v>2.9742332764888246E-2</v>
      </c>
    </row>
    <row r="1216" spans="20:24" x14ac:dyDescent="0.2">
      <c r="T1216" s="247" t="str">
        <f t="shared" si="23"/>
        <v>1w</v>
      </c>
      <c r="U1216" s="245">
        <f>_xll.qlCalendarAdvance(Calendar,U1215,T1216,"f",FALSE)</f>
        <v>47324</v>
      </c>
      <c r="V1216" s="248">
        <f>_xll.qlCalendarAdvance(Calendar,U1216,NDays&amp;"D")</f>
        <v>47326</v>
      </c>
      <c r="W1216" s="249">
        <v>2.9749077780621424E-2</v>
      </c>
      <c r="X1216" s="246">
        <v>2.9728324106867987E-2</v>
      </c>
    </row>
    <row r="1217" spans="20:24" x14ac:dyDescent="0.2">
      <c r="T1217" s="247" t="str">
        <f t="shared" si="23"/>
        <v>1w</v>
      </c>
      <c r="U1217" s="245">
        <f>_xll.qlCalendarAdvance(Calendar,U1216,T1217,"f",FALSE)</f>
        <v>47331</v>
      </c>
      <c r="V1217" s="248">
        <f>_xll.qlCalendarAdvance(Calendar,U1217,NDays&amp;"D")</f>
        <v>47333</v>
      </c>
      <c r="W1217" s="249">
        <v>2.9735087438403938E-2</v>
      </c>
      <c r="X1217" s="246">
        <v>2.9714331808774475E-2</v>
      </c>
    </row>
    <row r="1218" spans="20:24" x14ac:dyDescent="0.2">
      <c r="T1218" s="247" t="str">
        <f t="shared" si="23"/>
        <v>1w</v>
      </c>
      <c r="U1218" s="245">
        <f>_xll.qlCalendarAdvance(Calendar,U1217,T1218,"f",FALSE)</f>
        <v>47338</v>
      </c>
      <c r="V1218" s="248">
        <f>_xll.qlCalendarAdvance(Calendar,U1218,NDays&amp;"D")</f>
        <v>47340</v>
      </c>
      <c r="W1218" s="249">
        <v>2.9721113628081459E-2</v>
      </c>
      <c r="X1218" s="246">
        <v>2.9700355870634354E-2</v>
      </c>
    </row>
    <row r="1219" spans="20:24" x14ac:dyDescent="0.2">
      <c r="T1219" s="247" t="str">
        <f t="shared" si="23"/>
        <v>1w</v>
      </c>
      <c r="U1219" s="245">
        <f>_xll.qlCalendarAdvance(Calendar,U1218,T1219,"f",FALSE)</f>
        <v>47345</v>
      </c>
      <c r="V1219" s="248">
        <f>_xll.qlCalendarAdvance(Calendar,U1219,NDays&amp;"D")</f>
        <v>47347</v>
      </c>
      <c r="W1219" s="249">
        <v>2.9707156349473695E-2</v>
      </c>
      <c r="X1219" s="246">
        <v>2.9686396292447625E-2</v>
      </c>
    </row>
    <row r="1220" spans="20:24" x14ac:dyDescent="0.2">
      <c r="T1220" s="247" t="str">
        <f t="shared" si="23"/>
        <v>1w</v>
      </c>
      <c r="U1220" s="245">
        <f>_xll.qlCalendarAdvance(Calendar,U1219,T1220,"f",FALSE)</f>
        <v>47352</v>
      </c>
      <c r="V1220" s="248">
        <f>_xll.qlCalendarAdvance(Calendar,U1220,NDays&amp;"D")</f>
        <v>47354</v>
      </c>
      <c r="W1220" s="249">
        <v>2.9693215602402075E-2</v>
      </c>
      <c r="X1220" s="246">
        <v>2.9672453074160998E-2</v>
      </c>
    </row>
    <row r="1221" spans="20:24" x14ac:dyDescent="0.2">
      <c r="T1221" s="247" t="str">
        <f t="shared" si="23"/>
        <v>1w</v>
      </c>
      <c r="U1221" s="245">
        <f>_xll.qlCalendarAdvance(Calendar,U1220,T1221,"f",FALSE)</f>
        <v>47359</v>
      </c>
      <c r="V1221" s="248">
        <f>_xll.qlCalendarAdvance(Calendar,U1221,NDays&amp;"D")</f>
        <v>47361</v>
      </c>
      <c r="W1221" s="249">
        <v>2.9678604738527185E-2</v>
      </c>
      <c r="X1221" s="246">
        <v>2.9658526215801118E-2</v>
      </c>
    </row>
    <row r="1222" spans="20:24" x14ac:dyDescent="0.2">
      <c r="T1222" s="247" t="str">
        <f t="shared" si="23"/>
        <v>1w</v>
      </c>
      <c r="U1222" s="245">
        <f>_xll.qlCalendarAdvance(Calendar,U1221,T1222,"f",FALSE)</f>
        <v>47366</v>
      </c>
      <c r="V1222" s="248">
        <f>_xll.qlCalendarAdvance(Calendar,U1222,NDays&amp;"D")</f>
        <v>47368</v>
      </c>
      <c r="W1222" s="249">
        <v>2.966469693812486E-2</v>
      </c>
      <c r="X1222" s="246">
        <v>2.9644615717367984E-2</v>
      </c>
    </row>
    <row r="1223" spans="20:24" x14ac:dyDescent="0.2">
      <c r="T1223" s="247" t="str">
        <f t="shared" si="23"/>
        <v>1w</v>
      </c>
      <c r="U1223" s="245">
        <f>_xll.qlCalendarAdvance(Calendar,U1222,T1223,"f",FALSE)</f>
        <v>47373</v>
      </c>
      <c r="V1223" s="248">
        <f>_xll.qlCalendarAdvance(Calendar,U1223,NDays&amp;"D")</f>
        <v>47375</v>
      </c>
      <c r="W1223" s="249">
        <v>2.965080566309174E-2</v>
      </c>
      <c r="X1223" s="246">
        <v>2.9630721578861596E-2</v>
      </c>
    </row>
    <row r="1224" spans="20:24" x14ac:dyDescent="0.2">
      <c r="T1224" s="247" t="str">
        <f t="shared" si="23"/>
        <v>1w</v>
      </c>
      <c r="U1224" s="245">
        <f>_xll.qlCalendarAdvance(Calendar,U1223,T1224,"f",FALSE)</f>
        <v>47380</v>
      </c>
      <c r="V1224" s="248">
        <f>_xll.qlCalendarAdvance(Calendar,U1224,NDays&amp;"D")</f>
        <v>47382</v>
      </c>
      <c r="W1224" s="249">
        <v>2.9636930913256535E-2</v>
      </c>
      <c r="X1224" s="246">
        <v>2.961684380025531E-2</v>
      </c>
    </row>
    <row r="1225" spans="20:24" x14ac:dyDescent="0.2">
      <c r="T1225" s="247" t="str">
        <f t="shared" si="23"/>
        <v>1w</v>
      </c>
      <c r="U1225" s="245">
        <f>_xll.qlCalendarAdvance(Calendar,U1224,T1225,"f",FALSE)</f>
        <v>47387</v>
      </c>
      <c r="V1225" s="248">
        <f>_xll.qlCalendarAdvance(Calendar,U1225,NDays&amp;"D")</f>
        <v>47389</v>
      </c>
      <c r="W1225" s="249">
        <v>2.9623759833838297E-2</v>
      </c>
      <c r="X1225" s="246">
        <v>2.9602982381549126E-2</v>
      </c>
    </row>
    <row r="1226" spans="20:24" x14ac:dyDescent="0.2">
      <c r="T1226" s="247" t="str">
        <f t="shared" si="23"/>
        <v>1w</v>
      </c>
      <c r="U1226" s="245">
        <f>_xll.qlCalendarAdvance(Calendar,U1225,T1226,"f",FALSE)</f>
        <v>47394</v>
      </c>
      <c r="V1226" s="248">
        <f>_xll.qlCalendarAdvance(Calendar,U1226,NDays&amp;"D")</f>
        <v>47396</v>
      </c>
      <c r="W1226" s="249">
        <v>2.9609918272236725E-2</v>
      </c>
      <c r="X1226" s="246">
        <v>2.9589137322769687E-2</v>
      </c>
    </row>
    <row r="1227" spans="20:24" x14ac:dyDescent="0.2">
      <c r="T1227" s="247" t="str">
        <f t="shared" si="23"/>
        <v>1w</v>
      </c>
      <c r="U1227" s="245">
        <f>_xll.qlCalendarAdvance(Calendar,U1226,T1227,"f",FALSE)</f>
        <v>47401</v>
      </c>
      <c r="V1227" s="248">
        <f>_xll.qlCalendarAdvance(Calendar,U1227,NDays&amp;"D")</f>
        <v>47403</v>
      </c>
      <c r="W1227" s="249">
        <v>2.9596093240924631E-2</v>
      </c>
      <c r="X1227" s="246">
        <v>2.957530862383706E-2</v>
      </c>
    </row>
    <row r="1228" spans="20:24" x14ac:dyDescent="0.2">
      <c r="T1228" s="247" t="str">
        <f t="shared" si="23"/>
        <v>1w</v>
      </c>
      <c r="U1228" s="245">
        <f>_xll.qlCalendarAdvance(Calendar,U1227,T1228,"f",FALSE)</f>
        <v>47408</v>
      </c>
      <c r="V1228" s="248">
        <f>_xll.qlCalendarAdvance(Calendar,U1228,NDays&amp;"D")</f>
        <v>47410</v>
      </c>
      <c r="W1228" s="249">
        <v>2.9582284739724286E-2</v>
      </c>
      <c r="X1228" s="246">
        <v>2.9561496284804534E-2</v>
      </c>
    </row>
    <row r="1229" spans="20:24" x14ac:dyDescent="0.2">
      <c r="T1229" s="247" t="str">
        <f t="shared" si="23"/>
        <v>1w</v>
      </c>
      <c r="U1229" s="245">
        <f>_xll.qlCalendarAdvance(Calendar,U1228,T1229,"f",FALSE)</f>
        <v>47415</v>
      </c>
      <c r="V1229" s="248">
        <f>_xll.qlCalendarAdvance(Calendar,U1229,NDays&amp;"D")</f>
        <v>47417</v>
      </c>
      <c r="W1229" s="249">
        <v>2.9568492768459659E-2</v>
      </c>
      <c r="X1229" s="246">
        <v>2.9547700305645463E-2</v>
      </c>
    </row>
    <row r="1230" spans="20:24" x14ac:dyDescent="0.2">
      <c r="T1230" s="247" t="str">
        <f t="shared" si="23"/>
        <v>1w</v>
      </c>
      <c r="U1230" s="245">
        <f>_xll.qlCalendarAdvance(Calendar,U1229,T1230,"f",FALSE)</f>
        <v>47422</v>
      </c>
      <c r="V1230" s="248">
        <f>_xll.qlCalendarAdvance(Calendar,U1230,NDays&amp;"D")</f>
        <v>47424</v>
      </c>
      <c r="W1230" s="249">
        <v>2.9554717326952168E-2</v>
      </c>
      <c r="X1230" s="246">
        <v>2.9533920686359849E-2</v>
      </c>
    </row>
    <row r="1231" spans="20:24" x14ac:dyDescent="0.2">
      <c r="T1231" s="247" t="str">
        <f t="shared" si="23"/>
        <v>1w</v>
      </c>
      <c r="U1231" s="245">
        <f>_xll.qlCalendarAdvance(Calendar,U1230,T1231,"f",FALSE)</f>
        <v>47429</v>
      </c>
      <c r="V1231" s="248">
        <f>_xll.qlCalendarAdvance(Calendar,U1231,NDays&amp;"D")</f>
        <v>47431</v>
      </c>
      <c r="W1231" s="249">
        <v>2.9540958415026634E-2</v>
      </c>
      <c r="X1231" s="246">
        <v>2.9520157426974336E-2</v>
      </c>
    </row>
    <row r="1232" spans="20:24" x14ac:dyDescent="0.2">
      <c r="T1232" s="247" t="str">
        <f t="shared" si="23"/>
        <v>1w</v>
      </c>
      <c r="U1232" s="245">
        <f>_xll.qlCalendarAdvance(Calendar,U1231,T1232,"f",FALSE)</f>
        <v>47436</v>
      </c>
      <c r="V1232" s="248">
        <f>_xll.qlCalendarAdvance(Calendar,U1232,NDays&amp;"D")</f>
        <v>47438</v>
      </c>
      <c r="W1232" s="249">
        <v>2.952721603250618E-2</v>
      </c>
      <c r="X1232" s="246">
        <v>2.9506410527435634E-2</v>
      </c>
    </row>
    <row r="1233" spans="20:24" x14ac:dyDescent="0.2">
      <c r="T1233" s="247" t="str">
        <f t="shared" si="23"/>
        <v>1w</v>
      </c>
      <c r="U1233" s="245">
        <f>_xll.qlCalendarAdvance(Calendar,U1232,T1233,"f",FALSE)</f>
        <v>47443</v>
      </c>
      <c r="V1233" s="248">
        <f>_xll.qlCalendarAdvance(Calendar,U1233,NDays&amp;"D")</f>
        <v>47445</v>
      </c>
      <c r="W1233" s="249">
        <v>2.9513490179213925E-2</v>
      </c>
      <c r="X1233" s="246">
        <v>2.9492679987770387E-2</v>
      </c>
    </row>
    <row r="1234" spans="20:24" x14ac:dyDescent="0.2">
      <c r="T1234" s="247" t="str">
        <f t="shared" ref="T1234:T1297" si="24">T1233</f>
        <v>1w</v>
      </c>
      <c r="U1234" s="245">
        <f>_xll.qlCalendarAdvance(Calendar,U1233,T1234,"f",FALSE)</f>
        <v>47450</v>
      </c>
      <c r="V1234" s="248">
        <f>_xll.qlCalendarAdvance(Calendar,U1234,NDays&amp;"D")</f>
        <v>47452</v>
      </c>
      <c r="W1234" s="249">
        <v>2.9498862769528955E-2</v>
      </c>
      <c r="X1234" s="246">
        <v>2.9478965807898661E-2</v>
      </c>
    </row>
    <row r="1235" spans="20:24" x14ac:dyDescent="0.2">
      <c r="T1235" s="247" t="str">
        <f t="shared" si="24"/>
        <v>1w</v>
      </c>
      <c r="U1235" s="245">
        <f>_xll.qlCalendarAdvance(Calendar,U1234,T1235,"f",FALSE)</f>
        <v>47457</v>
      </c>
      <c r="V1235" s="248">
        <f>_xll.qlCalendarAdvance(Calendar,U1235,NDays&amp;"D")</f>
        <v>47459</v>
      </c>
      <c r="W1235" s="249">
        <v>2.9485169723015403E-2</v>
      </c>
      <c r="X1235" s="246">
        <v>2.9465267987927035E-2</v>
      </c>
    </row>
    <row r="1236" spans="20:24" x14ac:dyDescent="0.2">
      <c r="T1236" s="247" t="str">
        <f t="shared" si="24"/>
        <v>1w</v>
      </c>
      <c r="U1236" s="245">
        <f>_xll.qlCalendarAdvance(Calendar,U1235,T1236,"f",FALSE)</f>
        <v>47464</v>
      </c>
      <c r="V1236" s="248">
        <f>_xll.qlCalendarAdvance(Calendar,U1236,NDays&amp;"D")</f>
        <v>47466</v>
      </c>
      <c r="W1236" s="249">
        <v>2.9471493197793741E-2</v>
      </c>
      <c r="X1236" s="246">
        <v>2.9451586527775575E-2</v>
      </c>
    </row>
    <row r="1237" spans="20:24" x14ac:dyDescent="0.2">
      <c r="T1237" s="247" t="str">
        <f t="shared" si="24"/>
        <v>1w</v>
      </c>
      <c r="U1237" s="245">
        <f>_xll.qlCalendarAdvance(Calendar,U1236,T1237,"f",FALSE)</f>
        <v>47471</v>
      </c>
      <c r="V1237" s="248">
        <f>_xll.qlCalendarAdvance(Calendar,U1237,NDays&amp;"D")</f>
        <v>47473</v>
      </c>
      <c r="W1237" s="249">
        <v>2.9457833193695215E-2</v>
      </c>
      <c r="X1237" s="246">
        <v>2.9437921427470926E-2</v>
      </c>
    </row>
    <row r="1238" spans="20:24" x14ac:dyDescent="0.2">
      <c r="T1238" s="247" t="str">
        <f t="shared" si="24"/>
        <v>1w</v>
      </c>
      <c r="U1238" s="245">
        <f>_xll.qlCalendarAdvance(Calendar,U1237,T1238,"f",FALSE)</f>
        <v>47479</v>
      </c>
      <c r="V1238" s="248">
        <f>_xll.qlCalendarAdvance(Calendar,U1238,NDays&amp;"D")</f>
        <v>47483</v>
      </c>
      <c r="W1238" s="249">
        <v>2.9437888050142753E-2</v>
      </c>
      <c r="X1238" s="246">
        <v>2.9418200077957479E-2</v>
      </c>
    </row>
    <row r="1239" spans="20:24" x14ac:dyDescent="0.2">
      <c r="T1239" s="247" t="str">
        <f t="shared" si="24"/>
        <v>1w</v>
      </c>
      <c r="U1239" s="245">
        <f>_xll.qlCalendarAdvance(Calendar,U1238,T1239,"f",FALSE)</f>
        <v>47486</v>
      </c>
      <c r="V1239" s="248">
        <f>_xll.qlCalendarAdvance(Calendar,U1239,NDays&amp;"D")</f>
        <v>47490</v>
      </c>
      <c r="W1239" s="249">
        <v>2.9424957533927213E-2</v>
      </c>
      <c r="X1239" s="246">
        <v>2.9404346458665742E-2</v>
      </c>
    </row>
    <row r="1240" spans="20:24" x14ac:dyDescent="0.2">
      <c r="T1240" s="247" t="str">
        <f t="shared" si="24"/>
        <v>1w</v>
      </c>
      <c r="U1240" s="245">
        <f>_xll.qlCalendarAdvance(Calendar,U1239,T1240,"f",FALSE)</f>
        <v>47493</v>
      </c>
      <c r="V1240" s="248">
        <f>_xll.qlCalendarAdvance(Calendar,U1240,NDays&amp;"D")</f>
        <v>47497</v>
      </c>
      <c r="W1240" s="249">
        <v>2.9411354244969518E-2</v>
      </c>
      <c r="X1240" s="246">
        <v>2.9390737334757944E-2</v>
      </c>
    </row>
    <row r="1241" spans="20:24" x14ac:dyDescent="0.2">
      <c r="T1241" s="247" t="str">
        <f t="shared" si="24"/>
        <v>1w</v>
      </c>
      <c r="U1241" s="245">
        <f>_xll.qlCalendarAdvance(Calendar,U1240,T1241,"f",FALSE)</f>
        <v>47500</v>
      </c>
      <c r="V1241" s="248">
        <f>_xll.qlCalendarAdvance(Calendar,U1241,NDays&amp;"D")</f>
        <v>47504</v>
      </c>
      <c r="W1241" s="249">
        <v>2.9397997500205039E-2</v>
      </c>
      <c r="X1241" s="246">
        <v>2.9377144567046543E-2</v>
      </c>
    </row>
    <row r="1242" spans="20:24" x14ac:dyDescent="0.2">
      <c r="T1242" s="247" t="str">
        <f t="shared" si="24"/>
        <v>1w</v>
      </c>
      <c r="U1242" s="245">
        <f>_xll.qlCalendarAdvance(Calendar,U1241,T1242,"f",FALSE)</f>
        <v>47507</v>
      </c>
      <c r="V1242" s="248">
        <f>_xll.qlCalendarAdvance(Calendar,U1242,NDays&amp;"D")</f>
        <v>47511</v>
      </c>
      <c r="W1242" s="249">
        <v>2.9384197233560637E-2</v>
      </c>
      <c r="X1242" s="246">
        <v>2.9363568155371667E-2</v>
      </c>
    </row>
    <row r="1243" spans="20:24" x14ac:dyDescent="0.2">
      <c r="T1243" s="247" t="str">
        <f t="shared" si="24"/>
        <v>1w</v>
      </c>
      <c r="U1243" s="245">
        <f>_xll.qlCalendarAdvance(Calendar,U1242,T1243,"f",FALSE)</f>
        <v>47514</v>
      </c>
      <c r="V1243" s="248">
        <f>_xll.qlCalendarAdvance(Calendar,U1243,NDays&amp;"D")</f>
        <v>47518</v>
      </c>
      <c r="W1243" s="249">
        <v>2.9370643510772135E-2</v>
      </c>
      <c r="X1243" s="246">
        <v>2.9350008099813252E-2</v>
      </c>
    </row>
    <row r="1244" spans="20:24" x14ac:dyDescent="0.2">
      <c r="T1244" s="247" t="str">
        <f t="shared" si="24"/>
        <v>1w</v>
      </c>
      <c r="U1244" s="245">
        <f>_xll.qlCalendarAdvance(Calendar,U1243,T1244,"f",FALSE)</f>
        <v>47521</v>
      </c>
      <c r="V1244" s="248">
        <f>_xll.qlCalendarAdvance(Calendar,U1244,NDays&amp;"D")</f>
        <v>47525</v>
      </c>
      <c r="W1244" s="249">
        <v>2.9357106309703011E-2</v>
      </c>
      <c r="X1244" s="246">
        <v>2.9336464400371298E-2</v>
      </c>
    </row>
    <row r="1245" spans="20:24" x14ac:dyDescent="0.2">
      <c r="T1245" s="247" t="str">
        <f t="shared" si="24"/>
        <v>1w</v>
      </c>
      <c r="U1245" s="245">
        <f>_xll.qlCalendarAdvance(Calendar,U1244,T1245,"f",FALSE)</f>
        <v>47528</v>
      </c>
      <c r="V1245" s="248">
        <f>_xll.qlCalendarAdvance(Calendar,U1245,NDays&amp;"D")</f>
        <v>47532</v>
      </c>
      <c r="W1245" s="249">
        <v>2.9343585630186363E-2</v>
      </c>
      <c r="X1245" s="246">
        <v>2.9322937057045806E-2</v>
      </c>
    </row>
    <row r="1246" spans="20:24" x14ac:dyDescent="0.2">
      <c r="T1246" s="247" t="str">
        <f t="shared" si="24"/>
        <v>1w</v>
      </c>
      <c r="U1246" s="245">
        <f>_xll.qlCalendarAdvance(Calendar,U1245,T1246,"f",FALSE)</f>
        <v>47535</v>
      </c>
      <c r="V1246" s="248">
        <f>_xll.qlCalendarAdvance(Calendar,U1246,NDays&amp;"D")</f>
        <v>47539</v>
      </c>
      <c r="W1246" s="249">
        <v>2.9330081472051781E-2</v>
      </c>
      <c r="X1246" s="246">
        <v>2.9309426069756839E-2</v>
      </c>
    </row>
    <row r="1247" spans="20:24" x14ac:dyDescent="0.2">
      <c r="T1247" s="247" t="str">
        <f t="shared" si="24"/>
        <v>1w</v>
      </c>
      <c r="U1247" s="245">
        <f>_xll.qlCalendarAdvance(Calendar,U1246,T1247,"f",FALSE)</f>
        <v>47542</v>
      </c>
      <c r="V1247" s="248">
        <f>_xll.qlCalendarAdvance(Calendar,U1247,NDays&amp;"D")</f>
        <v>47546</v>
      </c>
      <c r="W1247" s="249">
        <v>2.9316824343150753E-2</v>
      </c>
      <c r="X1247" s="246">
        <v>2.9295931438664269E-2</v>
      </c>
    </row>
    <row r="1248" spans="20:24" x14ac:dyDescent="0.2">
      <c r="T1248" s="247" t="str">
        <f t="shared" si="24"/>
        <v>1w</v>
      </c>
      <c r="U1248" s="245">
        <f>_xll.qlCalendarAdvance(Calendar,U1247,T1248,"f",FALSE)</f>
        <v>47549</v>
      </c>
      <c r="V1248" s="248">
        <f>_xll.qlCalendarAdvance(Calendar,U1248,NDays&amp;"D")</f>
        <v>47553</v>
      </c>
      <c r="W1248" s="249">
        <v>2.9303353314703236E-2</v>
      </c>
      <c r="X1248" s="246">
        <v>2.9282453163608224E-2</v>
      </c>
    </row>
    <row r="1249" spans="20:24" x14ac:dyDescent="0.2">
      <c r="T1249" s="247" t="str">
        <f t="shared" si="24"/>
        <v>1w</v>
      </c>
      <c r="U1249" s="245">
        <f>_xll.qlCalendarAdvance(Calendar,U1248,T1249,"f",FALSE)</f>
        <v>47556</v>
      </c>
      <c r="V1249" s="248">
        <f>_xll.qlCalendarAdvance(Calendar,U1249,NDays&amp;"D")</f>
        <v>47560</v>
      </c>
      <c r="W1249" s="249">
        <v>2.9289898808965011E-2</v>
      </c>
      <c r="X1249" s="246">
        <v>2.9268991244668641E-2</v>
      </c>
    </row>
    <row r="1250" spans="20:24" x14ac:dyDescent="0.2">
      <c r="T1250" s="247" t="str">
        <f t="shared" si="24"/>
        <v>1w</v>
      </c>
      <c r="U1250" s="245">
        <f>_xll.qlCalendarAdvance(Calendar,U1249,T1250,"f",FALSE)</f>
        <v>47563</v>
      </c>
      <c r="V1250" s="248">
        <f>_xll.qlCalendarAdvance(Calendar,U1250,NDays&amp;"D")</f>
        <v>47567</v>
      </c>
      <c r="W1250" s="249">
        <v>2.9276460825766643E-2</v>
      </c>
      <c r="X1250" s="246">
        <v>2.9255545681925454E-2</v>
      </c>
    </row>
    <row r="1251" spans="20:24" x14ac:dyDescent="0.2">
      <c r="T1251" s="247" t="str">
        <f t="shared" si="24"/>
        <v>1w</v>
      </c>
      <c r="U1251" s="245">
        <f>_xll.qlCalendarAdvance(Calendar,U1250,T1251,"f",FALSE)</f>
        <v>47570</v>
      </c>
      <c r="V1251" s="248">
        <f>_xll.qlCalendarAdvance(Calendar,U1251,NDays&amp;"D")</f>
        <v>47574</v>
      </c>
      <c r="W1251" s="249">
        <v>2.926280849627802E-2</v>
      </c>
      <c r="X1251" s="246">
        <v>2.9242116475138857E-2</v>
      </c>
    </row>
    <row r="1252" spans="20:24" x14ac:dyDescent="0.2">
      <c r="T1252" s="247" t="str">
        <f t="shared" si="24"/>
        <v>1w</v>
      </c>
      <c r="U1252" s="245">
        <f>_xll.qlCalendarAdvance(Calendar,U1251,T1252,"f",FALSE)</f>
        <v>47577</v>
      </c>
      <c r="V1252" s="248">
        <f>_xll.qlCalendarAdvance(Calendar,U1252,NDays&amp;"D")</f>
        <v>47581</v>
      </c>
      <c r="W1252" s="249">
        <v>2.9249403462932692E-2</v>
      </c>
      <c r="X1252" s="246">
        <v>2.9228703624468722E-2</v>
      </c>
    </row>
    <row r="1253" spans="20:24" x14ac:dyDescent="0.2">
      <c r="T1253" s="247" t="str">
        <f t="shared" si="24"/>
        <v>1w</v>
      </c>
      <c r="U1253" s="245">
        <f>_xll.qlCalendarAdvance(Calendar,U1252,T1253,"f",FALSE)</f>
        <v>47584</v>
      </c>
      <c r="V1253" s="248">
        <f>_xll.qlCalendarAdvance(Calendar,U1253,NDays&amp;"D")</f>
        <v>47588</v>
      </c>
      <c r="W1253" s="249">
        <v>2.9236014949802012E-2</v>
      </c>
      <c r="X1253" s="246">
        <v>2.9215307129915047E-2</v>
      </c>
    </row>
    <row r="1254" spans="20:24" x14ac:dyDescent="0.2">
      <c r="T1254" s="247" t="str">
        <f t="shared" si="24"/>
        <v>1w</v>
      </c>
      <c r="U1254" s="245">
        <f>_xll.qlCalendarAdvance(Calendar,U1253,T1254,"f",FALSE)</f>
        <v>47591</v>
      </c>
      <c r="V1254" s="248">
        <f>_xll.qlCalendarAdvance(Calendar,U1254,NDays&amp;"D")</f>
        <v>47597</v>
      </c>
      <c r="W1254" s="249">
        <v>2.9218825421539679E-2</v>
      </c>
      <c r="X1254" s="246">
        <v>2.9198107098995507E-2</v>
      </c>
    </row>
    <row r="1255" spans="20:24" x14ac:dyDescent="0.2">
      <c r="T1255" s="247" t="str">
        <f t="shared" si="24"/>
        <v>1w</v>
      </c>
      <c r="U1255" s="245">
        <f>_xll.qlCalendarAdvance(Calendar,U1254,T1255,"f",FALSE)</f>
        <v>47598</v>
      </c>
      <c r="V1255" s="248">
        <f>_xll.qlCalendarAdvance(Calendar,U1255,NDays&amp;"D")</f>
        <v>47602</v>
      </c>
      <c r="W1255" s="249">
        <v>2.9209287483519631E-2</v>
      </c>
      <c r="X1255" s="246">
        <v>2.9188563209077145E-2</v>
      </c>
    </row>
    <row r="1256" spans="20:24" x14ac:dyDescent="0.2">
      <c r="T1256" s="247" t="str">
        <f t="shared" si="24"/>
        <v>1w</v>
      </c>
      <c r="U1256" s="245">
        <f>_xll.qlCalendarAdvance(Calendar,U1255,T1256,"f",FALSE)</f>
        <v>47605</v>
      </c>
      <c r="V1256" s="248">
        <f>_xll.qlCalendarAdvance(Calendar,U1256,NDays&amp;"D")</f>
        <v>47609</v>
      </c>
      <c r="W1256" s="249">
        <v>2.9196179890487946E-2</v>
      </c>
      <c r="X1256" s="246">
        <v>2.9175215782792918E-2</v>
      </c>
    </row>
    <row r="1257" spans="20:24" x14ac:dyDescent="0.2">
      <c r="T1257" s="247" t="str">
        <f t="shared" si="24"/>
        <v>1w</v>
      </c>
      <c r="U1257" s="245">
        <f>_xll.qlCalendarAdvance(Calendar,U1256,T1257,"f",FALSE)</f>
        <v>47612</v>
      </c>
      <c r="V1257" s="248">
        <f>_xll.qlCalendarAdvance(Calendar,U1257,NDays&amp;"D")</f>
        <v>47616</v>
      </c>
      <c r="W1257" s="249">
        <v>2.9182857560361045E-2</v>
      </c>
      <c r="X1257" s="246">
        <v>2.9161884712625152E-2</v>
      </c>
    </row>
    <row r="1258" spans="20:24" x14ac:dyDescent="0.2">
      <c r="T1258" s="247" t="str">
        <f t="shared" si="24"/>
        <v>1w</v>
      </c>
      <c r="U1258" s="245">
        <f>_xll.qlCalendarAdvance(Calendar,U1257,T1258,"f",FALSE)</f>
        <v>47619</v>
      </c>
      <c r="V1258" s="248">
        <f>_xll.qlCalendarAdvance(Calendar,U1258,NDays&amp;"D")</f>
        <v>47623</v>
      </c>
      <c r="W1258" s="249">
        <v>2.9169551751428994E-2</v>
      </c>
      <c r="X1258" s="246">
        <v>2.9148569998413976E-2</v>
      </c>
    </row>
    <row r="1259" spans="20:24" x14ac:dyDescent="0.2">
      <c r="T1259" s="247" t="str">
        <f t="shared" si="24"/>
        <v>1w</v>
      </c>
      <c r="U1259" s="245">
        <f>_xll.qlCalendarAdvance(Calendar,U1258,T1259,"f",FALSE)</f>
        <v>47626</v>
      </c>
      <c r="V1259" s="248">
        <f>_xll.qlCalendarAdvance(Calendar,U1259,NDays&amp;"D")</f>
        <v>47630</v>
      </c>
      <c r="W1259" s="249">
        <v>2.9156262463528437E-2</v>
      </c>
      <c r="X1259" s="246">
        <v>2.9135271640399196E-2</v>
      </c>
    </row>
    <row r="1260" spans="20:24" x14ac:dyDescent="0.2">
      <c r="T1260" s="247" t="str">
        <f t="shared" si="24"/>
        <v>1w</v>
      </c>
      <c r="U1260" s="245">
        <f>_xll.qlCalendarAdvance(Calendar,U1259,T1260,"f",FALSE)</f>
        <v>47633</v>
      </c>
      <c r="V1260" s="248">
        <f>_xll.qlCalendarAdvance(Calendar,U1260,NDays&amp;"D")</f>
        <v>47637</v>
      </c>
      <c r="W1260" s="249">
        <v>2.9142989696489083E-2</v>
      </c>
      <c r="X1260" s="246">
        <v>2.9121989638420942E-2</v>
      </c>
    </row>
    <row r="1261" spans="20:24" x14ac:dyDescent="0.2">
      <c r="T1261" s="247" t="str">
        <f t="shared" si="24"/>
        <v>1w</v>
      </c>
      <c r="U1261" s="245">
        <f>_xll.qlCalendarAdvance(Calendar,U1260,T1261,"f",FALSE)</f>
        <v>47640</v>
      </c>
      <c r="V1261" s="248">
        <f>_xll.qlCalendarAdvance(Calendar,U1261,NDays&amp;"D")</f>
        <v>47644</v>
      </c>
      <c r="W1261" s="249">
        <v>2.9129733450146716E-2</v>
      </c>
      <c r="X1261" s="246">
        <v>2.9108723992559149E-2</v>
      </c>
    </row>
    <row r="1262" spans="20:24" x14ac:dyDescent="0.2">
      <c r="T1262" s="247" t="str">
        <f t="shared" si="24"/>
        <v>1w</v>
      </c>
      <c r="U1262" s="245">
        <f>_xll.qlCalendarAdvance(Calendar,U1261,T1262,"f",FALSE)</f>
        <v>47647</v>
      </c>
      <c r="V1262" s="248">
        <f>_xll.qlCalendarAdvance(Calendar,U1262,NDays&amp;"D")</f>
        <v>47651</v>
      </c>
      <c r="W1262" s="249">
        <v>2.9116493724334506E-2</v>
      </c>
      <c r="X1262" s="246">
        <v>2.9095474702653945E-2</v>
      </c>
    </row>
    <row r="1263" spans="20:24" x14ac:dyDescent="0.2">
      <c r="T1263" s="247" t="str">
        <f t="shared" si="24"/>
        <v>1w</v>
      </c>
      <c r="U1263" s="245">
        <f>_xll.qlCalendarAdvance(Calendar,U1262,T1263,"f",FALSE)</f>
        <v>47654</v>
      </c>
      <c r="V1263" s="248">
        <f>_xll.qlCalendarAdvance(Calendar,U1263,NDays&amp;"D")</f>
        <v>47658</v>
      </c>
      <c r="W1263" s="249">
        <v>2.9103270518886507E-2</v>
      </c>
      <c r="X1263" s="246">
        <v>2.9082241768945138E-2</v>
      </c>
    </row>
    <row r="1264" spans="20:24" x14ac:dyDescent="0.2">
      <c r="T1264" s="247" t="str">
        <f t="shared" si="24"/>
        <v>1w</v>
      </c>
      <c r="U1264" s="245">
        <f>_xll.qlCalendarAdvance(Calendar,U1263,T1264,"f",FALSE)</f>
        <v>47661</v>
      </c>
      <c r="V1264" s="248">
        <f>_xll.qlCalendarAdvance(Calendar,U1264,NDays&amp;"D")</f>
        <v>47665</v>
      </c>
      <c r="W1264" s="249">
        <v>2.9090063833636756E-2</v>
      </c>
      <c r="X1264" s="246">
        <v>2.9069025191272857E-2</v>
      </c>
    </row>
    <row r="1265" spans="20:24" x14ac:dyDescent="0.2">
      <c r="T1265" s="247" t="str">
        <f t="shared" si="24"/>
        <v>1w</v>
      </c>
      <c r="U1265" s="245">
        <f>_xll.qlCalendarAdvance(Calendar,U1264,T1265,"f",FALSE)</f>
        <v>47668</v>
      </c>
      <c r="V1265" s="248">
        <f>_xll.qlCalendarAdvance(Calendar,U1265,NDays&amp;"D")</f>
        <v>47672</v>
      </c>
      <c r="W1265" s="249">
        <v>2.9076873668418438E-2</v>
      </c>
      <c r="X1265" s="246">
        <v>2.9055824969637101E-2</v>
      </c>
    </row>
    <row r="1266" spans="20:24" x14ac:dyDescent="0.2">
      <c r="T1266" s="247" t="str">
        <f t="shared" si="24"/>
        <v>1w</v>
      </c>
      <c r="U1266" s="245">
        <f>_xll.qlCalendarAdvance(Calendar,U1265,T1266,"f",FALSE)</f>
        <v>47675</v>
      </c>
      <c r="V1266" s="248">
        <f>_xll.qlCalendarAdvance(Calendar,U1266,NDays&amp;"D")</f>
        <v>47679</v>
      </c>
      <c r="W1266" s="249">
        <v>2.9063700023068205E-2</v>
      </c>
      <c r="X1266" s="246">
        <v>2.9042641104117806E-2</v>
      </c>
    </row>
    <row r="1267" spans="20:24" x14ac:dyDescent="0.2">
      <c r="T1267" s="247" t="str">
        <f t="shared" si="24"/>
        <v>1w</v>
      </c>
      <c r="U1267" s="245">
        <f>_xll.qlCalendarAdvance(Calendar,U1266,T1267,"f",FALSE)</f>
        <v>47682</v>
      </c>
      <c r="V1267" s="248">
        <f>_xll.qlCalendarAdvance(Calendar,U1267,NDays&amp;"D")</f>
        <v>47686</v>
      </c>
      <c r="W1267" s="249">
        <v>2.905054289741749E-2</v>
      </c>
      <c r="X1267" s="246">
        <v>2.90294735945551E-2</v>
      </c>
    </row>
    <row r="1268" spans="20:24" x14ac:dyDescent="0.2">
      <c r="T1268" s="247" t="str">
        <f t="shared" si="24"/>
        <v>1w</v>
      </c>
      <c r="U1268" s="245">
        <f>_xll.qlCalendarAdvance(Calendar,U1267,T1268,"f",FALSE)</f>
        <v>47689</v>
      </c>
      <c r="V1268" s="248">
        <f>_xll.qlCalendarAdvance(Calendar,U1268,NDays&amp;"D")</f>
        <v>47693</v>
      </c>
      <c r="W1268" s="249">
        <v>2.9037402291303815E-2</v>
      </c>
      <c r="X1268" s="246">
        <v>2.9016322441188791E-2</v>
      </c>
    </row>
    <row r="1269" spans="20:24" x14ac:dyDescent="0.2">
      <c r="T1269" s="247" t="str">
        <f t="shared" si="24"/>
        <v>1w</v>
      </c>
      <c r="U1269" s="245">
        <f>_xll.qlCalendarAdvance(Calendar,U1268,T1269,"f",FALSE)</f>
        <v>47696</v>
      </c>
      <c r="V1269" s="248">
        <f>_xll.qlCalendarAdvance(Calendar,U1269,NDays&amp;"D")</f>
        <v>47700</v>
      </c>
      <c r="W1269" s="249">
        <v>2.90242782045621E-2</v>
      </c>
      <c r="X1269" s="246">
        <v>2.9003187643859007E-2</v>
      </c>
    </row>
    <row r="1270" spans="20:24" x14ac:dyDescent="0.2">
      <c r="T1270" s="247" t="str">
        <f t="shared" si="24"/>
        <v>1w</v>
      </c>
      <c r="U1270" s="245">
        <f>_xll.qlCalendarAdvance(Calendar,U1269,T1270,"f",FALSE)</f>
        <v>47703</v>
      </c>
      <c r="V1270" s="248">
        <f>_xll.qlCalendarAdvance(Calendar,U1270,NDays&amp;"D")</f>
        <v>47707</v>
      </c>
      <c r="W1270" s="249">
        <v>2.9011170637026389E-2</v>
      </c>
      <c r="X1270" s="246">
        <v>2.8990069202565749E-2</v>
      </c>
    </row>
    <row r="1271" spans="20:24" x14ac:dyDescent="0.2">
      <c r="T1271" s="247" t="str">
        <f t="shared" si="24"/>
        <v>1w</v>
      </c>
      <c r="U1271" s="245">
        <f>_xll.qlCalendarAdvance(Calendar,U1270,T1271,"f",FALSE)</f>
        <v>47710</v>
      </c>
      <c r="V1271" s="248">
        <f>_xll.qlCalendarAdvance(Calendar,U1271,NDays&amp;"D")</f>
        <v>47714</v>
      </c>
      <c r="W1271" s="249">
        <v>2.8998079588533333E-2</v>
      </c>
      <c r="X1271" s="246">
        <v>2.8976967117309016E-2</v>
      </c>
    </row>
    <row r="1272" spans="20:24" x14ac:dyDescent="0.2">
      <c r="T1272" s="247" t="str">
        <f t="shared" si="24"/>
        <v>1w</v>
      </c>
      <c r="U1272" s="245">
        <f>_xll.qlCalendarAdvance(Calendar,U1271,T1272,"f",FALSE)</f>
        <v>47717</v>
      </c>
      <c r="V1272" s="248">
        <f>_xll.qlCalendarAdvance(Calendar,U1272,NDays&amp;"D")</f>
        <v>47721</v>
      </c>
      <c r="W1272" s="249">
        <v>2.8985005058916977E-2</v>
      </c>
      <c r="X1272" s="246">
        <v>2.8963881388088808E-2</v>
      </c>
    </row>
    <row r="1273" spans="20:24" x14ac:dyDescent="0.2">
      <c r="T1273" s="247" t="str">
        <f t="shared" si="24"/>
        <v>1w</v>
      </c>
      <c r="U1273" s="245">
        <f>_xll.qlCalendarAdvance(Calendar,U1272,T1273,"f",FALSE)</f>
        <v>47724</v>
      </c>
      <c r="V1273" s="248">
        <f>_xll.qlCalendarAdvance(Calendar,U1273,NDays&amp;"D")</f>
        <v>47728</v>
      </c>
      <c r="W1273" s="249">
        <v>2.897171367779967E-2</v>
      </c>
      <c r="X1273" s="246">
        <v>2.8950812014985061E-2</v>
      </c>
    </row>
    <row r="1274" spans="20:24" x14ac:dyDescent="0.2">
      <c r="T1274" s="247" t="str">
        <f t="shared" si="24"/>
        <v>1w</v>
      </c>
      <c r="U1274" s="245">
        <f>_xll.qlCalendarAdvance(Calendar,U1273,T1274,"f",FALSE)</f>
        <v>47731</v>
      </c>
      <c r="V1274" s="248">
        <f>_xll.qlCalendarAdvance(Calendar,U1274,NDays&amp;"D")</f>
        <v>47735</v>
      </c>
      <c r="W1274" s="249">
        <v>2.8958672051099782E-2</v>
      </c>
      <c r="X1274" s="246">
        <v>2.893775899791784E-2</v>
      </c>
    </row>
    <row r="1275" spans="20:24" x14ac:dyDescent="0.2">
      <c r="T1275" s="247" t="str">
        <f t="shared" si="24"/>
        <v>1w</v>
      </c>
      <c r="U1275" s="245">
        <f>_xll.qlCalendarAdvance(Calendar,U1274,T1275,"f",FALSE)</f>
        <v>47738</v>
      </c>
      <c r="V1275" s="248">
        <f>_xll.qlCalendarAdvance(Calendar,U1275,NDays&amp;"D")</f>
        <v>47742</v>
      </c>
      <c r="W1275" s="249">
        <v>2.8945646941005116E-2</v>
      </c>
      <c r="X1275" s="246">
        <v>2.8924722336887143E-2</v>
      </c>
    </row>
    <row r="1276" spans="20:24" x14ac:dyDescent="0.2">
      <c r="T1276" s="247" t="str">
        <f t="shared" si="24"/>
        <v>1w</v>
      </c>
      <c r="U1276" s="245">
        <f>_xll.qlCalendarAdvance(Calendar,U1275,T1276,"f",FALSE)</f>
        <v>47745</v>
      </c>
      <c r="V1276" s="248">
        <f>_xll.qlCalendarAdvance(Calendar,U1276,NDays&amp;"D")</f>
        <v>47749</v>
      </c>
      <c r="W1276" s="249">
        <v>2.8932638347354048E-2</v>
      </c>
      <c r="X1276" s="246">
        <v>2.8911702031972908E-2</v>
      </c>
    </row>
    <row r="1277" spans="20:24" x14ac:dyDescent="0.2">
      <c r="T1277" s="247" t="str">
        <f t="shared" si="24"/>
        <v>1w</v>
      </c>
      <c r="U1277" s="245">
        <f>_xll.qlCalendarAdvance(Calendar,U1276,T1277,"f",FALSE)</f>
        <v>47752</v>
      </c>
      <c r="V1277" s="248">
        <f>_xll.qlCalendarAdvance(Calendar,U1277,NDays&amp;"D")</f>
        <v>47756</v>
      </c>
      <c r="W1277" s="249">
        <v>2.8919880188272032E-2</v>
      </c>
      <c r="X1277" s="246">
        <v>2.8898698083015262E-2</v>
      </c>
    </row>
    <row r="1278" spans="20:24" x14ac:dyDescent="0.2">
      <c r="T1278" s="247" t="str">
        <f t="shared" si="24"/>
        <v>1w</v>
      </c>
      <c r="U1278" s="245">
        <f>_xll.qlCalendarAdvance(Calendar,U1277,T1278,"f",FALSE)</f>
        <v>47759</v>
      </c>
      <c r="V1278" s="248">
        <f>_xll.qlCalendarAdvance(Calendar,U1278,NDays&amp;"D")</f>
        <v>47763</v>
      </c>
      <c r="W1278" s="249">
        <v>2.8906904768486456E-2</v>
      </c>
      <c r="X1278" s="246">
        <v>2.8885710490094141E-2</v>
      </c>
    </row>
    <row r="1279" spans="20:24" x14ac:dyDescent="0.2">
      <c r="T1279" s="247" t="str">
        <f t="shared" si="24"/>
        <v>1w</v>
      </c>
      <c r="U1279" s="245">
        <f>_xll.qlCalendarAdvance(Calendar,U1278,T1279,"f",FALSE)</f>
        <v>47766</v>
      </c>
      <c r="V1279" s="248">
        <f>_xll.qlCalendarAdvance(Calendar,U1279,NDays&amp;"D")</f>
        <v>47770</v>
      </c>
      <c r="W1279" s="249">
        <v>2.8893945866433277E-2</v>
      </c>
      <c r="X1279" s="246">
        <v>2.8872739253289481E-2</v>
      </c>
    </row>
    <row r="1280" spans="20:24" x14ac:dyDescent="0.2">
      <c r="T1280" s="247" t="str">
        <f t="shared" si="24"/>
        <v>1w</v>
      </c>
      <c r="U1280" s="245">
        <f>_xll.qlCalendarAdvance(Calendar,U1279,T1280,"f",FALSE)</f>
        <v>47773</v>
      </c>
      <c r="V1280" s="248">
        <f>_xll.qlCalendarAdvance(Calendar,U1280,NDays&amp;"D")</f>
        <v>47777</v>
      </c>
      <c r="W1280" s="249">
        <v>2.8881003481951755E-2</v>
      </c>
      <c r="X1280" s="246">
        <v>2.885978437244141E-2</v>
      </c>
    </row>
    <row r="1281" spans="20:24" x14ac:dyDescent="0.2">
      <c r="T1281" s="247" t="str">
        <f t="shared" si="24"/>
        <v>1w</v>
      </c>
      <c r="U1281" s="245">
        <f>_xll.qlCalendarAdvance(Calendar,U1280,T1281,"f",FALSE)</f>
        <v>47780</v>
      </c>
      <c r="V1281" s="248">
        <f>_xll.qlCalendarAdvance(Calendar,U1281,NDays&amp;"D")</f>
        <v>47784</v>
      </c>
      <c r="W1281" s="249">
        <v>2.8868077614878546E-2</v>
      </c>
      <c r="X1281" s="246">
        <v>2.8846845847709801E-2</v>
      </c>
    </row>
    <row r="1282" spans="20:24" x14ac:dyDescent="0.2">
      <c r="T1282" s="247" t="str">
        <f t="shared" si="24"/>
        <v>1w</v>
      </c>
      <c r="U1282" s="245">
        <f>_xll.qlCalendarAdvance(Calendar,U1281,T1282,"f",FALSE)</f>
        <v>47787</v>
      </c>
      <c r="V1282" s="248">
        <f>_xll.qlCalendarAdvance(Calendar,U1282,NDays&amp;"D")</f>
        <v>47791</v>
      </c>
      <c r="W1282" s="249">
        <v>2.8855168265052907E-2</v>
      </c>
      <c r="X1282" s="246">
        <v>2.8833923679014717E-2</v>
      </c>
    </row>
    <row r="1283" spans="20:24" x14ac:dyDescent="0.2">
      <c r="T1283" s="247" t="str">
        <f t="shared" si="24"/>
        <v>1w</v>
      </c>
      <c r="U1283" s="245">
        <f>_xll.qlCalendarAdvance(Calendar,U1282,T1283,"f",FALSE)</f>
        <v>47794</v>
      </c>
      <c r="V1283" s="248">
        <f>_xll.qlCalendarAdvance(Calendar,U1283,NDays&amp;"D")</f>
        <v>47798</v>
      </c>
      <c r="W1283" s="249">
        <v>2.8842275432309751E-2</v>
      </c>
      <c r="X1283" s="246">
        <v>2.8821017866356158E-2</v>
      </c>
    </row>
    <row r="1284" spans="20:24" x14ac:dyDescent="0.2">
      <c r="T1284" s="247" t="str">
        <f t="shared" si="24"/>
        <v>1w</v>
      </c>
      <c r="U1284" s="245">
        <f>_xll.qlCalendarAdvance(Calendar,U1283,T1284,"f",FALSE)</f>
        <v>47801</v>
      </c>
      <c r="V1284" s="248">
        <f>_xll.qlCalendarAdvance(Calendar,U1284,NDays&amp;"D")</f>
        <v>47805</v>
      </c>
      <c r="W1284" s="249">
        <v>2.8829399116490944E-2</v>
      </c>
      <c r="X1284" s="246">
        <v>2.8808128409734124E-2</v>
      </c>
    </row>
    <row r="1285" spans="20:24" x14ac:dyDescent="0.2">
      <c r="T1285" s="247" t="str">
        <f t="shared" si="24"/>
        <v>1w</v>
      </c>
      <c r="U1285" s="245">
        <f>_xll.qlCalendarAdvance(Calendar,U1284,T1285,"f",FALSE)</f>
        <v>47808</v>
      </c>
      <c r="V1285" s="248">
        <f>_xll.qlCalendarAdvance(Calendar,U1285,NDays&amp;"D")</f>
        <v>47812</v>
      </c>
      <c r="W1285" s="249">
        <v>2.8816539317433141E-2</v>
      </c>
      <c r="X1285" s="246">
        <v>2.8795255309068679E-2</v>
      </c>
    </row>
    <row r="1286" spans="20:24" x14ac:dyDescent="0.2">
      <c r="T1286" s="247" t="str">
        <f t="shared" si="24"/>
        <v>1w</v>
      </c>
      <c r="U1286" s="245">
        <f>_xll.qlCalendarAdvance(Calendar,U1285,T1286,"f",FALSE)</f>
        <v>47815</v>
      </c>
      <c r="V1286" s="248">
        <f>_xll.qlCalendarAdvance(Calendar,U1286,NDays&amp;"D")</f>
        <v>47819</v>
      </c>
      <c r="W1286" s="249">
        <v>2.8803460779842735E-2</v>
      </c>
      <c r="X1286" s="246">
        <v>2.8782398564599632E-2</v>
      </c>
    </row>
    <row r="1287" spans="20:24" x14ac:dyDescent="0.2">
      <c r="T1287" s="247" t="str">
        <f t="shared" si="24"/>
        <v>1w</v>
      </c>
      <c r="U1287" s="245">
        <f>_xll.qlCalendarAdvance(Calendar,U1286,T1287,"f",FALSE)</f>
        <v>47822</v>
      </c>
      <c r="V1287" s="248">
        <f>_xll.qlCalendarAdvance(Calendar,U1287,NDays&amp;"D")</f>
        <v>47826</v>
      </c>
      <c r="W1287" s="249">
        <v>2.8790633856463462E-2</v>
      </c>
      <c r="X1287" s="246">
        <v>2.8769558175927301E-2</v>
      </c>
    </row>
    <row r="1288" spans="20:24" x14ac:dyDescent="0.2">
      <c r="T1288" s="247" t="str">
        <f t="shared" si="24"/>
        <v>1w</v>
      </c>
      <c r="U1288" s="245">
        <f>_xll.qlCalendarAdvance(Calendar,U1287,T1288,"f",FALSE)</f>
        <v>47829</v>
      </c>
      <c r="V1288" s="248">
        <f>_xll.qlCalendarAdvance(Calendar,U1288,NDays&amp;"D")</f>
        <v>47833</v>
      </c>
      <c r="W1288" s="249">
        <v>2.8777823447604049E-2</v>
      </c>
      <c r="X1288" s="246">
        <v>2.8756734143371432E-2</v>
      </c>
    </row>
    <row r="1289" spans="20:24" x14ac:dyDescent="0.2">
      <c r="T1289" s="247" t="str">
        <f t="shared" si="24"/>
        <v>1w</v>
      </c>
      <c r="U1289" s="245">
        <f>_xll.qlCalendarAdvance(Calendar,U1288,T1289,"f",FALSE)</f>
        <v>47836</v>
      </c>
      <c r="V1289" s="248">
        <f>_xll.qlCalendarAdvance(Calendar,U1289,NDays&amp;"D")</f>
        <v>47840</v>
      </c>
      <c r="W1289" s="249">
        <v>2.8765029553106385E-2</v>
      </c>
      <c r="X1289" s="246">
        <v>2.8743926466932024E-2</v>
      </c>
    </row>
    <row r="1290" spans="20:24" x14ac:dyDescent="0.2">
      <c r="T1290" s="247" t="str">
        <f t="shared" si="24"/>
        <v>1w</v>
      </c>
      <c r="U1290" s="245">
        <f>_xll.qlCalendarAdvance(Calendar,U1289,T1290,"f",FALSE)</f>
        <v>47844</v>
      </c>
      <c r="V1290" s="248">
        <f>_xll.qlCalendarAdvance(Calendar,U1290,NDays&amp;"D")</f>
        <v>47848</v>
      </c>
      <c r="W1290" s="249">
        <v>2.8750192290713628E-2</v>
      </c>
      <c r="X1290" s="246">
        <v>2.8729542597716318E-2</v>
      </c>
    </row>
    <row r="1291" spans="20:24" x14ac:dyDescent="0.2">
      <c r="T1291" s="247" t="str">
        <f t="shared" si="24"/>
        <v>1w</v>
      </c>
      <c r="U1291" s="245">
        <f>_xll.qlCalendarAdvance(Calendar,U1290,T1291,"f",FALSE)</f>
        <v>47851</v>
      </c>
      <c r="V1291" s="248">
        <f>_xll.qlCalendarAdvance(Calendar,U1291,NDays&amp;"D")</f>
        <v>47855</v>
      </c>
      <c r="W1291" s="249">
        <v>2.8737433619137498E-2</v>
      </c>
      <c r="X1291" s="246">
        <v>2.8716536522299663E-2</v>
      </c>
    </row>
    <row r="1292" spans="20:24" x14ac:dyDescent="0.2">
      <c r="T1292" s="247" t="str">
        <f t="shared" si="24"/>
        <v>1w</v>
      </c>
      <c r="U1292" s="245">
        <f>_xll.qlCalendarAdvance(Calendar,U1291,T1292,"f",FALSE)</f>
        <v>47858</v>
      </c>
      <c r="V1292" s="248">
        <f>_xll.qlCalendarAdvance(Calendar,U1292,NDays&amp;"D")</f>
        <v>47862</v>
      </c>
      <c r="W1292" s="249">
        <v>2.8724927680486418E-2</v>
      </c>
      <c r="X1292" s="246">
        <v>2.8703780250500799E-2</v>
      </c>
    </row>
    <row r="1293" spans="20:24" x14ac:dyDescent="0.2">
      <c r="T1293" s="247" t="str">
        <f t="shared" si="24"/>
        <v>1w</v>
      </c>
      <c r="U1293" s="245">
        <f>_xll.qlCalendarAdvance(Calendar,U1292,T1293,"f",FALSE)</f>
        <v>47865</v>
      </c>
      <c r="V1293" s="248">
        <f>_xll.qlCalendarAdvance(Calendar,U1293,NDays&amp;"D")</f>
        <v>47869</v>
      </c>
      <c r="W1293" s="249">
        <v>2.871196581216573E-2</v>
      </c>
      <c r="X1293" s="246">
        <v>2.8691040334578588E-2</v>
      </c>
    </row>
    <row r="1294" spans="20:24" x14ac:dyDescent="0.2">
      <c r="T1294" s="247" t="str">
        <f t="shared" si="24"/>
        <v>1w</v>
      </c>
      <c r="U1294" s="245">
        <f>_xll.qlCalendarAdvance(Calendar,U1293,T1294,"f",FALSE)</f>
        <v>47872</v>
      </c>
      <c r="V1294" s="248">
        <f>_xll.qlCalendarAdvance(Calendar,U1294,NDays&amp;"D")</f>
        <v>47876</v>
      </c>
      <c r="W1294" s="249">
        <v>2.8699256676455676E-2</v>
      </c>
      <c r="X1294" s="246">
        <v>2.8678316774772838E-2</v>
      </c>
    </row>
    <row r="1295" spans="20:24" x14ac:dyDescent="0.2">
      <c r="T1295" s="247" t="str">
        <f t="shared" si="24"/>
        <v>1w</v>
      </c>
      <c r="U1295" s="245">
        <f>_xll.qlCalendarAdvance(Calendar,U1294,T1295,"f",FALSE)</f>
        <v>47879</v>
      </c>
      <c r="V1295" s="248">
        <f>_xll.qlCalendarAdvance(Calendar,U1295,NDays&amp;"D")</f>
        <v>47883</v>
      </c>
      <c r="W1295" s="249">
        <v>2.8686564052391006E-2</v>
      </c>
      <c r="X1295" s="246">
        <v>2.8665609571003614E-2</v>
      </c>
    </row>
    <row r="1296" spans="20:24" x14ac:dyDescent="0.2">
      <c r="T1296" s="247" t="str">
        <f t="shared" si="24"/>
        <v>1w</v>
      </c>
      <c r="U1296" s="245">
        <f>_xll.qlCalendarAdvance(Calendar,U1295,T1296,"f",FALSE)</f>
        <v>47886</v>
      </c>
      <c r="V1296" s="248">
        <f>_xll.qlCalendarAdvance(Calendar,U1296,NDays&amp;"D")</f>
        <v>47890</v>
      </c>
      <c r="W1296" s="249">
        <v>2.8673887939811848E-2</v>
      </c>
      <c r="X1296" s="246">
        <v>2.8652918723190979E-2</v>
      </c>
    </row>
    <row r="1297" spans="20:24" x14ac:dyDescent="0.2">
      <c r="T1297" s="247" t="str">
        <f t="shared" si="24"/>
        <v>1w</v>
      </c>
      <c r="U1297" s="245">
        <f>_xll.qlCalendarAdvance(Calendar,U1296,T1297,"f",FALSE)</f>
        <v>47893</v>
      </c>
      <c r="V1297" s="248">
        <f>_xll.qlCalendarAdvance(Calendar,U1297,NDays&amp;"D")</f>
        <v>47897</v>
      </c>
      <c r="W1297" s="249">
        <v>2.8661228338565437E-2</v>
      </c>
      <c r="X1297" s="246">
        <v>2.8640244231414869E-2</v>
      </c>
    </row>
    <row r="1298" spans="20:24" x14ac:dyDescent="0.2">
      <c r="T1298" s="247" t="str">
        <f t="shared" ref="T1298:T1361" si="25">T1297</f>
        <v>1w</v>
      </c>
      <c r="U1298" s="245">
        <f>_xll.qlCalendarAdvance(Calendar,U1297,T1298,"f",FALSE)</f>
        <v>47900</v>
      </c>
      <c r="V1298" s="248">
        <f>_xll.qlCalendarAdvance(Calendar,U1298,NDays&amp;"D")</f>
        <v>47904</v>
      </c>
      <c r="W1298" s="249">
        <v>2.8648585248495451E-2</v>
      </c>
      <c r="X1298" s="246">
        <v>2.8627586095675284E-2</v>
      </c>
    </row>
    <row r="1299" spans="20:24" x14ac:dyDescent="0.2">
      <c r="T1299" s="247" t="str">
        <f t="shared" si="25"/>
        <v>1w</v>
      </c>
      <c r="U1299" s="245">
        <f>_xll.qlCalendarAdvance(Calendar,U1298,T1299,"f",FALSE)</f>
        <v>47907</v>
      </c>
      <c r="V1299" s="248">
        <f>_xll.qlCalendarAdvance(Calendar,U1299,NDays&amp;"D")</f>
        <v>47911</v>
      </c>
      <c r="W1299" s="249">
        <v>2.8636433565618048E-2</v>
      </c>
      <c r="X1299" s="246">
        <v>2.8614944315812352E-2</v>
      </c>
    </row>
    <row r="1300" spans="20:24" x14ac:dyDescent="0.2">
      <c r="T1300" s="247" t="str">
        <f t="shared" si="25"/>
        <v>1w</v>
      </c>
      <c r="U1300" s="245">
        <f>_xll.qlCalendarAdvance(Calendar,U1299,T1300,"f",FALSE)</f>
        <v>47914</v>
      </c>
      <c r="V1300" s="248">
        <f>_xll.qlCalendarAdvance(Calendar,U1300,NDays&amp;"D")</f>
        <v>47918</v>
      </c>
      <c r="W1300" s="249">
        <v>2.8623823857909611E-2</v>
      </c>
      <c r="X1300" s="246">
        <v>2.8602318892145817E-2</v>
      </c>
    </row>
    <row r="1301" spans="20:24" x14ac:dyDescent="0.2">
      <c r="T1301" s="247" t="str">
        <f t="shared" si="25"/>
        <v>1w</v>
      </c>
      <c r="U1301" s="245">
        <f>_xll.qlCalendarAdvance(Calendar,U1300,T1301,"f",FALSE)</f>
        <v>47921</v>
      </c>
      <c r="V1301" s="248">
        <f>_xll.qlCalendarAdvance(Calendar,U1301,NDays&amp;"D")</f>
        <v>47925</v>
      </c>
      <c r="W1301" s="249">
        <v>2.8611230664382505E-2</v>
      </c>
      <c r="X1301" s="246">
        <v>2.8589709824435872E-2</v>
      </c>
    </row>
    <row r="1302" spans="20:24" x14ac:dyDescent="0.2">
      <c r="T1302" s="247" t="str">
        <f t="shared" si="25"/>
        <v>1w</v>
      </c>
      <c r="U1302" s="245">
        <f>_xll.qlCalendarAdvance(Calendar,U1301,T1302,"f",FALSE)</f>
        <v>47928</v>
      </c>
      <c r="V1302" s="248">
        <f>_xll.qlCalendarAdvance(Calendar,U1302,NDays&amp;"D")</f>
        <v>47932</v>
      </c>
      <c r="W1302" s="249">
        <v>2.8598653984877719E-2</v>
      </c>
      <c r="X1302" s="246">
        <v>2.8577117112682515E-2</v>
      </c>
    </row>
    <row r="1303" spans="20:24" x14ac:dyDescent="0.2">
      <c r="T1303" s="247" t="str">
        <f t="shared" si="25"/>
        <v>1w</v>
      </c>
      <c r="U1303" s="245">
        <f>_xll.qlCalendarAdvance(Calendar,U1302,T1303,"f",FALSE)</f>
        <v>47935</v>
      </c>
      <c r="V1303" s="248">
        <f>_xll.qlCalendarAdvance(Calendar,U1303,NDays&amp;"D")</f>
        <v>47939</v>
      </c>
      <c r="W1303" s="249">
        <v>2.8585855624531586E-2</v>
      </c>
      <c r="X1303" s="246">
        <v>2.8564540756885748E-2</v>
      </c>
    </row>
    <row r="1304" spans="20:24" x14ac:dyDescent="0.2">
      <c r="T1304" s="247" t="str">
        <f t="shared" si="25"/>
        <v>1w</v>
      </c>
      <c r="U1304" s="245">
        <f>_xll.qlCalendarAdvance(Calendar,U1303,T1304,"f",FALSE)</f>
        <v>47942</v>
      </c>
      <c r="V1304" s="248">
        <f>_xll.qlCalendarAdvance(Calendar,U1304,NDays&amp;"D")</f>
        <v>47946</v>
      </c>
      <c r="W1304" s="249">
        <v>2.8573311785350157E-2</v>
      </c>
      <c r="X1304" s="246">
        <v>2.8551980757205442E-2</v>
      </c>
    </row>
    <row r="1305" spans="20:24" x14ac:dyDescent="0.2">
      <c r="T1305" s="247" t="str">
        <f t="shared" si="25"/>
        <v>1w</v>
      </c>
      <c r="U1305" s="245">
        <f>_xll.qlCalendarAdvance(Calendar,U1304,T1305,"f",FALSE)</f>
        <v>47953</v>
      </c>
      <c r="V1305" s="248">
        <f>_xll.qlCalendarAdvance(Calendar,U1305,NDays&amp;"D")</f>
        <v>47955</v>
      </c>
      <c r="W1305" s="249">
        <v>2.8557208254364981E-2</v>
      </c>
      <c r="X1305" s="246">
        <v>2.8535856219340516E-2</v>
      </c>
    </row>
    <row r="1306" spans="20:24" x14ac:dyDescent="0.2">
      <c r="T1306" s="247" t="str">
        <f t="shared" si="25"/>
        <v>1w</v>
      </c>
      <c r="U1306" s="245">
        <f>_xll.qlCalendarAdvance(Calendar,U1305,T1306,"f",FALSE)</f>
        <v>47960</v>
      </c>
      <c r="V1306" s="248">
        <f>_xll.qlCalendarAdvance(Calendar,U1306,NDays&amp;"D")</f>
        <v>47962</v>
      </c>
      <c r="W1306" s="249">
        <v>2.8544702156263261E-2</v>
      </c>
      <c r="X1306" s="246">
        <v>2.8523333604795198E-2</v>
      </c>
    </row>
    <row r="1307" spans="20:24" x14ac:dyDescent="0.2">
      <c r="T1307" s="247" t="str">
        <f t="shared" si="25"/>
        <v>1w</v>
      </c>
      <c r="U1307" s="245">
        <f>_xll.qlCalendarAdvance(Calendar,U1306,T1307,"f",FALSE)</f>
        <v>47967</v>
      </c>
      <c r="V1307" s="248">
        <f>_xll.qlCalendarAdvance(Calendar,U1307,NDays&amp;"D")</f>
        <v>47970</v>
      </c>
      <c r="W1307" s="249">
        <v>2.8531146895997311E-2</v>
      </c>
      <c r="X1307" s="246">
        <v>2.8509514703651817E-2</v>
      </c>
    </row>
    <row r="1308" spans="20:24" x14ac:dyDescent="0.2">
      <c r="T1308" s="247" t="str">
        <f t="shared" si="25"/>
        <v>1w</v>
      </c>
      <c r="U1308" s="245">
        <f>_xll.qlCalendarAdvance(Calendar,U1307,T1308,"f",FALSE)</f>
        <v>47974</v>
      </c>
      <c r="V1308" s="248">
        <f>_xll.qlCalendarAdvance(Calendar,U1308,NDays&amp;"D")</f>
        <v>47976</v>
      </c>
      <c r="W1308" s="249">
        <v>2.85199786983217E-2</v>
      </c>
      <c r="X1308" s="246">
        <v>2.8498337443574329E-2</v>
      </c>
    </row>
    <row r="1309" spans="20:24" x14ac:dyDescent="0.2">
      <c r="T1309" s="247" t="str">
        <f t="shared" si="25"/>
        <v>1w</v>
      </c>
      <c r="U1309" s="245">
        <f>_xll.qlCalendarAdvance(Calendar,U1308,T1309,"f",FALSE)</f>
        <v>47981</v>
      </c>
      <c r="V1309" s="248">
        <f>_xll.qlCalendarAdvance(Calendar,U1309,NDays&amp;"D")</f>
        <v>47983</v>
      </c>
      <c r="W1309" s="249">
        <v>2.8507522330522731E-2</v>
      </c>
      <c r="X1309" s="246">
        <v>2.8485863896898778E-2</v>
      </c>
    </row>
    <row r="1310" spans="20:24" x14ac:dyDescent="0.2">
      <c r="T1310" s="247" t="str">
        <f t="shared" si="25"/>
        <v>1w</v>
      </c>
      <c r="U1310" s="245">
        <f>_xll.qlCalendarAdvance(Calendar,U1309,T1310,"f",FALSE)</f>
        <v>47988</v>
      </c>
      <c r="V1310" s="248">
        <f>_xll.qlCalendarAdvance(Calendar,U1310,NDays&amp;"D")</f>
        <v>47990</v>
      </c>
      <c r="W1310" s="249">
        <v>2.8495082475446257E-2</v>
      </c>
      <c r="X1310" s="246">
        <v>2.8473406706339688E-2</v>
      </c>
    </row>
    <row r="1311" spans="20:24" x14ac:dyDescent="0.2">
      <c r="T1311" s="247" t="str">
        <f t="shared" si="25"/>
        <v>1w</v>
      </c>
      <c r="U1311" s="245">
        <f>_xll.qlCalendarAdvance(Calendar,U1310,T1311,"f",FALSE)</f>
        <v>47995</v>
      </c>
      <c r="V1311" s="248">
        <f>_xll.qlCalendarAdvance(Calendar,U1311,NDays&amp;"D")</f>
        <v>47997</v>
      </c>
      <c r="W1311" s="249">
        <v>2.8482659132935011E-2</v>
      </c>
      <c r="X1311" s="246">
        <v>2.8460965871657251E-2</v>
      </c>
    </row>
    <row r="1312" spans="20:24" x14ac:dyDescent="0.2">
      <c r="T1312" s="247" t="str">
        <f t="shared" si="25"/>
        <v>1w</v>
      </c>
      <c r="U1312" s="245">
        <f>_xll.qlCalendarAdvance(Calendar,U1311,T1312,"f",FALSE)</f>
        <v>48002</v>
      </c>
      <c r="V1312" s="248">
        <f>_xll.qlCalendarAdvance(Calendar,U1312,NDays&amp;"D")</f>
        <v>48004</v>
      </c>
      <c r="W1312" s="249">
        <v>2.8470252302834332E-2</v>
      </c>
      <c r="X1312" s="246">
        <v>2.844854139301134E-2</v>
      </c>
    </row>
    <row r="1313" spans="20:24" x14ac:dyDescent="0.2">
      <c r="T1313" s="247" t="str">
        <f t="shared" si="25"/>
        <v>1w</v>
      </c>
      <c r="U1313" s="245">
        <f>_xll.qlCalendarAdvance(Calendar,U1312,T1313,"f",FALSE)</f>
        <v>48009</v>
      </c>
      <c r="V1313" s="248">
        <f>_xll.qlCalendarAdvance(Calendar,U1313,NDays&amp;"D")</f>
        <v>48011</v>
      </c>
      <c r="W1313" s="249">
        <v>2.8457861984988696E-2</v>
      </c>
      <c r="X1313" s="246">
        <v>2.8436133270322017E-2</v>
      </c>
    </row>
    <row r="1314" spans="20:24" x14ac:dyDescent="0.2">
      <c r="T1314" s="247" t="str">
        <f t="shared" si="25"/>
        <v>1w</v>
      </c>
      <c r="U1314" s="245">
        <f>_xll.qlCalendarAdvance(Calendar,U1313,T1314,"f",FALSE)</f>
        <v>48016</v>
      </c>
      <c r="V1314" s="248">
        <f>_xll.qlCalendarAdvance(Calendar,U1314,NDays&amp;"D")</f>
        <v>48018</v>
      </c>
      <c r="W1314" s="249">
        <v>2.8445488179240835E-2</v>
      </c>
      <c r="X1314" s="246">
        <v>2.8423741503589284E-2</v>
      </c>
    </row>
    <row r="1315" spans="20:24" x14ac:dyDescent="0.2">
      <c r="T1315" s="247" t="str">
        <f t="shared" si="25"/>
        <v>1w</v>
      </c>
      <c r="U1315" s="245">
        <f>_xll.qlCalendarAdvance(Calendar,U1314,T1315,"f",FALSE)</f>
        <v>48023</v>
      </c>
      <c r="V1315" s="248">
        <f>_xll.qlCalendarAdvance(Calendar,U1315,NDays&amp;"D")</f>
        <v>48025</v>
      </c>
      <c r="W1315" s="249">
        <v>2.8433130885437832E-2</v>
      </c>
      <c r="X1315" s="246">
        <v>2.8411366092973012E-2</v>
      </c>
    </row>
    <row r="1316" spans="20:24" x14ac:dyDescent="0.2">
      <c r="T1316" s="247" t="str">
        <f t="shared" si="25"/>
        <v>1w</v>
      </c>
      <c r="U1316" s="245">
        <f>_xll.qlCalendarAdvance(Calendar,U1315,T1316,"f",FALSE)</f>
        <v>48030</v>
      </c>
      <c r="V1316" s="248">
        <f>_xll.qlCalendarAdvance(Calendar,U1316,NDays&amp;"D")</f>
        <v>48032</v>
      </c>
      <c r="W1316" s="249">
        <v>2.8420790103421547E-2</v>
      </c>
      <c r="X1316" s="246">
        <v>2.8399007038153457E-2</v>
      </c>
    </row>
    <row r="1317" spans="20:24" x14ac:dyDescent="0.2">
      <c r="T1317" s="247" t="str">
        <f t="shared" si="25"/>
        <v>1w</v>
      </c>
      <c r="U1317" s="245">
        <f>_xll.qlCalendarAdvance(Calendar,U1316,T1317,"f",FALSE)</f>
        <v>48037</v>
      </c>
      <c r="V1317" s="248">
        <f>_xll.qlCalendarAdvance(Calendar,U1317,NDays&amp;"D")</f>
        <v>48039</v>
      </c>
      <c r="W1317" s="249">
        <v>2.840846583303993E-2</v>
      </c>
      <c r="X1317" s="246">
        <v>2.8386664339450363E-2</v>
      </c>
    </row>
    <row r="1318" spans="20:24" x14ac:dyDescent="0.2">
      <c r="T1318" s="247" t="str">
        <f t="shared" si="25"/>
        <v>1w</v>
      </c>
      <c r="U1318" s="245">
        <f>_xll.qlCalendarAdvance(Calendar,U1317,T1318,"f",FALSE)</f>
        <v>48044</v>
      </c>
      <c r="V1318" s="248">
        <f>_xll.qlCalendarAdvance(Calendar,U1318,NDays&amp;"D")</f>
        <v>48046</v>
      </c>
      <c r="W1318" s="249">
        <v>2.8396158074136587E-2</v>
      </c>
      <c r="X1318" s="246">
        <v>2.8374337996623922E-2</v>
      </c>
    </row>
    <row r="1319" spans="20:24" x14ac:dyDescent="0.2">
      <c r="T1319" s="247" t="str">
        <f t="shared" si="25"/>
        <v>1w</v>
      </c>
      <c r="U1319" s="245">
        <f>_xll.qlCalendarAdvance(Calendar,U1318,T1319,"f",FALSE)</f>
        <v>48051</v>
      </c>
      <c r="V1319" s="248">
        <f>_xll.qlCalendarAdvance(Calendar,U1319,NDays&amp;"D")</f>
        <v>48053</v>
      </c>
      <c r="W1319" s="249">
        <v>2.838386682655946E-2</v>
      </c>
      <c r="X1319" s="246">
        <v>2.8362028009834006E-2</v>
      </c>
    </row>
    <row r="1320" spans="20:24" x14ac:dyDescent="0.2">
      <c r="T1320" s="247" t="str">
        <f t="shared" si="25"/>
        <v>1w</v>
      </c>
      <c r="U1320" s="245">
        <f>_xll.qlCalendarAdvance(Calendar,U1319,T1320,"f",FALSE)</f>
        <v>48058</v>
      </c>
      <c r="V1320" s="248">
        <f>_xll.qlCalendarAdvance(Calendar,U1320,NDays&amp;"D")</f>
        <v>48060</v>
      </c>
      <c r="W1320" s="249">
        <v>2.8371592090151287E-2</v>
      </c>
      <c r="X1320" s="246">
        <v>2.8349734378920743E-2</v>
      </c>
    </row>
    <row r="1321" spans="20:24" x14ac:dyDescent="0.2">
      <c r="T1321" s="247" t="str">
        <f t="shared" si="25"/>
        <v>1w</v>
      </c>
      <c r="U1321" s="245">
        <f>_xll.qlCalendarAdvance(Calendar,U1320,T1321,"f",FALSE)</f>
        <v>48065</v>
      </c>
      <c r="V1321" s="248">
        <f>_xll.qlCalendarAdvance(Calendar,U1321,NDays&amp;"D")</f>
        <v>48067</v>
      </c>
      <c r="W1321" s="249">
        <v>2.8359333864760018E-2</v>
      </c>
      <c r="X1321" s="246">
        <v>2.8337457104123942E-2</v>
      </c>
    </row>
    <row r="1322" spans="20:24" x14ac:dyDescent="0.2">
      <c r="T1322" s="247" t="str">
        <f t="shared" si="25"/>
        <v>1w</v>
      </c>
      <c r="U1322" s="245">
        <f>_xll.qlCalendarAdvance(Calendar,U1321,T1322,"f",FALSE)</f>
        <v>48072</v>
      </c>
      <c r="V1322" s="248">
        <f>_xll.qlCalendarAdvance(Calendar,U1322,NDays&amp;"D")</f>
        <v>48074</v>
      </c>
      <c r="W1322" s="249">
        <v>2.8347092150230992E-2</v>
      </c>
      <c r="X1322" s="246">
        <v>2.832519618528373E-2</v>
      </c>
    </row>
    <row r="1323" spans="20:24" x14ac:dyDescent="0.2">
      <c r="T1323" s="247" t="str">
        <f t="shared" si="25"/>
        <v>1w</v>
      </c>
      <c r="U1323" s="245">
        <f>_xll.qlCalendarAdvance(Calendar,U1322,T1323,"f",FALSE)</f>
        <v>48079</v>
      </c>
      <c r="V1323" s="248">
        <f>_xll.qlCalendarAdvance(Calendar,U1323,NDays&amp;"D")</f>
        <v>48081</v>
      </c>
      <c r="W1323" s="249">
        <v>2.8334866946410416E-2</v>
      </c>
      <c r="X1323" s="246">
        <v>2.831295162232017E-2</v>
      </c>
    </row>
    <row r="1324" spans="20:24" x14ac:dyDescent="0.2">
      <c r="T1324" s="247" t="str">
        <f t="shared" si="25"/>
        <v>1w</v>
      </c>
      <c r="U1324" s="245">
        <f>_xll.qlCalendarAdvance(Calendar,U1323,T1324,"f",FALSE)</f>
        <v>48086</v>
      </c>
      <c r="V1324" s="248">
        <f>_xll.qlCalendarAdvance(Calendar,U1324,NDays&amp;"D")</f>
        <v>48088</v>
      </c>
      <c r="W1324" s="249">
        <v>2.8322658253147111E-2</v>
      </c>
      <c r="X1324" s="246">
        <v>2.83007234153132E-2</v>
      </c>
    </row>
    <row r="1325" spans="20:24" x14ac:dyDescent="0.2">
      <c r="T1325" s="247" t="str">
        <f t="shared" si="25"/>
        <v>1w</v>
      </c>
      <c r="U1325" s="245">
        <f>_xll.qlCalendarAdvance(Calendar,U1324,T1325,"f",FALSE)</f>
        <v>48093</v>
      </c>
      <c r="V1325" s="248">
        <f>_xll.qlCalendarAdvance(Calendar,U1325,NDays&amp;"D")</f>
        <v>48095</v>
      </c>
      <c r="W1325" s="249">
        <v>2.8310223295409841E-2</v>
      </c>
      <c r="X1325" s="246">
        <v>2.8288511564342755E-2</v>
      </c>
    </row>
    <row r="1326" spans="20:24" x14ac:dyDescent="0.2">
      <c r="T1326" s="247" t="str">
        <f t="shared" si="25"/>
        <v>1w</v>
      </c>
      <c r="U1326" s="245">
        <f>_xll.qlCalendarAdvance(Calendar,U1325,T1326,"f",FALSE)</f>
        <v>48100</v>
      </c>
      <c r="V1326" s="248">
        <f>_xll.qlCalendarAdvance(Calendar,U1326,NDays&amp;"D")</f>
        <v>48102</v>
      </c>
      <c r="W1326" s="249">
        <v>2.8298047397435581E-2</v>
      </c>
      <c r="X1326" s="246">
        <v>2.82763160693289E-2</v>
      </c>
    </row>
    <row r="1327" spans="20:24" x14ac:dyDescent="0.2">
      <c r="T1327" s="247" t="str">
        <f t="shared" si="25"/>
        <v>1w</v>
      </c>
      <c r="U1327" s="245">
        <f>_xll.qlCalendarAdvance(Calendar,U1326,T1327,"f",FALSE)</f>
        <v>48107</v>
      </c>
      <c r="V1327" s="248">
        <f>_xll.qlCalendarAdvance(Calendar,U1327,NDays&amp;"D")</f>
        <v>48109</v>
      </c>
      <c r="W1327" s="249">
        <v>2.8285888007868271E-2</v>
      </c>
      <c r="X1327" s="246">
        <v>2.8264136930271633E-2</v>
      </c>
    </row>
    <row r="1328" spans="20:24" x14ac:dyDescent="0.2">
      <c r="T1328" s="247" t="str">
        <f t="shared" si="25"/>
        <v>1w</v>
      </c>
      <c r="U1328" s="245">
        <f>_xll.qlCalendarAdvance(Calendar,U1327,T1328,"f",FALSE)</f>
        <v>48114</v>
      </c>
      <c r="V1328" s="248">
        <f>_xll.qlCalendarAdvance(Calendar,U1328,NDays&amp;"D")</f>
        <v>48116</v>
      </c>
      <c r="W1328" s="249">
        <v>2.8274719159636419E-2</v>
      </c>
      <c r="X1328" s="246">
        <v>2.8251974147170955E-2</v>
      </c>
    </row>
    <row r="1329" spans="20:24" x14ac:dyDescent="0.2">
      <c r="T1329" s="247" t="str">
        <f t="shared" si="25"/>
        <v>1w</v>
      </c>
      <c r="U1329" s="245">
        <f>_xll.qlCalendarAdvance(Calendar,U1328,T1329,"f",FALSE)</f>
        <v>48121</v>
      </c>
      <c r="V1329" s="248">
        <f>_xll.qlCalendarAdvance(Calendar,U1329,NDays&amp;"D")</f>
        <v>48123</v>
      </c>
      <c r="W1329" s="249">
        <v>2.8261862439802624E-2</v>
      </c>
      <c r="X1329" s="246">
        <v>2.8239827720026867E-2</v>
      </c>
    </row>
    <row r="1330" spans="20:24" x14ac:dyDescent="0.2">
      <c r="T1330" s="247" t="str">
        <f t="shared" si="25"/>
        <v>1w</v>
      </c>
      <c r="U1330" s="245">
        <f>_xll.qlCalendarAdvance(Calendar,U1329,T1330,"f",FALSE)</f>
        <v>48128</v>
      </c>
      <c r="V1330" s="248">
        <f>_xll.qlCalendarAdvance(Calendar,U1330,NDays&amp;"D")</f>
        <v>48130</v>
      </c>
      <c r="W1330" s="249">
        <v>2.8249752806661161E-2</v>
      </c>
      <c r="X1330" s="246">
        <v>2.8227697648759431E-2</v>
      </c>
    </row>
    <row r="1331" spans="20:24" x14ac:dyDescent="0.2">
      <c r="T1331" s="247" t="str">
        <f t="shared" si="25"/>
        <v>1w</v>
      </c>
      <c r="U1331" s="245">
        <f>_xll.qlCalendarAdvance(Calendar,U1330,T1331,"f",FALSE)</f>
        <v>48135</v>
      </c>
      <c r="V1331" s="248">
        <f>_xll.qlCalendarAdvance(Calendar,U1331,NDays&amp;"D")</f>
        <v>48137</v>
      </c>
      <c r="W1331" s="249">
        <v>2.8237659683008259E-2</v>
      </c>
      <c r="X1331" s="246">
        <v>2.8215583933528521E-2</v>
      </c>
    </row>
    <row r="1332" spans="20:24" x14ac:dyDescent="0.2">
      <c r="T1332" s="247" t="str">
        <f t="shared" si="25"/>
        <v>1w</v>
      </c>
      <c r="U1332" s="245">
        <f>_xll.qlCalendarAdvance(Calendar,U1331,T1332,"f",FALSE)</f>
        <v>48142</v>
      </c>
      <c r="V1332" s="248">
        <f>_xll.qlCalendarAdvance(Calendar,U1332,NDays&amp;"D")</f>
        <v>48144</v>
      </c>
      <c r="W1332" s="249">
        <v>2.8225583068690125E-2</v>
      </c>
      <c r="X1332" s="246">
        <v>2.82034865742542E-2</v>
      </c>
    </row>
    <row r="1333" spans="20:24" x14ac:dyDescent="0.2">
      <c r="T1333" s="247" t="str">
        <f t="shared" si="25"/>
        <v>1w</v>
      </c>
      <c r="U1333" s="245">
        <f>_xll.qlCalendarAdvance(Calendar,U1332,T1333,"f",FALSE)</f>
        <v>48149</v>
      </c>
      <c r="V1333" s="248">
        <f>_xll.qlCalendarAdvance(Calendar,U1333,NDays&amp;"D")</f>
        <v>48151</v>
      </c>
      <c r="W1333" s="249">
        <v>2.8213522963556448E-2</v>
      </c>
      <c r="X1333" s="246">
        <v>2.8191405570856531E-2</v>
      </c>
    </row>
    <row r="1334" spans="20:24" x14ac:dyDescent="0.2">
      <c r="T1334" s="247" t="str">
        <f t="shared" si="25"/>
        <v>1w</v>
      </c>
      <c r="U1334" s="245">
        <f>_xll.qlCalendarAdvance(Calendar,U1333,T1334,"f",FALSE)</f>
        <v>48156</v>
      </c>
      <c r="V1334" s="248">
        <f>_xll.qlCalendarAdvance(Calendar,U1334,NDays&amp;"D")</f>
        <v>48158</v>
      </c>
      <c r="W1334" s="249">
        <v>2.8201479367455169E-2</v>
      </c>
      <c r="X1334" s="246">
        <v>2.8179340923495388E-2</v>
      </c>
    </row>
    <row r="1335" spans="20:24" x14ac:dyDescent="0.2">
      <c r="T1335" s="247" t="str">
        <f t="shared" si="25"/>
        <v>1w</v>
      </c>
      <c r="U1335" s="245">
        <f>_xll.qlCalendarAdvance(Calendar,U1334,T1335,"f",FALSE)</f>
        <v>48163</v>
      </c>
      <c r="V1335" s="248">
        <f>_xll.qlCalendarAdvance(Calendar,U1335,NDays&amp;"D")</f>
        <v>48165</v>
      </c>
      <c r="W1335" s="249">
        <v>2.8189452280236848E-2</v>
      </c>
      <c r="X1335" s="246">
        <v>2.8167292632090835E-2</v>
      </c>
    </row>
    <row r="1336" spans="20:24" x14ac:dyDescent="0.2">
      <c r="T1336" s="247" t="str">
        <f t="shared" si="25"/>
        <v>1w</v>
      </c>
      <c r="U1336" s="245">
        <f>_xll.qlCalendarAdvance(Calendar,U1335,T1336,"f",FALSE)</f>
        <v>48170</v>
      </c>
      <c r="V1336" s="248">
        <f>_xll.qlCalendarAdvance(Calendar,U1336,NDays&amp;"D")</f>
        <v>48172</v>
      </c>
      <c r="W1336" s="249">
        <v>2.8177441701748563E-2</v>
      </c>
      <c r="X1336" s="246">
        <v>2.8155260696482998E-2</v>
      </c>
    </row>
    <row r="1337" spans="20:24" x14ac:dyDescent="0.2">
      <c r="T1337" s="247" t="str">
        <f t="shared" si="25"/>
        <v>1w</v>
      </c>
      <c r="U1337" s="245">
        <f>_xll.qlCalendarAdvance(Calendar,U1336,T1337,"f",FALSE)</f>
        <v>48177</v>
      </c>
      <c r="V1337" s="248">
        <f>_xll.qlCalendarAdvance(Calendar,U1337,NDays&amp;"D")</f>
        <v>48179</v>
      </c>
      <c r="W1337" s="249">
        <v>2.8165447631841735E-2</v>
      </c>
      <c r="X1337" s="246">
        <v>2.8143245117071558E-2</v>
      </c>
    </row>
    <row r="1338" spans="20:24" x14ac:dyDescent="0.2">
      <c r="T1338" s="247" t="str">
        <f t="shared" si="25"/>
        <v>1w</v>
      </c>
      <c r="U1338" s="245">
        <f>_xll.qlCalendarAdvance(Calendar,U1337,T1338,"f",FALSE)</f>
        <v>48184</v>
      </c>
      <c r="V1338" s="248">
        <f>_xll.qlCalendarAdvance(Calendar,U1338,NDays&amp;"D")</f>
        <v>48186</v>
      </c>
      <c r="W1338" s="249">
        <v>2.8153224234405347E-2</v>
      </c>
      <c r="X1338" s="246">
        <v>2.8131245893296963E-2</v>
      </c>
    </row>
    <row r="1339" spans="20:24" x14ac:dyDescent="0.2">
      <c r="T1339" s="247" t="str">
        <f t="shared" si="25"/>
        <v>1w</v>
      </c>
      <c r="U1339" s="245">
        <f>_xll.qlCalendarAdvance(Calendar,U1338,T1339,"f",FALSE)</f>
        <v>48191</v>
      </c>
      <c r="V1339" s="248">
        <f>_xll.qlCalendarAdvance(Calendar,U1339,NDays&amp;"D")</f>
        <v>48193</v>
      </c>
      <c r="W1339" s="249">
        <v>2.8141262933998056E-2</v>
      </c>
      <c r="X1339" s="246">
        <v>2.811926302563883E-2</v>
      </c>
    </row>
    <row r="1340" spans="20:24" x14ac:dyDescent="0.2">
      <c r="T1340" s="247" t="str">
        <f t="shared" si="25"/>
        <v>1w</v>
      </c>
      <c r="U1340" s="245">
        <f>_xll.qlCalendarAdvance(Calendar,U1339,T1340,"f",FALSE)</f>
        <v>48198</v>
      </c>
      <c r="V1340" s="248">
        <f>_xll.qlCalendarAdvance(Calendar,U1340,NDays&amp;"D")</f>
        <v>48200</v>
      </c>
      <c r="W1340" s="249">
        <v>2.812931814005026E-2</v>
      </c>
      <c r="X1340" s="246">
        <v>2.8107296513937285E-2</v>
      </c>
    </row>
    <row r="1341" spans="20:24" x14ac:dyDescent="0.2">
      <c r="T1341" s="247" t="str">
        <f t="shared" si="25"/>
        <v>1w</v>
      </c>
      <c r="U1341" s="245">
        <f>_xll.qlCalendarAdvance(Calendar,U1340,T1341,"f",FALSE)</f>
        <v>48205</v>
      </c>
      <c r="V1341" s="248">
        <f>_xll.qlCalendarAdvance(Calendar,U1341,NDays&amp;"D")</f>
        <v>48211</v>
      </c>
      <c r="W1341" s="249">
        <v>2.8110827825498716E-2</v>
      </c>
      <c r="X1341" s="246">
        <v>2.8088525041161105E-2</v>
      </c>
    </row>
    <row r="1342" spans="20:24" x14ac:dyDescent="0.2">
      <c r="T1342" s="247" t="str">
        <f t="shared" si="25"/>
        <v>1w</v>
      </c>
      <c r="U1342" s="245">
        <f>_xll.qlCalendarAdvance(Calendar,U1341,T1342,"f",FALSE)</f>
        <v>48212</v>
      </c>
      <c r="V1342" s="248">
        <f>_xll.qlCalendarAdvance(Calendar,U1342,NDays&amp;"D")</f>
        <v>48215</v>
      </c>
      <c r="W1342" s="249">
        <v>2.8103777735307933E-2</v>
      </c>
      <c r="X1342" s="246">
        <v>2.8082196314498376E-2</v>
      </c>
    </row>
    <row r="1343" spans="20:24" x14ac:dyDescent="0.2">
      <c r="T1343" s="247" t="str">
        <f t="shared" si="25"/>
        <v>1w</v>
      </c>
      <c r="U1343" s="245">
        <f>_xll.qlCalendarAdvance(Calendar,U1342,T1343,"f",FALSE)</f>
        <v>48219</v>
      </c>
      <c r="V1343" s="248">
        <f>_xll.qlCalendarAdvance(Calendar,U1343,NDays&amp;"D")</f>
        <v>48221</v>
      </c>
      <c r="W1343" s="249">
        <v>2.8093582795484594E-2</v>
      </c>
      <c r="X1343" s="246">
        <v>2.8071495114332379E-2</v>
      </c>
    </row>
    <row r="1344" spans="20:24" x14ac:dyDescent="0.2">
      <c r="T1344" s="247" t="str">
        <f t="shared" si="25"/>
        <v>1w</v>
      </c>
      <c r="U1344" s="245">
        <f>_xll.qlCalendarAdvance(Calendar,U1343,T1344,"f",FALSE)</f>
        <v>48226</v>
      </c>
      <c r="V1344" s="248">
        <f>_xll.qlCalendarAdvance(Calendar,U1344,NDays&amp;"D")</f>
        <v>48228</v>
      </c>
      <c r="W1344" s="249">
        <v>2.8081704025897283E-2</v>
      </c>
      <c r="X1344" s="246">
        <v>2.8059594026377255E-2</v>
      </c>
    </row>
    <row r="1345" spans="20:24" x14ac:dyDescent="0.2">
      <c r="T1345" s="247" t="str">
        <f t="shared" si="25"/>
        <v>1w</v>
      </c>
      <c r="U1345" s="245">
        <f>_xll.qlCalendarAdvance(Calendar,U1344,T1345,"f",FALSE)</f>
        <v>48233</v>
      </c>
      <c r="V1345" s="248">
        <f>_xll.qlCalendarAdvance(Calendar,U1345,NDays&amp;"D")</f>
        <v>48235</v>
      </c>
      <c r="W1345" s="249">
        <v>2.806984176202984E-2</v>
      </c>
      <c r="X1345" s="246">
        <v>2.8047709294298784E-2</v>
      </c>
    </row>
    <row r="1346" spans="20:24" x14ac:dyDescent="0.2">
      <c r="T1346" s="247" t="str">
        <f t="shared" si="25"/>
        <v>1w</v>
      </c>
      <c r="U1346" s="245">
        <f>_xll.qlCalendarAdvance(Calendar,U1345,T1346,"f",FALSE)</f>
        <v>48240</v>
      </c>
      <c r="V1346" s="248">
        <f>_xll.qlCalendarAdvance(Calendar,U1346,NDays&amp;"D")</f>
        <v>48242</v>
      </c>
      <c r="W1346" s="249">
        <v>2.8057996003737328E-2</v>
      </c>
      <c r="X1346" s="246">
        <v>2.8035840918176902E-2</v>
      </c>
    </row>
    <row r="1347" spans="20:24" x14ac:dyDescent="0.2">
      <c r="T1347" s="247" t="str">
        <f t="shared" si="25"/>
        <v>1w</v>
      </c>
      <c r="U1347" s="245">
        <f>_xll.qlCalendarAdvance(Calendar,U1346,T1347,"f",FALSE)</f>
        <v>48247</v>
      </c>
      <c r="V1347" s="248">
        <f>_xll.qlCalendarAdvance(Calendar,U1347,NDays&amp;"D")</f>
        <v>48249</v>
      </c>
      <c r="W1347" s="249">
        <v>2.8045918668033742E-2</v>
      </c>
      <c r="X1347" s="246">
        <v>2.8023988897931673E-2</v>
      </c>
    </row>
    <row r="1348" spans="20:24" x14ac:dyDescent="0.2">
      <c r="T1348" s="247" t="str">
        <f t="shared" si="25"/>
        <v>1w</v>
      </c>
      <c r="U1348" s="245">
        <f>_xll.qlCalendarAdvance(Calendar,U1347,T1348,"f",FALSE)</f>
        <v>48254</v>
      </c>
      <c r="V1348" s="248">
        <f>_xll.qlCalendarAdvance(Calendar,U1348,NDays&amp;"D")</f>
        <v>48256</v>
      </c>
      <c r="W1348" s="249">
        <v>2.8034105658439223E-2</v>
      </c>
      <c r="X1348" s="246">
        <v>2.801215323372297E-2</v>
      </c>
    </row>
    <row r="1349" spans="20:24" x14ac:dyDescent="0.2">
      <c r="T1349" s="247" t="str">
        <f t="shared" si="25"/>
        <v>1w</v>
      </c>
      <c r="U1349" s="245">
        <f>_xll.qlCalendarAdvance(Calendar,U1348,T1349,"f",FALSE)</f>
        <v>48261</v>
      </c>
      <c r="V1349" s="248">
        <f>_xll.qlCalendarAdvance(Calendar,U1349,NDays&amp;"D")</f>
        <v>48263</v>
      </c>
      <c r="W1349" s="249">
        <v>2.8022309152323288E-2</v>
      </c>
      <c r="X1349" s="246">
        <v>2.8000333925310983E-2</v>
      </c>
    </row>
    <row r="1350" spans="20:24" x14ac:dyDescent="0.2">
      <c r="T1350" s="247" t="str">
        <f t="shared" si="25"/>
        <v>1w</v>
      </c>
      <c r="U1350" s="245">
        <f>_xll.qlCalendarAdvance(Calendar,U1349,T1350,"f",FALSE)</f>
        <v>48268</v>
      </c>
      <c r="V1350" s="248">
        <f>_xll.qlCalendarAdvance(Calendar,U1350,NDays&amp;"D")</f>
        <v>48270</v>
      </c>
      <c r="W1350" s="249">
        <v>2.8010529149540275E-2</v>
      </c>
      <c r="X1350" s="246">
        <v>2.7988530972935521E-2</v>
      </c>
    </row>
    <row r="1351" spans="20:24" x14ac:dyDescent="0.2">
      <c r="T1351" s="247" t="str">
        <f t="shared" si="25"/>
        <v>1w</v>
      </c>
      <c r="U1351" s="245">
        <f>_xll.qlCalendarAdvance(Calendar,U1350,T1351,"f",FALSE)</f>
        <v>48275</v>
      </c>
      <c r="V1351" s="248">
        <f>_xll.qlCalendarAdvance(Calendar,U1351,NDays&amp;"D")</f>
        <v>48277</v>
      </c>
      <c r="W1351" s="249">
        <v>2.7999263970150862E-2</v>
      </c>
      <c r="X1351" s="246">
        <v>2.7976744376436713E-2</v>
      </c>
    </row>
    <row r="1352" spans="20:24" x14ac:dyDescent="0.2">
      <c r="T1352" s="247" t="str">
        <f t="shared" si="25"/>
        <v>1w</v>
      </c>
      <c r="U1352" s="245">
        <f>_xll.qlCalendarAdvance(Calendar,U1351,T1352,"f",FALSE)</f>
        <v>48282</v>
      </c>
      <c r="V1352" s="248">
        <f>_xll.qlCalendarAdvance(Calendar,U1352,NDays&amp;"D")</f>
        <v>48284</v>
      </c>
      <c r="W1352" s="249">
        <v>2.7987517511002018E-2</v>
      </c>
      <c r="X1352" s="246">
        <v>2.7964974135814558E-2</v>
      </c>
    </row>
    <row r="1353" spans="20:24" x14ac:dyDescent="0.2">
      <c r="T1353" s="247" t="str">
        <f t="shared" si="25"/>
        <v>1w</v>
      </c>
      <c r="U1353" s="245">
        <f>_xll.qlCalendarAdvance(Calendar,U1352,T1353,"f",FALSE)</f>
        <v>48289</v>
      </c>
      <c r="V1353" s="248">
        <f>_xll.qlCalendarAdvance(Calendar,U1353,NDays&amp;"D")</f>
        <v>48291</v>
      </c>
      <c r="W1353" s="249">
        <v>2.7975787558051322E-2</v>
      </c>
      <c r="X1353" s="246">
        <v>2.7953220251148991E-2</v>
      </c>
    </row>
    <row r="1354" spans="20:24" x14ac:dyDescent="0.2">
      <c r="T1354" s="247" t="str">
        <f t="shared" si="25"/>
        <v>1w</v>
      </c>
      <c r="U1354" s="245">
        <f>_xll.qlCalendarAdvance(Calendar,U1353,T1354,"f",FALSE)</f>
        <v>48296</v>
      </c>
      <c r="V1354" s="248">
        <f>_xll.qlCalendarAdvance(Calendar,U1354,NDays&amp;"D")</f>
        <v>48298</v>
      </c>
      <c r="W1354" s="249">
        <v>2.7964074111149328E-2</v>
      </c>
      <c r="X1354" s="246">
        <v>2.7942469146374549E-2</v>
      </c>
    </row>
    <row r="1355" spans="20:24" x14ac:dyDescent="0.2">
      <c r="T1355" s="247" t="str">
        <f t="shared" si="25"/>
        <v>1w</v>
      </c>
      <c r="U1355" s="245">
        <f>_xll.qlCalendarAdvance(Calendar,U1354,T1355,"f",FALSE)</f>
        <v>48303</v>
      </c>
      <c r="V1355" s="248">
        <f>_xll.qlCalendarAdvance(Calendar,U1355,NDays&amp;"D")</f>
        <v>48305</v>
      </c>
      <c r="W1355" s="249">
        <v>2.7952126905725124E-2</v>
      </c>
      <c r="X1355" s="246">
        <v>2.792976154960769E-2</v>
      </c>
    </row>
    <row r="1356" spans="20:24" x14ac:dyDescent="0.2">
      <c r="T1356" s="247" t="str">
        <f t="shared" si="25"/>
        <v>1w</v>
      </c>
      <c r="U1356" s="245">
        <f>_xll.qlCalendarAdvance(Calendar,U1355,T1356,"f",FALSE)</f>
        <v>48310</v>
      </c>
      <c r="V1356" s="248">
        <f>_xll.qlCalendarAdvance(Calendar,U1356,NDays&amp;"D")</f>
        <v>48312</v>
      </c>
      <c r="W1356" s="249">
        <v>2.7940446195116264E-2</v>
      </c>
      <c r="X1356" s="246">
        <v>2.7918056732652019E-2</v>
      </c>
    </row>
    <row r="1357" spans="20:24" x14ac:dyDescent="0.2">
      <c r="T1357" s="247" t="str">
        <f t="shared" si="25"/>
        <v>1w</v>
      </c>
      <c r="U1357" s="245">
        <f>_xll.qlCalendarAdvance(Calendar,U1356,T1357,"f",FALSE)</f>
        <v>48317</v>
      </c>
      <c r="V1357" s="248">
        <f>_xll.qlCalendarAdvance(Calendar,U1357,NDays&amp;"D")</f>
        <v>48319</v>
      </c>
      <c r="W1357" s="249">
        <v>2.7928781988477459E-2</v>
      </c>
      <c r="X1357" s="246">
        <v>2.7906368271652937E-2</v>
      </c>
    </row>
    <row r="1358" spans="20:24" x14ac:dyDescent="0.2">
      <c r="T1358" s="247" t="str">
        <f t="shared" si="25"/>
        <v>1w</v>
      </c>
      <c r="U1358" s="245">
        <f>_xll.qlCalendarAdvance(Calendar,U1357,T1358,"f",FALSE)</f>
        <v>48324</v>
      </c>
      <c r="V1358" s="248">
        <f>_xll.qlCalendarAdvance(Calendar,U1358,NDays&amp;"D")</f>
        <v>48326</v>
      </c>
      <c r="W1358" s="249">
        <v>2.7917134285659385E-2</v>
      </c>
      <c r="X1358" s="246">
        <v>2.7894696166530508E-2</v>
      </c>
    </row>
    <row r="1359" spans="20:24" x14ac:dyDescent="0.2">
      <c r="T1359" s="247" t="str">
        <f t="shared" si="25"/>
        <v>1w</v>
      </c>
      <c r="U1359" s="245">
        <f>_xll.qlCalendarAdvance(Calendar,U1358,T1359,"f",FALSE)</f>
        <v>48331</v>
      </c>
      <c r="V1359" s="248">
        <f>_xll.qlCalendarAdvance(Calendar,U1359,NDays&amp;"D")</f>
        <v>48333</v>
      </c>
      <c r="W1359" s="249">
        <v>2.7905503086520608E-2</v>
      </c>
      <c r="X1359" s="246">
        <v>2.7883040417284732E-2</v>
      </c>
    </row>
    <row r="1360" spans="20:24" x14ac:dyDescent="0.2">
      <c r="T1360" s="247" t="str">
        <f t="shared" si="25"/>
        <v>1w</v>
      </c>
      <c r="U1360" s="245">
        <f>_xll.qlCalendarAdvance(Calendar,U1359,T1360,"f",FALSE)</f>
        <v>48338</v>
      </c>
      <c r="V1360" s="248">
        <f>_xll.qlCalendarAdvance(Calendar,U1360,NDays&amp;"D")</f>
        <v>48340</v>
      </c>
      <c r="W1360" s="249">
        <v>2.7894140048575346E-2</v>
      </c>
      <c r="X1360" s="246">
        <v>2.7871401023995546E-2</v>
      </c>
    </row>
    <row r="1361" spans="20:24" x14ac:dyDescent="0.2">
      <c r="T1361" s="247" t="str">
        <f t="shared" si="25"/>
        <v>1w</v>
      </c>
      <c r="U1361" s="245">
        <f>_xll.qlCalendarAdvance(Calendar,U1360,T1361,"f",FALSE)</f>
        <v>48345</v>
      </c>
      <c r="V1361" s="248">
        <f>_xll.qlCalendarAdvance(Calendar,U1361,NDays&amp;"D")</f>
        <v>48347</v>
      </c>
      <c r="W1361" s="249">
        <v>2.7882542139920148E-2</v>
      </c>
      <c r="X1361" s="246">
        <v>2.7859777986662948E-2</v>
      </c>
    </row>
    <row r="1362" spans="20:24" x14ac:dyDescent="0.2">
      <c r="T1362" s="247" t="str">
        <f t="shared" ref="T1362:T1425" si="26">T1361</f>
        <v>1w</v>
      </c>
      <c r="U1362" s="245">
        <f>_xll.qlCalendarAdvance(Calendar,U1361,T1362,"f",FALSE)</f>
        <v>48352</v>
      </c>
      <c r="V1362" s="248">
        <f>_xll.qlCalendarAdvance(Calendar,U1362,NDays&amp;"D")</f>
        <v>48354</v>
      </c>
      <c r="W1362" s="249">
        <v>2.787096073614502E-2</v>
      </c>
      <c r="X1362" s="246">
        <v>2.7848171305127067E-2</v>
      </c>
    </row>
    <row r="1363" spans="20:24" x14ac:dyDescent="0.2">
      <c r="T1363" s="247" t="str">
        <f t="shared" si="26"/>
        <v>1w</v>
      </c>
      <c r="U1363" s="245">
        <f>_xll.qlCalendarAdvance(Calendar,U1362,T1363,"f",FALSE)</f>
        <v>48359</v>
      </c>
      <c r="V1363" s="248">
        <f>_xll.qlCalendarAdvance(Calendar,U1363,NDays&amp;"D")</f>
        <v>48361</v>
      </c>
      <c r="W1363" s="249">
        <v>2.7859395837104867E-2</v>
      </c>
      <c r="X1363" s="246">
        <v>2.7836580979627712E-2</v>
      </c>
    </row>
    <row r="1364" spans="20:24" x14ac:dyDescent="0.2">
      <c r="T1364" s="247" t="str">
        <f t="shared" si="26"/>
        <v>1w</v>
      </c>
      <c r="U1364" s="245">
        <f>_xll.qlCalendarAdvance(Calendar,U1363,T1364,"f",FALSE)</f>
        <v>48366</v>
      </c>
      <c r="V1364" s="248">
        <f>_xll.qlCalendarAdvance(Calendar,U1364,NDays&amp;"D")</f>
        <v>48368</v>
      </c>
      <c r="W1364" s="249">
        <v>2.7847847442654578E-2</v>
      </c>
      <c r="X1364" s="246">
        <v>2.7825007009925073E-2</v>
      </c>
    </row>
    <row r="1365" spans="20:24" x14ac:dyDescent="0.2">
      <c r="T1365" s="247" t="str">
        <f t="shared" si="26"/>
        <v>1w</v>
      </c>
      <c r="U1365" s="245">
        <f>_xll.qlCalendarAdvance(Calendar,U1364,T1365,"f",FALSE)</f>
        <v>48373</v>
      </c>
      <c r="V1365" s="248">
        <f>_xll.qlCalendarAdvance(Calendar,U1365,NDays&amp;"D")</f>
        <v>48375</v>
      </c>
      <c r="W1365" s="249">
        <v>2.7836315552648188E-2</v>
      </c>
      <c r="X1365" s="246">
        <v>2.7813449396179024E-2</v>
      </c>
    </row>
    <row r="1366" spans="20:24" x14ac:dyDescent="0.2">
      <c r="T1366" s="247" t="str">
        <f t="shared" si="26"/>
        <v>1w</v>
      </c>
      <c r="U1366" s="245">
        <f>_xll.qlCalendarAdvance(Calendar,U1365,T1366,"f",FALSE)</f>
        <v>48380</v>
      </c>
      <c r="V1366" s="248">
        <f>_xll.qlCalendarAdvance(Calendar,U1366,NDays&amp;"D")</f>
        <v>48382</v>
      </c>
      <c r="W1366" s="249">
        <v>2.7824800166942335E-2</v>
      </c>
      <c r="X1366" s="246">
        <v>2.7801908138229692E-2</v>
      </c>
    </row>
    <row r="1367" spans="20:24" x14ac:dyDescent="0.2">
      <c r="T1367" s="247" t="str">
        <f t="shared" si="26"/>
        <v>1w</v>
      </c>
      <c r="U1367" s="245">
        <f>_xll.qlCalendarAdvance(Calendar,U1366,T1367,"f",FALSE)</f>
        <v>48387</v>
      </c>
      <c r="V1367" s="248">
        <f>_xll.qlCalendarAdvance(Calendar,U1367,NDays&amp;"D")</f>
        <v>48389</v>
      </c>
      <c r="W1367" s="249">
        <v>2.7813301285391043E-2</v>
      </c>
      <c r="X1367" s="246">
        <v>2.7790383236316885E-2</v>
      </c>
    </row>
    <row r="1368" spans="20:24" x14ac:dyDescent="0.2">
      <c r="T1368" s="247" t="str">
        <f t="shared" si="26"/>
        <v>1w</v>
      </c>
      <c r="U1368" s="245">
        <f>_xll.qlCalendarAdvance(Calendar,U1367,T1368,"f",FALSE)</f>
        <v>48394</v>
      </c>
      <c r="V1368" s="248">
        <f>_xll.qlCalendarAdvance(Calendar,U1368,NDays&amp;"D")</f>
        <v>48396</v>
      </c>
      <c r="W1368" s="249">
        <v>2.7801818907852695E-2</v>
      </c>
      <c r="X1368" s="246">
        <v>2.7778874690200794E-2</v>
      </c>
    </row>
    <row r="1369" spans="20:24" x14ac:dyDescent="0.2">
      <c r="T1369" s="247" t="str">
        <f t="shared" si="26"/>
        <v>1w</v>
      </c>
      <c r="U1369" s="245">
        <f>_xll.qlCalendarAdvance(Calendar,U1368,T1369,"f",FALSE)</f>
        <v>48401</v>
      </c>
      <c r="V1369" s="248">
        <f>_xll.qlCalendarAdvance(Calendar,U1369,NDays&amp;"D")</f>
        <v>48403</v>
      </c>
      <c r="W1369" s="249">
        <v>2.7790353034181311E-2</v>
      </c>
      <c r="X1369" s="246">
        <v>2.7767382500041293E-2</v>
      </c>
    </row>
    <row r="1370" spans="20:24" x14ac:dyDescent="0.2">
      <c r="T1370" s="247" t="str">
        <f t="shared" si="26"/>
        <v>1w</v>
      </c>
      <c r="U1370" s="245">
        <f>_xll.qlCalendarAdvance(Calendar,U1369,T1370,"f",FALSE)</f>
        <v>48408</v>
      </c>
      <c r="V1370" s="248">
        <f>_xll.qlCalendarAdvance(Calendar,U1370,NDays&amp;"D")</f>
        <v>48410</v>
      </c>
      <c r="W1370" s="249">
        <v>2.7778903664230928E-2</v>
      </c>
      <c r="X1370" s="246">
        <v>2.7755906665678509E-2</v>
      </c>
    </row>
    <row r="1371" spans="20:24" x14ac:dyDescent="0.2">
      <c r="T1371" s="247" t="str">
        <f t="shared" si="26"/>
        <v>1w</v>
      </c>
      <c r="U1371" s="245">
        <f>_xll.qlCalendarAdvance(Calendar,U1370,T1371,"f",FALSE)</f>
        <v>48415</v>
      </c>
      <c r="V1371" s="248">
        <f>_xll.qlCalendarAdvance(Calendar,U1371,NDays&amp;"D")</f>
        <v>48417</v>
      </c>
      <c r="W1371" s="249">
        <v>2.7767470797862525E-2</v>
      </c>
      <c r="X1371" s="246">
        <v>2.7744447187272314E-2</v>
      </c>
    </row>
    <row r="1372" spans="20:24" x14ac:dyDescent="0.2">
      <c r="T1372" s="247" t="str">
        <f t="shared" si="26"/>
        <v>1w</v>
      </c>
      <c r="U1372" s="245">
        <f>_xll.qlCalendarAdvance(Calendar,U1371,T1372,"f",FALSE)</f>
        <v>48422</v>
      </c>
      <c r="V1372" s="248">
        <f>_xll.qlCalendarAdvance(Calendar,U1372,NDays&amp;"D")</f>
        <v>48424</v>
      </c>
      <c r="W1372" s="249">
        <v>2.7756054434929261E-2</v>
      </c>
      <c r="X1372" s="246">
        <v>2.7733004064822708E-2</v>
      </c>
    </row>
    <row r="1373" spans="20:24" x14ac:dyDescent="0.2">
      <c r="T1373" s="247" t="str">
        <f t="shared" si="26"/>
        <v>1w</v>
      </c>
      <c r="U1373" s="245">
        <f>_xll.qlCalendarAdvance(Calendar,U1372,T1373,"f",FALSE)</f>
        <v>48429</v>
      </c>
      <c r="V1373" s="248">
        <f>_xll.qlCalendarAdvance(Calendar,U1373,NDays&amp;"D")</f>
        <v>48431</v>
      </c>
      <c r="W1373" s="249">
        <v>2.7744654575291249E-2</v>
      </c>
      <c r="X1373" s="246">
        <v>2.7721577298249755E-2</v>
      </c>
    </row>
    <row r="1374" spans="20:24" x14ac:dyDescent="0.2">
      <c r="T1374" s="247" t="str">
        <f t="shared" si="26"/>
        <v>1w</v>
      </c>
      <c r="U1374" s="245">
        <f>_xll.qlCalendarAdvance(Calendar,U1373,T1374,"f",FALSE)</f>
        <v>48436</v>
      </c>
      <c r="V1374" s="248">
        <f>_xll.qlCalendarAdvance(Calendar,U1374,NDays&amp;"D")</f>
        <v>48438</v>
      </c>
      <c r="W1374" s="249">
        <v>2.7733271218799913E-2</v>
      </c>
      <c r="X1374" s="246">
        <v>2.7710166887313648E-2</v>
      </c>
    </row>
    <row r="1375" spans="20:24" x14ac:dyDescent="0.2">
      <c r="T1375" s="247" t="str">
        <f t="shared" si="26"/>
        <v>1w</v>
      </c>
      <c r="U1375" s="245">
        <f>_xll.qlCalendarAdvance(Calendar,U1374,T1375,"f",FALSE)</f>
        <v>48443</v>
      </c>
      <c r="V1375" s="248">
        <f>_xll.qlCalendarAdvance(Calendar,U1375,NDays&amp;"D")</f>
        <v>48445</v>
      </c>
      <c r="W1375" s="249">
        <v>2.7721904365317969E-2</v>
      </c>
      <c r="X1375" s="246">
        <v>2.7698772832494001E-2</v>
      </c>
    </row>
    <row r="1376" spans="20:24" x14ac:dyDescent="0.2">
      <c r="T1376" s="247" t="str">
        <f t="shared" si="26"/>
        <v>1w</v>
      </c>
      <c r="U1376" s="245">
        <f>_xll.qlCalendarAdvance(Calendar,U1375,T1376,"f",FALSE)</f>
        <v>48450</v>
      </c>
      <c r="V1376" s="248">
        <f>_xll.qlCalendarAdvance(Calendar,U1376,NDays&amp;"D")</f>
        <v>48452</v>
      </c>
      <c r="W1376" s="249">
        <v>2.7710554014699448E-2</v>
      </c>
      <c r="X1376" s="246">
        <v>2.7687395133471071E-2</v>
      </c>
    </row>
    <row r="1377" spans="20:24" x14ac:dyDescent="0.2">
      <c r="T1377" s="247" t="str">
        <f t="shared" si="26"/>
        <v>1w</v>
      </c>
      <c r="U1377" s="245">
        <f>_xll.qlCalendarAdvance(Calendar,U1376,T1377,"f",FALSE)</f>
        <v>48457</v>
      </c>
      <c r="V1377" s="248">
        <f>_xll.qlCalendarAdvance(Calendar,U1377,NDays&amp;"D")</f>
        <v>48459</v>
      </c>
      <c r="W1377" s="249">
        <v>2.7698963467488385E-2</v>
      </c>
      <c r="X1377" s="246">
        <v>2.767603379040473E-2</v>
      </c>
    </row>
    <row r="1378" spans="20:24" x14ac:dyDescent="0.2">
      <c r="T1378" s="247" t="str">
        <f t="shared" si="26"/>
        <v>1w</v>
      </c>
      <c r="U1378" s="245">
        <f>_xll.qlCalendarAdvance(Calendar,U1377,T1378,"f",FALSE)</f>
        <v>48464</v>
      </c>
      <c r="V1378" s="248">
        <f>_xll.qlCalendarAdvance(Calendar,U1378,NDays&amp;"D")</f>
        <v>48466</v>
      </c>
      <c r="W1378" s="249">
        <v>2.7687645811048229E-2</v>
      </c>
      <c r="X1378" s="246">
        <v>2.7664688803215043E-2</v>
      </c>
    </row>
    <row r="1379" spans="20:24" x14ac:dyDescent="0.2">
      <c r="T1379" s="247" t="str">
        <f t="shared" si="26"/>
        <v>1w</v>
      </c>
      <c r="U1379" s="245">
        <f>_xll.qlCalendarAdvance(Calendar,U1378,T1379,"f",FALSE)</f>
        <v>48471</v>
      </c>
      <c r="V1379" s="248">
        <f>_xll.qlCalendarAdvance(Calendar,U1379,NDays&amp;"D")</f>
        <v>48473</v>
      </c>
      <c r="W1379" s="249">
        <v>2.7676344655439545E-2</v>
      </c>
      <c r="X1379" s="246">
        <v>2.7653360171822072E-2</v>
      </c>
    </row>
    <row r="1380" spans="20:24" x14ac:dyDescent="0.2">
      <c r="T1380" s="247" t="str">
        <f t="shared" si="26"/>
        <v>1w</v>
      </c>
      <c r="U1380" s="245">
        <f>_xll.qlCalendarAdvance(Calendar,U1379,T1380,"f",FALSE)</f>
        <v>48478</v>
      </c>
      <c r="V1380" s="248">
        <f>_xll.qlCalendarAdvance(Calendar,U1380,NDays&amp;"D")</f>
        <v>48480</v>
      </c>
      <c r="W1380" s="249">
        <v>2.7665060000520904E-2</v>
      </c>
      <c r="X1380" s="246">
        <v>2.7642047896305755E-2</v>
      </c>
    </row>
    <row r="1381" spans="20:24" x14ac:dyDescent="0.2">
      <c r="T1381" s="247" t="str">
        <f t="shared" si="26"/>
        <v>1w</v>
      </c>
      <c r="U1381" s="245">
        <f>_xll.qlCalendarAdvance(Calendar,U1380,T1381,"f",FALSE)</f>
        <v>48485</v>
      </c>
      <c r="V1381" s="248">
        <f>_xll.qlCalendarAdvance(Calendar,U1381,NDays&amp;"D")</f>
        <v>48487</v>
      </c>
      <c r="W1381" s="249">
        <v>2.7654049799599567E-2</v>
      </c>
      <c r="X1381" s="246">
        <v>2.7630751976746026E-2</v>
      </c>
    </row>
    <row r="1382" spans="20:24" x14ac:dyDescent="0.2">
      <c r="T1382" s="247" t="str">
        <f t="shared" si="26"/>
        <v>1w</v>
      </c>
      <c r="U1382" s="245">
        <f>_xll.qlCalendarAdvance(Calendar,U1381,T1382,"f",FALSE)</f>
        <v>48492</v>
      </c>
      <c r="V1382" s="248">
        <f>_xll.qlCalendarAdvance(Calendar,U1382,NDays&amp;"D")</f>
        <v>48494</v>
      </c>
      <c r="W1382" s="249">
        <v>2.7642798463185708E-2</v>
      </c>
      <c r="X1382" s="246">
        <v>2.7619472413142887E-2</v>
      </c>
    </row>
    <row r="1383" spans="20:24" x14ac:dyDescent="0.2">
      <c r="T1383" s="247" t="str">
        <f t="shared" si="26"/>
        <v>1w</v>
      </c>
      <c r="U1383" s="245">
        <f>_xll.qlCalendarAdvance(Calendar,U1382,T1383,"f",FALSE)</f>
        <v>48499</v>
      </c>
      <c r="V1383" s="248">
        <f>_xll.qlCalendarAdvance(Calendar,U1383,NDays&amp;"D")</f>
        <v>48501</v>
      </c>
      <c r="W1383" s="249">
        <v>2.7631563628643024E-2</v>
      </c>
      <c r="X1383" s="246">
        <v>2.7608209205176593E-2</v>
      </c>
    </row>
    <row r="1384" spans="20:24" x14ac:dyDescent="0.2">
      <c r="T1384" s="247" t="str">
        <f t="shared" si="26"/>
        <v>1w</v>
      </c>
      <c r="U1384" s="245">
        <f>_xll.qlCalendarAdvance(Calendar,U1383,T1384,"f",FALSE)</f>
        <v>48506</v>
      </c>
      <c r="V1384" s="248">
        <f>_xll.qlCalendarAdvance(Calendar,U1384,NDays&amp;"D")</f>
        <v>48508</v>
      </c>
      <c r="W1384" s="249">
        <v>2.7620345295831628E-2</v>
      </c>
      <c r="X1384" s="246">
        <v>2.7596962353246823E-2</v>
      </c>
    </row>
    <row r="1385" spans="20:24" x14ac:dyDescent="0.2">
      <c r="T1385" s="247" t="str">
        <f t="shared" si="26"/>
        <v>1w</v>
      </c>
      <c r="U1385" s="245">
        <f>_xll.qlCalendarAdvance(Calendar,U1384,T1385,"f",FALSE)</f>
        <v>48513</v>
      </c>
      <c r="V1385" s="248">
        <f>_xll.qlCalendarAdvance(Calendar,U1385,NDays&amp;"D")</f>
        <v>48515</v>
      </c>
      <c r="W1385" s="249">
        <v>2.7609143464611626E-2</v>
      </c>
      <c r="X1385" s="246">
        <v>2.7585731857033835E-2</v>
      </c>
    </row>
    <row r="1386" spans="20:24" x14ac:dyDescent="0.2">
      <c r="T1386" s="247" t="str">
        <f t="shared" si="26"/>
        <v>1w</v>
      </c>
      <c r="U1386" s="245">
        <f>_xll.qlCalendarAdvance(Calendar,U1385,T1386,"f",FALSE)</f>
        <v>48520</v>
      </c>
      <c r="V1386" s="248">
        <f>_xll.qlCalendarAdvance(Calendar,U1386,NDays&amp;"D")</f>
        <v>48522</v>
      </c>
      <c r="W1386" s="249">
        <v>2.7597958134839659E-2</v>
      </c>
      <c r="X1386" s="246">
        <v>2.7574517716857372E-2</v>
      </c>
    </row>
    <row r="1387" spans="20:24" x14ac:dyDescent="0.2">
      <c r="T1387" s="247" t="str">
        <f t="shared" si="26"/>
        <v>1w</v>
      </c>
      <c r="U1387" s="245">
        <f>_xll.qlCalendarAdvance(Calendar,U1386,T1387,"f",FALSE)</f>
        <v>48527</v>
      </c>
      <c r="V1387" s="248">
        <f>_xll.qlCalendarAdvance(Calendar,U1387,NDays&amp;"D")</f>
        <v>48529</v>
      </c>
      <c r="W1387" s="249">
        <v>2.7586789306378447E-2</v>
      </c>
      <c r="X1387" s="246">
        <v>2.7563319932477626E-2</v>
      </c>
    </row>
    <row r="1388" spans="20:24" x14ac:dyDescent="0.2">
      <c r="T1388" s="247" t="str">
        <f t="shared" si="26"/>
        <v>1w</v>
      </c>
      <c r="U1388" s="245">
        <f>_xll.qlCalendarAdvance(Calendar,U1387,T1388,"f",FALSE)</f>
        <v>48534</v>
      </c>
      <c r="V1388" s="248">
        <f>_xll.qlCalendarAdvance(Calendar,U1388,NDays&amp;"D")</f>
        <v>48536</v>
      </c>
      <c r="W1388" s="249">
        <v>2.7575636979086361E-2</v>
      </c>
      <c r="X1388" s="246">
        <v>2.7552138503974533E-2</v>
      </c>
    </row>
    <row r="1389" spans="20:24" x14ac:dyDescent="0.2">
      <c r="T1389" s="247" t="str">
        <f t="shared" si="26"/>
        <v>1w</v>
      </c>
      <c r="U1389" s="245">
        <f>_xll.qlCalendarAdvance(Calendar,U1388,T1389,"f",FALSE)</f>
        <v>48541</v>
      </c>
      <c r="V1389" s="248">
        <f>_xll.qlCalendarAdvance(Calendar,U1389,NDays&amp;"D")</f>
        <v>48543</v>
      </c>
      <c r="W1389" s="249">
        <v>2.7564501152823512E-2</v>
      </c>
      <c r="X1389" s="246">
        <v>2.7540973431268156E-2</v>
      </c>
    </row>
    <row r="1390" spans="20:24" x14ac:dyDescent="0.2">
      <c r="T1390" s="247" t="str">
        <f t="shared" si="26"/>
        <v>1w</v>
      </c>
      <c r="U1390" s="245">
        <f>_xll.qlCalendarAdvance(Calendar,U1389,T1390,"f",FALSE)</f>
        <v>48548</v>
      </c>
      <c r="V1390" s="248">
        <f>_xll.qlCalendarAdvance(Calendar,U1390,NDays&amp;"D")</f>
        <v>48550</v>
      </c>
      <c r="W1390" s="249">
        <v>2.7552860134758994E-2</v>
      </c>
      <c r="X1390" s="246">
        <v>2.7529824714438433E-2</v>
      </c>
    </row>
    <row r="1391" spans="20:24" x14ac:dyDescent="0.2">
      <c r="T1391" s="247" t="str">
        <f t="shared" si="26"/>
        <v>1w</v>
      </c>
      <c r="U1391" s="245">
        <f>_xll.qlCalendarAdvance(Calendar,U1390,T1391,"f",FALSE)</f>
        <v>48555</v>
      </c>
      <c r="V1391" s="248">
        <f>_xll.qlCalendarAdvance(Calendar,U1391,NDays&amp;"D")</f>
        <v>48557</v>
      </c>
      <c r="W1391" s="249">
        <v>2.7541756646498605E-2</v>
      </c>
      <c r="X1391" s="246">
        <v>2.7518692353485363E-2</v>
      </c>
    </row>
    <row r="1392" spans="20:24" x14ac:dyDescent="0.2">
      <c r="T1392" s="247" t="str">
        <f t="shared" si="26"/>
        <v>1w</v>
      </c>
      <c r="U1392" s="245">
        <f>_xll.qlCalendarAdvance(Calendar,U1391,T1392,"f",FALSE)</f>
        <v>48562</v>
      </c>
      <c r="V1392" s="248">
        <f>_xll.qlCalendarAdvance(Calendar,U1392,NDays&amp;"D")</f>
        <v>48564</v>
      </c>
      <c r="W1392" s="249">
        <v>2.7530669655672746E-2</v>
      </c>
      <c r="X1392" s="246">
        <v>2.7507576348408946E-2</v>
      </c>
    </row>
    <row r="1393" spans="20:24" x14ac:dyDescent="0.2">
      <c r="T1393" s="247" t="str">
        <f t="shared" si="26"/>
        <v>1w</v>
      </c>
      <c r="U1393" s="245">
        <f>_xll.qlCalendarAdvance(Calendar,U1392,T1393,"f",FALSE)</f>
        <v>48569</v>
      </c>
      <c r="V1393" s="248">
        <f>_xll.qlCalendarAdvance(Calendar,U1393,NDays&amp;"D")</f>
        <v>48571</v>
      </c>
      <c r="W1393" s="249">
        <v>2.7519599162147301E-2</v>
      </c>
      <c r="X1393" s="246">
        <v>2.7496476699209182E-2</v>
      </c>
    </row>
    <row r="1394" spans="20:24" x14ac:dyDescent="0.2">
      <c r="T1394" s="247" t="str">
        <f t="shared" si="26"/>
        <v>1w</v>
      </c>
      <c r="U1394" s="245">
        <f>_xll.qlCalendarAdvance(Calendar,U1393,T1394,"f",FALSE)</f>
        <v>48576</v>
      </c>
      <c r="V1394" s="248">
        <f>_xll.qlCalendarAdvance(Calendar,U1394,NDays&amp;"D")</f>
        <v>48578</v>
      </c>
      <c r="W1394" s="249">
        <v>2.7508545165784604E-2</v>
      </c>
      <c r="X1394" s="246">
        <v>2.7485393405806136E-2</v>
      </c>
    </row>
    <row r="1395" spans="20:24" x14ac:dyDescent="0.2">
      <c r="T1395" s="247" t="str">
        <f t="shared" si="26"/>
        <v>1w</v>
      </c>
      <c r="U1395" s="245">
        <f>_xll.qlCalendarAdvance(Calendar,U1394,T1395,"f",FALSE)</f>
        <v>48583</v>
      </c>
      <c r="V1395" s="248">
        <f>_xll.qlCalendarAdvance(Calendar,U1395,NDays&amp;"D")</f>
        <v>48585</v>
      </c>
      <c r="W1395" s="249">
        <v>2.7497507666450538E-2</v>
      </c>
      <c r="X1395" s="246">
        <v>2.7474326468359678E-2</v>
      </c>
    </row>
    <row r="1396" spans="20:24" x14ac:dyDescent="0.2">
      <c r="T1396" s="247" t="str">
        <f t="shared" si="26"/>
        <v>1w</v>
      </c>
      <c r="U1396" s="245">
        <f>_xll.qlCalendarAdvance(Calendar,U1395,T1396,"f",FALSE)</f>
        <v>48590</v>
      </c>
      <c r="V1396" s="248">
        <f>_xll.qlCalendarAdvance(Calendar,U1396,NDays&amp;"D")</f>
        <v>48592</v>
      </c>
      <c r="W1396" s="249">
        <v>2.7486486664008325E-2</v>
      </c>
      <c r="X1396" s="246">
        <v>2.7463275886630001E-2</v>
      </c>
    </row>
    <row r="1397" spans="20:24" x14ac:dyDescent="0.2">
      <c r="T1397" s="247" t="str">
        <f t="shared" si="26"/>
        <v>1w</v>
      </c>
      <c r="U1397" s="245">
        <f>_xll.qlCalendarAdvance(Calendar,U1396,T1397,"f",FALSE)</f>
        <v>48597</v>
      </c>
      <c r="V1397" s="248">
        <f>_xll.qlCalendarAdvance(Calendar,U1397,NDays&amp;"D")</f>
        <v>48599</v>
      </c>
      <c r="W1397" s="249">
        <v>2.747548215832385E-2</v>
      </c>
      <c r="X1397" s="246">
        <v>2.7452241660856913E-2</v>
      </c>
    </row>
    <row r="1398" spans="20:24" x14ac:dyDescent="0.2">
      <c r="T1398" s="247" t="str">
        <f t="shared" si="26"/>
        <v>1w</v>
      </c>
      <c r="U1398" s="245">
        <f>_xll.qlCalendarAdvance(Calendar,U1397,T1398,"f",FALSE)</f>
        <v>48604</v>
      </c>
      <c r="V1398" s="248">
        <f>_xll.qlCalendarAdvance(Calendar,U1398,NDays&amp;"D")</f>
        <v>48606</v>
      </c>
      <c r="W1398" s="249">
        <v>2.746449414926122E-2</v>
      </c>
      <c r="X1398" s="246">
        <v>2.7441223790880542E-2</v>
      </c>
    </row>
    <row r="1399" spans="20:24" x14ac:dyDescent="0.2">
      <c r="T1399" s="247" t="str">
        <f t="shared" si="26"/>
        <v>1w</v>
      </c>
      <c r="U1399" s="245">
        <f>_xll.qlCalendarAdvance(Calendar,U1398,T1399,"f",FALSE)</f>
        <v>48611</v>
      </c>
      <c r="V1399" s="248">
        <f>_xll.qlCalendarAdvance(Calendar,U1399,NDays&amp;"D")</f>
        <v>48613</v>
      </c>
      <c r="W1399" s="249">
        <v>2.7453258816654703E-2</v>
      </c>
      <c r="X1399" s="246">
        <v>2.7430222276780825E-2</v>
      </c>
    </row>
    <row r="1400" spans="20:24" x14ac:dyDescent="0.2">
      <c r="T1400" s="247" t="str">
        <f t="shared" si="26"/>
        <v>1w</v>
      </c>
      <c r="U1400" s="245">
        <f>_xll.qlCalendarAdvance(Calendar,U1399,T1400,"f",FALSE)</f>
        <v>48618</v>
      </c>
      <c r="V1400" s="248">
        <f>_xll.qlCalendarAdvance(Calendar,U1400,NDays&amp;"D")</f>
        <v>48620</v>
      </c>
      <c r="W1400" s="249">
        <v>2.7442303454623219E-2</v>
      </c>
      <c r="X1400" s="246">
        <v>2.7419237118477824E-2</v>
      </c>
    </row>
    <row r="1401" spans="20:24" x14ac:dyDescent="0.2">
      <c r="T1401" s="247" t="str">
        <f t="shared" si="26"/>
        <v>1w</v>
      </c>
      <c r="U1401" s="245">
        <f>_xll.qlCalendarAdvance(Calendar,U1400,T1401,"f",FALSE)</f>
        <v>48625</v>
      </c>
      <c r="V1401" s="248">
        <f>_xll.qlCalendarAdvance(Calendar,U1401,NDays&amp;"D")</f>
        <v>48627</v>
      </c>
      <c r="W1401" s="249">
        <v>2.7431364587234691E-2</v>
      </c>
      <c r="X1401" s="246">
        <v>2.7408268316051476E-2</v>
      </c>
    </row>
    <row r="1402" spans="20:24" x14ac:dyDescent="0.2">
      <c r="T1402" s="247" t="str">
        <f t="shared" si="26"/>
        <v>1w</v>
      </c>
      <c r="U1402" s="245">
        <f>_xll.qlCalendarAdvance(Calendar,U1401,T1402,"f",FALSE)</f>
        <v>48632</v>
      </c>
      <c r="V1402" s="248">
        <f>_xll.qlCalendarAdvance(Calendar,U1402,NDays&amp;"D")</f>
        <v>48634</v>
      </c>
      <c r="W1402" s="249">
        <v>2.7420442214356192E-2</v>
      </c>
      <c r="X1402" s="246">
        <v>2.7397315869501782E-2</v>
      </c>
    </row>
    <row r="1403" spans="20:24" x14ac:dyDescent="0.2">
      <c r="T1403" s="247" t="str">
        <f t="shared" si="26"/>
        <v>1w</v>
      </c>
      <c r="U1403" s="245">
        <f>_xll.qlCalendarAdvance(Calendar,U1402,T1403,"f",FALSE)</f>
        <v>48639</v>
      </c>
      <c r="V1403" s="248">
        <f>_xll.qlCalendarAdvance(Calendar,U1403,NDays&amp;"D")</f>
        <v>48641</v>
      </c>
      <c r="W1403" s="249">
        <v>2.7410332115368138E-2</v>
      </c>
      <c r="X1403" s="246">
        <v>2.7386379778748804E-2</v>
      </c>
    </row>
    <row r="1404" spans="20:24" x14ac:dyDescent="0.2">
      <c r="T1404" s="247" t="str">
        <f t="shared" si="26"/>
        <v>1w</v>
      </c>
      <c r="U1404" s="245">
        <f>_xll.qlCalendarAdvance(Calendar,U1403,T1404,"f",FALSE)</f>
        <v>48646</v>
      </c>
      <c r="V1404" s="248">
        <f>_xll.qlCalendarAdvance(Calendar,U1404,NDays&amp;"D")</f>
        <v>48648</v>
      </c>
      <c r="W1404" s="249">
        <v>2.7399443787897187E-2</v>
      </c>
      <c r="X1404" s="246">
        <v>2.7375460043872479E-2</v>
      </c>
    </row>
    <row r="1405" spans="20:24" x14ac:dyDescent="0.2">
      <c r="T1405" s="247" t="str">
        <f t="shared" si="26"/>
        <v>1w</v>
      </c>
      <c r="U1405" s="245">
        <f>_xll.qlCalendarAdvance(Calendar,U1404,T1405,"f",FALSE)</f>
        <v>48653</v>
      </c>
      <c r="V1405" s="248">
        <f>_xll.qlCalendarAdvance(Calendar,U1405,NDays&amp;"D")</f>
        <v>48655</v>
      </c>
      <c r="W1405" s="249">
        <v>2.7388571959244198E-2</v>
      </c>
      <c r="X1405" s="246">
        <v>2.7364556664712936E-2</v>
      </c>
    </row>
    <row r="1406" spans="20:24" x14ac:dyDescent="0.2">
      <c r="T1406" s="247" t="str">
        <f t="shared" si="26"/>
        <v>1w</v>
      </c>
      <c r="U1406" s="245">
        <f>_xll.qlCalendarAdvance(Calendar,U1405,T1406,"f",FALSE)</f>
        <v>48660</v>
      </c>
      <c r="V1406" s="248">
        <f>_xll.qlCalendarAdvance(Calendar,U1406,NDays&amp;"D")</f>
        <v>48662</v>
      </c>
      <c r="W1406" s="249">
        <v>2.737771662927363E-2</v>
      </c>
      <c r="X1406" s="246">
        <v>2.7353669641430045E-2</v>
      </c>
    </row>
    <row r="1407" spans="20:24" x14ac:dyDescent="0.2">
      <c r="T1407" s="247" t="str">
        <f t="shared" si="26"/>
        <v>1w</v>
      </c>
      <c r="U1407" s="245">
        <f>_xll.qlCalendarAdvance(Calendar,U1406,T1407,"f",FALSE)</f>
        <v>48667</v>
      </c>
      <c r="V1407" s="248">
        <f>_xll.qlCalendarAdvance(Calendar,U1407,NDays&amp;"D")</f>
        <v>48669</v>
      </c>
      <c r="W1407" s="249">
        <v>2.7366611071789042E-2</v>
      </c>
      <c r="X1407" s="246">
        <v>2.7342798974103744E-2</v>
      </c>
    </row>
    <row r="1408" spans="20:24" x14ac:dyDescent="0.2">
      <c r="T1408" s="247" t="str">
        <f t="shared" si="26"/>
        <v>1w</v>
      </c>
      <c r="U1408" s="245">
        <f>_xll.qlCalendarAdvance(Calendar,U1407,T1408,"f",FALSE)</f>
        <v>48674</v>
      </c>
      <c r="V1408" s="248">
        <f>_xll.qlCalendarAdvance(Calendar,U1408,NDays&amp;"D")</f>
        <v>48676</v>
      </c>
      <c r="W1408" s="249">
        <v>2.7355788380090607E-2</v>
      </c>
      <c r="X1408" s="246">
        <v>2.7331944662494223E-2</v>
      </c>
    </row>
    <row r="1409" spans="20:24" x14ac:dyDescent="0.2">
      <c r="T1409" s="247" t="str">
        <f t="shared" si="26"/>
        <v>1w</v>
      </c>
      <c r="U1409" s="245">
        <f>_xll.qlCalendarAdvance(Calendar,U1408,T1409,"f",FALSE)</f>
        <v>48681</v>
      </c>
      <c r="V1409" s="248">
        <f>_xll.qlCalendarAdvance(Calendar,U1409,NDays&amp;"D")</f>
        <v>48683</v>
      </c>
      <c r="W1409" s="249">
        <v>2.7344982185102982E-2</v>
      </c>
      <c r="X1409" s="246">
        <v>2.7322159766448806E-2</v>
      </c>
    </row>
    <row r="1410" spans="20:24" x14ac:dyDescent="0.2">
      <c r="T1410" s="247" t="str">
        <f t="shared" si="26"/>
        <v>1w</v>
      </c>
      <c r="U1410" s="245">
        <f>_xll.qlCalendarAdvance(Calendar,U1409,T1410,"f",FALSE)</f>
        <v>48688</v>
      </c>
      <c r="V1410" s="248">
        <f>_xll.qlCalendarAdvance(Calendar,U1410,NDays&amp;"D")</f>
        <v>48690</v>
      </c>
      <c r="W1410" s="249">
        <v>2.7334192486693526E-2</v>
      </c>
      <c r="X1410" s="246">
        <v>2.7310285106905141E-2</v>
      </c>
    </row>
    <row r="1411" spans="20:24" x14ac:dyDescent="0.2">
      <c r="T1411" s="247" t="str">
        <f t="shared" si="26"/>
        <v>1w</v>
      </c>
      <c r="U1411" s="245">
        <f>_xll.qlCalendarAdvance(Calendar,U1410,T1411,"f",FALSE)</f>
        <v>48695</v>
      </c>
      <c r="V1411" s="248">
        <f>_xll.qlCalendarAdvance(Calendar,U1411,NDays&amp;"D")</f>
        <v>48697</v>
      </c>
      <c r="W1411" s="249">
        <v>2.7323419284729599E-2</v>
      </c>
      <c r="X1411" s="246">
        <v>2.7299479862845644E-2</v>
      </c>
    </row>
    <row r="1412" spans="20:24" x14ac:dyDescent="0.2">
      <c r="T1412" s="247" t="str">
        <f t="shared" si="26"/>
        <v>1w</v>
      </c>
      <c r="U1412" s="245">
        <f>_xll.qlCalendarAdvance(Calendar,U1411,T1412,"f",FALSE)</f>
        <v>48702</v>
      </c>
      <c r="V1412" s="248">
        <f>_xll.qlCalendarAdvance(Calendar,U1412,NDays&amp;"D")</f>
        <v>48704</v>
      </c>
      <c r="W1412" s="249">
        <v>2.7312931114173218E-2</v>
      </c>
      <c r="X1412" s="246">
        <v>2.7288690974502927E-2</v>
      </c>
    </row>
    <row r="1413" spans="20:24" x14ac:dyDescent="0.2">
      <c r="T1413" s="247" t="str">
        <f t="shared" si="26"/>
        <v>1w</v>
      </c>
      <c r="U1413" s="245">
        <f>_xll.qlCalendarAdvance(Calendar,U1412,T1413,"f",FALSE)</f>
        <v>48709</v>
      </c>
      <c r="V1413" s="248">
        <f>_xll.qlCalendarAdvance(Calendar,U1413,NDays&amp;"D")</f>
        <v>48711</v>
      </c>
      <c r="W1413" s="249">
        <v>2.7302191271179152E-2</v>
      </c>
      <c r="X1413" s="246">
        <v>2.7277918442196736E-2</v>
      </c>
    </row>
    <row r="1414" spans="20:24" x14ac:dyDescent="0.2">
      <c r="T1414" s="247" t="str">
        <f t="shared" si="26"/>
        <v>1w</v>
      </c>
      <c r="U1414" s="245">
        <f>_xll.qlCalendarAdvance(Calendar,U1413,T1414,"f",FALSE)</f>
        <v>48716</v>
      </c>
      <c r="V1414" s="248">
        <f>_xll.qlCalendarAdvance(Calendar,U1414,NDays&amp;"D")</f>
        <v>48718</v>
      </c>
      <c r="W1414" s="249">
        <v>2.7291467925784029E-2</v>
      </c>
      <c r="X1414" s="246">
        <v>2.7267162265527389E-2</v>
      </c>
    </row>
    <row r="1415" spans="20:24" x14ac:dyDescent="0.2">
      <c r="T1415" s="247" t="str">
        <f t="shared" si="26"/>
        <v>1w</v>
      </c>
      <c r="U1415" s="245">
        <f>_xll.qlCalendarAdvance(Calendar,U1414,T1415,"f",FALSE)</f>
        <v>48723</v>
      </c>
      <c r="V1415" s="248">
        <f>_xll.qlCalendarAdvance(Calendar,U1415,NDays&amp;"D")</f>
        <v>48725</v>
      </c>
      <c r="W1415" s="249">
        <v>2.7280761077852298E-2</v>
      </c>
      <c r="X1415" s="246">
        <v>2.7256422444734696E-2</v>
      </c>
    </row>
    <row r="1416" spans="20:24" x14ac:dyDescent="0.2">
      <c r="T1416" s="247" t="str">
        <f t="shared" si="26"/>
        <v>1w</v>
      </c>
      <c r="U1416" s="245">
        <f>_xll.qlCalendarAdvance(Calendar,U1415,T1416,"f",FALSE)</f>
        <v>48730</v>
      </c>
      <c r="V1416" s="248">
        <f>_xll.qlCalendarAdvance(Calendar,U1416,NDays&amp;"D")</f>
        <v>48732</v>
      </c>
      <c r="W1416" s="249">
        <v>2.7270070727251027E-2</v>
      </c>
      <c r="X1416" s="246">
        <v>2.7245698979898592E-2</v>
      </c>
    </row>
    <row r="1417" spans="20:24" x14ac:dyDescent="0.2">
      <c r="T1417" s="247" t="str">
        <f t="shared" si="26"/>
        <v>1w</v>
      </c>
      <c r="U1417" s="245">
        <f>_xll.qlCalendarAdvance(Calendar,U1416,T1417,"f",FALSE)</f>
        <v>48737</v>
      </c>
      <c r="V1417" s="248">
        <f>_xll.qlCalendarAdvance(Calendar,U1417,NDays&amp;"D")</f>
        <v>48739</v>
      </c>
      <c r="W1417" s="249">
        <v>2.7259396873844668E-2</v>
      </c>
      <c r="X1417" s="246">
        <v>2.7234991870699332E-2</v>
      </c>
    </row>
    <row r="1418" spans="20:24" x14ac:dyDescent="0.2">
      <c r="T1418" s="247" t="str">
        <f t="shared" si="26"/>
        <v>1w</v>
      </c>
      <c r="U1418" s="245">
        <f>_xll.qlCalendarAdvance(Calendar,U1417,T1418,"f",FALSE)</f>
        <v>48744</v>
      </c>
      <c r="V1418" s="248">
        <f>_xll.qlCalendarAdvance(Calendar,U1418,NDays&amp;"D")</f>
        <v>48746</v>
      </c>
      <c r="W1418" s="249">
        <v>2.7248739517501157E-2</v>
      </c>
      <c r="X1418" s="246">
        <v>2.7224301117376726E-2</v>
      </c>
    </row>
    <row r="1419" spans="20:24" x14ac:dyDescent="0.2">
      <c r="T1419" s="247" t="str">
        <f t="shared" si="26"/>
        <v>1w</v>
      </c>
      <c r="U1419" s="245">
        <f>_xll.qlCalendarAdvance(Calendar,U1418,T1419,"f",FALSE)</f>
        <v>48751</v>
      </c>
      <c r="V1419" s="248">
        <f>_xll.qlCalendarAdvance(Calendar,U1419,NDays&amp;"D")</f>
        <v>48753</v>
      </c>
      <c r="W1419" s="249">
        <v>2.723809865808495E-2</v>
      </c>
      <c r="X1419" s="246">
        <v>2.7213626719850836E-2</v>
      </c>
    </row>
    <row r="1420" spans="20:24" x14ac:dyDescent="0.2">
      <c r="T1420" s="247" t="str">
        <f t="shared" si="26"/>
        <v>1w</v>
      </c>
      <c r="U1420" s="245">
        <f>_xll.qlCalendarAdvance(Calendar,U1419,T1420,"f",FALSE)</f>
        <v>48758</v>
      </c>
      <c r="V1420" s="248">
        <f>_xll.qlCalendarAdvance(Calendar,U1420,NDays&amp;"D")</f>
        <v>48760</v>
      </c>
      <c r="W1420" s="249">
        <v>2.7227474295464845E-2</v>
      </c>
      <c r="X1420" s="246">
        <v>2.7202968678281536E-2</v>
      </c>
    </row>
    <row r="1421" spans="20:24" x14ac:dyDescent="0.2">
      <c r="T1421" s="247" t="str">
        <f t="shared" si="26"/>
        <v>1w</v>
      </c>
      <c r="U1421" s="245">
        <f>_xll.qlCalendarAdvance(Calendar,U1420,T1421,"f",FALSE)</f>
        <v>48765</v>
      </c>
      <c r="V1421" s="248">
        <f>_xll.qlCalendarAdvance(Calendar,U1421,NDays&amp;"D")</f>
        <v>48767</v>
      </c>
      <c r="W1421" s="249">
        <v>2.7216866429504428E-2</v>
      </c>
      <c r="X1421" s="246">
        <v>2.7192326992269145E-2</v>
      </c>
    </row>
    <row r="1422" spans="20:24" x14ac:dyDescent="0.2">
      <c r="T1422" s="247" t="str">
        <f t="shared" si="26"/>
        <v>1w</v>
      </c>
      <c r="U1422" s="245">
        <f>_xll.qlCalendarAdvance(Calendar,U1421,T1422,"f",FALSE)</f>
        <v>48772</v>
      </c>
      <c r="V1422" s="248">
        <f>_xll.qlCalendarAdvance(Calendar,U1422,NDays&amp;"D")</f>
        <v>48774</v>
      </c>
      <c r="W1422" s="249">
        <v>2.7206275060073372E-2</v>
      </c>
      <c r="X1422" s="246">
        <v>2.7181701662373214E-2</v>
      </c>
    </row>
    <row r="1423" spans="20:24" x14ac:dyDescent="0.2">
      <c r="T1423" s="247" t="str">
        <f t="shared" si="26"/>
        <v>1w</v>
      </c>
      <c r="U1423" s="245">
        <f>_xll.qlCalendarAdvance(Calendar,U1422,T1423,"f",FALSE)</f>
        <v>48779</v>
      </c>
      <c r="V1423" s="248">
        <f>_xll.qlCalendarAdvance(Calendar,U1423,NDays&amp;"D")</f>
        <v>48781</v>
      </c>
      <c r="W1423" s="249">
        <v>2.7195700187037004E-2</v>
      </c>
      <c r="X1423" s="246">
        <v>2.7171092688114129E-2</v>
      </c>
    </row>
    <row r="1424" spans="20:24" x14ac:dyDescent="0.2">
      <c r="T1424" s="247" t="str">
        <f t="shared" si="26"/>
        <v>1w</v>
      </c>
      <c r="U1424" s="245">
        <f>_xll.qlCalendarAdvance(Calendar,U1423,T1424,"f",FALSE)</f>
        <v>48786</v>
      </c>
      <c r="V1424" s="248">
        <f>_xll.qlCalendarAdvance(Calendar,U1424,NDays&amp;"D")</f>
        <v>48788</v>
      </c>
      <c r="W1424" s="249">
        <v>2.7185141810264119E-2</v>
      </c>
      <c r="X1424" s="246">
        <v>2.7160500069651761E-2</v>
      </c>
    </row>
    <row r="1425" spans="20:24" x14ac:dyDescent="0.2">
      <c r="T1425" s="247" t="str">
        <f t="shared" si="26"/>
        <v>1w</v>
      </c>
      <c r="U1425" s="245">
        <f>_xll.qlCalendarAdvance(Calendar,U1424,T1425,"f",FALSE)</f>
        <v>48793</v>
      </c>
      <c r="V1425" s="248">
        <f>_xll.qlCalendarAdvance(Calendar,U1425,NDays&amp;"D")</f>
        <v>48795</v>
      </c>
      <c r="W1425" s="249">
        <v>2.7174599929621783E-2</v>
      </c>
      <c r="X1425" s="246">
        <v>2.7149923806986109E-2</v>
      </c>
    </row>
    <row r="1426" spans="20:24" x14ac:dyDescent="0.2">
      <c r="T1426" s="247" t="str">
        <f t="shared" ref="T1426:T1489" si="27">T1425</f>
        <v>1w</v>
      </c>
      <c r="U1426" s="245">
        <f>_xll.qlCalendarAdvance(Calendar,U1425,T1426,"f",FALSE)</f>
        <v>48800</v>
      </c>
      <c r="V1426" s="248">
        <f>_xll.qlCalendarAdvance(Calendar,U1426,NDays&amp;"D")</f>
        <v>48802</v>
      </c>
      <c r="W1426" s="249">
        <v>2.7164074544976189E-2</v>
      </c>
      <c r="X1426" s="246">
        <v>2.7139363900117175E-2</v>
      </c>
    </row>
    <row r="1427" spans="20:24" x14ac:dyDescent="0.2">
      <c r="T1427" s="247" t="str">
        <f t="shared" si="27"/>
        <v>1w</v>
      </c>
      <c r="U1427" s="245">
        <f>_xll.qlCalendarAdvance(Calendar,U1426,T1427,"f",FALSE)</f>
        <v>48807</v>
      </c>
      <c r="V1427" s="248">
        <f>_xll.qlCalendarAdvance(Calendar,U1427,NDays&amp;"D")</f>
        <v>48809</v>
      </c>
      <c r="W1427" s="249">
        <v>2.7153565656197875E-2</v>
      </c>
      <c r="X1427" s="246">
        <v>2.712882034920483E-2</v>
      </c>
    </row>
    <row r="1428" spans="20:24" x14ac:dyDescent="0.2">
      <c r="T1428" s="247" t="str">
        <f t="shared" si="27"/>
        <v>1w</v>
      </c>
      <c r="U1428" s="245">
        <f>_xll.qlCalendarAdvance(Calendar,U1427,T1428,"f",FALSE)</f>
        <v>48814</v>
      </c>
      <c r="V1428" s="248">
        <f>_xll.qlCalendarAdvance(Calendar,U1428,NDays&amp;"D")</f>
        <v>48816</v>
      </c>
      <c r="W1428" s="249">
        <v>2.7143073263153038E-2</v>
      </c>
      <c r="X1428" s="246">
        <v>2.7118293154009265E-2</v>
      </c>
    </row>
    <row r="1429" spans="20:24" x14ac:dyDescent="0.2">
      <c r="T1429" s="247" t="str">
        <f t="shared" si="27"/>
        <v>1w</v>
      </c>
      <c r="U1429" s="245">
        <f>_xll.qlCalendarAdvance(Calendar,U1428,T1429,"f",FALSE)</f>
        <v>48821</v>
      </c>
      <c r="V1429" s="248">
        <f>_xll.qlCalendarAdvance(Calendar,U1429,NDays&amp;"D")</f>
        <v>48823</v>
      </c>
      <c r="W1429" s="249">
        <v>2.7132322389917637E-2</v>
      </c>
      <c r="X1429" s="246">
        <v>2.7107782314530482E-2</v>
      </c>
    </row>
    <row r="1430" spans="20:24" x14ac:dyDescent="0.2">
      <c r="T1430" s="247" t="str">
        <f t="shared" si="27"/>
        <v>1w</v>
      </c>
      <c r="U1430" s="245">
        <f>_xll.qlCalendarAdvance(Calendar,U1429,T1430,"f",FALSE)</f>
        <v>48828</v>
      </c>
      <c r="V1430" s="248">
        <f>_xll.qlCalendarAdvance(Calendar,U1430,NDays&amp;"D")</f>
        <v>48830</v>
      </c>
      <c r="W1430" s="249">
        <v>2.712186259522659E-2</v>
      </c>
      <c r="X1430" s="246">
        <v>2.7097287830928352E-2</v>
      </c>
    </row>
    <row r="1431" spans="20:24" x14ac:dyDescent="0.2">
      <c r="T1431" s="247" t="str">
        <f t="shared" si="27"/>
        <v>1w</v>
      </c>
      <c r="U1431" s="245">
        <f>_xll.qlCalendarAdvance(Calendar,U1430,T1431,"f",FALSE)</f>
        <v>48835</v>
      </c>
      <c r="V1431" s="248">
        <f>_xll.qlCalendarAdvance(Calendar,U1431,NDays&amp;"D")</f>
        <v>48837</v>
      </c>
      <c r="W1431" s="249">
        <v>2.7111419294344938E-2</v>
      </c>
      <c r="X1431" s="246">
        <v>2.7086809703202874E-2</v>
      </c>
    </row>
    <row r="1432" spans="20:24" x14ac:dyDescent="0.2">
      <c r="T1432" s="247" t="str">
        <f t="shared" si="27"/>
        <v>1w</v>
      </c>
      <c r="U1432" s="245">
        <f>_xll.qlCalendarAdvance(Calendar,U1431,T1432,"f",FALSE)</f>
        <v>48842</v>
      </c>
      <c r="V1432" s="248">
        <f>_xll.qlCalendarAdvance(Calendar,U1432,NDays&amp;"D")</f>
        <v>48844</v>
      </c>
      <c r="W1432" s="249">
        <v>2.7100992487143555E-2</v>
      </c>
      <c r="X1432" s="246">
        <v>2.7076347931194178E-2</v>
      </c>
    </row>
    <row r="1433" spans="20:24" x14ac:dyDescent="0.2">
      <c r="T1433" s="247" t="str">
        <f t="shared" si="27"/>
        <v>1w</v>
      </c>
      <c r="U1433" s="245">
        <f>_xll.qlCalendarAdvance(Calendar,U1432,T1433,"f",FALSE)</f>
        <v>48849</v>
      </c>
      <c r="V1433" s="248">
        <f>_xll.qlCalendarAdvance(Calendar,U1433,NDays&amp;"D")</f>
        <v>48851</v>
      </c>
      <c r="W1433" s="249">
        <v>2.7090582173492434E-2</v>
      </c>
      <c r="X1433" s="246">
        <v>2.7065902514982199E-2</v>
      </c>
    </row>
    <row r="1434" spans="20:24" x14ac:dyDescent="0.2">
      <c r="T1434" s="247" t="str">
        <f t="shared" si="27"/>
        <v>1w</v>
      </c>
      <c r="U1434" s="245">
        <f>_xll.qlCalendarAdvance(Calendar,U1433,T1434,"f",FALSE)</f>
        <v>48856</v>
      </c>
      <c r="V1434" s="248">
        <f>_xll.qlCalendarAdvance(Calendar,U1434,NDays&amp;"D")</f>
        <v>48858</v>
      </c>
      <c r="W1434" s="249">
        <v>2.7080465307945899E-2</v>
      </c>
      <c r="X1434" s="246">
        <v>2.7055473454566936E-2</v>
      </c>
    </row>
    <row r="1435" spans="20:24" x14ac:dyDescent="0.2">
      <c r="T1435" s="247" t="str">
        <f t="shared" si="27"/>
        <v>1w</v>
      </c>
      <c r="U1435" s="245">
        <f>_xll.qlCalendarAdvance(Calendar,U1434,T1435,"f",FALSE)</f>
        <v>48863</v>
      </c>
      <c r="V1435" s="248">
        <f>_xll.qlCalendarAdvance(Calendar,U1435,NDays&amp;"D")</f>
        <v>48865</v>
      </c>
      <c r="W1435" s="249">
        <v>2.7070088381366146E-2</v>
      </c>
      <c r="X1435" s="246">
        <v>2.7045060749948391E-2</v>
      </c>
    </row>
    <row r="1436" spans="20:24" x14ac:dyDescent="0.2">
      <c r="T1436" s="247" t="str">
        <f t="shared" si="27"/>
        <v>1w</v>
      </c>
      <c r="U1436" s="245">
        <f>_xll.qlCalendarAdvance(Calendar,U1435,T1436,"f",FALSE)</f>
        <v>48870</v>
      </c>
      <c r="V1436" s="248">
        <f>_xll.qlCalendarAdvance(Calendar,U1436,NDays&amp;"D")</f>
        <v>48872</v>
      </c>
      <c r="W1436" s="249">
        <v>2.7059727949474616E-2</v>
      </c>
      <c r="X1436" s="246">
        <v>2.7034664401126562E-2</v>
      </c>
    </row>
    <row r="1437" spans="20:24" x14ac:dyDescent="0.2">
      <c r="T1437" s="247" t="str">
        <f t="shared" si="27"/>
        <v>1w</v>
      </c>
      <c r="U1437" s="245">
        <f>_xll.qlCalendarAdvance(Calendar,U1436,T1437,"f",FALSE)</f>
        <v>48877</v>
      </c>
      <c r="V1437" s="248">
        <f>_xll.qlCalendarAdvance(Calendar,U1437,NDays&amp;"D")</f>
        <v>48879</v>
      </c>
      <c r="W1437" s="249">
        <v>2.7049384012138373E-2</v>
      </c>
      <c r="X1437" s="246">
        <v>2.7024284408101451E-2</v>
      </c>
    </row>
    <row r="1438" spans="20:24" x14ac:dyDescent="0.2">
      <c r="T1438" s="247" t="str">
        <f t="shared" si="27"/>
        <v>1w</v>
      </c>
      <c r="U1438" s="245">
        <f>_xll.qlCalendarAdvance(Calendar,U1437,T1438,"f",FALSE)</f>
        <v>48884</v>
      </c>
      <c r="V1438" s="248">
        <f>_xll.qlCalendarAdvance(Calendar,U1438,NDays&amp;"D")</f>
        <v>48886</v>
      </c>
      <c r="W1438" s="249">
        <v>2.7039056569228826E-2</v>
      </c>
      <c r="X1438" s="246">
        <v>2.7013920770873057E-2</v>
      </c>
    </row>
    <row r="1439" spans="20:24" x14ac:dyDescent="0.2">
      <c r="T1439" s="247" t="str">
        <f t="shared" si="27"/>
        <v>1w</v>
      </c>
      <c r="U1439" s="245">
        <f>_xll.qlCalendarAdvance(Calendar,U1438,T1439,"f",FALSE)</f>
        <v>48891</v>
      </c>
      <c r="V1439" s="248">
        <f>_xll.qlCalendarAdvance(Calendar,U1439,NDays&amp;"D")</f>
        <v>48893</v>
      </c>
      <c r="W1439" s="249">
        <v>2.7028745620618248E-2</v>
      </c>
      <c r="X1439" s="246">
        <v>2.7003573489441379E-2</v>
      </c>
    </row>
    <row r="1440" spans="20:24" x14ac:dyDescent="0.2">
      <c r="T1440" s="247" t="str">
        <f t="shared" si="27"/>
        <v>1w</v>
      </c>
      <c r="U1440" s="245">
        <f>_xll.qlCalendarAdvance(Calendar,U1439,T1440,"f",FALSE)</f>
        <v>48898</v>
      </c>
      <c r="V1440" s="248">
        <f>_xll.qlCalendarAdvance(Calendar,U1440,NDays&amp;"D")</f>
        <v>48900</v>
      </c>
      <c r="W1440" s="249">
        <v>2.7018451166176311E-2</v>
      </c>
      <c r="X1440" s="246">
        <v>2.6993242563806419E-2</v>
      </c>
    </row>
    <row r="1441" spans="20:24" x14ac:dyDescent="0.2">
      <c r="T1441" s="247" t="str">
        <f t="shared" si="27"/>
        <v>1w</v>
      </c>
      <c r="U1441" s="245">
        <f>_xll.qlCalendarAdvance(Calendar,U1440,T1441,"f",FALSE)</f>
        <v>48905</v>
      </c>
      <c r="V1441" s="248">
        <f>_xll.qlCalendarAdvance(Calendar,U1441,NDays&amp;"D")</f>
        <v>48907</v>
      </c>
      <c r="W1441" s="249">
        <v>2.700817320577268E-2</v>
      </c>
      <c r="X1441" s="246">
        <v>2.6982927993888239E-2</v>
      </c>
    </row>
    <row r="1442" spans="20:24" x14ac:dyDescent="0.2">
      <c r="T1442" s="247" t="str">
        <f t="shared" si="27"/>
        <v>1w</v>
      </c>
      <c r="U1442" s="245">
        <f>_xll.qlCalendarAdvance(Calendar,U1441,T1442,"f",FALSE)</f>
        <v>48912</v>
      </c>
      <c r="V1442" s="248">
        <f>_xll.qlCalendarAdvance(Calendar,U1442,NDays&amp;"D")</f>
        <v>48914</v>
      </c>
      <c r="W1442" s="249">
        <v>2.6997351392433977E-2</v>
      </c>
      <c r="X1442" s="246">
        <v>2.6972629779846713E-2</v>
      </c>
    </row>
    <row r="1443" spans="20:24" x14ac:dyDescent="0.2">
      <c r="T1443" s="247" t="str">
        <f t="shared" si="27"/>
        <v>1w</v>
      </c>
      <c r="U1443" s="245">
        <f>_xll.qlCalendarAdvance(Calendar,U1442,T1443,"f",FALSE)</f>
        <v>48919</v>
      </c>
      <c r="V1443" s="248">
        <f>_xll.qlCalendarAdvance(Calendar,U1443,NDays&amp;"D")</f>
        <v>48921</v>
      </c>
      <c r="W1443" s="249">
        <v>2.6987105594869831E-2</v>
      </c>
      <c r="X1443" s="246">
        <v>2.6962347921442031E-2</v>
      </c>
    </row>
    <row r="1444" spans="20:24" x14ac:dyDescent="0.2">
      <c r="T1444" s="247" t="str">
        <f t="shared" si="27"/>
        <v>1w</v>
      </c>
      <c r="U1444" s="245">
        <f>_xll.qlCalendarAdvance(Calendar,U1443,T1444,"f",FALSE)</f>
        <v>48926</v>
      </c>
      <c r="V1444" s="248">
        <f>_xll.qlCalendarAdvance(Calendar,U1444,NDays&amp;"D")</f>
        <v>48928</v>
      </c>
      <c r="W1444" s="249">
        <v>2.6976876287934104E-2</v>
      </c>
      <c r="X1444" s="246">
        <v>2.6952082418993939E-2</v>
      </c>
    </row>
    <row r="1445" spans="20:24" x14ac:dyDescent="0.2">
      <c r="T1445" s="247" t="str">
        <f t="shared" si="27"/>
        <v>1w</v>
      </c>
      <c r="U1445" s="245">
        <f>_xll.qlCalendarAdvance(Calendar,U1444,T1445,"f",FALSE)</f>
        <v>48933</v>
      </c>
      <c r="V1445" s="248">
        <f>_xll.qlCalendarAdvance(Calendar,U1445,NDays&amp;"D")</f>
        <v>48935</v>
      </c>
      <c r="W1445" s="249">
        <v>2.6966663471501562E-2</v>
      </c>
      <c r="X1445" s="246">
        <v>2.6941833272262627E-2</v>
      </c>
    </row>
    <row r="1446" spans="20:24" x14ac:dyDescent="0.2">
      <c r="T1446" s="247" t="str">
        <f t="shared" si="27"/>
        <v>1w</v>
      </c>
      <c r="U1446" s="245">
        <f>_xll.qlCalendarAdvance(Calendar,U1445,T1446,"f",FALSE)</f>
        <v>48940</v>
      </c>
      <c r="V1446" s="248">
        <f>_xll.qlCalendarAdvance(Calendar,U1446,NDays&amp;"D")</f>
        <v>48942</v>
      </c>
      <c r="W1446" s="249">
        <v>2.6956467145446972E-2</v>
      </c>
      <c r="X1446" s="246">
        <v>2.6931600481248097E-2</v>
      </c>
    </row>
    <row r="1447" spans="20:24" x14ac:dyDescent="0.2">
      <c r="T1447" s="247" t="str">
        <f t="shared" si="27"/>
        <v>1w</v>
      </c>
      <c r="U1447" s="245">
        <f>_xll.qlCalendarAdvance(Calendar,U1446,T1447,"f",FALSE)</f>
        <v>48947</v>
      </c>
      <c r="V1447" s="248">
        <f>_xll.qlCalendarAdvance(Calendar,U1447,NDays&amp;"D")</f>
        <v>48949</v>
      </c>
      <c r="W1447" s="249">
        <v>2.6946287309643324E-2</v>
      </c>
      <c r="X1447" s="246">
        <v>2.6921384046030283E-2</v>
      </c>
    </row>
    <row r="1448" spans="20:24" x14ac:dyDescent="0.2">
      <c r="T1448" s="247" t="str">
        <f t="shared" si="27"/>
        <v>1w</v>
      </c>
      <c r="U1448" s="245">
        <f>_xll.qlCalendarAdvance(Calendar,U1447,T1448,"f",FALSE)</f>
        <v>48954</v>
      </c>
      <c r="V1448" s="248">
        <f>_xll.qlCalendarAdvance(Calendar,U1448,NDays&amp;"D")</f>
        <v>48956</v>
      </c>
      <c r="W1448" s="249">
        <v>2.6936123963968939E-2</v>
      </c>
      <c r="X1448" s="246">
        <v>2.6911183966609187E-2</v>
      </c>
    </row>
    <row r="1449" spans="20:24" x14ac:dyDescent="0.2">
      <c r="T1449" s="247" t="str">
        <f t="shared" si="27"/>
        <v>1w</v>
      </c>
      <c r="U1449" s="245">
        <f>_xll.qlCalendarAdvance(Calendar,U1448,T1449,"f",FALSE)</f>
        <v>48961</v>
      </c>
      <c r="V1449" s="248">
        <f>_xll.qlCalendarAdvance(Calendar,U1449,NDays&amp;"D")</f>
        <v>48963</v>
      </c>
      <c r="W1449" s="249">
        <v>2.6925977108296806E-2</v>
      </c>
      <c r="X1449" s="246">
        <v>2.6901000242984807E-2</v>
      </c>
    </row>
    <row r="1450" spans="20:24" x14ac:dyDescent="0.2">
      <c r="T1450" s="247" t="str">
        <f t="shared" si="27"/>
        <v>1w</v>
      </c>
      <c r="U1450" s="245">
        <f>_xll.qlCalendarAdvance(Calendar,U1449,T1450,"f",FALSE)</f>
        <v>48968</v>
      </c>
      <c r="V1450" s="248">
        <f>_xll.qlCalendarAdvance(Calendar,U1450,NDays&amp;"D")</f>
        <v>48970</v>
      </c>
      <c r="W1450" s="249">
        <v>2.6915846742504357E-2</v>
      </c>
      <c r="X1450" s="246">
        <v>2.6890832875157145E-2</v>
      </c>
    </row>
    <row r="1451" spans="20:24" x14ac:dyDescent="0.2">
      <c r="T1451" s="247" t="str">
        <f t="shared" si="27"/>
        <v>1w</v>
      </c>
      <c r="U1451" s="245">
        <f>_xll.qlCalendarAdvance(Calendar,U1450,T1451,"f",FALSE)</f>
        <v>48975</v>
      </c>
      <c r="V1451" s="248">
        <f>_xll.qlCalendarAdvance(Calendar,U1451,NDays&amp;"D")</f>
        <v>48977</v>
      </c>
      <c r="W1451" s="249">
        <v>2.690544900911512E-2</v>
      </c>
      <c r="X1451" s="246">
        <v>2.6880681863046263E-2</v>
      </c>
    </row>
    <row r="1452" spans="20:24" x14ac:dyDescent="0.2">
      <c r="T1452" s="247" t="str">
        <f t="shared" si="27"/>
        <v>1w</v>
      </c>
      <c r="U1452" s="245">
        <f>_xll.qlCalendarAdvance(Calendar,U1451,T1452,"f",FALSE)</f>
        <v>48982</v>
      </c>
      <c r="V1452" s="248">
        <f>_xll.qlCalendarAdvance(Calendar,U1452,NDays&amp;"D")</f>
        <v>48984</v>
      </c>
      <c r="W1452" s="249">
        <v>2.6895351196957445E-2</v>
      </c>
      <c r="X1452" s="246">
        <v>2.6870547206732098E-2</v>
      </c>
    </row>
    <row r="1453" spans="20:24" x14ac:dyDescent="0.2">
      <c r="T1453" s="247" t="str">
        <f t="shared" si="27"/>
        <v>1w</v>
      </c>
      <c r="U1453" s="245">
        <f>_xll.qlCalendarAdvance(Calendar,U1452,T1453,"f",FALSE)</f>
        <v>48989</v>
      </c>
      <c r="V1453" s="248">
        <f>_xll.qlCalendarAdvance(Calendar,U1453,NDays&amp;"D")</f>
        <v>48991</v>
      </c>
      <c r="W1453" s="249">
        <v>2.6885269872805338E-2</v>
      </c>
      <c r="X1453" s="246">
        <v>2.6860428906134715E-2</v>
      </c>
    </row>
    <row r="1454" spans="20:24" x14ac:dyDescent="0.2">
      <c r="T1454" s="247" t="str">
        <f t="shared" si="27"/>
        <v>1w</v>
      </c>
      <c r="U1454" s="245">
        <f>_xll.qlCalendarAdvance(Calendar,U1453,T1454,"f",FALSE)</f>
        <v>48996</v>
      </c>
      <c r="V1454" s="248">
        <f>_xll.qlCalendarAdvance(Calendar,U1454,NDays&amp;"D")</f>
        <v>48998</v>
      </c>
      <c r="W1454" s="249">
        <v>2.6875205036538445E-2</v>
      </c>
      <c r="X1454" s="246">
        <v>2.6850326961334048E-2</v>
      </c>
    </row>
    <row r="1455" spans="20:24" x14ac:dyDescent="0.2">
      <c r="T1455" s="247" t="str">
        <f t="shared" si="27"/>
        <v>1w</v>
      </c>
      <c r="U1455" s="245">
        <f>_xll.qlCalendarAdvance(Calendar,U1454,T1455,"f",FALSE)</f>
        <v>49003</v>
      </c>
      <c r="V1455" s="248">
        <f>_xll.qlCalendarAdvance(Calendar,U1455,NDays&amp;"D")</f>
        <v>49005</v>
      </c>
      <c r="W1455" s="249">
        <v>2.6866013562405189E-2</v>
      </c>
      <c r="X1455" s="246">
        <v>2.6840241372330098E-2</v>
      </c>
    </row>
    <row r="1456" spans="20:24" x14ac:dyDescent="0.2">
      <c r="T1456" s="247" t="str">
        <f t="shared" si="27"/>
        <v>1w</v>
      </c>
      <c r="U1456" s="245">
        <f>_xll.qlCalendarAdvance(Calendar,U1455,T1456,"f",FALSE)</f>
        <v>49010</v>
      </c>
      <c r="V1456" s="248">
        <f>_xll.qlCalendarAdvance(Calendar,U1456,NDays&amp;"D")</f>
        <v>49012</v>
      </c>
      <c r="W1456" s="249">
        <v>2.6855982733323056E-2</v>
      </c>
      <c r="X1456" s="246">
        <v>2.6830172139042929E-2</v>
      </c>
    </row>
    <row r="1457" spans="20:24" x14ac:dyDescent="0.2">
      <c r="T1457" s="247" t="str">
        <f t="shared" si="27"/>
        <v>1w</v>
      </c>
      <c r="U1457" s="245">
        <f>_xll.qlCalendarAdvance(Calendar,U1456,T1457,"f",FALSE)</f>
        <v>49017</v>
      </c>
      <c r="V1457" s="248">
        <f>_xll.qlCalendarAdvance(Calendar,U1457,NDays&amp;"D")</f>
        <v>49019</v>
      </c>
      <c r="W1457" s="249">
        <v>2.6845966812789227E-2</v>
      </c>
      <c r="X1457" s="246">
        <v>2.6820119261632414E-2</v>
      </c>
    </row>
    <row r="1458" spans="20:24" x14ac:dyDescent="0.2">
      <c r="T1458" s="247" t="str">
        <f t="shared" si="27"/>
        <v>1w</v>
      </c>
      <c r="U1458" s="245">
        <f>_xll.qlCalendarAdvance(Calendar,U1457,T1458,"f",FALSE)</f>
        <v>49024</v>
      </c>
      <c r="V1458" s="248">
        <f>_xll.qlCalendarAdvance(Calendar,U1458,NDays&amp;"D")</f>
        <v>49026</v>
      </c>
      <c r="W1458" s="249">
        <v>2.6835964217242603E-2</v>
      </c>
      <c r="X1458" s="246">
        <v>2.6810082739938679E-2</v>
      </c>
    </row>
    <row r="1459" spans="20:24" x14ac:dyDescent="0.2">
      <c r="T1459" s="247" t="str">
        <f t="shared" si="27"/>
        <v>1w</v>
      </c>
      <c r="U1459" s="245">
        <f>_xll.qlCalendarAdvance(Calendar,U1458,T1459,"f",FALSE)</f>
        <v>49031</v>
      </c>
      <c r="V1459" s="248">
        <f>_xll.qlCalendarAdvance(Calendar,U1459,NDays&amp;"D")</f>
        <v>49033</v>
      </c>
      <c r="W1459" s="249">
        <v>2.6825973363135101E-2</v>
      </c>
      <c r="X1459" s="246">
        <v>2.6800062573881789E-2</v>
      </c>
    </row>
    <row r="1460" spans="20:24" x14ac:dyDescent="0.2">
      <c r="T1460" s="247" t="str">
        <f t="shared" si="27"/>
        <v>1w</v>
      </c>
      <c r="U1460" s="245">
        <f>_xll.qlCalendarAdvance(Calendar,U1459,T1460,"f",FALSE)</f>
        <v>49038</v>
      </c>
      <c r="V1460" s="248">
        <f>_xll.qlCalendarAdvance(Calendar,U1460,NDays&amp;"D")</f>
        <v>49040</v>
      </c>
      <c r="W1460" s="249">
        <v>2.6815707228975832E-2</v>
      </c>
      <c r="X1460" s="246">
        <v>2.6791190579494639E-2</v>
      </c>
    </row>
    <row r="1461" spans="20:24" x14ac:dyDescent="0.2">
      <c r="T1461" s="247" t="str">
        <f t="shared" si="27"/>
        <v>1w</v>
      </c>
      <c r="U1461" s="245">
        <f>_xll.qlCalendarAdvance(Calendar,U1460,T1461,"f",FALSE)</f>
        <v>49045</v>
      </c>
      <c r="V1461" s="248">
        <f>_xll.qlCalendarAdvance(Calendar,U1461,NDays&amp;"D")</f>
        <v>49047</v>
      </c>
      <c r="W1461" s="249">
        <v>2.6805735646917305E-2</v>
      </c>
      <c r="X1461" s="246">
        <v>2.6780071309238096E-2</v>
      </c>
    </row>
    <row r="1462" spans="20:24" x14ac:dyDescent="0.2">
      <c r="T1462" s="247" t="str">
        <f t="shared" si="27"/>
        <v>1w</v>
      </c>
      <c r="U1462" s="245">
        <f>_xll.qlCalendarAdvance(Calendar,U1461,T1462,"f",FALSE)</f>
        <v>49052</v>
      </c>
      <c r="V1462" s="248">
        <f>_xll.qlCalendarAdvance(Calendar,U1462,NDays&amp;"D")</f>
        <v>49054</v>
      </c>
      <c r="W1462" s="249">
        <v>2.67957711792461E-2</v>
      </c>
      <c r="X1462" s="246">
        <v>2.6770100210491421E-2</v>
      </c>
    </row>
    <row r="1463" spans="20:24" x14ac:dyDescent="0.2">
      <c r="T1463" s="247" t="str">
        <f t="shared" si="27"/>
        <v>1w</v>
      </c>
      <c r="U1463" s="245">
        <f>_xll.qlCalendarAdvance(Calendar,U1462,T1463,"f",FALSE)</f>
        <v>49059</v>
      </c>
      <c r="V1463" s="248">
        <f>_xll.qlCalendarAdvance(Calendar,U1463,NDays&amp;"D")</f>
        <v>49061</v>
      </c>
      <c r="W1463" s="249">
        <v>2.67858122251961E-2</v>
      </c>
      <c r="X1463" s="246">
        <v>2.6760145467621399E-2</v>
      </c>
    </row>
    <row r="1464" spans="20:24" x14ac:dyDescent="0.2">
      <c r="T1464" s="247" t="str">
        <f t="shared" si="27"/>
        <v>1w</v>
      </c>
      <c r="U1464" s="245">
        <f>_xll.qlCalendarAdvance(Calendar,U1463,T1464,"f",FALSE)</f>
        <v>49066</v>
      </c>
      <c r="V1464" s="248">
        <f>_xll.qlCalendarAdvance(Calendar,U1464,NDays&amp;"D")</f>
        <v>49068</v>
      </c>
      <c r="W1464" s="249">
        <v>2.6776139791205231E-2</v>
      </c>
      <c r="X1464" s="246">
        <v>2.6750207080388222E-2</v>
      </c>
    </row>
    <row r="1465" spans="20:24" x14ac:dyDescent="0.2">
      <c r="T1465" s="247" t="str">
        <f t="shared" si="27"/>
        <v>1w</v>
      </c>
      <c r="U1465" s="245">
        <f>_xll.qlCalendarAdvance(Calendar,U1464,T1465,"f",FALSE)</f>
        <v>49073</v>
      </c>
      <c r="V1465" s="248">
        <f>_xll.qlCalendarAdvance(Calendar,U1465,NDays&amp;"D")</f>
        <v>49075</v>
      </c>
      <c r="W1465" s="249">
        <v>2.6766186132166494E-2</v>
      </c>
      <c r="X1465" s="246">
        <v>2.6740285048951762E-2</v>
      </c>
    </row>
    <row r="1466" spans="20:24" x14ac:dyDescent="0.2">
      <c r="T1466" s="247" t="str">
        <f t="shared" si="27"/>
        <v>1w</v>
      </c>
      <c r="U1466" s="245">
        <f>_xll.qlCalendarAdvance(Calendar,U1465,T1466,"f",FALSE)</f>
        <v>49080</v>
      </c>
      <c r="V1466" s="248">
        <f>_xll.qlCalendarAdvance(Calendar,U1466,NDays&amp;"D")</f>
        <v>49082</v>
      </c>
      <c r="W1466" s="249">
        <v>2.6756233130192594E-2</v>
      </c>
      <c r="X1466" s="246">
        <v>2.6730379373312019E-2</v>
      </c>
    </row>
    <row r="1467" spans="20:24" x14ac:dyDescent="0.2">
      <c r="T1467" s="247" t="str">
        <f t="shared" si="27"/>
        <v>1w</v>
      </c>
      <c r="U1467" s="245">
        <f>_xll.qlCalendarAdvance(Calendar,U1466,T1467,"f",FALSE)</f>
        <v>49087</v>
      </c>
      <c r="V1467" s="248">
        <f>_xll.qlCalendarAdvance(Calendar,U1467,NDays&amp;"D")</f>
        <v>49089</v>
      </c>
      <c r="W1467" s="249">
        <v>2.6746279201866657E-2</v>
      </c>
      <c r="X1467" s="246">
        <v>2.6720490053389057E-2</v>
      </c>
    </row>
    <row r="1468" spans="20:24" x14ac:dyDescent="0.2">
      <c r="T1468" s="247" t="str">
        <f t="shared" si="27"/>
        <v>1w</v>
      </c>
      <c r="U1468" s="245">
        <f>_xll.qlCalendarAdvance(Calendar,U1467,T1468,"f",FALSE)</f>
        <v>49094</v>
      </c>
      <c r="V1468" s="248">
        <f>_xll.qlCalendarAdvance(Calendar,U1468,NDays&amp;"D")</f>
        <v>49096</v>
      </c>
      <c r="W1468" s="249">
        <v>2.6736322763786576E-2</v>
      </c>
      <c r="X1468" s="246">
        <v>2.6710617089182875E-2</v>
      </c>
    </row>
    <row r="1469" spans="20:24" x14ac:dyDescent="0.2">
      <c r="T1469" s="247" t="str">
        <f t="shared" si="27"/>
        <v>1w</v>
      </c>
      <c r="U1469" s="245">
        <f>_xll.qlCalendarAdvance(Calendar,U1468,T1469,"f",FALSE)</f>
        <v>49101</v>
      </c>
      <c r="V1469" s="248">
        <f>_xll.qlCalendarAdvance(Calendar,U1469,NDays&amp;"D")</f>
        <v>49103</v>
      </c>
      <c r="W1469" s="249">
        <v>2.6726362398754686E-2</v>
      </c>
      <c r="X1469" s="246">
        <v>2.6700751551596014E-2</v>
      </c>
    </row>
    <row r="1470" spans="20:24" x14ac:dyDescent="0.2">
      <c r="T1470" s="247" t="str">
        <f t="shared" si="27"/>
        <v>1w</v>
      </c>
      <c r="U1470" s="245">
        <f>_xll.qlCalendarAdvance(Calendar,U1469,T1470,"f",FALSE)</f>
        <v>49108</v>
      </c>
      <c r="V1470" s="248">
        <f>_xll.qlCalendarAdvance(Calendar,U1470,NDays&amp;"D")</f>
        <v>49110</v>
      </c>
      <c r="W1470" s="249">
        <v>2.6716397715182489E-2</v>
      </c>
      <c r="X1470" s="246">
        <v>2.6690881769164676E-2</v>
      </c>
    </row>
    <row r="1471" spans="20:24" x14ac:dyDescent="0.2">
      <c r="T1471" s="247" t="str">
        <f t="shared" si="27"/>
        <v>1w</v>
      </c>
      <c r="U1471" s="245">
        <f>_xll.qlCalendarAdvance(Calendar,U1470,T1471,"f",FALSE)</f>
        <v>49115</v>
      </c>
      <c r="V1471" s="248">
        <f>_xll.qlCalendarAdvance(Calendar,U1471,NDays&amp;"D")</f>
        <v>49117</v>
      </c>
      <c r="W1471" s="249">
        <v>2.6706428712333183E-2</v>
      </c>
      <c r="X1471" s="246">
        <v>2.6681007671545132E-2</v>
      </c>
    </row>
    <row r="1472" spans="20:24" x14ac:dyDescent="0.2">
      <c r="T1472" s="247" t="str">
        <f t="shared" si="27"/>
        <v>1w</v>
      </c>
      <c r="U1472" s="245">
        <f>_xll.qlCalendarAdvance(Calendar,U1471,T1472,"f",FALSE)</f>
        <v>49122</v>
      </c>
      <c r="V1472" s="248">
        <f>_xll.qlCalendarAdvance(Calendar,U1472,NDays&amp;"D")</f>
        <v>49124</v>
      </c>
      <c r="W1472" s="249">
        <v>2.6696455390240653E-2</v>
      </c>
      <c r="X1472" s="246">
        <v>2.6671129258977189E-2</v>
      </c>
    </row>
    <row r="1473" spans="20:24" x14ac:dyDescent="0.2">
      <c r="T1473" s="247" t="str">
        <f t="shared" si="27"/>
        <v>1w</v>
      </c>
      <c r="U1473" s="245">
        <f>_xll.qlCalendarAdvance(Calendar,U1472,T1473,"f",FALSE)</f>
        <v>49129</v>
      </c>
      <c r="V1473" s="248">
        <f>_xll.qlCalendarAdvance(Calendar,U1473,NDays&amp;"D")</f>
        <v>49131</v>
      </c>
      <c r="W1473" s="249">
        <v>2.6686477748936181E-2</v>
      </c>
      <c r="X1473" s="246">
        <v>2.6661246531300975E-2</v>
      </c>
    </row>
    <row r="1474" spans="20:24" x14ac:dyDescent="0.2">
      <c r="T1474" s="247" t="str">
        <f t="shared" si="27"/>
        <v>1w</v>
      </c>
      <c r="U1474" s="245">
        <f>_xll.qlCalendarAdvance(Calendar,U1473,T1474,"f",FALSE)</f>
        <v>49136</v>
      </c>
      <c r="V1474" s="248">
        <f>_xll.qlCalendarAdvance(Calendar,U1474,NDays&amp;"D")</f>
        <v>49138</v>
      </c>
      <c r="W1474" s="249">
        <v>2.6676495788453644E-2</v>
      </c>
      <c r="X1474" s="246">
        <v>2.6651359488516491E-2</v>
      </c>
    </row>
    <row r="1475" spans="20:24" x14ac:dyDescent="0.2">
      <c r="T1475" s="247" t="str">
        <f t="shared" si="27"/>
        <v>1w</v>
      </c>
      <c r="U1475" s="245">
        <f>_xll.qlCalendarAdvance(Calendar,U1474,T1475,"f",FALSE)</f>
        <v>49143</v>
      </c>
      <c r="V1475" s="248">
        <f>_xll.qlCalendarAdvance(Calendar,U1475,NDays&amp;"D")</f>
        <v>49145</v>
      </c>
      <c r="W1475" s="249">
        <v>2.6666509508825202E-2</v>
      </c>
      <c r="X1475" s="246">
        <v>2.6641468130703672E-2</v>
      </c>
    </row>
    <row r="1476" spans="20:24" x14ac:dyDescent="0.2">
      <c r="T1476" s="247" t="str">
        <f t="shared" si="27"/>
        <v>1w</v>
      </c>
      <c r="U1476" s="245">
        <f>_xll.qlCalendarAdvance(Calendar,U1475,T1476,"f",FALSE)</f>
        <v>49150</v>
      </c>
      <c r="V1476" s="248">
        <f>_xll.qlCalendarAdvance(Calendar,U1476,NDays&amp;"D")</f>
        <v>49152</v>
      </c>
      <c r="W1476" s="249">
        <v>2.6656518910085601E-2</v>
      </c>
      <c r="X1476" s="246">
        <v>2.6631572457862518E-2</v>
      </c>
    </row>
    <row r="1477" spans="20:24" x14ac:dyDescent="0.2">
      <c r="T1477" s="247" t="str">
        <f t="shared" si="27"/>
        <v>1w</v>
      </c>
      <c r="U1477" s="245">
        <f>_xll.qlCalendarAdvance(Calendar,U1476,T1477,"f",FALSE)</f>
        <v>49157</v>
      </c>
      <c r="V1477" s="248">
        <f>_xll.qlCalendarAdvance(Calendar,U1477,NDays&amp;"D")</f>
        <v>49159</v>
      </c>
      <c r="W1477" s="249">
        <v>2.6646523992266125E-2</v>
      </c>
      <c r="X1477" s="246">
        <v>2.6621672469833157E-2</v>
      </c>
    </row>
    <row r="1478" spans="20:24" x14ac:dyDescent="0.2">
      <c r="T1478" s="247" t="str">
        <f t="shared" si="27"/>
        <v>1w</v>
      </c>
      <c r="U1478" s="245">
        <f>_xll.qlCalendarAdvance(Calendar,U1477,T1478,"f",FALSE)</f>
        <v>49164</v>
      </c>
      <c r="V1478" s="248">
        <f>_xll.qlCalendarAdvance(Calendar,U1478,NDays&amp;"D")</f>
        <v>49166</v>
      </c>
      <c r="W1478" s="249">
        <v>2.663652475540066E-2</v>
      </c>
      <c r="X1478" s="246">
        <v>2.6611768166775462E-2</v>
      </c>
    </row>
    <row r="1479" spans="20:24" x14ac:dyDescent="0.2">
      <c r="T1479" s="247" t="str">
        <f t="shared" si="27"/>
        <v>1w</v>
      </c>
      <c r="U1479" s="245">
        <f>_xll.qlCalendarAdvance(Calendar,U1478,T1479,"f",FALSE)</f>
        <v>49171</v>
      </c>
      <c r="V1479" s="248">
        <f>_xll.qlCalendarAdvance(Calendar,U1479,NDays&amp;"D")</f>
        <v>49173</v>
      </c>
      <c r="W1479" s="249">
        <v>2.6626521199521351E-2</v>
      </c>
      <c r="X1479" s="246">
        <v>2.6601859548609497E-2</v>
      </c>
    </row>
    <row r="1480" spans="20:24" x14ac:dyDescent="0.2">
      <c r="T1480" s="247" t="str">
        <f t="shared" si="27"/>
        <v>1w</v>
      </c>
      <c r="U1480" s="245">
        <f>_xll.qlCalendarAdvance(Calendar,U1479,T1480,"f",FALSE)</f>
        <v>49178</v>
      </c>
      <c r="V1480" s="248">
        <f>_xll.qlCalendarAdvance(Calendar,U1480,NDays&amp;"D")</f>
        <v>49180</v>
      </c>
      <c r="W1480" s="249">
        <v>2.6616513324662954E-2</v>
      </c>
      <c r="X1480" s="246">
        <v>2.6591946615415196E-2</v>
      </c>
    </row>
    <row r="1481" spans="20:24" x14ac:dyDescent="0.2">
      <c r="T1481" s="247" t="str">
        <f t="shared" si="27"/>
        <v>1w</v>
      </c>
      <c r="U1481" s="245">
        <f>_xll.qlCalendarAdvance(Calendar,U1480,T1481,"f",FALSE)</f>
        <v>49185</v>
      </c>
      <c r="V1481" s="248">
        <f>_xll.qlCalendarAdvance(Calendar,U1481,NDays&amp;"D")</f>
        <v>49187</v>
      </c>
      <c r="W1481" s="249">
        <v>2.6606236096408831E-2</v>
      </c>
      <c r="X1481" s="246">
        <v>2.6582029367112625E-2</v>
      </c>
    </row>
    <row r="1482" spans="20:24" x14ac:dyDescent="0.2">
      <c r="T1482" s="247" t="str">
        <f t="shared" si="27"/>
        <v>1w</v>
      </c>
      <c r="U1482" s="245">
        <f>_xll.qlCalendarAdvance(Calendar,U1481,T1482,"f",FALSE)</f>
        <v>49192</v>
      </c>
      <c r="V1482" s="248">
        <f>_xll.qlCalendarAdvance(Calendar,U1482,NDays&amp;"D")</f>
        <v>49194</v>
      </c>
      <c r="W1482" s="249">
        <v>2.6596220629795411E-2</v>
      </c>
      <c r="X1482" s="246">
        <v>2.6572107803701783E-2</v>
      </c>
    </row>
    <row r="1483" spans="20:24" x14ac:dyDescent="0.2">
      <c r="T1483" s="247" t="str">
        <f t="shared" si="27"/>
        <v>1w</v>
      </c>
      <c r="U1483" s="245">
        <f>_xll.qlCalendarAdvance(Calendar,U1482,T1483,"f",FALSE)</f>
        <v>49199</v>
      </c>
      <c r="V1483" s="248">
        <f>_xll.qlCalendarAdvance(Calendar,U1483,NDays&amp;"D")</f>
        <v>49201</v>
      </c>
      <c r="W1483" s="249">
        <v>2.6586200844339568E-2</v>
      </c>
      <c r="X1483" s="246">
        <v>2.6562181925262607E-2</v>
      </c>
    </row>
    <row r="1484" spans="20:24" x14ac:dyDescent="0.2">
      <c r="T1484" s="247" t="str">
        <f t="shared" si="27"/>
        <v>1w</v>
      </c>
      <c r="U1484" s="245">
        <f>_xll.qlCalendarAdvance(Calendar,U1483,T1484,"f",FALSE)</f>
        <v>49206</v>
      </c>
      <c r="V1484" s="248">
        <f>_xll.qlCalendarAdvance(Calendar,U1484,NDays&amp;"D")</f>
        <v>49208</v>
      </c>
      <c r="W1484" s="249">
        <v>2.6576176740074675E-2</v>
      </c>
      <c r="X1484" s="246">
        <v>2.6552251731795096E-2</v>
      </c>
    </row>
    <row r="1485" spans="20:24" x14ac:dyDescent="0.2">
      <c r="T1485" s="247" t="str">
        <f t="shared" si="27"/>
        <v>1w</v>
      </c>
      <c r="U1485" s="245">
        <f>_xll.qlCalendarAdvance(Calendar,U1484,T1485,"f",FALSE)</f>
        <v>49213</v>
      </c>
      <c r="V1485" s="248">
        <f>_xll.qlCalendarAdvance(Calendar,U1485,NDays&amp;"D")</f>
        <v>49215</v>
      </c>
      <c r="W1485" s="249">
        <v>2.6566148317031482E-2</v>
      </c>
      <c r="X1485" s="246">
        <v>2.6542317223219314E-2</v>
      </c>
    </row>
    <row r="1486" spans="20:24" x14ac:dyDescent="0.2">
      <c r="T1486" s="247" t="str">
        <f t="shared" si="27"/>
        <v>1w</v>
      </c>
      <c r="U1486" s="245">
        <f>_xll.qlCalendarAdvance(Calendar,U1485,T1486,"f",FALSE)</f>
        <v>49220</v>
      </c>
      <c r="V1486" s="248">
        <f>_xll.qlCalendarAdvance(Calendar,U1486,NDays&amp;"D")</f>
        <v>49222</v>
      </c>
      <c r="W1486" s="249">
        <v>2.655637537877463E-2</v>
      </c>
      <c r="X1486" s="246">
        <v>2.6532378399535261E-2</v>
      </c>
    </row>
    <row r="1487" spans="20:24" x14ac:dyDescent="0.2">
      <c r="T1487" s="247" t="str">
        <f t="shared" si="27"/>
        <v>1w</v>
      </c>
      <c r="U1487" s="245">
        <f>_xll.qlCalendarAdvance(Calendar,U1486,T1487,"f",FALSE)</f>
        <v>49227</v>
      </c>
      <c r="V1487" s="248">
        <f>_xll.qlCalendarAdvance(Calendar,U1487,NDays&amp;"D")</f>
        <v>49229</v>
      </c>
      <c r="W1487" s="249">
        <v>2.6546337271981021E-2</v>
      </c>
      <c r="X1487" s="246">
        <v>2.6522435260742938E-2</v>
      </c>
    </row>
    <row r="1488" spans="20:24" x14ac:dyDescent="0.2">
      <c r="T1488" s="247" t="str">
        <f t="shared" si="27"/>
        <v>1w</v>
      </c>
      <c r="U1488" s="245">
        <f>_xll.qlCalendarAdvance(Calendar,U1487,T1488,"f",FALSE)</f>
        <v>49234</v>
      </c>
      <c r="V1488" s="248">
        <f>_xll.qlCalendarAdvance(Calendar,U1488,NDays&amp;"D")</f>
        <v>49236</v>
      </c>
      <c r="W1488" s="249">
        <v>2.6536294846470718E-2</v>
      </c>
      <c r="X1488" s="246">
        <v>2.651248780692228E-2</v>
      </c>
    </row>
    <row r="1489" spans="20:24" x14ac:dyDescent="0.2">
      <c r="T1489" s="247" t="str">
        <f t="shared" si="27"/>
        <v>1w</v>
      </c>
      <c r="U1489" s="245">
        <f>_xll.qlCalendarAdvance(Calendar,U1488,T1489,"f",FALSE)</f>
        <v>49241</v>
      </c>
      <c r="V1489" s="248">
        <f>_xll.qlCalendarAdvance(Calendar,U1489,NDays&amp;"D")</f>
        <v>49243</v>
      </c>
      <c r="W1489" s="249">
        <v>2.6526248102277616E-2</v>
      </c>
      <c r="X1489" s="246">
        <v>2.6502536037993352E-2</v>
      </c>
    </row>
    <row r="1490" spans="20:24" x14ac:dyDescent="0.2">
      <c r="T1490" s="247" t="str">
        <f t="shared" ref="T1490:T1553" si="28">T1489</f>
        <v>1w</v>
      </c>
      <c r="U1490" s="245">
        <f>_xll.qlCalendarAdvance(Calendar,U1489,T1490,"f",FALSE)</f>
        <v>49248</v>
      </c>
      <c r="V1490" s="248">
        <f>_xll.qlCalendarAdvance(Calendar,U1490,NDays&amp;"D")</f>
        <v>49250</v>
      </c>
      <c r="W1490" s="249">
        <v>2.6516197039436463E-2</v>
      </c>
      <c r="X1490" s="246">
        <v>2.6492579954116025E-2</v>
      </c>
    </row>
    <row r="1491" spans="20:24" x14ac:dyDescent="0.2">
      <c r="T1491" s="247" t="str">
        <f t="shared" si="28"/>
        <v>1w</v>
      </c>
      <c r="U1491" s="245">
        <f>_xll.qlCalendarAdvance(Calendar,U1490,T1491,"f",FALSE)</f>
        <v>49255</v>
      </c>
      <c r="V1491" s="248">
        <f>_xll.qlCalendarAdvance(Calendar,U1491,NDays&amp;"D")</f>
        <v>49257</v>
      </c>
      <c r="W1491" s="249">
        <v>2.6506141657978544E-2</v>
      </c>
      <c r="X1491" s="246">
        <v>2.6482619555050491E-2</v>
      </c>
    </row>
    <row r="1492" spans="20:24" x14ac:dyDescent="0.2">
      <c r="T1492" s="247" t="str">
        <f t="shared" si="28"/>
        <v>1w</v>
      </c>
      <c r="U1492" s="245">
        <f>_xll.qlCalendarAdvance(Calendar,U1491,T1492,"f",FALSE)</f>
        <v>49262</v>
      </c>
      <c r="V1492" s="248">
        <f>_xll.qlCalendarAdvance(Calendar,U1492,NDays&amp;"D")</f>
        <v>49264</v>
      </c>
      <c r="W1492" s="249">
        <v>2.6496081957938608E-2</v>
      </c>
      <c r="X1492" s="246">
        <v>2.6472654840956622E-2</v>
      </c>
    </row>
    <row r="1493" spans="20:24" x14ac:dyDescent="0.2">
      <c r="T1493" s="247" t="str">
        <f t="shared" si="28"/>
        <v>1w</v>
      </c>
      <c r="U1493" s="245">
        <f>_xll.qlCalendarAdvance(Calendar,U1492,T1493,"f",FALSE)</f>
        <v>49269</v>
      </c>
      <c r="V1493" s="248">
        <f>_xll.qlCalendarAdvance(Calendar,U1493,NDays&amp;"D")</f>
        <v>49271</v>
      </c>
      <c r="W1493" s="249">
        <v>2.6486017939348811E-2</v>
      </c>
      <c r="X1493" s="246">
        <v>2.6462685811754483E-2</v>
      </c>
    </row>
    <row r="1494" spans="20:24" x14ac:dyDescent="0.2">
      <c r="T1494" s="247" t="str">
        <f t="shared" si="28"/>
        <v>1w</v>
      </c>
      <c r="U1494" s="245">
        <f>_xll.qlCalendarAdvance(Calendar,U1493,T1494,"f",FALSE)</f>
        <v>49276</v>
      </c>
      <c r="V1494" s="248">
        <f>_xll.qlCalendarAdvance(Calendar,U1494,NDays&amp;"D")</f>
        <v>49278</v>
      </c>
      <c r="W1494" s="249">
        <v>2.6475446650499279E-2</v>
      </c>
      <c r="X1494" s="246">
        <v>2.6452712467524009E-2</v>
      </c>
    </row>
    <row r="1495" spans="20:24" x14ac:dyDescent="0.2">
      <c r="T1495" s="247" t="str">
        <f t="shared" si="28"/>
        <v>1w</v>
      </c>
      <c r="U1495" s="245">
        <f>_xll.qlCalendarAdvance(Calendar,U1494,T1495,"f",FALSE)</f>
        <v>49283</v>
      </c>
      <c r="V1495" s="248">
        <f>_xll.qlCalendarAdvance(Calendar,U1495,NDays&amp;"D")</f>
        <v>49285</v>
      </c>
      <c r="W1495" s="249">
        <v>2.6465376088014914E-2</v>
      </c>
      <c r="X1495" s="246">
        <v>2.6442734808185264E-2</v>
      </c>
    </row>
    <row r="1496" spans="20:24" x14ac:dyDescent="0.2">
      <c r="T1496" s="247" t="str">
        <f t="shared" si="28"/>
        <v>1w</v>
      </c>
      <c r="U1496" s="245">
        <f>_xll.qlCalendarAdvance(Calendar,U1495,T1496,"f",FALSE)</f>
        <v>49290</v>
      </c>
      <c r="V1496" s="248">
        <f>_xll.qlCalendarAdvance(Calendar,U1496,NDays&amp;"D")</f>
        <v>49292</v>
      </c>
      <c r="W1496" s="249">
        <v>2.645530120714934E-2</v>
      </c>
      <c r="X1496" s="246">
        <v>2.6432752833818185E-2</v>
      </c>
    </row>
    <row r="1497" spans="20:24" x14ac:dyDescent="0.2">
      <c r="T1497" s="247" t="str">
        <f t="shared" si="28"/>
        <v>1w</v>
      </c>
      <c r="U1497" s="245">
        <f>_xll.qlCalendarAdvance(Calendar,U1496,T1497,"f",FALSE)</f>
        <v>49297</v>
      </c>
      <c r="V1497" s="248">
        <f>_xll.qlCalendarAdvance(Calendar,U1497,NDays&amp;"D")</f>
        <v>49299</v>
      </c>
      <c r="W1497" s="249">
        <v>2.6445222007934532E-2</v>
      </c>
      <c r="X1497" s="246">
        <v>2.6422766544342835E-2</v>
      </c>
    </row>
    <row r="1498" spans="20:24" x14ac:dyDescent="0.2">
      <c r="T1498" s="247" t="str">
        <f t="shared" si="28"/>
        <v>1w</v>
      </c>
      <c r="U1498" s="245">
        <f>_xll.qlCalendarAdvance(Calendar,U1497,T1498,"f",FALSE)</f>
        <v>49305</v>
      </c>
      <c r="V1498" s="248">
        <f>_xll.qlCalendarAdvance(Calendar,U1498,NDays&amp;"D")</f>
        <v>49307</v>
      </c>
      <c r="W1498" s="249">
        <v>2.6433944819171683E-2</v>
      </c>
      <c r="X1498" s="246">
        <v>2.6412112933968945E-2</v>
      </c>
    </row>
    <row r="1499" spans="20:24" x14ac:dyDescent="0.2">
      <c r="T1499" s="247" t="str">
        <f t="shared" si="28"/>
        <v>1w</v>
      </c>
      <c r="U1499" s="245">
        <f>_xll.qlCalendarAdvance(Calendar,U1498,T1499,"f",FALSE)</f>
        <v>49312</v>
      </c>
      <c r="V1499" s="248">
        <f>_xll.qlCalendarAdvance(Calendar,U1499,NDays&amp;"D")</f>
        <v>49314</v>
      </c>
      <c r="W1499" s="249">
        <v>2.642360918267439E-2</v>
      </c>
      <c r="X1499" s="246">
        <v>2.6401860543279199E-2</v>
      </c>
    </row>
    <row r="1500" spans="20:24" x14ac:dyDescent="0.2">
      <c r="T1500" s="247" t="str">
        <f t="shared" si="28"/>
        <v>1w</v>
      </c>
      <c r="U1500" s="245">
        <f>_xll.qlCalendarAdvance(Calendar,U1499,T1500,"f",FALSE)</f>
        <v>49319</v>
      </c>
      <c r="V1500" s="248">
        <f>_xll.qlCalendarAdvance(Calendar,U1500,NDays&amp;"D")</f>
        <v>49321</v>
      </c>
      <c r="W1500" s="249">
        <v>2.6413516411716742E-2</v>
      </c>
      <c r="X1500" s="246">
        <v>2.6391858609198238E-2</v>
      </c>
    </row>
    <row r="1501" spans="20:24" x14ac:dyDescent="0.2">
      <c r="T1501" s="247" t="str">
        <f t="shared" si="28"/>
        <v>1w</v>
      </c>
      <c r="U1501" s="245">
        <f>_xll.qlCalendarAdvance(Calendar,U1500,T1501,"f",FALSE)</f>
        <v>49326</v>
      </c>
      <c r="V1501" s="248">
        <f>_xll.qlCalendarAdvance(Calendar,U1501,NDays&amp;"D")</f>
        <v>49328</v>
      </c>
      <c r="W1501" s="249">
        <v>2.6403419322544863E-2</v>
      </c>
      <c r="X1501" s="246">
        <v>2.6381852360009006E-2</v>
      </c>
    </row>
    <row r="1502" spans="20:24" x14ac:dyDescent="0.2">
      <c r="T1502" s="247" t="str">
        <f t="shared" si="28"/>
        <v>1w</v>
      </c>
      <c r="U1502" s="245">
        <f>_xll.qlCalendarAdvance(Calendar,U1501,T1502,"f",FALSE)</f>
        <v>49333</v>
      </c>
      <c r="V1502" s="248">
        <f>_xll.qlCalendarAdvance(Calendar,U1502,NDays&amp;"D")</f>
        <v>49335</v>
      </c>
      <c r="W1502" s="249">
        <v>2.6393317915192505E-2</v>
      </c>
      <c r="X1502" s="246">
        <v>2.6371841795684858E-2</v>
      </c>
    </row>
    <row r="1503" spans="20:24" x14ac:dyDescent="0.2">
      <c r="T1503" s="247" t="str">
        <f t="shared" si="28"/>
        <v>1w</v>
      </c>
      <c r="U1503" s="245">
        <f>_xll.qlCalendarAdvance(Calendar,U1502,T1503,"f",FALSE)</f>
        <v>49340</v>
      </c>
      <c r="V1503" s="248">
        <f>_xll.qlCalendarAdvance(Calendar,U1503,NDays&amp;"D")</f>
        <v>49342</v>
      </c>
      <c r="W1503" s="249">
        <v>2.6382970151543245E-2</v>
      </c>
      <c r="X1503" s="246">
        <v>2.6361826916199149E-2</v>
      </c>
    </row>
    <row r="1504" spans="20:24" x14ac:dyDescent="0.2">
      <c r="T1504" s="247" t="str">
        <f t="shared" si="28"/>
        <v>1w</v>
      </c>
      <c r="U1504" s="245">
        <f>_xll.qlCalendarAdvance(Calendar,U1503,T1504,"f",FALSE)</f>
        <v>49347</v>
      </c>
      <c r="V1504" s="248">
        <f>_xll.qlCalendarAdvance(Calendar,U1504,NDays&amp;"D")</f>
        <v>49349</v>
      </c>
      <c r="W1504" s="249">
        <v>2.637286115468656E-2</v>
      </c>
      <c r="X1504" s="246">
        <v>2.6351807721551879E-2</v>
      </c>
    </row>
    <row r="1505" spans="20:24" x14ac:dyDescent="0.2">
      <c r="T1505" s="247" t="str">
        <f t="shared" si="28"/>
        <v>1w</v>
      </c>
      <c r="U1505" s="245">
        <f>_xll.qlCalendarAdvance(Calendar,U1504,T1505,"f",FALSE)</f>
        <v>49354</v>
      </c>
      <c r="V1505" s="248">
        <f>_xll.qlCalendarAdvance(Calendar,U1505,NDays&amp;"D")</f>
        <v>49356</v>
      </c>
      <c r="W1505" s="249">
        <v>2.6362747839778339E-2</v>
      </c>
      <c r="X1505" s="246">
        <v>2.6341784211796337E-2</v>
      </c>
    </row>
    <row r="1506" spans="20:24" x14ac:dyDescent="0.2">
      <c r="T1506" s="247" t="str">
        <f t="shared" si="28"/>
        <v>1w</v>
      </c>
      <c r="U1506" s="245">
        <f>_xll.qlCalendarAdvance(Calendar,U1505,T1506,"f",FALSE)</f>
        <v>49361</v>
      </c>
      <c r="V1506" s="248">
        <f>_xll.qlCalendarAdvance(Calendar,U1506,NDays&amp;"D")</f>
        <v>49363</v>
      </c>
      <c r="W1506" s="249">
        <v>2.6352630206848228E-2</v>
      </c>
      <c r="X1506" s="246">
        <v>2.6331756386879235E-2</v>
      </c>
    </row>
    <row r="1507" spans="20:24" x14ac:dyDescent="0.2">
      <c r="T1507" s="247" t="str">
        <f t="shared" si="28"/>
        <v>1w</v>
      </c>
      <c r="U1507" s="245">
        <f>_xll.qlCalendarAdvance(Calendar,U1506,T1507,"f",FALSE)</f>
        <v>49368</v>
      </c>
      <c r="V1507" s="248">
        <f>_xll.qlCalendarAdvance(Calendar,U1507,NDays&amp;"D")</f>
        <v>49370</v>
      </c>
      <c r="W1507" s="249">
        <v>2.6343696628140203E-2</v>
      </c>
      <c r="X1507" s="246">
        <v>2.6321724246827216E-2</v>
      </c>
    </row>
    <row r="1508" spans="20:24" x14ac:dyDescent="0.2">
      <c r="T1508" s="247" t="str">
        <f t="shared" si="28"/>
        <v>1w</v>
      </c>
      <c r="U1508" s="245">
        <f>_xll.qlCalendarAdvance(Calendar,U1507,T1508,"f",FALSE)</f>
        <v>49375</v>
      </c>
      <c r="V1508" s="248">
        <f>_xll.qlCalendarAdvance(Calendar,U1508,NDays&amp;"D")</f>
        <v>49377</v>
      </c>
      <c r="W1508" s="249">
        <v>2.6333565124266899E-2</v>
      </c>
      <c r="X1508" s="246">
        <v>2.6311687791640281E-2</v>
      </c>
    </row>
    <row r="1509" spans="20:24" x14ac:dyDescent="0.2">
      <c r="T1509" s="247" t="str">
        <f t="shared" si="28"/>
        <v>1w</v>
      </c>
      <c r="U1509" s="245">
        <f>_xll.qlCalendarAdvance(Calendar,U1508,T1509,"f",FALSE)</f>
        <v>49382</v>
      </c>
      <c r="V1509" s="248">
        <f>_xll.qlCalendarAdvance(Calendar,U1509,NDays&amp;"D")</f>
        <v>49384</v>
      </c>
      <c r="W1509" s="249">
        <v>2.6323429302322589E-2</v>
      </c>
      <c r="X1509" s="246">
        <v>2.6301647021318431E-2</v>
      </c>
    </row>
    <row r="1510" spans="20:24" x14ac:dyDescent="0.2">
      <c r="T1510" s="247" t="str">
        <f t="shared" si="28"/>
        <v>1w</v>
      </c>
      <c r="U1510" s="245">
        <f>_xll.qlCalendarAdvance(Calendar,U1509,T1510,"f",FALSE)</f>
        <v>49389</v>
      </c>
      <c r="V1510" s="248">
        <f>_xll.qlCalendarAdvance(Calendar,U1510,NDays&amp;"D")</f>
        <v>49395</v>
      </c>
      <c r="W1510" s="249">
        <v>2.6307025253249836E-2</v>
      </c>
      <c r="X1510" s="246">
        <v>2.6285376335932753E-2</v>
      </c>
    </row>
    <row r="1511" spans="20:24" x14ac:dyDescent="0.2">
      <c r="T1511" s="247" t="str">
        <f t="shared" si="28"/>
        <v>1w</v>
      </c>
      <c r="U1511" s="245">
        <f>_xll.qlCalendarAdvance(Calendar,U1510,T1511,"f",FALSE)</f>
        <v>49396</v>
      </c>
      <c r="V1511" s="248">
        <f>_xll.qlCalendarAdvance(Calendar,U1511,NDays&amp;"D")</f>
        <v>49398</v>
      </c>
      <c r="W1511" s="249">
        <v>2.6302444510973112E-2</v>
      </c>
      <c r="X1511" s="246">
        <v>2.6281552535296626E-2</v>
      </c>
    </row>
    <row r="1512" spans="20:24" x14ac:dyDescent="0.2">
      <c r="T1512" s="247" t="str">
        <f t="shared" si="28"/>
        <v>1w</v>
      </c>
      <c r="U1512" s="245">
        <f>_xll.qlCalendarAdvance(Calendar,U1511,T1512,"f",FALSE)</f>
        <v>49403</v>
      </c>
      <c r="V1512" s="248">
        <f>_xll.qlCalendarAdvance(Calendar,U1512,NDays&amp;"D")</f>
        <v>49405</v>
      </c>
      <c r="W1512" s="249">
        <v>2.6292298876543826E-2</v>
      </c>
      <c r="X1512" s="246">
        <v>2.6271498819570027E-2</v>
      </c>
    </row>
    <row r="1513" spans="20:24" x14ac:dyDescent="0.2">
      <c r="T1513" s="247" t="str">
        <f t="shared" si="28"/>
        <v>1w</v>
      </c>
      <c r="U1513" s="245">
        <f>_xll.qlCalendarAdvance(Calendar,U1512,T1513,"f",FALSE)</f>
        <v>49410</v>
      </c>
      <c r="V1513" s="248">
        <f>_xll.qlCalendarAdvance(Calendar,U1513,NDays&amp;"D")</f>
        <v>49412</v>
      </c>
      <c r="W1513" s="249">
        <v>2.6282148924263848E-2</v>
      </c>
      <c r="X1513" s="246">
        <v>2.6261440788708512E-2</v>
      </c>
    </row>
    <row r="1514" spans="20:24" x14ac:dyDescent="0.2">
      <c r="T1514" s="247" t="str">
        <f t="shared" si="28"/>
        <v>1w</v>
      </c>
      <c r="U1514" s="245">
        <f>_xll.qlCalendarAdvance(Calendar,U1513,T1514,"f",FALSE)</f>
        <v>49417</v>
      </c>
      <c r="V1514" s="248">
        <f>_xll.qlCalendarAdvance(Calendar,U1514,NDays&amp;"D")</f>
        <v>49419</v>
      </c>
      <c r="W1514" s="249">
        <v>2.6271994654168317E-2</v>
      </c>
      <c r="X1514" s="246">
        <v>2.6251378442685436E-2</v>
      </c>
    </row>
    <row r="1515" spans="20:24" x14ac:dyDescent="0.2">
      <c r="T1515" s="247" t="str">
        <f t="shared" si="28"/>
        <v>1w</v>
      </c>
      <c r="U1515" s="245">
        <f>_xll.qlCalendarAdvance(Calendar,U1514,T1515,"f",FALSE)</f>
        <v>49424</v>
      </c>
      <c r="V1515" s="248">
        <f>_xll.qlCalendarAdvance(Calendar,U1515,NDays&amp;"D")</f>
        <v>49426</v>
      </c>
      <c r="W1515" s="249">
        <v>2.626183606628885E-2</v>
      </c>
      <c r="X1515" s="246">
        <v>2.6241311781607379E-2</v>
      </c>
    </row>
    <row r="1516" spans="20:24" x14ac:dyDescent="0.2">
      <c r="T1516" s="247" t="str">
        <f t="shared" si="28"/>
        <v>1w</v>
      </c>
      <c r="U1516" s="245">
        <f>_xll.qlCalendarAdvance(Calendar,U1515,T1516,"f",FALSE)</f>
        <v>49431</v>
      </c>
      <c r="V1516" s="248">
        <f>_xll.qlCalendarAdvance(Calendar,U1516,NDays&amp;"D")</f>
        <v>49433</v>
      </c>
      <c r="W1516" s="249">
        <v>2.6252357645641034E-2</v>
      </c>
      <c r="X1516" s="246">
        <v>2.6231240805341116E-2</v>
      </c>
    </row>
    <row r="1517" spans="20:24" x14ac:dyDescent="0.2">
      <c r="T1517" s="247" t="str">
        <f t="shared" si="28"/>
        <v>1w</v>
      </c>
      <c r="U1517" s="245">
        <f>_xll.qlCalendarAdvance(Calendar,U1516,T1517,"f",FALSE)</f>
        <v>49438</v>
      </c>
      <c r="V1517" s="248">
        <f>_xll.qlCalendarAdvance(Calendar,U1517,NDays&amp;"D")</f>
        <v>49440</v>
      </c>
      <c r="W1517" s="249">
        <v>2.6242187280371927E-2</v>
      </c>
      <c r="X1517" s="246">
        <v>2.6221165513966582E-2</v>
      </c>
    </row>
    <row r="1518" spans="20:24" x14ac:dyDescent="0.2">
      <c r="T1518" s="247" t="str">
        <f t="shared" si="28"/>
        <v>1w</v>
      </c>
      <c r="U1518" s="245">
        <f>_xll.qlCalendarAdvance(Calendar,U1517,T1518,"f",FALSE)</f>
        <v>49445</v>
      </c>
      <c r="V1518" s="248">
        <f>_xll.qlCalendarAdvance(Calendar,U1518,NDays&amp;"D")</f>
        <v>49447</v>
      </c>
      <c r="W1518" s="249">
        <v>2.6232012597341352E-2</v>
      </c>
      <c r="X1518" s="246">
        <v>2.6211085907457132E-2</v>
      </c>
    </row>
    <row r="1519" spans="20:24" x14ac:dyDescent="0.2">
      <c r="T1519" s="247" t="str">
        <f t="shared" si="28"/>
        <v>1w</v>
      </c>
      <c r="U1519" s="245">
        <f>_xll.qlCalendarAdvance(Calendar,U1518,T1519,"f",FALSE)</f>
        <v>49452</v>
      </c>
      <c r="V1519" s="248">
        <f>_xll.qlCalendarAdvance(Calendar,U1519,NDays&amp;"D")</f>
        <v>49454</v>
      </c>
      <c r="W1519" s="249">
        <v>2.6221833596584178E-2</v>
      </c>
      <c r="X1519" s="246">
        <v>2.6201001985839412E-2</v>
      </c>
    </row>
    <row r="1520" spans="20:24" x14ac:dyDescent="0.2">
      <c r="T1520" s="247" t="str">
        <f t="shared" si="28"/>
        <v>1w</v>
      </c>
      <c r="U1520" s="245">
        <f>_xll.qlCalendarAdvance(Calendar,U1519,T1520,"f",FALSE)</f>
        <v>49459</v>
      </c>
      <c r="V1520" s="248">
        <f>_xll.qlCalendarAdvance(Calendar,U1520,NDays&amp;"D")</f>
        <v>49461</v>
      </c>
      <c r="W1520" s="249">
        <v>2.6211650278134414E-2</v>
      </c>
      <c r="X1520" s="246">
        <v>2.619091374906013E-2</v>
      </c>
    </row>
    <row r="1521" spans="20:24" x14ac:dyDescent="0.2">
      <c r="T1521" s="247" t="str">
        <f t="shared" si="28"/>
        <v>1w</v>
      </c>
      <c r="U1521" s="245">
        <f>_xll.qlCalendarAdvance(Calendar,U1520,T1521,"f",FALSE)</f>
        <v>49466</v>
      </c>
      <c r="V1521" s="248">
        <f>_xll.qlCalendarAdvance(Calendar,U1521,NDays&amp;"D")</f>
        <v>49468</v>
      </c>
      <c r="W1521" s="249">
        <v>2.620146264202608E-2</v>
      </c>
      <c r="X1521" s="246">
        <v>2.6180821197199222E-2</v>
      </c>
    </row>
    <row r="1522" spans="20:24" x14ac:dyDescent="0.2">
      <c r="T1522" s="247" t="str">
        <f t="shared" si="28"/>
        <v>1w</v>
      </c>
      <c r="U1522" s="245">
        <f>_xll.qlCalendarAdvance(Calendar,U1521,T1522,"f",FALSE)</f>
        <v>49473</v>
      </c>
      <c r="V1522" s="248">
        <f>_xll.qlCalendarAdvance(Calendar,U1522,NDays&amp;"D")</f>
        <v>49475</v>
      </c>
      <c r="W1522" s="249">
        <v>2.6191270688293192E-2</v>
      </c>
      <c r="X1522" s="246">
        <v>2.6170724330203399E-2</v>
      </c>
    </row>
    <row r="1523" spans="20:24" x14ac:dyDescent="0.2">
      <c r="T1523" s="247" t="str">
        <f t="shared" si="28"/>
        <v>1w</v>
      </c>
      <c r="U1523" s="245">
        <f>_xll.qlCalendarAdvance(Calendar,U1522,T1523,"f",FALSE)</f>
        <v>49480</v>
      </c>
      <c r="V1523" s="248">
        <f>_xll.qlCalendarAdvance(Calendar,U1523,NDays&amp;"D")</f>
        <v>49482</v>
      </c>
      <c r="W1523" s="249">
        <v>2.6181074416971463E-2</v>
      </c>
      <c r="X1523" s="246">
        <v>2.6160623148072659E-2</v>
      </c>
    </row>
    <row r="1524" spans="20:24" x14ac:dyDescent="0.2">
      <c r="T1524" s="247" t="str">
        <f t="shared" si="28"/>
        <v>1w</v>
      </c>
      <c r="U1524" s="245">
        <f>_xll.qlCalendarAdvance(Calendar,U1523,T1524,"f",FALSE)</f>
        <v>49487</v>
      </c>
      <c r="V1524" s="248">
        <f>_xll.qlCalendarAdvance(Calendar,U1524,NDays&amp;"D")</f>
        <v>49489</v>
      </c>
      <c r="W1524" s="249">
        <v>2.617021448059647E-2</v>
      </c>
      <c r="X1524" s="246">
        <v>2.6150517650833649E-2</v>
      </c>
    </row>
    <row r="1525" spans="20:24" x14ac:dyDescent="0.2">
      <c r="T1525" s="247" t="str">
        <f t="shared" si="28"/>
        <v>1w</v>
      </c>
      <c r="U1525" s="245">
        <f>_xll.qlCalendarAdvance(Calendar,U1524,T1525,"f",FALSE)</f>
        <v>49494</v>
      </c>
      <c r="V1525" s="248">
        <f>_xll.qlCalendarAdvance(Calendar,U1525,NDays&amp;"D")</f>
        <v>49496</v>
      </c>
      <c r="W1525" s="249">
        <v>2.6160668921695846E-2</v>
      </c>
      <c r="X1525" s="246">
        <v>2.6140407838459723E-2</v>
      </c>
    </row>
    <row r="1526" spans="20:24" x14ac:dyDescent="0.2">
      <c r="T1526" s="247" t="str">
        <f t="shared" si="28"/>
        <v>1w</v>
      </c>
      <c r="U1526" s="245">
        <f>_xll.qlCalendarAdvance(Calendar,U1525,T1526,"f",FALSE)</f>
        <v>49501</v>
      </c>
      <c r="V1526" s="248">
        <f>_xll.qlCalendarAdvance(Calendar,U1526,NDays&amp;"D")</f>
        <v>49503</v>
      </c>
      <c r="W1526" s="249">
        <v>2.6150459697811691E-2</v>
      </c>
      <c r="X1526" s="246">
        <v>2.6130293711004171E-2</v>
      </c>
    </row>
    <row r="1527" spans="20:24" x14ac:dyDescent="0.2">
      <c r="T1527" s="247" t="str">
        <f t="shared" si="28"/>
        <v>1w</v>
      </c>
      <c r="U1527" s="245">
        <f>_xll.qlCalendarAdvance(Calendar,U1526,T1527,"f",FALSE)</f>
        <v>49508</v>
      </c>
      <c r="V1527" s="248">
        <f>_xll.qlCalendarAdvance(Calendar,U1527,NDays&amp;"D")</f>
        <v>49510</v>
      </c>
      <c r="W1527" s="249">
        <v>2.6140246156474759E-2</v>
      </c>
      <c r="X1527" s="246">
        <v>2.6120175268360413E-2</v>
      </c>
    </row>
    <row r="1528" spans="20:24" x14ac:dyDescent="0.2">
      <c r="T1528" s="247" t="str">
        <f t="shared" si="28"/>
        <v>1w</v>
      </c>
      <c r="U1528" s="245">
        <f>_xll.qlCalendarAdvance(Calendar,U1527,T1528,"f",FALSE)</f>
        <v>49515</v>
      </c>
      <c r="V1528" s="248">
        <f>_xll.qlCalendarAdvance(Calendar,U1528,NDays&amp;"D")</f>
        <v>49517</v>
      </c>
      <c r="W1528" s="249">
        <v>2.6130028297720761E-2</v>
      </c>
      <c r="X1528" s="246">
        <v>2.611005251068832E-2</v>
      </c>
    </row>
    <row r="1529" spans="20:24" x14ac:dyDescent="0.2">
      <c r="T1529" s="247" t="str">
        <f t="shared" si="28"/>
        <v>1w</v>
      </c>
      <c r="U1529" s="245">
        <f>_xll.qlCalendarAdvance(Calendar,U1528,T1529,"f",FALSE)</f>
        <v>49522</v>
      </c>
      <c r="V1529" s="248">
        <f>_xll.qlCalendarAdvance(Calendar,U1529,NDays&amp;"D")</f>
        <v>49524</v>
      </c>
      <c r="W1529" s="249">
        <v>2.6119806121582868E-2</v>
      </c>
      <c r="X1529" s="246">
        <v>2.6099925437854665E-2</v>
      </c>
    </row>
    <row r="1530" spans="20:24" x14ac:dyDescent="0.2">
      <c r="T1530" s="247" t="str">
        <f t="shared" si="28"/>
        <v>1w</v>
      </c>
      <c r="U1530" s="245">
        <f>_xll.qlCalendarAdvance(Calendar,U1529,T1530,"f",FALSE)</f>
        <v>49529</v>
      </c>
      <c r="V1530" s="248">
        <f>_xll.qlCalendarAdvance(Calendar,U1530,NDays&amp;"D")</f>
        <v>49531</v>
      </c>
      <c r="W1530" s="249">
        <v>2.6109579628097644E-2</v>
      </c>
      <c r="X1530" s="246">
        <v>2.608979404991274E-2</v>
      </c>
    </row>
    <row r="1531" spans="20:24" x14ac:dyDescent="0.2">
      <c r="T1531" s="247" t="str">
        <f t="shared" si="28"/>
        <v>1w</v>
      </c>
      <c r="U1531" s="245">
        <f>_xll.qlCalendarAdvance(Calendar,U1530,T1531,"f",FALSE)</f>
        <v>49536</v>
      </c>
      <c r="V1531" s="248">
        <f>_xll.qlCalendarAdvance(Calendar,U1531,NDays&amp;"D")</f>
        <v>49538</v>
      </c>
      <c r="W1531" s="249">
        <v>2.6099348817297405E-2</v>
      </c>
      <c r="X1531" s="246">
        <v>2.6079658346862544E-2</v>
      </c>
    </row>
    <row r="1532" spans="20:24" x14ac:dyDescent="0.2">
      <c r="T1532" s="247" t="str">
        <f t="shared" si="28"/>
        <v>1w</v>
      </c>
      <c r="U1532" s="245">
        <f>_xll.qlCalendarAdvance(Calendar,U1531,T1532,"f",FALSE)</f>
        <v>49543</v>
      </c>
      <c r="V1532" s="248">
        <f>_xll.qlCalendarAdvance(Calendar,U1532,NDays&amp;"D")</f>
        <v>49545</v>
      </c>
      <c r="W1532" s="249">
        <v>2.6089113689217864E-2</v>
      </c>
      <c r="X1532" s="246">
        <v>2.6069518328677432E-2</v>
      </c>
    </row>
    <row r="1533" spans="20:24" x14ac:dyDescent="0.2">
      <c r="T1533" s="247" t="str">
        <f t="shared" si="28"/>
        <v>1w</v>
      </c>
      <c r="U1533" s="245">
        <f>_xll.qlCalendarAdvance(Calendar,U1532,T1533,"f",FALSE)</f>
        <v>49550</v>
      </c>
      <c r="V1533" s="248">
        <f>_xll.qlCalendarAdvance(Calendar,U1533,NDays&amp;"D")</f>
        <v>49552</v>
      </c>
      <c r="W1533" s="249">
        <v>2.6078243181374746E-2</v>
      </c>
      <c r="X1533" s="246">
        <v>2.6059373995410695E-2</v>
      </c>
    </row>
    <row r="1534" spans="20:24" x14ac:dyDescent="0.2">
      <c r="T1534" s="247" t="str">
        <f t="shared" si="28"/>
        <v>1w</v>
      </c>
      <c r="U1534" s="245">
        <f>_xll.qlCalendarAdvance(Calendar,U1533,T1534,"f",FALSE)</f>
        <v>49557</v>
      </c>
      <c r="V1534" s="248">
        <f>_xll.qlCalendarAdvance(Calendar,U1534,NDays&amp;"D")</f>
        <v>49559</v>
      </c>
      <c r="W1534" s="249">
        <v>2.6068002561928687E-2</v>
      </c>
      <c r="X1534" s="246">
        <v>2.6049225347035687E-2</v>
      </c>
    </row>
    <row r="1535" spans="20:24" x14ac:dyDescent="0.2">
      <c r="T1535" s="247" t="str">
        <f t="shared" si="28"/>
        <v>1w</v>
      </c>
      <c r="U1535" s="245">
        <f>_xll.qlCalendarAdvance(Calendar,U1534,T1535,"f",FALSE)</f>
        <v>49564</v>
      </c>
      <c r="V1535" s="248">
        <f>_xll.qlCalendarAdvance(Calendar,U1535,NDays&amp;"D")</f>
        <v>49566</v>
      </c>
      <c r="W1535" s="249">
        <v>2.6057757625364535E-2</v>
      </c>
      <c r="X1535" s="246">
        <v>2.6039072383525763E-2</v>
      </c>
    </row>
    <row r="1536" spans="20:24" x14ac:dyDescent="0.2">
      <c r="T1536" s="247" t="str">
        <f t="shared" si="28"/>
        <v>1w</v>
      </c>
      <c r="U1536" s="245">
        <f>_xll.qlCalendarAdvance(Calendar,U1535,T1536,"f",FALSE)</f>
        <v>49571</v>
      </c>
      <c r="V1536" s="248">
        <f>_xll.qlCalendarAdvance(Calendar,U1536,NDays&amp;"D")</f>
        <v>49573</v>
      </c>
      <c r="W1536" s="249">
        <v>2.6047508371719187E-2</v>
      </c>
      <c r="X1536" s="246">
        <v>2.6028915104934214E-2</v>
      </c>
    </row>
    <row r="1537" spans="20:24" x14ac:dyDescent="0.2">
      <c r="T1537" s="247" t="str">
        <f t="shared" si="28"/>
        <v>1w</v>
      </c>
      <c r="U1537" s="245">
        <f>_xll.qlCalendarAdvance(Calendar,U1536,T1537,"f",FALSE)</f>
        <v>49578</v>
      </c>
      <c r="V1537" s="248">
        <f>_xll.qlCalendarAdvance(Calendar,U1537,NDays&amp;"D")</f>
        <v>49580</v>
      </c>
      <c r="W1537" s="249">
        <v>2.6037873290835657E-2</v>
      </c>
      <c r="X1537" s="246">
        <v>2.6018753511207748E-2</v>
      </c>
    </row>
    <row r="1538" spans="20:24" x14ac:dyDescent="0.2">
      <c r="T1538" s="247" t="str">
        <f t="shared" si="28"/>
        <v>1w</v>
      </c>
      <c r="U1538" s="245">
        <f>_xll.qlCalendarAdvance(Calendar,U1537,T1538,"f",FALSE)</f>
        <v>49585</v>
      </c>
      <c r="V1538" s="248">
        <f>_xll.qlCalendarAdvance(Calendar,U1538,NDays&amp;"D")</f>
        <v>49587</v>
      </c>
      <c r="W1538" s="249">
        <v>2.6027612259803993E-2</v>
      </c>
      <c r="X1538" s="246">
        <v>2.6008587602399658E-2</v>
      </c>
    </row>
    <row r="1539" spans="20:24" x14ac:dyDescent="0.2">
      <c r="T1539" s="247" t="str">
        <f t="shared" si="28"/>
        <v>1w</v>
      </c>
      <c r="U1539" s="245">
        <f>_xll.qlCalendarAdvance(Calendar,U1538,T1539,"f",FALSE)</f>
        <v>49592</v>
      </c>
      <c r="V1539" s="248">
        <f>_xll.qlCalendarAdvance(Calendar,U1539,NDays&amp;"D")</f>
        <v>49594</v>
      </c>
      <c r="W1539" s="249">
        <v>2.6017346911735389E-2</v>
      </c>
      <c r="X1539" s="246">
        <v>2.5998417378509941E-2</v>
      </c>
    </row>
    <row r="1540" spans="20:24" x14ac:dyDescent="0.2">
      <c r="T1540" s="247" t="str">
        <f t="shared" si="28"/>
        <v>1w</v>
      </c>
      <c r="U1540" s="245">
        <f>_xll.qlCalendarAdvance(Calendar,U1539,T1540,"f",FALSE)</f>
        <v>49599</v>
      </c>
      <c r="V1540" s="248">
        <f>_xll.qlCalendarAdvance(Calendar,U1540,NDays&amp;"D")</f>
        <v>49601</v>
      </c>
      <c r="W1540" s="249">
        <v>2.6007077246663009E-2</v>
      </c>
      <c r="X1540" s="246">
        <v>2.5988242839458664E-2</v>
      </c>
    </row>
    <row r="1541" spans="20:24" x14ac:dyDescent="0.2">
      <c r="T1541" s="247" t="str">
        <f t="shared" si="28"/>
        <v>1w</v>
      </c>
      <c r="U1541" s="245">
        <f>_xll.qlCalendarAdvance(Calendar,U1540,T1541,"f",FALSE)</f>
        <v>49606</v>
      </c>
      <c r="V1541" s="248">
        <f>_xll.qlCalendarAdvance(Calendar,U1541,NDays&amp;"D")</f>
        <v>49608</v>
      </c>
      <c r="W1541" s="249">
        <v>2.5996803264621716E-2</v>
      </c>
      <c r="X1541" s="246">
        <v>2.5978063985325761E-2</v>
      </c>
    </row>
    <row r="1542" spans="20:24" x14ac:dyDescent="0.2">
      <c r="T1542" s="247" t="str">
        <f t="shared" si="28"/>
        <v>1w</v>
      </c>
      <c r="U1542" s="245">
        <f>_xll.qlCalendarAdvance(Calendar,U1541,T1542,"f",FALSE)</f>
        <v>49613</v>
      </c>
      <c r="V1542" s="248">
        <f>_xll.qlCalendarAdvance(Calendar,U1542,NDays&amp;"D")</f>
        <v>49615</v>
      </c>
      <c r="W1542" s="249">
        <v>2.5986524965648083E-2</v>
      </c>
      <c r="X1542" s="246">
        <v>2.5967880816111233E-2</v>
      </c>
    </row>
    <row r="1543" spans="20:24" x14ac:dyDescent="0.2">
      <c r="T1543" s="247" t="str">
        <f t="shared" si="28"/>
        <v>1w</v>
      </c>
      <c r="U1543" s="245">
        <f>_xll.qlCalendarAdvance(Calendar,U1542,T1543,"f",FALSE)</f>
        <v>49620</v>
      </c>
      <c r="V1543" s="248">
        <f>_xll.qlCalendarAdvance(Calendar,U1543,NDays&amp;"D")</f>
        <v>49622</v>
      </c>
      <c r="W1543" s="249">
        <v>2.5976242349774421E-2</v>
      </c>
      <c r="X1543" s="246">
        <v>2.5957693331788434E-2</v>
      </c>
    </row>
    <row r="1544" spans="20:24" x14ac:dyDescent="0.2">
      <c r="T1544" s="247" t="str">
        <f t="shared" si="28"/>
        <v>1w</v>
      </c>
      <c r="U1544" s="245">
        <f>_xll.qlCalendarAdvance(Calendar,U1543,T1544,"f",FALSE)</f>
        <v>49627</v>
      </c>
      <c r="V1544" s="248">
        <f>_xll.qlCalendarAdvance(Calendar,U1544,NDays&amp;"D")</f>
        <v>49629</v>
      </c>
      <c r="W1544" s="249">
        <v>2.5965955417037296E-2</v>
      </c>
      <c r="X1544" s="246">
        <v>2.5947501532357364E-2</v>
      </c>
    </row>
    <row r="1545" spans="20:24" x14ac:dyDescent="0.2">
      <c r="T1545" s="247" t="str">
        <f t="shared" si="28"/>
        <v>1w</v>
      </c>
      <c r="U1545" s="245">
        <f>_xll.qlCalendarAdvance(Calendar,U1544,T1545,"f",FALSE)</f>
        <v>49634</v>
      </c>
      <c r="V1545" s="248">
        <f>_xll.qlCalendarAdvance(Calendar,U1545,NDays&amp;"D")</f>
        <v>49636</v>
      </c>
      <c r="W1545" s="249">
        <v>2.5955664167469875E-2</v>
      </c>
      <c r="X1545" s="246">
        <v>2.5937305417844669E-2</v>
      </c>
    </row>
    <row r="1546" spans="20:24" x14ac:dyDescent="0.2">
      <c r="T1546" s="247" t="str">
        <f t="shared" si="28"/>
        <v>1w</v>
      </c>
      <c r="U1546" s="245">
        <f>_xll.qlCalendarAdvance(Calendar,U1545,T1546,"f",FALSE)</f>
        <v>49641</v>
      </c>
      <c r="V1546" s="248">
        <f>_xll.qlCalendarAdvance(Calendar,U1546,NDays&amp;"D")</f>
        <v>49643</v>
      </c>
      <c r="W1546" s="249">
        <v>2.594477840300722E-2</v>
      </c>
      <c r="X1546" s="246">
        <v>2.5927104988223704E-2</v>
      </c>
    </row>
    <row r="1547" spans="20:24" x14ac:dyDescent="0.2">
      <c r="T1547" s="247" t="str">
        <f t="shared" si="28"/>
        <v>1w</v>
      </c>
      <c r="U1547" s="245">
        <f>_xll.qlCalendarAdvance(Calendar,U1546,T1547,"f",FALSE)</f>
        <v>49648</v>
      </c>
      <c r="V1547" s="248">
        <f>_xll.qlCalendarAdvance(Calendar,U1547,NDays&amp;"D")</f>
        <v>49650</v>
      </c>
      <c r="W1547" s="249">
        <v>2.5934481663651563E-2</v>
      </c>
      <c r="X1547" s="246">
        <v>2.5916900243521113E-2</v>
      </c>
    </row>
    <row r="1548" spans="20:24" x14ac:dyDescent="0.2">
      <c r="T1548" s="247" t="str">
        <f t="shared" si="28"/>
        <v>1w</v>
      </c>
      <c r="U1548" s="245">
        <f>_xll.qlCalendarAdvance(Calendar,U1547,T1548,"f",FALSE)</f>
        <v>49655</v>
      </c>
      <c r="V1548" s="248">
        <f>_xll.qlCalendarAdvance(Calendar,U1548,NDays&amp;"D")</f>
        <v>49657</v>
      </c>
      <c r="W1548" s="249">
        <v>2.5924180607612628E-2</v>
      </c>
      <c r="X1548" s="246">
        <v>2.5906691183736896E-2</v>
      </c>
    </row>
    <row r="1549" spans="20:24" x14ac:dyDescent="0.2">
      <c r="T1549" s="247" t="str">
        <f t="shared" si="28"/>
        <v>1w</v>
      </c>
      <c r="U1549" s="245">
        <f>_xll.qlCalendarAdvance(Calendar,U1548,T1549,"f",FALSE)</f>
        <v>49662</v>
      </c>
      <c r="V1549" s="248">
        <f>_xll.qlCalendarAdvance(Calendar,U1549,NDays&amp;"D")</f>
        <v>49664</v>
      </c>
      <c r="W1549" s="249">
        <v>2.5913875234926435E-2</v>
      </c>
      <c r="X1549" s="246">
        <v>2.5896477808791118E-2</v>
      </c>
    </row>
    <row r="1550" spans="20:24" x14ac:dyDescent="0.2">
      <c r="T1550" s="247" t="str">
        <f t="shared" si="28"/>
        <v>1w</v>
      </c>
      <c r="U1550" s="245">
        <f>_xll.qlCalendarAdvance(Calendar,U1549,T1550,"f",FALSE)</f>
        <v>49670</v>
      </c>
      <c r="V1550" s="248">
        <f>_xll.qlCalendarAdvance(Calendar,U1550,NDays&amp;"D")</f>
        <v>49674</v>
      </c>
      <c r="W1550" s="249">
        <v>2.5899145785951636E-2</v>
      </c>
      <c r="X1550" s="246">
        <v>2.5881679575752159E-2</v>
      </c>
    </row>
    <row r="1551" spans="20:24" x14ac:dyDescent="0.2">
      <c r="T1551" s="247" t="str">
        <f t="shared" si="28"/>
        <v>1w</v>
      </c>
      <c r="U1551" s="245">
        <f>_xll.qlCalendarAdvance(Calendar,U1550,T1551,"f",FALSE)</f>
        <v>49677</v>
      </c>
      <c r="V1551" s="248">
        <f>_xll.qlCalendarAdvance(Calendar,U1551,NDays&amp;"D")</f>
        <v>49681</v>
      </c>
      <c r="W1551" s="249">
        <v>2.5888829930117905E-2</v>
      </c>
      <c r="X1551" s="246">
        <v>2.5871257505345469E-2</v>
      </c>
    </row>
    <row r="1552" spans="20:24" x14ac:dyDescent="0.2">
      <c r="T1552" s="247" t="str">
        <f t="shared" si="28"/>
        <v>1w</v>
      </c>
      <c r="U1552" s="245">
        <f>_xll.qlCalendarAdvance(Calendar,U1551,T1552,"f",FALSE)</f>
        <v>49684</v>
      </c>
      <c r="V1552" s="248">
        <f>_xll.qlCalendarAdvance(Calendar,U1552,NDays&amp;"D")</f>
        <v>49688</v>
      </c>
      <c r="W1552" s="249">
        <v>2.5878699844386163E-2</v>
      </c>
      <c r="X1552" s="246">
        <v>2.5861031421925418E-2</v>
      </c>
    </row>
    <row r="1553" spans="20:24" x14ac:dyDescent="0.2">
      <c r="T1553" s="247" t="str">
        <f t="shared" si="28"/>
        <v>1w</v>
      </c>
      <c r="U1553" s="245">
        <f>_xll.qlCalendarAdvance(Calendar,U1552,T1553,"f",FALSE)</f>
        <v>49691</v>
      </c>
      <c r="V1553" s="248">
        <f>_xll.qlCalendarAdvance(Calendar,U1553,NDays&amp;"D")</f>
        <v>49695</v>
      </c>
      <c r="W1553" s="249">
        <v>2.5868185268889024E-2</v>
      </c>
      <c r="X1553" s="246">
        <v>2.5850801023397096E-2</v>
      </c>
    </row>
    <row r="1554" spans="20:24" x14ac:dyDescent="0.2">
      <c r="T1554" s="247" t="str">
        <f t="shared" ref="T1554:T1617" si="29">T1553</f>
        <v>1w</v>
      </c>
      <c r="U1554" s="245">
        <f>_xll.qlCalendarAdvance(Calendar,U1553,T1554,"f",FALSE)</f>
        <v>49698</v>
      </c>
      <c r="V1554" s="248">
        <f>_xll.qlCalendarAdvance(Calendar,U1554,NDays&amp;"D")</f>
        <v>49702</v>
      </c>
      <c r="W1554" s="249">
        <v>2.5857856463561511E-2</v>
      </c>
      <c r="X1554" s="246">
        <v>2.584056630984044E-2</v>
      </c>
    </row>
    <row r="1555" spans="20:24" x14ac:dyDescent="0.2">
      <c r="T1555" s="247" t="str">
        <f t="shared" si="29"/>
        <v>1w</v>
      </c>
      <c r="U1555" s="245">
        <f>_xll.qlCalendarAdvance(Calendar,U1554,T1555,"f",FALSE)</f>
        <v>49705</v>
      </c>
      <c r="V1555" s="248">
        <f>_xll.qlCalendarAdvance(Calendar,U1555,NDays&amp;"D")</f>
        <v>49709</v>
      </c>
      <c r="W1555" s="249">
        <v>2.5847523341801949E-2</v>
      </c>
      <c r="X1555" s="246">
        <v>2.5830327281175514E-2</v>
      </c>
    </row>
    <row r="1556" spans="20:24" x14ac:dyDescent="0.2">
      <c r="T1556" s="247" t="str">
        <f t="shared" si="29"/>
        <v>1w</v>
      </c>
      <c r="U1556" s="245">
        <f>_xll.qlCalendarAdvance(Calendar,U1555,T1556,"f",FALSE)</f>
        <v>49712</v>
      </c>
      <c r="V1556" s="248">
        <f>_xll.qlCalendarAdvance(Calendar,U1556,NDays&amp;"D")</f>
        <v>49716</v>
      </c>
      <c r="W1556" s="249">
        <v>2.5837185903645477E-2</v>
      </c>
      <c r="X1556" s="246">
        <v>2.5820083937482252E-2</v>
      </c>
    </row>
    <row r="1557" spans="20:24" x14ac:dyDescent="0.2">
      <c r="T1557" s="247" t="str">
        <f t="shared" si="29"/>
        <v>1w</v>
      </c>
      <c r="U1557" s="245">
        <f>_xll.qlCalendarAdvance(Calendar,U1556,T1557,"f",FALSE)</f>
        <v>49719</v>
      </c>
      <c r="V1557" s="248">
        <f>_xll.qlCalendarAdvance(Calendar,U1557,NDays&amp;"D")</f>
        <v>49723</v>
      </c>
      <c r="W1557" s="249">
        <v>2.5826844149124596E-2</v>
      </c>
      <c r="X1557" s="246">
        <v>2.580983627868072E-2</v>
      </c>
    </row>
    <row r="1558" spans="20:24" x14ac:dyDescent="0.2">
      <c r="T1558" s="247" t="str">
        <f t="shared" si="29"/>
        <v>1w</v>
      </c>
      <c r="U1558" s="245">
        <f>_xll.qlCalendarAdvance(Calendar,U1557,T1558,"f",FALSE)</f>
        <v>49726</v>
      </c>
      <c r="V1558" s="248">
        <f>_xll.qlCalendarAdvance(Calendar,U1558,NDays&amp;"D")</f>
        <v>49730</v>
      </c>
      <c r="W1558" s="249">
        <v>2.5816498078274446E-2</v>
      </c>
      <c r="X1558" s="246">
        <v>2.5799584304930789E-2</v>
      </c>
    </row>
    <row r="1559" spans="20:24" x14ac:dyDescent="0.2">
      <c r="T1559" s="247" t="str">
        <f t="shared" si="29"/>
        <v>1w</v>
      </c>
      <c r="U1559" s="245">
        <f>_xll.qlCalendarAdvance(Calendar,U1558,T1559,"f",FALSE)</f>
        <v>49733</v>
      </c>
      <c r="V1559" s="248">
        <f>_xll.qlCalendarAdvance(Calendar,U1559,NDays&amp;"D")</f>
        <v>49737</v>
      </c>
      <c r="W1559" s="249">
        <v>2.5806330441827723E-2</v>
      </c>
      <c r="X1559" s="246">
        <v>2.5789328015992652E-2</v>
      </c>
    </row>
    <row r="1560" spans="20:24" x14ac:dyDescent="0.2">
      <c r="T1560" s="247" t="str">
        <f t="shared" si="29"/>
        <v>1w</v>
      </c>
      <c r="U1560" s="245">
        <f>_xll.qlCalendarAdvance(Calendar,U1559,T1560,"f",FALSE)</f>
        <v>49740</v>
      </c>
      <c r="V1560" s="248">
        <f>_xll.qlCalendarAdvance(Calendar,U1560,NDays&amp;"D")</f>
        <v>49744</v>
      </c>
      <c r="W1560" s="249">
        <v>2.5795974690385266E-2</v>
      </c>
      <c r="X1560" s="246">
        <v>2.5779067412106116E-2</v>
      </c>
    </row>
    <row r="1561" spans="20:24" x14ac:dyDescent="0.2">
      <c r="T1561" s="247" t="str">
        <f t="shared" si="29"/>
        <v>1w</v>
      </c>
      <c r="U1561" s="245">
        <f>_xll.qlCalendarAdvance(Calendar,U1560,T1561,"f",FALSE)</f>
        <v>49747</v>
      </c>
      <c r="V1561" s="248">
        <f>_xll.qlCalendarAdvance(Calendar,U1561,NDays&amp;"D")</f>
        <v>49751</v>
      </c>
      <c r="W1561" s="249">
        <v>2.578561462270414E-2</v>
      </c>
      <c r="X1561" s="246">
        <v>2.5768802493191245E-2</v>
      </c>
    </row>
    <row r="1562" spans="20:24" x14ac:dyDescent="0.2">
      <c r="T1562" s="247" t="str">
        <f t="shared" si="29"/>
        <v>1w</v>
      </c>
      <c r="U1562" s="245">
        <f>_xll.qlCalendarAdvance(Calendar,U1561,T1562,"f",FALSE)</f>
        <v>49754</v>
      </c>
      <c r="V1562" s="248">
        <f>_xll.qlCalendarAdvance(Calendar,U1562,NDays&amp;"D")</f>
        <v>49758</v>
      </c>
      <c r="W1562" s="249">
        <v>2.5775250238819963E-2</v>
      </c>
      <c r="X1562" s="246">
        <v>2.5758533259168104E-2</v>
      </c>
    </row>
    <row r="1563" spans="20:24" x14ac:dyDescent="0.2">
      <c r="T1563" s="247" t="str">
        <f t="shared" si="29"/>
        <v>1w</v>
      </c>
      <c r="U1563" s="245">
        <f>_xll.qlCalendarAdvance(Calendar,U1562,T1563,"f",FALSE)</f>
        <v>49761</v>
      </c>
      <c r="V1563" s="248">
        <f>_xll.qlCalendarAdvance(Calendar,U1563,NDays&amp;"D")</f>
        <v>49765</v>
      </c>
      <c r="W1563" s="249">
        <v>2.5764702980260807E-2</v>
      </c>
      <c r="X1563" s="246">
        <v>2.5748259710196564E-2</v>
      </c>
    </row>
    <row r="1564" spans="20:24" x14ac:dyDescent="0.2">
      <c r="T1564" s="247" t="str">
        <f t="shared" si="29"/>
        <v>1w</v>
      </c>
      <c r="U1564" s="245">
        <f>_xll.qlCalendarAdvance(Calendar,U1563,T1564,"f",FALSE)</f>
        <v>49768</v>
      </c>
      <c r="V1564" s="248">
        <f>_xll.qlCalendarAdvance(Calendar,U1564,NDays&amp;"D")</f>
        <v>49772</v>
      </c>
      <c r="W1564" s="249">
        <v>2.5754331012142147E-2</v>
      </c>
      <c r="X1564" s="246">
        <v>2.5737981846116753E-2</v>
      </c>
    </row>
    <row r="1565" spans="20:24" x14ac:dyDescent="0.2">
      <c r="T1565" s="247" t="str">
        <f t="shared" si="29"/>
        <v>1w</v>
      </c>
      <c r="U1565" s="245">
        <f>_xll.qlCalendarAdvance(Calendar,U1564,T1565,"f",FALSE)</f>
        <v>49775</v>
      </c>
      <c r="V1565" s="248">
        <f>_xll.qlCalendarAdvance(Calendar,U1565,NDays&amp;"D")</f>
        <v>49781</v>
      </c>
      <c r="W1565" s="249">
        <v>2.5740989282551148E-2</v>
      </c>
      <c r="X1565" s="246">
        <v>2.5724761108971705E-2</v>
      </c>
    </row>
    <row r="1566" spans="20:24" x14ac:dyDescent="0.2">
      <c r="T1566" s="247" t="str">
        <f t="shared" si="29"/>
        <v>1w</v>
      </c>
      <c r="U1566" s="245">
        <f>_xll.qlCalendarAdvance(Calendar,U1565,T1566,"f",FALSE)</f>
        <v>49782</v>
      </c>
      <c r="V1566" s="248">
        <f>_xll.qlCalendarAdvance(Calendar,U1566,NDays&amp;"D")</f>
        <v>49786</v>
      </c>
      <c r="W1566" s="249">
        <v>2.5733574127660159E-2</v>
      </c>
      <c r="X1566" s="246">
        <v>2.5717413172792192E-2</v>
      </c>
    </row>
    <row r="1567" spans="20:24" x14ac:dyDescent="0.2">
      <c r="T1567" s="247" t="str">
        <f t="shared" si="29"/>
        <v>1w</v>
      </c>
      <c r="U1567" s="245">
        <f>_xll.qlCalendarAdvance(Calendar,U1566,T1567,"f",FALSE)</f>
        <v>49789</v>
      </c>
      <c r="V1567" s="248">
        <f>_xll.qlCalendarAdvance(Calendar,U1567,NDays&amp;"D")</f>
        <v>49793</v>
      </c>
      <c r="W1567" s="249">
        <v>2.5723189211363587E-2</v>
      </c>
      <c r="X1567" s="246">
        <v>2.5707122363547441E-2</v>
      </c>
    </row>
    <row r="1568" spans="20:24" x14ac:dyDescent="0.2">
      <c r="T1568" s="247" t="str">
        <f t="shared" si="29"/>
        <v>1w</v>
      </c>
      <c r="U1568" s="245">
        <f>_xll.qlCalendarAdvance(Calendar,U1567,T1568,"f",FALSE)</f>
        <v>49797</v>
      </c>
      <c r="V1568" s="248">
        <f>_xll.qlCalendarAdvance(Calendar,U1568,NDays&amp;"D")</f>
        <v>49801</v>
      </c>
      <c r="W1568" s="249">
        <v>2.5711488619052418E-2</v>
      </c>
      <c r="X1568" s="246">
        <v>2.5695356155059912E-2</v>
      </c>
    </row>
    <row r="1569" spans="20:24" x14ac:dyDescent="0.2">
      <c r="T1569" s="247" t="str">
        <f t="shared" si="29"/>
        <v>1w</v>
      </c>
      <c r="U1569" s="245">
        <f>_xll.qlCalendarAdvance(Calendar,U1568,T1569,"f",FALSE)</f>
        <v>49804</v>
      </c>
      <c r="V1569" s="248">
        <f>_xll.qlCalendarAdvance(Calendar,U1569,NDays&amp;"D")</f>
        <v>49808</v>
      </c>
      <c r="W1569" s="249">
        <v>2.5701093406135873E-2</v>
      </c>
      <c r="X1569" s="246">
        <v>2.568505609937155E-2</v>
      </c>
    </row>
    <row r="1570" spans="20:24" x14ac:dyDescent="0.2">
      <c r="T1570" s="247" t="str">
        <f t="shared" si="29"/>
        <v>1w</v>
      </c>
      <c r="U1570" s="245">
        <f>_xll.qlCalendarAdvance(Calendar,U1569,T1570,"f",FALSE)</f>
        <v>49811</v>
      </c>
      <c r="V1570" s="248">
        <f>_xll.qlCalendarAdvance(Calendar,U1570,NDays&amp;"D")</f>
        <v>49815</v>
      </c>
      <c r="W1570" s="249">
        <v>2.569069387729345E-2</v>
      </c>
      <c r="X1570" s="246">
        <v>2.5674751728574918E-2</v>
      </c>
    </row>
    <row r="1571" spans="20:24" x14ac:dyDescent="0.2">
      <c r="T1571" s="247" t="str">
        <f t="shared" si="29"/>
        <v>1w</v>
      </c>
      <c r="U1571" s="245">
        <f>_xll.qlCalendarAdvance(Calendar,U1570,T1571,"f",FALSE)</f>
        <v>49818</v>
      </c>
      <c r="V1571" s="248">
        <f>_xll.qlCalendarAdvance(Calendar,U1571,NDays&amp;"D")</f>
        <v>49822</v>
      </c>
      <c r="W1571" s="249">
        <v>2.5680290032560775E-2</v>
      </c>
      <c r="X1571" s="246">
        <v>2.5664443042749951E-2</v>
      </c>
    </row>
    <row r="1572" spans="20:24" x14ac:dyDescent="0.2">
      <c r="T1572" s="247" t="str">
        <f t="shared" si="29"/>
        <v>1w</v>
      </c>
      <c r="U1572" s="245">
        <f>_xll.qlCalendarAdvance(Calendar,U1571,T1572,"f",FALSE)</f>
        <v>49825</v>
      </c>
      <c r="V1572" s="248">
        <f>_xll.qlCalendarAdvance(Calendar,U1572,NDays&amp;"D")</f>
        <v>49829</v>
      </c>
      <c r="W1572" s="249">
        <v>2.5669881871972597E-2</v>
      </c>
      <c r="X1572" s="246">
        <v>2.565413004189665E-2</v>
      </c>
    </row>
    <row r="1573" spans="20:24" x14ac:dyDescent="0.2">
      <c r="T1573" s="247" t="str">
        <f t="shared" si="29"/>
        <v>1w</v>
      </c>
      <c r="U1573" s="245">
        <f>_xll.qlCalendarAdvance(Calendar,U1572,T1573,"f",FALSE)</f>
        <v>49832</v>
      </c>
      <c r="V1573" s="248">
        <f>_xll.qlCalendarAdvance(Calendar,U1573,NDays&amp;"D")</f>
        <v>49836</v>
      </c>
      <c r="W1573" s="249">
        <v>2.5659469395561071E-2</v>
      </c>
      <c r="X1573" s="246">
        <v>2.5643812725935078E-2</v>
      </c>
    </row>
    <row r="1574" spans="20:24" x14ac:dyDescent="0.2">
      <c r="T1574" s="247" t="str">
        <f t="shared" si="29"/>
        <v>1w</v>
      </c>
      <c r="U1574" s="245">
        <f>_xll.qlCalendarAdvance(Calendar,U1573,T1574,"f",FALSE)</f>
        <v>49839</v>
      </c>
      <c r="V1574" s="248">
        <f>_xll.qlCalendarAdvance(Calendar,U1574,NDays&amp;"D")</f>
        <v>49843</v>
      </c>
      <c r="W1574" s="249">
        <v>2.5649052603363556E-2</v>
      </c>
      <c r="X1574" s="246">
        <v>2.5633491095105043E-2</v>
      </c>
    </row>
    <row r="1575" spans="20:24" x14ac:dyDescent="0.2">
      <c r="T1575" s="247" t="str">
        <f t="shared" si="29"/>
        <v>1w</v>
      </c>
      <c r="U1575" s="245">
        <f>_xll.qlCalendarAdvance(Calendar,U1574,T1575,"f",FALSE)</f>
        <v>49846</v>
      </c>
      <c r="V1575" s="248">
        <f>_xll.qlCalendarAdvance(Calendar,U1575,NDays&amp;"D")</f>
        <v>49850</v>
      </c>
      <c r="W1575" s="249">
        <v>2.5638631495412196E-2</v>
      </c>
      <c r="X1575" s="246">
        <v>2.5623165149006866E-2</v>
      </c>
    </row>
    <row r="1576" spans="20:24" x14ac:dyDescent="0.2">
      <c r="T1576" s="247" t="str">
        <f t="shared" si="29"/>
        <v>1w</v>
      </c>
      <c r="U1576" s="245">
        <f>_xll.qlCalendarAdvance(Calendar,U1575,T1576,"f",FALSE)</f>
        <v>49853</v>
      </c>
      <c r="V1576" s="248">
        <f>_xll.qlCalendarAdvance(Calendar,U1576,NDays&amp;"D")</f>
        <v>49857</v>
      </c>
      <c r="W1576" s="249">
        <v>2.5628206071741752E-2</v>
      </c>
      <c r="X1576" s="246">
        <v>2.5612834888040226E-2</v>
      </c>
    </row>
    <row r="1577" spans="20:24" x14ac:dyDescent="0.2">
      <c r="T1577" s="247" t="str">
        <f t="shared" si="29"/>
        <v>1w</v>
      </c>
      <c r="U1577" s="245">
        <f>_xll.qlCalendarAdvance(Calendar,U1576,T1577,"f",FALSE)</f>
        <v>49860</v>
      </c>
      <c r="V1577" s="248">
        <f>_xll.qlCalendarAdvance(Calendar,U1577,NDays&amp;"D")</f>
        <v>49864</v>
      </c>
      <c r="W1577" s="249">
        <v>2.5617776332387848E-2</v>
      </c>
      <c r="X1577" s="246">
        <v>2.5602500311965315E-2</v>
      </c>
    </row>
    <row r="1578" spans="20:24" x14ac:dyDescent="0.2">
      <c r="T1578" s="247" t="str">
        <f t="shared" si="29"/>
        <v>1w</v>
      </c>
      <c r="U1578" s="245">
        <f>_xll.qlCalendarAdvance(Calendar,U1577,T1578,"f",FALSE)</f>
        <v>49867</v>
      </c>
      <c r="V1578" s="248">
        <f>_xll.qlCalendarAdvance(Calendar,U1578,NDays&amp;"D")</f>
        <v>49871</v>
      </c>
      <c r="W1578" s="249">
        <v>2.5607342277382626E-2</v>
      </c>
      <c r="X1578" s="246">
        <v>2.559216142086207E-2</v>
      </c>
    </row>
    <row r="1579" spans="20:24" x14ac:dyDescent="0.2">
      <c r="T1579" s="247" t="str">
        <f t="shared" si="29"/>
        <v>1w</v>
      </c>
      <c r="U1579" s="245">
        <f>_xll.qlCalendarAdvance(Calendar,U1578,T1579,"f",FALSE)</f>
        <v>49874</v>
      </c>
      <c r="V1579" s="248">
        <f>_xll.qlCalendarAdvance(Calendar,U1579,NDays&amp;"D")</f>
        <v>49878</v>
      </c>
      <c r="W1579" s="249">
        <v>2.559690390676345E-2</v>
      </c>
      <c r="X1579" s="246">
        <v>2.558181821473049E-2</v>
      </c>
    </row>
    <row r="1580" spans="20:24" x14ac:dyDescent="0.2">
      <c r="T1580" s="247" t="str">
        <f t="shared" si="29"/>
        <v>1w</v>
      </c>
      <c r="U1580" s="245">
        <f>_xll.qlCalendarAdvance(Calendar,U1579,T1580,"f",FALSE)</f>
        <v>49881</v>
      </c>
      <c r="V1580" s="248">
        <f>_xll.qlCalendarAdvance(Calendar,U1580,NDays&amp;"D")</f>
        <v>49885</v>
      </c>
      <c r="W1580" s="249">
        <v>2.5586461220561602E-2</v>
      </c>
      <c r="X1580" s="246">
        <v>2.5571470693410703E-2</v>
      </c>
    </row>
    <row r="1581" spans="20:24" x14ac:dyDescent="0.2">
      <c r="T1581" s="247" t="str">
        <f t="shared" si="29"/>
        <v>1w</v>
      </c>
      <c r="U1581" s="245">
        <f>_xll.qlCalendarAdvance(Calendar,U1580,T1581,"f",FALSE)</f>
        <v>49888</v>
      </c>
      <c r="V1581" s="248">
        <f>_xll.qlCalendarAdvance(Calendar,U1581,NDays&amp;"D")</f>
        <v>49892</v>
      </c>
      <c r="W1581" s="249">
        <v>2.5576014218815311E-2</v>
      </c>
      <c r="X1581" s="246">
        <v>2.5561118857222453E-2</v>
      </c>
    </row>
    <row r="1582" spans="20:24" x14ac:dyDescent="0.2">
      <c r="T1582" s="247" t="str">
        <f t="shared" si="29"/>
        <v>1w</v>
      </c>
      <c r="U1582" s="245">
        <f>_xll.qlCalendarAdvance(Calendar,U1581,T1582,"f",FALSE)</f>
        <v>49895</v>
      </c>
      <c r="V1582" s="248">
        <f>_xll.qlCalendarAdvance(Calendar,U1582,NDays&amp;"D")</f>
        <v>49899</v>
      </c>
      <c r="W1582" s="249">
        <v>2.5565562901556722E-2</v>
      </c>
      <c r="X1582" s="246">
        <v>2.555076270600587E-2</v>
      </c>
    </row>
    <row r="1583" spans="20:24" x14ac:dyDescent="0.2">
      <c r="T1583" s="247" t="str">
        <f t="shared" si="29"/>
        <v>1w</v>
      </c>
      <c r="U1583" s="245">
        <f>_xll.qlCalendarAdvance(Calendar,U1582,T1583,"f",FALSE)</f>
        <v>49902</v>
      </c>
      <c r="V1583" s="248">
        <f>_xll.qlCalendarAdvance(Calendar,U1583,NDays&amp;"D")</f>
        <v>49906</v>
      </c>
      <c r="W1583" s="249">
        <v>2.5555107268817989E-2</v>
      </c>
      <c r="X1583" s="246">
        <v>2.5540402239681015E-2</v>
      </c>
    </row>
    <row r="1584" spans="20:24" x14ac:dyDescent="0.2">
      <c r="T1584" s="247" t="str">
        <f t="shared" si="29"/>
        <v>1w</v>
      </c>
      <c r="U1584" s="245">
        <f>_xll.qlCalendarAdvance(Calendar,U1583,T1584,"f",FALSE)</f>
        <v>49909</v>
      </c>
      <c r="V1584" s="248">
        <f>_xll.qlCalendarAdvance(Calendar,U1584,NDays&amp;"D")</f>
        <v>49913</v>
      </c>
      <c r="W1584" s="249">
        <v>2.5544647320639075E-2</v>
      </c>
      <c r="X1584" s="246">
        <v>2.5530037458327826E-2</v>
      </c>
    </row>
    <row r="1585" spans="20:24" x14ac:dyDescent="0.2">
      <c r="T1585" s="247" t="str">
        <f t="shared" si="29"/>
        <v>1w</v>
      </c>
      <c r="U1585" s="245">
        <f>_xll.qlCalendarAdvance(Calendar,U1584,T1585,"f",FALSE)</f>
        <v>49916</v>
      </c>
      <c r="V1585" s="248">
        <f>_xll.qlCalendarAdvance(Calendar,U1585,NDays&amp;"D")</f>
        <v>49920</v>
      </c>
      <c r="W1585" s="249">
        <v>2.5534027707184433E-2</v>
      </c>
      <c r="X1585" s="246">
        <v>2.5519668362026238E-2</v>
      </c>
    </row>
    <row r="1586" spans="20:24" x14ac:dyDescent="0.2">
      <c r="T1586" s="247" t="str">
        <f t="shared" si="29"/>
        <v>1w</v>
      </c>
      <c r="U1586" s="245">
        <f>_xll.qlCalendarAdvance(Calendar,U1585,T1586,"f",FALSE)</f>
        <v>49923</v>
      </c>
      <c r="V1586" s="248">
        <f>_xll.qlCalendarAdvance(Calendar,U1586,NDays&amp;"D")</f>
        <v>49927</v>
      </c>
      <c r="W1586" s="249">
        <v>2.5523560176388883E-2</v>
      </c>
      <c r="X1586" s="246">
        <v>2.5509294950536443E-2</v>
      </c>
    </row>
    <row r="1587" spans="20:24" x14ac:dyDescent="0.2">
      <c r="T1587" s="247" t="str">
        <f t="shared" si="29"/>
        <v>1w</v>
      </c>
      <c r="U1587" s="245">
        <f>_xll.qlCalendarAdvance(Calendar,U1586,T1587,"f",FALSE)</f>
        <v>49930</v>
      </c>
      <c r="V1587" s="248">
        <f>_xll.qlCalendarAdvance(Calendar,U1587,NDays&amp;"D")</f>
        <v>49934</v>
      </c>
      <c r="W1587" s="249">
        <v>2.5513088330253161E-2</v>
      </c>
      <c r="X1587" s="246">
        <v>2.549891722409825E-2</v>
      </c>
    </row>
    <row r="1588" spans="20:24" x14ac:dyDescent="0.2">
      <c r="T1588" s="247" t="str">
        <f t="shared" si="29"/>
        <v>1w</v>
      </c>
      <c r="U1588" s="245">
        <f>_xll.qlCalendarAdvance(Calendar,U1587,T1588,"f",FALSE)</f>
        <v>49937</v>
      </c>
      <c r="V1588" s="248">
        <f>_xll.qlCalendarAdvance(Calendar,U1588,NDays&amp;"D")</f>
        <v>49941</v>
      </c>
      <c r="W1588" s="249">
        <v>2.550261216881328E-2</v>
      </c>
      <c r="X1588" s="246">
        <v>2.5488535182631722E-2</v>
      </c>
    </row>
    <row r="1589" spans="20:24" x14ac:dyDescent="0.2">
      <c r="T1589" s="247" t="str">
        <f t="shared" si="29"/>
        <v>1w</v>
      </c>
      <c r="U1589" s="245">
        <f>_xll.qlCalendarAdvance(Calendar,U1588,T1589,"f",FALSE)</f>
        <v>49944</v>
      </c>
      <c r="V1589" s="248">
        <f>_xll.qlCalendarAdvance(Calendar,U1589,NDays&amp;"D")</f>
        <v>49948</v>
      </c>
      <c r="W1589" s="249">
        <v>2.5492282849302633E-2</v>
      </c>
      <c r="X1589" s="246">
        <v>2.5478148826056923E-2</v>
      </c>
    </row>
    <row r="1590" spans="20:24" x14ac:dyDescent="0.2">
      <c r="T1590" s="247" t="str">
        <f t="shared" si="29"/>
        <v>1w</v>
      </c>
      <c r="U1590" s="245">
        <f>_xll.qlCalendarAdvance(Calendar,U1589,T1590,"f",FALSE)</f>
        <v>49951</v>
      </c>
      <c r="V1590" s="248">
        <f>_xll.qlCalendarAdvance(Calendar,U1590,NDays&amp;"D")</f>
        <v>49955</v>
      </c>
      <c r="W1590" s="249">
        <v>2.5481797009189903E-2</v>
      </c>
      <c r="X1590" s="246">
        <v>2.546775815445379E-2</v>
      </c>
    </row>
    <row r="1591" spans="20:24" x14ac:dyDescent="0.2">
      <c r="T1591" s="247" t="str">
        <f t="shared" si="29"/>
        <v>1w</v>
      </c>
      <c r="U1591" s="245">
        <f>_xll.qlCalendarAdvance(Calendar,U1590,T1591,"f",FALSE)</f>
        <v>49958</v>
      </c>
      <c r="V1591" s="248">
        <f>_xll.qlCalendarAdvance(Calendar,U1591,NDays&amp;"D")</f>
        <v>49962</v>
      </c>
      <c r="W1591" s="249">
        <v>2.5471306853875934E-2</v>
      </c>
      <c r="X1591" s="246">
        <v>2.5457363167902258E-2</v>
      </c>
    </row>
    <row r="1592" spans="20:24" x14ac:dyDescent="0.2">
      <c r="T1592" s="247" t="str">
        <f t="shared" si="29"/>
        <v>1w</v>
      </c>
      <c r="U1592" s="245">
        <f>_xll.qlCalendarAdvance(Calendar,U1591,T1592,"f",FALSE)</f>
        <v>49965</v>
      </c>
      <c r="V1592" s="248">
        <f>_xll.qlCalendarAdvance(Calendar,U1592,NDays&amp;"D")</f>
        <v>49969</v>
      </c>
      <c r="W1592" s="249">
        <v>2.546081238339722E-2</v>
      </c>
      <c r="X1592" s="246">
        <v>2.5446963866242456E-2</v>
      </c>
    </row>
    <row r="1593" spans="20:24" x14ac:dyDescent="0.2">
      <c r="T1593" s="247" t="str">
        <f t="shared" si="29"/>
        <v>1w</v>
      </c>
      <c r="U1593" s="245">
        <f>_xll.qlCalendarAdvance(Calendar,U1592,T1593,"f",FALSE)</f>
        <v>49972</v>
      </c>
      <c r="V1593" s="248">
        <f>_xll.qlCalendarAdvance(Calendar,U1593,NDays&amp;"D")</f>
        <v>49976</v>
      </c>
      <c r="W1593" s="249">
        <v>2.5450313597785906E-2</v>
      </c>
      <c r="X1593" s="246">
        <v>2.5436560249634255E-2</v>
      </c>
    </row>
    <row r="1594" spans="20:24" x14ac:dyDescent="0.2">
      <c r="T1594" s="247" t="str">
        <f t="shared" si="29"/>
        <v>1w</v>
      </c>
      <c r="U1594" s="245">
        <f>_xll.qlCalendarAdvance(Calendar,U1593,T1594,"f",FALSE)</f>
        <v>49979</v>
      </c>
      <c r="V1594" s="248">
        <f>_xll.qlCalendarAdvance(Calendar,U1594,NDays&amp;"D")</f>
        <v>49983</v>
      </c>
      <c r="W1594" s="249">
        <v>2.5439810497076748E-2</v>
      </c>
      <c r="X1594" s="246">
        <v>2.5426152317917783E-2</v>
      </c>
    </row>
    <row r="1595" spans="20:24" x14ac:dyDescent="0.2">
      <c r="T1595" s="247" t="str">
        <f t="shared" si="29"/>
        <v>1w</v>
      </c>
      <c r="U1595" s="245">
        <f>_xll.qlCalendarAdvance(Calendar,U1594,T1595,"f",FALSE)</f>
        <v>49986</v>
      </c>
      <c r="V1595" s="248">
        <f>_xll.qlCalendarAdvance(Calendar,U1595,NDays&amp;"D")</f>
        <v>49990</v>
      </c>
      <c r="W1595" s="249">
        <v>2.542930308130624E-2</v>
      </c>
      <c r="X1595" s="246">
        <v>2.5415740071252912E-2</v>
      </c>
    </row>
    <row r="1596" spans="20:24" x14ac:dyDescent="0.2">
      <c r="T1596" s="247" t="str">
        <f t="shared" si="29"/>
        <v>1w</v>
      </c>
      <c r="U1596" s="245">
        <f>_xll.qlCalendarAdvance(Calendar,U1595,T1596,"f",FALSE)</f>
        <v>49993</v>
      </c>
      <c r="V1596" s="248">
        <f>_xll.qlCalendarAdvance(Calendar,U1596,NDays&amp;"D")</f>
        <v>49997</v>
      </c>
      <c r="W1596" s="249">
        <v>2.5418791350506526E-2</v>
      </c>
      <c r="X1596" s="246">
        <v>2.5405323509319899E-2</v>
      </c>
    </row>
    <row r="1597" spans="20:24" x14ac:dyDescent="0.2">
      <c r="T1597" s="247" t="str">
        <f t="shared" si="29"/>
        <v>1w</v>
      </c>
      <c r="U1597" s="245">
        <f>_xll.qlCalendarAdvance(Calendar,U1596,T1597,"f",FALSE)</f>
        <v>50000</v>
      </c>
      <c r="V1597" s="248">
        <f>_xll.qlCalendarAdvance(Calendar,U1597,NDays&amp;"D")</f>
        <v>50004</v>
      </c>
      <c r="W1597" s="249">
        <v>2.540827530471497E-2</v>
      </c>
      <c r="X1597" s="246">
        <v>2.539490263259836E-2</v>
      </c>
    </row>
    <row r="1598" spans="20:24" x14ac:dyDescent="0.2">
      <c r="T1598" s="247" t="str">
        <f t="shared" si="29"/>
        <v>1w</v>
      </c>
      <c r="U1598" s="245">
        <f>_xll.qlCalendarAdvance(Calendar,U1597,T1598,"f",FALSE)</f>
        <v>50007</v>
      </c>
      <c r="V1598" s="248">
        <f>_xll.qlCalendarAdvance(Calendar,U1598,NDays&amp;"D")</f>
        <v>50011</v>
      </c>
      <c r="W1598" s="249">
        <v>2.5397471403083571E-2</v>
      </c>
      <c r="X1598" s="246">
        <v>2.5384477440688613E-2</v>
      </c>
    </row>
    <row r="1599" spans="20:24" x14ac:dyDescent="0.2">
      <c r="T1599" s="247" t="str">
        <f t="shared" si="29"/>
        <v>1w</v>
      </c>
      <c r="U1599" s="245">
        <f>_xll.qlCalendarAdvance(Calendar,U1598,T1599,"f",FALSE)</f>
        <v>50014</v>
      </c>
      <c r="V1599" s="248">
        <f>_xll.qlCalendarAdvance(Calendar,U1599,NDays&amp;"D")</f>
        <v>50018</v>
      </c>
      <c r="W1599" s="249">
        <v>2.538694882363135E-2</v>
      </c>
      <c r="X1599" s="246">
        <v>2.5374047933910404E-2</v>
      </c>
    </row>
    <row r="1600" spans="20:24" x14ac:dyDescent="0.2">
      <c r="T1600" s="247" t="str">
        <f t="shared" si="29"/>
        <v>1w</v>
      </c>
      <c r="U1600" s="245">
        <f>_xll.qlCalendarAdvance(Calendar,U1599,T1600,"f",FALSE)</f>
        <v>50021</v>
      </c>
      <c r="V1600" s="248">
        <f>_xll.qlCalendarAdvance(Calendar,U1600,NDays&amp;"D")</f>
        <v>50025</v>
      </c>
      <c r="W1600" s="249">
        <v>2.5376421929281356E-2</v>
      </c>
      <c r="X1600" s="246">
        <v>2.5363614112023924E-2</v>
      </c>
    </row>
    <row r="1601" spans="20:24" x14ac:dyDescent="0.2">
      <c r="T1601" s="247" t="str">
        <f t="shared" si="29"/>
        <v>1w</v>
      </c>
      <c r="U1601" s="245">
        <f>_xll.qlCalendarAdvance(Calendar,U1600,T1601,"f",FALSE)</f>
        <v>50028</v>
      </c>
      <c r="V1601" s="248">
        <f>_xll.qlCalendarAdvance(Calendar,U1601,NDays&amp;"D")</f>
        <v>50032</v>
      </c>
      <c r="W1601" s="249">
        <v>2.5365890720065565E-2</v>
      </c>
      <c r="X1601" s="246">
        <v>2.5353175975029174E-2</v>
      </c>
    </row>
    <row r="1602" spans="20:24" x14ac:dyDescent="0.2">
      <c r="T1602" s="247" t="str">
        <f t="shared" si="29"/>
        <v>1w</v>
      </c>
      <c r="U1602" s="245">
        <f>_xll.qlCalendarAdvance(Calendar,U1601,T1602,"f",FALSE)</f>
        <v>50038</v>
      </c>
      <c r="V1602" s="248">
        <f>_xll.qlCalendarAdvance(Calendar,U1602,NDays&amp;"D")</f>
        <v>50040</v>
      </c>
      <c r="W1602" s="249">
        <v>2.5353849768927184E-2</v>
      </c>
      <c r="X1602" s="246">
        <v>2.5341387144517391E-2</v>
      </c>
    </row>
    <row r="1603" spans="20:24" x14ac:dyDescent="0.2">
      <c r="T1603" s="247" t="str">
        <f t="shared" si="29"/>
        <v>1w</v>
      </c>
      <c r="U1603" s="245">
        <f>_xll.qlCalendarAdvance(Calendar,U1602,T1603,"f",FALSE)</f>
        <v>50045</v>
      </c>
      <c r="V1603" s="248">
        <f>_xll.qlCalendarAdvance(Calendar,U1603,NDays&amp;"D")</f>
        <v>50047</v>
      </c>
      <c r="W1603" s="249">
        <v>2.5343309313687001E-2</v>
      </c>
      <c r="X1603" s="246">
        <v>2.5330794008588953E-2</v>
      </c>
    </row>
    <row r="1604" spans="20:24" x14ac:dyDescent="0.2">
      <c r="T1604" s="247" t="str">
        <f t="shared" si="29"/>
        <v>1w</v>
      </c>
      <c r="U1604" s="245">
        <f>_xll.qlCalendarAdvance(Calendar,U1603,T1604,"f",FALSE)</f>
        <v>50052</v>
      </c>
      <c r="V1604" s="248">
        <f>_xll.qlCalendarAdvance(Calendar,U1604,NDays&amp;"D")</f>
        <v>50054</v>
      </c>
      <c r="W1604" s="249">
        <v>2.5332764543690267E-2</v>
      </c>
      <c r="X1604" s="246">
        <v>2.5320342310202193E-2</v>
      </c>
    </row>
    <row r="1605" spans="20:24" x14ac:dyDescent="0.2">
      <c r="T1605" s="247" t="str">
        <f t="shared" si="29"/>
        <v>1w</v>
      </c>
      <c r="U1605" s="245">
        <f>_xll.qlCalendarAdvance(Calendar,U1604,T1605,"f",FALSE)</f>
        <v>50059</v>
      </c>
      <c r="V1605" s="248">
        <f>_xll.qlCalendarAdvance(Calendar,U1605,NDays&amp;"D")</f>
        <v>50061</v>
      </c>
      <c r="W1605" s="249">
        <v>2.5322215458968067E-2</v>
      </c>
      <c r="X1605" s="246">
        <v>2.5309886296627226E-2</v>
      </c>
    </row>
    <row r="1606" spans="20:24" x14ac:dyDescent="0.2">
      <c r="T1606" s="247" t="str">
        <f t="shared" si="29"/>
        <v>1w</v>
      </c>
      <c r="U1606" s="245">
        <f>_xll.qlCalendarAdvance(Calendar,U1605,T1606,"f",FALSE)</f>
        <v>50066</v>
      </c>
      <c r="V1606" s="248">
        <f>_xll.qlCalendarAdvance(Calendar,U1606,NDays&amp;"D")</f>
        <v>50068</v>
      </c>
      <c r="W1606" s="249">
        <v>2.5311662059558593E-2</v>
      </c>
      <c r="X1606" s="246">
        <v>2.5299425968023925E-2</v>
      </c>
    </row>
    <row r="1607" spans="20:24" x14ac:dyDescent="0.2">
      <c r="T1607" s="247" t="str">
        <f t="shared" si="29"/>
        <v>1w</v>
      </c>
      <c r="U1607" s="245">
        <f>_xll.qlCalendarAdvance(Calendar,U1606,T1607,"f",FALSE)</f>
        <v>50073</v>
      </c>
      <c r="V1607" s="248">
        <f>_xll.qlCalendarAdvance(Calendar,U1607,NDays&amp;"D")</f>
        <v>50075</v>
      </c>
      <c r="W1607" s="249">
        <v>2.5300972016977504E-2</v>
      </c>
      <c r="X1607" s="246">
        <v>2.5288961324472226E-2</v>
      </c>
    </row>
    <row r="1608" spans="20:24" x14ac:dyDescent="0.2">
      <c r="T1608" s="247" t="str">
        <f t="shared" si="29"/>
        <v>1w</v>
      </c>
      <c r="U1608" s="245">
        <f>_xll.qlCalendarAdvance(Calendar,U1607,T1608,"f",FALSE)</f>
        <v>50080</v>
      </c>
      <c r="V1608" s="248">
        <f>_xll.qlCalendarAdvance(Calendar,U1608,NDays&amp;"D")</f>
        <v>50082</v>
      </c>
      <c r="W1608" s="249">
        <v>2.5290411036265531E-2</v>
      </c>
      <c r="X1608" s="246">
        <v>2.5278492365972127E-2</v>
      </c>
    </row>
    <row r="1609" spans="20:24" x14ac:dyDescent="0.2">
      <c r="T1609" s="247" t="str">
        <f t="shared" si="29"/>
        <v>1w</v>
      </c>
      <c r="U1609" s="245">
        <f>_xll.qlCalendarAdvance(Calendar,U1608,T1609,"f",FALSE)</f>
        <v>50087</v>
      </c>
      <c r="V1609" s="248">
        <f>_xll.qlCalendarAdvance(Calendar,U1609,NDays&amp;"D")</f>
        <v>50089</v>
      </c>
      <c r="W1609" s="249">
        <v>2.5279845740958137E-2</v>
      </c>
      <c r="X1609" s="246">
        <v>2.5268019092363758E-2</v>
      </c>
    </row>
    <row r="1610" spans="20:24" x14ac:dyDescent="0.2">
      <c r="T1610" s="247" t="str">
        <f t="shared" si="29"/>
        <v>1w</v>
      </c>
      <c r="U1610" s="245">
        <f>_xll.qlCalendarAdvance(Calendar,U1609,T1610,"f",FALSE)</f>
        <v>50094</v>
      </c>
      <c r="V1610" s="248">
        <f>_xll.qlCalendarAdvance(Calendar,U1610,NDays&amp;"D")</f>
        <v>50096</v>
      </c>
      <c r="W1610" s="249">
        <v>2.5269276131087655E-2</v>
      </c>
      <c r="X1610" s="246">
        <v>2.5257541503727055E-2</v>
      </c>
    </row>
    <row r="1611" spans="20:24" x14ac:dyDescent="0.2">
      <c r="T1611" s="247" t="str">
        <f t="shared" si="29"/>
        <v>1w</v>
      </c>
      <c r="U1611" s="245">
        <f>_xll.qlCalendarAdvance(Calendar,U1610,T1611,"f",FALSE)</f>
        <v>50101</v>
      </c>
      <c r="V1611" s="248">
        <f>_xll.qlCalendarAdvance(Calendar,U1611,NDays&amp;"D")</f>
        <v>50103</v>
      </c>
      <c r="W1611" s="249">
        <v>2.5259086334904819E-2</v>
      </c>
      <c r="X1611" s="246">
        <v>2.5247059600062016E-2</v>
      </c>
    </row>
    <row r="1612" spans="20:24" x14ac:dyDescent="0.2">
      <c r="T1612" s="247" t="str">
        <f t="shared" si="29"/>
        <v>1w</v>
      </c>
      <c r="U1612" s="245">
        <f>_xll.qlCalendarAdvance(Calendar,U1611,T1612,"f",FALSE)</f>
        <v>50108</v>
      </c>
      <c r="V1612" s="248">
        <f>_xll.qlCalendarAdvance(Calendar,U1612,NDays&amp;"D")</f>
        <v>50110</v>
      </c>
      <c r="W1612" s="249">
        <v>2.5248504952040122E-2</v>
      </c>
      <c r="X1612" s="246">
        <v>2.5236573381288707E-2</v>
      </c>
    </row>
    <row r="1613" spans="20:24" x14ac:dyDescent="0.2">
      <c r="T1613" s="247" t="str">
        <f t="shared" si="29"/>
        <v>1w</v>
      </c>
      <c r="U1613" s="245">
        <f>_xll.qlCalendarAdvance(Calendar,U1612,T1613,"f",FALSE)</f>
        <v>50115</v>
      </c>
      <c r="V1613" s="248">
        <f>_xll.qlCalendarAdvance(Calendar,U1613,NDays&amp;"D")</f>
        <v>50117</v>
      </c>
      <c r="W1613" s="249">
        <v>2.5237919254746607E-2</v>
      </c>
      <c r="X1613" s="246">
        <v>2.5226082847646936E-2</v>
      </c>
    </row>
    <row r="1614" spans="20:24" x14ac:dyDescent="0.2">
      <c r="T1614" s="247" t="str">
        <f t="shared" si="29"/>
        <v>1w</v>
      </c>
      <c r="U1614" s="245">
        <f>_xll.qlCalendarAdvance(Calendar,U1613,T1614,"f",FALSE)</f>
        <v>50122</v>
      </c>
      <c r="V1614" s="248">
        <f>_xll.qlCalendarAdvance(Calendar,U1614,NDays&amp;"D")</f>
        <v>50124</v>
      </c>
      <c r="W1614" s="249">
        <v>2.5227329243055558E-2</v>
      </c>
      <c r="X1614" s="246">
        <v>2.5215587998896893E-2</v>
      </c>
    </row>
    <row r="1615" spans="20:24" x14ac:dyDescent="0.2">
      <c r="T1615" s="247" t="str">
        <f t="shared" si="29"/>
        <v>1w</v>
      </c>
      <c r="U1615" s="245">
        <f>_xll.qlCalendarAdvance(Calendar,U1614,T1615,"f",FALSE)</f>
        <v>50129</v>
      </c>
      <c r="V1615" s="248">
        <f>_xll.qlCalendarAdvance(Calendar,U1615,NDays&amp;"D")</f>
        <v>50131</v>
      </c>
      <c r="W1615" s="249">
        <v>2.5216611160296016E-2</v>
      </c>
      <c r="X1615" s="246">
        <v>2.5205088835118516E-2</v>
      </c>
    </row>
    <row r="1616" spans="20:24" x14ac:dyDescent="0.2">
      <c r="T1616" s="247" t="str">
        <f t="shared" si="29"/>
        <v>1w</v>
      </c>
      <c r="U1616" s="245">
        <f>_xll.qlCalendarAdvance(Calendar,U1615,T1616,"f",FALSE)</f>
        <v>50137</v>
      </c>
      <c r="V1616" s="248">
        <f>_xll.qlCalendarAdvance(Calendar,U1616,NDays&amp;"D")</f>
        <v>50139</v>
      </c>
      <c r="W1616" s="249">
        <v>2.5204499273959943E-2</v>
      </c>
      <c r="X1616" s="246">
        <v>2.5193084507106889E-2</v>
      </c>
    </row>
    <row r="1617" spans="20:24" x14ac:dyDescent="0.2">
      <c r="T1617" s="247" t="str">
        <f t="shared" si="29"/>
        <v>1w</v>
      </c>
      <c r="U1617" s="245">
        <f>_xll.qlCalendarAdvance(Calendar,U1616,T1617,"f",FALSE)</f>
        <v>50144</v>
      </c>
      <c r="V1617" s="248">
        <f>_xll.qlCalendarAdvance(Calendar,U1617,NDays&amp;"D")</f>
        <v>50146</v>
      </c>
      <c r="W1617" s="249">
        <v>2.51938967509527E-2</v>
      </c>
      <c r="X1617" s="246">
        <v>2.5182576096884901E-2</v>
      </c>
    </row>
    <row r="1618" spans="20:24" x14ac:dyDescent="0.2">
      <c r="T1618" s="247" t="str">
        <f t="shared" ref="T1618:T1681" si="30">T1617</f>
        <v>1w</v>
      </c>
      <c r="U1618" s="245">
        <f>_xll.qlCalendarAdvance(Calendar,U1617,T1618,"f",FALSE)</f>
        <v>50151</v>
      </c>
      <c r="V1618" s="248">
        <f>_xll.qlCalendarAdvance(Calendar,U1618,NDays&amp;"D")</f>
        <v>50153</v>
      </c>
      <c r="W1618" s="249">
        <v>2.5183289913681343E-2</v>
      </c>
      <c r="X1618" s="246">
        <v>2.5172063371554643E-2</v>
      </c>
    </row>
    <row r="1619" spans="20:24" x14ac:dyDescent="0.2">
      <c r="T1619" s="247" t="str">
        <f t="shared" si="30"/>
        <v>1w</v>
      </c>
      <c r="U1619" s="245">
        <f>_xll.qlCalendarAdvance(Calendar,U1618,T1619,"f",FALSE)</f>
        <v>50158</v>
      </c>
      <c r="V1619" s="248">
        <f>_xll.qlCalendarAdvance(Calendar,U1619,NDays&amp;"D")</f>
        <v>50160</v>
      </c>
      <c r="W1619" s="249">
        <v>2.5172798177257885E-2</v>
      </c>
      <c r="X1619" s="246">
        <v>2.5161929644457182E-2</v>
      </c>
    </row>
    <row r="1620" spans="20:24" x14ac:dyDescent="0.2">
      <c r="T1620" s="247" t="str">
        <f t="shared" si="30"/>
        <v>1w</v>
      </c>
      <c r="U1620" s="245">
        <f>_xll.qlCalendarAdvance(Calendar,U1619,T1620,"f",FALSE)</f>
        <v>50165</v>
      </c>
      <c r="V1620" s="248">
        <f>_xll.qlCalendarAdvance(Calendar,U1620,NDays&amp;"D")</f>
        <v>50167</v>
      </c>
      <c r="W1620" s="249">
        <v>2.5162181663617507E-2</v>
      </c>
      <c r="X1620" s="246">
        <v>2.5151024975889058E-2</v>
      </c>
    </row>
    <row r="1621" spans="20:24" x14ac:dyDescent="0.2">
      <c r="T1621" s="247" t="str">
        <f t="shared" si="30"/>
        <v>1w</v>
      </c>
      <c r="U1621" s="245">
        <f>_xll.qlCalendarAdvance(Calendar,U1620,T1621,"f",FALSE)</f>
        <v>50172</v>
      </c>
      <c r="V1621" s="248">
        <f>_xll.qlCalendarAdvance(Calendar,U1621,NDays&amp;"D")</f>
        <v>50174</v>
      </c>
      <c r="W1621" s="249">
        <v>2.5151560835830696E-2</v>
      </c>
      <c r="X1621" s="246">
        <v>2.5140499305553732E-2</v>
      </c>
    </row>
    <row r="1622" spans="20:24" x14ac:dyDescent="0.2">
      <c r="T1622" s="247" t="str">
        <f t="shared" si="30"/>
        <v>1w</v>
      </c>
      <c r="U1622" s="245">
        <f>_xll.qlCalendarAdvance(Calendar,U1621,T1622,"f",FALSE)</f>
        <v>50179</v>
      </c>
      <c r="V1622" s="248">
        <f>_xll.qlCalendarAdvance(Calendar,U1622,NDays&amp;"D")</f>
        <v>50181</v>
      </c>
      <c r="W1622" s="249">
        <v>2.5140935693931343E-2</v>
      </c>
      <c r="X1622" s="246">
        <v>2.5129969320190071E-2</v>
      </c>
    </row>
    <row r="1623" spans="20:24" x14ac:dyDescent="0.2">
      <c r="T1623" s="247" t="str">
        <f t="shared" si="30"/>
        <v>1w</v>
      </c>
      <c r="U1623" s="245">
        <f>_xll.qlCalendarAdvance(Calendar,U1622,T1623,"f",FALSE)</f>
        <v>50186</v>
      </c>
      <c r="V1623" s="248">
        <f>_xll.qlCalendarAdvance(Calendar,U1623,NDays&amp;"D")</f>
        <v>50188</v>
      </c>
      <c r="W1623" s="249">
        <v>2.513030623795854E-2</v>
      </c>
      <c r="X1623" s="246">
        <v>2.5119435019798075E-2</v>
      </c>
    </row>
    <row r="1624" spans="20:24" x14ac:dyDescent="0.2">
      <c r="T1624" s="247" t="str">
        <f t="shared" si="30"/>
        <v>1w</v>
      </c>
      <c r="U1624" s="245">
        <f>_xll.qlCalendarAdvance(Calendar,U1623,T1624,"f",FALSE)</f>
        <v>50193</v>
      </c>
      <c r="V1624" s="248">
        <f>_xll.qlCalendarAdvance(Calendar,U1624,NDays&amp;"D")</f>
        <v>50195</v>
      </c>
      <c r="W1624" s="249">
        <v>2.5119672467942701E-2</v>
      </c>
      <c r="X1624" s="246">
        <v>2.5108896404377745E-2</v>
      </c>
    </row>
    <row r="1625" spans="20:24" x14ac:dyDescent="0.2">
      <c r="T1625" s="247" t="str">
        <f t="shared" si="30"/>
        <v>1w</v>
      </c>
      <c r="U1625" s="245">
        <f>_xll.qlCalendarAdvance(Calendar,U1624,T1625,"f",FALSE)</f>
        <v>50200</v>
      </c>
      <c r="V1625" s="248">
        <f>_xll.qlCalendarAdvance(Calendar,U1625,NDays&amp;"D")</f>
        <v>50202</v>
      </c>
      <c r="W1625" s="249">
        <v>2.5109034383923798E-2</v>
      </c>
      <c r="X1625" s="246">
        <v>2.5098353474009016E-2</v>
      </c>
    </row>
    <row r="1626" spans="20:24" x14ac:dyDescent="0.2">
      <c r="T1626" s="247" t="str">
        <f t="shared" si="30"/>
        <v>1w</v>
      </c>
      <c r="U1626" s="245">
        <f>_xll.qlCalendarAdvance(Calendar,U1625,T1626,"f",FALSE)</f>
        <v>50207</v>
      </c>
      <c r="V1626" s="248">
        <f>_xll.qlCalendarAdvance(Calendar,U1626,NDays&amp;"D")</f>
        <v>50209</v>
      </c>
      <c r="W1626" s="249">
        <v>2.5098391985931365E-2</v>
      </c>
      <c r="X1626" s="246">
        <v>2.5087806228452081E-2</v>
      </c>
    </row>
    <row r="1627" spans="20:24" x14ac:dyDescent="0.2">
      <c r="T1627" s="247" t="str">
        <f t="shared" si="30"/>
        <v>1w</v>
      </c>
      <c r="U1627" s="245">
        <f>_xll.qlCalendarAdvance(Calendar,U1626,T1627,"f",FALSE)</f>
        <v>50214</v>
      </c>
      <c r="V1627" s="248">
        <f>_xll.qlCalendarAdvance(Calendar,U1627,NDays&amp;"D")</f>
        <v>50216</v>
      </c>
      <c r="W1627" s="249">
        <v>2.5087745274006243E-2</v>
      </c>
      <c r="X1627" s="246">
        <v>2.5077254668026683E-2</v>
      </c>
    </row>
    <row r="1628" spans="20:24" x14ac:dyDescent="0.2">
      <c r="T1628" s="247" t="str">
        <f t="shared" si="30"/>
        <v>1w</v>
      </c>
      <c r="U1628" s="245">
        <f>_xll.qlCalendarAdvance(Calendar,U1627,T1628,"f",FALSE)</f>
        <v>50221</v>
      </c>
      <c r="V1628" s="248">
        <f>_xll.qlCalendarAdvance(Calendar,U1628,NDays&amp;"D")</f>
        <v>50223</v>
      </c>
      <c r="W1628" s="249">
        <v>2.5077094248178843E-2</v>
      </c>
      <c r="X1628" s="246">
        <v>2.5066698792413078E-2</v>
      </c>
    </row>
    <row r="1629" spans="20:24" x14ac:dyDescent="0.2">
      <c r="T1629" s="247" t="str">
        <f t="shared" si="30"/>
        <v>1w</v>
      </c>
      <c r="U1629" s="245">
        <f>_xll.qlCalendarAdvance(Calendar,U1628,T1629,"f",FALSE)</f>
        <v>50228</v>
      </c>
      <c r="V1629" s="248">
        <f>_xll.qlCalendarAdvance(Calendar,U1629,NDays&amp;"D")</f>
        <v>50230</v>
      </c>
      <c r="W1629" s="249">
        <v>2.5066438908488264E-2</v>
      </c>
      <c r="X1629" s="246">
        <v>2.5056138601931011E-2</v>
      </c>
    </row>
    <row r="1630" spans="20:24" x14ac:dyDescent="0.2">
      <c r="T1630" s="247" t="str">
        <f t="shared" si="30"/>
        <v>1w</v>
      </c>
      <c r="U1630" s="245">
        <f>_xll.qlCalendarAdvance(Calendar,U1629,T1630,"f",FALSE)</f>
        <v>50235</v>
      </c>
      <c r="V1630" s="248">
        <f>_xll.qlCalendarAdvance(Calendar,U1630,NDays&amp;"D")</f>
        <v>50237</v>
      </c>
      <c r="W1630" s="249">
        <v>2.5055779254966652E-2</v>
      </c>
      <c r="X1630" s="246">
        <v>2.5045574096340673E-2</v>
      </c>
    </row>
    <row r="1631" spans="20:24" x14ac:dyDescent="0.2">
      <c r="T1631" s="247" t="str">
        <f t="shared" si="30"/>
        <v>1w</v>
      </c>
      <c r="U1631" s="245">
        <f>_xll.qlCalendarAdvance(Calendar,U1630,T1631,"f",FALSE)</f>
        <v>50242</v>
      </c>
      <c r="V1631" s="248">
        <f>_xll.qlCalendarAdvance(Calendar,U1631,NDays&amp;"D")</f>
        <v>50244</v>
      </c>
      <c r="W1631" s="249">
        <v>2.5045115287649636E-2</v>
      </c>
      <c r="X1631" s="246">
        <v>2.5035005275801936E-2</v>
      </c>
    </row>
    <row r="1632" spans="20:24" x14ac:dyDescent="0.2">
      <c r="T1632" s="247" t="str">
        <f t="shared" si="30"/>
        <v>1w</v>
      </c>
      <c r="U1632" s="245">
        <f>_xll.qlCalendarAdvance(Calendar,U1631,T1632,"f",FALSE)</f>
        <v>50249</v>
      </c>
      <c r="V1632" s="248">
        <f>_xll.qlCalendarAdvance(Calendar,U1632,NDays&amp;"D")</f>
        <v>50251</v>
      </c>
      <c r="W1632" s="249">
        <v>2.5034447006574569E-2</v>
      </c>
      <c r="X1632" s="246">
        <v>2.5024432140234865E-2</v>
      </c>
    </row>
    <row r="1633" spans="20:24" x14ac:dyDescent="0.2">
      <c r="T1633" s="247" t="str">
        <f t="shared" si="30"/>
        <v>1w</v>
      </c>
      <c r="U1633" s="245">
        <f>_xll.qlCalendarAdvance(Calendar,U1632,T1633,"f",FALSE)</f>
        <v>50256</v>
      </c>
      <c r="V1633" s="248">
        <f>_xll.qlCalendarAdvance(Calendar,U1633,NDays&amp;"D")</f>
        <v>50258</v>
      </c>
      <c r="W1633" s="249">
        <v>2.5023774411774474E-2</v>
      </c>
      <c r="X1633" s="246">
        <v>2.5013854689639459E-2</v>
      </c>
    </row>
    <row r="1634" spans="20:24" x14ac:dyDescent="0.2">
      <c r="T1634" s="247" t="str">
        <f t="shared" si="30"/>
        <v>1w</v>
      </c>
      <c r="U1634" s="245">
        <f>_xll.qlCalendarAdvance(Calendar,U1633,T1634,"f",FALSE)</f>
        <v>50263</v>
      </c>
      <c r="V1634" s="248">
        <f>_xll.qlCalendarAdvance(Calendar,U1634,NDays&amp;"D")</f>
        <v>50265</v>
      </c>
      <c r="W1634" s="249">
        <v>2.5013097503285845E-2</v>
      </c>
      <c r="X1634" s="246">
        <v>2.5003272924015718E-2</v>
      </c>
    </row>
    <row r="1635" spans="20:24" x14ac:dyDescent="0.2">
      <c r="T1635" s="247" t="str">
        <f t="shared" si="30"/>
        <v>1w</v>
      </c>
      <c r="U1635" s="245">
        <f>_xll.qlCalendarAdvance(Calendar,U1634,T1635,"f",FALSE)</f>
        <v>50270</v>
      </c>
      <c r="V1635" s="248">
        <f>_xll.qlCalendarAdvance(Calendar,U1635,NDays&amp;"D")</f>
        <v>50272</v>
      </c>
      <c r="W1635" s="249">
        <v>2.5002416281141693E-2</v>
      </c>
      <c r="X1635" s="246">
        <v>2.4992686843283707E-2</v>
      </c>
    </row>
    <row r="1636" spans="20:24" x14ac:dyDescent="0.2">
      <c r="T1636" s="247" t="str">
        <f t="shared" si="30"/>
        <v>1w</v>
      </c>
      <c r="U1636" s="245">
        <f>_xll.qlCalendarAdvance(Calendar,U1635,T1636,"f",FALSE)</f>
        <v>50277</v>
      </c>
      <c r="V1636" s="248">
        <f>_xll.qlCalendarAdvance(Calendar,U1636,NDays&amp;"D")</f>
        <v>50279</v>
      </c>
      <c r="W1636" s="249">
        <v>2.4991730745381122E-2</v>
      </c>
      <c r="X1636" s="246">
        <v>2.4982096447763169E-2</v>
      </c>
    </row>
    <row r="1637" spans="20:24" x14ac:dyDescent="0.2">
      <c r="T1637" s="247" t="str">
        <f t="shared" si="30"/>
        <v>1w</v>
      </c>
      <c r="U1637" s="245">
        <f>_xll.qlCalendarAdvance(Calendar,U1636,T1637,"f",FALSE)</f>
        <v>50284</v>
      </c>
      <c r="V1637" s="248">
        <f>_xll.qlCalendarAdvance(Calendar,U1637,NDays&amp;"D")</f>
        <v>50286</v>
      </c>
      <c r="W1637" s="249">
        <v>2.4980940341711839E-2</v>
      </c>
      <c r="X1637" s="246">
        <v>2.4971501736974488E-2</v>
      </c>
    </row>
    <row r="1638" spans="20:24" x14ac:dyDescent="0.2">
      <c r="T1638" s="247" t="str">
        <f t="shared" si="30"/>
        <v>1w</v>
      </c>
      <c r="U1638" s="245">
        <f>_xll.qlCalendarAdvance(Calendar,U1637,T1638,"f",FALSE)</f>
        <v>50291</v>
      </c>
      <c r="V1638" s="248">
        <f>_xll.qlCalendarAdvance(Calendar,U1638,NDays&amp;"D")</f>
        <v>50293</v>
      </c>
      <c r="W1638" s="249">
        <v>2.4970247226472855E-2</v>
      </c>
      <c r="X1638" s="246">
        <v>2.4960902711237409E-2</v>
      </c>
    </row>
    <row r="1639" spans="20:24" x14ac:dyDescent="0.2">
      <c r="T1639" s="247" t="str">
        <f t="shared" si="30"/>
        <v>1w</v>
      </c>
      <c r="U1639" s="245">
        <f>_xll.qlCalendarAdvance(Calendar,U1638,T1639,"f",FALSE)</f>
        <v>50298</v>
      </c>
      <c r="V1639" s="248">
        <f>_xll.qlCalendarAdvance(Calendar,U1639,NDays&amp;"D")</f>
        <v>50300</v>
      </c>
      <c r="W1639" s="249">
        <v>2.4959549797701482E-2</v>
      </c>
      <c r="X1639" s="246">
        <v>2.4950299370471996E-2</v>
      </c>
    </row>
    <row r="1640" spans="20:24" x14ac:dyDescent="0.2">
      <c r="T1640" s="247" t="str">
        <f t="shared" si="30"/>
        <v>1w</v>
      </c>
      <c r="U1640" s="245">
        <f>_xll.qlCalendarAdvance(Calendar,U1639,T1640,"f",FALSE)</f>
        <v>50305</v>
      </c>
      <c r="V1640" s="248">
        <f>_xll.qlCalendarAdvance(Calendar,U1640,NDays&amp;"D")</f>
        <v>50307</v>
      </c>
      <c r="W1640" s="249">
        <v>2.4948848055430226E-2</v>
      </c>
      <c r="X1640" s="246">
        <v>2.4939691714838119E-2</v>
      </c>
    </row>
    <row r="1641" spans="20:24" x14ac:dyDescent="0.2">
      <c r="T1641" s="247" t="str">
        <f t="shared" si="30"/>
        <v>1w</v>
      </c>
      <c r="U1641" s="245">
        <f>_xll.qlCalendarAdvance(Calendar,U1640,T1641,"f",FALSE)</f>
        <v>50312</v>
      </c>
      <c r="V1641" s="248">
        <f>_xll.qlCalendarAdvance(Calendar,U1641,NDays&amp;"D")</f>
        <v>50314</v>
      </c>
      <c r="W1641" s="249">
        <v>2.4938526882403819E-2</v>
      </c>
      <c r="X1641" s="246">
        <v>2.4929079744016036E-2</v>
      </c>
    </row>
    <row r="1642" spans="20:24" x14ac:dyDescent="0.2">
      <c r="T1642" s="247" t="str">
        <f t="shared" si="30"/>
        <v>1w</v>
      </c>
      <c r="U1642" s="245">
        <f>_xll.qlCalendarAdvance(Calendar,U1641,T1642,"f",FALSE)</f>
        <v>50319</v>
      </c>
      <c r="V1642" s="248">
        <f>_xll.qlCalendarAdvance(Calendar,U1642,NDays&amp;"D")</f>
        <v>50321</v>
      </c>
      <c r="W1642" s="249">
        <v>2.4927526946796535E-2</v>
      </c>
      <c r="X1642" s="246">
        <v>2.491846345832549E-2</v>
      </c>
    </row>
    <row r="1643" spans="20:24" x14ac:dyDescent="0.2">
      <c r="T1643" s="247" t="str">
        <f t="shared" si="30"/>
        <v>1w</v>
      </c>
      <c r="U1643" s="245">
        <f>_xll.qlCalendarAdvance(Calendar,U1642,T1643,"f",FALSE)</f>
        <v>50326</v>
      </c>
      <c r="V1643" s="248">
        <f>_xll.qlCalendarAdvance(Calendar,U1643,NDays&amp;"D")</f>
        <v>50328</v>
      </c>
      <c r="W1643" s="249">
        <v>2.4916811216694156E-2</v>
      </c>
      <c r="X1643" s="246">
        <v>2.4907842857526674E-2</v>
      </c>
    </row>
    <row r="1644" spans="20:24" x14ac:dyDescent="0.2">
      <c r="T1644" s="247" t="str">
        <f t="shared" si="30"/>
        <v>1w</v>
      </c>
      <c r="U1644" s="245">
        <f>_xll.qlCalendarAdvance(Calendar,U1643,T1644,"f",FALSE)</f>
        <v>50333</v>
      </c>
      <c r="V1644" s="248">
        <f>_xll.qlCalendarAdvance(Calendar,U1644,NDays&amp;"D")</f>
        <v>50335</v>
      </c>
      <c r="W1644" s="249">
        <v>2.490609117325426E-2</v>
      </c>
      <c r="X1644" s="246">
        <v>2.4897217941699523E-2</v>
      </c>
    </row>
    <row r="1645" spans="20:24" x14ac:dyDescent="0.2">
      <c r="T1645" s="247" t="str">
        <f t="shared" si="30"/>
        <v>1w</v>
      </c>
      <c r="U1645" s="245">
        <f>_xll.qlCalendarAdvance(Calendar,U1644,T1645,"f",FALSE)</f>
        <v>50340</v>
      </c>
      <c r="V1645" s="248">
        <f>_xll.qlCalendarAdvance(Calendar,U1645,NDays&amp;"D")</f>
        <v>50342</v>
      </c>
      <c r="W1645" s="249">
        <v>2.4895366816514213E-2</v>
      </c>
      <c r="X1645" s="246">
        <v>2.4886588710844038E-2</v>
      </c>
    </row>
    <row r="1646" spans="20:24" x14ac:dyDescent="0.2">
      <c r="T1646" s="247" t="str">
        <f t="shared" si="30"/>
        <v>1w</v>
      </c>
      <c r="U1646" s="245">
        <f>_xll.qlCalendarAdvance(Calendar,U1645,T1646,"f",FALSE)</f>
        <v>50347</v>
      </c>
      <c r="V1646" s="248">
        <f>_xll.qlCalendarAdvance(Calendar,U1646,NDays&amp;"D")</f>
        <v>50349</v>
      </c>
      <c r="W1646" s="249">
        <v>2.4884638146507904E-2</v>
      </c>
      <c r="X1646" s="246">
        <v>2.4875955165040153E-2</v>
      </c>
    </row>
    <row r="1647" spans="20:24" x14ac:dyDescent="0.2">
      <c r="T1647" s="247" t="str">
        <f t="shared" si="30"/>
        <v>1w</v>
      </c>
      <c r="U1647" s="245">
        <f>_xll.qlCalendarAdvance(Calendar,U1646,T1647,"f",FALSE)</f>
        <v>50354</v>
      </c>
      <c r="V1647" s="248">
        <f>_xll.qlCalendarAdvance(Calendar,U1647,NDays&amp;"D")</f>
        <v>50356</v>
      </c>
      <c r="W1647" s="249">
        <v>2.4873905163272685E-2</v>
      </c>
      <c r="X1647" s="246">
        <v>2.4865317304207935E-2</v>
      </c>
    </row>
    <row r="1648" spans="20:24" x14ac:dyDescent="0.2">
      <c r="T1648" s="247" t="str">
        <f t="shared" si="30"/>
        <v>1w</v>
      </c>
      <c r="U1648" s="245">
        <f>_xll.qlCalendarAdvance(Calendar,U1647,T1648,"f",FALSE)</f>
        <v>50361</v>
      </c>
      <c r="V1648" s="248">
        <f>_xll.qlCalendarAdvance(Calendar,U1648,NDays&amp;"D")</f>
        <v>50363</v>
      </c>
      <c r="W1648" s="249">
        <v>2.4863167866843318E-2</v>
      </c>
      <c r="X1648" s="246">
        <v>2.4854675128267445E-2</v>
      </c>
    </row>
    <row r="1649" spans="20:24" x14ac:dyDescent="0.2">
      <c r="T1649" s="247" t="str">
        <f t="shared" si="30"/>
        <v>1w</v>
      </c>
      <c r="U1649" s="245">
        <f>_xll.qlCalendarAdvance(Calendar,U1648,T1649,"f",FALSE)</f>
        <v>50368</v>
      </c>
      <c r="V1649" s="248">
        <f>_xll.qlCalendarAdvance(Calendar,U1649,NDays&amp;"D")</f>
        <v>50370</v>
      </c>
      <c r="W1649" s="249">
        <v>2.4852426257255426E-2</v>
      </c>
      <c r="X1649" s="246">
        <v>2.4844028637538429E-2</v>
      </c>
    </row>
    <row r="1650" spans="20:24" x14ac:dyDescent="0.2">
      <c r="T1650" s="247" t="str">
        <f t="shared" si="30"/>
        <v>1w</v>
      </c>
      <c r="U1650" s="245">
        <f>_xll.qlCalendarAdvance(Calendar,U1649,T1650,"f",FALSE)</f>
        <v>50375</v>
      </c>
      <c r="V1650" s="248">
        <f>_xll.qlCalendarAdvance(Calendar,U1650,NDays&amp;"D")</f>
        <v>50377</v>
      </c>
      <c r="W1650" s="249">
        <v>2.4841506365696375E-2</v>
      </c>
      <c r="X1650" s="246">
        <v>2.483337783154127E-2</v>
      </c>
    </row>
    <row r="1651" spans="20:24" x14ac:dyDescent="0.2">
      <c r="T1651" s="247" t="str">
        <f t="shared" si="30"/>
        <v>1w</v>
      </c>
      <c r="U1651" s="245">
        <f>_xll.qlCalendarAdvance(Calendar,U1650,T1651,"f",FALSE)</f>
        <v>50382</v>
      </c>
      <c r="V1651" s="248">
        <f>_xll.qlCalendarAdvance(Calendar,U1651,NDays&amp;"D")</f>
        <v>50384</v>
      </c>
      <c r="W1651" s="249">
        <v>2.4830758224575256E-2</v>
      </c>
      <c r="X1651" s="246">
        <v>2.4822722710675649E-2</v>
      </c>
    </row>
    <row r="1652" spans="20:24" x14ac:dyDescent="0.2">
      <c r="T1652" s="247" t="str">
        <f t="shared" si="30"/>
        <v>1w</v>
      </c>
      <c r="U1652" s="245">
        <f>_xll.qlCalendarAdvance(Calendar,U1651,T1652,"f",FALSE)</f>
        <v>50389</v>
      </c>
      <c r="V1652" s="248">
        <f>_xll.qlCalendarAdvance(Calendar,U1652,NDays&amp;"D")</f>
        <v>50391</v>
      </c>
      <c r="W1652" s="249">
        <v>2.4820005770351372E-2</v>
      </c>
      <c r="X1652" s="246">
        <v>2.4812063274701757E-2</v>
      </c>
    </row>
    <row r="1653" spans="20:24" x14ac:dyDescent="0.2">
      <c r="T1653" s="247" t="str">
        <f t="shared" si="30"/>
        <v>1w</v>
      </c>
      <c r="U1653" s="245">
        <f>_xll.qlCalendarAdvance(Calendar,U1652,T1653,"f",FALSE)</f>
        <v>50396</v>
      </c>
      <c r="V1653" s="248">
        <f>_xll.qlCalendarAdvance(Calendar,U1653,NDays&amp;"D")</f>
        <v>50398</v>
      </c>
      <c r="W1653" s="249">
        <v>2.4809249003060252E-2</v>
      </c>
      <c r="X1653" s="246">
        <v>2.4801676419126117E-2</v>
      </c>
    </row>
    <row r="1654" spans="20:24" x14ac:dyDescent="0.2">
      <c r="T1654" s="247" t="str">
        <f t="shared" si="30"/>
        <v>1w</v>
      </c>
      <c r="U1654" s="245">
        <f>_xll.qlCalendarAdvance(Calendar,U1653,T1654,"f",FALSE)</f>
        <v>50403</v>
      </c>
      <c r="V1654" s="248">
        <f>_xll.qlCalendarAdvance(Calendar,U1654,NDays&amp;"D")</f>
        <v>50405</v>
      </c>
      <c r="W1654" s="249">
        <v>2.4798487922734758E-2</v>
      </c>
      <c r="X1654" s="246">
        <v>2.4791005224018559E-2</v>
      </c>
    </row>
    <row r="1655" spans="20:24" x14ac:dyDescent="0.2">
      <c r="T1655" s="247" t="str">
        <f t="shared" si="30"/>
        <v>1w</v>
      </c>
      <c r="U1655" s="245">
        <f>_xll.qlCalendarAdvance(Calendar,U1654,T1655,"f",FALSE)</f>
        <v>50410</v>
      </c>
      <c r="V1655" s="248">
        <f>_xll.qlCalendarAdvance(Calendar,U1655,NDays&amp;"D")</f>
        <v>50412</v>
      </c>
      <c r="W1655" s="249">
        <v>2.4787722529411305E-2</v>
      </c>
      <c r="X1655" s="246">
        <v>2.4780059076929817E-2</v>
      </c>
    </row>
    <row r="1656" spans="20:24" x14ac:dyDescent="0.2">
      <c r="T1656" s="247" t="str">
        <f t="shared" si="30"/>
        <v>1w</v>
      </c>
      <c r="U1656" s="245">
        <f>_xll.qlCalendarAdvance(Calendar,U1655,T1656,"f",FALSE)</f>
        <v>50417</v>
      </c>
      <c r="V1656" s="248">
        <f>_xll.qlCalendarAdvance(Calendar,U1656,NDays&amp;"D")</f>
        <v>50419</v>
      </c>
      <c r="W1656" s="249">
        <v>2.4776952823124532E-2</v>
      </c>
      <c r="X1656" s="246">
        <v>2.4769382381002458E-2</v>
      </c>
    </row>
    <row r="1657" spans="20:24" x14ac:dyDescent="0.2">
      <c r="T1657" s="247" t="str">
        <f t="shared" si="30"/>
        <v>1w</v>
      </c>
      <c r="U1657" s="245">
        <f>_xll.qlCalendarAdvance(Calendar,U1656,T1657,"f",FALSE)</f>
        <v>50424</v>
      </c>
      <c r="V1657" s="248">
        <f>_xll.qlCalendarAdvance(Calendar,U1657,NDays&amp;"D")</f>
        <v>50426</v>
      </c>
      <c r="W1657" s="249">
        <v>2.476617880390819E-2</v>
      </c>
      <c r="X1657" s="246">
        <v>2.4758701370046765E-2</v>
      </c>
    </row>
    <row r="1658" spans="20:24" x14ac:dyDescent="0.2">
      <c r="T1658" s="247" t="str">
        <f t="shared" si="30"/>
        <v>1w</v>
      </c>
      <c r="U1658" s="245">
        <f>_xll.qlCalendarAdvance(Calendar,U1657,T1658,"f",FALSE)</f>
        <v>50431</v>
      </c>
      <c r="V1658" s="248">
        <f>_xll.qlCalendarAdvance(Calendar,U1658,NDays&amp;"D")</f>
        <v>50433</v>
      </c>
      <c r="W1658" s="249">
        <v>2.4755400471798694E-2</v>
      </c>
      <c r="X1658" s="246">
        <v>2.4748016044142673E-2</v>
      </c>
    </row>
    <row r="1659" spans="20:24" x14ac:dyDescent="0.2">
      <c r="T1659" s="247" t="str">
        <f t="shared" si="30"/>
        <v>1w</v>
      </c>
      <c r="U1659" s="245">
        <f>_xll.qlCalendarAdvance(Calendar,U1658,T1659,"f",FALSE)</f>
        <v>50438</v>
      </c>
      <c r="V1659" s="248">
        <f>_xll.qlCalendarAdvance(Calendar,U1659,NDays&amp;"D")</f>
        <v>50440</v>
      </c>
      <c r="W1659" s="249">
        <v>2.4744540123126487E-2</v>
      </c>
      <c r="X1659" s="246">
        <v>2.4737326403050375E-2</v>
      </c>
    </row>
    <row r="1660" spans="20:24" x14ac:dyDescent="0.2">
      <c r="T1660" s="247" t="str">
        <f t="shared" si="30"/>
        <v>1w</v>
      </c>
      <c r="U1660" s="245">
        <f>_xll.qlCalendarAdvance(Calendar,U1659,T1660,"f",FALSE)</f>
        <v>50445</v>
      </c>
      <c r="V1660" s="248">
        <f>_xll.qlCalendarAdvance(Calendar,U1660,NDays&amp;"D")</f>
        <v>50447</v>
      </c>
      <c r="W1660" s="249">
        <v>2.4733754212362406E-2</v>
      </c>
      <c r="X1660" s="246">
        <v>2.4726632447009678E-2</v>
      </c>
    </row>
    <row r="1661" spans="20:24" x14ac:dyDescent="0.2">
      <c r="T1661" s="247" t="str">
        <f t="shared" si="30"/>
        <v>1w</v>
      </c>
      <c r="U1661" s="245">
        <f>_xll.qlCalendarAdvance(Calendar,U1660,T1661,"f",FALSE)</f>
        <v>50452</v>
      </c>
      <c r="V1661" s="248">
        <f>_xll.qlCalendarAdvance(Calendar,U1661,NDays&amp;"D")</f>
        <v>50454</v>
      </c>
      <c r="W1661" s="249">
        <v>2.4722963988781252E-2</v>
      </c>
      <c r="X1661" s="246">
        <v>2.4715934176100518E-2</v>
      </c>
    </row>
    <row r="1662" spans="20:24" x14ac:dyDescent="0.2">
      <c r="T1662" s="247" t="str">
        <f t="shared" si="30"/>
        <v>1w</v>
      </c>
      <c r="U1662" s="245">
        <f>_xll.qlCalendarAdvance(Calendar,U1661,T1662,"f",FALSE)</f>
        <v>50459</v>
      </c>
      <c r="V1662" s="248">
        <f>_xll.qlCalendarAdvance(Calendar,U1662,NDays&amp;"D")</f>
        <v>50461</v>
      </c>
      <c r="W1662" s="249">
        <v>2.471216945241626E-2</v>
      </c>
      <c r="X1662" s="246">
        <v>2.4705231590083088E-2</v>
      </c>
    </row>
    <row r="1663" spans="20:24" x14ac:dyDescent="0.2">
      <c r="T1663" s="247" t="str">
        <f t="shared" si="30"/>
        <v>1w</v>
      </c>
      <c r="U1663" s="245">
        <f>_xll.qlCalendarAdvance(Calendar,U1662,T1663,"f",FALSE)</f>
        <v>50466</v>
      </c>
      <c r="V1663" s="248">
        <f>_xll.qlCalendarAdvance(Calendar,U1663,NDays&amp;"D")</f>
        <v>50468</v>
      </c>
      <c r="W1663" s="249">
        <v>2.4701590861205585E-2</v>
      </c>
      <c r="X1663" s="246">
        <v>2.4694524689117259E-2</v>
      </c>
    </row>
    <row r="1664" spans="20:24" x14ac:dyDescent="0.2">
      <c r="T1664" s="247" t="str">
        <f t="shared" si="30"/>
        <v>1w</v>
      </c>
      <c r="U1664" s="245">
        <f>_xll.qlCalendarAdvance(Calendar,U1663,T1664,"f",FALSE)</f>
        <v>50473</v>
      </c>
      <c r="V1664" s="248">
        <f>_xll.qlCalendarAdvance(Calendar,U1664,NDays&amp;"D")</f>
        <v>50475</v>
      </c>
      <c r="W1664" s="249">
        <v>2.4690784558494661E-2</v>
      </c>
      <c r="X1664" s="246">
        <v>2.4683813472963223E-2</v>
      </c>
    </row>
    <row r="1665" spans="20:24" x14ac:dyDescent="0.2">
      <c r="T1665" s="247" t="str">
        <f t="shared" si="30"/>
        <v>1w</v>
      </c>
      <c r="U1665" s="245">
        <f>_xll.qlCalendarAdvance(Calendar,U1664,T1665,"f",FALSE)</f>
        <v>50480</v>
      </c>
      <c r="V1665" s="248">
        <f>_xll.qlCalendarAdvance(Calendar,U1665,NDays&amp;"D")</f>
        <v>50482</v>
      </c>
      <c r="W1665" s="249">
        <v>2.4679973943194319E-2</v>
      </c>
      <c r="X1665" s="246">
        <v>2.4673097941940725E-2</v>
      </c>
    </row>
    <row r="1666" spans="20:24" x14ac:dyDescent="0.2">
      <c r="T1666" s="247" t="str">
        <f t="shared" si="30"/>
        <v>1w</v>
      </c>
      <c r="U1666" s="245">
        <f>_xll.qlCalendarAdvance(Calendar,U1665,T1666,"f",FALSE)</f>
        <v>50487</v>
      </c>
      <c r="V1666" s="248">
        <f>_xll.qlCalendarAdvance(Calendar,U1666,NDays&amp;"D")</f>
        <v>50489</v>
      </c>
      <c r="W1666" s="249">
        <v>2.4669159015339316E-2</v>
      </c>
      <c r="X1666" s="246">
        <v>2.4662378095889892E-2</v>
      </c>
    </row>
    <row r="1667" spans="20:24" x14ac:dyDescent="0.2">
      <c r="T1667" s="247" t="str">
        <f t="shared" si="30"/>
        <v>1w</v>
      </c>
      <c r="U1667" s="245">
        <f>_xll.qlCalendarAdvance(Calendar,U1666,T1667,"f",FALSE)</f>
        <v>50494</v>
      </c>
      <c r="V1667" s="248">
        <f>_xll.qlCalendarAdvance(Calendar,U1667,NDays&amp;"D")</f>
        <v>50496</v>
      </c>
      <c r="W1667" s="249">
        <v>2.4658270639965497E-2</v>
      </c>
      <c r="X1667" s="246">
        <v>2.4651653934810724E-2</v>
      </c>
    </row>
    <row r="1668" spans="20:24" x14ac:dyDescent="0.2">
      <c r="T1668" s="247" t="str">
        <f t="shared" si="30"/>
        <v>1w</v>
      </c>
      <c r="U1668" s="245">
        <f>_xll.qlCalendarAdvance(Calendar,U1667,T1668,"f",FALSE)</f>
        <v>50501</v>
      </c>
      <c r="V1668" s="248">
        <f>_xll.qlCalendarAdvance(Calendar,U1668,NDays&amp;"D")</f>
        <v>50503</v>
      </c>
      <c r="W1668" s="249">
        <v>2.4647448133993662E-2</v>
      </c>
      <c r="X1668" s="246">
        <v>2.4640925458783158E-2</v>
      </c>
    </row>
    <row r="1669" spans="20:24" x14ac:dyDescent="0.2">
      <c r="T1669" s="247" t="str">
        <f t="shared" si="30"/>
        <v>1w</v>
      </c>
      <c r="U1669" s="245">
        <f>_xll.qlCalendarAdvance(Calendar,U1668,T1669,"f",FALSE)</f>
        <v>50508</v>
      </c>
      <c r="V1669" s="248">
        <f>_xll.qlCalendarAdvance(Calendar,U1669,NDays&amp;"D")</f>
        <v>50510</v>
      </c>
      <c r="W1669" s="249">
        <v>2.4636621315543537E-2</v>
      </c>
      <c r="X1669" s="246">
        <v>2.4630192667807194E-2</v>
      </c>
    </row>
    <row r="1670" spans="20:24" x14ac:dyDescent="0.2">
      <c r="T1670" s="247" t="str">
        <f t="shared" si="30"/>
        <v>1w</v>
      </c>
      <c r="U1670" s="245">
        <f>_xll.qlCalendarAdvance(Calendar,U1669,T1670,"f",FALSE)</f>
        <v>50515</v>
      </c>
      <c r="V1670" s="248">
        <f>_xll.qlCalendarAdvance(Calendar,U1670,NDays&amp;"D")</f>
        <v>50517</v>
      </c>
      <c r="W1670" s="249">
        <v>2.4625790184648506E-2</v>
      </c>
      <c r="X1670" s="246">
        <v>2.4619753647263209E-2</v>
      </c>
    </row>
    <row r="1671" spans="20:24" x14ac:dyDescent="0.2">
      <c r="T1671" s="247" t="str">
        <f t="shared" si="30"/>
        <v>1w</v>
      </c>
      <c r="U1671" s="245">
        <f>_xll.qlCalendarAdvance(Calendar,U1670,T1671,"f",FALSE)</f>
        <v>50522</v>
      </c>
      <c r="V1671" s="248">
        <f>_xll.qlCalendarAdvance(Calendar,U1671,NDays&amp;"D")</f>
        <v>50524</v>
      </c>
      <c r="W1671" s="249">
        <v>2.4614954741345466E-2</v>
      </c>
      <c r="X1671" s="246">
        <v>2.4608714140610388E-2</v>
      </c>
    </row>
    <row r="1672" spans="20:24" x14ac:dyDescent="0.2">
      <c r="T1672" s="247" t="str">
        <f t="shared" si="30"/>
        <v>1w</v>
      </c>
      <c r="U1672" s="245">
        <f>_xll.qlCalendarAdvance(Calendar,U1671,T1672,"f",FALSE)</f>
        <v>50529</v>
      </c>
      <c r="V1672" s="248">
        <f>_xll.qlCalendarAdvance(Calendar,U1672,NDays&amp;"D")</f>
        <v>50531</v>
      </c>
      <c r="W1672" s="249">
        <v>2.4604178886571987E-2</v>
      </c>
      <c r="X1672" s="246">
        <v>2.4597968404629356E-2</v>
      </c>
    </row>
    <row r="1673" spans="20:24" x14ac:dyDescent="0.2">
      <c r="T1673" s="247" t="str">
        <f t="shared" si="30"/>
        <v>1w</v>
      </c>
      <c r="U1673" s="245">
        <f>_xll.qlCalendarAdvance(Calendar,U1672,T1673,"f",FALSE)</f>
        <v>50536</v>
      </c>
      <c r="V1673" s="248">
        <f>_xll.qlCalendarAdvance(Calendar,U1673,NDays&amp;"D")</f>
        <v>50538</v>
      </c>
      <c r="W1673" s="249">
        <v>2.4593333771836163E-2</v>
      </c>
      <c r="X1673" s="246">
        <v>2.4587218353460116E-2</v>
      </c>
    </row>
    <row r="1674" spans="20:24" x14ac:dyDescent="0.2">
      <c r="T1674" s="247" t="str">
        <f t="shared" si="30"/>
        <v>1w</v>
      </c>
      <c r="U1674" s="245">
        <f>_xll.qlCalendarAdvance(Calendar,U1673,T1674,"f",FALSE)</f>
        <v>50543</v>
      </c>
      <c r="V1674" s="248">
        <f>_xll.qlCalendarAdvance(Calendar,U1674,NDays&amp;"D")</f>
        <v>50545</v>
      </c>
      <c r="W1674" s="249">
        <v>2.4582484344833275E-2</v>
      </c>
      <c r="X1674" s="246">
        <v>2.4576463987342478E-2</v>
      </c>
    </row>
    <row r="1675" spans="20:24" x14ac:dyDescent="0.2">
      <c r="T1675" s="247" t="str">
        <f t="shared" si="30"/>
        <v>1w</v>
      </c>
      <c r="U1675" s="245">
        <f>_xll.qlCalendarAdvance(Calendar,U1674,T1675,"f",FALSE)</f>
        <v>50550</v>
      </c>
      <c r="V1675" s="248">
        <f>_xll.qlCalendarAdvance(Calendar,U1675,NDays&amp;"D")</f>
        <v>50552</v>
      </c>
      <c r="W1675" s="249">
        <v>2.4571630605598076E-2</v>
      </c>
      <c r="X1675" s="246">
        <v>2.4565705306276442E-2</v>
      </c>
    </row>
    <row r="1676" spans="20:24" x14ac:dyDescent="0.2">
      <c r="T1676" s="247" t="str">
        <f t="shared" si="30"/>
        <v>1w</v>
      </c>
      <c r="U1676" s="245">
        <f>_xll.qlCalendarAdvance(Calendar,U1675,T1676,"f",FALSE)</f>
        <v>50557</v>
      </c>
      <c r="V1676" s="248">
        <f>_xll.qlCalendarAdvance(Calendar,U1676,NDays&amp;"D")</f>
        <v>50559</v>
      </c>
      <c r="W1676" s="249">
        <v>2.456077255416619E-2</v>
      </c>
      <c r="X1676" s="246">
        <v>2.4554942310182071E-2</v>
      </c>
    </row>
    <row r="1677" spans="20:24" x14ac:dyDescent="0.2">
      <c r="T1677" s="247" t="str">
        <f t="shared" si="30"/>
        <v>1w</v>
      </c>
      <c r="U1677" s="245">
        <f>_xll.qlCalendarAdvance(Calendar,U1676,T1677,"f",FALSE)</f>
        <v>50564</v>
      </c>
      <c r="V1677" s="248">
        <f>_xll.qlCalendarAdvance(Calendar,U1677,NDays&amp;"D")</f>
        <v>50566</v>
      </c>
      <c r="W1677" s="249">
        <v>2.454991019057411E-2</v>
      </c>
      <c r="X1677" s="246">
        <v>2.4544174999139301E-2</v>
      </c>
    </row>
    <row r="1678" spans="20:24" x14ac:dyDescent="0.2">
      <c r="T1678" s="247" t="str">
        <f t="shared" si="30"/>
        <v>1w</v>
      </c>
      <c r="U1678" s="245">
        <f>_xll.qlCalendarAdvance(Calendar,U1677,T1678,"f",FALSE)</f>
        <v>50571</v>
      </c>
      <c r="V1678" s="248">
        <f>_xll.qlCalendarAdvance(Calendar,U1678,NDays&amp;"D")</f>
        <v>50573</v>
      </c>
      <c r="W1678" s="249">
        <v>2.4539043514855724E-2</v>
      </c>
      <c r="X1678" s="246">
        <v>2.4533403372988261E-2</v>
      </c>
    </row>
    <row r="1679" spans="20:24" x14ac:dyDescent="0.2">
      <c r="T1679" s="247" t="str">
        <f t="shared" si="30"/>
        <v>1w</v>
      </c>
      <c r="U1679" s="245">
        <f>_xll.qlCalendarAdvance(Calendar,U1678,T1679,"f",FALSE)</f>
        <v>50578</v>
      </c>
      <c r="V1679" s="248">
        <f>_xll.qlCalendarAdvance(Calendar,U1679,NDays&amp;"D")</f>
        <v>50580</v>
      </c>
      <c r="W1679" s="249">
        <v>2.4528172527049256E-2</v>
      </c>
      <c r="X1679" s="246">
        <v>2.4522627431888822E-2</v>
      </c>
    </row>
    <row r="1680" spans="20:24" x14ac:dyDescent="0.2">
      <c r="T1680" s="247" t="str">
        <f t="shared" si="30"/>
        <v>1w</v>
      </c>
      <c r="U1680" s="245">
        <f>_xll.qlCalendarAdvance(Calendar,U1679,T1680,"f",FALSE)</f>
        <v>50585</v>
      </c>
      <c r="V1680" s="248">
        <f>_xll.qlCalendarAdvance(Calendar,U1680,NDays&amp;"D")</f>
        <v>50587</v>
      </c>
      <c r="W1680" s="249">
        <v>2.4517297227187731E-2</v>
      </c>
      <c r="X1680" s="246">
        <v>2.4511847175761048E-2</v>
      </c>
    </row>
    <row r="1681" spans="20:24" x14ac:dyDescent="0.2">
      <c r="T1681" s="247" t="str">
        <f t="shared" si="30"/>
        <v>1w</v>
      </c>
      <c r="U1681" s="245">
        <f>_xll.qlCalendarAdvance(Calendar,U1680,T1681,"f",FALSE)</f>
        <v>50592</v>
      </c>
      <c r="V1681" s="248">
        <f>_xll.qlCalendarAdvance(Calendar,U1681,NDays&amp;"D")</f>
        <v>50594</v>
      </c>
      <c r="W1681" s="249">
        <v>2.450641761531111E-2</v>
      </c>
      <c r="X1681" s="246">
        <v>2.4501062604764812E-2</v>
      </c>
    </row>
    <row r="1682" spans="20:24" x14ac:dyDescent="0.2">
      <c r="T1682" s="247" t="str">
        <f t="shared" ref="T1682:T1745" si="31">T1681</f>
        <v>1w</v>
      </c>
      <c r="U1682" s="245">
        <f>_xll.qlCalendarAdvance(Calendar,U1681,T1682,"f",FALSE)</f>
        <v>50599</v>
      </c>
      <c r="V1682" s="248">
        <f>_xll.qlCalendarAdvance(Calendar,U1682,NDays&amp;"D")</f>
        <v>50601</v>
      </c>
      <c r="W1682" s="249">
        <v>2.4495533691451549E-2</v>
      </c>
      <c r="X1682" s="246">
        <v>2.4490273718580369E-2</v>
      </c>
    </row>
    <row r="1683" spans="20:24" x14ac:dyDescent="0.2">
      <c r="T1683" s="247" t="str">
        <f t="shared" si="31"/>
        <v>1w</v>
      </c>
      <c r="U1683" s="245">
        <f>_xll.qlCalendarAdvance(Calendar,U1682,T1683,"f",FALSE)</f>
        <v>50606</v>
      </c>
      <c r="V1683" s="248">
        <f>_xll.qlCalendarAdvance(Calendar,U1683,NDays&amp;"D")</f>
        <v>50608</v>
      </c>
      <c r="W1683" s="249">
        <v>2.4484645455647269E-2</v>
      </c>
      <c r="X1683" s="246">
        <v>2.4479480517527463E-2</v>
      </c>
    </row>
    <row r="1684" spans="20:24" x14ac:dyDescent="0.2">
      <c r="T1684" s="247" t="str">
        <f t="shared" si="31"/>
        <v>1w</v>
      </c>
      <c r="U1684" s="245">
        <f>_xll.qlCalendarAdvance(Calendar,U1683,T1684,"f",FALSE)</f>
        <v>50613</v>
      </c>
      <c r="V1684" s="248">
        <f>_xll.qlCalendarAdvance(Calendar,U1684,NDays&amp;"D")</f>
        <v>50615</v>
      </c>
      <c r="W1684" s="249">
        <v>2.4473752907933032E-2</v>
      </c>
      <c r="X1684" s="246">
        <v>2.4468683001446223E-2</v>
      </c>
    </row>
    <row r="1685" spans="20:24" x14ac:dyDescent="0.2">
      <c r="T1685" s="247" t="str">
        <f t="shared" si="31"/>
        <v>1w</v>
      </c>
      <c r="U1685" s="245">
        <f>_xll.qlCalendarAdvance(Calendar,U1684,T1685,"f",FALSE)</f>
        <v>50620</v>
      </c>
      <c r="V1685" s="248">
        <f>_xll.qlCalendarAdvance(Calendar,U1685,NDays&amp;"D")</f>
        <v>50622</v>
      </c>
      <c r="W1685" s="249">
        <v>2.4462856048344458E-2</v>
      </c>
      <c r="X1685" s="246">
        <v>2.4457881170256712E-2</v>
      </c>
    </row>
    <row r="1686" spans="20:24" x14ac:dyDescent="0.2">
      <c r="T1686" s="247" t="str">
        <f t="shared" si="31"/>
        <v>1w</v>
      </c>
      <c r="U1686" s="245">
        <f>_xll.qlCalendarAdvance(Calendar,U1685,T1686,"f",FALSE)</f>
        <v>50627</v>
      </c>
      <c r="V1686" s="248">
        <f>_xll.qlCalendarAdvance(Calendar,U1686,NDays&amp;"D")</f>
        <v>50629</v>
      </c>
      <c r="W1686" s="249">
        <v>2.445195487691891E-2</v>
      </c>
      <c r="X1686" s="246">
        <v>2.4447075024198739E-2</v>
      </c>
    </row>
    <row r="1687" spans="20:24" x14ac:dyDescent="0.2">
      <c r="T1687" s="247" t="str">
        <f t="shared" si="31"/>
        <v>1w</v>
      </c>
      <c r="U1687" s="245">
        <f>_xll.qlCalendarAdvance(Calendar,U1686,T1687,"f",FALSE)</f>
        <v>50634</v>
      </c>
      <c r="V1687" s="248">
        <f>_xll.qlCalendarAdvance(Calendar,U1687,NDays&amp;"D")</f>
        <v>50636</v>
      </c>
      <c r="W1687" s="249">
        <v>2.4441049393692009E-2</v>
      </c>
      <c r="X1687" s="246">
        <v>2.4436264563032495E-2</v>
      </c>
    </row>
    <row r="1688" spans="20:24" x14ac:dyDescent="0.2">
      <c r="T1688" s="247" t="str">
        <f t="shared" si="31"/>
        <v>1w</v>
      </c>
      <c r="U1688" s="245">
        <f>_xll.qlCalendarAdvance(Calendar,U1687,T1688,"f",FALSE)</f>
        <v>50641</v>
      </c>
      <c r="V1688" s="248">
        <f>_xll.qlCalendarAdvance(Calendar,U1688,NDays&amp;"D")</f>
        <v>50643</v>
      </c>
      <c r="W1688" s="249">
        <v>2.4430139598699385E-2</v>
      </c>
      <c r="X1688" s="246">
        <v>2.4425449786997788E-2</v>
      </c>
    </row>
    <row r="1689" spans="20:24" x14ac:dyDescent="0.2">
      <c r="T1689" s="247" t="str">
        <f t="shared" si="31"/>
        <v>1w</v>
      </c>
      <c r="U1689" s="245">
        <f>_xll.qlCalendarAdvance(Calendar,U1688,T1689,"f",FALSE)</f>
        <v>50648</v>
      </c>
      <c r="V1689" s="248">
        <f>_xll.qlCalendarAdvance(Calendar,U1689,NDays&amp;"D")</f>
        <v>50650</v>
      </c>
      <c r="W1689" s="249">
        <v>2.441917938050046E-2</v>
      </c>
      <c r="X1689" s="246">
        <v>2.4414630695934747E-2</v>
      </c>
    </row>
    <row r="1690" spans="20:24" x14ac:dyDescent="0.2">
      <c r="T1690" s="247" t="str">
        <f t="shared" si="31"/>
        <v>1w</v>
      </c>
      <c r="U1690" s="245">
        <f>_xll.qlCalendarAdvance(Calendar,U1689,T1690,"f",FALSE)</f>
        <v>50655</v>
      </c>
      <c r="V1690" s="248">
        <f>_xll.qlCalendarAdvance(Calendar,U1690,NDays&amp;"D")</f>
        <v>50657</v>
      </c>
      <c r="W1690" s="249">
        <v>2.4408262008179121E-2</v>
      </c>
      <c r="X1690" s="246">
        <v>2.4403807289843371E-2</v>
      </c>
    </row>
    <row r="1691" spans="20:24" x14ac:dyDescent="0.2">
      <c r="T1691" s="247" t="str">
        <f t="shared" si="31"/>
        <v>1w</v>
      </c>
      <c r="U1691" s="245">
        <f>_xll.qlCalendarAdvance(Calendar,U1690,T1691,"f",FALSE)</f>
        <v>50662</v>
      </c>
      <c r="V1691" s="248">
        <f>_xll.qlCalendarAdvance(Calendar,U1691,NDays&amp;"D")</f>
        <v>50664</v>
      </c>
      <c r="W1691" s="249">
        <v>2.439734032416041E-2</v>
      </c>
      <c r="X1691" s="246">
        <v>2.4392979568643725E-2</v>
      </c>
    </row>
    <row r="1692" spans="20:24" x14ac:dyDescent="0.2">
      <c r="T1692" s="247" t="str">
        <f t="shared" si="31"/>
        <v>1w</v>
      </c>
      <c r="U1692" s="245">
        <f>_xll.qlCalendarAdvance(Calendar,U1691,T1692,"f",FALSE)</f>
        <v>50669</v>
      </c>
      <c r="V1692" s="248">
        <f>_xll.qlCalendarAdvance(Calendar,U1692,NDays&amp;"D")</f>
        <v>50671</v>
      </c>
      <c r="W1692" s="249">
        <v>2.438641432848122E-2</v>
      </c>
      <c r="X1692" s="246">
        <v>2.4382147532735488E-2</v>
      </c>
    </row>
    <row r="1693" spans="20:24" x14ac:dyDescent="0.2">
      <c r="T1693" s="247" t="str">
        <f t="shared" si="31"/>
        <v>1w</v>
      </c>
      <c r="U1693" s="245">
        <f>_xll.qlCalendarAdvance(Calendar,U1692,T1693,"f",FALSE)</f>
        <v>50676</v>
      </c>
      <c r="V1693" s="248">
        <f>_xll.qlCalendarAdvance(Calendar,U1693,NDays&amp;"D")</f>
        <v>50678</v>
      </c>
      <c r="W1693" s="249">
        <v>2.4375525948508472E-2</v>
      </c>
      <c r="X1693" s="246">
        <v>2.4371311181559108E-2</v>
      </c>
    </row>
    <row r="1694" spans="20:24" x14ac:dyDescent="0.2">
      <c r="T1694" s="247" t="str">
        <f t="shared" si="31"/>
        <v>1w</v>
      </c>
      <c r="U1694" s="245">
        <f>_xll.qlCalendarAdvance(Calendar,U1693,T1694,"f",FALSE)</f>
        <v>50683</v>
      </c>
      <c r="V1694" s="248">
        <f>_xll.qlCalendarAdvance(Calendar,U1694,NDays&amp;"D")</f>
        <v>50685</v>
      </c>
      <c r="W1694" s="249">
        <v>2.436459028367827E-2</v>
      </c>
      <c r="X1694" s="246">
        <v>2.4360470515434329E-2</v>
      </c>
    </row>
    <row r="1695" spans="20:24" x14ac:dyDescent="0.2">
      <c r="T1695" s="247" t="str">
        <f t="shared" si="31"/>
        <v>1w</v>
      </c>
      <c r="U1695" s="245">
        <f>_xll.qlCalendarAdvance(Calendar,U1694,T1695,"f",FALSE)</f>
        <v>50690</v>
      </c>
      <c r="V1695" s="248">
        <f>_xll.qlCalendarAdvance(Calendar,U1695,NDays&amp;"D")</f>
        <v>50692</v>
      </c>
      <c r="W1695" s="249">
        <v>2.4353650307334315E-2</v>
      </c>
      <c r="X1695" s="246">
        <v>2.4349625534441088E-2</v>
      </c>
    </row>
    <row r="1696" spans="20:24" x14ac:dyDescent="0.2">
      <c r="T1696" s="247" t="str">
        <f t="shared" si="31"/>
        <v>1w</v>
      </c>
      <c r="U1696" s="245">
        <f>_xll.qlCalendarAdvance(Calendar,U1695,T1696,"f",FALSE)</f>
        <v>50697</v>
      </c>
      <c r="V1696" s="248">
        <f>_xll.qlCalendarAdvance(Calendar,U1696,NDays&amp;"D")</f>
        <v>50699</v>
      </c>
      <c r="W1696" s="249">
        <v>2.4342706019513095E-2</v>
      </c>
      <c r="X1696" s="246">
        <v>2.4338776238259641E-2</v>
      </c>
    </row>
    <row r="1697" spans="20:24" x14ac:dyDescent="0.2">
      <c r="T1697" s="247" t="str">
        <f t="shared" si="31"/>
        <v>1w</v>
      </c>
      <c r="U1697" s="245">
        <f>_xll.qlCalendarAdvance(Calendar,U1696,T1697,"f",FALSE)</f>
        <v>50704</v>
      </c>
      <c r="V1697" s="248">
        <f>_xll.qlCalendarAdvance(Calendar,U1697,NDays&amp;"D")</f>
        <v>50706</v>
      </c>
      <c r="W1697" s="249">
        <v>2.4331757420251975E-2</v>
      </c>
      <c r="X1697" s="246">
        <v>2.4327922627289666E-2</v>
      </c>
    </row>
    <row r="1698" spans="20:24" x14ac:dyDescent="0.2">
      <c r="T1698" s="247" t="str">
        <f t="shared" si="31"/>
        <v>1w</v>
      </c>
      <c r="U1698" s="245">
        <f>_xll.qlCalendarAdvance(Calendar,U1697,T1698,"f",FALSE)</f>
        <v>50711</v>
      </c>
      <c r="V1698" s="248">
        <f>_xll.qlCalendarAdvance(Calendar,U1698,NDays&amp;"D")</f>
        <v>50713</v>
      </c>
      <c r="W1698" s="249">
        <v>2.432080450958397E-2</v>
      </c>
      <c r="X1698" s="246">
        <v>2.4317064701131486E-2</v>
      </c>
    </row>
    <row r="1699" spans="20:24" x14ac:dyDescent="0.2">
      <c r="T1699" s="247" t="str">
        <f t="shared" si="31"/>
        <v>1w</v>
      </c>
      <c r="U1699" s="245">
        <f>_xll.qlCalendarAdvance(Calendar,U1698,T1699,"f",FALSE)</f>
        <v>50718</v>
      </c>
      <c r="V1699" s="248">
        <f>_xll.qlCalendarAdvance(Calendar,U1699,NDays&amp;"D")</f>
        <v>50720</v>
      </c>
      <c r="W1699" s="249">
        <v>2.4309847287548182E-2</v>
      </c>
      <c r="X1699" s="246">
        <v>2.4306202460184778E-2</v>
      </c>
    </row>
    <row r="1700" spans="20:24" x14ac:dyDescent="0.2">
      <c r="T1700" s="247" t="str">
        <f t="shared" si="31"/>
        <v>1w</v>
      </c>
      <c r="U1700" s="245">
        <f>_xll.qlCalendarAdvance(Calendar,U1699,T1700,"f",FALSE)</f>
        <v>50725</v>
      </c>
      <c r="V1700" s="248">
        <f>_xll.qlCalendarAdvance(Calendar,U1700,NDays&amp;"D")</f>
        <v>50727</v>
      </c>
      <c r="W1700" s="249">
        <v>2.4298885754179364E-2</v>
      </c>
      <c r="X1700" s="246">
        <v>2.42953359041298E-2</v>
      </c>
    </row>
    <row r="1701" spans="20:24" x14ac:dyDescent="0.2">
      <c r="T1701" s="247" t="str">
        <f t="shared" si="31"/>
        <v>1w</v>
      </c>
      <c r="U1701" s="245">
        <f>_xll.qlCalendarAdvance(Calendar,U1700,T1701,"f",FALSE)</f>
        <v>50732</v>
      </c>
      <c r="V1701" s="248">
        <f>_xll.qlCalendarAdvance(Calendar,U1701,NDays&amp;"D")</f>
        <v>50734</v>
      </c>
      <c r="W1701" s="249">
        <v>2.4287919909514011E-2</v>
      </c>
      <c r="X1701" s="246">
        <v>2.4284465033046487E-2</v>
      </c>
    </row>
    <row r="1702" spans="20:24" x14ac:dyDescent="0.2">
      <c r="T1702" s="247" t="str">
        <f t="shared" si="31"/>
        <v>1w</v>
      </c>
      <c r="U1702" s="245">
        <f>_xll.qlCalendarAdvance(Calendar,U1701,T1702,"f",FALSE)</f>
        <v>50739</v>
      </c>
      <c r="V1702" s="248">
        <f>_xll.qlCalendarAdvance(Calendar,U1702,NDays&amp;"D")</f>
        <v>50741</v>
      </c>
      <c r="W1702" s="249">
        <v>2.4276884624408801E-2</v>
      </c>
      <c r="X1702" s="246">
        <v>2.4273589847014776E-2</v>
      </c>
    </row>
    <row r="1703" spans="20:24" x14ac:dyDescent="0.2">
      <c r="T1703" s="247" t="str">
        <f t="shared" si="31"/>
        <v>1w</v>
      </c>
      <c r="U1703" s="245">
        <f>_xll.qlCalendarAdvance(Calendar,U1702,T1703,"f",FALSE)</f>
        <v>50746</v>
      </c>
      <c r="V1703" s="248">
        <f>_xll.qlCalendarAdvance(Calendar,U1703,NDays&amp;"D")</f>
        <v>50748</v>
      </c>
      <c r="W1703" s="249">
        <v>2.4265912248298882E-2</v>
      </c>
      <c r="X1703" s="246">
        <v>2.4262710346034666E-2</v>
      </c>
    </row>
    <row r="1704" spans="20:24" x14ac:dyDescent="0.2">
      <c r="T1704" s="247" t="str">
        <f t="shared" si="31"/>
        <v>1w</v>
      </c>
      <c r="U1704" s="245">
        <f>_xll.qlCalendarAdvance(Calendar,U1703,T1704,"f",FALSE)</f>
        <v>50753</v>
      </c>
      <c r="V1704" s="248">
        <f>_xll.qlCalendarAdvance(Calendar,U1704,NDays&amp;"D")</f>
        <v>50755</v>
      </c>
      <c r="W1704" s="249">
        <v>2.425493556090963E-2</v>
      </c>
      <c r="X1704" s="246">
        <v>2.4251826529946285E-2</v>
      </c>
    </row>
    <row r="1705" spans="20:24" x14ac:dyDescent="0.2">
      <c r="T1705" s="247" t="str">
        <f t="shared" si="31"/>
        <v>1w</v>
      </c>
      <c r="U1705" s="245">
        <f>_xll.qlCalendarAdvance(Calendar,U1704,T1705,"f",FALSE)</f>
        <v>50760</v>
      </c>
      <c r="V1705" s="248">
        <f>_xll.qlCalendarAdvance(Calendar,U1705,NDays&amp;"D")</f>
        <v>50762</v>
      </c>
      <c r="W1705" s="249">
        <v>2.4243954562276571E-2</v>
      </c>
      <c r="X1705" s="246">
        <v>2.4240938398909506E-2</v>
      </c>
    </row>
    <row r="1706" spans="20:24" x14ac:dyDescent="0.2">
      <c r="T1706" s="247" t="str">
        <f t="shared" si="31"/>
        <v>1w</v>
      </c>
      <c r="U1706" s="245">
        <f>_xll.qlCalendarAdvance(Calendar,U1705,T1706,"f",FALSE)</f>
        <v>50767</v>
      </c>
      <c r="V1706" s="248">
        <f>_xll.qlCalendarAdvance(Calendar,U1706,NDays&amp;"D")</f>
        <v>50769</v>
      </c>
      <c r="W1706" s="249">
        <v>2.4232969252435232E-2</v>
      </c>
      <c r="X1706" s="246">
        <v>2.4230045952924328E-2</v>
      </c>
    </row>
    <row r="1707" spans="20:24" x14ac:dyDescent="0.2">
      <c r="T1707" s="247" t="str">
        <f t="shared" si="31"/>
        <v>1w</v>
      </c>
      <c r="U1707" s="245">
        <f>_xll.qlCalendarAdvance(Calendar,U1706,T1707,"f",FALSE)</f>
        <v>50774</v>
      </c>
      <c r="V1707" s="248">
        <f>_xll.qlCalendarAdvance(Calendar,U1707,NDays&amp;"D")</f>
        <v>50776</v>
      </c>
      <c r="W1707" s="249">
        <v>2.4221979631422919E-2</v>
      </c>
      <c r="X1707" s="246">
        <v>2.4219149191990752E-2</v>
      </c>
    </row>
    <row r="1708" spans="20:24" x14ac:dyDescent="0.2">
      <c r="T1708" s="247" t="str">
        <f t="shared" si="31"/>
        <v>1w</v>
      </c>
      <c r="U1708" s="245">
        <f>_xll.qlCalendarAdvance(Calendar,U1707,T1708,"f",FALSE)</f>
        <v>50781</v>
      </c>
      <c r="V1708" s="248">
        <f>_xll.qlCalendarAdvance(Calendar,U1708,NDays&amp;"D")</f>
        <v>50783</v>
      </c>
      <c r="W1708" s="249">
        <v>2.4210985699272491E-2</v>
      </c>
      <c r="X1708" s="246">
        <v>2.4208248115948905E-2</v>
      </c>
    </row>
    <row r="1709" spans="20:24" x14ac:dyDescent="0.2">
      <c r="T1709" s="247" t="str">
        <f t="shared" si="31"/>
        <v>1w</v>
      </c>
      <c r="U1709" s="245">
        <f>_xll.qlCalendarAdvance(Calendar,U1708,T1709,"f",FALSE)</f>
        <v>50788</v>
      </c>
      <c r="V1709" s="248">
        <f>_xll.qlCalendarAdvance(Calendar,U1709,NDays&amp;"D")</f>
        <v>50790</v>
      </c>
      <c r="W1709" s="249">
        <v>2.4199987456022143E-2</v>
      </c>
      <c r="X1709" s="246">
        <v>2.4197342725038595E-2</v>
      </c>
    </row>
    <row r="1710" spans="20:24" x14ac:dyDescent="0.2">
      <c r="T1710" s="247" t="str">
        <f t="shared" si="31"/>
        <v>1w</v>
      </c>
      <c r="U1710" s="245">
        <f>_xll.qlCalendarAdvance(Calendar,U1709,T1710,"f",FALSE)</f>
        <v>50795</v>
      </c>
      <c r="V1710" s="248">
        <f>_xll.qlCalendarAdvance(Calendar,U1710,NDays&amp;"D")</f>
        <v>50797</v>
      </c>
      <c r="W1710" s="249">
        <v>2.4188984901703847E-2</v>
      </c>
      <c r="X1710" s="246">
        <v>2.4186433019020015E-2</v>
      </c>
    </row>
    <row r="1711" spans="20:24" x14ac:dyDescent="0.2">
      <c r="T1711" s="247" t="str">
        <f t="shared" si="31"/>
        <v>1w</v>
      </c>
      <c r="U1711" s="245">
        <f>_xll.qlCalendarAdvance(Calendar,U1710,T1711,"f",FALSE)</f>
        <v>50802</v>
      </c>
      <c r="V1711" s="248">
        <f>_xll.qlCalendarAdvance(Calendar,U1711,NDays&amp;"D")</f>
        <v>50804</v>
      </c>
      <c r="W1711" s="249">
        <v>2.4177954731891479E-2</v>
      </c>
      <c r="X1711" s="246">
        <v>2.4175518998053036E-2</v>
      </c>
    </row>
    <row r="1712" spans="20:24" x14ac:dyDescent="0.2">
      <c r="T1712" s="247" t="str">
        <f t="shared" si="31"/>
        <v>1w</v>
      </c>
      <c r="U1712" s="245">
        <f>_xll.qlCalendarAdvance(Calendar,U1711,T1712,"f",FALSE)</f>
        <v>50809</v>
      </c>
      <c r="V1712" s="248">
        <f>_xll.qlCalendarAdvance(Calendar,U1712,NDays&amp;"D")</f>
        <v>50811</v>
      </c>
      <c r="W1712" s="249">
        <v>2.4166944600581445E-2</v>
      </c>
      <c r="X1712" s="246">
        <v>2.4164600662137659E-2</v>
      </c>
    </row>
    <row r="1713" spans="20:24" x14ac:dyDescent="0.2">
      <c r="T1713" s="247" t="str">
        <f t="shared" si="31"/>
        <v>1w</v>
      </c>
      <c r="U1713" s="245">
        <f>_xll.qlCalendarAdvance(Calendar,U1712,T1713,"f",FALSE)</f>
        <v>50816</v>
      </c>
      <c r="V1713" s="248">
        <f>_xll.qlCalendarAdvance(Calendar,U1713,NDays&amp;"D")</f>
        <v>50818</v>
      </c>
      <c r="W1713" s="249">
        <v>2.4155930158263231E-2</v>
      </c>
      <c r="X1713" s="246">
        <v>2.4153678011193946E-2</v>
      </c>
    </row>
    <row r="1714" spans="20:24" x14ac:dyDescent="0.2">
      <c r="T1714" s="247" t="str">
        <f t="shared" si="31"/>
        <v>1w</v>
      </c>
      <c r="U1714" s="245">
        <f>_xll.qlCalendarAdvance(Calendar,U1713,T1714,"f",FALSE)</f>
        <v>50823</v>
      </c>
      <c r="V1714" s="248">
        <f>_xll.qlCalendarAdvance(Calendar,U1714,NDays&amp;"D")</f>
        <v>50825</v>
      </c>
      <c r="W1714" s="249">
        <v>2.4144911404972765E-2</v>
      </c>
      <c r="X1714" s="246">
        <v>2.4142751045301836E-2</v>
      </c>
    </row>
    <row r="1715" spans="20:24" x14ac:dyDescent="0.2">
      <c r="T1715" s="247" t="str">
        <f t="shared" si="31"/>
        <v>1w</v>
      </c>
      <c r="U1715" s="245">
        <f>_xll.qlCalendarAdvance(Calendar,U1714,T1715,"f",FALSE)</f>
        <v>50830</v>
      </c>
      <c r="V1715" s="248">
        <f>_xll.qlCalendarAdvance(Calendar,U1715,NDays&amp;"D")</f>
        <v>50832</v>
      </c>
      <c r="W1715" s="249">
        <v>2.4133945420747968E-2</v>
      </c>
      <c r="X1715" s="246">
        <v>2.413181976438139E-2</v>
      </c>
    </row>
    <row r="1716" spans="20:24" x14ac:dyDescent="0.2">
      <c r="T1716" s="247" t="str">
        <f t="shared" si="31"/>
        <v>1w</v>
      </c>
      <c r="U1716" s="245">
        <f>_xll.qlCalendarAdvance(Calendar,U1715,T1716,"f",FALSE)</f>
        <v>50837</v>
      </c>
      <c r="V1716" s="248">
        <f>_xll.qlCalendarAdvance(Calendar,U1716,NDays&amp;"D")</f>
        <v>50839</v>
      </c>
      <c r="W1716" s="249">
        <v>2.4122916130488618E-2</v>
      </c>
      <c r="X1716" s="246">
        <v>2.4120884168512546E-2</v>
      </c>
    </row>
    <row r="1717" spans="20:24" x14ac:dyDescent="0.2">
      <c r="T1717" s="247" t="str">
        <f t="shared" si="31"/>
        <v>1w</v>
      </c>
      <c r="U1717" s="245">
        <f>_xll.qlCalendarAdvance(Calendar,U1716,T1717,"f",FALSE)</f>
        <v>50844</v>
      </c>
      <c r="V1717" s="248">
        <f>_xll.qlCalendarAdvance(Calendar,U1717,NDays&amp;"D")</f>
        <v>50846</v>
      </c>
      <c r="W1717" s="249">
        <v>2.4111888142542306E-2</v>
      </c>
      <c r="X1717" s="246">
        <v>2.4109944257615368E-2</v>
      </c>
    </row>
    <row r="1718" spans="20:24" x14ac:dyDescent="0.2">
      <c r="T1718" s="247" t="str">
        <f t="shared" si="31"/>
        <v>1w</v>
      </c>
      <c r="U1718" s="245">
        <f>_xll.qlCalendarAdvance(Calendar,U1717,T1718,"f",FALSE)</f>
        <v>50851</v>
      </c>
      <c r="V1718" s="248">
        <f>_xll.qlCalendarAdvance(Calendar,U1718,NDays&amp;"D")</f>
        <v>50853</v>
      </c>
      <c r="W1718" s="249">
        <v>2.4100866368290771E-2</v>
      </c>
      <c r="X1718" s="246">
        <v>2.4099000031689854E-2</v>
      </c>
    </row>
    <row r="1719" spans="20:24" x14ac:dyDescent="0.2">
      <c r="T1719" s="247" t="str">
        <f t="shared" si="31"/>
        <v>1w</v>
      </c>
      <c r="U1719" s="245">
        <f>_xll.qlCalendarAdvance(Calendar,U1718,T1719,"f",FALSE)</f>
        <v>50858</v>
      </c>
      <c r="V1719" s="248">
        <f>_xll.qlCalendarAdvance(Calendar,U1719,NDays&amp;"D")</f>
        <v>50860</v>
      </c>
      <c r="W1719" s="249">
        <v>2.4089835727636653E-2</v>
      </c>
      <c r="X1719" s="246">
        <v>2.4088051490975815E-2</v>
      </c>
    </row>
    <row r="1720" spans="20:24" x14ac:dyDescent="0.2">
      <c r="T1720" s="247" t="str">
        <f t="shared" si="31"/>
        <v>1w</v>
      </c>
      <c r="U1720" s="245">
        <f>_xll.qlCalendarAdvance(Calendar,U1719,T1720,"f",FALSE)</f>
        <v>50865</v>
      </c>
      <c r="V1720" s="248">
        <f>_xll.qlCalendarAdvance(Calendar,U1720,NDays&amp;"D")</f>
        <v>50867</v>
      </c>
      <c r="W1720" s="249">
        <v>2.4078839497358666E-2</v>
      </c>
      <c r="X1720" s="246">
        <v>2.4077188337670918E-2</v>
      </c>
    </row>
    <row r="1721" spans="20:24" x14ac:dyDescent="0.2">
      <c r="T1721" s="247" t="str">
        <f t="shared" si="31"/>
        <v>1w</v>
      </c>
      <c r="U1721" s="245">
        <f>_xll.qlCalendarAdvance(Calendar,U1720,T1721,"f",FALSE)</f>
        <v>50872</v>
      </c>
      <c r="V1721" s="248">
        <f>_xll.qlCalendarAdvance(Calendar,U1721,NDays&amp;"D")</f>
        <v>50874</v>
      </c>
      <c r="W1721" s="249">
        <v>2.4067863781141459E-2</v>
      </c>
      <c r="X1721" s="246">
        <v>2.4066141464302859E-2</v>
      </c>
    </row>
    <row r="1722" spans="20:24" x14ac:dyDescent="0.2">
      <c r="T1722" s="247" t="str">
        <f t="shared" si="31"/>
        <v>1w</v>
      </c>
      <c r="U1722" s="245">
        <f>_xll.qlCalendarAdvance(Calendar,U1721,T1722,"f",FALSE)</f>
        <v>50879</v>
      </c>
      <c r="V1722" s="248">
        <f>_xll.qlCalendarAdvance(Calendar,U1722,NDays&amp;"D")</f>
        <v>50881</v>
      </c>
      <c r="W1722" s="249">
        <v>2.40569135437925E-2</v>
      </c>
      <c r="X1722" s="246">
        <v>2.4055179978343944E-2</v>
      </c>
    </row>
    <row r="1723" spans="20:24" x14ac:dyDescent="0.2">
      <c r="T1723" s="247" t="str">
        <f t="shared" si="31"/>
        <v>1w</v>
      </c>
      <c r="U1723" s="245">
        <f>_xll.qlCalendarAdvance(Calendar,U1722,T1723,"f",FALSE)</f>
        <v>50886</v>
      </c>
      <c r="V1723" s="248">
        <f>_xll.qlCalendarAdvance(Calendar,U1723,NDays&amp;"D")</f>
        <v>50888</v>
      </c>
      <c r="W1723" s="249">
        <v>2.4045993750069182E-2</v>
      </c>
      <c r="X1723" s="246">
        <v>2.4044214177596501E-2</v>
      </c>
    </row>
    <row r="1724" spans="20:24" x14ac:dyDescent="0.2">
      <c r="T1724" s="247" t="str">
        <f t="shared" si="31"/>
        <v>1w</v>
      </c>
      <c r="U1724" s="245">
        <f>_xll.qlCalendarAdvance(Calendar,U1723,T1724,"f",FALSE)</f>
        <v>50893</v>
      </c>
      <c r="V1724" s="248">
        <f>_xll.qlCalendarAdvance(Calendar,U1724,NDays&amp;"D")</f>
        <v>50895</v>
      </c>
      <c r="W1724" s="249">
        <v>2.40351412408546E-2</v>
      </c>
      <c r="X1724" s="246">
        <v>2.4033244061820724E-2</v>
      </c>
    </row>
    <row r="1725" spans="20:24" x14ac:dyDescent="0.2">
      <c r="T1725" s="247" t="str">
        <f t="shared" si="31"/>
        <v>1w</v>
      </c>
      <c r="U1725" s="245">
        <f>_xll.qlCalendarAdvance(Calendar,U1724,T1725,"f",FALSE)</f>
        <v>50900</v>
      </c>
      <c r="V1725" s="248">
        <f>_xll.qlCalendarAdvance(Calendar,U1725,NDays&amp;"D")</f>
        <v>50902</v>
      </c>
      <c r="W1725" s="249">
        <v>2.4024300476563128E-2</v>
      </c>
      <c r="X1725" s="246">
        <v>2.4022269631096549E-2</v>
      </c>
    </row>
    <row r="1726" spans="20:24" x14ac:dyDescent="0.2">
      <c r="T1726" s="247" t="str">
        <f t="shared" si="31"/>
        <v>1w</v>
      </c>
      <c r="U1726" s="245">
        <f>_xll.qlCalendarAdvance(Calendar,U1725,T1726,"f",FALSE)</f>
        <v>50907</v>
      </c>
      <c r="V1726" s="248">
        <f>_xll.qlCalendarAdvance(Calendar,U1726,NDays&amp;"D")</f>
        <v>50909</v>
      </c>
      <c r="W1726" s="249">
        <v>2.4013505215061019E-2</v>
      </c>
      <c r="X1726" s="246">
        <v>2.4011290885423975E-2</v>
      </c>
    </row>
    <row r="1727" spans="20:24" x14ac:dyDescent="0.2">
      <c r="T1727" s="247" t="str">
        <f t="shared" si="31"/>
        <v>1w</v>
      </c>
      <c r="U1727" s="245">
        <f>_xll.qlCalendarAdvance(Calendar,U1726,T1727,"f",FALSE)</f>
        <v>50914</v>
      </c>
      <c r="V1727" s="248">
        <f>_xll.qlCalendarAdvance(Calendar,U1727,NDays&amp;"D")</f>
        <v>50916</v>
      </c>
      <c r="W1727" s="249">
        <v>2.4002760367239966E-2</v>
      </c>
      <c r="X1727" s="246">
        <v>2.4000307824563194E-2</v>
      </c>
    </row>
    <row r="1728" spans="20:24" x14ac:dyDescent="0.2">
      <c r="T1728" s="247" t="str">
        <f t="shared" si="31"/>
        <v>1w</v>
      </c>
      <c r="U1728" s="245">
        <f>_xll.qlCalendarAdvance(Calendar,U1727,T1728,"f",FALSE)</f>
        <v>50921</v>
      </c>
      <c r="V1728" s="248">
        <f>_xll.qlCalendarAdvance(Calendar,U1728,NDays&amp;"D")</f>
        <v>50923</v>
      </c>
      <c r="W1728" s="249">
        <v>2.399207084394735E-2</v>
      </c>
      <c r="X1728" s="246">
        <v>2.3989320667139324E-2</v>
      </c>
    </row>
    <row r="1729" spans="20:24" x14ac:dyDescent="0.2">
      <c r="T1729" s="247" t="str">
        <f t="shared" si="31"/>
        <v>1w</v>
      </c>
      <c r="U1729" s="245">
        <f>_xll.qlCalendarAdvance(Calendar,U1728,T1729,"f",FALSE)</f>
        <v>50928</v>
      </c>
      <c r="V1729" s="248">
        <f>_xll.qlCalendarAdvance(Calendar,U1729,NDays&amp;"D")</f>
        <v>50930</v>
      </c>
      <c r="W1729" s="249">
        <v>2.3981440737435796E-2</v>
      </c>
      <c r="X1729" s="246">
        <v>2.3978365638654964E-2</v>
      </c>
    </row>
    <row r="1730" spans="20:24" x14ac:dyDescent="0.2">
      <c r="T1730" s="247" t="str">
        <f t="shared" si="31"/>
        <v>1w</v>
      </c>
      <c r="U1730" s="245">
        <f>_xll.qlCalendarAdvance(Calendar,U1729,T1730,"f",FALSE)</f>
        <v>50935</v>
      </c>
      <c r="V1730" s="248">
        <f>_xll.qlCalendarAdvance(Calendar,U1730,NDays&amp;"D")</f>
        <v>50937</v>
      </c>
      <c r="W1730" s="249">
        <v>2.3970870865760489E-2</v>
      </c>
      <c r="X1730" s="246">
        <v>2.3967470454060447E-2</v>
      </c>
    </row>
    <row r="1731" spans="20:24" x14ac:dyDescent="0.2">
      <c r="T1731" s="247" t="str">
        <f t="shared" si="31"/>
        <v>1w</v>
      </c>
      <c r="U1731" s="245">
        <f>_xll.qlCalendarAdvance(Calendar,U1730,T1731,"f",FALSE)</f>
        <v>50942</v>
      </c>
      <c r="V1731" s="248">
        <f>_xll.qlCalendarAdvance(Calendar,U1731,NDays&amp;"D")</f>
        <v>50944</v>
      </c>
      <c r="W1731" s="249">
        <v>2.3960361228439211E-2</v>
      </c>
      <c r="X1731" s="246">
        <v>2.3956635113275837E-2</v>
      </c>
    </row>
    <row r="1732" spans="20:24" x14ac:dyDescent="0.2">
      <c r="T1732" s="247" t="str">
        <f t="shared" si="31"/>
        <v>1w</v>
      </c>
      <c r="U1732" s="245">
        <f>_xll.qlCalendarAdvance(Calendar,U1731,T1732,"f",FALSE)</f>
        <v>50949</v>
      </c>
      <c r="V1732" s="248">
        <f>_xll.qlCalendarAdvance(Calendar,U1732,NDays&amp;"D")</f>
        <v>50951</v>
      </c>
      <c r="W1732" s="249">
        <v>2.3949911824987128E-2</v>
      </c>
      <c r="X1732" s="246">
        <v>2.3945859616461007E-2</v>
      </c>
    </row>
    <row r="1733" spans="20:24" x14ac:dyDescent="0.2">
      <c r="T1733" s="247" t="str">
        <f t="shared" si="31"/>
        <v>1w</v>
      </c>
      <c r="U1733" s="245">
        <f>_xll.qlCalendarAdvance(Calendar,U1732,T1733,"f",FALSE)</f>
        <v>50956</v>
      </c>
      <c r="V1733" s="248">
        <f>_xll.qlCalendarAdvance(Calendar,U1733,NDays&amp;"D")</f>
        <v>50958</v>
      </c>
      <c r="W1733" s="249">
        <v>2.3939522654926364E-2</v>
      </c>
      <c r="X1733" s="246">
        <v>2.3935143963456085E-2</v>
      </c>
    </row>
    <row r="1734" spans="20:24" x14ac:dyDescent="0.2">
      <c r="T1734" s="247" t="str">
        <f t="shared" si="31"/>
        <v>1w</v>
      </c>
      <c r="U1734" s="245">
        <f>_xll.qlCalendarAdvance(Calendar,U1733,T1734,"f",FALSE)</f>
        <v>50963</v>
      </c>
      <c r="V1734" s="248">
        <f>_xll.qlCalendarAdvance(Calendar,U1734,NDays&amp;"D")</f>
        <v>50965</v>
      </c>
      <c r="W1734" s="249">
        <v>2.392919371777991E-2</v>
      </c>
      <c r="X1734" s="246">
        <v>2.3924488154341006E-2</v>
      </c>
    </row>
    <row r="1735" spans="20:24" x14ac:dyDescent="0.2">
      <c r="T1735" s="247" t="str">
        <f t="shared" si="31"/>
        <v>1w</v>
      </c>
      <c r="U1735" s="245">
        <f>_xll.qlCalendarAdvance(Calendar,U1734,T1735,"f",FALSE)</f>
        <v>50970</v>
      </c>
      <c r="V1735" s="248">
        <f>_xll.qlCalendarAdvance(Calendar,U1735,NDays&amp;"D")</f>
        <v>50972</v>
      </c>
      <c r="W1735" s="249">
        <v>2.3918925013074226E-2</v>
      </c>
      <c r="X1735" s="246">
        <v>2.3913892189115771E-2</v>
      </c>
    </row>
    <row r="1736" spans="20:24" x14ac:dyDescent="0.2">
      <c r="T1736" s="247" t="str">
        <f t="shared" si="31"/>
        <v>1w</v>
      </c>
      <c r="U1736" s="245">
        <f>_xll.qlCalendarAdvance(Calendar,U1735,T1736,"f",FALSE)</f>
        <v>50977</v>
      </c>
      <c r="V1736" s="248">
        <f>_xll.qlCalendarAdvance(Calendar,U1736,NDays&amp;"D")</f>
        <v>50979</v>
      </c>
      <c r="W1736" s="249">
        <v>2.3908716540336654E-2</v>
      </c>
      <c r="X1736" s="246">
        <v>2.3903356067700443E-2</v>
      </c>
    </row>
    <row r="1737" spans="20:24" x14ac:dyDescent="0.2">
      <c r="T1737" s="247" t="str">
        <f t="shared" si="31"/>
        <v>1w</v>
      </c>
      <c r="U1737" s="245">
        <f>_xll.qlCalendarAdvance(Calendar,U1736,T1737,"f",FALSE)</f>
        <v>50984</v>
      </c>
      <c r="V1737" s="248">
        <f>_xll.qlCalendarAdvance(Calendar,U1737,NDays&amp;"D")</f>
        <v>50986</v>
      </c>
      <c r="W1737" s="249">
        <v>2.3898568299099737E-2</v>
      </c>
      <c r="X1737" s="246">
        <v>2.3892879790095023E-2</v>
      </c>
    </row>
    <row r="1738" spans="20:24" x14ac:dyDescent="0.2">
      <c r="T1738" s="247" t="str">
        <f t="shared" si="31"/>
        <v>1w</v>
      </c>
      <c r="U1738" s="245">
        <f>_xll.qlCalendarAdvance(Calendar,U1737,T1738,"f",FALSE)</f>
        <v>50991</v>
      </c>
      <c r="V1738" s="248">
        <f>_xll.qlCalendarAdvance(Calendar,U1738,NDays&amp;"D")</f>
        <v>50993</v>
      </c>
      <c r="W1738" s="249">
        <v>2.3888480288897763E-2</v>
      </c>
      <c r="X1738" s="246">
        <v>2.388246335629951E-2</v>
      </c>
    </row>
    <row r="1739" spans="20:24" x14ac:dyDescent="0.2">
      <c r="T1739" s="247" t="str">
        <f t="shared" si="31"/>
        <v>1w</v>
      </c>
      <c r="U1739" s="245">
        <f>_xll.qlCalendarAdvance(Calendar,U1738,T1739,"f",FALSE)</f>
        <v>50998</v>
      </c>
      <c r="V1739" s="248">
        <f>_xll.qlCalendarAdvance(Calendar,U1739,NDays&amp;"D")</f>
        <v>51000</v>
      </c>
      <c r="W1739" s="249">
        <v>2.3878452509269361E-2</v>
      </c>
      <c r="X1739" s="246">
        <v>2.3872106766553713E-2</v>
      </c>
    </row>
    <row r="1740" spans="20:24" x14ac:dyDescent="0.2">
      <c r="T1740" s="247" t="str">
        <f t="shared" si="31"/>
        <v>1w</v>
      </c>
      <c r="U1740" s="245">
        <f>_xll.qlCalendarAdvance(Calendar,U1739,T1740,"f",FALSE)</f>
        <v>51005</v>
      </c>
      <c r="V1740" s="248">
        <f>_xll.qlCalendarAdvance(Calendar,U1740,NDays&amp;"D")</f>
        <v>51007</v>
      </c>
      <c r="W1740" s="249">
        <v>2.3868484959751423E-2</v>
      </c>
      <c r="X1740" s="246">
        <v>2.3861810020457952E-2</v>
      </c>
    </row>
    <row r="1741" spans="20:24" x14ac:dyDescent="0.2">
      <c r="T1741" s="247" t="str">
        <f t="shared" si="31"/>
        <v>1w</v>
      </c>
      <c r="U1741" s="245">
        <f>_xll.qlCalendarAdvance(Calendar,U1740,T1741,"f",FALSE)</f>
        <v>51012</v>
      </c>
      <c r="V1741" s="248">
        <f>_xll.qlCalendarAdvance(Calendar,U1741,NDays&amp;"D")</f>
        <v>51014</v>
      </c>
      <c r="W1741" s="249">
        <v>2.3858484913335563E-2</v>
      </c>
      <c r="X1741" s="246">
        <v>2.3851573118172098E-2</v>
      </c>
    </row>
    <row r="1742" spans="20:24" x14ac:dyDescent="0.2">
      <c r="T1742" s="247" t="str">
        <f t="shared" si="31"/>
        <v>1w</v>
      </c>
      <c r="U1742" s="245">
        <f>_xll.qlCalendarAdvance(Calendar,U1741,T1742,"f",FALSE)</f>
        <v>51019</v>
      </c>
      <c r="V1742" s="248">
        <f>_xll.qlCalendarAdvance(Calendar,U1742,NDays&amp;"D")</f>
        <v>51021</v>
      </c>
      <c r="W1742" s="249">
        <v>2.3848634171396484E-2</v>
      </c>
      <c r="X1742" s="246">
        <v>2.3841396059776088E-2</v>
      </c>
    </row>
    <row r="1743" spans="20:24" x14ac:dyDescent="0.2">
      <c r="T1743" s="247" t="str">
        <f t="shared" si="31"/>
        <v>1w</v>
      </c>
      <c r="U1743" s="245">
        <f>_xll.qlCalendarAdvance(Calendar,U1742,T1743,"f",FALSE)</f>
        <v>51026</v>
      </c>
      <c r="V1743" s="248">
        <f>_xll.qlCalendarAdvance(Calendar,U1743,NDays&amp;"D")</f>
        <v>51028</v>
      </c>
      <c r="W1743" s="249">
        <v>2.3838843653993972E-2</v>
      </c>
      <c r="X1743" s="246">
        <v>2.3831278845110049E-2</v>
      </c>
    </row>
    <row r="1744" spans="20:24" x14ac:dyDescent="0.2">
      <c r="T1744" s="247" t="str">
        <f t="shared" si="31"/>
        <v>1w</v>
      </c>
      <c r="U1744" s="245">
        <f>_xll.qlCalendarAdvance(Calendar,U1743,T1744,"f",FALSE)</f>
        <v>51033</v>
      </c>
      <c r="V1744" s="248">
        <f>_xll.qlCalendarAdvance(Calendar,U1744,NDays&amp;"D")</f>
        <v>51035</v>
      </c>
      <c r="W1744" s="249">
        <v>2.382911336068267E-2</v>
      </c>
      <c r="X1744" s="246">
        <v>2.382122147441379E-2</v>
      </c>
    </row>
    <row r="1745" spans="20:24" x14ac:dyDescent="0.2">
      <c r="T1745" s="247" t="str">
        <f t="shared" si="31"/>
        <v>1w</v>
      </c>
      <c r="U1745" s="245">
        <f>_xll.qlCalendarAdvance(Calendar,U1744,T1745,"f",FALSE)</f>
        <v>51040</v>
      </c>
      <c r="V1745" s="248">
        <f>_xll.qlCalendarAdvance(Calendar,U1745,NDays&amp;"D")</f>
        <v>51042</v>
      </c>
      <c r="W1745" s="249">
        <v>2.381944329102249E-2</v>
      </c>
      <c r="X1745" s="246">
        <v>2.3811223947447502E-2</v>
      </c>
    </row>
    <row r="1746" spans="20:24" x14ac:dyDescent="0.2">
      <c r="T1746" s="247" t="str">
        <f t="shared" ref="T1746:T1809" si="32">T1745</f>
        <v>1w</v>
      </c>
      <c r="U1746" s="245">
        <f>_xll.qlCalendarAdvance(Calendar,U1745,T1746,"f",FALSE)</f>
        <v>51047</v>
      </c>
      <c r="V1746" s="248">
        <f>_xll.qlCalendarAdvance(Calendar,U1746,NDays&amp;"D")</f>
        <v>51049</v>
      </c>
      <c r="W1746" s="249">
        <v>2.3809944469582976E-2</v>
      </c>
      <c r="X1746" s="246">
        <v>2.3801286264211186E-2</v>
      </c>
    </row>
    <row r="1747" spans="20:24" x14ac:dyDescent="0.2">
      <c r="T1747" s="247" t="str">
        <f t="shared" si="32"/>
        <v>1w</v>
      </c>
      <c r="U1747" s="245">
        <f>_xll.qlCalendarAdvance(Calendar,U1746,T1747,"f",FALSE)</f>
        <v>51054</v>
      </c>
      <c r="V1747" s="248">
        <f>_xll.qlCalendarAdvance(Calendar,U1747,NDays&amp;"D")</f>
        <v>51056</v>
      </c>
      <c r="W1747" s="249">
        <v>2.3800398518199702E-2</v>
      </c>
      <c r="X1747" s="246">
        <v>2.3791408424784777E-2</v>
      </c>
    </row>
    <row r="1748" spans="20:24" x14ac:dyDescent="0.2">
      <c r="T1748" s="247" t="str">
        <f t="shared" si="32"/>
        <v>1w</v>
      </c>
      <c r="U1748" s="245">
        <f>_xll.qlCalendarAdvance(Calendar,U1747,T1748,"f",FALSE)</f>
        <v>51061</v>
      </c>
      <c r="V1748" s="248">
        <f>_xll.qlCalendarAdvance(Calendar,U1748,NDays&amp;"D")</f>
        <v>51063</v>
      </c>
      <c r="W1748" s="249">
        <v>2.3790912793346278E-2</v>
      </c>
      <c r="X1748" s="246">
        <v>2.3781590429248212E-2</v>
      </c>
    </row>
    <row r="1749" spans="20:24" x14ac:dyDescent="0.2">
      <c r="T1749" s="247" t="str">
        <f t="shared" si="32"/>
        <v>1w</v>
      </c>
      <c r="U1749" s="245">
        <f>_xll.qlCalendarAdvance(Calendar,U1748,T1749,"f",FALSE)</f>
        <v>51068</v>
      </c>
      <c r="V1749" s="248">
        <f>_xll.qlCalendarAdvance(Calendar,U1749,NDays&amp;"D")</f>
        <v>51070</v>
      </c>
      <c r="W1749" s="249">
        <v>2.3781487294588271E-2</v>
      </c>
      <c r="X1749" s="246">
        <v>2.3771832277361682E-2</v>
      </c>
    </row>
    <row r="1750" spans="20:24" x14ac:dyDescent="0.2">
      <c r="T1750" s="247" t="str">
        <f t="shared" si="32"/>
        <v>1w</v>
      </c>
      <c r="U1750" s="245">
        <f>_xll.qlCalendarAdvance(Calendar,U1749,T1750,"f",FALSE)</f>
        <v>51075</v>
      </c>
      <c r="V1750" s="248">
        <f>_xll.qlCalendarAdvance(Calendar,U1750,NDays&amp;"D")</f>
        <v>51077</v>
      </c>
      <c r="W1750" s="249">
        <v>2.3772122021493848E-2</v>
      </c>
      <c r="X1750" s="246">
        <v>2.376213396928506E-2</v>
      </c>
    </row>
    <row r="1751" spans="20:24" x14ac:dyDescent="0.2">
      <c r="T1751" s="247" t="str">
        <f t="shared" si="32"/>
        <v>1w</v>
      </c>
      <c r="U1751" s="245">
        <f>_xll.qlCalendarAdvance(Calendar,U1750,T1751,"f",FALSE)</f>
        <v>51082</v>
      </c>
      <c r="V1751" s="248">
        <f>_xll.qlCalendarAdvance(Calendar,U1751,NDays&amp;"D")</f>
        <v>51084</v>
      </c>
      <c r="W1751" s="249">
        <v>2.3762816973632923E-2</v>
      </c>
      <c r="X1751" s="246">
        <v>2.3752495505098281E-2</v>
      </c>
    </row>
    <row r="1752" spans="20:24" x14ac:dyDescent="0.2">
      <c r="T1752" s="247" t="str">
        <f t="shared" si="32"/>
        <v>1w</v>
      </c>
      <c r="U1752" s="245">
        <f>_xll.qlCalendarAdvance(Calendar,U1751,T1752,"f",FALSE)</f>
        <v>51089</v>
      </c>
      <c r="V1752" s="248">
        <f>_xll.qlCalendarAdvance(Calendar,U1752,NDays&amp;"D")</f>
        <v>51091</v>
      </c>
      <c r="W1752" s="249">
        <v>2.3753572150578009E-2</v>
      </c>
      <c r="X1752" s="246">
        <v>2.3742916884641474E-2</v>
      </c>
    </row>
    <row r="1753" spans="20:24" x14ac:dyDescent="0.2">
      <c r="T1753" s="247" t="str">
        <f t="shared" si="32"/>
        <v>1w</v>
      </c>
      <c r="U1753" s="245">
        <f>_xll.qlCalendarAdvance(Calendar,U1752,T1753,"f",FALSE)</f>
        <v>51096</v>
      </c>
      <c r="V1753" s="248">
        <f>_xll.qlCalendarAdvance(Calendar,U1753,NDays&amp;"D")</f>
        <v>51098</v>
      </c>
      <c r="W1753" s="249">
        <v>2.3744387551905968E-2</v>
      </c>
      <c r="X1753" s="246">
        <v>2.3733398107834702E-2</v>
      </c>
    </row>
    <row r="1754" spans="20:24" x14ac:dyDescent="0.2">
      <c r="T1754" s="247" t="str">
        <f t="shared" si="32"/>
        <v>1w</v>
      </c>
      <c r="U1754" s="245">
        <f>_xll.qlCalendarAdvance(Calendar,U1753,T1754,"f",FALSE)</f>
        <v>51103</v>
      </c>
      <c r="V1754" s="248">
        <f>_xll.qlCalendarAdvance(Calendar,U1754,NDays&amp;"D")</f>
        <v>51105</v>
      </c>
      <c r="W1754" s="249">
        <v>2.3735122656828863E-2</v>
      </c>
      <c r="X1754" s="246">
        <v>2.3723939174837838E-2</v>
      </c>
    </row>
    <row r="1755" spans="20:24" x14ac:dyDescent="0.2">
      <c r="T1755" s="247" t="str">
        <f t="shared" si="32"/>
        <v>1w</v>
      </c>
      <c r="U1755" s="245">
        <f>_xll.qlCalendarAdvance(Calendar,U1754,T1755,"f",FALSE)</f>
        <v>51110</v>
      </c>
      <c r="V1755" s="248">
        <f>_xll.qlCalendarAdvance(Calendar,U1755,NDays&amp;"D")</f>
        <v>51112</v>
      </c>
      <c r="W1755" s="249">
        <v>2.372605479998368E-2</v>
      </c>
      <c r="X1755" s="246">
        <v>2.3714540085730818E-2</v>
      </c>
    </row>
    <row r="1756" spans="20:24" x14ac:dyDescent="0.2">
      <c r="T1756" s="247" t="str">
        <f t="shared" si="32"/>
        <v>1w</v>
      </c>
      <c r="U1756" s="245">
        <f>_xll.qlCalendarAdvance(Calendar,U1755,T1756,"f",FALSE)</f>
        <v>51117</v>
      </c>
      <c r="V1756" s="248">
        <f>_xll.qlCalendarAdvance(Calendar,U1756,NDays&amp;"D")</f>
        <v>51119</v>
      </c>
      <c r="W1756" s="249">
        <v>2.3717047162112041E-2</v>
      </c>
      <c r="X1756" s="246">
        <v>2.370520084011396E-2</v>
      </c>
    </row>
    <row r="1757" spans="20:24" x14ac:dyDescent="0.2">
      <c r="T1757" s="247" t="str">
        <f t="shared" si="32"/>
        <v>1w</v>
      </c>
      <c r="U1757" s="245">
        <f>_xll.qlCalendarAdvance(Calendar,U1756,T1757,"f",FALSE)</f>
        <v>51124</v>
      </c>
      <c r="V1757" s="248">
        <f>_xll.qlCalendarAdvance(Calendar,U1757,NDays&amp;"D")</f>
        <v>51126</v>
      </c>
      <c r="W1757" s="249">
        <v>2.3708099742806361E-2</v>
      </c>
      <c r="X1757" s="246">
        <v>2.3695921438466883E-2</v>
      </c>
    </row>
    <row r="1758" spans="20:24" x14ac:dyDescent="0.2">
      <c r="T1758" s="247" t="str">
        <f t="shared" si="32"/>
        <v>1w</v>
      </c>
      <c r="U1758" s="245">
        <f>_xll.qlCalendarAdvance(Calendar,U1757,T1758,"f",FALSE)</f>
        <v>51131</v>
      </c>
      <c r="V1758" s="248">
        <f>_xll.qlCalendarAdvance(Calendar,U1758,NDays&amp;"D")</f>
        <v>51133</v>
      </c>
      <c r="W1758" s="249">
        <v>2.3699212541657296E-2</v>
      </c>
      <c r="X1758" s="246">
        <v>2.368670188046984E-2</v>
      </c>
    </row>
    <row r="1759" spans="20:24" x14ac:dyDescent="0.2">
      <c r="T1759" s="247" t="str">
        <f t="shared" si="32"/>
        <v>1w</v>
      </c>
      <c r="U1759" s="245">
        <f>_xll.qlCalendarAdvance(Calendar,U1758,T1759,"f",FALSE)</f>
        <v>51138</v>
      </c>
      <c r="V1759" s="248">
        <f>_xll.qlCalendarAdvance(Calendar,U1759,NDays&amp;"D")</f>
        <v>51140</v>
      </c>
      <c r="W1759" s="249">
        <v>2.3690385558263409E-2</v>
      </c>
      <c r="X1759" s="246">
        <v>2.3677542166282706E-2</v>
      </c>
    </row>
    <row r="1760" spans="20:24" x14ac:dyDescent="0.2">
      <c r="T1760" s="247" t="str">
        <f t="shared" si="32"/>
        <v>1w</v>
      </c>
      <c r="U1760" s="245">
        <f>_xll.qlCalendarAdvance(Calendar,U1759,T1760,"f",FALSE)</f>
        <v>51145</v>
      </c>
      <c r="V1760" s="248">
        <f>_xll.qlCalendarAdvance(Calendar,U1760,NDays&amp;"D")</f>
        <v>51147</v>
      </c>
      <c r="W1760" s="249">
        <v>2.368161879222502E-2</v>
      </c>
      <c r="X1760" s="246">
        <v>2.3668442295825542E-2</v>
      </c>
    </row>
    <row r="1761" spans="20:24" x14ac:dyDescent="0.2">
      <c r="T1761" s="247" t="str">
        <f t="shared" si="32"/>
        <v>1w</v>
      </c>
      <c r="U1761" s="245">
        <f>_xll.qlCalendarAdvance(Calendar,U1760,T1761,"f",FALSE)</f>
        <v>51152</v>
      </c>
      <c r="V1761" s="248">
        <f>_xll.qlCalendarAdvance(Calendar,U1761,NDays&amp;"D")</f>
        <v>51154</v>
      </c>
      <c r="W1761" s="249">
        <v>2.3672912243140689E-2</v>
      </c>
      <c r="X1761" s="246">
        <v>2.3659402269018415E-2</v>
      </c>
    </row>
    <row r="1762" spans="20:24" x14ac:dyDescent="0.2">
      <c r="T1762" s="247" t="str">
        <f t="shared" si="32"/>
        <v>1w</v>
      </c>
      <c r="U1762" s="245">
        <f>_xll.qlCalendarAdvance(Calendar,U1761,T1762,"f",FALSE)</f>
        <v>51159</v>
      </c>
      <c r="V1762" s="248">
        <f>_xll.qlCalendarAdvance(Calendar,U1762,NDays&amp;"D")</f>
        <v>51161</v>
      </c>
      <c r="W1762" s="249">
        <v>2.3664265910619525E-2</v>
      </c>
      <c r="X1762" s="246">
        <v>2.3650422086021194E-2</v>
      </c>
    </row>
    <row r="1763" spans="20:24" x14ac:dyDescent="0.2">
      <c r="T1763" s="247" t="str">
        <f t="shared" si="32"/>
        <v>1w</v>
      </c>
      <c r="U1763" s="245">
        <f>_xll.qlCalendarAdvance(Calendar,U1762,T1763,"f",FALSE)</f>
        <v>51166</v>
      </c>
      <c r="V1763" s="248">
        <f>_xll.qlCalendarAdvance(Calendar,U1763,NDays&amp;"D")</f>
        <v>51168</v>
      </c>
      <c r="W1763" s="249">
        <v>2.3655506138312354E-2</v>
      </c>
      <c r="X1763" s="246">
        <v>2.3641501746594074E-2</v>
      </c>
    </row>
    <row r="1764" spans="20:24" x14ac:dyDescent="0.2">
      <c r="T1764" s="247" t="str">
        <f t="shared" si="32"/>
        <v>1w</v>
      </c>
      <c r="U1764" s="245">
        <f>_xll.qlCalendarAdvance(Calendar,U1763,T1764,"f",FALSE)</f>
        <v>51173</v>
      </c>
      <c r="V1764" s="248">
        <f>_xll.qlCalendarAdvance(Calendar,U1764,NDays&amp;"D")</f>
        <v>51175</v>
      </c>
      <c r="W1764" s="249">
        <v>2.364697649539238E-2</v>
      </c>
      <c r="X1764" s="246">
        <v>2.3632641251056796E-2</v>
      </c>
    </row>
    <row r="1765" spans="20:24" x14ac:dyDescent="0.2">
      <c r="T1765" s="247" t="str">
        <f t="shared" si="32"/>
        <v>1w</v>
      </c>
      <c r="U1765" s="245">
        <f>_xll.qlCalendarAdvance(Calendar,U1764,T1765,"f",FALSE)</f>
        <v>51180</v>
      </c>
      <c r="V1765" s="248">
        <f>_xll.qlCalendarAdvance(Calendar,U1765,NDays&amp;"D")</f>
        <v>51182</v>
      </c>
      <c r="W1765" s="249">
        <v>2.3638507063748371E-2</v>
      </c>
      <c r="X1765" s="246">
        <v>2.3623840599089618E-2</v>
      </c>
    </row>
    <row r="1766" spans="20:24" x14ac:dyDescent="0.2">
      <c r="T1766" s="247" t="str">
        <f t="shared" si="32"/>
        <v>1w</v>
      </c>
      <c r="U1766" s="245">
        <f>_xll.qlCalendarAdvance(Calendar,U1765,T1766,"f",FALSE)</f>
        <v>51187</v>
      </c>
      <c r="V1766" s="248">
        <f>_xll.qlCalendarAdvance(Calendar,U1766,NDays&amp;"D")</f>
        <v>51189</v>
      </c>
      <c r="W1766" s="249">
        <v>2.3630097843001963E-2</v>
      </c>
      <c r="X1766" s="246">
        <v>2.3615099791012284E-2</v>
      </c>
    </row>
    <row r="1767" spans="20:24" x14ac:dyDescent="0.2">
      <c r="T1767" s="247" t="str">
        <f t="shared" si="32"/>
        <v>1w</v>
      </c>
      <c r="U1767" s="245">
        <f>_xll.qlCalendarAdvance(Calendar,U1766,T1767,"f",FALSE)</f>
        <v>51194</v>
      </c>
      <c r="V1767" s="248">
        <f>_xll.qlCalendarAdvance(Calendar,U1767,NDays&amp;"D")</f>
        <v>51196</v>
      </c>
      <c r="W1767" s="249">
        <v>2.3622126499655054E-2</v>
      </c>
      <c r="X1767" s="246">
        <v>2.3606418826425113E-2</v>
      </c>
    </row>
    <row r="1768" spans="20:24" x14ac:dyDescent="0.2">
      <c r="T1768" s="247" t="str">
        <f t="shared" si="32"/>
        <v>1w</v>
      </c>
      <c r="U1768" s="245">
        <f>_xll.qlCalendarAdvance(Calendar,U1767,T1768,"f",FALSE)</f>
        <v>51201</v>
      </c>
      <c r="V1768" s="248">
        <f>_xll.qlCalendarAdvance(Calendar,U1768,NDays&amp;"D")</f>
        <v>51203</v>
      </c>
      <c r="W1768" s="249">
        <v>2.3613845217694877E-2</v>
      </c>
      <c r="X1768" s="246">
        <v>2.3597797705647849E-2</v>
      </c>
    </row>
    <row r="1769" spans="20:24" x14ac:dyDescent="0.2">
      <c r="T1769" s="247" t="str">
        <f t="shared" si="32"/>
        <v>1w</v>
      </c>
      <c r="U1769" s="245">
        <f>_xll.qlCalendarAdvance(Calendar,U1768,T1769,"f",FALSE)</f>
        <v>51208</v>
      </c>
      <c r="V1769" s="248">
        <f>_xll.qlCalendarAdvance(Calendar,U1769,NDays&amp;"D")</f>
        <v>51210</v>
      </c>
      <c r="W1769" s="249">
        <v>2.3605624153703576E-2</v>
      </c>
      <c r="X1769" s="246">
        <v>2.3589236428600557E-2</v>
      </c>
    </row>
    <row r="1770" spans="20:24" x14ac:dyDescent="0.2">
      <c r="T1770" s="247" t="str">
        <f t="shared" si="32"/>
        <v>1w</v>
      </c>
      <c r="U1770" s="245">
        <f>_xll.qlCalendarAdvance(Calendar,U1769,T1770,"f",FALSE)</f>
        <v>51215</v>
      </c>
      <c r="V1770" s="248">
        <f>_xll.qlCalendarAdvance(Calendar,U1770,NDays&amp;"D")</f>
        <v>51217</v>
      </c>
      <c r="W1770" s="249">
        <v>2.3597463307307529E-2</v>
      </c>
      <c r="X1770" s="246">
        <v>2.3580734995123365E-2</v>
      </c>
    </row>
    <row r="1771" spans="20:24" x14ac:dyDescent="0.2">
      <c r="T1771" s="247" t="str">
        <f t="shared" si="32"/>
        <v>1w</v>
      </c>
      <c r="U1771" s="245">
        <f>_xll.qlCalendarAdvance(Calendar,U1770,T1771,"f",FALSE)</f>
        <v>51222</v>
      </c>
      <c r="V1771" s="248">
        <f>_xll.qlCalendarAdvance(Calendar,U1771,NDays&amp;"D")</f>
        <v>51224</v>
      </c>
      <c r="W1771" s="249">
        <v>2.358936267813052E-2</v>
      </c>
      <c r="X1771" s="246">
        <v>2.3572980270436972E-2</v>
      </c>
    </row>
    <row r="1772" spans="20:24" x14ac:dyDescent="0.2">
      <c r="T1772" s="247" t="str">
        <f t="shared" si="32"/>
        <v>1w</v>
      </c>
      <c r="U1772" s="245">
        <f>_xll.qlCalendarAdvance(Calendar,U1771,T1772,"f",FALSE)</f>
        <v>51229</v>
      </c>
      <c r="V1772" s="248">
        <f>_xll.qlCalendarAdvance(Calendar,U1772,NDays&amp;"D")</f>
        <v>51231</v>
      </c>
      <c r="W1772" s="249">
        <v>2.3581114411300085E-2</v>
      </c>
      <c r="X1772" s="246">
        <v>2.356391165943883E-2</v>
      </c>
    </row>
    <row r="1773" spans="20:24" x14ac:dyDescent="0.2">
      <c r="T1773" s="247" t="str">
        <f t="shared" si="32"/>
        <v>1w</v>
      </c>
      <c r="U1773" s="245">
        <f>_xll.qlCalendarAdvance(Calendar,U1772,T1773,"f",FALSE)</f>
        <v>51236</v>
      </c>
      <c r="V1773" s="248">
        <f>_xll.qlCalendarAdvance(Calendar,U1773,NDays&amp;"D")</f>
        <v>51238</v>
      </c>
      <c r="W1773" s="249">
        <v>2.3573130435656835E-2</v>
      </c>
      <c r="X1773" s="246">
        <v>2.3555589756991679E-2</v>
      </c>
    </row>
    <row r="1774" spans="20:24" x14ac:dyDescent="0.2">
      <c r="T1774" s="247" t="str">
        <f t="shared" si="32"/>
        <v>1w</v>
      </c>
      <c r="U1774" s="245">
        <f>_xll.qlCalendarAdvance(Calendar,U1773,T1774,"f",FALSE)</f>
        <v>51243</v>
      </c>
      <c r="V1774" s="248">
        <f>_xll.qlCalendarAdvance(Calendar,U1774,NDays&amp;"D")</f>
        <v>51245</v>
      </c>
      <c r="W1774" s="249">
        <v>2.3565206672044991E-2</v>
      </c>
      <c r="X1774" s="246">
        <v>2.3547327698274501E-2</v>
      </c>
    </row>
    <row r="1775" spans="20:24" x14ac:dyDescent="0.2">
      <c r="T1775" s="247" t="str">
        <f t="shared" si="32"/>
        <v>1w</v>
      </c>
      <c r="U1775" s="245">
        <f>_xll.qlCalendarAdvance(Calendar,U1774,T1775,"f",FALSE)</f>
        <v>51250</v>
      </c>
      <c r="V1775" s="248">
        <f>_xll.qlCalendarAdvance(Calendar,U1775,NDays&amp;"D")</f>
        <v>51252</v>
      </c>
      <c r="W1775" s="249">
        <v>2.3557343120108796E-2</v>
      </c>
      <c r="X1775" s="246">
        <v>2.3539125483287293E-2</v>
      </c>
    </row>
    <row r="1776" spans="20:24" x14ac:dyDescent="0.2">
      <c r="T1776" s="247" t="str">
        <f t="shared" si="32"/>
        <v>1w</v>
      </c>
      <c r="U1776" s="245">
        <f>_xll.qlCalendarAdvance(Calendar,U1775,T1776,"f",FALSE)</f>
        <v>51258</v>
      </c>
      <c r="V1776" s="248">
        <f>_xll.qlCalendarAdvance(Calendar,U1776,NDays&amp;"D")</f>
        <v>51260</v>
      </c>
      <c r="W1776" s="249">
        <v>2.3549101668253074E-2</v>
      </c>
      <c r="X1776" s="246">
        <v>2.3530205925235137E-2</v>
      </c>
    </row>
    <row r="1777" spans="20:24" x14ac:dyDescent="0.2">
      <c r="T1777" s="247" t="str">
        <f t="shared" si="32"/>
        <v>1w</v>
      </c>
      <c r="U1777" s="245">
        <f>_xll.qlCalendarAdvance(Calendar,U1776,T1777,"f",FALSE)</f>
        <v>51265</v>
      </c>
      <c r="V1777" s="248">
        <f>_xll.qlCalendarAdvance(Calendar,U1777,NDays&amp;"D")</f>
        <v>51267</v>
      </c>
      <c r="W1777" s="249">
        <v>2.3541378531796754E-2</v>
      </c>
      <c r="X1777" s="246">
        <v>2.3522139441567447E-2</v>
      </c>
    </row>
    <row r="1778" spans="20:24" x14ac:dyDescent="0.2">
      <c r="T1778" s="247" t="str">
        <f t="shared" si="32"/>
        <v>1w</v>
      </c>
      <c r="U1778" s="245">
        <f>_xll.qlCalendarAdvance(Calendar,U1777,T1778,"f",FALSE)</f>
        <v>51272</v>
      </c>
      <c r="V1778" s="248">
        <f>_xll.qlCalendarAdvance(Calendar,U1778,NDays&amp;"D")</f>
        <v>51274</v>
      </c>
      <c r="W1778" s="249">
        <v>2.3533715618093178E-2</v>
      </c>
      <c r="X1778" s="246">
        <v>2.3514132809783206E-2</v>
      </c>
    </row>
    <row r="1779" spans="20:24" x14ac:dyDescent="0.2">
      <c r="T1779" s="247" t="str">
        <f t="shared" si="32"/>
        <v>1w</v>
      </c>
      <c r="U1779" s="245">
        <f>_xll.qlCalendarAdvance(Calendar,U1778,T1779,"f",FALSE)</f>
        <v>51279</v>
      </c>
      <c r="V1779" s="248">
        <f>_xll.qlCalendarAdvance(Calendar,U1779,NDays&amp;"D")</f>
        <v>51281</v>
      </c>
      <c r="W1779" s="249">
        <v>2.3526112926785182E-2</v>
      </c>
      <c r="X1779" s="246">
        <v>2.3506186029775833E-2</v>
      </c>
    </row>
    <row r="1780" spans="20:24" x14ac:dyDescent="0.2">
      <c r="T1780" s="247" t="str">
        <f t="shared" si="32"/>
        <v>1w</v>
      </c>
      <c r="U1780" s="245">
        <f>_xll.qlCalendarAdvance(Calendar,U1779,T1780,"f",FALSE)</f>
        <v>51286</v>
      </c>
      <c r="V1780" s="248">
        <f>_xll.qlCalendarAdvance(Calendar,U1780,NDays&amp;"D")</f>
        <v>51288</v>
      </c>
      <c r="W1780" s="249">
        <v>2.3518570457515604E-2</v>
      </c>
      <c r="X1780" s="246">
        <v>2.3498299101598619E-2</v>
      </c>
    </row>
    <row r="1781" spans="20:24" x14ac:dyDescent="0.2">
      <c r="T1781" s="247" t="str">
        <f t="shared" si="32"/>
        <v>1w</v>
      </c>
      <c r="U1781" s="245">
        <f>_xll.qlCalendarAdvance(Calendar,U1780,T1781,"f",FALSE)</f>
        <v>51293</v>
      </c>
      <c r="V1781" s="248">
        <f>_xll.qlCalendarAdvance(Calendar,U1781,NDays&amp;"D")</f>
        <v>51295</v>
      </c>
      <c r="W1781" s="249">
        <v>2.351108820992899E-2</v>
      </c>
      <c r="X1781" s="246">
        <v>2.3490472025198272E-2</v>
      </c>
    </row>
    <row r="1782" spans="20:24" x14ac:dyDescent="0.2">
      <c r="T1782" s="247" t="str">
        <f t="shared" si="32"/>
        <v>1w</v>
      </c>
      <c r="U1782" s="245">
        <f>_xll.qlCalendarAdvance(Calendar,U1781,T1782,"f",FALSE)</f>
        <v>51300</v>
      </c>
      <c r="V1782" s="248">
        <f>_xll.qlCalendarAdvance(Calendar,U1782,NDays&amp;"D")</f>
        <v>51302</v>
      </c>
      <c r="W1782" s="249">
        <v>2.3503666183676674E-2</v>
      </c>
      <c r="X1782" s="246">
        <v>2.3482704800628085E-2</v>
      </c>
    </row>
    <row r="1783" spans="20:24" x14ac:dyDescent="0.2">
      <c r="T1783" s="247" t="str">
        <f t="shared" si="32"/>
        <v>1w</v>
      </c>
      <c r="U1783" s="245">
        <f>_xll.qlCalendarAdvance(Calendar,U1782,T1783,"f",FALSE)</f>
        <v>51307</v>
      </c>
      <c r="V1783" s="248">
        <f>_xll.qlCalendarAdvance(Calendar,U1783,NDays&amp;"D")</f>
        <v>51309</v>
      </c>
      <c r="W1783" s="249">
        <v>2.3496304378410857E-2</v>
      </c>
      <c r="X1783" s="246">
        <v>2.347499742780812E-2</v>
      </c>
    </row>
    <row r="1784" spans="20:24" x14ac:dyDescent="0.2">
      <c r="T1784" s="247" t="str">
        <f t="shared" si="32"/>
        <v>1w</v>
      </c>
      <c r="U1784" s="245">
        <f>_xll.qlCalendarAdvance(Calendar,U1783,T1784,"f",FALSE)</f>
        <v>51314</v>
      </c>
      <c r="V1784" s="248">
        <f>_xll.qlCalendarAdvance(Calendar,U1784,NDays&amp;"D")</f>
        <v>51316</v>
      </c>
      <c r="W1784" s="249">
        <v>2.3488239583151081E-2</v>
      </c>
      <c r="X1784" s="246">
        <v>2.3467349906765023E-2</v>
      </c>
    </row>
    <row r="1785" spans="20:24" x14ac:dyDescent="0.2">
      <c r="T1785" s="247" t="str">
        <f t="shared" si="32"/>
        <v>1w</v>
      </c>
      <c r="U1785" s="245">
        <f>_xll.qlCalendarAdvance(Calendar,U1784,T1785,"f",FALSE)</f>
        <v>51321</v>
      </c>
      <c r="V1785" s="248">
        <f>_xll.qlCalendarAdvance(Calendar,U1785,NDays&amp;"D")</f>
        <v>51323</v>
      </c>
      <c r="W1785" s="249">
        <v>2.3481761429458532E-2</v>
      </c>
      <c r="X1785" s="246">
        <v>2.3459762237445503E-2</v>
      </c>
    </row>
    <row r="1786" spans="20:24" x14ac:dyDescent="0.2">
      <c r="T1786" s="247" t="str">
        <f t="shared" si="32"/>
        <v>1w</v>
      </c>
      <c r="U1786" s="245">
        <f>_xll.qlCalendarAdvance(Calendar,U1785,T1786,"f",FALSE)</f>
        <v>51328</v>
      </c>
      <c r="V1786" s="248">
        <f>_xll.qlCalendarAdvance(Calendar,U1786,NDays&amp;"D")</f>
        <v>51330</v>
      </c>
      <c r="W1786" s="249">
        <v>2.3474580285090019E-2</v>
      </c>
      <c r="X1786" s="246">
        <v>2.3452234419876206E-2</v>
      </c>
    </row>
    <row r="1787" spans="20:24" x14ac:dyDescent="0.2">
      <c r="T1787" s="247" t="str">
        <f t="shared" si="32"/>
        <v>1w</v>
      </c>
      <c r="U1787" s="245">
        <f>_xll.qlCalendarAdvance(Calendar,U1786,T1787,"f",FALSE)</f>
        <v>51335</v>
      </c>
      <c r="V1787" s="248">
        <f>_xll.qlCalendarAdvance(Calendar,U1787,NDays&amp;"D")</f>
        <v>51337</v>
      </c>
      <c r="W1787" s="249">
        <v>2.3467459360344837E-2</v>
      </c>
      <c r="X1787" s="246">
        <v>2.3444766454057131E-2</v>
      </c>
    </row>
    <row r="1788" spans="20:24" x14ac:dyDescent="0.2">
      <c r="T1788" s="247" t="str">
        <f t="shared" si="32"/>
        <v>1w</v>
      </c>
      <c r="U1788" s="245">
        <f>_xll.qlCalendarAdvance(Calendar,U1787,T1788,"f",FALSE)</f>
        <v>51342</v>
      </c>
      <c r="V1788" s="248">
        <f>_xll.qlCalendarAdvance(Calendar,U1788,NDays&amp;"D")</f>
        <v>51344</v>
      </c>
      <c r="W1788" s="249">
        <v>2.3460398654887936E-2</v>
      </c>
      <c r="X1788" s="246">
        <v>2.3437358339934988E-2</v>
      </c>
    </row>
    <row r="1789" spans="20:24" x14ac:dyDescent="0.2">
      <c r="T1789" s="247" t="str">
        <f t="shared" si="32"/>
        <v>1w</v>
      </c>
      <c r="U1789" s="245">
        <f>_xll.qlCalendarAdvance(Calendar,U1788,T1789,"f",FALSE)</f>
        <v>51349</v>
      </c>
      <c r="V1789" s="248">
        <f>_xll.qlCalendarAdvance(Calendar,U1789,NDays&amp;"D")</f>
        <v>51351</v>
      </c>
      <c r="W1789" s="249">
        <v>2.3453398168388512E-2</v>
      </c>
      <c r="X1789" s="246">
        <v>2.3430010077536423E-2</v>
      </c>
    </row>
    <row r="1790" spans="20:24" x14ac:dyDescent="0.2">
      <c r="T1790" s="247" t="str">
        <f t="shared" si="32"/>
        <v>1w</v>
      </c>
      <c r="U1790" s="245">
        <f>_xll.qlCalendarAdvance(Calendar,U1789,T1790,"f",FALSE)</f>
        <v>51356</v>
      </c>
      <c r="V1790" s="248">
        <f>_xll.qlCalendarAdvance(Calendar,U1790,NDays&amp;"D")</f>
        <v>51358</v>
      </c>
      <c r="W1790" s="249">
        <v>2.344645790051747E-2</v>
      </c>
      <c r="X1790" s="246">
        <v>2.3422721666808144E-2</v>
      </c>
    </row>
    <row r="1791" spans="20:24" x14ac:dyDescent="0.2">
      <c r="T1791" s="247" t="str">
        <f t="shared" si="32"/>
        <v>1w</v>
      </c>
      <c r="U1791" s="245">
        <f>_xll.qlCalendarAdvance(Calendar,U1790,T1791,"f",FALSE)</f>
        <v>51363</v>
      </c>
      <c r="V1791" s="248">
        <f>_xll.qlCalendarAdvance(Calendar,U1791,NDays&amp;"D")</f>
        <v>51365</v>
      </c>
      <c r="W1791" s="249">
        <v>2.3439577850950816E-2</v>
      </c>
      <c r="X1791" s="246">
        <v>2.3415493107776797E-2</v>
      </c>
    </row>
    <row r="1792" spans="20:24" x14ac:dyDescent="0.2">
      <c r="T1792" s="247" t="str">
        <f t="shared" si="32"/>
        <v>1w</v>
      </c>
      <c r="U1792" s="245">
        <f>_xll.qlCalendarAdvance(Calendar,U1791,T1792,"f",FALSE)</f>
        <v>51370</v>
      </c>
      <c r="V1792" s="248">
        <f>_xll.qlCalendarAdvance(Calendar,U1792,NDays&amp;"D")</f>
        <v>51372</v>
      </c>
      <c r="W1792" s="249">
        <v>2.343275801936625E-2</v>
      </c>
      <c r="X1792" s="246">
        <v>2.3408324400415736E-2</v>
      </c>
    </row>
    <row r="1793" spans="20:24" x14ac:dyDescent="0.2">
      <c r="T1793" s="247" t="str">
        <f t="shared" si="32"/>
        <v>1w</v>
      </c>
      <c r="U1793" s="245">
        <f>_xll.qlCalendarAdvance(Calendar,U1792,T1793,"f",FALSE)</f>
        <v>51377</v>
      </c>
      <c r="V1793" s="248">
        <f>_xll.qlCalendarAdvance(Calendar,U1793,NDays&amp;"D")</f>
        <v>51379</v>
      </c>
      <c r="W1793" s="249">
        <v>2.3425131359629398E-2</v>
      </c>
      <c r="X1793" s="246">
        <v>2.3401215544724963E-2</v>
      </c>
    </row>
    <row r="1794" spans="20:24" x14ac:dyDescent="0.2">
      <c r="T1794" s="247" t="str">
        <f t="shared" si="32"/>
        <v>1w</v>
      </c>
      <c r="U1794" s="245">
        <f>_xll.qlCalendarAdvance(Calendar,U1793,T1794,"f",FALSE)</f>
        <v>51384</v>
      </c>
      <c r="V1794" s="248">
        <f>_xll.qlCalendarAdvance(Calendar,U1794,NDays&amp;"D")</f>
        <v>51386</v>
      </c>
      <c r="W1794" s="249">
        <v>2.3418420365537526E-2</v>
      </c>
      <c r="X1794" s="246">
        <v>2.339416654067783E-2</v>
      </c>
    </row>
    <row r="1795" spans="20:24" x14ac:dyDescent="0.2">
      <c r="T1795" s="247" t="str">
        <f t="shared" si="32"/>
        <v>1w</v>
      </c>
      <c r="U1795" s="245">
        <f>_xll.qlCalendarAdvance(Calendar,U1794,T1795,"f",FALSE)</f>
        <v>51391</v>
      </c>
      <c r="V1795" s="248">
        <f>_xll.qlCalendarAdvance(Calendar,U1795,NDays&amp;"D")</f>
        <v>51393</v>
      </c>
      <c r="W1795" s="249">
        <v>2.3411769576457624E-2</v>
      </c>
      <c r="X1795" s="246">
        <v>2.3387177388274338E-2</v>
      </c>
    </row>
    <row r="1796" spans="20:24" x14ac:dyDescent="0.2">
      <c r="T1796" s="247" t="str">
        <f t="shared" si="32"/>
        <v>1w</v>
      </c>
      <c r="U1796" s="245">
        <f>_xll.qlCalendarAdvance(Calendar,U1795,T1796,"f",FALSE)</f>
        <v>51398</v>
      </c>
      <c r="V1796" s="248">
        <f>_xll.qlCalendarAdvance(Calendar,U1796,NDays&amp;"D")</f>
        <v>51400</v>
      </c>
      <c r="W1796" s="249">
        <v>2.340517899208663E-2</v>
      </c>
      <c r="X1796" s="246">
        <v>2.3380248087514488E-2</v>
      </c>
    </row>
    <row r="1797" spans="20:24" x14ac:dyDescent="0.2">
      <c r="T1797" s="247" t="str">
        <f t="shared" si="32"/>
        <v>1w</v>
      </c>
      <c r="U1797" s="245">
        <f>_xll.qlCalendarAdvance(Calendar,U1796,T1797,"f",FALSE)</f>
        <v>51405</v>
      </c>
      <c r="V1797" s="248">
        <f>_xll.qlCalendarAdvance(Calendar,U1797,NDays&amp;"D")</f>
        <v>51407</v>
      </c>
      <c r="W1797" s="249">
        <v>2.3399562120073866E-2</v>
      </c>
      <c r="X1797" s="246">
        <v>2.3373378638344988E-2</v>
      </c>
    </row>
    <row r="1798" spans="20:24" x14ac:dyDescent="0.2">
      <c r="T1798" s="247" t="str">
        <f t="shared" si="32"/>
        <v>1w</v>
      </c>
      <c r="U1798" s="245">
        <f>_xll.qlCalendarAdvance(Calendar,U1797,T1798,"f",FALSE)</f>
        <v>51412</v>
      </c>
      <c r="V1798" s="248">
        <f>_xll.qlCalendarAdvance(Calendar,U1798,NDays&amp;"D")</f>
        <v>51414</v>
      </c>
      <c r="W1798" s="249">
        <v>2.3393103589763306E-2</v>
      </c>
      <c r="X1798" s="246">
        <v>2.336656904081913E-2</v>
      </c>
    </row>
    <row r="1799" spans="20:24" x14ac:dyDescent="0.2">
      <c r="T1799" s="247" t="str">
        <f t="shared" si="32"/>
        <v>1w</v>
      </c>
      <c r="U1799" s="245">
        <f>_xll.qlCalendarAdvance(Calendar,U1798,T1799,"f",FALSE)</f>
        <v>51419</v>
      </c>
      <c r="V1799" s="248">
        <f>_xll.qlCalendarAdvance(Calendar,U1799,NDays&amp;"D")</f>
        <v>51421</v>
      </c>
      <c r="W1799" s="249">
        <v>2.3386705275256155E-2</v>
      </c>
      <c r="X1799" s="246">
        <v>2.3359819294910267E-2</v>
      </c>
    </row>
    <row r="1800" spans="20:24" x14ac:dyDescent="0.2">
      <c r="T1800" s="247" t="str">
        <f t="shared" si="32"/>
        <v>1w</v>
      </c>
      <c r="U1800" s="245">
        <f>_xll.qlCalendarAdvance(Calendar,U1799,T1800,"f",FALSE)</f>
        <v>51426</v>
      </c>
      <c r="V1800" s="248">
        <f>_xll.qlCalendarAdvance(Calendar,U1800,NDays&amp;"D")</f>
        <v>51428</v>
      </c>
      <c r="W1800" s="249">
        <v>2.3380367176251374E-2</v>
      </c>
      <c r="X1800" s="246">
        <v>2.3353129400565109E-2</v>
      </c>
    </row>
    <row r="1801" spans="20:24" x14ac:dyDescent="0.2">
      <c r="T1801" s="247" t="str">
        <f t="shared" si="32"/>
        <v>1w</v>
      </c>
      <c r="U1801" s="245">
        <f>_xll.qlCalendarAdvance(Calendar,U1800,T1801,"f",FALSE)</f>
        <v>51433</v>
      </c>
      <c r="V1801" s="248">
        <f>_xll.qlCalendarAdvance(Calendar,U1801,NDays&amp;"D")</f>
        <v>51435</v>
      </c>
      <c r="W1801" s="249">
        <v>2.3374089292452178E-2</v>
      </c>
      <c r="X1801" s="246">
        <v>2.3346499357810302E-2</v>
      </c>
    </row>
    <row r="1802" spans="20:24" x14ac:dyDescent="0.2">
      <c r="T1802" s="247" t="str">
        <f t="shared" si="32"/>
        <v>1w</v>
      </c>
      <c r="U1802" s="245">
        <f>_xll.qlCalendarAdvance(Calendar,U1801,T1802,"f",FALSE)</f>
        <v>51440</v>
      </c>
      <c r="V1802" s="248">
        <f>_xll.qlCalendarAdvance(Calendar,U1802,NDays&amp;"D")</f>
        <v>51442</v>
      </c>
      <c r="W1802" s="249">
        <v>2.3367871623565191E-2</v>
      </c>
      <c r="X1802" s="246">
        <v>2.33399291666192E-2</v>
      </c>
    </row>
    <row r="1803" spans="20:24" x14ac:dyDescent="0.2">
      <c r="T1803" s="247" t="str">
        <f t="shared" si="32"/>
        <v>1w</v>
      </c>
      <c r="U1803" s="245">
        <f>_xll.qlCalendarAdvance(Calendar,U1802,T1803,"f",FALSE)</f>
        <v>51447</v>
      </c>
      <c r="V1803" s="248">
        <f>_xll.qlCalendarAdvance(Calendar,U1803,NDays&amp;"D")</f>
        <v>51449</v>
      </c>
      <c r="W1803" s="249">
        <v>2.3361714169298727E-2</v>
      </c>
      <c r="X1803" s="246">
        <v>2.3333418826991803E-2</v>
      </c>
    </row>
    <row r="1804" spans="20:24" x14ac:dyDescent="0.2">
      <c r="T1804" s="247" t="str">
        <f t="shared" si="32"/>
        <v>1w</v>
      </c>
      <c r="U1804" s="245">
        <f>_xll.qlCalendarAdvance(Calendar,U1803,T1804,"f",FALSE)</f>
        <v>51454</v>
      </c>
      <c r="V1804" s="248">
        <f>_xll.qlCalendarAdvance(Calendar,U1804,NDays&amp;"D")</f>
        <v>51456</v>
      </c>
      <c r="W1804" s="249">
        <v>2.3355616929362805E-2</v>
      </c>
      <c r="X1804" s="246">
        <v>2.3326968338901466E-2</v>
      </c>
    </row>
    <row r="1805" spans="20:24" x14ac:dyDescent="0.2">
      <c r="T1805" s="247" t="str">
        <f t="shared" si="32"/>
        <v>1w</v>
      </c>
      <c r="U1805" s="245">
        <f>_xll.qlCalendarAdvance(Calendar,U1804,T1805,"f",FALSE)</f>
        <v>51461</v>
      </c>
      <c r="V1805" s="248">
        <f>_xll.qlCalendarAdvance(Calendar,U1805,NDays&amp;"D")</f>
        <v>51463</v>
      </c>
      <c r="W1805" s="249">
        <v>2.3349579903471699E-2</v>
      </c>
      <c r="X1805" s="246">
        <v>2.3320577702374834E-2</v>
      </c>
    </row>
    <row r="1806" spans="20:24" x14ac:dyDescent="0.2">
      <c r="T1806" s="247" t="str">
        <f t="shared" si="32"/>
        <v>1w</v>
      </c>
      <c r="U1806" s="245">
        <f>_xll.qlCalendarAdvance(Calendar,U1805,T1806,"f",FALSE)</f>
        <v>51468</v>
      </c>
      <c r="V1806" s="248">
        <f>_xll.qlCalendarAdvance(Calendar,U1806,NDays&amp;"D")</f>
        <v>51470</v>
      </c>
      <c r="W1806" s="249">
        <v>2.3342245536833062E-2</v>
      </c>
      <c r="X1806" s="246">
        <v>2.3314246917358616E-2</v>
      </c>
    </row>
    <row r="1807" spans="20:24" x14ac:dyDescent="0.2">
      <c r="T1807" s="247" t="str">
        <f t="shared" si="32"/>
        <v>1w</v>
      </c>
      <c r="U1807" s="245">
        <f>_xll.qlCalendarAdvance(Calendar,U1806,T1807,"f",FALSE)</f>
        <v>51475</v>
      </c>
      <c r="V1807" s="248">
        <f>_xll.qlCalendarAdvance(Calendar,U1807,NDays&amp;"D")</f>
        <v>51477</v>
      </c>
      <c r="W1807" s="249">
        <v>2.3336313268537801E-2</v>
      </c>
      <c r="X1807" s="246">
        <v>2.3307975983879459E-2</v>
      </c>
    </row>
    <row r="1808" spans="20:24" x14ac:dyDescent="0.2">
      <c r="T1808" s="247" t="str">
        <f t="shared" si="32"/>
        <v>1w</v>
      </c>
      <c r="U1808" s="245">
        <f>_xll.qlCalendarAdvance(Calendar,U1807,T1808,"f",FALSE)</f>
        <v>51482</v>
      </c>
      <c r="V1808" s="248">
        <f>_xll.qlCalendarAdvance(Calendar,U1808,NDays&amp;"D")</f>
        <v>51484</v>
      </c>
      <c r="W1808" s="249">
        <v>2.3330441197574991E-2</v>
      </c>
      <c r="X1808" s="246">
        <v>2.3301764901910715E-2</v>
      </c>
    </row>
    <row r="1809" spans="20:24" x14ac:dyDescent="0.2">
      <c r="T1809" s="247" t="str">
        <f t="shared" si="32"/>
        <v>1w</v>
      </c>
      <c r="U1809" s="245">
        <f>_xll.qlCalendarAdvance(Calendar,U1808,T1809,"f",FALSE)</f>
        <v>51489</v>
      </c>
      <c r="V1809" s="248">
        <f>_xll.qlCalendarAdvance(Calendar,U1809,NDays&amp;"D")</f>
        <v>51491</v>
      </c>
      <c r="W1809" s="249">
        <v>2.332462932368351E-2</v>
      </c>
      <c r="X1809" s="246">
        <v>2.3295613671479032E-2</v>
      </c>
    </row>
    <row r="1810" spans="20:24" x14ac:dyDescent="0.2">
      <c r="T1810" s="247" t="str">
        <f t="shared" ref="T1810:T1873" si="33">T1809</f>
        <v>1w</v>
      </c>
      <c r="U1810" s="245">
        <f>_xll.qlCalendarAdvance(Calendar,U1809,T1810,"f",FALSE)</f>
        <v>51497</v>
      </c>
      <c r="V1810" s="248">
        <f>_xll.qlCalendarAdvance(Calendar,U1810,NDays&amp;"D")</f>
        <v>51501</v>
      </c>
      <c r="W1810" s="249">
        <v>2.3315719878944048E-2</v>
      </c>
      <c r="X1810" s="246">
        <v>2.3286607919188462E-2</v>
      </c>
    </row>
    <row r="1811" spans="20:24" x14ac:dyDescent="0.2">
      <c r="T1811" s="247" t="str">
        <f t="shared" si="33"/>
        <v>1w</v>
      </c>
      <c r="U1811" s="245">
        <f>_xll.qlCalendarAdvance(Calendar,U1810,T1811,"f",FALSE)</f>
        <v>51504</v>
      </c>
      <c r="V1811" s="248">
        <f>_xll.qlCalendarAdvance(Calendar,U1811,NDays&amp;"D")</f>
        <v>51508</v>
      </c>
      <c r="W1811" s="249">
        <v>2.3311125502927951E-2</v>
      </c>
      <c r="X1811" s="246">
        <v>2.3280272549639491E-2</v>
      </c>
    </row>
    <row r="1812" spans="20:24" x14ac:dyDescent="0.2">
      <c r="T1812" s="247" t="str">
        <f t="shared" si="33"/>
        <v>1w</v>
      </c>
      <c r="U1812" s="245">
        <f>_xll.qlCalendarAdvance(Calendar,U1811,T1812,"f",FALSE)</f>
        <v>51511</v>
      </c>
      <c r="V1812" s="248">
        <f>_xll.qlCalendarAdvance(Calendar,U1812,NDays&amp;"D")</f>
        <v>51515</v>
      </c>
      <c r="W1812" s="249">
        <v>2.3305523955132672E-2</v>
      </c>
      <c r="X1812" s="246">
        <v>2.32743187441109E-2</v>
      </c>
    </row>
    <row r="1813" spans="20:24" x14ac:dyDescent="0.2">
      <c r="T1813" s="247" t="str">
        <f t="shared" si="33"/>
        <v>1w</v>
      </c>
      <c r="U1813" s="245">
        <f>_xll.qlCalendarAdvance(Calendar,U1812,T1813,"f",FALSE)</f>
        <v>51518</v>
      </c>
      <c r="V1813" s="248">
        <f>_xll.qlCalendarAdvance(Calendar,U1813,NDays&amp;"D")</f>
        <v>51522</v>
      </c>
      <c r="W1813" s="249">
        <v>2.3300350995037977E-2</v>
      </c>
      <c r="X1813" s="246">
        <v>2.3268424781992536E-2</v>
      </c>
    </row>
    <row r="1814" spans="20:24" x14ac:dyDescent="0.2">
      <c r="T1814" s="247" t="str">
        <f t="shared" si="33"/>
        <v>1w</v>
      </c>
      <c r="U1814" s="245">
        <f>_xll.qlCalendarAdvance(Calendar,U1813,T1814,"f",FALSE)</f>
        <v>51525</v>
      </c>
      <c r="V1814" s="248">
        <f>_xll.qlCalendarAdvance(Calendar,U1814,NDays&amp;"D")</f>
        <v>51529</v>
      </c>
      <c r="W1814" s="249">
        <v>2.3294501458953586E-2</v>
      </c>
      <c r="X1814" s="246">
        <v>2.3262590663444271E-2</v>
      </c>
    </row>
    <row r="1815" spans="20:24" x14ac:dyDescent="0.2">
      <c r="T1815" s="247" t="str">
        <f t="shared" si="33"/>
        <v>1w</v>
      </c>
      <c r="U1815" s="245">
        <f>_xll.qlCalendarAdvance(Calendar,U1814,T1815,"f",FALSE)</f>
        <v>51532</v>
      </c>
      <c r="V1815" s="248">
        <f>_xll.qlCalendarAdvance(Calendar,U1815,NDays&amp;"D")</f>
        <v>51536</v>
      </c>
      <c r="W1815" s="249">
        <v>2.3289080510071711E-2</v>
      </c>
      <c r="X1815" s="246">
        <v>2.3256816388466106E-2</v>
      </c>
    </row>
    <row r="1816" spans="20:24" x14ac:dyDescent="0.2">
      <c r="T1816" s="247" t="str">
        <f t="shared" si="33"/>
        <v>1w</v>
      </c>
      <c r="U1816" s="245">
        <f>_xll.qlCalendarAdvance(Calendar,U1815,T1816,"f",FALSE)</f>
        <v>51539</v>
      </c>
      <c r="V1816" s="248">
        <f>_xll.qlCalendarAdvance(Calendar,U1816,NDays&amp;"D")</f>
        <v>51543</v>
      </c>
      <c r="W1816" s="249">
        <v>2.3283719760331334E-2</v>
      </c>
      <c r="X1816" s="246">
        <v>2.3251101956898168E-2</v>
      </c>
    </row>
    <row r="1817" spans="20:24" x14ac:dyDescent="0.2">
      <c r="T1817" s="247" t="str">
        <f t="shared" si="33"/>
        <v>1w</v>
      </c>
      <c r="U1817" s="245">
        <f>_xll.qlCalendarAdvance(Calendar,U1816,T1817,"f",FALSE)</f>
        <v>51546</v>
      </c>
      <c r="V1817" s="248">
        <f>_xll.qlCalendarAdvance(Calendar,U1817,NDays&amp;"D")</f>
        <v>51550</v>
      </c>
      <c r="W1817" s="249">
        <v>2.3278419209490888E-2</v>
      </c>
      <c r="X1817" s="246">
        <v>2.3245447368900329E-2</v>
      </c>
    </row>
    <row r="1818" spans="20:24" x14ac:dyDescent="0.2">
      <c r="T1818" s="247" t="str">
        <f t="shared" si="33"/>
        <v>1w</v>
      </c>
      <c r="U1818" s="245">
        <f>_xll.qlCalendarAdvance(Calendar,U1817,T1818,"f",FALSE)</f>
        <v>51553</v>
      </c>
      <c r="V1818" s="248">
        <f>_xll.qlCalendarAdvance(Calendar,U1818,NDays&amp;"D")</f>
        <v>51557</v>
      </c>
      <c r="W1818" s="249">
        <v>2.3273178857308809E-2</v>
      </c>
      <c r="X1818" s="246">
        <v>2.3239852624392654E-2</v>
      </c>
    </row>
    <row r="1819" spans="20:24" x14ac:dyDescent="0.2">
      <c r="T1819" s="247" t="str">
        <f t="shared" si="33"/>
        <v>1w</v>
      </c>
      <c r="U1819" s="245">
        <f>_xll.qlCalendarAdvance(Calendar,U1818,T1819,"f",FALSE)</f>
        <v>51560</v>
      </c>
      <c r="V1819" s="248">
        <f>_xll.qlCalendarAdvance(Calendar,U1819,NDays&amp;"D")</f>
        <v>51564</v>
      </c>
      <c r="W1819" s="249">
        <v>2.3268390829859258E-2</v>
      </c>
      <c r="X1819" s="246">
        <v>2.3234317723455078E-2</v>
      </c>
    </row>
    <row r="1820" spans="20:24" x14ac:dyDescent="0.2">
      <c r="T1820" s="247" t="str">
        <f t="shared" si="33"/>
        <v>1w</v>
      </c>
      <c r="U1820" s="245">
        <f>_xll.qlCalendarAdvance(Calendar,U1819,T1820,"f",FALSE)</f>
        <v>51567</v>
      </c>
      <c r="V1820" s="248">
        <f>_xll.qlCalendarAdvance(Calendar,U1820,NDays&amp;"D")</f>
        <v>51571</v>
      </c>
      <c r="W1820" s="249">
        <v>2.3263274844490003E-2</v>
      </c>
      <c r="X1820" s="246">
        <v>2.3228842666007665E-2</v>
      </c>
    </row>
    <row r="1821" spans="20:24" x14ac:dyDescent="0.2">
      <c r="T1821" s="247" t="str">
        <f t="shared" si="33"/>
        <v>1w</v>
      </c>
      <c r="U1821" s="245">
        <f>_xll.qlCalendarAdvance(Calendar,U1820,T1821,"f",FALSE)</f>
        <v>51574</v>
      </c>
      <c r="V1821" s="248">
        <f>_xll.qlCalendarAdvance(Calendar,U1821,NDays&amp;"D")</f>
        <v>51578</v>
      </c>
      <c r="W1821" s="249">
        <v>2.3258219061008573E-2</v>
      </c>
      <c r="X1821" s="246">
        <v>2.322342745197048E-2</v>
      </c>
    </row>
    <row r="1822" spans="20:24" x14ac:dyDescent="0.2">
      <c r="T1822" s="247" t="str">
        <f t="shared" si="33"/>
        <v>1w</v>
      </c>
      <c r="U1822" s="245">
        <f>_xll.qlCalendarAdvance(Calendar,U1821,T1822,"f",FALSE)</f>
        <v>51581</v>
      </c>
      <c r="V1822" s="248">
        <f>_xll.qlCalendarAdvance(Calendar,U1822,NDays&amp;"D")</f>
        <v>51585</v>
      </c>
      <c r="W1822" s="249">
        <v>2.3253223479180369E-2</v>
      </c>
      <c r="X1822" s="246">
        <v>2.321807208158333E-2</v>
      </c>
    </row>
    <row r="1823" spans="20:24" x14ac:dyDescent="0.2">
      <c r="T1823" s="247" t="str">
        <f t="shared" si="33"/>
        <v>1w</v>
      </c>
      <c r="U1823" s="245">
        <f>_xll.qlCalendarAdvance(Calendar,U1822,T1823,"f",FALSE)</f>
        <v>51588</v>
      </c>
      <c r="V1823" s="248">
        <f>_xll.qlCalendarAdvance(Calendar,U1823,NDays&amp;"D")</f>
        <v>51592</v>
      </c>
      <c r="W1823" s="249">
        <v>2.3247880068049266E-2</v>
      </c>
      <c r="X1823" s="246">
        <v>2.3212776554686343E-2</v>
      </c>
    </row>
    <row r="1824" spans="20:24" x14ac:dyDescent="0.2">
      <c r="T1824" s="247" t="str">
        <f t="shared" si="33"/>
        <v>1w</v>
      </c>
      <c r="U1824" s="245">
        <f>_xll.qlCalendarAdvance(Calendar,U1823,T1824,"f",FALSE)</f>
        <v>51595</v>
      </c>
      <c r="V1824" s="248">
        <f>_xll.qlCalendarAdvance(Calendar,U1824,NDays&amp;"D")</f>
        <v>51599</v>
      </c>
      <c r="W1824" s="249">
        <v>2.3243000902921081E-2</v>
      </c>
      <c r="X1824" s="246">
        <v>2.3207540871279519E-2</v>
      </c>
    </row>
    <row r="1825" spans="20:24" x14ac:dyDescent="0.2">
      <c r="T1825" s="247" t="str">
        <f t="shared" si="33"/>
        <v>1w</v>
      </c>
      <c r="U1825" s="245">
        <f>_xll.qlCalendarAdvance(Calendar,U1824,T1825,"f",FALSE)</f>
        <v>51602</v>
      </c>
      <c r="V1825" s="248">
        <f>_xll.qlCalendarAdvance(Calendar,U1825,NDays&amp;"D")</f>
        <v>51606</v>
      </c>
      <c r="W1825" s="249">
        <v>2.3238181934842873E-2</v>
      </c>
      <c r="X1825" s="246">
        <v>2.3202365031282923E-2</v>
      </c>
    </row>
    <row r="1826" spans="20:24" x14ac:dyDescent="0.2">
      <c r="T1826" s="247" t="str">
        <f t="shared" si="33"/>
        <v>1w</v>
      </c>
      <c r="U1826" s="245">
        <f>_xll.qlCalendarAdvance(Calendar,U1825,T1826,"f",FALSE)</f>
        <v>51609</v>
      </c>
      <c r="V1826" s="248">
        <f>_xll.qlCalendarAdvance(Calendar,U1826,NDays&amp;"D")</f>
        <v>51615</v>
      </c>
      <c r="W1826" s="249">
        <v>2.3232074571202122E-2</v>
      </c>
      <c r="X1826" s="246">
        <v>2.3195798313313531E-2</v>
      </c>
    </row>
    <row r="1827" spans="20:24" x14ac:dyDescent="0.2">
      <c r="T1827" s="247" t="str">
        <f t="shared" si="33"/>
        <v>1w</v>
      </c>
      <c r="U1827" s="245">
        <f>_xll.qlCalendarAdvance(Calendar,U1826,T1827,"f",FALSE)</f>
        <v>51616</v>
      </c>
      <c r="V1827" s="248">
        <f>_xll.qlCalendarAdvance(Calendar,U1827,NDays&amp;"D")</f>
        <v>51620</v>
      </c>
      <c r="W1827" s="249">
        <v>2.3228724588969411E-2</v>
      </c>
      <c r="X1827" s="246">
        <v>2.3192192881920093E-2</v>
      </c>
    </row>
    <row r="1828" spans="20:24" x14ac:dyDescent="0.2">
      <c r="T1828" s="247" t="str">
        <f t="shared" si="33"/>
        <v>1w</v>
      </c>
      <c r="U1828" s="245">
        <f>_xll.qlCalendarAdvance(Calendar,U1827,T1828,"f",FALSE)</f>
        <v>51623</v>
      </c>
      <c r="V1828" s="248">
        <f>_xll.qlCalendarAdvance(Calendar,U1828,NDays&amp;"D")</f>
        <v>51627</v>
      </c>
      <c r="W1828" s="249">
        <v>2.3224514210336389E-2</v>
      </c>
      <c r="X1828" s="246">
        <v>2.3187196572473923E-2</v>
      </c>
    </row>
    <row r="1829" spans="20:24" x14ac:dyDescent="0.2">
      <c r="T1829" s="247" t="str">
        <f t="shared" si="33"/>
        <v>1w</v>
      </c>
      <c r="U1829" s="245">
        <f>_xll.qlCalendarAdvance(Calendar,U1828,T1829,"f",FALSE)</f>
        <v>51630</v>
      </c>
      <c r="V1829" s="248">
        <f>_xll.qlCalendarAdvance(Calendar,U1829,NDays&amp;"D")</f>
        <v>51634</v>
      </c>
      <c r="W1829" s="249">
        <v>2.3219940033833601E-2</v>
      </c>
      <c r="X1829" s="246">
        <v>2.3182260106597852E-2</v>
      </c>
    </row>
    <row r="1830" spans="20:24" x14ac:dyDescent="0.2">
      <c r="T1830" s="247" t="str">
        <f t="shared" si="33"/>
        <v>1w</v>
      </c>
      <c r="U1830" s="245">
        <f>_xll.qlCalendarAdvance(Calendar,U1829,T1830,"f",FALSE)</f>
        <v>51637</v>
      </c>
      <c r="V1830" s="248">
        <f>_xll.qlCalendarAdvance(Calendar,U1830,NDays&amp;"D")</f>
        <v>51641</v>
      </c>
      <c r="W1830" s="249">
        <v>2.3215426057228056E-2</v>
      </c>
      <c r="X1830" s="246">
        <v>2.3177383483972136E-2</v>
      </c>
    </row>
    <row r="1831" spans="20:24" x14ac:dyDescent="0.2">
      <c r="T1831" s="247" t="str">
        <f t="shared" si="33"/>
        <v>1w</v>
      </c>
      <c r="U1831" s="245">
        <f>_xll.qlCalendarAdvance(Calendar,U1830,T1831,"f",FALSE)</f>
        <v>51644</v>
      </c>
      <c r="V1831" s="248">
        <f>_xll.qlCalendarAdvance(Calendar,U1831,NDays&amp;"D")</f>
        <v>51648</v>
      </c>
      <c r="W1831" s="249">
        <v>2.3210972280315566E-2</v>
      </c>
      <c r="X1831" s="246">
        <v>2.3172566704996456E-2</v>
      </c>
    </row>
    <row r="1832" spans="20:24" x14ac:dyDescent="0.2">
      <c r="T1832" s="247" t="str">
        <f t="shared" si="33"/>
        <v>1w</v>
      </c>
      <c r="U1832" s="245">
        <f>_xll.qlCalendarAdvance(Calendar,U1831,T1832,"f",FALSE)</f>
        <v>51651</v>
      </c>
      <c r="V1832" s="248">
        <f>_xll.qlCalendarAdvance(Calendar,U1832,NDays&amp;"D")</f>
        <v>51655</v>
      </c>
      <c r="W1832" s="249">
        <v>2.320657870289021E-2</v>
      </c>
      <c r="X1832" s="246">
        <v>2.3167809769590875E-2</v>
      </c>
    </row>
    <row r="1833" spans="20:24" x14ac:dyDescent="0.2">
      <c r="T1833" s="247" t="str">
        <f t="shared" si="33"/>
        <v>1w</v>
      </c>
      <c r="U1833" s="245">
        <f>_xll.qlCalendarAdvance(Calendar,U1832,T1833,"f",FALSE)</f>
        <v>51658</v>
      </c>
      <c r="V1833" s="248">
        <f>_xll.qlCalendarAdvance(Calendar,U1833,NDays&amp;"D")</f>
        <v>51662</v>
      </c>
      <c r="W1833" s="249">
        <v>2.3202245324750414E-2</v>
      </c>
      <c r="X1833" s="246">
        <v>2.3163112677595521E-2</v>
      </c>
    </row>
    <row r="1834" spans="20:24" x14ac:dyDescent="0.2">
      <c r="T1834" s="247" t="str">
        <f t="shared" si="33"/>
        <v>1w</v>
      </c>
      <c r="U1834" s="245">
        <f>_xll.qlCalendarAdvance(Calendar,U1833,T1834,"f",FALSE)</f>
        <v>51665</v>
      </c>
      <c r="V1834" s="248">
        <f>_xll.qlCalendarAdvance(Calendar,U1834,NDays&amp;"D")</f>
        <v>51669</v>
      </c>
      <c r="W1834" s="249">
        <v>2.3197972145698069E-2</v>
      </c>
      <c r="X1834" s="246">
        <v>2.3158475429010394E-2</v>
      </c>
    </row>
    <row r="1835" spans="20:24" x14ac:dyDescent="0.2">
      <c r="T1835" s="247" t="str">
        <f t="shared" si="33"/>
        <v>1w</v>
      </c>
      <c r="U1835" s="245">
        <f>_xll.qlCalendarAdvance(Calendar,U1834,T1835,"f",FALSE)</f>
        <v>51672</v>
      </c>
      <c r="V1835" s="248">
        <f>_xll.qlCalendarAdvance(Calendar,U1835,NDays&amp;"D")</f>
        <v>51676</v>
      </c>
      <c r="W1835" s="249">
        <v>2.3193759165537682E-2</v>
      </c>
      <c r="X1835" s="246">
        <v>2.3153898023835495E-2</v>
      </c>
    </row>
    <row r="1836" spans="20:24" x14ac:dyDescent="0.2">
      <c r="T1836" s="247" t="str">
        <f t="shared" si="33"/>
        <v>1w</v>
      </c>
      <c r="U1836" s="245">
        <f>_xll.qlCalendarAdvance(Calendar,U1835,T1836,"f",FALSE)</f>
        <v>51679</v>
      </c>
      <c r="V1836" s="248">
        <f>_xll.qlCalendarAdvance(Calendar,U1836,NDays&amp;"D")</f>
        <v>51683</v>
      </c>
      <c r="W1836" s="249">
        <v>2.3189606384073757E-2</v>
      </c>
      <c r="X1836" s="246">
        <v>2.3149380462310631E-2</v>
      </c>
    </row>
    <row r="1837" spans="20:24" x14ac:dyDescent="0.2">
      <c r="T1837" s="247" t="str">
        <f t="shared" si="33"/>
        <v>1w</v>
      </c>
      <c r="U1837" s="245">
        <f>_xll.qlCalendarAdvance(Calendar,U1836,T1837,"f",FALSE)</f>
        <v>51686</v>
      </c>
      <c r="V1837" s="248">
        <f>_xll.qlCalendarAdvance(Calendar,U1837,NDays&amp;"D")</f>
        <v>51690</v>
      </c>
      <c r="W1837" s="249">
        <v>2.3185513801116883E-2</v>
      </c>
      <c r="X1837" s="246">
        <v>2.3144922744116059E-2</v>
      </c>
    </row>
    <row r="1838" spans="20:24" x14ac:dyDescent="0.2">
      <c r="T1838" s="247" t="str">
        <f t="shared" si="33"/>
        <v>1w</v>
      </c>
      <c r="U1838" s="245">
        <f>_xll.qlCalendarAdvance(Calendar,U1837,T1838,"f",FALSE)</f>
        <v>51693</v>
      </c>
      <c r="V1838" s="248">
        <f>_xll.qlCalendarAdvance(Calendar,U1838,NDays&amp;"D")</f>
        <v>51697</v>
      </c>
      <c r="W1838" s="249">
        <v>2.318148141648025E-2</v>
      </c>
      <c r="X1838" s="246">
        <v>2.3140524869411649E-2</v>
      </c>
    </row>
    <row r="1839" spans="20:24" x14ac:dyDescent="0.2">
      <c r="T1839" s="247" t="str">
        <f t="shared" si="33"/>
        <v>1w</v>
      </c>
      <c r="U1839" s="245">
        <f>_xll.qlCalendarAdvance(Calendar,U1838,T1839,"f",FALSE)</f>
        <v>51700</v>
      </c>
      <c r="V1839" s="248">
        <f>_xll.qlCalendarAdvance(Calendar,U1839,NDays&amp;"D")</f>
        <v>51704</v>
      </c>
      <c r="W1839" s="249">
        <v>2.3177509229978788E-2</v>
      </c>
      <c r="X1839" s="246">
        <v>2.3136186838277339E-2</v>
      </c>
    </row>
    <row r="1840" spans="20:24" x14ac:dyDescent="0.2">
      <c r="T1840" s="247" t="str">
        <f t="shared" si="33"/>
        <v>1w</v>
      </c>
      <c r="U1840" s="245">
        <f>_xll.qlCalendarAdvance(Calendar,U1839,T1840,"f",FALSE)</f>
        <v>51707</v>
      </c>
      <c r="V1840" s="248">
        <f>_xll.qlCalendarAdvance(Calendar,U1840,NDays&amp;"D")</f>
        <v>51711</v>
      </c>
      <c r="W1840" s="249">
        <v>2.3173597241429169E-2</v>
      </c>
      <c r="X1840" s="246">
        <v>2.3131908650473321E-2</v>
      </c>
    </row>
    <row r="1841" spans="20:24" x14ac:dyDescent="0.2">
      <c r="T1841" s="247" t="str">
        <f t="shared" si="33"/>
        <v>1w</v>
      </c>
      <c r="U1841" s="245">
        <f>_xll.qlCalendarAdvance(Calendar,U1840,T1841,"f",FALSE)</f>
        <v>51714</v>
      </c>
      <c r="V1841" s="248">
        <f>_xll.qlCalendarAdvance(Calendar,U1841,NDays&amp;"D")</f>
        <v>51718</v>
      </c>
      <c r="W1841" s="249">
        <v>2.3169745450650665E-2</v>
      </c>
      <c r="X1841" s="246">
        <v>2.3127690306159465E-2</v>
      </c>
    </row>
    <row r="1842" spans="20:24" x14ac:dyDescent="0.2">
      <c r="T1842" s="247" t="str">
        <f t="shared" si="33"/>
        <v>1w</v>
      </c>
      <c r="U1842" s="245">
        <f>_xll.qlCalendarAdvance(Calendar,U1841,T1842,"f",FALSE)</f>
        <v>51721</v>
      </c>
      <c r="V1842" s="248">
        <f>_xll.qlCalendarAdvance(Calendar,U1842,NDays&amp;"D")</f>
        <v>51725</v>
      </c>
      <c r="W1842" s="249">
        <v>2.3165953857470369E-2</v>
      </c>
      <c r="X1842" s="246">
        <v>2.3123531805415709E-2</v>
      </c>
    </row>
    <row r="1843" spans="20:24" x14ac:dyDescent="0.2">
      <c r="T1843" s="247" t="str">
        <f t="shared" si="33"/>
        <v>1w</v>
      </c>
      <c r="U1843" s="245">
        <f>_xll.qlCalendarAdvance(Calendar,U1842,T1843,"f",FALSE)</f>
        <v>51728</v>
      </c>
      <c r="V1843" s="248">
        <f>_xll.qlCalendarAdvance(Calendar,U1843,NDays&amp;"D")</f>
        <v>51732</v>
      </c>
      <c r="W1843" s="249">
        <v>2.3162222461711037E-2</v>
      </c>
      <c r="X1843" s="246">
        <v>2.3119433148002244E-2</v>
      </c>
    </row>
    <row r="1844" spans="20:24" x14ac:dyDescent="0.2">
      <c r="T1844" s="247" t="str">
        <f t="shared" si="33"/>
        <v>1w</v>
      </c>
      <c r="U1844" s="245">
        <f>_xll.qlCalendarAdvance(Calendar,U1843,T1844,"f",FALSE)</f>
        <v>51735</v>
      </c>
      <c r="V1844" s="248">
        <f>_xll.qlCalendarAdvance(Calendar,U1844,NDays&amp;"D")</f>
        <v>51739</v>
      </c>
      <c r="W1844" s="249">
        <v>2.3158551263204104E-2</v>
      </c>
      <c r="X1844" s="246">
        <v>2.3115394334158879E-2</v>
      </c>
    </row>
    <row r="1845" spans="20:24" x14ac:dyDescent="0.2">
      <c r="T1845" s="247" t="str">
        <f t="shared" si="33"/>
        <v>1w</v>
      </c>
      <c r="U1845" s="245">
        <f>_xll.qlCalendarAdvance(Calendar,U1844,T1845,"f",FALSE)</f>
        <v>51742</v>
      </c>
      <c r="V1845" s="248">
        <f>_xll.qlCalendarAdvance(Calendar,U1845,NDays&amp;"D")</f>
        <v>51746</v>
      </c>
      <c r="W1845" s="249">
        <v>2.3154443637278276E-2</v>
      </c>
      <c r="X1845" s="246">
        <v>2.311141536372574E-2</v>
      </c>
    </row>
    <row r="1846" spans="20:24" x14ac:dyDescent="0.2">
      <c r="T1846" s="247" t="str">
        <f t="shared" si="33"/>
        <v>1w</v>
      </c>
      <c r="U1846" s="245">
        <f>_xll.qlCalendarAdvance(Calendar,U1845,T1846,"f",FALSE)</f>
        <v>51749</v>
      </c>
      <c r="V1846" s="248">
        <f>_xll.qlCalendarAdvance(Calendar,U1846,NDays&amp;"D")</f>
        <v>51753</v>
      </c>
      <c r="W1846" s="249">
        <v>2.3150888760969348E-2</v>
      </c>
      <c r="X1846" s="246">
        <v>2.3107496236622893E-2</v>
      </c>
    </row>
    <row r="1847" spans="20:24" x14ac:dyDescent="0.2">
      <c r="T1847" s="247" t="str">
        <f t="shared" si="33"/>
        <v>1w</v>
      </c>
      <c r="U1847" s="245">
        <f>_xll.qlCalendarAdvance(Calendar,U1846,T1847,"f",FALSE)</f>
        <v>51756</v>
      </c>
      <c r="V1847" s="248">
        <f>_xll.qlCalendarAdvance(Calendar,U1847,NDays&amp;"D")</f>
        <v>51760</v>
      </c>
      <c r="W1847" s="249">
        <v>2.3147394077531771E-2</v>
      </c>
      <c r="X1847" s="246">
        <v>2.3103636953090145E-2</v>
      </c>
    </row>
    <row r="1848" spans="20:24" x14ac:dyDescent="0.2">
      <c r="T1848" s="247" t="str">
        <f t="shared" si="33"/>
        <v>1w</v>
      </c>
      <c r="U1848" s="245">
        <f>_xll.qlCalendarAdvance(Calendar,U1847,T1848,"f",FALSE)</f>
        <v>51763</v>
      </c>
      <c r="V1848" s="248">
        <f>_xll.qlCalendarAdvance(Calendar,U1848,NDays&amp;"D")</f>
        <v>51767</v>
      </c>
      <c r="W1848" s="249">
        <v>2.3143959586806546E-2</v>
      </c>
      <c r="X1848" s="246">
        <v>2.3099837513047561E-2</v>
      </c>
    </row>
    <row r="1849" spans="20:24" x14ac:dyDescent="0.2">
      <c r="T1849" s="247" t="str">
        <f t="shared" si="33"/>
        <v>1w</v>
      </c>
      <c r="U1849" s="245">
        <f>_xll.qlCalendarAdvance(Calendar,U1848,T1849,"f",FALSE)</f>
        <v>51770</v>
      </c>
      <c r="V1849" s="248">
        <f>_xll.qlCalendarAdvance(Calendar,U1849,NDays&amp;"D")</f>
        <v>51774</v>
      </c>
      <c r="W1849" s="249">
        <v>2.3141098223630537E-2</v>
      </c>
      <c r="X1849" s="246">
        <v>2.3096097916335268E-2</v>
      </c>
    </row>
    <row r="1850" spans="20:24" x14ac:dyDescent="0.2">
      <c r="T1850" s="247" t="str">
        <f t="shared" si="33"/>
        <v>1w</v>
      </c>
      <c r="U1850" s="245">
        <f>_xll.qlCalendarAdvance(Calendar,U1849,T1850,"f",FALSE)</f>
        <v>51777</v>
      </c>
      <c r="V1850" s="248">
        <f>_xll.qlCalendarAdvance(Calendar,U1850,NDays&amp;"D")</f>
        <v>51781</v>
      </c>
      <c r="W1850" s="249">
        <v>2.3137788205186853E-2</v>
      </c>
      <c r="X1850" s="246">
        <v>2.3092418163113138E-2</v>
      </c>
    </row>
    <row r="1851" spans="20:24" x14ac:dyDescent="0.2">
      <c r="T1851" s="247" t="str">
        <f t="shared" si="33"/>
        <v>1w</v>
      </c>
      <c r="U1851" s="245">
        <f>_xll.qlCalendarAdvance(Calendar,U1850,T1851,"f",FALSE)</f>
        <v>51784</v>
      </c>
      <c r="V1851" s="248">
        <f>_xll.qlCalendarAdvance(Calendar,U1851,NDays&amp;"D")</f>
        <v>51788</v>
      </c>
      <c r="W1851" s="249">
        <v>2.3134538382875595E-2</v>
      </c>
      <c r="X1851" s="246">
        <v>2.3088798253381171E-2</v>
      </c>
    </row>
    <row r="1852" spans="20:24" x14ac:dyDescent="0.2">
      <c r="T1852" s="247" t="str">
        <f t="shared" si="33"/>
        <v>1w</v>
      </c>
      <c r="U1852" s="245">
        <f>_xll.qlCalendarAdvance(Calendar,U1851,T1852,"f",FALSE)</f>
        <v>51791</v>
      </c>
      <c r="V1852" s="248">
        <f>_xll.qlCalendarAdvance(Calendar,U1852,NDays&amp;"D")</f>
        <v>51795</v>
      </c>
      <c r="W1852" s="249">
        <v>2.3131348756542106E-2</v>
      </c>
      <c r="X1852" s="246">
        <v>2.3085238186979495E-2</v>
      </c>
    </row>
    <row r="1853" spans="20:24" x14ac:dyDescent="0.2">
      <c r="T1853" s="247" t="str">
        <f t="shared" si="33"/>
        <v>1w</v>
      </c>
      <c r="U1853" s="245">
        <f>_xll.qlCalendarAdvance(Calendar,U1852,T1853,"f",FALSE)</f>
        <v>51798</v>
      </c>
      <c r="V1853" s="248">
        <f>_xll.qlCalendarAdvance(Calendar,U1853,NDays&amp;"D")</f>
        <v>51802</v>
      </c>
      <c r="W1853" s="249">
        <v>2.3128219326046494E-2</v>
      </c>
      <c r="X1853" s="246">
        <v>2.3081737964147919E-2</v>
      </c>
    </row>
    <row r="1854" spans="20:24" x14ac:dyDescent="0.2">
      <c r="T1854" s="247" t="str">
        <f t="shared" si="33"/>
        <v>1w</v>
      </c>
      <c r="U1854" s="245">
        <f>_xll.qlCalendarAdvance(Calendar,U1853,T1854,"f",FALSE)</f>
        <v>51805</v>
      </c>
      <c r="V1854" s="248">
        <f>_xll.qlCalendarAdvance(Calendar,U1854,NDays&amp;"D")</f>
        <v>51809</v>
      </c>
      <c r="W1854" s="249">
        <v>2.3125150091239319E-2</v>
      </c>
      <c r="X1854" s="246">
        <v>2.3078297584566698E-2</v>
      </c>
    </row>
    <row r="1855" spans="20:24" x14ac:dyDescent="0.2">
      <c r="T1855" s="247" t="str">
        <f t="shared" si="33"/>
        <v>1w</v>
      </c>
      <c r="U1855" s="245">
        <f>_xll.qlCalendarAdvance(Calendar,U1854,T1855,"f",FALSE)</f>
        <v>51812</v>
      </c>
      <c r="V1855" s="248">
        <f>_xll.qlCalendarAdvance(Calendar,U1855,NDays&amp;"D")</f>
        <v>51816</v>
      </c>
      <c r="W1855" s="249">
        <v>2.3122141051983295E-2</v>
      </c>
      <c r="X1855" s="246">
        <v>2.3074917048555577E-2</v>
      </c>
    </row>
    <row r="1856" spans="20:24" x14ac:dyDescent="0.2">
      <c r="T1856" s="247" t="str">
        <f t="shared" si="33"/>
        <v>1w</v>
      </c>
      <c r="U1856" s="245">
        <f>_xll.qlCalendarAdvance(Calendar,U1855,T1856,"f",FALSE)</f>
        <v>51819</v>
      </c>
      <c r="V1856" s="248">
        <f>_xll.qlCalendarAdvance(Calendar,U1856,NDays&amp;"D")</f>
        <v>51823</v>
      </c>
      <c r="W1856" s="249">
        <v>2.3119192208140273E-2</v>
      </c>
      <c r="X1856" s="246">
        <v>2.3071596355954682E-2</v>
      </c>
    </row>
    <row r="1857" spans="20:24" x14ac:dyDescent="0.2">
      <c r="T1857" s="247" t="str">
        <f t="shared" si="33"/>
        <v>1w</v>
      </c>
      <c r="U1857" s="245">
        <f>_xll.qlCalendarAdvance(Calendar,U1856,T1857,"f",FALSE)</f>
        <v>51826</v>
      </c>
      <c r="V1857" s="248">
        <f>_xll.qlCalendarAdvance(Calendar,U1857,NDays&amp;"D")</f>
        <v>51830</v>
      </c>
      <c r="W1857" s="249">
        <v>2.3116303559572969E-2</v>
      </c>
      <c r="X1857" s="246">
        <v>2.3068335506843951E-2</v>
      </c>
    </row>
    <row r="1858" spans="20:24" x14ac:dyDescent="0.2">
      <c r="T1858" s="247" t="str">
        <f t="shared" si="33"/>
        <v>1w</v>
      </c>
      <c r="U1858" s="245">
        <f>_xll.qlCalendarAdvance(Calendar,U1857,T1858,"f",FALSE)</f>
        <v>51833</v>
      </c>
      <c r="V1858" s="248">
        <f>_xll.qlCalendarAdvance(Calendar,U1858,NDays&amp;"D")</f>
        <v>51837</v>
      </c>
      <c r="W1858" s="249">
        <v>2.3112925245822893E-2</v>
      </c>
      <c r="X1858" s="246">
        <v>2.3065134501063511E-2</v>
      </c>
    </row>
    <row r="1859" spans="20:24" x14ac:dyDescent="0.2">
      <c r="T1859" s="247" t="str">
        <f t="shared" si="33"/>
        <v>1w</v>
      </c>
      <c r="U1859" s="245">
        <f>_xll.qlCalendarAdvance(Calendar,U1858,T1859,"f",FALSE)</f>
        <v>51840</v>
      </c>
      <c r="V1859" s="248">
        <f>_xll.qlCalendarAdvance(Calendar,U1859,NDays&amp;"D")</f>
        <v>51844</v>
      </c>
      <c r="W1859" s="249">
        <v>2.3110152865252503E-2</v>
      </c>
      <c r="X1859" s="246">
        <v>2.3061993338693298E-2</v>
      </c>
    </row>
    <row r="1860" spans="20:24" x14ac:dyDescent="0.2">
      <c r="T1860" s="247" t="str">
        <f t="shared" si="33"/>
        <v>1w</v>
      </c>
      <c r="U1860" s="245">
        <f>_xll.qlCalendarAdvance(Calendar,U1859,T1860,"f",FALSE)</f>
        <v>51847</v>
      </c>
      <c r="V1860" s="248">
        <f>_xll.qlCalendarAdvance(Calendar,U1860,NDays&amp;"D")</f>
        <v>51851</v>
      </c>
      <c r="W1860" s="249">
        <v>2.3107440675704392E-2</v>
      </c>
      <c r="X1860" s="246">
        <v>2.3058912019813249E-2</v>
      </c>
    </row>
    <row r="1861" spans="20:24" x14ac:dyDescent="0.2">
      <c r="T1861" s="247" t="str">
        <f t="shared" si="33"/>
        <v>1w</v>
      </c>
      <c r="U1861" s="245">
        <f>_xll.qlCalendarAdvance(Calendar,U1860,T1861,"f",FALSE)</f>
        <v>51854</v>
      </c>
      <c r="V1861" s="248">
        <f>_xll.qlCalendarAdvance(Calendar,U1861,NDays&amp;"D")</f>
        <v>51858</v>
      </c>
      <c r="W1861" s="249">
        <v>2.3104788677057331E-2</v>
      </c>
      <c r="X1861" s="246">
        <v>2.3055890544423363E-2</v>
      </c>
    </row>
    <row r="1862" spans="20:24" x14ac:dyDescent="0.2">
      <c r="T1862" s="247" t="str">
        <f t="shared" si="33"/>
        <v>1w</v>
      </c>
      <c r="U1862" s="245">
        <f>_xll.qlCalendarAdvance(Calendar,U1861,T1862,"f",FALSE)</f>
        <v>51862</v>
      </c>
      <c r="V1862" s="248">
        <f>_xll.qlCalendarAdvance(Calendar,U1862,NDays&amp;"D")</f>
        <v>51866</v>
      </c>
      <c r="W1862" s="249">
        <v>2.3101264980321723E-2</v>
      </c>
      <c r="X1862" s="246">
        <v>2.305304028287658E-2</v>
      </c>
    </row>
    <row r="1863" spans="20:24" x14ac:dyDescent="0.2">
      <c r="T1863" s="247" t="str">
        <f t="shared" si="33"/>
        <v>1w</v>
      </c>
      <c r="U1863" s="245">
        <f>_xll.qlCalendarAdvance(Calendar,U1862,T1863,"f",FALSE)</f>
        <v>51869</v>
      </c>
      <c r="V1863" s="248">
        <f>_xll.qlCalendarAdvance(Calendar,U1863,NDays&amp;"D")</f>
        <v>51873</v>
      </c>
      <c r="W1863" s="249">
        <v>2.3099308505898267E-2</v>
      </c>
      <c r="X1863" s="246">
        <v>2.304961746772527E-2</v>
      </c>
    </row>
    <row r="1864" spans="20:24" x14ac:dyDescent="0.2">
      <c r="T1864" s="247" t="str">
        <f t="shared" si="33"/>
        <v>1w</v>
      </c>
      <c r="U1864" s="245">
        <f>_xll.qlCalendarAdvance(Calendar,U1863,T1864,"f",FALSE)</f>
        <v>51876</v>
      </c>
      <c r="V1864" s="248">
        <f>_xll.qlCalendarAdvance(Calendar,U1864,NDays&amp;"D")</f>
        <v>51880</v>
      </c>
      <c r="W1864" s="249">
        <v>2.3096270854643386E-2</v>
      </c>
      <c r="X1864" s="246">
        <v>2.3046784071487636E-2</v>
      </c>
    </row>
    <row r="1865" spans="20:24" x14ac:dyDescent="0.2">
      <c r="T1865" s="247" t="str">
        <f t="shared" si="33"/>
        <v>1w</v>
      </c>
      <c r="U1865" s="245">
        <f>_xll.qlCalendarAdvance(Calendar,U1864,T1865,"f",FALSE)</f>
        <v>51883</v>
      </c>
      <c r="V1865" s="248">
        <f>_xll.qlCalendarAdvance(Calendar,U1865,NDays&amp;"D")</f>
        <v>51887</v>
      </c>
      <c r="W1865" s="249">
        <v>2.3093864071700665E-2</v>
      </c>
      <c r="X1865" s="246">
        <v>2.3044010518820102E-2</v>
      </c>
    </row>
    <row r="1866" spans="20:24" x14ac:dyDescent="0.2">
      <c r="T1866" s="247" t="str">
        <f t="shared" si="33"/>
        <v>1w</v>
      </c>
      <c r="U1866" s="245">
        <f>_xll.qlCalendarAdvance(Calendar,U1865,T1866,"f",FALSE)</f>
        <v>51890</v>
      </c>
      <c r="V1866" s="248">
        <f>_xll.qlCalendarAdvance(Calendar,U1866,NDays&amp;"D")</f>
        <v>51894</v>
      </c>
      <c r="W1866" s="249">
        <v>2.3091517475207546E-2</v>
      </c>
      <c r="X1866" s="246">
        <v>2.3041296809562795E-2</v>
      </c>
    </row>
    <row r="1867" spans="20:24" x14ac:dyDescent="0.2">
      <c r="T1867" s="247" t="str">
        <f t="shared" si="33"/>
        <v>1w</v>
      </c>
      <c r="U1867" s="245">
        <f>_xll.qlCalendarAdvance(Calendar,U1866,T1867,"f",FALSE)</f>
        <v>51897</v>
      </c>
      <c r="V1867" s="248">
        <f>_xll.qlCalendarAdvance(Calendar,U1867,NDays&amp;"D")</f>
        <v>51901</v>
      </c>
      <c r="W1867" s="249">
        <v>2.3089231065062776E-2</v>
      </c>
      <c r="X1867" s="246">
        <v>2.3038642943715715E-2</v>
      </c>
    </row>
    <row r="1868" spans="20:24" x14ac:dyDescent="0.2">
      <c r="T1868" s="247" t="str">
        <f t="shared" si="33"/>
        <v>1w</v>
      </c>
      <c r="U1868" s="245">
        <f>_xll.qlCalendarAdvance(Calendar,U1867,T1868,"f",FALSE)</f>
        <v>51904</v>
      </c>
      <c r="V1868" s="248">
        <f>_xll.qlCalendarAdvance(Calendar,U1868,NDays&amp;"D")</f>
        <v>51908</v>
      </c>
      <c r="W1868" s="249">
        <v>2.3087004841161551E-2</v>
      </c>
      <c r="X1868" s="246">
        <v>2.3036048921198926E-2</v>
      </c>
    </row>
    <row r="1869" spans="20:24" x14ac:dyDescent="0.2">
      <c r="T1869" s="247" t="str">
        <f t="shared" si="33"/>
        <v>1w</v>
      </c>
      <c r="U1869" s="245">
        <f>_xll.qlCalendarAdvance(Calendar,U1868,T1869,"f",FALSE)</f>
        <v>51911</v>
      </c>
      <c r="V1869" s="248">
        <f>_xll.qlCalendarAdvance(Calendar,U1869,NDays&amp;"D")</f>
        <v>51915</v>
      </c>
      <c r="W1869" s="249">
        <v>2.3084838803402619E-2</v>
      </c>
      <c r="X1869" s="246">
        <v>2.3033514742172301E-2</v>
      </c>
    </row>
    <row r="1870" spans="20:24" x14ac:dyDescent="0.2">
      <c r="T1870" s="247" t="str">
        <f t="shared" si="33"/>
        <v>1w</v>
      </c>
      <c r="U1870" s="245">
        <f>_xll.qlCalendarAdvance(Calendar,U1869,T1870,"f",FALSE)</f>
        <v>51918</v>
      </c>
      <c r="V1870" s="248">
        <f>_xll.qlCalendarAdvance(Calendar,U1870,NDays&amp;"D")</f>
        <v>51922</v>
      </c>
      <c r="W1870" s="249">
        <v>2.3082732951692719E-2</v>
      </c>
      <c r="X1870" s="246">
        <v>2.3031040406475967E-2</v>
      </c>
    </row>
    <row r="1871" spans="20:24" x14ac:dyDescent="0.2">
      <c r="T1871" s="247" t="str">
        <f t="shared" si="33"/>
        <v>1w</v>
      </c>
      <c r="U1871" s="245">
        <f>_xll.qlCalendarAdvance(Calendar,U1870,T1871,"f",FALSE)</f>
        <v>51925</v>
      </c>
      <c r="V1871" s="248">
        <f>_xll.qlCalendarAdvance(Calendar,U1871,NDays&amp;"D")</f>
        <v>51929</v>
      </c>
      <c r="W1871" s="249">
        <v>2.3081895552938634E-2</v>
      </c>
      <c r="X1871" s="246">
        <v>2.302862591418986E-2</v>
      </c>
    </row>
    <row r="1872" spans="20:24" x14ac:dyDescent="0.2">
      <c r="T1872" s="247" t="str">
        <f t="shared" si="33"/>
        <v>1w</v>
      </c>
      <c r="U1872" s="245">
        <f>_xll.qlCalendarAdvance(Calendar,U1871,T1872,"f",FALSE)</f>
        <v>51932</v>
      </c>
      <c r="V1872" s="248">
        <f>_xll.qlCalendarAdvance(Calendar,U1872,NDays&amp;"D")</f>
        <v>51936</v>
      </c>
      <c r="W1872" s="249">
        <v>2.3079918418244409E-2</v>
      </c>
      <c r="X1872" s="246">
        <v>2.3026271265473852E-2</v>
      </c>
    </row>
    <row r="1873" spans="20:24" x14ac:dyDescent="0.2">
      <c r="T1873" s="247" t="str">
        <f t="shared" si="33"/>
        <v>1w</v>
      </c>
      <c r="U1873" s="245">
        <f>_xll.qlCalendarAdvance(Calendar,U1872,T1873,"f",FALSE)</f>
        <v>51939</v>
      </c>
      <c r="V1873" s="248">
        <f>_xll.qlCalendarAdvance(Calendar,U1873,NDays&amp;"D")</f>
        <v>51943</v>
      </c>
      <c r="W1873" s="249">
        <v>2.3078001477022998E-2</v>
      </c>
      <c r="X1873" s="246">
        <v>2.30239764600082E-2</v>
      </c>
    </row>
    <row r="1874" spans="20:24" x14ac:dyDescent="0.2">
      <c r="T1874" s="247" t="str">
        <f t="shared" ref="T1874:T1937" si="34">T1873</f>
        <v>1w</v>
      </c>
      <c r="U1874" s="245">
        <f>_xll.qlCalendarAdvance(Calendar,U1873,T1874,"f",FALSE)</f>
        <v>51946</v>
      </c>
      <c r="V1874" s="248">
        <f>_xll.qlCalendarAdvance(Calendar,U1874,NDays&amp;"D")</f>
        <v>51950</v>
      </c>
      <c r="W1874" s="249">
        <v>2.3076144729189254E-2</v>
      </c>
      <c r="X1874" s="246">
        <v>2.3021741498032711E-2</v>
      </c>
    </row>
    <row r="1875" spans="20:24" x14ac:dyDescent="0.2">
      <c r="T1875" s="247" t="str">
        <f t="shared" si="34"/>
        <v>1w</v>
      </c>
      <c r="U1875" s="245">
        <f>_xll.qlCalendarAdvance(Calendar,U1874,T1875,"f",FALSE)</f>
        <v>51953</v>
      </c>
      <c r="V1875" s="248">
        <f>_xll.qlCalendarAdvance(Calendar,U1875,NDays&amp;"D")</f>
        <v>51957</v>
      </c>
      <c r="W1875" s="249">
        <v>2.3073727114675795E-2</v>
      </c>
      <c r="X1875" s="246">
        <v>2.3019566379307577E-2</v>
      </c>
    </row>
    <row r="1876" spans="20:24" x14ac:dyDescent="0.2">
      <c r="T1876" s="247" t="str">
        <f t="shared" si="34"/>
        <v>1w</v>
      </c>
      <c r="U1876" s="245">
        <f>_xll.qlCalendarAdvance(Calendar,U1875,T1876,"f",FALSE)</f>
        <v>51964</v>
      </c>
      <c r="V1876" s="248">
        <f>_xll.qlCalendarAdvance(Calendar,U1876,NDays&amp;"D")</f>
        <v>51966</v>
      </c>
      <c r="W1876" s="249">
        <v>2.3071500320385737E-2</v>
      </c>
      <c r="X1876" s="246">
        <v>2.3016857731521512E-2</v>
      </c>
    </row>
    <row r="1877" spans="20:24" x14ac:dyDescent="0.2">
      <c r="T1877" s="247" t="str">
        <f t="shared" si="34"/>
        <v>1w</v>
      </c>
      <c r="U1877" s="245">
        <f>_xll.qlCalendarAdvance(Calendar,U1876,T1877,"f",FALSE)</f>
        <v>51971</v>
      </c>
      <c r="V1877" s="248">
        <f>_xll.qlCalendarAdvance(Calendar,U1877,NDays&amp;"D")</f>
        <v>51973</v>
      </c>
      <c r="W1877" s="249">
        <v>2.3069837157014318E-2</v>
      </c>
      <c r="X1877" s="246">
        <v>2.3014819397779718E-2</v>
      </c>
    </row>
    <row r="1878" spans="20:24" x14ac:dyDescent="0.2">
      <c r="T1878" s="247" t="str">
        <f t="shared" si="34"/>
        <v>1w</v>
      </c>
      <c r="U1878" s="245">
        <f>_xll.qlCalendarAdvance(Calendar,U1877,T1878,"f",FALSE)</f>
        <v>51978</v>
      </c>
      <c r="V1878" s="248">
        <f>_xll.qlCalendarAdvance(Calendar,U1878,NDays&amp;"D")</f>
        <v>51980</v>
      </c>
      <c r="W1878" s="249">
        <v>2.3068234182837186E-2</v>
      </c>
      <c r="X1878" s="246">
        <v>2.3012840907448151E-2</v>
      </c>
    </row>
    <row r="1879" spans="20:24" x14ac:dyDescent="0.2">
      <c r="T1879" s="247" t="str">
        <f t="shared" si="34"/>
        <v>1w</v>
      </c>
      <c r="U1879" s="245">
        <f>_xll.qlCalendarAdvance(Calendar,U1878,T1879,"f",FALSE)</f>
        <v>51985</v>
      </c>
      <c r="V1879" s="248">
        <f>_xll.qlCalendarAdvance(Calendar,U1879,NDays&amp;"D")</f>
        <v>51988</v>
      </c>
      <c r="W1879" s="249">
        <v>2.3068396110463945E-2</v>
      </c>
      <c r="X1879" s="246">
        <v>2.3011856277657117E-2</v>
      </c>
    </row>
    <row r="1880" spans="20:24" x14ac:dyDescent="0.2">
      <c r="T1880" s="247" t="str">
        <f t="shared" si="34"/>
        <v>1w</v>
      </c>
      <c r="U1880" s="245">
        <f>_xll.qlCalendarAdvance(Calendar,U1879,T1880,"f",FALSE)</f>
        <v>51992</v>
      </c>
      <c r="V1880" s="248">
        <f>_xll.qlCalendarAdvance(Calendar,U1880,NDays&amp;"D")</f>
        <v>51994</v>
      </c>
      <c r="W1880" s="249">
        <v>2.3065852043368217E-2</v>
      </c>
      <c r="X1880" s="246">
        <v>2.3009063457175571E-2</v>
      </c>
    </row>
    <row r="1881" spans="20:24" x14ac:dyDescent="0.2">
      <c r="T1881" s="247" t="str">
        <f t="shared" si="34"/>
        <v>1w</v>
      </c>
      <c r="U1881" s="245">
        <f>_xll.qlCalendarAdvance(Calendar,U1880,T1881,"f",FALSE)</f>
        <v>51999</v>
      </c>
      <c r="V1881" s="248">
        <f>_xll.qlCalendarAdvance(Calendar,U1881,NDays&amp;"D")</f>
        <v>52001</v>
      </c>
      <c r="W1881" s="249">
        <v>2.3064433844958203E-2</v>
      </c>
      <c r="X1881" s="246">
        <v>2.3007264497074686E-2</v>
      </c>
    </row>
    <row r="1882" spans="20:24" x14ac:dyDescent="0.2">
      <c r="T1882" s="247" t="str">
        <f t="shared" si="34"/>
        <v>1w</v>
      </c>
      <c r="U1882" s="245">
        <f>_xll.qlCalendarAdvance(Calendar,U1881,T1882,"f",FALSE)</f>
        <v>52006</v>
      </c>
      <c r="V1882" s="248">
        <f>_xll.qlCalendarAdvance(Calendar,U1882,NDays&amp;"D")</f>
        <v>52008</v>
      </c>
      <c r="W1882" s="249">
        <v>2.3063075839313746E-2</v>
      </c>
      <c r="X1882" s="246">
        <v>2.3005525380384029E-2</v>
      </c>
    </row>
    <row r="1883" spans="20:24" x14ac:dyDescent="0.2">
      <c r="T1883" s="247" t="str">
        <f t="shared" si="34"/>
        <v>1w</v>
      </c>
      <c r="U1883" s="245">
        <f>_xll.qlCalendarAdvance(Calendar,U1882,T1883,"f",FALSE)</f>
        <v>52013</v>
      </c>
      <c r="V1883" s="248">
        <f>_xll.qlCalendarAdvance(Calendar,U1883,NDays&amp;"D")</f>
        <v>52015</v>
      </c>
      <c r="W1883" s="249">
        <v>2.3061778026371417E-2</v>
      </c>
      <c r="X1883" s="246">
        <v>2.3003846107103598E-2</v>
      </c>
    </row>
    <row r="1884" spans="20:24" x14ac:dyDescent="0.2">
      <c r="T1884" s="247" t="str">
        <f t="shared" si="34"/>
        <v>1w</v>
      </c>
      <c r="U1884" s="245">
        <f>_xll.qlCalendarAdvance(Calendar,U1883,T1884,"f",FALSE)</f>
        <v>52020</v>
      </c>
      <c r="V1884" s="248">
        <f>_xll.qlCalendarAdvance(Calendar,U1884,NDays&amp;"D")</f>
        <v>52022</v>
      </c>
      <c r="W1884" s="249">
        <v>2.306054040607039E-2</v>
      </c>
      <c r="X1884" s="246">
        <v>2.3002226677153459E-2</v>
      </c>
    </row>
    <row r="1885" spans="20:24" x14ac:dyDescent="0.2">
      <c r="T1885" s="247" t="str">
        <f t="shared" si="34"/>
        <v>1w</v>
      </c>
      <c r="U1885" s="245">
        <f>_xll.qlCalendarAdvance(Calendar,U1884,T1885,"f",FALSE)</f>
        <v>52027</v>
      </c>
      <c r="V1885" s="248">
        <f>_xll.qlCalendarAdvance(Calendar,U1885,NDays&amp;"D")</f>
        <v>52029</v>
      </c>
      <c r="W1885" s="249">
        <v>2.3059362978355934E-2</v>
      </c>
      <c r="X1885" s="246">
        <v>2.3000667090773419E-2</v>
      </c>
    </row>
    <row r="1886" spans="20:24" x14ac:dyDescent="0.2">
      <c r="T1886" s="247" t="str">
        <f t="shared" si="34"/>
        <v>1w</v>
      </c>
      <c r="U1886" s="245">
        <f>_xll.qlCalendarAdvance(Calendar,U1885,T1886,"f",FALSE)</f>
        <v>52034</v>
      </c>
      <c r="V1886" s="248">
        <f>_xll.qlCalendarAdvance(Calendar,U1886,NDays&amp;"D")</f>
        <v>52036</v>
      </c>
      <c r="W1886" s="249">
        <v>2.3058245743174173E-2</v>
      </c>
      <c r="X1886" s="246">
        <v>2.2999167347643734E-2</v>
      </c>
    </row>
    <row r="1887" spans="20:24" x14ac:dyDescent="0.2">
      <c r="T1887" s="247" t="str">
        <f t="shared" si="34"/>
        <v>1w</v>
      </c>
      <c r="U1887" s="245">
        <f>_xll.qlCalendarAdvance(Calendar,U1886,T1887,"f",FALSE)</f>
        <v>52041</v>
      </c>
      <c r="V1887" s="248">
        <f>_xll.qlCalendarAdvance(Calendar,U1887,NDays&amp;"D")</f>
        <v>52043</v>
      </c>
      <c r="W1887" s="249">
        <v>2.3057188700472978E-2</v>
      </c>
      <c r="X1887" s="246">
        <v>2.2997727448004213E-2</v>
      </c>
    </row>
    <row r="1888" spans="20:24" x14ac:dyDescent="0.2">
      <c r="T1888" s="247" t="str">
        <f t="shared" si="34"/>
        <v>1w</v>
      </c>
      <c r="U1888" s="245">
        <f>_xll.qlCalendarAdvance(Calendar,U1887,T1888,"f",FALSE)</f>
        <v>52048</v>
      </c>
      <c r="V1888" s="248">
        <f>_xll.qlCalendarAdvance(Calendar,U1888,NDays&amp;"D")</f>
        <v>52050</v>
      </c>
      <c r="W1888" s="249">
        <v>2.3056191850203692E-2</v>
      </c>
      <c r="X1888" s="246">
        <v>2.2996347391615046E-2</v>
      </c>
    </row>
    <row r="1889" spans="20:24" x14ac:dyDescent="0.2">
      <c r="T1889" s="247" t="str">
        <f t="shared" si="34"/>
        <v>1w</v>
      </c>
      <c r="U1889" s="245">
        <f>_xll.qlCalendarAdvance(Calendar,U1888,T1889,"f",FALSE)</f>
        <v>52055</v>
      </c>
      <c r="V1889" s="248">
        <f>_xll.qlCalendarAdvance(Calendar,U1889,NDays&amp;"D")</f>
        <v>52057</v>
      </c>
      <c r="W1889" s="249">
        <v>2.3055255192320261E-2</v>
      </c>
      <c r="X1889" s="246">
        <v>2.2995027178716043E-2</v>
      </c>
    </row>
    <row r="1890" spans="20:24" x14ac:dyDescent="0.2">
      <c r="T1890" s="247" t="str">
        <f t="shared" si="34"/>
        <v>1w</v>
      </c>
      <c r="U1890" s="245">
        <f>_xll.qlCalendarAdvance(Calendar,U1889,T1890,"f",FALSE)</f>
        <v>52062</v>
      </c>
      <c r="V1890" s="248">
        <f>_xll.qlCalendarAdvance(Calendar,U1890,NDays&amp;"D")</f>
        <v>52064</v>
      </c>
      <c r="W1890" s="249">
        <v>2.3054378726781854E-2</v>
      </c>
      <c r="X1890" s="246">
        <v>2.2993766809307203E-2</v>
      </c>
    </row>
    <row r="1891" spans="20:24" x14ac:dyDescent="0.2">
      <c r="T1891" s="247" t="str">
        <f t="shared" si="34"/>
        <v>1w</v>
      </c>
      <c r="U1891" s="245">
        <f>_xll.qlCalendarAdvance(Calendar,U1890,T1891,"f",FALSE)</f>
        <v>52069</v>
      </c>
      <c r="V1891" s="248">
        <f>_xll.qlCalendarAdvance(Calendar,U1891,NDays&amp;"D")</f>
        <v>52071</v>
      </c>
      <c r="W1891" s="249">
        <v>2.3053562453545895E-2</v>
      </c>
      <c r="X1891" s="246">
        <v>2.2992566283068783E-2</v>
      </c>
    </row>
    <row r="1892" spans="20:24" x14ac:dyDescent="0.2">
      <c r="T1892" s="247" t="str">
        <f t="shared" si="34"/>
        <v>1w</v>
      </c>
      <c r="U1892" s="245">
        <f>_xll.qlCalendarAdvance(Calendar,U1891,T1892,"f",FALSE)</f>
        <v>52076</v>
      </c>
      <c r="V1892" s="248">
        <f>_xll.qlCalendarAdvance(Calendar,U1892,NDays&amp;"D")</f>
        <v>52078</v>
      </c>
      <c r="W1892" s="249">
        <v>2.3052806372575889E-2</v>
      </c>
      <c r="X1892" s="246">
        <v>2.2991425600320525E-2</v>
      </c>
    </row>
    <row r="1893" spans="20:24" x14ac:dyDescent="0.2">
      <c r="T1893" s="247" t="str">
        <f t="shared" si="34"/>
        <v>1w</v>
      </c>
      <c r="U1893" s="245">
        <f>_xll.qlCalendarAdvance(Calendar,U1892,T1893,"f",FALSE)</f>
        <v>52083</v>
      </c>
      <c r="V1893" s="248">
        <f>_xll.qlCalendarAdvance(Calendar,U1893,NDays&amp;"D")</f>
        <v>52085</v>
      </c>
      <c r="W1893" s="249">
        <v>2.305211048383795E-2</v>
      </c>
      <c r="X1893" s="246">
        <v>2.2990344761062431E-2</v>
      </c>
    </row>
    <row r="1894" spans="20:24" x14ac:dyDescent="0.2">
      <c r="T1894" s="247" t="str">
        <f t="shared" si="34"/>
        <v>1w</v>
      </c>
      <c r="U1894" s="245">
        <f>_xll.qlCalendarAdvance(Calendar,U1893,T1894,"f",FALSE)</f>
        <v>52090</v>
      </c>
      <c r="V1894" s="248">
        <f>_xll.qlCalendarAdvance(Calendar,U1894,NDays&amp;"D")</f>
        <v>52092</v>
      </c>
      <c r="W1894" s="249">
        <v>2.3051474787298194E-2</v>
      </c>
      <c r="X1894" s="246">
        <v>2.2989323765134628E-2</v>
      </c>
    </row>
    <row r="1895" spans="20:24" x14ac:dyDescent="0.2">
      <c r="T1895" s="247" t="str">
        <f t="shared" si="34"/>
        <v>1w</v>
      </c>
      <c r="U1895" s="245">
        <f>_xll.qlCalendarAdvance(Calendar,U1894,T1895,"f",FALSE)</f>
        <v>52097</v>
      </c>
      <c r="V1895" s="248">
        <f>_xll.qlCalendarAdvance(Calendar,U1895,NDays&amp;"D")</f>
        <v>52099</v>
      </c>
      <c r="W1895" s="249">
        <v>2.3050899282928815E-2</v>
      </c>
      <c r="X1895" s="246">
        <v>2.2988362612537117E-2</v>
      </c>
    </row>
    <row r="1896" spans="20:24" x14ac:dyDescent="0.2">
      <c r="T1896" s="247" t="str">
        <f t="shared" si="34"/>
        <v>1w</v>
      </c>
      <c r="U1896" s="245">
        <f>_xll.qlCalendarAdvance(Calendar,U1895,T1896,"f",FALSE)</f>
        <v>52104</v>
      </c>
      <c r="V1896" s="248">
        <f>_xll.qlCalendarAdvance(Calendar,U1896,NDays&amp;"D")</f>
        <v>52106</v>
      </c>
      <c r="W1896" s="249">
        <v>2.3050383970703751E-2</v>
      </c>
      <c r="X1896" s="246">
        <v>2.2987461303349832E-2</v>
      </c>
    </row>
    <row r="1897" spans="20:24" x14ac:dyDescent="0.2">
      <c r="T1897" s="247" t="str">
        <f t="shared" si="34"/>
        <v>1w</v>
      </c>
      <c r="U1897" s="245">
        <f>_xll.qlCalendarAdvance(Calendar,U1896,T1897,"f",FALSE)</f>
        <v>52111</v>
      </c>
      <c r="V1897" s="248">
        <f>_xll.qlCalendarAdvance(Calendar,U1897,NDays&amp;"D")</f>
        <v>52113</v>
      </c>
      <c r="W1897" s="249">
        <v>2.3049213539791533E-2</v>
      </c>
      <c r="X1897" s="246">
        <v>2.2986619837572775E-2</v>
      </c>
    </row>
    <row r="1898" spans="20:24" x14ac:dyDescent="0.2">
      <c r="T1898" s="247" t="str">
        <f t="shared" si="34"/>
        <v>1w</v>
      </c>
      <c r="U1898" s="245">
        <f>_xll.qlCalendarAdvance(Calendar,U1897,T1898,"f",FALSE)</f>
        <v>52118</v>
      </c>
      <c r="V1898" s="248">
        <f>_xll.qlCalendarAdvance(Calendar,U1898,NDays&amp;"D")</f>
        <v>52120</v>
      </c>
      <c r="W1898" s="249">
        <v>2.3048814337834768E-2</v>
      </c>
      <c r="X1898" s="246">
        <v>2.2985838215205945E-2</v>
      </c>
    </row>
    <row r="1899" spans="20:24" x14ac:dyDescent="0.2">
      <c r="T1899" s="247" t="str">
        <f t="shared" si="34"/>
        <v>1w</v>
      </c>
      <c r="U1899" s="245">
        <f>_xll.qlCalendarAdvance(Calendar,U1898,T1899,"f",FALSE)</f>
        <v>52125</v>
      </c>
      <c r="V1899" s="248">
        <f>_xll.qlCalendarAdvance(Calendar,U1899,NDays&amp;"D")</f>
        <v>52127</v>
      </c>
      <c r="W1899" s="249">
        <v>2.3048475324120084E-2</v>
      </c>
      <c r="X1899" s="246">
        <v>2.2985116436169406E-2</v>
      </c>
    </row>
    <row r="1900" spans="20:24" x14ac:dyDescent="0.2">
      <c r="T1900" s="247" t="str">
        <f t="shared" si="34"/>
        <v>1w</v>
      </c>
      <c r="U1900" s="245">
        <f>_xll.qlCalendarAdvance(Calendar,U1899,T1900,"f",FALSE)</f>
        <v>52132</v>
      </c>
      <c r="V1900" s="248">
        <f>_xll.qlCalendarAdvance(Calendar,U1900,NDays&amp;"D")</f>
        <v>52134</v>
      </c>
      <c r="W1900" s="249">
        <v>2.3051111714453305E-2</v>
      </c>
      <c r="X1900" s="246">
        <v>2.2984454500623031E-2</v>
      </c>
    </row>
    <row r="1901" spans="20:24" x14ac:dyDescent="0.2">
      <c r="T1901" s="247" t="str">
        <f t="shared" si="34"/>
        <v>1w</v>
      </c>
      <c r="U1901" s="245">
        <f>_xll.qlCalendarAdvance(Calendar,U1900,T1901,"f",FALSE)</f>
        <v>52139</v>
      </c>
      <c r="V1901" s="248">
        <f>_xll.qlCalendarAdvance(Calendar,U1901,NDays&amp;"D")</f>
        <v>52141</v>
      </c>
      <c r="W1901" s="249">
        <v>2.3048710291001966E-2</v>
      </c>
      <c r="X1901" s="246">
        <v>2.2983852408406946E-2</v>
      </c>
    </row>
    <row r="1902" spans="20:24" x14ac:dyDescent="0.2">
      <c r="T1902" s="247" t="str">
        <f t="shared" si="34"/>
        <v>1w</v>
      </c>
      <c r="U1902" s="245">
        <f>_xll.qlCalendarAdvance(Calendar,U1901,T1902,"f",FALSE)</f>
        <v>52146</v>
      </c>
      <c r="V1902" s="248">
        <f>_xll.qlCalendarAdvance(Calendar,U1902,NDays&amp;"D")</f>
        <v>52148</v>
      </c>
      <c r="W1902" s="249">
        <v>2.304855613123875E-2</v>
      </c>
      <c r="X1902" s="246">
        <v>2.2983310159441217E-2</v>
      </c>
    </row>
    <row r="1903" spans="20:24" x14ac:dyDescent="0.2">
      <c r="T1903" s="247" t="str">
        <f t="shared" si="34"/>
        <v>1w</v>
      </c>
      <c r="U1903" s="245">
        <f>_xll.qlCalendarAdvance(Calendar,U1902,T1903,"f",FALSE)</f>
        <v>52153</v>
      </c>
      <c r="V1903" s="248">
        <f>_xll.qlCalendarAdvance(Calendar,U1903,NDays&amp;"D")</f>
        <v>52155</v>
      </c>
      <c r="W1903" s="249">
        <v>2.3048462163512105E-2</v>
      </c>
      <c r="X1903" s="246">
        <v>2.2982827754045587E-2</v>
      </c>
    </row>
    <row r="1904" spans="20:24" x14ac:dyDescent="0.2">
      <c r="T1904" s="247" t="str">
        <f t="shared" si="34"/>
        <v>1w</v>
      </c>
      <c r="U1904" s="245">
        <f>_xll.qlCalendarAdvance(Calendar,U1903,T1904,"f",FALSE)</f>
        <v>52160</v>
      </c>
      <c r="V1904" s="248">
        <f>_xll.qlCalendarAdvance(Calendar,U1904,NDays&amp;"D")</f>
        <v>52162</v>
      </c>
      <c r="W1904" s="249">
        <v>2.304842838781769E-2</v>
      </c>
      <c r="X1904" s="246">
        <v>2.2982405191980249E-2</v>
      </c>
    </row>
    <row r="1905" spans="20:24" x14ac:dyDescent="0.2">
      <c r="T1905" s="247" t="str">
        <f t="shared" si="34"/>
        <v>1w</v>
      </c>
      <c r="U1905" s="245">
        <f>_xll.qlCalendarAdvance(Calendar,U1904,T1905,"f",FALSE)</f>
        <v>52167</v>
      </c>
      <c r="V1905" s="248">
        <f>_xll.qlCalendarAdvance(Calendar,U1905,NDays&amp;"D")</f>
        <v>52169</v>
      </c>
      <c r="W1905" s="249">
        <v>2.3048454804152029E-2</v>
      </c>
      <c r="X1905" s="246">
        <v>2.2982042473245201E-2</v>
      </c>
    </row>
    <row r="1906" spans="20:24" x14ac:dyDescent="0.2">
      <c r="T1906" s="247" t="str">
        <f t="shared" si="34"/>
        <v>1w</v>
      </c>
      <c r="U1906" s="245">
        <f>_xll.qlCalendarAdvance(Calendar,U1905,T1906,"f",FALSE)</f>
        <v>52174</v>
      </c>
      <c r="V1906" s="248">
        <f>_xll.qlCalendarAdvance(Calendar,U1906,NDays&amp;"D")</f>
        <v>52176</v>
      </c>
      <c r="W1906" s="249">
        <v>2.3048541412520333E-2</v>
      </c>
      <c r="X1906" s="246">
        <v>2.2981739598000317E-2</v>
      </c>
    </row>
    <row r="1907" spans="20:24" x14ac:dyDescent="0.2">
      <c r="T1907" s="247" t="str">
        <f t="shared" si="34"/>
        <v>1w</v>
      </c>
      <c r="U1907" s="245">
        <f>_xll.qlCalendarAdvance(Calendar,U1906,T1907,"f",FALSE)</f>
        <v>52181</v>
      </c>
      <c r="V1907" s="248">
        <f>_xll.qlCalendarAdvance(Calendar,U1907,NDays&amp;"D")</f>
        <v>52183</v>
      </c>
      <c r="W1907" s="249">
        <v>2.304868821292173E-2</v>
      </c>
      <c r="X1907" s="246">
        <v>2.2981496566005788E-2</v>
      </c>
    </row>
    <row r="1908" spans="20:24" x14ac:dyDescent="0.2">
      <c r="T1908" s="247" t="str">
        <f t="shared" si="34"/>
        <v>1w</v>
      </c>
      <c r="U1908" s="245">
        <f>_xll.qlCalendarAdvance(Calendar,U1907,T1908,"f",FALSE)</f>
        <v>52188</v>
      </c>
      <c r="V1908" s="248">
        <f>_xll.qlCalendarAdvance(Calendar,U1908,NDays&amp;"D")</f>
        <v>52190</v>
      </c>
      <c r="W1908" s="249">
        <v>2.3048895205367525E-2</v>
      </c>
      <c r="X1908" s="246">
        <v>2.2981313377501422E-2</v>
      </c>
    </row>
    <row r="1909" spans="20:24" x14ac:dyDescent="0.2">
      <c r="T1909" s="247" t="str">
        <f t="shared" si="34"/>
        <v>1w</v>
      </c>
      <c r="U1909" s="245">
        <f>_xll.qlCalendarAdvance(Calendar,U1908,T1909,"f",FALSE)</f>
        <v>52195</v>
      </c>
      <c r="V1909" s="248">
        <f>_xll.qlCalendarAdvance(Calendar,U1909,NDays&amp;"D")</f>
        <v>52197</v>
      </c>
      <c r="W1909" s="249">
        <v>2.3049162389864659E-2</v>
      </c>
      <c r="X1909" s="246">
        <v>2.2981190032407284E-2</v>
      </c>
    </row>
    <row r="1910" spans="20:24" x14ac:dyDescent="0.2">
      <c r="T1910" s="247" t="str">
        <f t="shared" si="34"/>
        <v>1w</v>
      </c>
      <c r="U1910" s="245">
        <f>_xll.qlCalendarAdvance(Calendar,U1909,T1910,"f",FALSE)</f>
        <v>52202</v>
      </c>
      <c r="V1910" s="248">
        <f>_xll.qlCalendarAdvance(Calendar,U1910,NDays&amp;"D")</f>
        <v>52204</v>
      </c>
      <c r="W1910" s="249">
        <v>2.3047947867980589E-2</v>
      </c>
      <c r="X1910" s="246">
        <v>2.2981126530643436E-2</v>
      </c>
    </row>
    <row r="1911" spans="20:24" x14ac:dyDescent="0.2">
      <c r="T1911" s="247" t="str">
        <f t="shared" si="34"/>
        <v>1w</v>
      </c>
      <c r="U1911" s="245">
        <f>_xll.qlCalendarAdvance(Calendar,U1910,T1911,"f",FALSE)</f>
        <v>52209</v>
      </c>
      <c r="V1911" s="248">
        <f>_xll.qlCalendarAdvance(Calendar,U1911,NDays&amp;"D")</f>
        <v>52211</v>
      </c>
      <c r="W1911" s="249">
        <v>2.3048326789367302E-2</v>
      </c>
      <c r="X1911" s="246">
        <v>2.2981122872369752E-2</v>
      </c>
    </row>
    <row r="1912" spans="20:24" x14ac:dyDescent="0.2">
      <c r="T1912" s="247" t="str">
        <f t="shared" si="34"/>
        <v>1w</v>
      </c>
      <c r="U1912" s="245">
        <f>_xll.qlCalendarAdvance(Calendar,U1911,T1912,"f",FALSE)</f>
        <v>52216</v>
      </c>
      <c r="V1912" s="248">
        <f>_xll.qlCalendarAdvance(Calendar,U1912,NDays&amp;"D")</f>
        <v>52218</v>
      </c>
      <c r="W1912" s="249">
        <v>2.3048765895160805E-2</v>
      </c>
      <c r="X1912" s="246">
        <v>2.2981179057266488E-2</v>
      </c>
    </row>
    <row r="1913" spans="20:24" x14ac:dyDescent="0.2">
      <c r="T1913" s="247" t="str">
        <f t="shared" si="34"/>
        <v>1w</v>
      </c>
      <c r="U1913" s="245">
        <f>_xll.qlCalendarAdvance(Calendar,U1912,T1913,"f",FALSE)</f>
        <v>52223</v>
      </c>
      <c r="V1913" s="248">
        <f>_xll.qlCalendarAdvance(Calendar,U1913,NDays&amp;"D")</f>
        <v>52229</v>
      </c>
      <c r="W1913" s="249">
        <v>2.3051150332471709E-2</v>
      </c>
      <c r="X1913" s="246">
        <v>2.2981388256084756E-2</v>
      </c>
    </row>
    <row r="1914" spans="20:24" x14ac:dyDescent="0.2">
      <c r="T1914" s="247" t="str">
        <f t="shared" si="34"/>
        <v>1w</v>
      </c>
      <c r="U1914" s="245">
        <f>_xll.qlCalendarAdvance(Calendar,U1913,T1914,"f",FALSE)</f>
        <v>52230</v>
      </c>
      <c r="V1914" s="248">
        <f>_xll.qlCalendarAdvance(Calendar,U1914,NDays&amp;"D")</f>
        <v>52233</v>
      </c>
      <c r="W1914" s="249">
        <v>2.3049909498024768E-2</v>
      </c>
      <c r="X1914" s="246">
        <v>2.2982999722245268E-2</v>
      </c>
    </row>
    <row r="1915" spans="20:24" x14ac:dyDescent="0.2">
      <c r="T1915" s="247" t="str">
        <f t="shared" si="34"/>
        <v>1w</v>
      </c>
      <c r="U1915" s="245">
        <f>_xll.qlCalendarAdvance(Calendar,U1914,T1915,"f",FALSE)</f>
        <v>52237</v>
      </c>
      <c r="V1915" s="248">
        <f>_xll.qlCalendarAdvance(Calendar,U1915,NDays&amp;"D")</f>
        <v>52239</v>
      </c>
      <c r="W1915" s="249">
        <v>2.3050444319202334E-2</v>
      </c>
      <c r="X1915" s="246">
        <v>2.2981706672737801E-2</v>
      </c>
    </row>
    <row r="1916" spans="20:24" x14ac:dyDescent="0.2">
      <c r="T1916" s="247" t="str">
        <f t="shared" si="34"/>
        <v>1w</v>
      </c>
      <c r="U1916" s="245">
        <f>_xll.qlCalendarAdvance(Calendar,U1915,T1916,"f",FALSE)</f>
        <v>52244</v>
      </c>
      <c r="V1916" s="248">
        <f>_xll.qlCalendarAdvance(Calendar,U1916,NDays&amp;"D")</f>
        <v>52246</v>
      </c>
      <c r="W1916" s="249">
        <v>2.3051124162853043E-2</v>
      </c>
      <c r="X1916" s="246">
        <v>2.2982002231275445E-2</v>
      </c>
    </row>
    <row r="1917" spans="20:24" x14ac:dyDescent="0.2">
      <c r="T1917" s="247" t="str">
        <f t="shared" si="34"/>
        <v>1w</v>
      </c>
      <c r="U1917" s="245">
        <f>_xll.qlCalendarAdvance(Calendar,U1916,T1917,"f",FALSE)</f>
        <v>52251</v>
      </c>
      <c r="V1917" s="248">
        <f>_xll.qlCalendarAdvance(Calendar,U1917,NDays&amp;"D")</f>
        <v>52253</v>
      </c>
      <c r="W1917" s="249">
        <v>2.3051864191037552E-2</v>
      </c>
      <c r="X1917" s="246">
        <v>2.2982357633223316E-2</v>
      </c>
    </row>
    <row r="1918" spans="20:24" x14ac:dyDescent="0.2">
      <c r="T1918" s="247" t="str">
        <f t="shared" si="34"/>
        <v>1w</v>
      </c>
      <c r="U1918" s="245">
        <f>_xll.qlCalendarAdvance(Calendar,U1917,T1918,"f",FALSE)</f>
        <v>52258</v>
      </c>
      <c r="V1918" s="248">
        <f>_xll.qlCalendarAdvance(Calendar,U1918,NDays&amp;"D")</f>
        <v>52260</v>
      </c>
      <c r="W1918" s="249">
        <v>2.3052664403788725E-2</v>
      </c>
      <c r="X1918" s="246">
        <v>2.2982772878501478E-2</v>
      </c>
    </row>
    <row r="1919" spans="20:24" x14ac:dyDescent="0.2">
      <c r="T1919" s="247" t="str">
        <f t="shared" si="34"/>
        <v>1w</v>
      </c>
      <c r="U1919" s="245">
        <f>_xll.qlCalendarAdvance(Calendar,U1918,T1919,"f",FALSE)</f>
        <v>52265</v>
      </c>
      <c r="V1919" s="248">
        <f>_xll.qlCalendarAdvance(Calendar,U1919,NDays&amp;"D")</f>
        <v>52267</v>
      </c>
      <c r="W1919" s="249">
        <v>2.3052715476025502E-2</v>
      </c>
      <c r="X1919" s="246">
        <v>2.298324796734974E-2</v>
      </c>
    </row>
    <row r="1920" spans="20:24" x14ac:dyDescent="0.2">
      <c r="T1920" s="247" t="str">
        <f t="shared" si="34"/>
        <v>1w</v>
      </c>
      <c r="U1920" s="245">
        <f>_xll.qlCalendarAdvance(Calendar,U1919,T1920,"f",FALSE)</f>
        <v>52272</v>
      </c>
      <c r="V1920" s="248">
        <f>_xll.qlCalendarAdvance(Calendar,U1920,NDays&amp;"D")</f>
        <v>52274</v>
      </c>
      <c r="W1920" s="249">
        <v>2.3053631700606651E-2</v>
      </c>
      <c r="X1920" s="246">
        <v>2.2983782899288485E-2</v>
      </c>
    </row>
    <row r="1921" spans="20:24" x14ac:dyDescent="0.2">
      <c r="T1921" s="247" t="str">
        <f t="shared" si="34"/>
        <v>1w</v>
      </c>
      <c r="U1921" s="245">
        <f>_xll.qlCalendarAdvance(Calendar,U1920,T1921,"f",FALSE)</f>
        <v>52279</v>
      </c>
      <c r="V1921" s="248">
        <f>_xll.qlCalendarAdvance(Calendar,U1921,NDays&amp;"D")</f>
        <v>52281</v>
      </c>
      <c r="W1921" s="249">
        <v>2.3054608106022494E-2</v>
      </c>
      <c r="X1921" s="246">
        <v>2.2984377674797329E-2</v>
      </c>
    </row>
    <row r="1922" spans="20:24" x14ac:dyDescent="0.2">
      <c r="T1922" s="247" t="str">
        <f t="shared" si="34"/>
        <v>1w</v>
      </c>
      <c r="U1922" s="245">
        <f>_xll.qlCalendarAdvance(Calendar,U1921,T1922,"f",FALSE)</f>
        <v>52286</v>
      </c>
      <c r="V1922" s="248">
        <f>_xll.qlCalendarAdvance(Calendar,U1922,NDays&amp;"D")</f>
        <v>52288</v>
      </c>
      <c r="W1922" s="249">
        <v>2.3055644692317048E-2</v>
      </c>
      <c r="X1922" s="246">
        <v>2.2985032293716401E-2</v>
      </c>
    </row>
    <row r="1923" spans="20:24" x14ac:dyDescent="0.2">
      <c r="T1923" s="247" t="str">
        <f t="shared" si="34"/>
        <v>1w</v>
      </c>
      <c r="U1923" s="245">
        <f>_xll.qlCalendarAdvance(Calendar,U1922,T1923,"f",FALSE)</f>
        <v>52293</v>
      </c>
      <c r="V1923" s="248">
        <f>_xll.qlCalendarAdvance(Calendar,U1923,NDays&amp;"D")</f>
        <v>52295</v>
      </c>
      <c r="W1923" s="249">
        <v>2.305922315014779E-2</v>
      </c>
      <c r="X1923" s="246">
        <v>2.29857467560457E-2</v>
      </c>
    </row>
    <row r="1924" spans="20:24" x14ac:dyDescent="0.2">
      <c r="T1924" s="247" t="str">
        <f t="shared" si="34"/>
        <v>1w</v>
      </c>
      <c r="U1924" s="245">
        <f>_xll.qlCalendarAdvance(Calendar,U1923,T1924,"f",FALSE)</f>
        <v>52300</v>
      </c>
      <c r="V1924" s="248">
        <f>_xll.qlCalendarAdvance(Calendar,U1924,NDays&amp;"D")</f>
        <v>52302</v>
      </c>
      <c r="W1924" s="249">
        <v>2.3060393218438741E-2</v>
      </c>
      <c r="X1924" s="246">
        <v>2.298652106170529E-2</v>
      </c>
    </row>
    <row r="1925" spans="20:24" x14ac:dyDescent="0.2">
      <c r="T1925" s="247" t="str">
        <f t="shared" si="34"/>
        <v>1w</v>
      </c>
      <c r="U1925" s="245">
        <f>_xll.qlCalendarAdvance(Calendar,U1924,T1925,"f",FALSE)</f>
        <v>52307</v>
      </c>
      <c r="V1925" s="248">
        <f>_xll.qlCalendarAdvance(Calendar,U1925,NDays&amp;"D")</f>
        <v>52309</v>
      </c>
      <c r="W1925" s="249">
        <v>2.3061623479310182E-2</v>
      </c>
      <c r="X1925" s="246">
        <v>2.2987355210775107E-2</v>
      </c>
    </row>
    <row r="1926" spans="20:24" x14ac:dyDescent="0.2">
      <c r="T1926" s="247" t="str">
        <f t="shared" si="34"/>
        <v>1w</v>
      </c>
      <c r="U1926" s="245">
        <f>_xll.qlCalendarAdvance(Calendar,U1925,T1926,"f",FALSE)</f>
        <v>52314</v>
      </c>
      <c r="V1926" s="248">
        <f>_xll.qlCalendarAdvance(Calendar,U1926,NDays&amp;"D")</f>
        <v>52316</v>
      </c>
      <c r="W1926" s="249">
        <v>2.3062913932815971E-2</v>
      </c>
      <c r="X1926" s="246">
        <v>2.299145298508698E-2</v>
      </c>
    </row>
    <row r="1927" spans="20:24" x14ac:dyDescent="0.2">
      <c r="T1927" s="247" t="str">
        <f t="shared" si="34"/>
        <v>1w</v>
      </c>
      <c r="U1927" s="245">
        <f>_xll.qlCalendarAdvance(Calendar,U1926,T1927,"f",FALSE)</f>
        <v>52321</v>
      </c>
      <c r="V1927" s="248">
        <f>_xll.qlCalendarAdvance(Calendar,U1927,NDays&amp;"D")</f>
        <v>52323</v>
      </c>
      <c r="W1927" s="249">
        <v>2.3063419377640886E-2</v>
      </c>
      <c r="X1927" s="246">
        <v>2.2989203039065487E-2</v>
      </c>
    </row>
    <row r="1928" spans="20:24" x14ac:dyDescent="0.2">
      <c r="T1928" s="247" t="str">
        <f t="shared" si="34"/>
        <v>1w</v>
      </c>
      <c r="U1928" s="245">
        <f>_xll.qlCalendarAdvance(Calendar,U1927,T1928,"f",FALSE)</f>
        <v>52328</v>
      </c>
      <c r="V1928" s="248">
        <f>_xll.qlCalendarAdvance(Calendar,U1928,NDays&amp;"D")</f>
        <v>52330</v>
      </c>
      <c r="W1928" s="249">
        <v>2.3064825827261388E-2</v>
      </c>
      <c r="X1928" s="246">
        <v>2.2990216718206113E-2</v>
      </c>
    </row>
    <row r="1929" spans="20:24" x14ac:dyDescent="0.2">
      <c r="T1929" s="247" t="str">
        <f t="shared" si="34"/>
        <v>1w</v>
      </c>
      <c r="U1929" s="245">
        <f>_xll.qlCalendarAdvance(Calendar,U1928,T1929,"f",FALSE)</f>
        <v>52335</v>
      </c>
      <c r="V1929" s="248">
        <f>_xll.qlCalendarAdvance(Calendar,U1929,NDays&amp;"D")</f>
        <v>52337</v>
      </c>
      <c r="W1929" s="249">
        <v>2.3066292465848671E-2</v>
      </c>
      <c r="X1929" s="246">
        <v>2.299129024091684E-2</v>
      </c>
    </row>
    <row r="1930" spans="20:24" x14ac:dyDescent="0.2">
      <c r="T1930" s="247" t="str">
        <f t="shared" si="34"/>
        <v>1w</v>
      </c>
      <c r="U1930" s="245">
        <f>_xll.qlCalendarAdvance(Calendar,U1929,T1930,"f",FALSE)</f>
        <v>52342</v>
      </c>
      <c r="V1930" s="248">
        <f>_xll.qlCalendarAdvance(Calendar,U1930,NDays&amp;"D")</f>
        <v>52344</v>
      </c>
      <c r="W1930" s="249">
        <v>2.3067819293467733E-2</v>
      </c>
      <c r="X1930" s="246">
        <v>2.2992423606797985E-2</v>
      </c>
    </row>
    <row r="1931" spans="20:24" x14ac:dyDescent="0.2">
      <c r="T1931" s="247" t="str">
        <f t="shared" si="34"/>
        <v>1w</v>
      </c>
      <c r="U1931" s="245">
        <f>_xll.qlCalendarAdvance(Calendar,U1930,T1931,"f",FALSE)</f>
        <v>52349</v>
      </c>
      <c r="V1931" s="248">
        <f>_xll.qlCalendarAdvance(Calendar,U1931,NDays&amp;"D")</f>
        <v>52351</v>
      </c>
      <c r="W1931" s="249">
        <v>2.3070269092048946E-2</v>
      </c>
      <c r="X1931" s="246">
        <v>2.299608414087384E-2</v>
      </c>
    </row>
    <row r="1932" spans="20:24" x14ac:dyDescent="0.2">
      <c r="T1932" s="247" t="str">
        <f t="shared" si="34"/>
        <v>1w</v>
      </c>
      <c r="U1932" s="245">
        <f>_xll.qlCalendarAdvance(Calendar,U1931,T1932,"f",FALSE)</f>
        <v>52356</v>
      </c>
      <c r="V1932" s="248">
        <f>_xll.qlCalendarAdvance(Calendar,U1932,NDays&amp;"D")</f>
        <v>52358</v>
      </c>
      <c r="W1932" s="249">
        <v>2.3071920702709355E-2</v>
      </c>
      <c r="X1932" s="246">
        <v>2.2994869869030765E-2</v>
      </c>
    </row>
    <row r="1933" spans="20:24" x14ac:dyDescent="0.2">
      <c r="T1933" s="247" t="str">
        <f t="shared" si="34"/>
        <v>1w</v>
      </c>
      <c r="U1933" s="245">
        <f>_xll.qlCalendarAdvance(Calendar,U1932,T1933,"f",FALSE)</f>
        <v>52363</v>
      </c>
      <c r="V1933" s="248">
        <f>_xll.qlCalendarAdvance(Calendar,U1933,NDays&amp;"D")</f>
        <v>52365</v>
      </c>
      <c r="W1933" s="249">
        <v>2.3073632506477655E-2</v>
      </c>
      <c r="X1933" s="246">
        <v>2.2996182765222528E-2</v>
      </c>
    </row>
    <row r="1934" spans="20:24" x14ac:dyDescent="0.2">
      <c r="T1934" s="247" t="str">
        <f t="shared" si="34"/>
        <v>1w</v>
      </c>
      <c r="U1934" s="245">
        <f>_xll.qlCalendarAdvance(Calendar,U1933,T1934,"f",FALSE)</f>
        <v>52370</v>
      </c>
      <c r="V1934" s="248">
        <f>_xll.qlCalendarAdvance(Calendar,U1934,NDays&amp;"D")</f>
        <v>52372</v>
      </c>
      <c r="W1934" s="249">
        <v>2.3075404503432911E-2</v>
      </c>
      <c r="X1934" s="246">
        <v>2.2997555504824518E-2</v>
      </c>
    </row>
    <row r="1935" spans="20:24" x14ac:dyDescent="0.2">
      <c r="T1935" s="247" t="str">
        <f t="shared" si="34"/>
        <v>1w</v>
      </c>
      <c r="U1935" s="245">
        <f>_xll.qlCalendarAdvance(Calendar,U1934,T1935,"f",FALSE)</f>
        <v>52377</v>
      </c>
      <c r="V1935" s="248">
        <f>_xll.qlCalendarAdvance(Calendar,U1935,NDays&amp;"D")</f>
        <v>52379</v>
      </c>
      <c r="W1935" s="249">
        <v>2.3077236693655929E-2</v>
      </c>
      <c r="X1935" s="246">
        <v>2.29989880877568E-2</v>
      </c>
    </row>
    <row r="1936" spans="20:24" x14ac:dyDescent="0.2">
      <c r="T1936" s="247" t="str">
        <f t="shared" si="34"/>
        <v>1w</v>
      </c>
      <c r="U1936" s="245">
        <f>_xll.qlCalendarAdvance(Calendar,U1935,T1936,"f",FALSE)</f>
        <v>52384</v>
      </c>
      <c r="V1936" s="248">
        <f>_xll.qlCalendarAdvance(Calendar,U1936,NDays&amp;"D")</f>
        <v>52386</v>
      </c>
      <c r="W1936" s="249">
        <v>2.3079129077230986E-2</v>
      </c>
      <c r="X1936" s="246">
        <v>2.3000480514099308E-2</v>
      </c>
    </row>
    <row r="1937" spans="20:24" x14ac:dyDescent="0.2">
      <c r="T1937" s="247" t="str">
        <f t="shared" si="34"/>
        <v>1w</v>
      </c>
      <c r="U1937" s="245">
        <f>_xll.qlCalendarAdvance(Calendar,U1936,T1937,"f",FALSE)</f>
        <v>52391</v>
      </c>
      <c r="V1937" s="248">
        <f>_xll.qlCalendarAdvance(Calendar,U1937,NDays&amp;"D")</f>
        <v>52393</v>
      </c>
      <c r="W1937" s="249">
        <v>2.3081081654243236E-2</v>
      </c>
      <c r="X1937" s="246">
        <v>2.3002032783772108E-2</v>
      </c>
    </row>
    <row r="1938" spans="20:24" x14ac:dyDescent="0.2">
      <c r="T1938" s="247" t="str">
        <f t="shared" ref="T1938:T2001" si="35">T1937</f>
        <v>1w</v>
      </c>
      <c r="U1938" s="245">
        <f>_xll.qlCalendarAdvance(Calendar,U1937,T1938,"f",FALSE)</f>
        <v>52398</v>
      </c>
      <c r="V1938" s="248">
        <f>_xll.qlCalendarAdvance(Calendar,U1938,NDays&amp;"D")</f>
        <v>52400</v>
      </c>
      <c r="W1938" s="249">
        <v>2.3083094424787384E-2</v>
      </c>
      <c r="X1938" s="246">
        <v>2.3003644897094944E-2</v>
      </c>
    </row>
    <row r="1939" spans="20:24" x14ac:dyDescent="0.2">
      <c r="T1939" s="247" t="str">
        <f t="shared" si="35"/>
        <v>1w</v>
      </c>
      <c r="U1939" s="245">
        <f>_xll.qlCalendarAdvance(Calendar,U1938,T1939,"f",FALSE)</f>
        <v>52405</v>
      </c>
      <c r="V1939" s="248">
        <f>_xll.qlCalendarAdvance(Calendar,U1939,NDays&amp;"D")</f>
        <v>52407</v>
      </c>
      <c r="W1939" s="249">
        <v>2.3085167388948582E-2</v>
      </c>
      <c r="X1939" s="246">
        <v>2.3005316853588198E-2</v>
      </c>
    </row>
    <row r="1940" spans="20:24" x14ac:dyDescent="0.2">
      <c r="T1940" s="247" t="str">
        <f t="shared" si="35"/>
        <v>1w</v>
      </c>
      <c r="U1940" s="245">
        <f>_xll.qlCalendarAdvance(Calendar,U1939,T1940,"f",FALSE)</f>
        <v>52412</v>
      </c>
      <c r="V1940" s="248">
        <f>_xll.qlCalendarAdvance(Calendar,U1940,NDays&amp;"D")</f>
        <v>52414</v>
      </c>
      <c r="W1940" s="249">
        <v>2.3087300546827613E-2</v>
      </c>
      <c r="X1940" s="246">
        <v>2.3007048653411744E-2</v>
      </c>
    </row>
    <row r="1941" spans="20:24" x14ac:dyDescent="0.2">
      <c r="T1941" s="247" t="str">
        <f t="shared" si="35"/>
        <v>1w</v>
      </c>
      <c r="U1941" s="245">
        <f>_xll.qlCalendarAdvance(Calendar,U1940,T1941,"f",FALSE)</f>
        <v>52419</v>
      </c>
      <c r="V1941" s="248">
        <f>_xll.qlCalendarAdvance(Calendar,U1941,NDays&amp;"D")</f>
        <v>52421</v>
      </c>
      <c r="W1941" s="249">
        <v>2.3089493898519189E-2</v>
      </c>
      <c r="X1941" s="246">
        <v>2.3008840296805388E-2</v>
      </c>
    </row>
    <row r="1942" spans="20:24" x14ac:dyDescent="0.2">
      <c r="T1942" s="247" t="str">
        <f t="shared" si="35"/>
        <v>1w</v>
      </c>
      <c r="U1942" s="245">
        <f>_xll.qlCalendarAdvance(Calendar,U1941,T1942,"f",FALSE)</f>
        <v>52426</v>
      </c>
      <c r="V1942" s="248">
        <f>_xll.qlCalendarAdvance(Calendar,U1942,NDays&amp;"D")</f>
        <v>52428</v>
      </c>
      <c r="W1942" s="249">
        <v>2.3091747444127571E-2</v>
      </c>
      <c r="X1942" s="246">
        <v>2.3010691783609261E-2</v>
      </c>
    </row>
    <row r="1943" spans="20:24" x14ac:dyDescent="0.2">
      <c r="T1943" s="247" t="str">
        <f t="shared" si="35"/>
        <v>1w</v>
      </c>
      <c r="U1943" s="245">
        <f>_xll.qlCalendarAdvance(Calendar,U1942,T1943,"f",FALSE)</f>
        <v>52433</v>
      </c>
      <c r="V1943" s="248">
        <f>_xll.qlCalendarAdvance(Calendar,U1943,NDays&amp;"D")</f>
        <v>52435</v>
      </c>
      <c r="W1943" s="249">
        <v>2.3094061183750944E-2</v>
      </c>
      <c r="X1943" s="246">
        <v>2.3012603113663488E-2</v>
      </c>
    </row>
    <row r="1944" spans="20:24" x14ac:dyDescent="0.2">
      <c r="T1944" s="247" t="str">
        <f t="shared" si="35"/>
        <v>1w</v>
      </c>
      <c r="U1944" s="245">
        <f>_xll.qlCalendarAdvance(Calendar,U1943,T1944,"f",FALSE)</f>
        <v>52440</v>
      </c>
      <c r="V1944" s="248">
        <f>_xll.qlCalendarAdvance(Calendar,U1944,NDays&amp;"D")</f>
        <v>52442</v>
      </c>
      <c r="W1944" s="249">
        <v>2.3096435117499651E-2</v>
      </c>
      <c r="X1944" s="246">
        <v>2.3014574287287815E-2</v>
      </c>
    </row>
    <row r="1945" spans="20:24" x14ac:dyDescent="0.2">
      <c r="T1945" s="247" t="str">
        <f t="shared" si="35"/>
        <v>1w</v>
      </c>
      <c r="U1945" s="245">
        <f>_xll.qlCalendarAdvance(Calendar,U1944,T1945,"f",FALSE)</f>
        <v>52447</v>
      </c>
      <c r="V1945" s="248">
        <f>_xll.qlCalendarAdvance(Calendar,U1945,NDays&amp;"D")</f>
        <v>52449</v>
      </c>
      <c r="W1945" s="249">
        <v>2.30988692454797E-2</v>
      </c>
      <c r="X1945" s="246">
        <v>2.301660530408256E-2</v>
      </c>
    </row>
    <row r="1946" spans="20:24" x14ac:dyDescent="0.2">
      <c r="T1946" s="247" t="str">
        <f t="shared" si="35"/>
        <v>1w</v>
      </c>
      <c r="U1946" s="245">
        <f>_xll.qlCalendarAdvance(Calendar,U1945,T1946,"f",FALSE)</f>
        <v>52454</v>
      </c>
      <c r="V1946" s="248">
        <f>_xll.qlCalendarAdvance(Calendar,U1946,NDays&amp;"D")</f>
        <v>52456</v>
      </c>
      <c r="W1946" s="249">
        <v>2.3101363567805774E-2</v>
      </c>
      <c r="X1946" s="246">
        <v>2.3018696164447405E-2</v>
      </c>
    </row>
    <row r="1947" spans="20:24" x14ac:dyDescent="0.2">
      <c r="T1947" s="247" t="str">
        <f t="shared" si="35"/>
        <v>1w</v>
      </c>
      <c r="U1947" s="245">
        <f>_xll.qlCalendarAdvance(Calendar,U1946,T1947,"f",FALSE)</f>
        <v>52461</v>
      </c>
      <c r="V1947" s="248">
        <f>_xll.qlCalendarAdvance(Calendar,U1947,NDays&amp;"D")</f>
        <v>52463</v>
      </c>
      <c r="W1947" s="249">
        <v>2.3103918084590835E-2</v>
      </c>
      <c r="X1947" s="246">
        <v>2.3020846868302414E-2</v>
      </c>
    </row>
    <row r="1948" spans="20:24" x14ac:dyDescent="0.2">
      <c r="T1948" s="247" t="str">
        <f t="shared" si="35"/>
        <v>1w</v>
      </c>
      <c r="U1948" s="245">
        <f>_xll.qlCalendarAdvance(Calendar,U1947,T1948,"f",FALSE)</f>
        <v>52468</v>
      </c>
      <c r="V1948" s="248">
        <f>_xll.qlCalendarAdvance(Calendar,U1948,NDays&amp;"D")</f>
        <v>52470</v>
      </c>
      <c r="W1948" s="249">
        <v>2.3106532795950437E-2</v>
      </c>
      <c r="X1948" s="246">
        <v>2.3023057415407777E-2</v>
      </c>
    </row>
    <row r="1949" spans="20:24" x14ac:dyDescent="0.2">
      <c r="T1949" s="247" t="str">
        <f t="shared" si="35"/>
        <v>1w</v>
      </c>
      <c r="U1949" s="245">
        <f>_xll.qlCalendarAdvance(Calendar,U1948,T1949,"f",FALSE)</f>
        <v>52475</v>
      </c>
      <c r="V1949" s="248">
        <f>_xll.qlCalendarAdvance(Calendar,U1949,NDays&amp;"D")</f>
        <v>52477</v>
      </c>
      <c r="W1949" s="249">
        <v>2.3108265042902192E-2</v>
      </c>
      <c r="X1949" s="246">
        <v>2.302532780608324E-2</v>
      </c>
    </row>
    <row r="1950" spans="20:24" x14ac:dyDescent="0.2">
      <c r="T1950" s="247" t="str">
        <f t="shared" si="35"/>
        <v>1w</v>
      </c>
      <c r="U1950" s="245">
        <f>_xll.qlCalendarAdvance(Calendar,U1949,T1950,"f",FALSE)</f>
        <v>52482</v>
      </c>
      <c r="V1950" s="248">
        <f>_xll.qlCalendarAdvance(Calendar,U1950,NDays&amp;"D")</f>
        <v>52484</v>
      </c>
      <c r="W1950" s="249">
        <v>2.3110995669352419E-2</v>
      </c>
      <c r="X1950" s="246">
        <v>2.3027658040009058E-2</v>
      </c>
    </row>
    <row r="1951" spans="20:24" x14ac:dyDescent="0.2">
      <c r="T1951" s="247" t="str">
        <f t="shared" si="35"/>
        <v>1w</v>
      </c>
      <c r="U1951" s="245">
        <f>_xll.qlCalendarAdvance(Calendar,U1950,T1951,"f",FALSE)</f>
        <v>52489</v>
      </c>
      <c r="V1951" s="248">
        <f>_xll.qlCalendarAdvance(Calendar,U1951,NDays&amp;"D")</f>
        <v>52491</v>
      </c>
      <c r="W1951" s="249">
        <v>2.3113786486865334E-2</v>
      </c>
      <c r="X1951" s="246">
        <v>2.3030048117504975E-2</v>
      </c>
    </row>
    <row r="1952" spans="20:24" x14ac:dyDescent="0.2">
      <c r="T1952" s="247" t="str">
        <f t="shared" si="35"/>
        <v>1w</v>
      </c>
      <c r="U1952" s="245">
        <f>_xll.qlCalendarAdvance(Calendar,U1951,T1952,"f",FALSE)</f>
        <v>52496</v>
      </c>
      <c r="V1952" s="248">
        <f>_xll.qlCalendarAdvance(Calendar,U1952,NDays&amp;"D")</f>
        <v>52498</v>
      </c>
      <c r="W1952" s="249">
        <v>2.3116637495563905E-2</v>
      </c>
      <c r="X1952" s="246">
        <v>2.3032498038171312E-2</v>
      </c>
    </row>
    <row r="1953" spans="20:24" x14ac:dyDescent="0.2">
      <c r="T1953" s="247" t="str">
        <f t="shared" si="35"/>
        <v>1w</v>
      </c>
      <c r="U1953" s="245">
        <f>_xll.qlCalendarAdvance(Calendar,U1952,T1953,"f",FALSE)</f>
        <v>52503</v>
      </c>
      <c r="V1953" s="248">
        <f>_xll.qlCalendarAdvance(Calendar,U1953,NDays&amp;"D")</f>
        <v>52505</v>
      </c>
      <c r="W1953" s="249">
        <v>2.3123393832097886E-2</v>
      </c>
      <c r="X1953" s="246">
        <v>2.3035007802407748E-2</v>
      </c>
    </row>
    <row r="1954" spans="20:24" x14ac:dyDescent="0.2">
      <c r="T1954" s="247" t="str">
        <f t="shared" si="35"/>
        <v>1w</v>
      </c>
      <c r="U1954" s="245">
        <f>_xll.qlCalendarAdvance(Calendar,U1953,T1954,"f",FALSE)</f>
        <v>52510</v>
      </c>
      <c r="V1954" s="248">
        <f>_xll.qlCalendarAdvance(Calendar,U1954,NDays&amp;"D")</f>
        <v>52512</v>
      </c>
      <c r="W1954" s="249">
        <v>2.3123485157122658E-2</v>
      </c>
      <c r="X1954" s="246">
        <v>2.3037577409894539E-2</v>
      </c>
    </row>
    <row r="1955" spans="20:24" x14ac:dyDescent="0.2">
      <c r="T1955" s="247" t="str">
        <f t="shared" si="35"/>
        <v>1w</v>
      </c>
      <c r="U1955" s="245">
        <f>_xll.qlCalendarAdvance(Calendar,U1954,T1955,"f",FALSE)</f>
        <v>52517</v>
      </c>
      <c r="V1955" s="248">
        <f>_xll.qlCalendarAdvance(Calendar,U1955,NDays&amp;"D")</f>
        <v>52519</v>
      </c>
      <c r="W1955" s="249">
        <v>2.3126521234029928E-2</v>
      </c>
      <c r="X1955" s="246">
        <v>2.3040206861111301E-2</v>
      </c>
    </row>
    <row r="1956" spans="20:24" x14ac:dyDescent="0.2">
      <c r="T1956" s="247" t="str">
        <f t="shared" si="35"/>
        <v>1w</v>
      </c>
      <c r="U1956" s="245">
        <f>_xll.qlCalendarAdvance(Calendar,U1955,T1956,"f",FALSE)</f>
        <v>52524</v>
      </c>
      <c r="V1956" s="248">
        <f>_xll.qlCalendarAdvance(Calendar,U1956,NDays&amp;"D")</f>
        <v>52526</v>
      </c>
      <c r="W1956" s="249">
        <v>2.3129617506549176E-2</v>
      </c>
      <c r="X1956" s="246">
        <v>2.3042896155418546E-2</v>
      </c>
    </row>
    <row r="1957" spans="20:24" x14ac:dyDescent="0.2">
      <c r="T1957" s="247" t="str">
        <f t="shared" si="35"/>
        <v>1w</v>
      </c>
      <c r="U1957" s="245">
        <f>_xll.qlCalendarAdvance(Calendar,U1956,T1957,"f",FALSE)</f>
        <v>52531</v>
      </c>
      <c r="V1957" s="248">
        <f>_xll.qlCalendarAdvance(Calendar,U1957,NDays&amp;"D")</f>
        <v>52533</v>
      </c>
      <c r="W1957" s="249">
        <v>2.3132773974824626E-2</v>
      </c>
      <c r="X1957" s="246">
        <v>2.3045645293375827E-2</v>
      </c>
    </row>
    <row r="1958" spans="20:24" x14ac:dyDescent="0.2">
      <c r="T1958" s="247" t="str">
        <f t="shared" si="35"/>
        <v>1w</v>
      </c>
      <c r="U1958" s="245">
        <f>_xll.qlCalendarAdvance(Calendar,U1957,T1958,"f",FALSE)</f>
        <v>52538</v>
      </c>
      <c r="V1958" s="248">
        <f>_xll.qlCalendarAdvance(Calendar,U1958,NDays&amp;"D")</f>
        <v>52540</v>
      </c>
      <c r="W1958" s="249">
        <v>2.3135990638999647E-2</v>
      </c>
      <c r="X1958" s="246">
        <v>2.3048454274663399E-2</v>
      </c>
    </row>
    <row r="1959" spans="20:24" x14ac:dyDescent="0.2">
      <c r="T1959" s="247" t="str">
        <f t="shared" si="35"/>
        <v>1w</v>
      </c>
      <c r="U1959" s="245">
        <f>_xll.qlCalendarAdvance(Calendar,U1958,T1959,"f",FALSE)</f>
        <v>52545</v>
      </c>
      <c r="V1959" s="248">
        <f>_xll.qlCalendarAdvance(Calendar,U1959,NDays&amp;"D")</f>
        <v>52547</v>
      </c>
      <c r="W1959" s="249">
        <v>2.3139267499221947E-2</v>
      </c>
      <c r="X1959" s="246">
        <v>2.3051323099361198E-2</v>
      </c>
    </row>
    <row r="1960" spans="20:24" x14ac:dyDescent="0.2">
      <c r="T1960" s="247" t="str">
        <f t="shared" si="35"/>
        <v>1w</v>
      </c>
      <c r="U1960" s="245">
        <f>_xll.qlCalendarAdvance(Calendar,U1959,T1960,"f",FALSE)</f>
        <v>52552</v>
      </c>
      <c r="V1960" s="248">
        <f>_xll.qlCalendarAdvance(Calendar,U1960,NDays&amp;"D")</f>
        <v>52554</v>
      </c>
      <c r="W1960" s="249">
        <v>2.3142604555641835E-2</v>
      </c>
      <c r="X1960" s="246">
        <v>2.3054251767469225E-2</v>
      </c>
    </row>
    <row r="1961" spans="20:24" x14ac:dyDescent="0.2">
      <c r="T1961" s="247" t="str">
        <f t="shared" si="35"/>
        <v>1w</v>
      </c>
      <c r="U1961" s="245">
        <f>_xll.qlCalendarAdvance(Calendar,U1960,T1961,"f",FALSE)</f>
        <v>52559</v>
      </c>
      <c r="V1961" s="248">
        <f>_xll.qlCalendarAdvance(Calendar,U1961,NDays&amp;"D")</f>
        <v>52561</v>
      </c>
      <c r="W1961" s="249">
        <v>2.3146001808411368E-2</v>
      </c>
      <c r="X1961" s="246">
        <v>2.3057240278987479E-2</v>
      </c>
    </row>
    <row r="1962" spans="20:24" x14ac:dyDescent="0.2">
      <c r="T1962" s="247" t="str">
        <f t="shared" si="35"/>
        <v>1w</v>
      </c>
      <c r="U1962" s="245">
        <f>_xll.qlCalendarAdvance(Calendar,U1961,T1962,"f",FALSE)</f>
        <v>52566</v>
      </c>
      <c r="V1962" s="248">
        <f>_xll.qlCalendarAdvance(Calendar,U1962,NDays&amp;"D")</f>
        <v>52568</v>
      </c>
      <c r="W1962" s="249">
        <v>2.3148458127696673E-2</v>
      </c>
      <c r="X1962" s="246">
        <v>2.3060288633995896E-2</v>
      </c>
    </row>
    <row r="1963" spans="20:24" x14ac:dyDescent="0.2">
      <c r="T1963" s="247" t="str">
        <f t="shared" si="35"/>
        <v>1w</v>
      </c>
      <c r="U1963" s="245">
        <f>_xll.qlCalendarAdvance(Calendar,U1962,T1963,"f",FALSE)</f>
        <v>52573</v>
      </c>
      <c r="V1963" s="248">
        <f>_xll.qlCalendarAdvance(Calendar,U1963,NDays&amp;"D")</f>
        <v>52575</v>
      </c>
      <c r="W1963" s="249">
        <v>2.3151971248599433E-2</v>
      </c>
      <c r="X1963" s="246">
        <v>2.3063396832254668E-2</v>
      </c>
    </row>
    <row r="1964" spans="20:24" x14ac:dyDescent="0.2">
      <c r="T1964" s="247" t="str">
        <f t="shared" si="35"/>
        <v>1w</v>
      </c>
      <c r="U1964" s="245">
        <f>_xll.qlCalendarAdvance(Calendar,U1963,T1964,"f",FALSE)</f>
        <v>52580</v>
      </c>
      <c r="V1964" s="248">
        <f>_xll.qlCalendarAdvance(Calendar,U1964,NDays&amp;"D")</f>
        <v>52582</v>
      </c>
      <c r="W1964" s="249">
        <v>2.3155544562423608E-2</v>
      </c>
      <c r="X1964" s="246">
        <v>2.3066564874163475E-2</v>
      </c>
    </row>
    <row r="1965" spans="20:24" x14ac:dyDescent="0.2">
      <c r="T1965" s="247" t="str">
        <f t="shared" si="35"/>
        <v>1w</v>
      </c>
      <c r="U1965" s="245">
        <f>_xll.qlCalendarAdvance(Calendar,U1964,T1965,"f",FALSE)</f>
        <v>52587</v>
      </c>
      <c r="V1965" s="248">
        <f>_xll.qlCalendarAdvance(Calendar,U1965,NDays&amp;"D")</f>
        <v>52589</v>
      </c>
      <c r="W1965" s="249">
        <v>2.3159178069330828E-2</v>
      </c>
      <c r="X1965" s="246">
        <v>2.3072710791458562E-2</v>
      </c>
    </row>
    <row r="1966" spans="20:24" x14ac:dyDescent="0.2">
      <c r="T1966" s="247" t="str">
        <f t="shared" si="35"/>
        <v>1w</v>
      </c>
      <c r="U1966" s="245">
        <f>_xll.qlCalendarAdvance(Calendar,U1965,T1966,"f",FALSE)</f>
        <v>52594</v>
      </c>
      <c r="V1966" s="248">
        <f>_xll.qlCalendarAdvance(Calendar,U1966,NDays&amp;"D")</f>
        <v>52596</v>
      </c>
      <c r="W1966" s="249">
        <v>2.3162871769485359E-2</v>
      </c>
      <c r="X1966" s="246">
        <v>2.3076011978362398E-2</v>
      </c>
    </row>
    <row r="1967" spans="20:24" x14ac:dyDescent="0.2">
      <c r="T1967" s="247" t="str">
        <f t="shared" si="35"/>
        <v>1w</v>
      </c>
      <c r="U1967" s="245">
        <f>_xll.qlCalendarAdvance(Calendar,U1966,T1967,"f",FALSE)</f>
        <v>52601</v>
      </c>
      <c r="V1967" s="248">
        <f>_xll.qlCalendarAdvance(Calendar,U1967,NDays&amp;"D")</f>
        <v>52603</v>
      </c>
      <c r="W1967" s="249">
        <v>2.316662566305322E-2</v>
      </c>
      <c r="X1967" s="246">
        <v>2.3076428060111454E-2</v>
      </c>
    </row>
    <row r="1968" spans="20:24" x14ac:dyDescent="0.2">
      <c r="T1968" s="247" t="str">
        <f t="shared" si="35"/>
        <v>1w</v>
      </c>
      <c r="U1968" s="245">
        <f>_xll.qlCalendarAdvance(Calendar,U1967,T1968,"f",FALSE)</f>
        <v>52608</v>
      </c>
      <c r="V1968" s="248">
        <f>_xll.qlCalendarAdvance(Calendar,U1968,NDays&amp;"D")</f>
        <v>52610</v>
      </c>
      <c r="W1968" s="249">
        <v>2.3170439750208337E-2</v>
      </c>
      <c r="X1968" s="246">
        <v>2.3079835475741106E-2</v>
      </c>
    </row>
    <row r="1969" spans="20:24" x14ac:dyDescent="0.2">
      <c r="T1969" s="247" t="str">
        <f t="shared" si="35"/>
        <v>1w</v>
      </c>
      <c r="U1969" s="245">
        <f>_xll.qlCalendarAdvance(Calendar,U1968,T1969,"f",FALSE)</f>
        <v>52615</v>
      </c>
      <c r="V1969" s="248">
        <f>_xll.qlCalendarAdvance(Calendar,U1969,NDays&amp;"D")</f>
        <v>52617</v>
      </c>
      <c r="W1969" s="249">
        <v>2.3174314031121124E-2</v>
      </c>
      <c r="X1969" s="246">
        <v>2.308330273470105E-2</v>
      </c>
    </row>
    <row r="1970" spans="20:24" x14ac:dyDescent="0.2">
      <c r="T1970" s="247" t="str">
        <f t="shared" si="35"/>
        <v>1w</v>
      </c>
      <c r="U1970" s="245">
        <f>_xll.qlCalendarAdvance(Calendar,U1969,T1970,"f",FALSE)</f>
        <v>52622</v>
      </c>
      <c r="V1970" s="248">
        <f>_xll.qlCalendarAdvance(Calendar,U1970,NDays&amp;"D")</f>
        <v>52624</v>
      </c>
      <c r="W1970" s="249">
        <v>2.3178248505969026E-2</v>
      </c>
      <c r="X1970" s="246">
        <v>2.3086829837151157E-2</v>
      </c>
    </row>
    <row r="1971" spans="20:24" x14ac:dyDescent="0.2">
      <c r="T1971" s="247" t="str">
        <f t="shared" si="35"/>
        <v>1w</v>
      </c>
      <c r="U1971" s="245">
        <f>_xll.qlCalendarAdvance(Calendar,U1970,T1971,"f",FALSE)</f>
        <v>52629</v>
      </c>
      <c r="V1971" s="248">
        <f>_xll.qlCalendarAdvance(Calendar,U1971,NDays&amp;"D")</f>
        <v>52631</v>
      </c>
      <c r="W1971" s="249">
        <v>2.3181201658275974E-2</v>
      </c>
      <c r="X1971" s="246">
        <v>2.3090416783011491E-2</v>
      </c>
    </row>
    <row r="1972" spans="20:24" x14ac:dyDescent="0.2">
      <c r="T1972" s="247" t="str">
        <f t="shared" si="35"/>
        <v>1w</v>
      </c>
      <c r="U1972" s="245">
        <f>_xll.qlCalendarAdvance(Calendar,U1971,T1972,"f",FALSE)</f>
        <v>52636</v>
      </c>
      <c r="V1972" s="248">
        <f>_xll.qlCalendarAdvance(Calendar,U1972,NDays&amp;"D")</f>
        <v>52638</v>
      </c>
      <c r="W1972" s="249">
        <v>2.3185251961836961E-2</v>
      </c>
      <c r="X1972" s="246">
        <v>2.3094063572361989E-2</v>
      </c>
    </row>
    <row r="1973" spans="20:24" x14ac:dyDescent="0.2">
      <c r="T1973" s="247" t="str">
        <f t="shared" si="35"/>
        <v>1w</v>
      </c>
      <c r="U1973" s="245">
        <f>_xll.qlCalendarAdvance(Calendar,U1972,T1973,"f",FALSE)</f>
        <v>52643</v>
      </c>
      <c r="V1973" s="248">
        <f>_xll.qlCalendarAdvance(Calendar,U1973,NDays&amp;"D")</f>
        <v>52645</v>
      </c>
      <c r="W1973" s="249">
        <v>2.3189362455950935E-2</v>
      </c>
      <c r="X1973" s="246">
        <v>2.3097770205122714E-2</v>
      </c>
    </row>
    <row r="1974" spans="20:24" x14ac:dyDescent="0.2">
      <c r="T1974" s="247" t="str">
        <f t="shared" si="35"/>
        <v>1w</v>
      </c>
      <c r="U1974" s="245">
        <f>_xll.qlCalendarAdvance(Calendar,U1973,T1974,"f",FALSE)</f>
        <v>52650</v>
      </c>
      <c r="V1974" s="248">
        <f>_xll.qlCalendarAdvance(Calendar,U1974,NDays&amp;"D")</f>
        <v>52652</v>
      </c>
      <c r="W1974" s="249">
        <v>2.3193533140801748E-2</v>
      </c>
      <c r="X1974" s="246">
        <v>2.310153668121373E-2</v>
      </c>
    </row>
    <row r="1975" spans="20:24" x14ac:dyDescent="0.2">
      <c r="T1975" s="247" t="str">
        <f t="shared" si="35"/>
        <v>1w</v>
      </c>
      <c r="U1975" s="245">
        <f>_xll.qlCalendarAdvance(Calendar,U1974,T1975,"f",FALSE)</f>
        <v>52657</v>
      </c>
      <c r="V1975" s="248">
        <f>_xll.qlCalendarAdvance(Calendar,U1975,NDays&amp;"D")</f>
        <v>52659</v>
      </c>
      <c r="W1975" s="249">
        <v>2.3199884053471908E-2</v>
      </c>
      <c r="X1975" s="246">
        <v>2.3105363000874846E-2</v>
      </c>
    </row>
    <row r="1976" spans="20:24" x14ac:dyDescent="0.2">
      <c r="T1976" s="247" t="str">
        <f t="shared" si="35"/>
        <v>1w</v>
      </c>
      <c r="U1976" s="245">
        <f>_xll.qlCalendarAdvance(Calendar,U1975,T1976,"f",FALSE)</f>
        <v>52664</v>
      </c>
      <c r="V1976" s="248">
        <f>_xll.qlCalendarAdvance(Calendar,U1976,NDays&amp;"D")</f>
        <v>52666</v>
      </c>
      <c r="W1976" s="249">
        <v>2.3204182796662882E-2</v>
      </c>
      <c r="X1976" s="246">
        <v>2.3109249163946188E-2</v>
      </c>
    </row>
    <row r="1977" spans="20:24" x14ac:dyDescent="0.2">
      <c r="T1977" s="247" t="str">
        <f t="shared" si="35"/>
        <v>1w</v>
      </c>
      <c r="U1977" s="245">
        <f>_xll.qlCalendarAdvance(Calendar,U1976,T1977,"f",FALSE)</f>
        <v>52671</v>
      </c>
      <c r="V1977" s="248">
        <f>_xll.qlCalendarAdvance(Calendar,U1977,NDays&amp;"D")</f>
        <v>52673</v>
      </c>
      <c r="W1977" s="249">
        <v>2.3208534949539231E-2</v>
      </c>
      <c r="X1977" s="246">
        <v>2.3113195170427758E-2</v>
      </c>
    </row>
    <row r="1978" spans="20:24" x14ac:dyDescent="0.2">
      <c r="T1978" s="247" t="str">
        <f t="shared" si="35"/>
        <v>1w</v>
      </c>
      <c r="U1978" s="245">
        <f>_xll.qlCalendarAdvance(Calendar,U1977,T1978,"f",FALSE)</f>
        <v>52678</v>
      </c>
      <c r="V1978" s="248">
        <f>_xll.qlCalendarAdvance(Calendar,U1978,NDays&amp;"D")</f>
        <v>52680</v>
      </c>
      <c r="W1978" s="249">
        <v>2.3212934571477301E-2</v>
      </c>
      <c r="X1978" s="246">
        <v>2.3117201020399492E-2</v>
      </c>
    </row>
    <row r="1979" spans="20:24" x14ac:dyDescent="0.2">
      <c r="T1979" s="247" t="str">
        <f t="shared" si="35"/>
        <v>1w</v>
      </c>
      <c r="U1979" s="245">
        <f>_xll.qlCalendarAdvance(Calendar,U1978,T1979,"f",FALSE)</f>
        <v>52685</v>
      </c>
      <c r="V1979" s="248">
        <f>_xll.qlCalendarAdvance(Calendar,U1979,NDays&amp;"D")</f>
        <v>52687</v>
      </c>
      <c r="W1979" s="249">
        <v>2.3216303476101485E-2</v>
      </c>
      <c r="X1979" s="246">
        <v>2.3121266713781452E-2</v>
      </c>
    </row>
    <row r="1980" spans="20:24" x14ac:dyDescent="0.2">
      <c r="T1980" s="247" t="str">
        <f t="shared" si="35"/>
        <v>1w</v>
      </c>
      <c r="U1980" s="245">
        <f>_xll.qlCalendarAdvance(Calendar,U1979,T1980,"f",FALSE)</f>
        <v>52692</v>
      </c>
      <c r="V1980" s="248">
        <f>_xll.qlCalendarAdvance(Calendar,U1980,NDays&amp;"D")</f>
        <v>52694</v>
      </c>
      <c r="W1980" s="249">
        <v>2.3220778842377734E-2</v>
      </c>
      <c r="X1980" s="246">
        <v>2.3125392250813448E-2</v>
      </c>
    </row>
    <row r="1981" spans="20:24" x14ac:dyDescent="0.2">
      <c r="T1981" s="247" t="str">
        <f t="shared" si="35"/>
        <v>1w</v>
      </c>
      <c r="U1981" s="245">
        <f>_xll.qlCalendarAdvance(Calendar,U1980,T1981,"f",FALSE)</f>
        <v>52699</v>
      </c>
      <c r="V1981" s="248">
        <f>_xll.qlCalendarAdvance(Calendar,U1981,NDays&amp;"D")</f>
        <v>52701</v>
      </c>
      <c r="W1981" s="249">
        <v>2.3225284375945066E-2</v>
      </c>
      <c r="X1981" s="246">
        <v>2.3133758264902937E-2</v>
      </c>
    </row>
    <row r="1982" spans="20:24" x14ac:dyDescent="0.2">
      <c r="T1982" s="247" t="str">
        <f t="shared" si="35"/>
        <v>1w</v>
      </c>
      <c r="U1982" s="245">
        <f>_xll.qlCalendarAdvance(Calendar,U1981,T1982,"f",FALSE)</f>
        <v>52706</v>
      </c>
      <c r="V1982" s="248">
        <f>_xll.qlCalendarAdvance(Calendar,U1982,NDays&amp;"D")</f>
        <v>52708</v>
      </c>
      <c r="W1982" s="249">
        <v>2.3229814071179352E-2</v>
      </c>
      <c r="X1982" s="246">
        <v>2.3133822854948249E-2</v>
      </c>
    </row>
    <row r="1983" spans="20:24" x14ac:dyDescent="0.2">
      <c r="T1983" s="247" t="str">
        <f t="shared" si="35"/>
        <v>1w</v>
      </c>
      <c r="U1983" s="245">
        <f>_xll.qlCalendarAdvance(Calendar,U1982,T1983,"f",FALSE)</f>
        <v>52713</v>
      </c>
      <c r="V1983" s="248">
        <f>_xll.qlCalendarAdvance(Calendar,U1983,NDays&amp;"D")</f>
        <v>52715</v>
      </c>
      <c r="W1983" s="249">
        <v>2.3234361922424836E-2</v>
      </c>
      <c r="X1983" s="246">
        <v>2.3138127922130991E-2</v>
      </c>
    </row>
    <row r="1984" spans="20:24" x14ac:dyDescent="0.2">
      <c r="T1984" s="247" t="str">
        <f t="shared" si="35"/>
        <v>1w</v>
      </c>
      <c r="U1984" s="245">
        <f>_xll.qlCalendarAdvance(Calendar,U1983,T1984,"f",FALSE)</f>
        <v>52720</v>
      </c>
      <c r="V1984" s="248">
        <f>_xll.qlCalendarAdvance(Calendar,U1984,NDays&amp;"D")</f>
        <v>52722</v>
      </c>
      <c r="W1984" s="249">
        <v>2.3239996474977143E-2</v>
      </c>
      <c r="X1984" s="246">
        <v>2.3142492832883832E-2</v>
      </c>
    </row>
    <row r="1985" spans="20:24" x14ac:dyDescent="0.2">
      <c r="T1985" s="247" t="str">
        <f t="shared" si="35"/>
        <v>1w</v>
      </c>
      <c r="U1985" s="245">
        <f>_xll.qlCalendarAdvance(Calendar,U1984,T1985,"f",FALSE)</f>
        <v>52727</v>
      </c>
      <c r="V1985" s="248">
        <f>_xll.qlCalendarAdvance(Calendar,U1985,NDays&amp;"D")</f>
        <v>52729</v>
      </c>
      <c r="W1985" s="249">
        <v>2.32445620405888E-2</v>
      </c>
      <c r="X1985" s="246">
        <v>2.3146917587126836E-2</v>
      </c>
    </row>
    <row r="1986" spans="20:24" x14ac:dyDescent="0.2">
      <c r="T1986" s="247" t="str">
        <f t="shared" si="35"/>
        <v>1w</v>
      </c>
      <c r="U1986" s="245">
        <f>_xll.qlCalendarAdvance(Calendar,U1985,T1986,"f",FALSE)</f>
        <v>52734</v>
      </c>
      <c r="V1986" s="248">
        <f>_xll.qlCalendarAdvance(Calendar,U1986,NDays&amp;"D")</f>
        <v>52736</v>
      </c>
      <c r="W1986" s="249">
        <v>2.3249127549297279E-2</v>
      </c>
      <c r="X1986" s="246">
        <v>2.3151402184700132E-2</v>
      </c>
    </row>
    <row r="1987" spans="20:24" x14ac:dyDescent="0.2">
      <c r="T1987" s="247" t="str">
        <f t="shared" si="35"/>
        <v>1w</v>
      </c>
      <c r="U1987" s="245">
        <f>_xll.qlCalendarAdvance(Calendar,U1986,T1987,"f",FALSE)</f>
        <v>52741</v>
      </c>
      <c r="V1987" s="248">
        <f>_xll.qlCalendarAdvance(Calendar,U1987,NDays&amp;"D")</f>
        <v>52743</v>
      </c>
      <c r="W1987" s="249">
        <v>2.3253687060238257E-2</v>
      </c>
      <c r="X1987" s="246">
        <v>2.3155946625843526E-2</v>
      </c>
    </row>
    <row r="1988" spans="20:24" x14ac:dyDescent="0.2">
      <c r="T1988" s="247" t="str">
        <f t="shared" si="35"/>
        <v>1w</v>
      </c>
      <c r="U1988" s="245">
        <f>_xll.qlCalendarAdvance(Calendar,U1987,T1988,"f",FALSE)</f>
        <v>52748</v>
      </c>
      <c r="V1988" s="248">
        <f>_xll.qlCalendarAdvance(Calendar,U1988,NDays&amp;"D")</f>
        <v>52750</v>
      </c>
      <c r="W1988" s="249">
        <v>2.3258234632514398E-2</v>
      </c>
      <c r="X1988" s="246">
        <v>2.3160550646448286E-2</v>
      </c>
    </row>
    <row r="1989" spans="20:24" x14ac:dyDescent="0.2">
      <c r="T1989" s="247" t="str">
        <f t="shared" si="35"/>
        <v>1w</v>
      </c>
      <c r="U1989" s="245">
        <f>_xll.qlCalendarAdvance(Calendar,U1988,T1989,"f",FALSE)</f>
        <v>52755</v>
      </c>
      <c r="V1989" s="248">
        <f>_xll.qlCalendarAdvance(Calendar,U1989,NDays&amp;"D")</f>
        <v>52757</v>
      </c>
      <c r="W1989" s="249">
        <v>2.3262765315351121E-2</v>
      </c>
      <c r="X1989" s="246">
        <v>2.3165170418133485E-2</v>
      </c>
    </row>
    <row r="1990" spans="20:24" x14ac:dyDescent="0.2">
      <c r="T1990" s="247" t="str">
        <f t="shared" si="35"/>
        <v>1w</v>
      </c>
      <c r="U1990" s="245">
        <f>_xll.qlCalendarAdvance(Calendar,U1989,T1990,"f",FALSE)</f>
        <v>52762</v>
      </c>
      <c r="V1990" s="248">
        <f>_xll.qlCalendarAdvance(Calendar,U1990,NDays&amp;"D")</f>
        <v>52764</v>
      </c>
      <c r="W1990" s="249">
        <v>2.3267278118541391E-2</v>
      </c>
      <c r="X1990" s="246">
        <v>2.3169772409561418E-2</v>
      </c>
    </row>
    <row r="1991" spans="20:24" x14ac:dyDescent="0.2">
      <c r="T1991" s="247" t="str">
        <f t="shared" si="35"/>
        <v>1w</v>
      </c>
      <c r="U1991" s="245">
        <f>_xll.qlCalendarAdvance(Calendar,U1990,T1991,"f",FALSE)</f>
        <v>52769</v>
      </c>
      <c r="V1991" s="248">
        <f>_xll.qlCalendarAdvance(Calendar,U1991,NDays&amp;"D")</f>
        <v>52771</v>
      </c>
      <c r="W1991" s="249">
        <v>2.3271773042026118E-2</v>
      </c>
      <c r="X1991" s="246">
        <v>2.317435662081202E-2</v>
      </c>
    </row>
    <row r="1992" spans="20:24" x14ac:dyDescent="0.2">
      <c r="T1992" s="247" t="str">
        <f t="shared" si="35"/>
        <v>1w</v>
      </c>
      <c r="U1992" s="245">
        <f>_xll.qlCalendarAdvance(Calendar,U1991,T1992,"f",FALSE)</f>
        <v>52776</v>
      </c>
      <c r="V1992" s="248">
        <f>_xll.qlCalendarAdvance(Calendar,U1992,NDays&amp;"D")</f>
        <v>52778</v>
      </c>
      <c r="W1992" s="249">
        <v>2.3276250085740136E-2</v>
      </c>
      <c r="X1992" s="246">
        <v>2.3178923051805356E-2</v>
      </c>
    </row>
    <row r="1993" spans="20:24" x14ac:dyDescent="0.2">
      <c r="T1993" s="247" t="str">
        <f t="shared" si="35"/>
        <v>1w</v>
      </c>
      <c r="U1993" s="245">
        <f>_xll.qlCalendarAdvance(Calendar,U1992,T1993,"f",FALSE)</f>
        <v>52783</v>
      </c>
      <c r="V1993" s="248">
        <f>_xll.qlCalendarAdvance(Calendar,U1993,NDays&amp;"D")</f>
        <v>52785</v>
      </c>
      <c r="W1993" s="249">
        <v>2.328070924962523E-2</v>
      </c>
      <c r="X1993" s="246">
        <v>2.3183471702541425E-2</v>
      </c>
    </row>
    <row r="1994" spans="20:24" x14ac:dyDescent="0.2">
      <c r="T1994" s="247" t="str">
        <f t="shared" si="35"/>
        <v>1w</v>
      </c>
      <c r="U1994" s="245">
        <f>_xll.qlCalendarAdvance(Calendar,U1993,T1994,"f",FALSE)</f>
        <v>52790</v>
      </c>
      <c r="V1994" s="248">
        <f>_xll.qlCalendarAdvance(Calendar,U1994,NDays&amp;"D")</f>
        <v>52792</v>
      </c>
      <c r="W1994" s="249">
        <v>2.3285150533620586E-2</v>
      </c>
      <c r="X1994" s="246">
        <v>2.3188002573100164E-2</v>
      </c>
    </row>
    <row r="1995" spans="20:24" x14ac:dyDescent="0.2">
      <c r="T1995" s="247" t="str">
        <f t="shared" si="35"/>
        <v>1w</v>
      </c>
      <c r="U1995" s="245">
        <f>_xll.qlCalendarAdvance(Calendar,U1994,T1995,"f",FALSE)</f>
        <v>52797</v>
      </c>
      <c r="V1995" s="248">
        <f>_xll.qlCalendarAdvance(Calendar,U1995,NDays&amp;"D")</f>
        <v>52799</v>
      </c>
      <c r="W1995" s="249">
        <v>2.3289573937663639E-2</v>
      </c>
      <c r="X1995" s="246">
        <v>2.31925156633217E-2</v>
      </c>
    </row>
    <row r="1996" spans="20:24" x14ac:dyDescent="0.2">
      <c r="T1996" s="247" t="str">
        <f t="shared" si="35"/>
        <v>1w</v>
      </c>
      <c r="U1996" s="245">
        <f>_xll.qlCalendarAdvance(Calendar,U1995,T1996,"f",FALSE)</f>
        <v>52804</v>
      </c>
      <c r="V1996" s="248">
        <f>_xll.qlCalendarAdvance(Calendar,U1996,NDays&amp;"D")</f>
        <v>52806</v>
      </c>
      <c r="W1996" s="249">
        <v>2.3293979461697045E-2</v>
      </c>
      <c r="X1996" s="246">
        <v>2.3197010973445842E-2</v>
      </c>
    </row>
    <row r="1997" spans="20:24" x14ac:dyDescent="0.2">
      <c r="T1997" s="247" t="str">
        <f t="shared" si="35"/>
        <v>1w</v>
      </c>
      <c r="U1997" s="245">
        <f>_xll.qlCalendarAdvance(Calendar,U1996,T1997,"f",FALSE)</f>
        <v>52811</v>
      </c>
      <c r="V1997" s="248">
        <f>_xll.qlCalendarAdvance(Calendar,U1997,NDays&amp;"D")</f>
        <v>52813</v>
      </c>
      <c r="W1997" s="249">
        <v>2.3298367105657376E-2</v>
      </c>
      <c r="X1997" s="246">
        <v>2.3201488503232781E-2</v>
      </c>
    </row>
    <row r="1998" spans="20:24" x14ac:dyDescent="0.2">
      <c r="T1998" s="247" t="str">
        <f t="shared" si="35"/>
        <v>1w</v>
      </c>
      <c r="U1998" s="245">
        <f>_xll.qlCalendarAdvance(Calendar,U1997,T1998,"f",FALSE)</f>
        <v>52818</v>
      </c>
      <c r="V1998" s="248">
        <f>_xll.qlCalendarAdvance(Calendar,U1998,NDays&amp;"D")</f>
        <v>52820</v>
      </c>
      <c r="W1998" s="249">
        <v>2.3302736869488156E-2</v>
      </c>
      <c r="X1998" s="246">
        <v>2.3205948252922326E-2</v>
      </c>
    </row>
    <row r="1999" spans="20:24" x14ac:dyDescent="0.2">
      <c r="T1999" s="247" t="str">
        <f t="shared" si="35"/>
        <v>1w</v>
      </c>
      <c r="U1999" s="245">
        <f>_xll.qlCalendarAdvance(Calendar,U1998,T1999,"f",FALSE)</f>
        <v>52825</v>
      </c>
      <c r="V1999" s="248">
        <f>_xll.qlCalendarAdvance(Calendar,U1999,NDays&amp;"D")</f>
        <v>52827</v>
      </c>
      <c r="W1999" s="249">
        <v>2.3307088753127696E-2</v>
      </c>
      <c r="X1999" s="246">
        <v>2.3210390222194732E-2</v>
      </c>
    </row>
    <row r="2000" spans="20:24" x14ac:dyDescent="0.2">
      <c r="T2000" s="247" t="str">
        <f t="shared" si="35"/>
        <v>1w</v>
      </c>
      <c r="U2000" s="245">
        <f>_xll.qlCalendarAdvance(Calendar,U1999,T2000,"f",FALSE)</f>
        <v>52832</v>
      </c>
      <c r="V2000" s="248">
        <f>_xll.qlCalendarAdvance(Calendar,U2000,NDays&amp;"D")</f>
        <v>52834</v>
      </c>
      <c r="W2000" s="249">
        <v>2.3311422756517781E-2</v>
      </c>
      <c r="X2000" s="246">
        <v>2.3214814411369744E-2</v>
      </c>
    </row>
    <row r="2001" spans="20:24" x14ac:dyDescent="0.2">
      <c r="T2001" s="247" t="str">
        <f t="shared" si="35"/>
        <v>1w</v>
      </c>
      <c r="U2001" s="245">
        <f>_xll.qlCalendarAdvance(Calendar,U2000,T2001,"f",FALSE)</f>
        <v>52839</v>
      </c>
      <c r="V2001" s="248">
        <f>_xll.qlCalendarAdvance(Calendar,U2001,NDays&amp;"D")</f>
        <v>52841</v>
      </c>
      <c r="W2001" s="249">
        <v>2.3314680459389902E-2</v>
      </c>
      <c r="X2001" s="246">
        <v>2.3219220820207553E-2</v>
      </c>
    </row>
    <row r="2002" spans="20:24" x14ac:dyDescent="0.2">
      <c r="T2002" s="247" t="str">
        <f t="shared" ref="T2002:T2065" si="36">T2001</f>
        <v>1w</v>
      </c>
      <c r="U2002" s="245">
        <f>_xll.qlCalendarAdvance(Calendar,U2001,T2002,"f",FALSE)</f>
        <v>52846</v>
      </c>
      <c r="V2002" s="248">
        <f>_xll.qlCalendarAdvance(Calendar,U2002,NDays&amp;"D")</f>
        <v>52848</v>
      </c>
      <c r="W2002" s="249">
        <v>2.3318979701627721E-2</v>
      </c>
      <c r="X2002" s="246">
        <v>2.3223609448868032E-2</v>
      </c>
    </row>
    <row r="2003" spans="20:24" x14ac:dyDescent="0.2">
      <c r="T2003" s="247" t="str">
        <f t="shared" si="36"/>
        <v>1w</v>
      </c>
      <c r="U2003" s="245">
        <f>_xll.qlCalendarAdvance(Calendar,U2002,T2003,"f",FALSE)</f>
        <v>52853</v>
      </c>
      <c r="V2003" s="248">
        <f>_xll.qlCalendarAdvance(Calendar,U2003,NDays&amp;"D")</f>
        <v>52855</v>
      </c>
      <c r="W2003" s="249">
        <v>2.3323261064547296E-2</v>
      </c>
      <c r="X2003" s="246">
        <v>2.3227980297271245E-2</v>
      </c>
    </row>
    <row r="2004" spans="20:24" x14ac:dyDescent="0.2">
      <c r="T2004" s="247" t="str">
        <f t="shared" si="36"/>
        <v>1w</v>
      </c>
      <c r="U2004" s="245">
        <f>_xll.qlCalendarAdvance(Calendar,U2003,T2004,"f",FALSE)</f>
        <v>52860</v>
      </c>
      <c r="V2004" s="248">
        <f>_xll.qlCalendarAdvance(Calendar,U2004,NDays&amp;"D")</f>
        <v>52862</v>
      </c>
      <c r="W2004" s="249">
        <v>2.3327524548090648E-2</v>
      </c>
      <c r="X2004" s="246">
        <v>2.323233336541719E-2</v>
      </c>
    </row>
    <row r="2005" spans="20:24" x14ac:dyDescent="0.2">
      <c r="T2005" s="247" t="str">
        <f t="shared" si="36"/>
        <v>1w</v>
      </c>
      <c r="U2005" s="245">
        <f>_xll.qlCalendarAdvance(Calendar,U2004,T2005,"f",FALSE)</f>
        <v>52867</v>
      </c>
      <c r="V2005" s="248">
        <f>_xll.qlCalendarAdvance(Calendar,U2005,NDays&amp;"D")</f>
        <v>52869</v>
      </c>
      <c r="W2005" s="249">
        <v>2.3331770152200684E-2</v>
      </c>
      <c r="X2005" s="246">
        <v>2.3236668653385806E-2</v>
      </c>
    </row>
    <row r="2006" spans="20:24" x14ac:dyDescent="0.2">
      <c r="T2006" s="247" t="str">
        <f t="shared" si="36"/>
        <v>1w</v>
      </c>
      <c r="U2006" s="245">
        <f>_xll.qlCalendarAdvance(Calendar,U2005,T2006,"f",FALSE)</f>
        <v>52874</v>
      </c>
      <c r="V2006" s="248">
        <f>_xll.qlCalendarAdvance(Calendar,U2006,NDays&amp;"D")</f>
        <v>52876</v>
      </c>
      <c r="W2006" s="249">
        <v>2.3337051288316292E-2</v>
      </c>
      <c r="X2006" s="246">
        <v>2.3240986161017219E-2</v>
      </c>
    </row>
    <row r="2007" spans="20:24" x14ac:dyDescent="0.2">
      <c r="T2007" s="247" t="str">
        <f t="shared" si="36"/>
        <v>1w</v>
      </c>
      <c r="U2007" s="245">
        <f>_xll.qlCalendarAdvance(Calendar,U2006,T2007,"f",FALSE)</f>
        <v>52881</v>
      </c>
      <c r="V2007" s="248">
        <f>_xll.qlCalendarAdvance(Calendar,U2007,NDays&amp;"D")</f>
        <v>52883</v>
      </c>
      <c r="W2007" s="249">
        <v>2.3341260128316287E-2</v>
      </c>
      <c r="X2007" s="246">
        <v>2.3245285888471301E-2</v>
      </c>
    </row>
    <row r="2008" spans="20:24" x14ac:dyDescent="0.2">
      <c r="T2008" s="247" t="str">
        <f t="shared" si="36"/>
        <v>1w</v>
      </c>
      <c r="U2008" s="245">
        <f>_xll.qlCalendarAdvance(Calendar,U2007,T2008,"f",FALSE)</f>
        <v>52888</v>
      </c>
      <c r="V2008" s="248">
        <f>_xll.qlCalendarAdvance(Calendar,U2008,NDays&amp;"D")</f>
        <v>52890</v>
      </c>
      <c r="W2008" s="249">
        <v>2.3345451087600246E-2</v>
      </c>
      <c r="X2008" s="246">
        <v>2.3249567835748053E-2</v>
      </c>
    </row>
    <row r="2009" spans="20:24" x14ac:dyDescent="0.2">
      <c r="T2009" s="247" t="str">
        <f t="shared" si="36"/>
        <v>1w</v>
      </c>
      <c r="U2009" s="245">
        <f>_xll.qlCalendarAdvance(Calendar,U2008,T2009,"f",FALSE)</f>
        <v>52895</v>
      </c>
      <c r="V2009" s="248">
        <f>_xll.qlCalendarAdvance(Calendar,U2009,NDays&amp;"D")</f>
        <v>52897</v>
      </c>
      <c r="W2009" s="249">
        <v>2.3349624166111693E-2</v>
      </c>
      <c r="X2009" s="246">
        <v>2.3253832002687602E-2</v>
      </c>
    </row>
    <row r="2010" spans="20:24" x14ac:dyDescent="0.2">
      <c r="T2010" s="247" t="str">
        <f t="shared" si="36"/>
        <v>1w</v>
      </c>
      <c r="U2010" s="245">
        <f>_xll.qlCalendarAdvance(Calendar,U2009,T2010,"f",FALSE)</f>
        <v>52902</v>
      </c>
      <c r="V2010" s="248">
        <f>_xll.qlCalendarAdvance(Calendar,U2010,NDays&amp;"D")</f>
        <v>52904</v>
      </c>
      <c r="W2010" s="249">
        <v>2.3353779363793278E-2</v>
      </c>
      <c r="X2010" s="246">
        <v>2.3258078389449821E-2</v>
      </c>
    </row>
    <row r="2011" spans="20:24" x14ac:dyDescent="0.2">
      <c r="T2011" s="247" t="str">
        <f t="shared" si="36"/>
        <v>1w</v>
      </c>
      <c r="U2011" s="245">
        <f>_xll.qlCalendarAdvance(Calendar,U2010,T2011,"f",FALSE)</f>
        <v>52909</v>
      </c>
      <c r="V2011" s="248">
        <f>_xll.qlCalendarAdvance(Calendar,U2011,NDays&amp;"D")</f>
        <v>52911</v>
      </c>
      <c r="W2011" s="249">
        <v>2.3357916680588526E-2</v>
      </c>
      <c r="X2011" s="246">
        <v>2.3262306995874837E-2</v>
      </c>
    </row>
    <row r="2012" spans="20:24" x14ac:dyDescent="0.2">
      <c r="T2012" s="247" t="str">
        <f t="shared" si="36"/>
        <v>1w</v>
      </c>
      <c r="U2012" s="245">
        <f>_xll.qlCalendarAdvance(Calendar,U2011,T2012,"f",FALSE)</f>
        <v>52916</v>
      </c>
      <c r="V2012" s="248">
        <f>_xll.qlCalendarAdvance(Calendar,U2012,NDays&amp;"D")</f>
        <v>52918</v>
      </c>
      <c r="W2012" s="249">
        <v>2.336203611644096E-2</v>
      </c>
      <c r="X2012" s="246">
        <v>2.3266517822122523E-2</v>
      </c>
    </row>
    <row r="2013" spans="20:24" x14ac:dyDescent="0.2">
      <c r="T2013" s="247" t="str">
        <f t="shared" si="36"/>
        <v>1w</v>
      </c>
      <c r="U2013" s="245">
        <f>_xll.qlCalendarAdvance(Calendar,U2012,T2013,"f",FALSE)</f>
        <v>52923</v>
      </c>
      <c r="V2013" s="248">
        <f>_xll.qlCalendarAdvance(Calendar,U2013,NDays&amp;"D")</f>
        <v>52925</v>
      </c>
      <c r="W2013" s="249">
        <v>2.3366137671294973E-2</v>
      </c>
      <c r="X2013" s="246">
        <v>2.3270710868112943E-2</v>
      </c>
    </row>
    <row r="2014" spans="20:24" x14ac:dyDescent="0.2">
      <c r="T2014" s="247" t="str">
        <f t="shared" si="36"/>
        <v>1w</v>
      </c>
      <c r="U2014" s="245">
        <f>_xll.qlCalendarAdvance(Calendar,U2013,T2014,"f",FALSE)</f>
        <v>52930</v>
      </c>
      <c r="V2014" s="248">
        <f>_xll.qlCalendarAdvance(Calendar,U2014,NDays&amp;"D")</f>
        <v>52932</v>
      </c>
      <c r="W2014" s="249">
        <v>2.3368130613909521E-2</v>
      </c>
      <c r="X2014" s="246">
        <v>2.3274886133846096E-2</v>
      </c>
    </row>
    <row r="2015" spans="20:24" x14ac:dyDescent="0.2">
      <c r="T2015" s="247" t="str">
        <f t="shared" si="36"/>
        <v>1w</v>
      </c>
      <c r="U2015" s="245">
        <f>_xll.qlCalendarAdvance(Calendar,U2014,T2015,"f",FALSE)</f>
        <v>52937</v>
      </c>
      <c r="V2015" s="248">
        <f>_xll.qlCalendarAdvance(Calendar,U2015,NDays&amp;"D")</f>
        <v>52939</v>
      </c>
      <c r="W2015" s="249">
        <v>2.3372198434412184E-2</v>
      </c>
      <c r="X2015" s="246">
        <v>2.3279043619321982E-2</v>
      </c>
    </row>
    <row r="2016" spans="20:24" x14ac:dyDescent="0.2">
      <c r="T2016" s="247" t="str">
        <f t="shared" si="36"/>
        <v>1w</v>
      </c>
      <c r="U2016" s="245">
        <f>_xll.qlCalendarAdvance(Calendar,U2015,T2016,"f",FALSE)</f>
        <v>52944</v>
      </c>
      <c r="V2016" s="248">
        <f>_xll.qlCalendarAdvance(Calendar,U2016,NDays&amp;"D")</f>
        <v>52946</v>
      </c>
      <c r="W2016" s="249">
        <v>2.3376248375980957E-2</v>
      </c>
      <c r="X2016" s="246">
        <v>2.3283183324620538E-2</v>
      </c>
    </row>
    <row r="2017" spans="20:24" x14ac:dyDescent="0.2">
      <c r="T2017" s="247" t="str">
        <f t="shared" si="36"/>
        <v>1w</v>
      </c>
      <c r="U2017" s="245">
        <f>_xll.qlCalendarAdvance(Calendar,U2016,T2017,"f",FALSE)</f>
        <v>52951</v>
      </c>
      <c r="V2017" s="248">
        <f>_xll.qlCalendarAdvance(Calendar,U2017,NDays&amp;"D")</f>
        <v>52953</v>
      </c>
      <c r="W2017" s="249">
        <v>2.3380280438560774E-2</v>
      </c>
      <c r="X2017" s="246">
        <v>2.3287305249661827E-2</v>
      </c>
    </row>
    <row r="2018" spans="20:24" x14ac:dyDescent="0.2">
      <c r="T2018" s="247" t="str">
        <f t="shared" si="36"/>
        <v>1w</v>
      </c>
      <c r="U2018" s="245">
        <f>_xll.qlCalendarAdvance(Calendar,U2017,T2018,"f",FALSE)</f>
        <v>52958</v>
      </c>
      <c r="V2018" s="248">
        <f>_xll.qlCalendarAdvance(Calendar,U2018,NDays&amp;"D")</f>
        <v>52960</v>
      </c>
      <c r="W2018" s="249">
        <v>2.3384294622100121E-2</v>
      </c>
      <c r="X2018" s="246">
        <v>2.329140939444585E-2</v>
      </c>
    </row>
    <row r="2019" spans="20:24" x14ac:dyDescent="0.2">
      <c r="T2019" s="247" t="str">
        <f t="shared" si="36"/>
        <v>1w</v>
      </c>
      <c r="U2019" s="245">
        <f>_xll.qlCalendarAdvance(Calendar,U2018,T2019,"f",FALSE)</f>
        <v>52965</v>
      </c>
      <c r="V2019" s="248">
        <f>_xll.qlCalendarAdvance(Calendar,U2019,NDays&amp;"D")</f>
        <v>52967</v>
      </c>
      <c r="W2019" s="249">
        <v>2.3388290926543043E-2</v>
      </c>
      <c r="X2019" s="246">
        <v>2.329549575889267E-2</v>
      </c>
    </row>
    <row r="2020" spans="20:24" x14ac:dyDescent="0.2">
      <c r="T2020" s="247" t="str">
        <f t="shared" si="36"/>
        <v>1w</v>
      </c>
      <c r="U2020" s="245">
        <f>_xll.qlCalendarAdvance(Calendar,U2019,T2020,"f",FALSE)</f>
        <v>52972</v>
      </c>
      <c r="V2020" s="248">
        <f>_xll.qlCalendarAdvance(Calendar,U2020,NDays&amp;"D")</f>
        <v>52974</v>
      </c>
      <c r="W2020" s="249">
        <v>2.3392269351837136E-2</v>
      </c>
      <c r="X2020" s="246">
        <v>2.3299564343242096E-2</v>
      </c>
    </row>
    <row r="2021" spans="20:24" x14ac:dyDescent="0.2">
      <c r="T2021" s="247" t="str">
        <f t="shared" si="36"/>
        <v>1w</v>
      </c>
      <c r="U2021" s="245">
        <f>_xll.qlCalendarAdvance(Calendar,U2020,T2021,"f",FALSE)</f>
        <v>52979</v>
      </c>
      <c r="V2021" s="248">
        <f>_xll.qlCalendarAdvance(Calendar,U2021,NDays&amp;"D")</f>
        <v>52981</v>
      </c>
      <c r="W2021" s="249">
        <v>2.3396229897929999E-2</v>
      </c>
      <c r="X2021" s="246">
        <v>2.3303615147174384E-2</v>
      </c>
    </row>
    <row r="2022" spans="20:24" x14ac:dyDescent="0.2">
      <c r="T2022" s="247" t="str">
        <f t="shared" si="36"/>
        <v>1w</v>
      </c>
      <c r="U2022" s="245">
        <f>_xll.qlCalendarAdvance(Calendar,U2021,T2022,"f",FALSE)</f>
        <v>52986</v>
      </c>
      <c r="V2022" s="248">
        <f>_xll.qlCalendarAdvance(Calendar,U2022,NDays&amp;"D")</f>
        <v>52988</v>
      </c>
      <c r="W2022" s="249">
        <v>2.340017256476834E-2</v>
      </c>
      <c r="X2022" s="246">
        <v>2.330764817092934E-2</v>
      </c>
    </row>
    <row r="2023" spans="20:24" x14ac:dyDescent="0.2">
      <c r="T2023" s="247" t="str">
        <f t="shared" si="36"/>
        <v>1w</v>
      </c>
      <c r="U2023" s="245">
        <f>_xll.qlCalendarAdvance(Calendar,U2022,T2023,"f",FALSE)</f>
        <v>52993</v>
      </c>
      <c r="V2023" s="248">
        <f>_xll.qlCalendarAdvance(Calendar,U2023,NDays&amp;"D")</f>
        <v>52995</v>
      </c>
      <c r="W2023" s="249">
        <v>2.3403061072731633E-2</v>
      </c>
      <c r="X2023" s="246">
        <v>2.3311663414506967E-2</v>
      </c>
    </row>
    <row r="2024" spans="20:24" x14ac:dyDescent="0.2">
      <c r="T2024" s="247" t="str">
        <f t="shared" si="36"/>
        <v>1w</v>
      </c>
      <c r="U2024" s="245">
        <f>_xll.qlCalendarAdvance(Calendar,U2023,T2024,"f",FALSE)</f>
        <v>53000</v>
      </c>
      <c r="V2024" s="248">
        <f>_xll.qlCalendarAdvance(Calendar,U2024,NDays&amp;"D")</f>
        <v>53002</v>
      </c>
      <c r="W2024" s="249">
        <v>2.3406969004659356E-2</v>
      </c>
      <c r="X2024" s="246">
        <v>2.3315660877747391E-2</v>
      </c>
    </row>
    <row r="2025" spans="20:24" x14ac:dyDescent="0.2">
      <c r="T2025" s="247" t="str">
        <f t="shared" si="36"/>
        <v>1w</v>
      </c>
      <c r="U2025" s="245">
        <f>_xll.qlCalendarAdvance(Calendar,U2024,T2025,"f",FALSE)</f>
        <v>53007</v>
      </c>
      <c r="V2025" s="248">
        <f>_xll.qlCalendarAdvance(Calendar,U2025,NDays&amp;"D")</f>
        <v>53009</v>
      </c>
      <c r="W2025" s="249">
        <v>2.3410859058295871E-2</v>
      </c>
      <c r="X2025" s="246">
        <v>2.3319640560730548E-2</v>
      </c>
    </row>
    <row r="2026" spans="20:24" x14ac:dyDescent="0.2">
      <c r="T2026" s="247" t="str">
        <f t="shared" si="36"/>
        <v>1w</v>
      </c>
      <c r="U2026" s="245">
        <f>_xll.qlCalendarAdvance(Calendar,U2025,T2026,"f",FALSE)</f>
        <v>53014</v>
      </c>
      <c r="V2026" s="248">
        <f>_xll.qlCalendarAdvance(Calendar,U2026,NDays&amp;"D")</f>
        <v>53016</v>
      </c>
      <c r="W2026" s="249">
        <v>2.3414731233591782E-2</v>
      </c>
      <c r="X2026" s="246">
        <v>2.3323602463536375E-2</v>
      </c>
    </row>
    <row r="2027" spans="20:24" x14ac:dyDescent="0.2">
      <c r="T2027" s="247" t="str">
        <f t="shared" si="36"/>
        <v>1w</v>
      </c>
      <c r="U2027" s="245">
        <f>_xll.qlCalendarAdvance(Calendar,U2026,T2027,"f",FALSE)</f>
        <v>53021</v>
      </c>
      <c r="V2027" s="248">
        <f>_xll.qlCalendarAdvance(Calendar,U2027,NDays&amp;"D")</f>
        <v>53023</v>
      </c>
      <c r="W2027" s="249">
        <v>2.3421681903507758E-2</v>
      </c>
      <c r="X2027" s="246">
        <v>2.3327546586004999E-2</v>
      </c>
    </row>
    <row r="2028" spans="20:24" x14ac:dyDescent="0.2">
      <c r="T2028" s="247" t="str">
        <f t="shared" si="36"/>
        <v>1w</v>
      </c>
      <c r="U2028" s="245">
        <f>_xll.qlCalendarAdvance(Calendar,U2027,T2028,"f",FALSE)</f>
        <v>53028</v>
      </c>
      <c r="V2028" s="248">
        <f>_xll.qlCalendarAdvance(Calendar,U2028,NDays&amp;"D")</f>
        <v>53030</v>
      </c>
      <c r="W2028" s="249">
        <v>2.3425515236807241E-2</v>
      </c>
      <c r="X2028" s="246">
        <v>2.3331472928296293E-2</v>
      </c>
    </row>
    <row r="2029" spans="20:24" x14ac:dyDescent="0.2">
      <c r="T2029" s="247" t="str">
        <f t="shared" si="36"/>
        <v>1w</v>
      </c>
      <c r="U2029" s="245">
        <f>_xll.qlCalendarAdvance(Calendar,U2028,T2029,"f",FALSE)</f>
        <v>53035</v>
      </c>
      <c r="V2029" s="248">
        <f>_xll.qlCalendarAdvance(Calendar,U2029,NDays&amp;"D")</f>
        <v>53037</v>
      </c>
      <c r="W2029" s="249">
        <v>2.3429330688242038E-2</v>
      </c>
      <c r="X2029" s="246">
        <v>2.333538149033032E-2</v>
      </c>
    </row>
    <row r="2030" spans="20:24" x14ac:dyDescent="0.2">
      <c r="T2030" s="247" t="str">
        <f t="shared" si="36"/>
        <v>1w</v>
      </c>
      <c r="U2030" s="245">
        <f>_xll.qlCalendarAdvance(Calendar,U2029,T2030,"f",FALSE)</f>
        <v>53042</v>
      </c>
      <c r="V2030" s="248">
        <f>_xll.qlCalendarAdvance(Calendar,U2030,NDays&amp;"D")</f>
        <v>53044</v>
      </c>
      <c r="W2030" s="249">
        <v>2.3433128257760887E-2</v>
      </c>
      <c r="X2030" s="246">
        <v>2.3339272271947209E-2</v>
      </c>
    </row>
    <row r="2031" spans="20:24" x14ac:dyDescent="0.2">
      <c r="T2031" s="247" t="str">
        <f t="shared" si="36"/>
        <v>1w</v>
      </c>
      <c r="U2031" s="245">
        <f>_xll.qlCalendarAdvance(Calendar,U2030,T2031,"f",FALSE)</f>
        <v>53049</v>
      </c>
      <c r="V2031" s="248">
        <f>_xll.qlCalendarAdvance(Calendar,U2031,NDays&amp;"D")</f>
        <v>53051</v>
      </c>
      <c r="W2031" s="249">
        <v>2.3436907945312523E-2</v>
      </c>
      <c r="X2031" s="246">
        <v>2.3343145273466703E-2</v>
      </c>
    </row>
    <row r="2032" spans="20:24" x14ac:dyDescent="0.2">
      <c r="T2032" s="247" t="str">
        <f t="shared" si="36"/>
        <v>1w</v>
      </c>
      <c r="U2032" s="245">
        <f>_xll.qlCalendarAdvance(Calendar,U2031,T2032,"f",FALSE)</f>
        <v>53056</v>
      </c>
      <c r="V2032" s="248">
        <f>_xll.qlCalendarAdvance(Calendar,U2032,NDays&amp;"D")</f>
        <v>53058</v>
      </c>
      <c r="W2032" s="249">
        <v>2.3439642833884604E-2</v>
      </c>
      <c r="X2032" s="246">
        <v>2.3351127074862532E-2</v>
      </c>
    </row>
    <row r="2033" spans="20:24" x14ac:dyDescent="0.2">
      <c r="T2033" s="247" t="str">
        <f t="shared" si="36"/>
        <v>1w</v>
      </c>
      <c r="U2033" s="245">
        <f>_xll.qlCalendarAdvance(Calendar,U2032,T2033,"f",FALSE)</f>
        <v>53063</v>
      </c>
      <c r="V2033" s="248">
        <f>_xll.qlCalendarAdvance(Calendar,U2033,NDays&amp;"D")</f>
        <v>53065</v>
      </c>
      <c r="W2033" s="249">
        <v>2.3443387791498072E-2</v>
      </c>
      <c r="X2033" s="246">
        <v>2.3350837935653956E-2</v>
      </c>
    </row>
    <row r="2034" spans="20:24" x14ac:dyDescent="0.2">
      <c r="T2034" s="247" t="str">
        <f t="shared" si="36"/>
        <v>1w</v>
      </c>
      <c r="U2034" s="245">
        <f>_xll.qlCalendarAdvance(Calendar,U2033,T2034,"f",FALSE)</f>
        <v>53070</v>
      </c>
      <c r="V2034" s="248">
        <f>_xll.qlCalendarAdvance(Calendar,U2034,NDays&amp;"D")</f>
        <v>53072</v>
      </c>
      <c r="W2034" s="249">
        <v>2.3447114868117271E-2</v>
      </c>
      <c r="X2034" s="246">
        <v>2.3354657596481587E-2</v>
      </c>
    </row>
    <row r="2035" spans="20:24" x14ac:dyDescent="0.2">
      <c r="T2035" s="247" t="str">
        <f t="shared" si="36"/>
        <v>1w</v>
      </c>
      <c r="U2035" s="245">
        <f>_xll.qlCalendarAdvance(Calendar,U2034,T2035,"f",FALSE)</f>
        <v>53077</v>
      </c>
      <c r="V2035" s="248">
        <f>_xll.qlCalendarAdvance(Calendar,U2035,NDays&amp;"D")</f>
        <v>53079</v>
      </c>
      <c r="W2035" s="249">
        <v>2.3450824063690374E-2</v>
      </c>
      <c r="X2035" s="246">
        <v>2.3358459476892079E-2</v>
      </c>
    </row>
    <row r="2036" spans="20:24" x14ac:dyDescent="0.2">
      <c r="T2036" s="247" t="str">
        <f t="shared" si="36"/>
        <v>1w</v>
      </c>
      <c r="U2036" s="245">
        <f>_xll.qlCalendarAdvance(Calendar,U2035,T2036,"f",FALSE)</f>
        <v>53084</v>
      </c>
      <c r="V2036" s="248">
        <f>_xll.qlCalendarAdvance(Calendar,U2036,NDays&amp;"D")</f>
        <v>53086</v>
      </c>
      <c r="W2036" s="249">
        <v>2.3455538151757896E-2</v>
      </c>
      <c r="X2036" s="246">
        <v>2.3362243577205177E-2</v>
      </c>
    </row>
    <row r="2037" spans="20:24" x14ac:dyDescent="0.2">
      <c r="T2037" s="247" t="str">
        <f t="shared" si="36"/>
        <v>1w</v>
      </c>
      <c r="U2037" s="245">
        <f>_xll.qlCalendarAdvance(Calendar,U2036,T2037,"f",FALSE)</f>
        <v>53091</v>
      </c>
      <c r="V2037" s="248">
        <f>_xll.qlCalendarAdvance(Calendar,U2037,NDays&amp;"D")</f>
        <v>53093</v>
      </c>
      <c r="W2037" s="249">
        <v>2.3459210546428865E-2</v>
      </c>
      <c r="X2037" s="246">
        <v>2.3366009897101137E-2</v>
      </c>
    </row>
    <row r="2038" spans="20:24" x14ac:dyDescent="0.2">
      <c r="T2038" s="247" t="str">
        <f t="shared" si="36"/>
        <v>1w</v>
      </c>
      <c r="U2038" s="245">
        <f>_xll.qlCalendarAdvance(Calendar,U2037,T2038,"f",FALSE)</f>
        <v>53098</v>
      </c>
      <c r="V2038" s="248">
        <f>_xll.qlCalendarAdvance(Calendar,U2038,NDays&amp;"D")</f>
        <v>53100</v>
      </c>
      <c r="W2038" s="249">
        <v>2.3462865058777257E-2</v>
      </c>
      <c r="X2038" s="246">
        <v>2.3369758436819765E-2</v>
      </c>
    </row>
    <row r="2039" spans="20:24" x14ac:dyDescent="0.2">
      <c r="T2039" s="247" t="str">
        <f t="shared" si="36"/>
        <v>1w</v>
      </c>
      <c r="U2039" s="245">
        <f>_xll.qlCalendarAdvance(Calendar,U2038,T2039,"f",FALSE)</f>
        <v>53105</v>
      </c>
      <c r="V2039" s="248">
        <f>_xll.qlCalendarAdvance(Calendar,U2039,NDays&amp;"D")</f>
        <v>53107</v>
      </c>
      <c r="W2039" s="249">
        <v>2.3466501688750935E-2</v>
      </c>
      <c r="X2039" s="246">
        <v>2.3373489196121255E-2</v>
      </c>
    </row>
    <row r="2040" spans="20:24" x14ac:dyDescent="0.2">
      <c r="T2040" s="247" t="str">
        <f t="shared" si="36"/>
        <v>1w</v>
      </c>
      <c r="U2040" s="245">
        <f>_xll.qlCalendarAdvance(Calendar,U2039,T2040,"f",FALSE)</f>
        <v>53112</v>
      </c>
      <c r="V2040" s="248">
        <f>_xll.qlCalendarAdvance(Calendar,U2040,NDays&amp;"D")</f>
        <v>53114</v>
      </c>
      <c r="W2040" s="249">
        <v>2.3470120436303855E-2</v>
      </c>
      <c r="X2040" s="246">
        <v>2.3377202175325351E-2</v>
      </c>
    </row>
    <row r="2041" spans="20:24" x14ac:dyDescent="0.2">
      <c r="T2041" s="247" t="str">
        <f t="shared" si="36"/>
        <v>1w</v>
      </c>
      <c r="U2041" s="245">
        <f>_xll.qlCalendarAdvance(Calendar,U2040,T2041,"f",FALSE)</f>
        <v>53119</v>
      </c>
      <c r="V2041" s="248">
        <f>_xll.qlCalendarAdvance(Calendar,U2041,NDays&amp;"D")</f>
        <v>53121</v>
      </c>
      <c r="W2041" s="249">
        <v>2.3473721301383879E-2</v>
      </c>
      <c r="X2041" s="246">
        <v>2.338089737427218E-2</v>
      </c>
    </row>
    <row r="2042" spans="20:24" x14ac:dyDescent="0.2">
      <c r="T2042" s="247" t="str">
        <f t="shared" si="36"/>
        <v>1w</v>
      </c>
      <c r="U2042" s="245">
        <f>_xll.qlCalendarAdvance(Calendar,U2041,T2042,"f",FALSE)</f>
        <v>53126</v>
      </c>
      <c r="V2042" s="248">
        <f>_xll.qlCalendarAdvance(Calendar,U2042,NDays&amp;"D")</f>
        <v>53128</v>
      </c>
      <c r="W2042" s="249">
        <v>2.3477304283942353E-2</v>
      </c>
      <c r="X2042" s="246">
        <v>2.3384574792881807E-2</v>
      </c>
    </row>
    <row r="2043" spans="20:24" x14ac:dyDescent="0.2">
      <c r="T2043" s="247" t="str">
        <f t="shared" si="36"/>
        <v>1w</v>
      </c>
      <c r="U2043" s="245">
        <f>_xll.qlCalendarAdvance(Calendar,U2042,T2043,"f",FALSE)</f>
        <v>53133</v>
      </c>
      <c r="V2043" s="248">
        <f>_xll.qlCalendarAdvance(Calendar,U2043,NDays&amp;"D")</f>
        <v>53135</v>
      </c>
      <c r="W2043" s="249">
        <v>2.3480869383932356E-2</v>
      </c>
      <c r="X2043" s="246">
        <v>2.3388234431314103E-2</v>
      </c>
    </row>
    <row r="2044" spans="20:24" x14ac:dyDescent="0.2">
      <c r="T2044" s="247" t="str">
        <f t="shared" si="36"/>
        <v>1w</v>
      </c>
      <c r="U2044" s="245">
        <f>_xll.qlCalendarAdvance(Calendar,U2043,T2044,"f",FALSE)</f>
        <v>53140</v>
      </c>
      <c r="V2044" s="248">
        <f>_xll.qlCalendarAdvance(Calendar,U2044,NDays&amp;"D")</f>
        <v>53142</v>
      </c>
      <c r="W2044" s="249">
        <v>2.348441660130263E-2</v>
      </c>
      <c r="X2044" s="246">
        <v>2.3391876289409197E-2</v>
      </c>
    </row>
    <row r="2045" spans="20:24" x14ac:dyDescent="0.2">
      <c r="T2045" s="247" t="str">
        <f t="shared" si="36"/>
        <v>1w</v>
      </c>
      <c r="U2045" s="245">
        <f>_xll.qlCalendarAdvance(Calendar,U2044,T2045,"f",FALSE)</f>
        <v>53147</v>
      </c>
      <c r="V2045" s="248">
        <f>_xll.qlCalendarAdvance(Calendar,U2045,NDays&amp;"D")</f>
        <v>53149</v>
      </c>
      <c r="W2045" s="249">
        <v>2.3487945936006248E-2</v>
      </c>
      <c r="X2045" s="246">
        <v>2.339550036732696E-2</v>
      </c>
    </row>
    <row r="2046" spans="20:24" x14ac:dyDescent="0.2">
      <c r="T2046" s="247" t="str">
        <f t="shared" si="36"/>
        <v>1w</v>
      </c>
      <c r="U2046" s="245">
        <f>_xll.qlCalendarAdvance(Calendar,U2045,T2046,"f",FALSE)</f>
        <v>53154</v>
      </c>
      <c r="V2046" s="248">
        <f>_xll.qlCalendarAdvance(Calendar,U2046,NDays&amp;"D")</f>
        <v>53156</v>
      </c>
      <c r="W2046" s="249">
        <v>2.349145738799456E-2</v>
      </c>
      <c r="X2046" s="246">
        <v>2.3399106664827585E-2</v>
      </c>
    </row>
    <row r="2047" spans="20:24" x14ac:dyDescent="0.2">
      <c r="T2047" s="247" t="str">
        <f t="shared" si="36"/>
        <v>1w</v>
      </c>
      <c r="U2047" s="245">
        <f>_xll.qlCalendarAdvance(Calendar,U2046,T2047,"f",FALSE)</f>
        <v>53161</v>
      </c>
      <c r="V2047" s="248">
        <f>_xll.qlCalendarAdvance(Calendar,U2047,NDays&amp;"D")</f>
        <v>53163</v>
      </c>
      <c r="W2047" s="249">
        <v>2.3494950957220644E-2</v>
      </c>
      <c r="X2047" s="246">
        <v>2.3402695182230815E-2</v>
      </c>
    </row>
    <row r="2048" spans="20:24" x14ac:dyDescent="0.2">
      <c r="T2048" s="247" t="str">
        <f t="shared" si="36"/>
        <v>1w</v>
      </c>
      <c r="U2048" s="245">
        <f>_xll.qlCalendarAdvance(Calendar,U2047,T2048,"f",FALSE)</f>
        <v>53168</v>
      </c>
      <c r="V2048" s="248">
        <f>_xll.qlCalendarAdvance(Calendar,U2048,NDays&amp;"D")</f>
        <v>53170</v>
      </c>
      <c r="W2048" s="249">
        <v>2.3498426643636709E-2</v>
      </c>
      <c r="X2048" s="246">
        <v>2.3406265919216906E-2</v>
      </c>
    </row>
    <row r="2049" spans="20:24" x14ac:dyDescent="0.2">
      <c r="T2049" s="247" t="str">
        <f t="shared" si="36"/>
        <v>1w</v>
      </c>
      <c r="U2049" s="245">
        <f>_xll.qlCalendarAdvance(Calendar,U2048,T2049,"f",FALSE)</f>
        <v>53175</v>
      </c>
      <c r="V2049" s="248">
        <f>_xll.qlCalendarAdvance(Calendar,U2049,NDays&amp;"D")</f>
        <v>53177</v>
      </c>
      <c r="W2049" s="249">
        <v>2.3501884447193238E-2</v>
      </c>
      <c r="X2049" s="246">
        <v>2.3409818876025668E-2</v>
      </c>
    </row>
    <row r="2050" spans="20:24" x14ac:dyDescent="0.2">
      <c r="T2050" s="247" t="str">
        <f t="shared" si="36"/>
        <v>1w</v>
      </c>
      <c r="U2050" s="245">
        <f>_xll.qlCalendarAdvance(Calendar,U2049,T2050,"f",FALSE)</f>
        <v>53182</v>
      </c>
      <c r="V2050" s="248">
        <f>_xll.qlCalendarAdvance(Calendar,U2050,NDays&amp;"D")</f>
        <v>53184</v>
      </c>
      <c r="W2050" s="249">
        <v>2.3505324367846782E-2</v>
      </c>
      <c r="X2050" s="246">
        <v>2.3413354052577162E-2</v>
      </c>
    </row>
    <row r="2051" spans="20:24" x14ac:dyDescent="0.2">
      <c r="T2051" s="247" t="str">
        <f t="shared" si="36"/>
        <v>1w</v>
      </c>
      <c r="U2051" s="245">
        <f>_xll.qlCalendarAdvance(Calendar,U2050,T2051,"f",FALSE)</f>
        <v>53189</v>
      </c>
      <c r="V2051" s="248">
        <f>_xll.qlCalendarAdvance(Calendar,U2051,NDays&amp;"D")</f>
        <v>53191</v>
      </c>
      <c r="W2051" s="249">
        <v>2.3508746405546944E-2</v>
      </c>
      <c r="X2051" s="246">
        <v>2.341687144887139E-2</v>
      </c>
    </row>
    <row r="2052" spans="20:24" x14ac:dyDescent="0.2">
      <c r="T2052" s="247" t="str">
        <f t="shared" si="36"/>
        <v>1w</v>
      </c>
      <c r="U2052" s="245">
        <f>_xll.qlCalendarAdvance(Calendar,U2051,T2052,"f",FALSE)</f>
        <v>53196</v>
      </c>
      <c r="V2052" s="248">
        <f>_xll.qlCalendarAdvance(Calendar,U2052,NDays&amp;"D")</f>
        <v>53198</v>
      </c>
      <c r="W2052" s="249">
        <v>2.3512150560249415E-2</v>
      </c>
      <c r="X2052" s="246">
        <v>2.3420371064828416E-2</v>
      </c>
    </row>
    <row r="2053" spans="20:24" x14ac:dyDescent="0.2">
      <c r="T2053" s="247" t="str">
        <f t="shared" si="36"/>
        <v>1w</v>
      </c>
      <c r="U2053" s="245">
        <f>_xll.qlCalendarAdvance(Calendar,U2052,T2053,"f",FALSE)</f>
        <v>53203</v>
      </c>
      <c r="V2053" s="248">
        <f>_xll.qlCalendarAdvance(Calendar,U2053,NDays&amp;"D")</f>
        <v>53205</v>
      </c>
      <c r="W2053" s="249">
        <v>2.3514531869334911E-2</v>
      </c>
      <c r="X2053" s="246">
        <v>2.3423852900608111E-2</v>
      </c>
    </row>
    <row r="2054" spans="20:24" x14ac:dyDescent="0.2">
      <c r="T2054" s="247" t="str">
        <f t="shared" si="36"/>
        <v>1w</v>
      </c>
      <c r="U2054" s="245">
        <f>_xll.qlCalendarAdvance(Calendar,U2053,T2054,"f",FALSE)</f>
        <v>53210</v>
      </c>
      <c r="V2054" s="248">
        <f>_xll.qlCalendarAdvance(Calendar,U2054,NDays&amp;"D")</f>
        <v>53212</v>
      </c>
      <c r="W2054" s="249">
        <v>2.3517901315812346E-2</v>
      </c>
      <c r="X2054" s="246">
        <v>2.3427316956130539E-2</v>
      </c>
    </row>
    <row r="2055" spans="20:24" x14ac:dyDescent="0.2">
      <c r="T2055" s="247" t="str">
        <f t="shared" si="36"/>
        <v>1w</v>
      </c>
      <c r="U2055" s="245">
        <f>_xll.qlCalendarAdvance(Calendar,U2054,T2055,"f",FALSE)</f>
        <v>53217</v>
      </c>
      <c r="V2055" s="248">
        <f>_xll.qlCalendarAdvance(Calendar,U2055,NDays&amp;"D")</f>
        <v>53219</v>
      </c>
      <c r="W2055" s="249">
        <v>2.3521252880287967E-2</v>
      </c>
      <c r="X2055" s="246">
        <v>2.3430763231315765E-2</v>
      </c>
    </row>
    <row r="2056" spans="20:24" x14ac:dyDescent="0.2">
      <c r="T2056" s="247" t="str">
        <f t="shared" si="36"/>
        <v>1w</v>
      </c>
      <c r="U2056" s="245">
        <f>_xll.qlCalendarAdvance(Calendar,U2055,T2056,"f",FALSE)</f>
        <v>53224</v>
      </c>
      <c r="V2056" s="248">
        <f>_xll.qlCalendarAdvance(Calendar,U2056,NDays&amp;"D")</f>
        <v>53226</v>
      </c>
      <c r="W2056" s="249">
        <v>2.3524586562719611E-2</v>
      </c>
      <c r="X2056" s="246">
        <v>2.3434191726243725E-2</v>
      </c>
    </row>
    <row r="2057" spans="20:24" x14ac:dyDescent="0.2">
      <c r="T2057" s="247" t="str">
        <f t="shared" si="36"/>
        <v>1w</v>
      </c>
      <c r="U2057" s="245">
        <f>_xll.qlCalendarAdvance(Calendar,U2056,T2057,"f",FALSE)</f>
        <v>53231</v>
      </c>
      <c r="V2057" s="248">
        <f>_xll.qlCalendarAdvance(Calendar,U2057,NDays&amp;"D")</f>
        <v>53233</v>
      </c>
      <c r="W2057" s="249">
        <v>2.352790236306072E-2</v>
      </c>
      <c r="X2057" s="246">
        <v>2.3437602440914418E-2</v>
      </c>
    </row>
    <row r="2058" spans="20:24" x14ac:dyDescent="0.2">
      <c r="T2058" s="247" t="str">
        <f t="shared" si="36"/>
        <v>1w</v>
      </c>
      <c r="U2058" s="245">
        <f>_xll.qlCalendarAdvance(Calendar,U2057,T2058,"f",FALSE)</f>
        <v>53238</v>
      </c>
      <c r="V2058" s="248">
        <f>_xll.qlCalendarAdvance(Calendar,U2058,NDays&amp;"D")</f>
        <v>53240</v>
      </c>
      <c r="W2058" s="249">
        <v>2.3532199942914809E-2</v>
      </c>
      <c r="X2058" s="246">
        <v>2.3440995375247908E-2</v>
      </c>
    </row>
    <row r="2059" spans="20:24" x14ac:dyDescent="0.2">
      <c r="T2059" s="247" t="str">
        <f t="shared" si="36"/>
        <v>1w</v>
      </c>
      <c r="U2059" s="245">
        <f>_xll.qlCalendarAdvance(Calendar,U2058,T2059,"f",FALSE)</f>
        <v>53245</v>
      </c>
      <c r="V2059" s="248">
        <f>_xll.qlCalendarAdvance(Calendar,U2059,NDays&amp;"D")</f>
        <v>53247</v>
      </c>
      <c r="W2059" s="249">
        <v>2.3535478915342301E-2</v>
      </c>
      <c r="X2059" s="246">
        <v>2.3444370529404068E-2</v>
      </c>
    </row>
    <row r="2060" spans="20:24" x14ac:dyDescent="0.2">
      <c r="T2060" s="247" t="str">
        <f t="shared" si="36"/>
        <v>1w</v>
      </c>
      <c r="U2060" s="245">
        <f>_xll.qlCalendarAdvance(Calendar,U2059,T2060,"f",FALSE)</f>
        <v>53252</v>
      </c>
      <c r="V2060" s="248">
        <f>_xll.qlCalendarAdvance(Calendar,U2060,NDays&amp;"D")</f>
        <v>53254</v>
      </c>
      <c r="W2060" s="249">
        <v>2.3538740004407175E-2</v>
      </c>
      <c r="X2060" s="246">
        <v>2.3447727903223026E-2</v>
      </c>
    </row>
    <row r="2061" spans="20:24" x14ac:dyDescent="0.2">
      <c r="T2061" s="247" t="str">
        <f t="shared" si="36"/>
        <v>1w</v>
      </c>
      <c r="U2061" s="245">
        <f>_xll.qlCalendarAdvance(Calendar,U2060,T2061,"f",FALSE)</f>
        <v>53259</v>
      </c>
      <c r="V2061" s="248">
        <f>_xll.qlCalendarAdvance(Calendar,U2061,NDays&amp;"D")</f>
        <v>53261</v>
      </c>
      <c r="W2061" s="249">
        <v>2.3541983210065121E-2</v>
      </c>
      <c r="X2061" s="246">
        <v>2.3451067496864653E-2</v>
      </c>
    </row>
    <row r="2062" spans="20:24" x14ac:dyDescent="0.2">
      <c r="T2062" s="247" t="str">
        <f t="shared" si="36"/>
        <v>1w</v>
      </c>
      <c r="U2062" s="245">
        <f>_xll.qlCalendarAdvance(Calendar,U2061,T2062,"f",FALSE)</f>
        <v>53266</v>
      </c>
      <c r="V2062" s="248">
        <f>_xll.qlCalendarAdvance(Calendar,U2062,NDays&amp;"D")</f>
        <v>53268</v>
      </c>
      <c r="W2062" s="249">
        <v>2.3545208532270955E-2</v>
      </c>
      <c r="X2062" s="246">
        <v>2.3454389310089141E-2</v>
      </c>
    </row>
    <row r="2063" spans="20:24" x14ac:dyDescent="0.2">
      <c r="T2063" s="247" t="str">
        <f t="shared" si="36"/>
        <v>1w</v>
      </c>
      <c r="U2063" s="245">
        <f>_xll.qlCalendarAdvance(Calendar,U2062,T2063,"f",FALSE)</f>
        <v>53273</v>
      </c>
      <c r="V2063" s="248">
        <f>_xll.qlCalendarAdvance(Calendar,U2063,NDays&amp;"D")</f>
        <v>53275</v>
      </c>
      <c r="W2063" s="249">
        <v>2.3548415970982103E-2</v>
      </c>
      <c r="X2063" s="246">
        <v>2.3457693343216235E-2</v>
      </c>
    </row>
    <row r="2064" spans="20:24" x14ac:dyDescent="0.2">
      <c r="T2064" s="247" t="str">
        <f t="shared" si="36"/>
        <v>1w</v>
      </c>
      <c r="U2064" s="245">
        <f>_xll.qlCalendarAdvance(Calendar,U2063,T2064,"f",FALSE)</f>
        <v>53280</v>
      </c>
      <c r="V2064" s="248">
        <f>_xll.qlCalendarAdvance(Calendar,U2064,NDays&amp;"D")</f>
        <v>53282</v>
      </c>
      <c r="W2064" s="249">
        <v>2.3551605526152521E-2</v>
      </c>
      <c r="X2064" s="246">
        <v>2.346097959592619E-2</v>
      </c>
    </row>
    <row r="2065" spans="20:24" x14ac:dyDescent="0.2">
      <c r="T2065" s="247" t="str">
        <f t="shared" si="36"/>
        <v>1w</v>
      </c>
      <c r="U2065" s="245">
        <f>_xll.qlCalendarAdvance(Calendar,U2064,T2065,"f",FALSE)</f>
        <v>53287</v>
      </c>
      <c r="V2065" s="248">
        <f>_xll.qlCalendarAdvance(Calendar,U2065,NDays&amp;"D")</f>
        <v>53289</v>
      </c>
      <c r="W2065" s="249">
        <v>2.355477719774136E-2</v>
      </c>
      <c r="X2065" s="246">
        <v>2.3464248068458815E-2</v>
      </c>
    </row>
    <row r="2066" spans="20:24" x14ac:dyDescent="0.2">
      <c r="T2066" s="247" t="str">
        <f t="shared" ref="T2066:T2129" si="37">T2065</f>
        <v>1w</v>
      </c>
      <c r="U2066" s="245">
        <f>_xll.qlCalendarAdvance(Calendar,U2065,T2066,"f",FALSE)</f>
        <v>53294</v>
      </c>
      <c r="V2066" s="248">
        <f>_xll.qlCalendarAdvance(Calendar,U2066,NDays&amp;"D")</f>
        <v>53296</v>
      </c>
      <c r="W2066" s="249">
        <v>2.3555948684622408E-2</v>
      </c>
      <c r="X2066" s="246">
        <v>2.3467498760654237E-2</v>
      </c>
    </row>
    <row r="2067" spans="20:24" x14ac:dyDescent="0.2">
      <c r="T2067" s="247" t="str">
        <f t="shared" si="37"/>
        <v>1w</v>
      </c>
      <c r="U2067" s="245">
        <f>_xll.qlCalendarAdvance(Calendar,U2066,T2067,"f",FALSE)</f>
        <v>53301</v>
      </c>
      <c r="V2067" s="248">
        <f>_xll.qlCalendarAdvance(Calendar,U2067,NDays&amp;"D")</f>
        <v>53303</v>
      </c>
      <c r="W2067" s="249">
        <v>2.3559086734218582E-2</v>
      </c>
      <c r="X2067" s="246">
        <v>2.3470731672672329E-2</v>
      </c>
    </row>
    <row r="2068" spans="20:24" x14ac:dyDescent="0.2">
      <c r="T2068" s="247" t="str">
        <f t="shared" si="37"/>
        <v>1w</v>
      </c>
      <c r="U2068" s="245">
        <f>_xll.qlCalendarAdvance(Calendar,U2067,T2068,"f",FALSE)</f>
        <v>53308</v>
      </c>
      <c r="V2068" s="248">
        <f>_xll.qlCalendarAdvance(Calendar,U2068,NDays&amp;"D")</f>
        <v>53310</v>
      </c>
      <c r="W2068" s="249">
        <v>2.3562206902389526E-2</v>
      </c>
      <c r="X2068" s="246">
        <v>2.3473946804273282E-2</v>
      </c>
    </row>
    <row r="2069" spans="20:24" x14ac:dyDescent="0.2">
      <c r="T2069" s="247" t="str">
        <f t="shared" si="37"/>
        <v>1w</v>
      </c>
      <c r="U2069" s="245">
        <f>_xll.qlCalendarAdvance(Calendar,U2068,T2069,"f",FALSE)</f>
        <v>53315</v>
      </c>
      <c r="V2069" s="248">
        <f>_xll.qlCalendarAdvance(Calendar,U2069,NDays&amp;"D")</f>
        <v>53317</v>
      </c>
      <c r="W2069" s="249">
        <v>2.3565309189092609E-2</v>
      </c>
      <c r="X2069" s="246">
        <v>2.3477144155696905E-2</v>
      </c>
    </row>
    <row r="2070" spans="20:24" x14ac:dyDescent="0.2">
      <c r="T2070" s="247" t="str">
        <f t="shared" si="37"/>
        <v>1w</v>
      </c>
      <c r="U2070" s="245">
        <f>_xll.qlCalendarAdvance(Calendar,U2069,T2070,"f",FALSE)</f>
        <v>53323</v>
      </c>
      <c r="V2070" s="248">
        <f>_xll.qlCalendarAdvance(Calendar,U2070,NDays&amp;"D")</f>
        <v>53325</v>
      </c>
      <c r="W2070" s="249">
        <v>2.356981949306158E-2</v>
      </c>
      <c r="X2070" s="246">
        <v>2.3483752263318003E-2</v>
      </c>
    </row>
    <row r="2071" spans="20:24" x14ac:dyDescent="0.2">
      <c r="T2071" s="247" t="str">
        <f t="shared" si="37"/>
        <v>1w</v>
      </c>
      <c r="U2071" s="245">
        <f>_xll.qlCalendarAdvance(Calendar,U2070,T2071,"f",FALSE)</f>
        <v>53330</v>
      </c>
      <c r="V2071" s="248">
        <f>_xll.qlCalendarAdvance(Calendar,U2071,NDays&amp;"D")</f>
        <v>53332</v>
      </c>
      <c r="W2071" s="249">
        <v>2.3571896733015407E-2</v>
      </c>
      <c r="X2071" s="246">
        <v>2.3485917522929611E-2</v>
      </c>
    </row>
    <row r="2072" spans="20:24" x14ac:dyDescent="0.2">
      <c r="T2072" s="247" t="str">
        <f t="shared" si="37"/>
        <v>1w</v>
      </c>
      <c r="U2072" s="245">
        <f>_xll.qlCalendarAdvance(Calendar,U2071,T2072,"f",FALSE)</f>
        <v>53337</v>
      </c>
      <c r="V2072" s="248">
        <f>_xll.qlCalendarAdvance(Calendar,U2072,NDays&amp;"D")</f>
        <v>53339</v>
      </c>
      <c r="W2072" s="249">
        <v>2.357494282055228E-2</v>
      </c>
      <c r="X2072" s="246">
        <v>2.3489056862997515E-2</v>
      </c>
    </row>
    <row r="2073" spans="20:24" x14ac:dyDescent="0.2">
      <c r="T2073" s="247" t="str">
        <f t="shared" si="37"/>
        <v>1w</v>
      </c>
      <c r="U2073" s="245">
        <f>_xll.qlCalendarAdvance(Calendar,U2072,T2073,"f",FALSE)</f>
        <v>53344</v>
      </c>
      <c r="V2073" s="248">
        <f>_xll.qlCalendarAdvance(Calendar,U2073,NDays&amp;"D")</f>
        <v>53346</v>
      </c>
      <c r="W2073" s="249">
        <v>2.3577971026450761E-2</v>
      </c>
      <c r="X2073" s="246">
        <v>2.3492178420516652E-2</v>
      </c>
    </row>
    <row r="2074" spans="20:24" x14ac:dyDescent="0.2">
      <c r="T2074" s="247" t="str">
        <f t="shared" si="37"/>
        <v>1w</v>
      </c>
      <c r="U2074" s="245">
        <f>_xll.qlCalendarAdvance(Calendar,U2073,T2074,"f",FALSE)</f>
        <v>53351</v>
      </c>
      <c r="V2074" s="248">
        <f>_xll.qlCalendarAdvance(Calendar,U2074,NDays&amp;"D")</f>
        <v>53353</v>
      </c>
      <c r="W2074" s="249">
        <v>2.3580981350672658E-2</v>
      </c>
      <c r="X2074" s="246">
        <v>2.3495282195460376E-2</v>
      </c>
    </row>
    <row r="2075" spans="20:24" x14ac:dyDescent="0.2">
      <c r="T2075" s="247" t="str">
        <f t="shared" si="37"/>
        <v>1w</v>
      </c>
      <c r="U2075" s="245">
        <f>_xll.qlCalendarAdvance(Calendar,U2074,T2075,"f",FALSE)</f>
        <v>53358</v>
      </c>
      <c r="V2075" s="248">
        <f>_xll.qlCalendarAdvance(Calendar,U2075,NDays&amp;"D")</f>
        <v>53360</v>
      </c>
      <c r="W2075" s="249">
        <v>2.3582992401437377E-2</v>
      </c>
      <c r="X2075" s="246">
        <v>2.3498368187908625E-2</v>
      </c>
    </row>
    <row r="2076" spans="20:24" x14ac:dyDescent="0.2">
      <c r="T2076" s="247" t="str">
        <f t="shared" si="37"/>
        <v>1w</v>
      </c>
      <c r="U2076" s="245">
        <f>_xll.qlCalendarAdvance(Calendar,U2075,T2076,"f",FALSE)</f>
        <v>53365</v>
      </c>
      <c r="V2076" s="248">
        <f>_xll.qlCalendarAdvance(Calendar,U2076,NDays&amp;"D")</f>
        <v>53367</v>
      </c>
      <c r="W2076" s="249">
        <v>2.3585968045071792E-2</v>
      </c>
      <c r="X2076" s="246">
        <v>2.3501436397754816E-2</v>
      </c>
    </row>
    <row r="2077" spans="20:24" x14ac:dyDescent="0.2">
      <c r="T2077" s="247" t="str">
        <f t="shared" si="37"/>
        <v>1w</v>
      </c>
      <c r="U2077" s="245">
        <f>_xll.qlCalendarAdvance(Calendar,U2076,T2077,"f",FALSE)</f>
        <v>53372</v>
      </c>
      <c r="V2077" s="248">
        <f>_xll.qlCalendarAdvance(Calendar,U2077,NDays&amp;"D")</f>
        <v>53374</v>
      </c>
      <c r="W2077" s="249">
        <v>2.3588925808058235E-2</v>
      </c>
      <c r="X2077" s="246">
        <v>2.3504486825132176E-2</v>
      </c>
    </row>
    <row r="2078" spans="20:24" x14ac:dyDescent="0.2">
      <c r="T2078" s="247" t="str">
        <f t="shared" si="37"/>
        <v>1w</v>
      </c>
      <c r="U2078" s="245">
        <f>_xll.qlCalendarAdvance(Calendar,U2077,T2078,"f",FALSE)</f>
        <v>53379</v>
      </c>
      <c r="V2078" s="248">
        <f>_xll.qlCalendarAdvance(Calendar,U2078,NDays&amp;"D")</f>
        <v>53381</v>
      </c>
      <c r="W2078" s="249">
        <v>2.3591865690352695E-2</v>
      </c>
      <c r="X2078" s="246">
        <v>2.3507519469907479E-2</v>
      </c>
    </row>
    <row r="2079" spans="20:24" x14ac:dyDescent="0.2">
      <c r="T2079" s="247" t="str">
        <f t="shared" si="37"/>
        <v>1w</v>
      </c>
      <c r="U2079" s="245">
        <f>_xll.qlCalendarAdvance(Calendar,U2078,T2079,"f",FALSE)</f>
        <v>53386</v>
      </c>
      <c r="V2079" s="248">
        <f>_xll.qlCalendarAdvance(Calendar,U2079,NDays&amp;"D")</f>
        <v>53388</v>
      </c>
      <c r="W2079" s="249">
        <v>2.3599672346404518E-2</v>
      </c>
      <c r="X2079" s="246">
        <v>2.3510534332134014E-2</v>
      </c>
    </row>
    <row r="2080" spans="20:24" x14ac:dyDescent="0.2">
      <c r="T2080" s="247" t="str">
        <f t="shared" si="37"/>
        <v>1w</v>
      </c>
      <c r="U2080" s="245">
        <f>_xll.qlCalendarAdvance(Calendar,U2079,T2080,"f",FALSE)</f>
        <v>53393</v>
      </c>
      <c r="V2080" s="248">
        <f>_xll.qlCalendarAdvance(Calendar,U2080,NDays&amp;"D")</f>
        <v>53395</v>
      </c>
      <c r="W2080" s="249">
        <v>2.3602571028293929E-2</v>
      </c>
      <c r="X2080" s="246">
        <v>2.3513531411811783E-2</v>
      </c>
    </row>
    <row r="2081" spans="20:24" x14ac:dyDescent="0.2">
      <c r="T2081" s="247" t="str">
        <f t="shared" si="37"/>
        <v>1w</v>
      </c>
      <c r="U2081" s="245">
        <f>_xll.qlCalendarAdvance(Calendar,U2080,T2081,"f",FALSE)</f>
        <v>53400</v>
      </c>
      <c r="V2081" s="248">
        <f>_xll.qlCalendarAdvance(Calendar,U2081,NDays&amp;"D")</f>
        <v>53402</v>
      </c>
      <c r="W2081" s="249">
        <v>2.3605451823636631E-2</v>
      </c>
      <c r="X2081" s="246">
        <v>2.3516510708940785E-2</v>
      </c>
    </row>
    <row r="2082" spans="20:24" x14ac:dyDescent="0.2">
      <c r="T2082" s="247" t="str">
        <f t="shared" si="37"/>
        <v>1w</v>
      </c>
      <c r="U2082" s="245">
        <f>_xll.qlCalendarAdvance(Calendar,U2081,T2082,"f",FALSE)</f>
        <v>53407</v>
      </c>
      <c r="V2082" s="248">
        <f>_xll.qlCalendarAdvance(Calendar,U2082,NDays&amp;"D")</f>
        <v>53413</v>
      </c>
      <c r="W2082" s="249">
        <v>2.3607996753411579E-2</v>
      </c>
      <c r="X2082" s="246">
        <v>2.3519199552541892E-2</v>
      </c>
    </row>
    <row r="2083" spans="20:24" x14ac:dyDescent="0.2">
      <c r="T2083" s="247" t="str">
        <f t="shared" si="37"/>
        <v>1w</v>
      </c>
      <c r="U2083" s="245">
        <f>_xll.qlCalendarAdvance(Calendar,U2082,T2083,"f",FALSE)</f>
        <v>53414</v>
      </c>
      <c r="V2083" s="248">
        <f>_xll.qlCalendarAdvance(Calendar,U2083,NDays&amp;"D")</f>
        <v>53416</v>
      </c>
      <c r="W2083" s="249">
        <v>2.3608242221325678E-2</v>
      </c>
      <c r="X2083" s="246">
        <v>2.3522415955499199E-2</v>
      </c>
    </row>
    <row r="2084" spans="20:24" x14ac:dyDescent="0.2">
      <c r="T2084" s="247" t="str">
        <f t="shared" si="37"/>
        <v>1w</v>
      </c>
      <c r="U2084" s="245">
        <f>_xll.qlCalendarAdvance(Calendar,U2083,T2084,"f",FALSE)</f>
        <v>53421</v>
      </c>
      <c r="V2084" s="248">
        <f>_xll.qlCalendarAdvance(Calendar,U2084,NDays&amp;"D")</f>
        <v>53423</v>
      </c>
      <c r="W2084" s="249">
        <v>2.3611072634375108E-2</v>
      </c>
      <c r="X2084" s="246">
        <v>2.35253419049819E-2</v>
      </c>
    </row>
    <row r="2085" spans="20:24" x14ac:dyDescent="0.2">
      <c r="T2085" s="247" t="str">
        <f t="shared" si="37"/>
        <v>1w</v>
      </c>
      <c r="U2085" s="245">
        <f>_xll.qlCalendarAdvance(Calendar,U2084,T2085,"f",FALSE)</f>
        <v>53428</v>
      </c>
      <c r="V2085" s="248">
        <f>_xll.qlCalendarAdvance(Calendar,U2085,NDays&amp;"D")</f>
        <v>53430</v>
      </c>
      <c r="W2085" s="249">
        <v>2.3613885164168347E-2</v>
      </c>
      <c r="X2085" s="246">
        <v>2.3528250071835899E-2</v>
      </c>
    </row>
    <row r="2086" spans="20:24" x14ac:dyDescent="0.2">
      <c r="T2086" s="247" t="str">
        <f t="shared" si="37"/>
        <v>1w</v>
      </c>
      <c r="U2086" s="245">
        <f>_xll.qlCalendarAdvance(Calendar,U2085,T2086,"f",FALSE)</f>
        <v>53435</v>
      </c>
      <c r="V2086" s="248">
        <f>_xll.qlCalendarAdvance(Calendar,U2086,NDays&amp;"D")</f>
        <v>53437</v>
      </c>
      <c r="W2086" s="249">
        <v>2.3616679810667618E-2</v>
      </c>
      <c r="X2086" s="246">
        <v>2.3531140456194422E-2</v>
      </c>
    </row>
    <row r="2087" spans="20:24" x14ac:dyDescent="0.2">
      <c r="T2087" s="247" t="str">
        <f t="shared" si="37"/>
        <v>1w</v>
      </c>
      <c r="U2087" s="245">
        <f>_xll.qlCalendarAdvance(Calendar,U2086,T2087,"f",FALSE)</f>
        <v>53442</v>
      </c>
      <c r="V2087" s="248">
        <f>_xll.qlCalendarAdvance(Calendar,U2087,NDays&amp;"D")</f>
        <v>53444</v>
      </c>
      <c r="W2087" s="249">
        <v>2.3619456573833391E-2</v>
      </c>
      <c r="X2087" s="246">
        <v>2.3534013057977532E-2</v>
      </c>
    </row>
    <row r="2088" spans="20:24" x14ac:dyDescent="0.2">
      <c r="T2088" s="247" t="str">
        <f t="shared" si="37"/>
        <v>1w</v>
      </c>
      <c r="U2088" s="245">
        <f>_xll.qlCalendarAdvance(Calendar,U2087,T2088,"f",FALSE)</f>
        <v>53449</v>
      </c>
      <c r="V2088" s="248">
        <f>_xll.qlCalendarAdvance(Calendar,U2088,NDays&amp;"D")</f>
        <v>53451</v>
      </c>
      <c r="W2088" s="249">
        <v>2.362511656433797E-2</v>
      </c>
      <c r="X2088" s="246">
        <v>2.353686787718523E-2</v>
      </c>
    </row>
    <row r="2089" spans="20:24" x14ac:dyDescent="0.2">
      <c r="T2089" s="247" t="str">
        <f t="shared" si="37"/>
        <v>1w</v>
      </c>
      <c r="U2089" s="245">
        <f>_xll.qlCalendarAdvance(Calendar,U2088,T2089,"f",FALSE)</f>
        <v>53456</v>
      </c>
      <c r="V2089" s="248">
        <f>_xll.qlCalendarAdvance(Calendar,U2089,NDays&amp;"D")</f>
        <v>53458</v>
      </c>
      <c r="W2089" s="249">
        <v>2.3627854265870676E-2</v>
      </c>
      <c r="X2089" s="246">
        <v>2.3539704913870807E-2</v>
      </c>
    </row>
    <row r="2090" spans="20:24" x14ac:dyDescent="0.2">
      <c r="T2090" s="247" t="str">
        <f t="shared" si="37"/>
        <v>1w</v>
      </c>
      <c r="U2090" s="245">
        <f>_xll.qlCalendarAdvance(Calendar,U2089,T2090,"f",FALSE)</f>
        <v>53463</v>
      </c>
      <c r="V2090" s="248">
        <f>_xll.qlCalendarAdvance(Calendar,U2090,NDays&amp;"D")</f>
        <v>53465</v>
      </c>
      <c r="W2090" s="249">
        <v>2.3630574080502915E-2</v>
      </c>
      <c r="X2090" s="246">
        <v>2.3542524167901036E-2</v>
      </c>
    </row>
    <row r="2091" spans="20:24" x14ac:dyDescent="0.2">
      <c r="T2091" s="247" t="str">
        <f t="shared" si="37"/>
        <v>1w</v>
      </c>
      <c r="U2091" s="245">
        <f>_xll.qlCalendarAdvance(Calendar,U2090,T2091,"f",FALSE)</f>
        <v>53470</v>
      </c>
      <c r="V2091" s="248">
        <f>_xll.qlCalendarAdvance(Calendar,U2091,NDays&amp;"D")</f>
        <v>53472</v>
      </c>
      <c r="W2091" s="249">
        <v>2.3633276008197261E-2</v>
      </c>
      <c r="X2091" s="246">
        <v>2.3545325639462433E-2</v>
      </c>
    </row>
    <row r="2092" spans="20:24" x14ac:dyDescent="0.2">
      <c r="T2092" s="247" t="str">
        <f t="shared" si="37"/>
        <v>1w</v>
      </c>
      <c r="U2092" s="245">
        <f>_xll.qlCalendarAdvance(Calendar,U2091,T2092,"f",FALSE)</f>
        <v>53477</v>
      </c>
      <c r="V2092" s="248">
        <f>_xll.qlCalendarAdvance(Calendar,U2092,NDays&amp;"D")</f>
        <v>53479</v>
      </c>
      <c r="W2092" s="249">
        <v>2.3635960048915453E-2</v>
      </c>
      <c r="X2092" s="246">
        <v>2.3548109328395128E-2</v>
      </c>
    </row>
    <row r="2093" spans="20:24" x14ac:dyDescent="0.2">
      <c r="T2093" s="247" t="str">
        <f t="shared" si="37"/>
        <v>1w</v>
      </c>
      <c r="U2093" s="245">
        <f>_xll.qlCalendarAdvance(Calendar,U2092,T2093,"f",FALSE)</f>
        <v>53484</v>
      </c>
      <c r="V2093" s="248">
        <f>_xll.qlCalendarAdvance(Calendar,U2093,NDays&amp;"D")</f>
        <v>53486</v>
      </c>
      <c r="W2093" s="249">
        <v>2.3638626202619223E-2</v>
      </c>
      <c r="X2093" s="246">
        <v>2.3550875234752411E-2</v>
      </c>
    </row>
    <row r="2094" spans="20:24" x14ac:dyDescent="0.2">
      <c r="T2094" s="247" t="str">
        <f t="shared" si="37"/>
        <v>1w</v>
      </c>
      <c r="U2094" s="245">
        <f>_xll.qlCalendarAdvance(Calendar,U2093,T2094,"f",FALSE)</f>
        <v>53491</v>
      </c>
      <c r="V2094" s="248">
        <f>_xll.qlCalendarAdvance(Calendar,U2094,NDays&amp;"D")</f>
        <v>53493</v>
      </c>
      <c r="W2094" s="249">
        <v>2.3641274469273704E-2</v>
      </c>
      <c r="X2094" s="246">
        <v>2.3553623358587572E-2</v>
      </c>
    </row>
    <row r="2095" spans="20:24" x14ac:dyDescent="0.2">
      <c r="T2095" s="247" t="str">
        <f t="shared" si="37"/>
        <v>1w</v>
      </c>
      <c r="U2095" s="245">
        <f>_xll.qlCalendarAdvance(Calendar,U2094,T2095,"f",FALSE)</f>
        <v>53498</v>
      </c>
      <c r="V2095" s="248">
        <f>_xll.qlCalendarAdvance(Calendar,U2095,NDays&amp;"D")</f>
        <v>53500</v>
      </c>
      <c r="W2095" s="249">
        <v>2.364390484884148E-2</v>
      </c>
      <c r="X2095" s="246">
        <v>2.3556353699820676E-2</v>
      </c>
    </row>
    <row r="2096" spans="20:24" x14ac:dyDescent="0.2">
      <c r="T2096" s="247" t="str">
        <f t="shared" si="37"/>
        <v>1w</v>
      </c>
      <c r="U2096" s="245">
        <f>_xll.qlCalendarAdvance(Calendar,U2095,T2096,"f",FALSE)</f>
        <v>53505</v>
      </c>
      <c r="V2096" s="248">
        <f>_xll.qlCalendarAdvance(Calendar,U2096,NDays&amp;"D")</f>
        <v>53507</v>
      </c>
      <c r="W2096" s="249">
        <v>2.364364268630794E-2</v>
      </c>
      <c r="X2096" s="246">
        <v>2.3559066258478367E-2</v>
      </c>
    </row>
    <row r="2097" spans="20:24" x14ac:dyDescent="0.2">
      <c r="T2097" s="247" t="str">
        <f t="shared" si="37"/>
        <v>1w</v>
      </c>
      <c r="U2097" s="245">
        <f>_xll.qlCalendarAdvance(Calendar,U2096,T2097,"f",FALSE)</f>
        <v>53512</v>
      </c>
      <c r="V2097" s="248">
        <f>_xll.qlCalendarAdvance(Calendar,U2097,NDays&amp;"D")</f>
        <v>53514</v>
      </c>
      <c r="W2097" s="249">
        <v>2.3649111946568099E-2</v>
      </c>
      <c r="X2097" s="246">
        <v>2.3561761034560647E-2</v>
      </c>
    </row>
    <row r="2098" spans="20:24" x14ac:dyDescent="0.2">
      <c r="T2098" s="247" t="str">
        <f t="shared" si="37"/>
        <v>1w</v>
      </c>
      <c r="U2098" s="245">
        <f>_xll.qlCalendarAdvance(Calendar,U2097,T2098,"f",FALSE)</f>
        <v>53519</v>
      </c>
      <c r="V2098" s="248">
        <f>_xll.qlCalendarAdvance(Calendar,U2098,NDays&amp;"D")</f>
        <v>53521</v>
      </c>
      <c r="W2098" s="249">
        <v>2.3651688664654658E-2</v>
      </c>
      <c r="X2098" s="246">
        <v>2.3564438028094159E-2</v>
      </c>
    </row>
    <row r="2099" spans="20:24" x14ac:dyDescent="0.2">
      <c r="T2099" s="247" t="str">
        <f t="shared" si="37"/>
        <v>1w</v>
      </c>
      <c r="U2099" s="245">
        <f>_xll.qlCalendarAdvance(Calendar,U2098,T2099,"f",FALSE)</f>
        <v>53526</v>
      </c>
      <c r="V2099" s="248">
        <f>_xll.qlCalendarAdvance(Calendar,U2099,NDays&amp;"D")</f>
        <v>53528</v>
      </c>
      <c r="W2099" s="249">
        <v>2.3654247495509095E-2</v>
      </c>
      <c r="X2099" s="246">
        <v>2.3567097239025614E-2</v>
      </c>
    </row>
    <row r="2100" spans="20:24" x14ac:dyDescent="0.2">
      <c r="T2100" s="247" t="str">
        <f t="shared" si="37"/>
        <v>1w</v>
      </c>
      <c r="U2100" s="245">
        <f>_xll.qlCalendarAdvance(Calendar,U2099,T2100,"f",FALSE)</f>
        <v>53533</v>
      </c>
      <c r="V2100" s="248">
        <f>_xll.qlCalendarAdvance(Calendar,U2100,NDays&amp;"D")</f>
        <v>53535</v>
      </c>
      <c r="W2100" s="249">
        <v>2.3656788439095695E-2</v>
      </c>
      <c r="X2100" s="246">
        <v>2.3569738667408302E-2</v>
      </c>
    </row>
    <row r="2101" spans="20:24" x14ac:dyDescent="0.2">
      <c r="T2101" s="247" t="str">
        <f t="shared" si="37"/>
        <v>1w</v>
      </c>
      <c r="U2101" s="245">
        <f>_xll.qlCalendarAdvance(Calendar,U2100,T2101,"f",FALSE)</f>
        <v>53540</v>
      </c>
      <c r="V2101" s="248">
        <f>_xll.qlCalendarAdvance(Calendar,U2101,NDays&amp;"D")</f>
        <v>53542</v>
      </c>
      <c r="W2101" s="249">
        <v>2.3659311495378744E-2</v>
      </c>
      <c r="X2101" s="246">
        <v>2.3572362313162287E-2</v>
      </c>
    </row>
    <row r="2102" spans="20:24" x14ac:dyDescent="0.2">
      <c r="T2102" s="247" t="str">
        <f t="shared" si="37"/>
        <v>1w</v>
      </c>
      <c r="U2102" s="245">
        <f>_xll.qlCalendarAdvance(Calendar,U2101,T2102,"f",FALSE)</f>
        <v>53547</v>
      </c>
      <c r="V2102" s="248">
        <f>_xll.qlCalendarAdvance(Calendar,U2102,NDays&amp;"D")</f>
        <v>53549</v>
      </c>
      <c r="W2102" s="249">
        <v>2.3661816664323373E-2</v>
      </c>
      <c r="X2102" s="246">
        <v>2.3574968176367506E-2</v>
      </c>
    </row>
    <row r="2103" spans="20:24" x14ac:dyDescent="0.2">
      <c r="T2103" s="247" t="str">
        <f t="shared" si="37"/>
        <v>1w</v>
      </c>
      <c r="U2103" s="245">
        <f>_xll.qlCalendarAdvance(Calendar,U2102,T2103,"f",FALSE)</f>
        <v>53554</v>
      </c>
      <c r="V2103" s="248">
        <f>_xll.qlCalendarAdvance(Calendar,U2103,NDays&amp;"D")</f>
        <v>53556</v>
      </c>
      <c r="W2103" s="249">
        <v>2.3664303945895568E-2</v>
      </c>
      <c r="X2103" s="246">
        <v>2.3577556256997312E-2</v>
      </c>
    </row>
    <row r="2104" spans="20:24" x14ac:dyDescent="0.2">
      <c r="T2104" s="247" t="str">
        <f t="shared" si="37"/>
        <v>1w</v>
      </c>
      <c r="U2104" s="245">
        <f>_xll.qlCalendarAdvance(Calendar,U2103,T2104,"f",FALSE)</f>
        <v>53561</v>
      </c>
      <c r="V2104" s="248">
        <f>_xll.qlCalendarAdvance(Calendar,U2104,NDays&amp;"D")</f>
        <v>53563</v>
      </c>
      <c r="W2104" s="249">
        <v>2.3666773340057911E-2</v>
      </c>
      <c r="X2104" s="246">
        <v>2.358012655502506E-2</v>
      </c>
    </row>
    <row r="2105" spans="20:24" x14ac:dyDescent="0.2">
      <c r="T2105" s="247" t="str">
        <f t="shared" si="37"/>
        <v>1w</v>
      </c>
      <c r="U2105" s="245">
        <f>_xll.qlCalendarAdvance(Calendar,U2104,T2105,"f",FALSE)</f>
        <v>53568</v>
      </c>
      <c r="V2105" s="248">
        <f>_xll.qlCalendarAdvance(Calendar,U2105,NDays&amp;"D")</f>
        <v>53570</v>
      </c>
      <c r="W2105" s="249">
        <v>2.3666380219588307E-2</v>
      </c>
      <c r="X2105" s="246">
        <v>2.3582679070504042E-2</v>
      </c>
    </row>
    <row r="2106" spans="20:24" x14ac:dyDescent="0.2">
      <c r="T2106" s="247" t="str">
        <f t="shared" si="37"/>
        <v>1w</v>
      </c>
      <c r="U2106" s="245">
        <f>_xll.qlCalendarAdvance(Calendar,U2105,T2106,"f",FALSE)</f>
        <v>53575</v>
      </c>
      <c r="V2106" s="248">
        <f>_xll.qlCalendarAdvance(Calendar,U2106,NDays&amp;"D")</f>
        <v>53577</v>
      </c>
      <c r="W2106" s="249">
        <v>2.3668817192613444E-2</v>
      </c>
      <c r="X2106" s="246">
        <v>2.3585213803354321E-2</v>
      </c>
    </row>
    <row r="2107" spans="20:24" x14ac:dyDescent="0.2">
      <c r="T2107" s="247" t="str">
        <f t="shared" si="37"/>
        <v>1w</v>
      </c>
      <c r="U2107" s="245">
        <f>_xll.qlCalendarAdvance(Calendar,U2106,T2107,"f",FALSE)</f>
        <v>53582</v>
      </c>
      <c r="V2107" s="248">
        <f>_xll.qlCalendarAdvance(Calendar,U2107,NDays&amp;"D")</f>
        <v>53584</v>
      </c>
      <c r="W2107" s="249">
        <v>2.3671236281603225E-2</v>
      </c>
      <c r="X2107" s="246">
        <v>2.3587730753655833E-2</v>
      </c>
    </row>
    <row r="2108" spans="20:24" x14ac:dyDescent="0.2">
      <c r="T2108" s="247" t="str">
        <f t="shared" si="37"/>
        <v>1w</v>
      </c>
      <c r="U2108" s="245">
        <f>_xll.qlCalendarAdvance(Calendar,U2107,T2108,"f",FALSE)</f>
        <v>53589</v>
      </c>
      <c r="V2108" s="248">
        <f>_xll.qlCalendarAdvance(Calendar,U2108,NDays&amp;"D")</f>
        <v>53591</v>
      </c>
      <c r="W2108" s="249">
        <v>2.367363748652428E-2</v>
      </c>
      <c r="X2108" s="246">
        <v>2.3590229921355288E-2</v>
      </c>
    </row>
    <row r="2109" spans="20:24" x14ac:dyDescent="0.2">
      <c r="T2109" s="247" t="str">
        <f t="shared" si="37"/>
        <v>1w</v>
      </c>
      <c r="U2109" s="245">
        <f>_xll.qlCalendarAdvance(Calendar,U2108,T2109,"f",FALSE)</f>
        <v>53596</v>
      </c>
      <c r="V2109" s="248">
        <f>_xll.qlCalendarAdvance(Calendar,U2109,NDays&amp;"D")</f>
        <v>53598</v>
      </c>
      <c r="W2109" s="249">
        <v>2.3678851998561939E-2</v>
      </c>
      <c r="X2109" s="246">
        <v>2.3592711306452685E-2</v>
      </c>
    </row>
    <row r="2110" spans="20:24" x14ac:dyDescent="0.2">
      <c r="T2110" s="247" t="str">
        <f t="shared" si="37"/>
        <v>1w</v>
      </c>
      <c r="U2110" s="245">
        <f>_xll.qlCalendarAdvance(Calendar,U2109,T2110,"f",FALSE)</f>
        <v>53603</v>
      </c>
      <c r="V2110" s="248">
        <f>_xll.qlCalendarAdvance(Calendar,U2110,NDays&amp;"D")</f>
        <v>53605</v>
      </c>
      <c r="W2110" s="249">
        <v>2.368121406756446E-2</v>
      </c>
      <c r="X2110" s="246">
        <v>2.3595174909001315E-2</v>
      </c>
    </row>
    <row r="2111" spans="20:24" x14ac:dyDescent="0.2">
      <c r="T2111" s="247" t="str">
        <f t="shared" si="37"/>
        <v>1w</v>
      </c>
      <c r="U2111" s="245">
        <f>_xll.qlCalendarAdvance(Calendar,U2110,T2111,"f",FALSE)</f>
        <v>53610</v>
      </c>
      <c r="V2111" s="248">
        <f>_xll.qlCalendarAdvance(Calendar,U2111,NDays&amp;"D")</f>
        <v>53612</v>
      </c>
      <c r="W2111" s="249">
        <v>2.3683558248922425E-2</v>
      </c>
      <c r="X2111" s="246">
        <v>2.3597620728921243E-2</v>
      </c>
    </row>
    <row r="2112" spans="20:24" x14ac:dyDescent="0.2">
      <c r="T2112" s="247" t="str">
        <f t="shared" si="37"/>
        <v>1w</v>
      </c>
      <c r="U2112" s="245">
        <f>_xll.qlCalendarAdvance(Calendar,U2111,T2112,"f",FALSE)</f>
        <v>53617</v>
      </c>
      <c r="V2112" s="248">
        <f>_xll.qlCalendarAdvance(Calendar,U2112,NDays&amp;"D")</f>
        <v>53619</v>
      </c>
      <c r="W2112" s="249">
        <v>2.3685884542605215E-2</v>
      </c>
      <c r="X2112" s="246">
        <v>2.3600048766239112E-2</v>
      </c>
    </row>
    <row r="2113" spans="20:24" x14ac:dyDescent="0.2">
      <c r="T2113" s="247" t="str">
        <f t="shared" si="37"/>
        <v>1w</v>
      </c>
      <c r="U2113" s="245">
        <f>_xll.qlCalendarAdvance(Calendar,U2112,T2113,"f",FALSE)</f>
        <v>53624</v>
      </c>
      <c r="V2113" s="248">
        <f>_xll.qlCalendarAdvance(Calendar,U2113,NDays&amp;"D")</f>
        <v>53626</v>
      </c>
      <c r="W2113" s="249">
        <v>2.3688192948579673E-2</v>
      </c>
      <c r="X2113" s="246">
        <v>2.3602459021008215E-2</v>
      </c>
    </row>
    <row r="2114" spans="20:24" x14ac:dyDescent="0.2">
      <c r="T2114" s="247" t="str">
        <f t="shared" si="37"/>
        <v>1w</v>
      </c>
      <c r="U2114" s="245">
        <f>_xll.qlCalendarAdvance(Calendar,U2113,T2114,"f",FALSE)</f>
        <v>53631</v>
      </c>
      <c r="V2114" s="248">
        <f>_xll.qlCalendarAdvance(Calendar,U2114,NDays&amp;"D")</f>
        <v>53633</v>
      </c>
      <c r="W2114" s="249">
        <v>2.3690483466813479E-2</v>
      </c>
      <c r="X2114" s="246">
        <v>2.3604851493175261E-2</v>
      </c>
    </row>
    <row r="2115" spans="20:24" x14ac:dyDescent="0.2">
      <c r="T2115" s="247" t="str">
        <f t="shared" si="37"/>
        <v>1w</v>
      </c>
      <c r="U2115" s="245">
        <f>_xll.qlCalendarAdvance(Calendar,U2114,T2115,"f",FALSE)</f>
        <v>53638</v>
      </c>
      <c r="V2115" s="248">
        <f>_xll.qlCalendarAdvance(Calendar,U2115,NDays&amp;"D")</f>
        <v>53640</v>
      </c>
      <c r="W2115" s="249">
        <v>2.3692756097273469E-2</v>
      </c>
      <c r="X2115" s="246">
        <v>2.3607226182713603E-2</v>
      </c>
    </row>
    <row r="2116" spans="20:24" x14ac:dyDescent="0.2">
      <c r="T2116" s="247" t="str">
        <f t="shared" si="37"/>
        <v>1w</v>
      </c>
      <c r="U2116" s="245">
        <f>_xll.qlCalendarAdvance(Calendar,U2115,T2116,"f",FALSE)</f>
        <v>53645</v>
      </c>
      <c r="V2116" s="248">
        <f>_xll.qlCalendarAdvance(Calendar,U2116,NDays&amp;"D")</f>
        <v>53647</v>
      </c>
      <c r="W2116" s="249">
        <v>2.3695010839930732E-2</v>
      </c>
      <c r="X2116" s="246">
        <v>2.3609583089703179E-2</v>
      </c>
    </row>
    <row r="2117" spans="20:24" x14ac:dyDescent="0.2">
      <c r="T2117" s="247" t="str">
        <f t="shared" si="37"/>
        <v>1w</v>
      </c>
      <c r="U2117" s="245">
        <f>_xll.qlCalendarAdvance(Calendar,U2116,T2117,"f",FALSE)</f>
        <v>53652</v>
      </c>
      <c r="V2117" s="248">
        <f>_xll.qlCalendarAdvance(Calendar,U2117,NDays&amp;"D")</f>
        <v>53654</v>
      </c>
      <c r="W2117" s="249">
        <v>2.3697247694752101E-2</v>
      </c>
      <c r="X2117" s="246">
        <v>2.3611922214064052E-2</v>
      </c>
    </row>
    <row r="2118" spans="20:24" x14ac:dyDescent="0.2">
      <c r="T2118" s="247" t="str">
        <f t="shared" si="37"/>
        <v>1w</v>
      </c>
      <c r="U2118" s="245">
        <f>_xll.qlCalendarAdvance(Calendar,U2117,T2118,"f",FALSE)</f>
        <v>53659</v>
      </c>
      <c r="V2118" s="248">
        <f>_xll.qlCalendarAdvance(Calendar,U2118,NDays&amp;"D")</f>
        <v>53661</v>
      </c>
      <c r="W2118" s="249">
        <v>2.3695732185046836E-2</v>
      </c>
      <c r="X2118" s="246">
        <v>2.3614243555849512E-2</v>
      </c>
    </row>
    <row r="2119" spans="20:24" x14ac:dyDescent="0.2">
      <c r="T2119" s="247" t="str">
        <f t="shared" si="37"/>
        <v>1w</v>
      </c>
      <c r="U2119" s="245">
        <f>_xll.qlCalendarAdvance(Calendar,U2118,T2119,"f",FALSE)</f>
        <v>53666</v>
      </c>
      <c r="V2119" s="248">
        <f>_xll.qlCalendarAdvance(Calendar,U2119,NDays&amp;"D")</f>
        <v>53668</v>
      </c>
      <c r="W2119" s="249">
        <v>2.3697937795844837E-2</v>
      </c>
      <c r="X2119" s="246">
        <v>2.3616547115032915E-2</v>
      </c>
    </row>
    <row r="2120" spans="20:24" x14ac:dyDescent="0.2">
      <c r="T2120" s="247" t="str">
        <f t="shared" si="37"/>
        <v>1w</v>
      </c>
      <c r="U2120" s="245">
        <f>_xll.qlCalendarAdvance(Calendar,U2119,T2120,"f",FALSE)</f>
        <v>53673</v>
      </c>
      <c r="V2120" s="248">
        <f>_xll.qlCalendarAdvance(Calendar,U2120,NDays&amp;"D")</f>
        <v>53675</v>
      </c>
      <c r="W2120" s="249">
        <v>2.3700125523365756E-2</v>
      </c>
      <c r="X2120" s="246">
        <v>2.3618832891587616E-2</v>
      </c>
    </row>
    <row r="2121" spans="20:24" x14ac:dyDescent="0.2">
      <c r="T2121" s="247" t="str">
        <f t="shared" si="37"/>
        <v>1w</v>
      </c>
      <c r="U2121" s="245">
        <f>_xll.qlCalendarAdvance(Calendar,U2120,T2121,"f",FALSE)</f>
        <v>53680</v>
      </c>
      <c r="V2121" s="248">
        <f>_xll.qlCalendarAdvance(Calendar,U2121,NDays&amp;"D")</f>
        <v>53682</v>
      </c>
      <c r="W2121" s="249">
        <v>2.3702295367580284E-2</v>
      </c>
      <c r="X2121" s="246">
        <v>2.3621100885566904E-2</v>
      </c>
    </row>
    <row r="2122" spans="20:24" x14ac:dyDescent="0.2">
      <c r="T2122" s="247" t="str">
        <f t="shared" si="37"/>
        <v>1w</v>
      </c>
      <c r="U2122" s="245">
        <f>_xll.qlCalendarAdvance(Calendar,U2121,T2122,"f",FALSE)</f>
        <v>53688</v>
      </c>
      <c r="V2122" s="248">
        <f>_xll.qlCalendarAdvance(Calendar,U2122,NDays&amp;"D")</f>
        <v>53692</v>
      </c>
      <c r="W2122" s="249">
        <v>2.3703506529454008E-2</v>
      </c>
      <c r="X2122" s="246">
        <v>2.3623375438179828E-2</v>
      </c>
    </row>
    <row r="2123" spans="20:24" x14ac:dyDescent="0.2">
      <c r="T2123" s="247" t="str">
        <f t="shared" si="37"/>
        <v>1w</v>
      </c>
      <c r="U2123" s="245">
        <f>_xll.qlCalendarAdvance(Calendar,U2122,T2123,"f",FALSE)</f>
        <v>53695</v>
      </c>
      <c r="V2123" s="248">
        <f>_xll.qlCalendarAdvance(Calendar,U2123,NDays&amp;"D")</f>
        <v>53699</v>
      </c>
      <c r="W2123" s="249">
        <v>2.3708418093184507E-2</v>
      </c>
      <c r="X2123" s="246">
        <v>2.3624667836248392E-2</v>
      </c>
    </row>
    <row r="2124" spans="20:24" x14ac:dyDescent="0.2">
      <c r="T2124" s="247" t="str">
        <f t="shared" si="37"/>
        <v>1w</v>
      </c>
      <c r="U2124" s="245">
        <f>_xll.qlCalendarAdvance(Calendar,U2123,T2124,"f",FALSE)</f>
        <v>53702</v>
      </c>
      <c r="V2124" s="248">
        <f>_xll.qlCalendarAdvance(Calendar,U2124,NDays&amp;"D")</f>
        <v>53706</v>
      </c>
      <c r="W2124" s="249">
        <v>2.371145183381141E-2</v>
      </c>
      <c r="X2124" s="246">
        <v>2.3626877111810884E-2</v>
      </c>
    </row>
    <row r="2125" spans="20:24" x14ac:dyDescent="0.2">
      <c r="T2125" s="247" t="str">
        <f t="shared" si="37"/>
        <v>1w</v>
      </c>
      <c r="U2125" s="245">
        <f>_xll.qlCalendarAdvance(Calendar,U2124,T2125,"f",FALSE)</f>
        <v>53709</v>
      </c>
      <c r="V2125" s="248">
        <f>_xll.qlCalendarAdvance(Calendar,U2125,NDays&amp;"D")</f>
        <v>53713</v>
      </c>
      <c r="W2125" s="249">
        <v>2.371261499016215E-2</v>
      </c>
      <c r="X2125" s="246">
        <v>2.3629068606956238E-2</v>
      </c>
    </row>
    <row r="2126" spans="20:24" x14ac:dyDescent="0.2">
      <c r="T2126" s="247" t="str">
        <f t="shared" si="37"/>
        <v>1w</v>
      </c>
      <c r="U2126" s="245">
        <f>_xll.qlCalendarAdvance(Calendar,U2125,T2126,"f",FALSE)</f>
        <v>53716</v>
      </c>
      <c r="V2126" s="248">
        <f>_xll.qlCalendarAdvance(Calendar,U2126,NDays&amp;"D")</f>
        <v>53720</v>
      </c>
      <c r="W2126" s="249">
        <v>2.371468661172655E-2</v>
      </c>
      <c r="X2126" s="246">
        <v>2.3631242321684454E-2</v>
      </c>
    </row>
    <row r="2127" spans="20:24" x14ac:dyDescent="0.2">
      <c r="T2127" s="247" t="str">
        <f t="shared" si="37"/>
        <v>1w</v>
      </c>
      <c r="U2127" s="245">
        <f>_xll.qlCalendarAdvance(Calendar,U2126,T2127,"f",FALSE)</f>
        <v>53723</v>
      </c>
      <c r="V2127" s="248">
        <f>_xll.qlCalendarAdvance(Calendar,U2127,NDays&amp;"D")</f>
        <v>53727</v>
      </c>
      <c r="W2127" s="249">
        <v>2.3716740348638073E-2</v>
      </c>
      <c r="X2127" s="246">
        <v>2.3633398256235338E-2</v>
      </c>
    </row>
    <row r="2128" spans="20:24" x14ac:dyDescent="0.2">
      <c r="T2128" s="247" t="str">
        <f t="shared" si="37"/>
        <v>1w</v>
      </c>
      <c r="U2128" s="245">
        <f>_xll.qlCalendarAdvance(Calendar,U2127,T2128,"f",FALSE)</f>
        <v>53730</v>
      </c>
      <c r="V2128" s="248">
        <f>_xll.qlCalendarAdvance(Calendar,U2128,NDays&amp;"D")</f>
        <v>53734</v>
      </c>
      <c r="W2128" s="249">
        <v>2.3718776200869485E-2</v>
      </c>
      <c r="X2128" s="246">
        <v>2.3635536410528957E-2</v>
      </c>
    </row>
    <row r="2129" spans="20:24" x14ac:dyDescent="0.2">
      <c r="T2129" s="247" t="str">
        <f t="shared" si="37"/>
        <v>1w</v>
      </c>
      <c r="U2129" s="245">
        <f>_xll.qlCalendarAdvance(Calendar,U2128,T2129,"f",FALSE)</f>
        <v>53737</v>
      </c>
      <c r="V2129" s="248">
        <f>_xll.qlCalendarAdvance(Calendar,U2129,NDays&amp;"D")</f>
        <v>53741</v>
      </c>
      <c r="W2129" s="249">
        <v>2.3720794168390923E-2</v>
      </c>
      <c r="X2129" s="246">
        <v>2.3637656784485372E-2</v>
      </c>
    </row>
    <row r="2130" spans="20:24" x14ac:dyDescent="0.2">
      <c r="T2130" s="247" t="str">
        <f t="shared" ref="T2130:T2193" si="38">T2129</f>
        <v>1w</v>
      </c>
      <c r="U2130" s="245">
        <f>_xll.qlCalendarAdvance(Calendar,U2129,T2130,"f",FALSE)</f>
        <v>53744</v>
      </c>
      <c r="V2130" s="248">
        <f>_xll.qlCalendarAdvance(Calendar,U2130,NDays&amp;"D")</f>
        <v>53748</v>
      </c>
      <c r="W2130" s="249">
        <v>2.3722794251177785E-2</v>
      </c>
      <c r="X2130" s="246">
        <v>2.3639759378104586E-2</v>
      </c>
    </row>
    <row r="2131" spans="20:24" x14ac:dyDescent="0.2">
      <c r="T2131" s="247" t="str">
        <f t="shared" si="38"/>
        <v>1w</v>
      </c>
      <c r="U2131" s="245">
        <f>_xll.qlCalendarAdvance(Calendar,U2130,T2131,"f",FALSE)</f>
        <v>53751</v>
      </c>
      <c r="V2131" s="248">
        <f>_xll.qlCalendarAdvance(Calendar,U2131,NDays&amp;"D")</f>
        <v>53755</v>
      </c>
      <c r="W2131" s="249">
        <v>2.3725694792217138E-2</v>
      </c>
      <c r="X2131" s="246">
        <v>2.3641844191546468E-2</v>
      </c>
    </row>
    <row r="2132" spans="20:24" x14ac:dyDescent="0.2">
      <c r="T2132" s="247" t="str">
        <f t="shared" si="38"/>
        <v>1w</v>
      </c>
      <c r="U2132" s="245">
        <f>_xll.qlCalendarAdvance(Calendar,U2131,T2132,"f",FALSE)</f>
        <v>53758</v>
      </c>
      <c r="V2132" s="248">
        <f>_xll.qlCalendarAdvance(Calendar,U2132,NDays&amp;"D")</f>
        <v>53762</v>
      </c>
      <c r="W2132" s="249">
        <v>2.3727657956957474E-2</v>
      </c>
      <c r="X2132" s="246">
        <v>2.3643911224571212E-2</v>
      </c>
    </row>
    <row r="2133" spans="20:24" x14ac:dyDescent="0.2">
      <c r="T2133" s="247" t="str">
        <f t="shared" si="38"/>
        <v>1w</v>
      </c>
      <c r="U2133" s="245">
        <f>_xll.qlCalendarAdvance(Calendar,U2132,T2133,"f",FALSE)</f>
        <v>53765</v>
      </c>
      <c r="V2133" s="248">
        <f>_xll.qlCalendarAdvance(Calendar,U2133,NDays&amp;"D")</f>
        <v>53769</v>
      </c>
      <c r="W2133" s="249">
        <v>2.372960323571555E-2</v>
      </c>
      <c r="X2133" s="246">
        <v>2.3645960477258754E-2</v>
      </c>
    </row>
    <row r="2134" spans="20:24" x14ac:dyDescent="0.2">
      <c r="T2134" s="247" t="str">
        <f t="shared" si="38"/>
        <v>1w</v>
      </c>
      <c r="U2134" s="245">
        <f>_xll.qlCalendarAdvance(Calendar,U2133,T2134,"f",FALSE)</f>
        <v>53772</v>
      </c>
      <c r="V2134" s="248">
        <f>_xll.qlCalendarAdvance(Calendar,U2134,NDays&amp;"D")</f>
        <v>53776</v>
      </c>
      <c r="W2134" s="249">
        <v>2.373153062846443E-2</v>
      </c>
      <c r="X2134" s="246">
        <v>2.3647991949689029E-2</v>
      </c>
    </row>
    <row r="2135" spans="20:24" x14ac:dyDescent="0.2">
      <c r="T2135" s="247" t="str">
        <f t="shared" si="38"/>
        <v>1w</v>
      </c>
      <c r="U2135" s="245">
        <f>_xll.qlCalendarAdvance(Calendar,U2134,T2135,"f",FALSE)</f>
        <v>53779</v>
      </c>
      <c r="V2135" s="248">
        <f>_xll.qlCalendarAdvance(Calendar,U2135,NDays&amp;"D")</f>
        <v>53783</v>
      </c>
      <c r="W2135" s="249">
        <v>2.3732526393144823E-2</v>
      </c>
      <c r="X2135" s="246">
        <v>2.3650005641862037E-2</v>
      </c>
    </row>
    <row r="2136" spans="20:24" x14ac:dyDescent="0.2">
      <c r="T2136" s="247" t="str">
        <f t="shared" si="38"/>
        <v>1w</v>
      </c>
      <c r="U2136" s="245">
        <f>_xll.qlCalendarAdvance(Calendar,U2135,T2136,"f",FALSE)</f>
        <v>53786</v>
      </c>
      <c r="V2136" s="248">
        <f>_xll.qlCalendarAdvance(Calendar,U2136,NDays&amp;"D")</f>
        <v>53790</v>
      </c>
      <c r="W2136" s="249">
        <v>2.3734419166961184E-2</v>
      </c>
      <c r="X2136" s="246">
        <v>2.3652001553697843E-2</v>
      </c>
    </row>
    <row r="2137" spans="20:24" x14ac:dyDescent="0.2">
      <c r="T2137" s="247" t="str">
        <f t="shared" si="38"/>
        <v>1w</v>
      </c>
      <c r="U2137" s="245">
        <f>_xll.qlCalendarAdvance(Calendar,U2136,T2137,"f",FALSE)</f>
        <v>53793</v>
      </c>
      <c r="V2137" s="248">
        <f>_xll.qlCalendarAdvance(Calendar,U2137,NDays&amp;"D")</f>
        <v>53799</v>
      </c>
      <c r="W2137" s="249">
        <v>2.3736826453410485E-2</v>
      </c>
      <c r="X2137" s="246">
        <v>2.3654541599871237E-2</v>
      </c>
    </row>
    <row r="2138" spans="20:24" x14ac:dyDescent="0.2">
      <c r="T2138" s="247" t="str">
        <f t="shared" si="38"/>
        <v>1w</v>
      </c>
      <c r="U2138" s="245">
        <f>_xll.qlCalendarAdvance(Calendar,U2137,T2138,"f",FALSE)</f>
        <v>53800</v>
      </c>
      <c r="V2138" s="248">
        <f>_xll.qlCalendarAdvance(Calendar,U2138,NDays&amp;"D")</f>
        <v>53804</v>
      </c>
      <c r="W2138" s="249">
        <v>2.3738151059809556E-2</v>
      </c>
      <c r="X2138" s="246">
        <v>2.3655940036437784E-2</v>
      </c>
    </row>
    <row r="2139" spans="20:24" x14ac:dyDescent="0.2">
      <c r="T2139" s="247" t="str">
        <f t="shared" si="38"/>
        <v>1w</v>
      </c>
      <c r="U2139" s="245">
        <f>_xll.qlCalendarAdvance(Calendar,U2138,T2139,"f",FALSE)</f>
        <v>53807</v>
      </c>
      <c r="V2139" s="248">
        <f>_xll.qlCalendarAdvance(Calendar,U2139,NDays&amp;"D")</f>
        <v>53811</v>
      </c>
      <c r="W2139" s="249">
        <v>2.3739990178792376E-2</v>
      </c>
      <c r="X2139" s="246">
        <v>2.3657882607421854E-2</v>
      </c>
    </row>
    <row r="2140" spans="20:24" x14ac:dyDescent="0.2">
      <c r="T2140" s="247" t="str">
        <f t="shared" si="38"/>
        <v>1w</v>
      </c>
      <c r="U2140" s="245">
        <f>_xll.qlCalendarAdvance(Calendar,U2139,T2140,"f",FALSE)</f>
        <v>53814</v>
      </c>
      <c r="V2140" s="248">
        <f>_xll.qlCalendarAdvance(Calendar,U2140,NDays&amp;"D")</f>
        <v>53818</v>
      </c>
      <c r="W2140" s="249">
        <v>2.3742719377320542E-2</v>
      </c>
      <c r="X2140" s="246">
        <v>2.3659807398068722E-2</v>
      </c>
    </row>
    <row r="2141" spans="20:24" x14ac:dyDescent="0.2">
      <c r="T2141" s="247" t="str">
        <f t="shared" si="38"/>
        <v>1w</v>
      </c>
      <c r="U2141" s="245">
        <f>_xll.qlCalendarAdvance(Calendar,U2140,T2141,"f",FALSE)</f>
        <v>53821</v>
      </c>
      <c r="V2141" s="248">
        <f>_xll.qlCalendarAdvance(Calendar,U2141,NDays&amp;"D")</f>
        <v>53825</v>
      </c>
      <c r="W2141" s="249">
        <v>2.3744521567285629E-2</v>
      </c>
      <c r="X2141" s="246">
        <v>2.3661714408378387E-2</v>
      </c>
    </row>
    <row r="2142" spans="20:24" x14ac:dyDescent="0.2">
      <c r="T2142" s="247" t="str">
        <f t="shared" si="38"/>
        <v>1w</v>
      </c>
      <c r="U2142" s="245">
        <f>_xll.qlCalendarAdvance(Calendar,U2141,T2142,"f",FALSE)</f>
        <v>53828</v>
      </c>
      <c r="V2142" s="248">
        <f>_xll.qlCalendarAdvance(Calendar,U2142,NDays&amp;"D")</f>
        <v>53832</v>
      </c>
      <c r="W2142" s="249">
        <v>2.3746305871039076E-2</v>
      </c>
      <c r="X2142" s="246">
        <v>2.3663603638430786E-2</v>
      </c>
    </row>
    <row r="2143" spans="20:24" x14ac:dyDescent="0.2">
      <c r="T2143" s="247" t="str">
        <f t="shared" si="38"/>
        <v>1w</v>
      </c>
      <c r="U2143" s="245">
        <f>_xll.qlCalendarAdvance(Calendar,U2142,T2143,"f",FALSE)</f>
        <v>53835</v>
      </c>
      <c r="V2143" s="248">
        <f>_xll.qlCalendarAdvance(Calendar,U2143,NDays&amp;"D")</f>
        <v>53839</v>
      </c>
      <c r="W2143" s="249">
        <v>2.3748072288555681E-2</v>
      </c>
      <c r="X2143" s="246">
        <v>2.3665475088225918E-2</v>
      </c>
    </row>
    <row r="2144" spans="20:24" x14ac:dyDescent="0.2">
      <c r="T2144" s="247" t="str">
        <f t="shared" si="38"/>
        <v>1w</v>
      </c>
      <c r="U2144" s="245">
        <f>_xll.qlCalendarAdvance(Calendar,U2143,T2144,"f",FALSE)</f>
        <v>53842</v>
      </c>
      <c r="V2144" s="248">
        <f>_xll.qlCalendarAdvance(Calendar,U2144,NDays&amp;"D")</f>
        <v>53846</v>
      </c>
      <c r="W2144" s="249">
        <v>2.3749820819813725E-2</v>
      </c>
      <c r="X2144" s="246">
        <v>2.3667328757603912E-2</v>
      </c>
    </row>
    <row r="2145" spans="20:24" x14ac:dyDescent="0.2">
      <c r="T2145" s="247" t="str">
        <f t="shared" si="38"/>
        <v>1w</v>
      </c>
      <c r="U2145" s="245">
        <f>_xll.qlCalendarAdvance(Calendar,U2144,T2145,"f",FALSE)</f>
        <v>53849</v>
      </c>
      <c r="V2145" s="248">
        <f>_xll.qlCalendarAdvance(Calendar,U2145,NDays&amp;"D")</f>
        <v>53853</v>
      </c>
      <c r="W2145" s="249">
        <v>2.3751551464784536E-2</v>
      </c>
      <c r="X2145" s="246">
        <v>2.3669164646644703E-2</v>
      </c>
    </row>
    <row r="2146" spans="20:24" x14ac:dyDescent="0.2">
      <c r="T2146" s="247" t="str">
        <f t="shared" si="38"/>
        <v>1w</v>
      </c>
      <c r="U2146" s="245">
        <f>_xll.qlCalendarAdvance(Calendar,U2145,T2146,"f",FALSE)</f>
        <v>53856</v>
      </c>
      <c r="V2146" s="248">
        <f>_xll.qlCalendarAdvance(Calendar,U2146,NDays&amp;"D")</f>
        <v>53860</v>
      </c>
      <c r="W2146" s="249">
        <v>2.3753264223448128E-2</v>
      </c>
      <c r="X2146" s="246">
        <v>2.3670982755508163E-2</v>
      </c>
    </row>
    <row r="2147" spans="20:24" x14ac:dyDescent="0.2">
      <c r="T2147" s="247" t="str">
        <f t="shared" si="38"/>
        <v>1w</v>
      </c>
      <c r="U2147" s="245">
        <f>_xll.qlCalendarAdvance(Calendar,U2146,T2147,"f",FALSE)</f>
        <v>53863</v>
      </c>
      <c r="V2147" s="248">
        <f>_xll.qlCalendarAdvance(Calendar,U2147,NDays&amp;"D")</f>
        <v>53867</v>
      </c>
      <c r="W2147" s="249">
        <v>2.3754959095781913E-2</v>
      </c>
      <c r="X2147" s="246">
        <v>2.3672783084034421E-2</v>
      </c>
    </row>
    <row r="2148" spans="20:24" x14ac:dyDescent="0.2">
      <c r="T2148" s="247" t="str">
        <f t="shared" si="38"/>
        <v>1w</v>
      </c>
      <c r="U2148" s="245">
        <f>_xll.qlCalendarAdvance(Calendar,U2147,T2148,"f",FALSE)</f>
        <v>53870</v>
      </c>
      <c r="V2148" s="248">
        <f>_xll.qlCalendarAdvance(Calendar,U2148,NDays&amp;"D")</f>
        <v>53874</v>
      </c>
      <c r="W2148" s="249">
        <v>2.3756636081759822E-2</v>
      </c>
      <c r="X2148" s="246">
        <v>2.3674565632223477E-2</v>
      </c>
    </row>
    <row r="2149" spans="20:24" x14ac:dyDescent="0.2">
      <c r="T2149" s="247" t="str">
        <f t="shared" si="38"/>
        <v>1w</v>
      </c>
      <c r="U2149" s="245">
        <f>_xll.qlCalendarAdvance(Calendar,U2148,T2149,"f",FALSE)</f>
        <v>53877</v>
      </c>
      <c r="V2149" s="248">
        <f>_xll.qlCalendarAdvance(Calendar,U2149,NDays&amp;"D")</f>
        <v>53881</v>
      </c>
      <c r="W2149" s="249">
        <v>2.3758295181361001E-2</v>
      </c>
      <c r="X2149" s="246">
        <v>2.3676330400075329E-2</v>
      </c>
    </row>
    <row r="2150" spans="20:24" x14ac:dyDescent="0.2">
      <c r="T2150" s="247" t="str">
        <f t="shared" si="38"/>
        <v>1w</v>
      </c>
      <c r="U2150" s="245">
        <f>_xll.qlCalendarAdvance(Calendar,U2149,T2150,"f",FALSE)</f>
        <v>53884</v>
      </c>
      <c r="V2150" s="248">
        <f>_xll.qlCalendarAdvance(Calendar,U2150,NDays&amp;"D")</f>
        <v>53888</v>
      </c>
      <c r="W2150" s="249">
        <v>2.3759936394562867E-2</v>
      </c>
      <c r="X2150" s="246">
        <v>2.3678077387749852E-2</v>
      </c>
    </row>
    <row r="2151" spans="20:24" x14ac:dyDescent="0.2">
      <c r="T2151" s="247" t="str">
        <f t="shared" si="38"/>
        <v>1w</v>
      </c>
      <c r="U2151" s="245">
        <f>_xll.qlCalendarAdvance(Calendar,U2150,T2151,"f",FALSE)</f>
        <v>53891</v>
      </c>
      <c r="V2151" s="248">
        <f>_xll.qlCalendarAdvance(Calendar,U2151,NDays&amp;"D")</f>
        <v>53895</v>
      </c>
      <c r="W2151" s="249">
        <v>2.3761559721341953E-2</v>
      </c>
      <c r="X2151" s="246">
        <v>2.3679806595087172E-2</v>
      </c>
    </row>
    <row r="2152" spans="20:24" x14ac:dyDescent="0.2">
      <c r="T2152" s="247" t="str">
        <f t="shared" si="38"/>
        <v>1w</v>
      </c>
      <c r="U2152" s="245">
        <f>_xll.qlCalendarAdvance(Calendar,U2151,T2152,"f",FALSE)</f>
        <v>53898</v>
      </c>
      <c r="V2152" s="248">
        <f>_xll.qlCalendarAdvance(Calendar,U2152,NDays&amp;"D")</f>
        <v>53902</v>
      </c>
      <c r="W2152" s="249">
        <v>2.3763165161675669E-2</v>
      </c>
      <c r="X2152" s="246">
        <v>2.3681518021927417E-2</v>
      </c>
    </row>
    <row r="2153" spans="20:24" x14ac:dyDescent="0.2">
      <c r="T2153" s="247" t="str">
        <f t="shared" si="38"/>
        <v>1w</v>
      </c>
      <c r="U2153" s="245">
        <f>_xll.qlCalendarAdvance(Calendar,U2152,T2153,"f",FALSE)</f>
        <v>53905</v>
      </c>
      <c r="V2153" s="248">
        <f>_xll.qlCalendarAdvance(Calendar,U2153,NDays&amp;"D")</f>
        <v>53909</v>
      </c>
      <c r="W2153" s="249">
        <v>2.3764752715544034E-2</v>
      </c>
      <c r="X2153" s="246">
        <v>2.3683211668670268E-2</v>
      </c>
    </row>
    <row r="2154" spans="20:24" x14ac:dyDescent="0.2">
      <c r="T2154" s="247" t="str">
        <f t="shared" si="38"/>
        <v>1w</v>
      </c>
      <c r="U2154" s="245">
        <f>_xll.qlCalendarAdvance(Calendar,U2153,T2154,"f",FALSE)</f>
        <v>53912</v>
      </c>
      <c r="V2154" s="248">
        <f>_xll.qlCalendarAdvance(Calendar,U2154,NDays&amp;"D")</f>
        <v>53916</v>
      </c>
      <c r="W2154" s="249">
        <v>2.3766322382924455E-2</v>
      </c>
      <c r="X2154" s="246">
        <v>2.3684887535075916E-2</v>
      </c>
    </row>
    <row r="2155" spans="20:24" x14ac:dyDescent="0.2">
      <c r="T2155" s="247" t="str">
        <f t="shared" si="38"/>
        <v>1w</v>
      </c>
      <c r="U2155" s="245">
        <f>_xll.qlCalendarAdvance(Calendar,U2154,T2155,"f",FALSE)</f>
        <v>53919</v>
      </c>
      <c r="V2155" s="248">
        <f>_xll.qlCalendarAdvance(Calendar,U2155,NDays&amp;"D")</f>
        <v>53923</v>
      </c>
      <c r="W2155" s="249">
        <v>2.3767874163796953E-2</v>
      </c>
      <c r="X2155" s="246">
        <v>2.3686545621064425E-2</v>
      </c>
    </row>
    <row r="2156" spans="20:24" x14ac:dyDescent="0.2">
      <c r="T2156" s="247" t="str">
        <f t="shared" si="38"/>
        <v>1w</v>
      </c>
      <c r="U2156" s="245">
        <f>_xll.qlCalendarAdvance(Calendar,U2155,T2156,"f",FALSE)</f>
        <v>53926</v>
      </c>
      <c r="V2156" s="248">
        <f>_xll.qlCalendarAdvance(Calendar,U2156,NDays&amp;"D")</f>
        <v>53930</v>
      </c>
      <c r="W2156" s="249">
        <v>2.3769408058137192E-2</v>
      </c>
      <c r="X2156" s="246">
        <v>2.3688185926795668E-2</v>
      </c>
    </row>
    <row r="2157" spans="20:24" x14ac:dyDescent="0.2">
      <c r="T2157" s="247" t="str">
        <f t="shared" si="38"/>
        <v>1w</v>
      </c>
      <c r="U2157" s="245">
        <f>_xll.qlCalendarAdvance(Calendar,U2156,T2157,"f",FALSE)</f>
        <v>53933</v>
      </c>
      <c r="V2157" s="248">
        <f>_xll.qlCalendarAdvance(Calendar,U2157,NDays&amp;"D")</f>
        <v>53937</v>
      </c>
      <c r="W2157" s="249">
        <v>2.3770035963597575E-2</v>
      </c>
      <c r="X2157" s="246">
        <v>2.3689808452349581E-2</v>
      </c>
    </row>
    <row r="2158" spans="20:24" x14ac:dyDescent="0.2">
      <c r="T2158" s="247" t="str">
        <f t="shared" si="38"/>
        <v>1w</v>
      </c>
      <c r="U2158" s="245">
        <f>_xll.qlCalendarAdvance(Calendar,U2157,T2158,"f",FALSE)</f>
        <v>53940</v>
      </c>
      <c r="V2158" s="248">
        <f>_xll.qlCalendarAdvance(Calendar,U2158,NDays&amp;"D")</f>
        <v>53944</v>
      </c>
      <c r="W2158" s="249">
        <v>2.3771535263723383E-2</v>
      </c>
      <c r="X2158" s="246">
        <v>2.3691413197486355E-2</v>
      </c>
    </row>
    <row r="2159" spans="20:24" x14ac:dyDescent="0.2">
      <c r="T2159" s="247" t="str">
        <f t="shared" si="38"/>
        <v>1w</v>
      </c>
      <c r="U2159" s="245">
        <f>_xll.qlCalendarAdvance(Calendar,U2158,T2159,"f",FALSE)</f>
        <v>53947</v>
      </c>
      <c r="V2159" s="248">
        <f>_xll.qlCalendarAdvance(Calendar,U2159,NDays&amp;"D")</f>
        <v>53951</v>
      </c>
      <c r="W2159" s="249">
        <v>2.3773016678429456E-2</v>
      </c>
      <c r="X2159" s="246">
        <v>2.3693000162285927E-2</v>
      </c>
    </row>
    <row r="2160" spans="20:24" x14ac:dyDescent="0.2">
      <c r="T2160" s="247" t="str">
        <f t="shared" si="38"/>
        <v>1w</v>
      </c>
      <c r="U2160" s="245">
        <f>_xll.qlCalendarAdvance(Calendar,U2159,T2160,"f",FALSE)</f>
        <v>53954</v>
      </c>
      <c r="V2160" s="248">
        <f>_xll.qlCalendarAdvance(Calendar,U2160,NDays&amp;"D")</f>
        <v>53958</v>
      </c>
      <c r="W2160" s="249">
        <v>2.3774480207695584E-2</v>
      </c>
      <c r="X2160" s="246">
        <v>2.3694569346908168E-2</v>
      </c>
    </row>
    <row r="2161" spans="20:24" x14ac:dyDescent="0.2">
      <c r="T2161" s="247" t="str">
        <f t="shared" si="38"/>
        <v>1w</v>
      </c>
      <c r="U2161" s="245">
        <f>_xll.qlCalendarAdvance(Calendar,U2160,T2161,"f",FALSE)</f>
        <v>53961</v>
      </c>
      <c r="V2161" s="248">
        <f>_xll.qlCalendarAdvance(Calendar,U2161,NDays&amp;"D")</f>
        <v>53965</v>
      </c>
      <c r="W2161" s="249">
        <v>2.3776809231161204E-2</v>
      </c>
      <c r="X2161" s="246">
        <v>2.3696120751033334E-2</v>
      </c>
    </row>
    <row r="2162" spans="20:24" x14ac:dyDescent="0.2">
      <c r="T2162" s="247" t="str">
        <f t="shared" si="38"/>
        <v>1w</v>
      </c>
      <c r="U2162" s="245">
        <f>_xll.qlCalendarAdvance(Calendar,U2161,T2162,"f",FALSE)</f>
        <v>53968</v>
      </c>
      <c r="V2162" s="248">
        <f>_xll.qlCalendarAdvance(Calendar,U2162,NDays&amp;"D")</f>
        <v>53972</v>
      </c>
      <c r="W2162" s="249">
        <v>2.3778235805889118E-2</v>
      </c>
      <c r="X2162" s="246">
        <v>2.369765437498117E-2</v>
      </c>
    </row>
    <row r="2163" spans="20:24" x14ac:dyDescent="0.2">
      <c r="T2163" s="247" t="str">
        <f t="shared" si="38"/>
        <v>1w</v>
      </c>
      <c r="U2163" s="245">
        <f>_xll.qlCalendarAdvance(Calendar,U2162,T2163,"f",FALSE)</f>
        <v>53975</v>
      </c>
      <c r="V2163" s="248">
        <f>_xll.qlCalendarAdvance(Calendar,U2163,NDays&amp;"D")</f>
        <v>53979</v>
      </c>
      <c r="W2163" s="249">
        <v>2.3779644493944017E-2</v>
      </c>
      <c r="X2163" s="246">
        <v>2.3699170218511867E-2</v>
      </c>
    </row>
    <row r="2164" spans="20:24" x14ac:dyDescent="0.2">
      <c r="T2164" s="247" t="str">
        <f t="shared" si="38"/>
        <v>1w</v>
      </c>
      <c r="U2164" s="245">
        <f>_xll.qlCalendarAdvance(Calendar,U2163,T2164,"f",FALSE)</f>
        <v>53982</v>
      </c>
      <c r="V2164" s="248">
        <f>_xll.qlCalendarAdvance(Calendar,U2164,NDays&amp;"D")</f>
        <v>53986</v>
      </c>
      <c r="W2164" s="249">
        <v>2.3781035295309397E-2</v>
      </c>
      <c r="X2164" s="246">
        <v>2.3700668281865234E-2</v>
      </c>
    </row>
    <row r="2165" spans="20:24" x14ac:dyDescent="0.2">
      <c r="T2165" s="247" t="str">
        <f t="shared" si="38"/>
        <v>1w</v>
      </c>
      <c r="U2165" s="245">
        <f>_xll.qlCalendarAdvance(Calendar,U2164,T2165,"f",FALSE)</f>
        <v>53989</v>
      </c>
      <c r="V2165" s="248">
        <f>_xll.qlCalendarAdvance(Calendar,U2165,NDays&amp;"D")</f>
        <v>53993</v>
      </c>
      <c r="W2165" s="249">
        <v>2.3782408209965269E-2</v>
      </c>
      <c r="X2165" s="246">
        <v>2.3702148564881398E-2</v>
      </c>
    </row>
    <row r="2166" spans="20:24" x14ac:dyDescent="0.2">
      <c r="T2166" s="247" t="str">
        <f t="shared" si="38"/>
        <v>1w</v>
      </c>
      <c r="U2166" s="245">
        <f>_xll.qlCalendarAdvance(Calendar,U2165,T2166,"f",FALSE)</f>
        <v>53996</v>
      </c>
      <c r="V2166" s="248">
        <f>_xll.qlCalendarAdvance(Calendar,U2166,NDays&amp;"D")</f>
        <v>54000</v>
      </c>
      <c r="W2166" s="249">
        <v>2.3783763237891657E-2</v>
      </c>
      <c r="X2166" s="246">
        <v>2.370361106756036E-2</v>
      </c>
    </row>
    <row r="2167" spans="20:24" x14ac:dyDescent="0.2">
      <c r="T2167" s="247" t="str">
        <f t="shared" si="38"/>
        <v>1w</v>
      </c>
      <c r="U2167" s="245">
        <f>_xll.qlCalendarAdvance(Calendar,U2166,T2167,"f",FALSE)</f>
        <v>54003</v>
      </c>
      <c r="V2167" s="248">
        <f>_xll.qlCalendarAdvance(Calendar,U2167,NDays&amp;"D")</f>
        <v>54007</v>
      </c>
      <c r="W2167" s="249">
        <v>2.3785100379071177E-2</v>
      </c>
      <c r="X2167" s="246">
        <v>2.3705055789902119E-2</v>
      </c>
    </row>
    <row r="2168" spans="20:24" x14ac:dyDescent="0.2">
      <c r="T2168" s="247" t="str">
        <f t="shared" si="38"/>
        <v>1w</v>
      </c>
      <c r="U2168" s="245">
        <f>_xll.qlCalendarAdvance(Calendar,U2167,T2168,"f",FALSE)</f>
        <v>54010</v>
      </c>
      <c r="V2168" s="248">
        <f>_xll.qlCalendarAdvance(Calendar,U2168,NDays&amp;"D")</f>
        <v>54014</v>
      </c>
      <c r="W2168" s="249">
        <v>2.3786419633485583E-2</v>
      </c>
      <c r="X2168" s="246">
        <v>2.3706482731986611E-2</v>
      </c>
    </row>
    <row r="2169" spans="20:24" x14ac:dyDescent="0.2">
      <c r="T2169" s="247" t="str">
        <f t="shared" si="38"/>
        <v>1w</v>
      </c>
      <c r="U2169" s="245">
        <f>_xll.qlCalendarAdvance(Calendar,U2168,T2169,"f",FALSE)</f>
        <v>54017</v>
      </c>
      <c r="V2169" s="248">
        <f>_xll.qlCalendarAdvance(Calendar,U2169,NDays&amp;"D")</f>
        <v>54021</v>
      </c>
      <c r="W2169" s="249">
        <v>2.37877210011175E-2</v>
      </c>
      <c r="X2169" s="246">
        <v>2.3707891893733901E-2</v>
      </c>
    </row>
    <row r="2170" spans="20:24" x14ac:dyDescent="0.2">
      <c r="T2170" s="247" t="str">
        <f t="shared" si="38"/>
        <v>1w</v>
      </c>
      <c r="U2170" s="245">
        <f>_xll.qlCalendarAdvance(Calendar,U2169,T2170,"f",FALSE)</f>
        <v>54024</v>
      </c>
      <c r="V2170" s="248">
        <f>_xll.qlCalendarAdvance(Calendar,U2170,NDays&amp;"D")</f>
        <v>54028</v>
      </c>
      <c r="W2170" s="249">
        <v>2.3788131796962084E-2</v>
      </c>
      <c r="X2170" s="246">
        <v>2.3709283275143989E-2</v>
      </c>
    </row>
    <row r="2171" spans="20:24" x14ac:dyDescent="0.2">
      <c r="T2171" s="247" t="str">
        <f t="shared" si="38"/>
        <v>1w</v>
      </c>
      <c r="U2171" s="245">
        <f>_xll.qlCalendarAdvance(Calendar,U2170,T2171,"f",FALSE)</f>
        <v>54031</v>
      </c>
      <c r="V2171" s="248">
        <f>_xll.qlCalendarAdvance(Calendar,U2171,NDays&amp;"D")</f>
        <v>54035</v>
      </c>
      <c r="W2171" s="249">
        <v>2.3789398585144127E-2</v>
      </c>
      <c r="X2171" s="246">
        <v>2.3710656876376746E-2</v>
      </c>
    </row>
    <row r="2172" spans="20:24" x14ac:dyDescent="0.2">
      <c r="T2172" s="247" t="str">
        <f t="shared" si="38"/>
        <v>1w</v>
      </c>
      <c r="U2172" s="245">
        <f>_xll.qlCalendarAdvance(Calendar,U2171,T2172,"f",FALSE)</f>
        <v>54038</v>
      </c>
      <c r="V2172" s="248">
        <f>_xll.qlCalendarAdvance(Calendar,U2172,NDays&amp;"D")</f>
        <v>54042</v>
      </c>
      <c r="W2172" s="249">
        <v>2.3790647487664868E-2</v>
      </c>
      <c r="X2172" s="246">
        <v>2.3712012697112428E-2</v>
      </c>
    </row>
    <row r="2173" spans="20:24" x14ac:dyDescent="0.2">
      <c r="T2173" s="247" t="str">
        <f t="shared" si="38"/>
        <v>1w</v>
      </c>
      <c r="U2173" s="245">
        <f>_xll.qlCalendarAdvance(Calendar,U2172,T2173,"f",FALSE)</f>
        <v>54045</v>
      </c>
      <c r="V2173" s="248">
        <f>_xll.qlCalendarAdvance(Calendar,U2173,NDays&amp;"D")</f>
        <v>54049</v>
      </c>
      <c r="W2173" s="249">
        <v>2.3791878504508496E-2</v>
      </c>
      <c r="X2173" s="246">
        <v>2.371335073767078E-2</v>
      </c>
    </row>
    <row r="2174" spans="20:24" x14ac:dyDescent="0.2">
      <c r="T2174" s="247" t="str">
        <f t="shared" si="38"/>
        <v>1w</v>
      </c>
      <c r="U2174" s="245">
        <f>_xll.qlCalendarAdvance(Calendar,U2173,T2174,"f",FALSE)</f>
        <v>54053</v>
      </c>
      <c r="V2174" s="248">
        <f>_xll.qlCalendarAdvance(Calendar,U2174,NDays&amp;"D")</f>
        <v>54057</v>
      </c>
      <c r="W2174" s="249">
        <v>2.3793263480051976E-2</v>
      </c>
      <c r="X2174" s="246">
        <v>2.371573266176874E-2</v>
      </c>
    </row>
    <row r="2175" spans="20:24" x14ac:dyDescent="0.2">
      <c r="T2175" s="247" t="str">
        <f t="shared" si="38"/>
        <v>1w</v>
      </c>
      <c r="U2175" s="245">
        <f>_xll.qlCalendarAdvance(Calendar,U2174,T2175,"f",FALSE)</f>
        <v>54060</v>
      </c>
      <c r="V2175" s="248">
        <f>_xll.qlCalendarAdvance(Calendar,U2175,NDays&amp;"D")</f>
        <v>54064</v>
      </c>
      <c r="W2175" s="249">
        <v>2.3794456170387921E-2</v>
      </c>
      <c r="X2175" s="246">
        <v>2.371615809481753E-2</v>
      </c>
    </row>
    <row r="2176" spans="20:24" x14ac:dyDescent="0.2">
      <c r="T2176" s="247" t="str">
        <f t="shared" si="38"/>
        <v>1w</v>
      </c>
      <c r="U2176" s="245">
        <f>_xll.qlCalendarAdvance(Calendar,U2175,T2176,"f",FALSE)</f>
        <v>54067</v>
      </c>
      <c r="V2176" s="248">
        <f>_xll.qlCalendarAdvance(Calendar,U2176,NDays&amp;"D")</f>
        <v>54071</v>
      </c>
      <c r="W2176" s="249">
        <v>2.379563097499756E-2</v>
      </c>
      <c r="X2176" s="246">
        <v>2.3717440254475974E-2</v>
      </c>
    </row>
    <row r="2177" spans="20:24" x14ac:dyDescent="0.2">
      <c r="T2177" s="247" t="str">
        <f t="shared" si="38"/>
        <v>1w</v>
      </c>
      <c r="U2177" s="245">
        <f>_xll.qlCalendarAdvance(Calendar,U2176,T2177,"f",FALSE)</f>
        <v>54074</v>
      </c>
      <c r="V2177" s="248">
        <f>_xll.qlCalendarAdvance(Calendar,U2177,NDays&amp;"D")</f>
        <v>54078</v>
      </c>
      <c r="W2177" s="249">
        <v>2.3796787893861564E-2</v>
      </c>
      <c r="X2177" s="246">
        <v>2.3718704633637344E-2</v>
      </c>
    </row>
    <row r="2178" spans="20:24" x14ac:dyDescent="0.2">
      <c r="T2178" s="247" t="str">
        <f t="shared" si="38"/>
        <v>1w</v>
      </c>
      <c r="U2178" s="245">
        <f>_xll.qlCalendarAdvance(Calendar,U2177,T2178,"f",FALSE)</f>
        <v>54081</v>
      </c>
      <c r="V2178" s="248">
        <f>_xll.qlCalendarAdvance(Calendar,U2178,NDays&amp;"D")</f>
        <v>54085</v>
      </c>
      <c r="W2178" s="249">
        <v>2.3797926926965005E-2</v>
      </c>
      <c r="X2178" s="246">
        <v>2.3719951232541447E-2</v>
      </c>
    </row>
    <row r="2179" spans="20:24" x14ac:dyDescent="0.2">
      <c r="T2179" s="247" t="str">
        <f t="shared" si="38"/>
        <v>1w</v>
      </c>
      <c r="U2179" s="245">
        <f>_xll.qlCalendarAdvance(Calendar,U2178,T2179,"f",FALSE)</f>
        <v>54088</v>
      </c>
      <c r="V2179" s="248">
        <f>_xll.qlCalendarAdvance(Calendar,U2179,NDays&amp;"D")</f>
        <v>54092</v>
      </c>
      <c r="W2179" s="249">
        <v>2.3798186274146538E-2</v>
      </c>
      <c r="X2179" s="246">
        <v>2.3721180051108348E-2</v>
      </c>
    </row>
    <row r="2180" spans="20:24" x14ac:dyDescent="0.2">
      <c r="T2180" s="247" t="str">
        <f t="shared" si="38"/>
        <v>1w</v>
      </c>
      <c r="U2180" s="245">
        <f>_xll.qlCalendarAdvance(Calendar,U2179,T2180,"f",FALSE)</f>
        <v>54095</v>
      </c>
      <c r="V2180" s="248">
        <f>_xll.qlCalendarAdvance(Calendar,U2180,NDays&amp;"D")</f>
        <v>54099</v>
      </c>
      <c r="W2180" s="249">
        <v>2.3799290740441847E-2</v>
      </c>
      <c r="X2180" s="246">
        <v>2.3722391089417982E-2</v>
      </c>
    </row>
    <row r="2181" spans="20:24" x14ac:dyDescent="0.2">
      <c r="T2181" s="247" t="str">
        <f t="shared" si="38"/>
        <v>1w</v>
      </c>
      <c r="U2181" s="245">
        <f>_xll.qlCalendarAdvance(Calendar,U2180,T2181,"f",FALSE)</f>
        <v>54102</v>
      </c>
      <c r="V2181" s="248">
        <f>_xll.qlCalendarAdvance(Calendar,U2181,NDays&amp;"D")</f>
        <v>54106</v>
      </c>
      <c r="W2181" s="249">
        <v>2.3800377322109156E-2</v>
      </c>
      <c r="X2181" s="246">
        <v>2.372358434747035E-2</v>
      </c>
    </row>
    <row r="2182" spans="20:24" x14ac:dyDescent="0.2">
      <c r="T2182" s="247" t="str">
        <f t="shared" si="38"/>
        <v>1w</v>
      </c>
      <c r="U2182" s="245">
        <f>_xll.qlCalendarAdvance(Calendar,U2181,T2182,"f",FALSE)</f>
        <v>54109</v>
      </c>
      <c r="V2182" s="248">
        <f>_xll.qlCalendarAdvance(Calendar,U2182,NDays&amp;"D")</f>
        <v>54113</v>
      </c>
      <c r="W2182" s="249">
        <v>2.3801446019133365E-2</v>
      </c>
      <c r="X2182" s="246">
        <v>2.3724759825025643E-2</v>
      </c>
    </row>
    <row r="2183" spans="20:24" x14ac:dyDescent="0.2">
      <c r="T2183" s="247" t="str">
        <f t="shared" si="38"/>
        <v>1w</v>
      </c>
      <c r="U2183" s="245">
        <f>_xll.qlCalendarAdvance(Calendar,U2182,T2183,"f",FALSE)</f>
        <v>54116</v>
      </c>
      <c r="V2183" s="248">
        <f>_xll.qlCalendarAdvance(Calendar,U2183,NDays&amp;"D")</f>
        <v>54120</v>
      </c>
      <c r="W2183" s="249">
        <v>2.3804210701904065E-2</v>
      </c>
      <c r="X2183" s="246">
        <v>2.3725917522483542E-2</v>
      </c>
    </row>
    <row r="2184" spans="20:24" x14ac:dyDescent="0.2">
      <c r="T2184" s="247" t="str">
        <f t="shared" si="38"/>
        <v>1w</v>
      </c>
      <c r="U2184" s="245">
        <f>_xll.qlCalendarAdvance(Calendar,U2183,T2184,"f",FALSE)</f>
        <v>54123</v>
      </c>
      <c r="V2184" s="248">
        <f>_xll.qlCalendarAdvance(Calendar,U2184,NDays&amp;"D")</f>
        <v>54127</v>
      </c>
      <c r="W2184" s="249">
        <v>2.3805241210505125E-2</v>
      </c>
      <c r="X2184" s="246">
        <v>2.3727057439524302E-2</v>
      </c>
    </row>
    <row r="2185" spans="20:24" x14ac:dyDescent="0.2">
      <c r="T2185" s="247" t="str">
        <f t="shared" si="38"/>
        <v>1w</v>
      </c>
      <c r="U2185" s="245">
        <f>_xll.qlCalendarAdvance(Calendar,U2184,T2185,"f",FALSE)</f>
        <v>54130</v>
      </c>
      <c r="V2185" s="248">
        <f>_xll.qlCalendarAdvance(Calendar,U2185,NDays&amp;"D")</f>
        <v>54134</v>
      </c>
      <c r="W2185" s="249">
        <v>2.3806253832065642E-2</v>
      </c>
      <c r="X2185" s="246">
        <v>2.3728179576227859E-2</v>
      </c>
    </row>
    <row r="2186" spans="20:24" x14ac:dyDescent="0.2">
      <c r="T2186" s="247" t="str">
        <f t="shared" si="38"/>
        <v>1w</v>
      </c>
      <c r="U2186" s="245">
        <f>_xll.qlCalendarAdvance(Calendar,U2185,T2186,"f",FALSE)</f>
        <v>54137</v>
      </c>
      <c r="V2186" s="248">
        <f>_xll.qlCalendarAdvance(Calendar,U2186,NDays&amp;"D")</f>
        <v>54141</v>
      </c>
      <c r="W2186" s="249">
        <v>2.380724856657258E-2</v>
      </c>
      <c r="X2186" s="246">
        <v>2.3729283932594214E-2</v>
      </c>
    </row>
    <row r="2187" spans="20:24" x14ac:dyDescent="0.2">
      <c r="T2187" s="247" t="str">
        <f t="shared" si="38"/>
        <v>1w</v>
      </c>
      <c r="U2187" s="245">
        <f>_xll.qlCalendarAdvance(Calendar,U2186,T2187,"f",FALSE)</f>
        <v>54144</v>
      </c>
      <c r="V2187" s="248">
        <f>_xll.qlCalendarAdvance(Calendar,U2187,NDays&amp;"D")</f>
        <v>54148</v>
      </c>
      <c r="W2187" s="249">
        <v>2.3807373363242606E-2</v>
      </c>
      <c r="X2187" s="246">
        <v>2.3730370508703302E-2</v>
      </c>
    </row>
    <row r="2188" spans="20:24" x14ac:dyDescent="0.2">
      <c r="T2188" s="247" t="str">
        <f t="shared" si="38"/>
        <v>1w</v>
      </c>
      <c r="U2188" s="245">
        <f>_xll.qlCalendarAdvance(Calendar,U2187,T2188,"f",FALSE)</f>
        <v>54155</v>
      </c>
      <c r="V2188" s="248">
        <f>_xll.qlCalendarAdvance(Calendar,U2188,NDays&amp;"D")</f>
        <v>54157</v>
      </c>
      <c r="W2188" s="249">
        <v>2.3808604588400478E-2</v>
      </c>
      <c r="X2188" s="246">
        <v>2.3731741408976603E-2</v>
      </c>
    </row>
    <row r="2189" spans="20:24" x14ac:dyDescent="0.2">
      <c r="T2189" s="247" t="str">
        <f t="shared" si="38"/>
        <v>1w</v>
      </c>
      <c r="U2189" s="245">
        <f>_xll.qlCalendarAdvance(Calendar,U2188,T2189,"f",FALSE)</f>
        <v>54162</v>
      </c>
      <c r="V2189" s="248">
        <f>_xll.qlCalendarAdvance(Calendar,U2189,NDays&amp;"D")</f>
        <v>54164</v>
      </c>
      <c r="W2189" s="249">
        <v>2.3809541766919004E-2</v>
      </c>
      <c r="X2189" s="246">
        <v>2.3732787344314943E-2</v>
      </c>
    </row>
    <row r="2190" spans="20:24" x14ac:dyDescent="0.2">
      <c r="T2190" s="247" t="str">
        <f t="shared" si="38"/>
        <v>1w</v>
      </c>
      <c r="U2190" s="245">
        <f>_xll.qlCalendarAdvance(Calendar,U2189,T2190,"f",FALSE)</f>
        <v>54169</v>
      </c>
      <c r="V2190" s="248">
        <f>_xll.qlCalendarAdvance(Calendar,U2190,NDays&amp;"D")</f>
        <v>54171</v>
      </c>
      <c r="W2190" s="249">
        <v>2.3810461059506551E-2</v>
      </c>
      <c r="X2190" s="246">
        <v>2.3733815499475952E-2</v>
      </c>
    </row>
    <row r="2191" spans="20:24" x14ac:dyDescent="0.2">
      <c r="T2191" s="247" t="str">
        <f t="shared" si="38"/>
        <v>1w</v>
      </c>
      <c r="U2191" s="245">
        <f>_xll.qlCalendarAdvance(Calendar,U2190,T2191,"f",FALSE)</f>
        <v>54176</v>
      </c>
      <c r="V2191" s="248">
        <f>_xll.qlCalendarAdvance(Calendar,U2191,NDays&amp;"D")</f>
        <v>54178</v>
      </c>
      <c r="W2191" s="249">
        <v>2.3812209304316646E-2</v>
      </c>
      <c r="X2191" s="246">
        <v>2.3737387246673958E-2</v>
      </c>
    </row>
    <row r="2192" spans="20:24" x14ac:dyDescent="0.2">
      <c r="T2192" s="247" t="str">
        <f t="shared" si="38"/>
        <v>1w</v>
      </c>
      <c r="U2192" s="245">
        <f>_xll.qlCalendarAdvance(Calendar,U2191,T2192,"f",FALSE)</f>
        <v>54183</v>
      </c>
      <c r="V2192" s="248">
        <f>_xll.qlCalendarAdvance(Calendar,U2192,NDays&amp;"D")</f>
        <v>54185</v>
      </c>
      <c r="W2192" s="249">
        <v>2.3813091605614754E-2</v>
      </c>
      <c r="X2192" s="246">
        <v>2.3735818468626491E-2</v>
      </c>
    </row>
    <row r="2193" spans="20:24" x14ac:dyDescent="0.2">
      <c r="T2193" s="247" t="str">
        <f t="shared" si="38"/>
        <v>1w</v>
      </c>
      <c r="U2193" s="245">
        <f>_xll.qlCalendarAdvance(Calendar,U2192,T2193,"f",FALSE)</f>
        <v>54190</v>
      </c>
      <c r="V2193" s="248">
        <f>_xll.qlCalendarAdvance(Calendar,U2193,NDays&amp;"D")</f>
        <v>54192</v>
      </c>
      <c r="W2193" s="249">
        <v>2.3813956019766318E-2</v>
      </c>
      <c r="X2193" s="246">
        <v>2.3736793282775892E-2</v>
      </c>
    </row>
    <row r="2194" spans="20:24" x14ac:dyDescent="0.2">
      <c r="T2194" s="247" t="str">
        <f t="shared" ref="T2194:T2257" si="39">T2193</f>
        <v>1w</v>
      </c>
      <c r="U2194" s="245">
        <f>_xll.qlCalendarAdvance(Calendar,U2193,T2194,"f",FALSE)</f>
        <v>54197</v>
      </c>
      <c r="V2194" s="248">
        <f>_xll.qlCalendarAdvance(Calendar,U2194,NDays&amp;"D")</f>
        <v>54199</v>
      </c>
      <c r="W2194" s="249">
        <v>2.3814802546759169E-2</v>
      </c>
      <c r="X2194" s="246">
        <v>2.3737750316588091E-2</v>
      </c>
    </row>
    <row r="2195" spans="20:24" x14ac:dyDescent="0.2">
      <c r="T2195" s="247" t="str">
        <f t="shared" si="39"/>
        <v>1w</v>
      </c>
      <c r="U2195" s="245">
        <f>_xll.qlCalendarAdvance(Calendar,U2194,T2195,"f",FALSE)</f>
        <v>54204</v>
      </c>
      <c r="V2195" s="248">
        <f>_xll.qlCalendarAdvance(Calendar,U2195,NDays&amp;"D")</f>
        <v>54206</v>
      </c>
      <c r="W2195" s="249">
        <v>2.3815631186582014E-2</v>
      </c>
      <c r="X2195" s="246">
        <v>2.3738689570063087E-2</v>
      </c>
    </row>
    <row r="2196" spans="20:24" x14ac:dyDescent="0.2">
      <c r="T2196" s="247" t="str">
        <f t="shared" si="39"/>
        <v>1w</v>
      </c>
      <c r="U2196" s="245">
        <f>_xll.qlCalendarAdvance(Calendar,U2195,T2196,"f",FALSE)</f>
        <v>54211</v>
      </c>
      <c r="V2196" s="248">
        <f>_xll.qlCalendarAdvance(Calendar,U2196,NDays&amp;"D")</f>
        <v>54213</v>
      </c>
      <c r="W2196" s="249">
        <v>2.381644193922269E-2</v>
      </c>
      <c r="X2196" s="246">
        <v>2.3739611043200881E-2</v>
      </c>
    </row>
    <row r="2197" spans="20:24" x14ac:dyDescent="0.2">
      <c r="T2197" s="247" t="str">
        <f t="shared" si="39"/>
        <v>1w</v>
      </c>
      <c r="U2197" s="245">
        <f>_xll.qlCalendarAdvance(Calendar,U2196,T2197,"f",FALSE)</f>
        <v>54218</v>
      </c>
      <c r="V2197" s="248">
        <f>_xll.qlCalendarAdvance(Calendar,U2197,NDays&amp;"D")</f>
        <v>54220</v>
      </c>
      <c r="W2197" s="249">
        <v>2.3817234804671638E-2</v>
      </c>
      <c r="X2197" s="246">
        <v>2.3740514736161344E-2</v>
      </c>
    </row>
    <row r="2198" spans="20:24" x14ac:dyDescent="0.2">
      <c r="T2198" s="247" t="str">
        <f t="shared" si="39"/>
        <v>1w</v>
      </c>
      <c r="U2198" s="245">
        <f>_xll.qlCalendarAdvance(Calendar,U2197,T2198,"f",FALSE)</f>
        <v>54225</v>
      </c>
      <c r="V2198" s="248">
        <f>_xll.qlCalendarAdvance(Calendar,U2198,NDays&amp;"D")</f>
        <v>54227</v>
      </c>
      <c r="W2198" s="249">
        <v>2.3818009782917562E-2</v>
      </c>
      <c r="X2198" s="246">
        <v>2.3741400648704669E-2</v>
      </c>
    </row>
    <row r="2199" spans="20:24" x14ac:dyDescent="0.2">
      <c r="T2199" s="247" t="str">
        <f t="shared" si="39"/>
        <v>1w</v>
      </c>
      <c r="U2199" s="245">
        <f>_xll.qlCalendarAdvance(Calendar,U2198,T2199,"f",FALSE)</f>
        <v>54232</v>
      </c>
      <c r="V2199" s="248">
        <f>_xll.qlCalendarAdvance(Calendar,U2199,NDays&amp;"D")</f>
        <v>54234</v>
      </c>
      <c r="W2199" s="249">
        <v>2.3818766873949168E-2</v>
      </c>
      <c r="X2199" s="246">
        <v>2.3742268780990727E-2</v>
      </c>
    </row>
    <row r="2200" spans="20:24" x14ac:dyDescent="0.2">
      <c r="T2200" s="247" t="str">
        <f t="shared" si="39"/>
        <v>1w</v>
      </c>
      <c r="U2200" s="245">
        <f>_xll.qlCalendarAdvance(Calendar,U2199,T2200,"f",FALSE)</f>
        <v>54239</v>
      </c>
      <c r="V2200" s="248">
        <f>_xll.qlCalendarAdvance(Calendar,U2200,NDays&amp;"D")</f>
        <v>54241</v>
      </c>
      <c r="W2200" s="249">
        <v>2.3819506077756895E-2</v>
      </c>
      <c r="X2200" s="246">
        <v>2.3743119132859647E-2</v>
      </c>
    </row>
    <row r="2201" spans="20:24" x14ac:dyDescent="0.2">
      <c r="T2201" s="247" t="str">
        <f t="shared" si="39"/>
        <v>1w</v>
      </c>
      <c r="U2201" s="245">
        <f>_xll.qlCalendarAdvance(Calendar,U2200,T2201,"f",FALSE)</f>
        <v>54246</v>
      </c>
      <c r="V2201" s="248">
        <f>_xll.qlCalendarAdvance(Calendar,U2201,NDays&amp;"D")</f>
        <v>54248</v>
      </c>
      <c r="W2201" s="249">
        <v>2.3820227394330325E-2</v>
      </c>
      <c r="X2201" s="246">
        <v>2.3743951704551236E-2</v>
      </c>
    </row>
    <row r="2202" spans="20:24" x14ac:dyDescent="0.2">
      <c r="T2202" s="247" t="str">
        <f t="shared" si="39"/>
        <v>1w</v>
      </c>
      <c r="U2202" s="245">
        <f>_xll.qlCalendarAdvance(Calendar,U2201,T2202,"f",FALSE)</f>
        <v>54253</v>
      </c>
      <c r="V2202" s="248">
        <f>_xll.qlCalendarAdvance(Calendar,U2202,NDays&amp;"D")</f>
        <v>54255</v>
      </c>
      <c r="W2202" s="249">
        <v>2.3820930823660762E-2</v>
      </c>
      <c r="X2202" s="246">
        <v>2.3744766495825687E-2</v>
      </c>
    </row>
    <row r="2203" spans="20:24" x14ac:dyDescent="0.2">
      <c r="T2203" s="247" t="str">
        <f t="shared" si="39"/>
        <v>1w</v>
      </c>
      <c r="U2203" s="245">
        <f>_xll.qlCalendarAdvance(Calendar,U2202,T2203,"f",FALSE)</f>
        <v>54260</v>
      </c>
      <c r="V2203" s="248">
        <f>_xll.qlCalendarAdvance(Calendar,U2203,NDays&amp;"D")</f>
        <v>54262</v>
      </c>
      <c r="W2203" s="249">
        <v>2.3821616365736042E-2</v>
      </c>
      <c r="X2203" s="246">
        <v>2.3745563506762934E-2</v>
      </c>
    </row>
    <row r="2204" spans="20:24" x14ac:dyDescent="0.2">
      <c r="T2204" s="247" t="str">
        <f t="shared" si="39"/>
        <v>1w</v>
      </c>
      <c r="U2204" s="245">
        <f>_xll.qlCalendarAdvance(Calendar,U2203,T2204,"f",FALSE)</f>
        <v>54267</v>
      </c>
      <c r="V2204" s="248">
        <f>_xll.qlCalendarAdvance(Calendar,U2204,NDays&amp;"D")</f>
        <v>54269</v>
      </c>
      <c r="W2204" s="249">
        <v>2.3822284020548347E-2</v>
      </c>
      <c r="X2204" s="246">
        <v>2.3746342737522852E-2</v>
      </c>
    </row>
    <row r="2205" spans="20:24" x14ac:dyDescent="0.2">
      <c r="T2205" s="247" t="str">
        <f t="shared" si="39"/>
        <v>1w</v>
      </c>
      <c r="U2205" s="245">
        <f>_xll.qlCalendarAdvance(Calendar,U2204,T2205,"f",FALSE)</f>
        <v>54274</v>
      </c>
      <c r="V2205" s="248">
        <f>_xll.qlCalendarAdvance(Calendar,U2205,NDays&amp;"D")</f>
        <v>54276</v>
      </c>
      <c r="W2205" s="249">
        <v>2.3822933788088991E-2</v>
      </c>
      <c r="X2205" s="246">
        <v>2.3747104187865631E-2</v>
      </c>
    </row>
    <row r="2206" spans="20:24" x14ac:dyDescent="0.2">
      <c r="T2206" s="247" t="str">
        <f t="shared" si="39"/>
        <v>1w</v>
      </c>
      <c r="U2206" s="245">
        <f>_xll.qlCalendarAdvance(Calendar,U2205,T2206,"f",FALSE)</f>
        <v>54281</v>
      </c>
      <c r="V2206" s="248">
        <f>_xll.qlCalendarAdvance(Calendar,U2206,NDays&amp;"D")</f>
        <v>54283</v>
      </c>
      <c r="W2206" s="249">
        <v>2.3823565668350147E-2</v>
      </c>
      <c r="X2206" s="246">
        <v>2.3747847857951143E-2</v>
      </c>
    </row>
    <row r="2207" spans="20:24" x14ac:dyDescent="0.2">
      <c r="T2207" s="247" t="str">
        <f t="shared" si="39"/>
        <v>1w</v>
      </c>
      <c r="U2207" s="245">
        <f>_xll.qlCalendarAdvance(Calendar,U2206,T2207,"f",FALSE)</f>
        <v>54288</v>
      </c>
      <c r="V2207" s="248">
        <f>_xll.qlCalendarAdvance(Calendar,U2207,NDays&amp;"D")</f>
        <v>54290</v>
      </c>
      <c r="W2207" s="249">
        <v>2.382417966131966E-2</v>
      </c>
      <c r="X2207" s="246">
        <v>2.3748573747539581E-2</v>
      </c>
    </row>
    <row r="2208" spans="20:24" x14ac:dyDescent="0.2">
      <c r="T2208" s="247" t="str">
        <f t="shared" si="39"/>
        <v>1w</v>
      </c>
      <c r="U2208" s="245">
        <f>_xll.qlCalendarAdvance(Calendar,U2207,T2208,"f",FALSE)</f>
        <v>54295</v>
      </c>
      <c r="V2208" s="248">
        <f>_xll.qlCalendarAdvance(Calendar,U2208,NDays&amp;"D")</f>
        <v>54297</v>
      </c>
      <c r="W2208" s="249">
        <v>2.3824775766991439E-2</v>
      </c>
      <c r="X2208" s="246">
        <v>2.3749281857030624E-2</v>
      </c>
    </row>
    <row r="2209" spans="20:24" x14ac:dyDescent="0.2">
      <c r="T2209" s="247" t="str">
        <f t="shared" si="39"/>
        <v>1w</v>
      </c>
      <c r="U2209" s="245">
        <f>_xll.qlCalendarAdvance(Calendar,U2208,T2209,"f",FALSE)</f>
        <v>54302</v>
      </c>
      <c r="V2209" s="248">
        <f>_xll.qlCalendarAdvance(Calendar,U2209,NDays&amp;"D")</f>
        <v>54304</v>
      </c>
      <c r="W2209" s="249">
        <v>2.3824529276522496E-2</v>
      </c>
      <c r="X2209" s="246">
        <v>2.3749972186104529E-2</v>
      </c>
    </row>
    <row r="2210" spans="20:24" x14ac:dyDescent="0.2">
      <c r="T2210" s="247" t="str">
        <f t="shared" si="39"/>
        <v>1w</v>
      </c>
      <c r="U2210" s="245">
        <f>_xll.qlCalendarAdvance(Calendar,U2209,T2210,"f",FALSE)</f>
        <v>54309</v>
      </c>
      <c r="V2210" s="248">
        <f>_xll.qlCalendarAdvance(Calendar,U2210,NDays&amp;"D")</f>
        <v>54311</v>
      </c>
      <c r="W2210" s="249">
        <v>2.3825090848185512E-2</v>
      </c>
      <c r="X2210" s="246">
        <v>2.3750644734841231E-2</v>
      </c>
    </row>
    <row r="2211" spans="20:24" x14ac:dyDescent="0.2">
      <c r="T2211" s="247" t="str">
        <f t="shared" si="39"/>
        <v>1w</v>
      </c>
      <c r="U2211" s="245">
        <f>_xll.qlCalendarAdvance(Calendar,U2210,T2211,"f",FALSE)</f>
        <v>54316</v>
      </c>
      <c r="V2211" s="248">
        <f>_xll.qlCalendarAdvance(Calendar,U2211,NDays&amp;"D")</f>
        <v>54318</v>
      </c>
      <c r="W2211" s="249">
        <v>2.382563453370673E-2</v>
      </c>
      <c r="X2211" s="246">
        <v>2.3751299503320666E-2</v>
      </c>
    </row>
    <row r="2212" spans="20:24" x14ac:dyDescent="0.2">
      <c r="T2212" s="247" t="str">
        <f t="shared" si="39"/>
        <v>1w</v>
      </c>
      <c r="U2212" s="245">
        <f>_xll.qlCalendarAdvance(Calendar,U2211,T2212,"f",FALSE)</f>
        <v>54323</v>
      </c>
      <c r="V2212" s="248">
        <f>_xll.qlCalendarAdvance(Calendar,U2212,NDays&amp;"D")</f>
        <v>54325</v>
      </c>
      <c r="W2212" s="249">
        <v>2.3826160333081759E-2</v>
      </c>
      <c r="X2212" s="246">
        <v>2.3751936491462899E-2</v>
      </c>
    </row>
    <row r="2213" spans="20:24" x14ac:dyDescent="0.2">
      <c r="T2213" s="247" t="str">
        <f t="shared" si="39"/>
        <v>1w</v>
      </c>
      <c r="U2213" s="245">
        <f>_xll.qlCalendarAdvance(Calendar,U2212,T2213,"f",FALSE)</f>
        <v>54330</v>
      </c>
      <c r="V2213" s="248">
        <f>_xll.qlCalendarAdvance(Calendar,U2213,NDays&amp;"D")</f>
        <v>54332</v>
      </c>
      <c r="W2213" s="249">
        <v>2.3829946707110979E-2</v>
      </c>
      <c r="X2213" s="246">
        <v>2.3752555699347866E-2</v>
      </c>
    </row>
    <row r="2214" spans="20:24" x14ac:dyDescent="0.2">
      <c r="T2214" s="247" t="str">
        <f t="shared" si="39"/>
        <v>1w</v>
      </c>
      <c r="U2214" s="245">
        <f>_xll.qlCalendarAdvance(Calendar,U2213,T2214,"f",FALSE)</f>
        <v>54337</v>
      </c>
      <c r="V2214" s="248">
        <f>_xll.qlCalendarAdvance(Calendar,U2214,NDays&amp;"D")</f>
        <v>54339</v>
      </c>
      <c r="W2214" s="249">
        <v>2.3827976767331883E-2</v>
      </c>
      <c r="X2214" s="246">
        <v>2.3753157126735758E-2</v>
      </c>
    </row>
    <row r="2215" spans="20:24" x14ac:dyDescent="0.2">
      <c r="T2215" s="247" t="str">
        <f t="shared" si="39"/>
        <v>1w</v>
      </c>
      <c r="U2215" s="245">
        <f>_xll.qlCalendarAdvance(Calendar,U2214,T2215,"f",FALSE)</f>
        <v>54344</v>
      </c>
      <c r="V2215" s="248">
        <f>_xll.qlCalendarAdvance(Calendar,U2215,NDays&amp;"D")</f>
        <v>54346</v>
      </c>
      <c r="W2215" s="249">
        <v>2.3828447661704943E-2</v>
      </c>
      <c r="X2215" s="246">
        <v>2.3753740774026255E-2</v>
      </c>
    </row>
    <row r="2216" spans="20:24" x14ac:dyDescent="0.2">
      <c r="T2216" s="247" t="str">
        <f t="shared" si="39"/>
        <v>1w</v>
      </c>
      <c r="U2216" s="245">
        <f>_xll.qlCalendarAdvance(Calendar,U2215,T2216,"f",FALSE)</f>
        <v>54351</v>
      </c>
      <c r="V2216" s="248">
        <f>_xll.qlCalendarAdvance(Calendar,U2216,NDays&amp;"D")</f>
        <v>54353</v>
      </c>
      <c r="W2216" s="249">
        <v>2.3828900668722057E-2</v>
      </c>
      <c r="X2216" s="246">
        <v>2.375430664097955E-2</v>
      </c>
    </row>
    <row r="2217" spans="20:24" x14ac:dyDescent="0.2">
      <c r="T2217" s="247" t="str">
        <f t="shared" si="39"/>
        <v>1w</v>
      </c>
      <c r="U2217" s="245">
        <f>_xll.qlCalendarAdvance(Calendar,U2216,T2217,"f",FALSE)</f>
        <v>54358</v>
      </c>
      <c r="V2217" s="248">
        <f>_xll.qlCalendarAdvance(Calendar,U2217,NDays&amp;"D")</f>
        <v>54360</v>
      </c>
      <c r="W2217" s="249">
        <v>2.3829335788377148E-2</v>
      </c>
      <c r="X2217" s="246">
        <v>2.375485472743577E-2</v>
      </c>
    </row>
    <row r="2218" spans="20:24" x14ac:dyDescent="0.2">
      <c r="T2218" s="247" t="str">
        <f t="shared" si="39"/>
        <v>1w</v>
      </c>
      <c r="U2218" s="245">
        <f>_xll.qlCalendarAdvance(Calendar,U2217,T2218,"f",FALSE)</f>
        <v>54365</v>
      </c>
      <c r="V2218" s="248">
        <f>_xll.qlCalendarAdvance(Calendar,U2218,NDays&amp;"D")</f>
        <v>54367</v>
      </c>
      <c r="W2218" s="249">
        <v>2.3829753020663261E-2</v>
      </c>
      <c r="X2218" s="246">
        <v>2.3755385033634724E-2</v>
      </c>
    </row>
    <row r="2219" spans="20:24" x14ac:dyDescent="0.2">
      <c r="T2219" s="247" t="str">
        <f t="shared" si="39"/>
        <v>1w</v>
      </c>
      <c r="U2219" s="245">
        <f>_xll.qlCalendarAdvance(Calendar,U2218,T2219,"f",FALSE)</f>
        <v>54372</v>
      </c>
      <c r="V2219" s="248">
        <f>_xll.qlCalendarAdvance(Calendar,U2219,NDays&amp;"D")</f>
        <v>54374</v>
      </c>
      <c r="W2219" s="249">
        <v>2.3830152365576049E-2</v>
      </c>
      <c r="X2219" s="246">
        <v>2.3755897559656347E-2</v>
      </c>
    </row>
    <row r="2220" spans="20:24" x14ac:dyDescent="0.2">
      <c r="T2220" s="247" t="str">
        <f t="shared" si="39"/>
        <v>1w</v>
      </c>
      <c r="U2220" s="245">
        <f>_xll.qlCalendarAdvance(Calendar,U2219,T2220,"f",FALSE)</f>
        <v>54379</v>
      </c>
      <c r="V2220" s="248">
        <f>_xll.qlCalendarAdvance(Calendar,U2220,NDays&amp;"D")</f>
        <v>54381</v>
      </c>
      <c r="W2220" s="249">
        <v>2.3830533823109436E-2</v>
      </c>
      <c r="X2220" s="246">
        <v>2.3756392305260832E-2</v>
      </c>
    </row>
    <row r="2221" spans="20:24" x14ac:dyDescent="0.2">
      <c r="T2221" s="247" t="str">
        <f t="shared" si="39"/>
        <v>1w</v>
      </c>
      <c r="U2221" s="245">
        <f>_xll.qlCalendarAdvance(Calendar,U2220,T2221,"f",FALSE)</f>
        <v>54386</v>
      </c>
      <c r="V2221" s="248">
        <f>_xll.qlCalendarAdvance(Calendar,U2221,NDays&amp;"D")</f>
        <v>54388</v>
      </c>
      <c r="W2221" s="249">
        <v>2.3830897393258207E-2</v>
      </c>
      <c r="X2221" s="246">
        <v>2.3756869270528114E-2</v>
      </c>
    </row>
    <row r="2222" spans="20:24" x14ac:dyDescent="0.2">
      <c r="T2222" s="247" t="str">
        <f t="shared" si="39"/>
        <v>1w</v>
      </c>
      <c r="U2222" s="245">
        <f>_xll.qlCalendarAdvance(Calendar,U2221,T2222,"f",FALSE)</f>
        <v>54393</v>
      </c>
      <c r="V2222" s="248">
        <f>_xll.qlCalendarAdvance(Calendar,U2222,NDays&amp;"D")</f>
        <v>54395</v>
      </c>
      <c r="W2222" s="249">
        <v>2.38296260141313E-2</v>
      </c>
      <c r="X2222" s="246">
        <v>2.3757328455538129E-2</v>
      </c>
    </row>
    <row r="2223" spans="20:24" x14ac:dyDescent="0.2">
      <c r="T2223" s="247" t="str">
        <f t="shared" si="39"/>
        <v>1w</v>
      </c>
      <c r="U2223" s="245">
        <f>_xll.qlCalendarAdvance(Calendar,U2222,T2223,"f",FALSE)</f>
        <v>54400</v>
      </c>
      <c r="V2223" s="248">
        <f>_xll.qlCalendarAdvance(Calendar,U2223,NDays&amp;"D")</f>
        <v>54402</v>
      </c>
      <c r="W2223" s="249">
        <v>2.3829956321237411E-2</v>
      </c>
      <c r="X2223" s="246">
        <v>2.3757769860131006E-2</v>
      </c>
    </row>
    <row r="2224" spans="20:24" x14ac:dyDescent="0.2">
      <c r="T2224" s="247" t="str">
        <f t="shared" si="39"/>
        <v>1w</v>
      </c>
      <c r="U2224" s="245">
        <f>_xll.qlCalendarAdvance(Calendar,U2223,T2224,"f",FALSE)</f>
        <v>54407</v>
      </c>
      <c r="V2224" s="248">
        <f>_xll.qlCalendarAdvance(Calendar,U2224,NDays&amp;"D")</f>
        <v>54409</v>
      </c>
      <c r="W2224" s="249">
        <v>2.3830268743306071E-2</v>
      </c>
      <c r="X2224" s="246">
        <v>2.3758193484546553E-2</v>
      </c>
    </row>
    <row r="2225" spans="20:24" x14ac:dyDescent="0.2">
      <c r="T2225" s="247" t="str">
        <f t="shared" si="39"/>
        <v>1w</v>
      </c>
      <c r="U2225" s="245">
        <f>_xll.qlCalendarAdvance(Calendar,U2224,T2225,"f",FALSE)</f>
        <v>54414</v>
      </c>
      <c r="V2225" s="248">
        <f>_xll.qlCalendarAdvance(Calendar,U2225,NDays&amp;"D")</f>
        <v>54416</v>
      </c>
      <c r="W2225" s="249">
        <v>2.3830563280331951E-2</v>
      </c>
      <c r="X2225" s="246">
        <v>2.3761035837939204E-2</v>
      </c>
    </row>
    <row r="2226" spans="20:24" x14ac:dyDescent="0.2">
      <c r="T2226" s="247" t="str">
        <f t="shared" si="39"/>
        <v>1w</v>
      </c>
      <c r="U2226" s="245">
        <f>_xll.qlCalendarAdvance(Calendar,U2225,T2226,"f",FALSE)</f>
        <v>54421</v>
      </c>
      <c r="V2226" s="248">
        <f>_xll.qlCalendarAdvance(Calendar,U2226,NDays&amp;"D")</f>
        <v>54423</v>
      </c>
      <c r="W2226" s="249">
        <v>2.3830839932312387E-2</v>
      </c>
      <c r="X2226" s="246">
        <v>2.3761420167667247E-2</v>
      </c>
    </row>
    <row r="2227" spans="20:24" x14ac:dyDescent="0.2">
      <c r="T2227" s="247" t="str">
        <f t="shared" si="39"/>
        <v>1w</v>
      </c>
      <c r="U2227" s="245">
        <f>_xll.qlCalendarAdvance(Calendar,U2226,T2227,"f",FALSE)</f>
        <v>54428</v>
      </c>
      <c r="V2227" s="248">
        <f>_xll.qlCalendarAdvance(Calendar,U2227,NDays&amp;"D")</f>
        <v>54430</v>
      </c>
      <c r="W2227" s="249">
        <v>2.3831098699244713E-2</v>
      </c>
      <c r="X2227" s="246">
        <v>2.375935767569004E-2</v>
      </c>
    </row>
    <row r="2228" spans="20:24" x14ac:dyDescent="0.2">
      <c r="T2228" s="247" t="str">
        <f t="shared" si="39"/>
        <v>1w</v>
      </c>
      <c r="U2228" s="245">
        <f>_xll.qlCalendarAdvance(Calendar,U2227,T2228,"f",FALSE)</f>
        <v>54435</v>
      </c>
      <c r="V2228" s="248">
        <f>_xll.qlCalendarAdvance(Calendar,U2228,NDays&amp;"D")</f>
        <v>54437</v>
      </c>
      <c r="W2228" s="249">
        <v>2.3831339581121824E-2</v>
      </c>
      <c r="X2228" s="246">
        <v>2.3759710178676841E-2</v>
      </c>
    </row>
    <row r="2229" spans="20:24" x14ac:dyDescent="0.2">
      <c r="T2229" s="247" t="str">
        <f t="shared" si="39"/>
        <v>1w</v>
      </c>
      <c r="U2229" s="245">
        <f>_xll.qlCalendarAdvance(Calendar,U2228,T2229,"f",FALSE)</f>
        <v>54442</v>
      </c>
      <c r="V2229" s="248">
        <f>_xll.qlCalendarAdvance(Calendar,U2229,NDays&amp;"D")</f>
        <v>54444</v>
      </c>
      <c r="W2229" s="249">
        <v>2.3831562577943721E-2</v>
      </c>
      <c r="X2229" s="246">
        <v>2.3760044901406374E-2</v>
      </c>
    </row>
    <row r="2230" spans="20:24" x14ac:dyDescent="0.2">
      <c r="T2230" s="247" t="str">
        <f t="shared" si="39"/>
        <v>1w</v>
      </c>
      <c r="U2230" s="245">
        <f>_xll.qlCalendarAdvance(Calendar,U2229,T2230,"f",FALSE)</f>
        <v>54449</v>
      </c>
      <c r="V2230" s="248">
        <f>_xll.qlCalendarAdvance(Calendar,U2230,NDays&amp;"D")</f>
        <v>54451</v>
      </c>
      <c r="W2230" s="249">
        <v>2.3831767689706851E-2</v>
      </c>
      <c r="X2230" s="246">
        <v>2.3760361843958577E-2</v>
      </c>
    </row>
    <row r="2231" spans="20:24" x14ac:dyDescent="0.2">
      <c r="T2231" s="247" t="str">
        <f t="shared" si="39"/>
        <v>1w</v>
      </c>
      <c r="U2231" s="245">
        <f>_xll.qlCalendarAdvance(Calendar,U2230,T2231,"f",FALSE)</f>
        <v>54456</v>
      </c>
      <c r="V2231" s="248">
        <f>_xll.qlCalendarAdvance(Calendar,U2231,NDays&amp;"D")</f>
        <v>54458</v>
      </c>
      <c r="W2231" s="249">
        <v>2.3831157602256087E-2</v>
      </c>
      <c r="X2231" s="246">
        <v>2.3760661006093642E-2</v>
      </c>
    </row>
    <row r="2232" spans="20:24" x14ac:dyDescent="0.2">
      <c r="T2232" s="247" t="str">
        <f t="shared" si="39"/>
        <v>1w</v>
      </c>
      <c r="U2232" s="245">
        <f>_xll.qlCalendarAdvance(Calendar,U2231,T2232,"f",FALSE)</f>
        <v>54463</v>
      </c>
      <c r="V2232" s="248">
        <f>_xll.qlCalendarAdvance(Calendar,U2232,NDays&amp;"D")</f>
        <v>54465</v>
      </c>
      <c r="W2232" s="249">
        <v>2.3831328210135373E-2</v>
      </c>
      <c r="X2232" s="246">
        <v>2.3760942387811568E-2</v>
      </c>
    </row>
    <row r="2233" spans="20:24" x14ac:dyDescent="0.2">
      <c r="T2233" s="247" t="str">
        <f t="shared" si="39"/>
        <v>1w</v>
      </c>
      <c r="U2233" s="245">
        <f>_xll.qlCalendarAdvance(Calendar,U2232,T2233,"f",FALSE)</f>
        <v>54470</v>
      </c>
      <c r="V2233" s="248">
        <f>_xll.qlCalendarAdvance(Calendar,U2233,NDays&amp;"D")</f>
        <v>54472</v>
      </c>
      <c r="W2233" s="249">
        <v>2.3831480934128825E-2</v>
      </c>
      <c r="X2233" s="246">
        <v>2.3761205989352163E-2</v>
      </c>
    </row>
    <row r="2234" spans="20:24" x14ac:dyDescent="0.2">
      <c r="T2234" s="247" t="str">
        <f t="shared" si="39"/>
        <v>1w</v>
      </c>
      <c r="U2234" s="245">
        <f>_xll.qlCalendarAdvance(Calendar,U2233,T2234,"f",FALSE)</f>
        <v>54477</v>
      </c>
      <c r="V2234" s="248">
        <f>_xll.qlCalendarAdvance(Calendar,U2234,NDays&amp;"D")</f>
        <v>54479</v>
      </c>
      <c r="W2234" s="249">
        <v>2.3831615774235548E-2</v>
      </c>
      <c r="X2234" s="246">
        <v>2.376145181047562E-2</v>
      </c>
    </row>
    <row r="2235" spans="20:24" x14ac:dyDescent="0.2">
      <c r="T2235" s="247" t="str">
        <f t="shared" si="39"/>
        <v>1w</v>
      </c>
      <c r="U2235" s="245">
        <f>_xll.qlCalendarAdvance(Calendar,U2234,T2235,"f",FALSE)</f>
        <v>54484</v>
      </c>
      <c r="V2235" s="248">
        <f>_xll.qlCalendarAdvance(Calendar,U2235,NDays&amp;"D")</f>
        <v>54486</v>
      </c>
      <c r="W2235" s="249">
        <v>2.3834109197633707E-2</v>
      </c>
      <c r="X2235" s="246">
        <v>2.376167985134181E-2</v>
      </c>
    </row>
    <row r="2236" spans="20:24" x14ac:dyDescent="0.2">
      <c r="T2236" s="247" t="str">
        <f t="shared" si="39"/>
        <v>1w</v>
      </c>
      <c r="U2236" s="245">
        <f>_xll.qlCalendarAdvance(Calendar,U2235,T2236,"f",FALSE)</f>
        <v>54491</v>
      </c>
      <c r="V2236" s="248">
        <f>_xll.qlCalendarAdvance(Calendar,U2236,NDays&amp;"D")</f>
        <v>54493</v>
      </c>
      <c r="W2236" s="249">
        <v>2.3834204456555329E-2</v>
      </c>
      <c r="X2236" s="246">
        <v>2.3761890111870798E-2</v>
      </c>
    </row>
    <row r="2237" spans="20:24" x14ac:dyDescent="0.2">
      <c r="T2237" s="247" t="str">
        <f t="shared" si="39"/>
        <v>1w</v>
      </c>
      <c r="U2237" s="245">
        <f>_xll.qlCalendarAdvance(Calendar,U2236,T2237,"f",FALSE)</f>
        <v>54498</v>
      </c>
      <c r="V2237" s="248">
        <f>_xll.qlCalendarAdvance(Calendar,U2237,NDays&amp;"D")</f>
        <v>54500</v>
      </c>
      <c r="W2237" s="249">
        <v>2.3834281828043674E-2</v>
      </c>
      <c r="X2237" s="246">
        <v>2.3762082592142519E-2</v>
      </c>
    </row>
    <row r="2238" spans="20:24" x14ac:dyDescent="0.2">
      <c r="T2238" s="247" t="str">
        <f t="shared" si="39"/>
        <v>1w</v>
      </c>
      <c r="U2238" s="245">
        <f>_xll.qlCalendarAdvance(Calendar,U2237,T2238,"f",FALSE)</f>
        <v>54505</v>
      </c>
      <c r="V2238" s="248">
        <f>_xll.qlCalendarAdvance(Calendar,U2238,NDays&amp;"D")</f>
        <v>54507</v>
      </c>
      <c r="W2238" s="249">
        <v>2.3834341312096143E-2</v>
      </c>
      <c r="X2238" s="246">
        <v>2.3762257291997102E-2</v>
      </c>
    </row>
    <row r="2239" spans="20:24" x14ac:dyDescent="0.2">
      <c r="T2239" s="247" t="str">
        <f t="shared" si="39"/>
        <v>1w</v>
      </c>
      <c r="U2239" s="245">
        <f>_xll.qlCalendarAdvance(Calendar,U2238,T2239,"f",FALSE)</f>
        <v>54512</v>
      </c>
      <c r="V2239" s="248">
        <f>_xll.qlCalendarAdvance(Calendar,U2239,NDays&amp;"D")</f>
        <v>54514</v>
      </c>
      <c r="W2239" s="249">
        <v>2.3833595931652025E-2</v>
      </c>
      <c r="X2239" s="246">
        <v>2.3762414211594418E-2</v>
      </c>
    </row>
    <row r="2240" spans="20:24" x14ac:dyDescent="0.2">
      <c r="T2240" s="247" t="str">
        <f t="shared" si="39"/>
        <v>1w</v>
      </c>
      <c r="U2240" s="245">
        <f>_xll.qlCalendarAdvance(Calendar,U2239,T2240,"f",FALSE)</f>
        <v>54519</v>
      </c>
      <c r="V2240" s="248">
        <f>_xll.qlCalendarAdvance(Calendar,U2240,NDays&amp;"D")</f>
        <v>54521</v>
      </c>
      <c r="W2240" s="249">
        <v>2.3833620916857142E-2</v>
      </c>
      <c r="X2240" s="246">
        <v>2.3762553350854532E-2</v>
      </c>
    </row>
    <row r="2241" spans="20:24" x14ac:dyDescent="0.2">
      <c r="T2241" s="247" t="str">
        <f t="shared" si="39"/>
        <v>1w</v>
      </c>
      <c r="U2241" s="245">
        <f>_xll.qlCalendarAdvance(Calendar,U2240,T2241,"f",FALSE)</f>
        <v>54526</v>
      </c>
      <c r="V2241" s="248">
        <f>_xll.qlCalendarAdvance(Calendar,U2241,NDays&amp;"D")</f>
        <v>54528</v>
      </c>
      <c r="W2241" s="249">
        <v>2.3833628015804506E-2</v>
      </c>
      <c r="X2241" s="246">
        <v>2.376584299656237E-2</v>
      </c>
    </row>
    <row r="2242" spans="20:24" x14ac:dyDescent="0.2">
      <c r="T2242" s="247" t="str">
        <f t="shared" si="39"/>
        <v>1w</v>
      </c>
      <c r="U2242" s="245">
        <f>_xll.qlCalendarAdvance(Calendar,U2241,T2242,"f",FALSE)</f>
        <v>54533</v>
      </c>
      <c r="V2242" s="248">
        <f>_xll.qlCalendarAdvance(Calendar,U2242,NDays&amp;"D")</f>
        <v>54535</v>
      </c>
      <c r="W2242" s="249">
        <v>2.3833617228495876E-2</v>
      </c>
      <c r="X2242" s="246">
        <v>2.3762778288443087E-2</v>
      </c>
    </row>
    <row r="2243" spans="20:24" x14ac:dyDescent="0.2">
      <c r="T2243" s="247" t="str">
        <f t="shared" si="39"/>
        <v>1w</v>
      </c>
      <c r="U2243" s="245">
        <f>_xll.qlCalendarAdvance(Calendar,U2242,T2243,"f",FALSE)</f>
        <v>54540</v>
      </c>
      <c r="V2243" s="248">
        <f>_xll.qlCalendarAdvance(Calendar,U2243,NDays&amp;"D")</f>
        <v>54542</v>
      </c>
      <c r="W2243" s="249">
        <v>2.383358855492862E-2</v>
      </c>
      <c r="X2243" s="246">
        <v>2.3762864086691593E-2</v>
      </c>
    </row>
    <row r="2244" spans="20:24" x14ac:dyDescent="0.2">
      <c r="T2244" s="247" t="str">
        <f t="shared" si="39"/>
        <v>1w</v>
      </c>
      <c r="U2244" s="245">
        <f>_xll.qlCalendarAdvance(Calendar,U2243,T2244,"f",FALSE)</f>
        <v>54547</v>
      </c>
      <c r="V2244" s="248">
        <f>_xll.qlCalendarAdvance(Calendar,U2244,NDays&amp;"D")</f>
        <v>54549</v>
      </c>
      <c r="W2244" s="249">
        <v>2.3834322580234862E-2</v>
      </c>
      <c r="X2244" s="246">
        <v>2.3762932104762768E-2</v>
      </c>
    </row>
    <row r="2245" spans="20:24" x14ac:dyDescent="0.2">
      <c r="T2245" s="247" t="str">
        <f t="shared" si="39"/>
        <v>1w</v>
      </c>
      <c r="U2245" s="245">
        <f>_xll.qlCalendarAdvance(Calendar,U2244,T2245,"f",FALSE)</f>
        <v>54554</v>
      </c>
      <c r="V2245" s="248">
        <f>_xll.qlCalendarAdvance(Calendar,U2245,NDays&amp;"D")</f>
        <v>54556</v>
      </c>
      <c r="W2245" s="249">
        <v>2.3834256852229216E-2</v>
      </c>
      <c r="X2245" s="246">
        <v>2.3762982342416805E-2</v>
      </c>
    </row>
    <row r="2246" spans="20:24" x14ac:dyDescent="0.2">
      <c r="T2246" s="247" t="str">
        <f t="shared" si="39"/>
        <v>1w</v>
      </c>
      <c r="U2246" s="245">
        <f>_xll.qlCalendarAdvance(Calendar,U2245,T2246,"f",FALSE)</f>
        <v>54561</v>
      </c>
      <c r="V2246" s="248">
        <f>_xll.qlCalendarAdvance(Calendar,U2246,NDays&amp;"D")</f>
        <v>54563</v>
      </c>
      <c r="W2246" s="249">
        <v>2.3834173236787687E-2</v>
      </c>
      <c r="X2246" s="246">
        <v>2.3763014799733639E-2</v>
      </c>
    </row>
    <row r="2247" spans="20:24" x14ac:dyDescent="0.2">
      <c r="T2247" s="247" t="str">
        <f t="shared" si="39"/>
        <v>1w</v>
      </c>
      <c r="U2247" s="245">
        <f>_xll.qlCalendarAdvance(Calendar,U2246,T2247,"f",FALSE)</f>
        <v>54568</v>
      </c>
      <c r="V2247" s="248">
        <f>_xll.qlCalendarAdvance(Calendar,U2247,NDays&amp;"D")</f>
        <v>54570</v>
      </c>
      <c r="W2247" s="249">
        <v>2.3834071733912016E-2</v>
      </c>
      <c r="X2247" s="246">
        <v>2.3763029476713271E-2</v>
      </c>
    </row>
    <row r="2248" spans="20:24" x14ac:dyDescent="0.2">
      <c r="T2248" s="247" t="str">
        <f t="shared" si="39"/>
        <v>1w</v>
      </c>
      <c r="U2248" s="245">
        <f>_xll.qlCalendarAdvance(Calendar,U2247,T2248,"f",FALSE)</f>
        <v>54575</v>
      </c>
      <c r="V2248" s="248">
        <f>_xll.qlCalendarAdvance(Calendar,U2248,NDays&amp;"D")</f>
        <v>54577</v>
      </c>
      <c r="W2248" s="249">
        <v>2.3833952343603942E-2</v>
      </c>
      <c r="X2248" s="246">
        <v>2.3763026373515572E-2</v>
      </c>
    </row>
    <row r="2249" spans="20:24" x14ac:dyDescent="0.2">
      <c r="T2249" s="247" t="str">
        <f t="shared" si="39"/>
        <v>1w</v>
      </c>
      <c r="U2249" s="245">
        <f>_xll.qlCalendarAdvance(Calendar,U2248,T2249,"f",FALSE)</f>
        <v>54582</v>
      </c>
      <c r="V2249" s="248">
        <f>_xll.qlCalendarAdvance(Calendar,U2249,NDays&amp;"D")</f>
        <v>54584</v>
      </c>
      <c r="W2249" s="249">
        <v>2.38338150658652E-2</v>
      </c>
      <c r="X2249" s="246">
        <v>2.3763005489900735E-2</v>
      </c>
    </row>
    <row r="2250" spans="20:24" x14ac:dyDescent="0.2">
      <c r="T2250" s="247" t="str">
        <f t="shared" si="39"/>
        <v>1w</v>
      </c>
      <c r="U2250" s="245">
        <f>_xll.qlCalendarAdvance(Calendar,U2249,T2250,"f",FALSE)</f>
        <v>54589</v>
      </c>
      <c r="V2250" s="248">
        <f>_xll.qlCalendarAdvance(Calendar,U2250,NDays&amp;"D")</f>
        <v>54591</v>
      </c>
      <c r="W2250" s="249">
        <v>2.383365990069666E-2</v>
      </c>
      <c r="X2250" s="246">
        <v>2.3762966825948695E-2</v>
      </c>
    </row>
    <row r="2251" spans="20:24" x14ac:dyDescent="0.2">
      <c r="T2251" s="247" t="str">
        <f t="shared" si="39"/>
        <v>1w</v>
      </c>
      <c r="U2251" s="245">
        <f>_xll.qlCalendarAdvance(Calendar,U2250,T2251,"f",FALSE)</f>
        <v>54596</v>
      </c>
      <c r="V2251" s="248">
        <f>_xll.qlCalendarAdvance(Calendar,U2251,NDays&amp;"D")</f>
        <v>54598</v>
      </c>
      <c r="W2251" s="249">
        <v>2.3833486848100931E-2</v>
      </c>
      <c r="X2251" s="246">
        <v>2.3762910381739388E-2</v>
      </c>
    </row>
    <row r="2252" spans="20:24" x14ac:dyDescent="0.2">
      <c r="T2252" s="247" t="str">
        <f t="shared" si="39"/>
        <v>1w</v>
      </c>
      <c r="U2252" s="245">
        <f>_xll.qlCalendarAdvance(Calendar,U2251,T2252,"f",FALSE)</f>
        <v>54603</v>
      </c>
      <c r="V2252" s="248">
        <f>_xll.qlCalendarAdvance(Calendar,U2252,NDays&amp;"D")</f>
        <v>54605</v>
      </c>
      <c r="W2252" s="249">
        <v>2.3833295908080612E-2</v>
      </c>
      <c r="X2252" s="246">
        <v>2.3762836157272815E-2</v>
      </c>
    </row>
    <row r="2253" spans="20:24" x14ac:dyDescent="0.2">
      <c r="T2253" s="247" t="str">
        <f t="shared" si="39"/>
        <v>1w</v>
      </c>
      <c r="U2253" s="245">
        <f>_xll.qlCalendarAdvance(Calendar,U2252,T2253,"f",FALSE)</f>
        <v>54610</v>
      </c>
      <c r="V2253" s="248">
        <f>_xll.qlCalendarAdvance(Calendar,U2253,NDays&amp;"D")</f>
        <v>54612</v>
      </c>
      <c r="W2253" s="249">
        <v>2.3833087080637451E-2</v>
      </c>
      <c r="X2253" s="246">
        <v>2.3762744152389104E-2</v>
      </c>
    </row>
    <row r="2254" spans="20:24" x14ac:dyDescent="0.2">
      <c r="T2254" s="247" t="str">
        <f t="shared" si="39"/>
        <v>1w</v>
      </c>
      <c r="U2254" s="245">
        <f>_xll.qlCalendarAdvance(Calendar,U2253,T2254,"f",FALSE)</f>
        <v>54617</v>
      </c>
      <c r="V2254" s="248">
        <f>_xll.qlCalendarAdvance(Calendar,U2254,NDays&amp;"D")</f>
        <v>54619</v>
      </c>
      <c r="W2254" s="249">
        <v>2.3832860365774915E-2</v>
      </c>
      <c r="X2254" s="246">
        <v>2.3762634367088253E-2</v>
      </c>
    </row>
    <row r="2255" spans="20:24" x14ac:dyDescent="0.2">
      <c r="T2255" s="247" t="str">
        <f t="shared" si="39"/>
        <v>1w</v>
      </c>
      <c r="U2255" s="245">
        <f>_xll.qlCalendarAdvance(Calendar,U2254,T2255,"f",FALSE)</f>
        <v>54624</v>
      </c>
      <c r="V2255" s="248">
        <f>_xll.qlCalendarAdvance(Calendar,U2255,NDays&amp;"D")</f>
        <v>54626</v>
      </c>
      <c r="W2255" s="249">
        <v>2.383261576349735E-2</v>
      </c>
      <c r="X2255" s="246">
        <v>2.3762506801610073E-2</v>
      </c>
    </row>
    <row r="2256" spans="20:24" x14ac:dyDescent="0.2">
      <c r="T2256" s="247" t="str">
        <f t="shared" si="39"/>
        <v>1w</v>
      </c>
      <c r="U2256" s="245">
        <f>_xll.qlCalendarAdvance(Calendar,U2255,T2256,"f",FALSE)</f>
        <v>54631</v>
      </c>
      <c r="V2256" s="248">
        <f>_xll.qlCalendarAdvance(Calendar,U2256,NDays&amp;"D")</f>
        <v>54633</v>
      </c>
      <c r="W2256" s="249">
        <v>2.3832353273806499E-2</v>
      </c>
      <c r="X2256" s="246">
        <v>2.3762361455874625E-2</v>
      </c>
    </row>
    <row r="2257" spans="20:24" x14ac:dyDescent="0.2">
      <c r="T2257" s="247" t="str">
        <f t="shared" si="39"/>
        <v>1w</v>
      </c>
      <c r="U2257" s="245">
        <f>_xll.qlCalendarAdvance(Calendar,U2256,T2257,"f",FALSE)</f>
        <v>54638</v>
      </c>
      <c r="V2257" s="248">
        <f>_xll.qlCalendarAdvance(Calendar,U2257,NDays&amp;"D")</f>
        <v>54640</v>
      </c>
      <c r="W2257" s="249">
        <v>2.383207289670583E-2</v>
      </c>
      <c r="X2257" s="246">
        <v>2.3762198329642104E-2</v>
      </c>
    </row>
    <row r="2258" spans="20:24" x14ac:dyDescent="0.2">
      <c r="T2258" s="247" t="str">
        <f t="shared" ref="T2258:T2321" si="40">T2257</f>
        <v>1w</v>
      </c>
      <c r="U2258" s="245">
        <f>_xll.qlCalendarAdvance(Calendar,U2257,T2258,"f",FALSE)</f>
        <v>54645</v>
      </c>
      <c r="V2258" s="248">
        <f>_xll.qlCalendarAdvance(Calendar,U2258,NDays&amp;"D")</f>
        <v>54647</v>
      </c>
      <c r="W2258" s="249">
        <v>2.3831774632199695E-2</v>
      </c>
      <c r="X2258" s="246">
        <v>2.3762017423232251E-2</v>
      </c>
    </row>
    <row r="2259" spans="20:24" x14ac:dyDescent="0.2">
      <c r="T2259" s="247" t="str">
        <f t="shared" si="40"/>
        <v>1w</v>
      </c>
      <c r="U2259" s="245">
        <f>_xll.qlCalendarAdvance(Calendar,U2258,T2259,"f",FALSE)</f>
        <v>54652</v>
      </c>
      <c r="V2259" s="248">
        <f>_xll.qlCalendarAdvance(Calendar,U2259,NDays&amp;"D")</f>
        <v>54654</v>
      </c>
      <c r="W2259" s="249">
        <v>2.3831458480292431E-2</v>
      </c>
      <c r="X2259" s="246">
        <v>2.376181873640526E-2</v>
      </c>
    </row>
    <row r="2260" spans="20:24" x14ac:dyDescent="0.2">
      <c r="T2260" s="247" t="str">
        <f t="shared" si="40"/>
        <v>1w</v>
      </c>
      <c r="U2260" s="245">
        <f>_xll.qlCalendarAdvance(Calendar,U2259,T2260,"f",FALSE)</f>
        <v>54659</v>
      </c>
      <c r="V2260" s="248">
        <f>_xll.qlCalendarAdvance(Calendar,U2260,NDays&amp;"D")</f>
        <v>54661</v>
      </c>
      <c r="W2260" s="249">
        <v>2.3831124440989258E-2</v>
      </c>
      <c r="X2260" s="246">
        <v>2.3761602269400939E-2</v>
      </c>
    </row>
    <row r="2261" spans="20:24" x14ac:dyDescent="0.2">
      <c r="T2261" s="247" t="str">
        <f t="shared" si="40"/>
        <v>1w</v>
      </c>
      <c r="U2261" s="245">
        <f>_xll.qlCalendarAdvance(Calendar,U2260,T2261,"f",FALSE)</f>
        <v>54666</v>
      </c>
      <c r="V2261" s="248">
        <f>_xll.qlCalendarAdvance(Calendar,U2261,NDays&amp;"D")</f>
        <v>54668</v>
      </c>
      <c r="W2261" s="249">
        <v>2.3830013882462014E-2</v>
      </c>
      <c r="X2261" s="246">
        <v>2.3761368021899543E-2</v>
      </c>
    </row>
    <row r="2262" spans="20:24" x14ac:dyDescent="0.2">
      <c r="T2262" s="247" t="str">
        <f t="shared" si="40"/>
        <v>1w</v>
      </c>
      <c r="U2262" s="245">
        <f>_xll.qlCalendarAdvance(Calendar,U2261,T2262,"f",FALSE)</f>
        <v>54673</v>
      </c>
      <c r="V2262" s="248">
        <f>_xll.qlCalendarAdvance(Calendar,U2262,NDays&amp;"D")</f>
        <v>54675</v>
      </c>
      <c r="W2262" s="249">
        <v>2.3829645370369086E-2</v>
      </c>
      <c r="X2262" s="246">
        <v>2.3761115994220816E-2</v>
      </c>
    </row>
    <row r="2263" spans="20:24" x14ac:dyDescent="0.2">
      <c r="T2263" s="247" t="str">
        <f t="shared" si="40"/>
        <v>1w</v>
      </c>
      <c r="U2263" s="245">
        <f>_xll.qlCalendarAdvance(Calendar,U2262,T2263,"f",FALSE)</f>
        <v>54680</v>
      </c>
      <c r="V2263" s="248">
        <f>_xll.qlCalendarAdvance(Calendar,U2263,NDays&amp;"D")</f>
        <v>54682</v>
      </c>
      <c r="W2263" s="249">
        <v>2.3829258972071991E-2</v>
      </c>
      <c r="X2263" s="246">
        <v>2.3760846186204887E-2</v>
      </c>
    </row>
    <row r="2264" spans="20:24" x14ac:dyDescent="0.2">
      <c r="T2264" s="247" t="str">
        <f t="shared" si="40"/>
        <v>1w</v>
      </c>
      <c r="U2264" s="245">
        <f>_xll.qlCalendarAdvance(Calendar,U2263,T2264,"f",FALSE)</f>
        <v>54687</v>
      </c>
      <c r="V2264" s="248">
        <f>_xll.qlCalendarAdvance(Calendar,U2264,NDays&amp;"D")</f>
        <v>54689</v>
      </c>
      <c r="W2264" s="249">
        <v>2.3828854687576877E-2</v>
      </c>
      <c r="X2264" s="246">
        <v>2.3760558597771819E-2</v>
      </c>
    </row>
    <row r="2265" spans="20:24" x14ac:dyDescent="0.2">
      <c r="T2265" s="247" t="str">
        <f t="shared" si="40"/>
        <v>1w</v>
      </c>
      <c r="U2265" s="245">
        <f>_xll.qlCalendarAdvance(Calendar,U2264,T2265,"f",FALSE)</f>
        <v>54694</v>
      </c>
      <c r="V2265" s="248">
        <f>_xll.qlCalendarAdvance(Calendar,U2265,NDays&amp;"D")</f>
        <v>54696</v>
      </c>
      <c r="W2265" s="249">
        <v>2.3829185933676326E-2</v>
      </c>
      <c r="X2265" s="246">
        <v>2.3760253229081485E-2</v>
      </c>
    </row>
    <row r="2266" spans="20:24" x14ac:dyDescent="0.2">
      <c r="T2266" s="247" t="str">
        <f t="shared" si="40"/>
        <v>1w</v>
      </c>
      <c r="U2266" s="245">
        <f>_xll.qlCalendarAdvance(Calendar,U2265,T2266,"f",FALSE)</f>
        <v>54701</v>
      </c>
      <c r="V2266" s="248">
        <f>_xll.qlCalendarAdvance(Calendar,U2266,NDays&amp;"D")</f>
        <v>54703</v>
      </c>
      <c r="W2266" s="249">
        <v>2.382874457009412E-2</v>
      </c>
      <c r="X2266" s="246">
        <v>2.3759930080133884E-2</v>
      </c>
    </row>
    <row r="2267" spans="20:24" x14ac:dyDescent="0.2">
      <c r="T2267" s="247" t="str">
        <f t="shared" si="40"/>
        <v>1w</v>
      </c>
      <c r="U2267" s="245">
        <f>_xll.qlCalendarAdvance(Calendar,U2266,T2267,"f",FALSE)</f>
        <v>54708</v>
      </c>
      <c r="V2267" s="248">
        <f>_xll.qlCalendarAdvance(Calendar,U2267,NDays&amp;"D")</f>
        <v>54710</v>
      </c>
      <c r="W2267" s="249">
        <v>2.3828285319150759E-2</v>
      </c>
      <c r="X2267" s="246">
        <v>2.3759589150769145E-2</v>
      </c>
    </row>
    <row r="2268" spans="20:24" x14ac:dyDescent="0.2">
      <c r="T2268" s="247" t="str">
        <f t="shared" si="40"/>
        <v>1w</v>
      </c>
      <c r="U2268" s="245">
        <f>_xll.qlCalendarAdvance(Calendar,U2267,T2268,"f",FALSE)</f>
        <v>54715</v>
      </c>
      <c r="V2268" s="248">
        <f>_xll.qlCalendarAdvance(Calendar,U2268,NDays&amp;"D")</f>
        <v>54717</v>
      </c>
      <c r="W2268" s="249">
        <v>2.3827808180852325E-2</v>
      </c>
      <c r="X2268" s="246">
        <v>2.3759230441067203E-2</v>
      </c>
    </row>
    <row r="2269" spans="20:24" x14ac:dyDescent="0.2">
      <c r="T2269" s="247" t="str">
        <f t="shared" si="40"/>
        <v>1w</v>
      </c>
      <c r="U2269" s="245">
        <f>_xll.qlCalendarAdvance(Calendar,U2268,T2269,"f",FALSE)</f>
        <v>54722</v>
      </c>
      <c r="V2269" s="248">
        <f>_xll.qlCalendarAdvance(Calendar,U2269,NDays&amp;"D")</f>
        <v>54724</v>
      </c>
      <c r="W2269" s="249">
        <v>2.382731315520837E-2</v>
      </c>
      <c r="X2269" s="246">
        <v>2.375885395118793E-2</v>
      </c>
    </row>
    <row r="2270" spans="20:24" x14ac:dyDescent="0.2">
      <c r="T2270" s="247" t="str">
        <f t="shared" si="40"/>
        <v>1w</v>
      </c>
      <c r="U2270" s="245">
        <f>_xll.qlCalendarAdvance(Calendar,U2269,T2270,"f",FALSE)</f>
        <v>54729</v>
      </c>
      <c r="V2270" s="248">
        <f>_xll.qlCalendarAdvance(Calendar,U2270,NDays&amp;"D")</f>
        <v>54731</v>
      </c>
      <c r="W2270" s="249">
        <v>2.382680024222324E-2</v>
      </c>
      <c r="X2270" s="246">
        <v>2.3758459680971455E-2</v>
      </c>
    </row>
    <row r="2271" spans="20:24" x14ac:dyDescent="0.2">
      <c r="T2271" s="247" t="str">
        <f t="shared" si="40"/>
        <v>1w</v>
      </c>
      <c r="U2271" s="245">
        <f>_xll.qlCalendarAdvance(Calendar,U2270,T2271,"f",FALSE)</f>
        <v>54736</v>
      </c>
      <c r="V2271" s="248">
        <f>_xll.qlCalendarAdvance(Calendar,U2271,NDays&amp;"D")</f>
        <v>54738</v>
      </c>
      <c r="W2271" s="249">
        <v>2.3826269441905627E-2</v>
      </c>
      <c r="X2271" s="246">
        <v>2.3758047630337842E-2</v>
      </c>
    </row>
    <row r="2272" spans="20:24" x14ac:dyDescent="0.2">
      <c r="T2272" s="247" t="str">
        <f t="shared" si="40"/>
        <v>1w</v>
      </c>
      <c r="U2272" s="245">
        <f>_xll.qlCalendarAdvance(Calendar,U2271,T2272,"f",FALSE)</f>
        <v>54743</v>
      </c>
      <c r="V2272" s="248">
        <f>_xll.qlCalendarAdvance(Calendar,U2272,NDays&amp;"D")</f>
        <v>54745</v>
      </c>
      <c r="W2272" s="249">
        <v>2.3825720754259008E-2</v>
      </c>
      <c r="X2272" s="246">
        <v>2.3757617799367026E-2</v>
      </c>
    </row>
    <row r="2273" spans="20:24" x14ac:dyDescent="0.2">
      <c r="T2273" s="247" t="str">
        <f t="shared" si="40"/>
        <v>1w</v>
      </c>
      <c r="U2273" s="245">
        <f>_xll.qlCalendarAdvance(Calendar,U2272,T2273,"f",FALSE)</f>
        <v>54750</v>
      </c>
      <c r="V2273" s="248">
        <f>_xll.qlCalendarAdvance(Calendar,U2273,NDays&amp;"D")</f>
        <v>54752</v>
      </c>
      <c r="W2273" s="249">
        <v>2.3825154179294671E-2</v>
      </c>
      <c r="X2273" s="246">
        <v>2.3757170188218879E-2</v>
      </c>
    </row>
    <row r="2274" spans="20:24" x14ac:dyDescent="0.2">
      <c r="T2274" s="247" t="str">
        <f t="shared" si="40"/>
        <v>1w</v>
      </c>
      <c r="U2274" s="245">
        <f>_xll.qlCalendarAdvance(Calendar,U2273,T2274,"f",FALSE)</f>
        <v>54757</v>
      </c>
      <c r="V2274" s="248">
        <f>_xll.qlCalendarAdvance(Calendar,U2274,NDays&amp;"D")</f>
        <v>54759</v>
      </c>
      <c r="W2274" s="249">
        <v>2.3823086396111748E-2</v>
      </c>
      <c r="X2274" s="246">
        <v>2.3756704796653594E-2</v>
      </c>
    </row>
    <row r="2275" spans="20:24" x14ac:dyDescent="0.2">
      <c r="T2275" s="247" t="str">
        <f t="shared" si="40"/>
        <v>1w</v>
      </c>
      <c r="U2275" s="245">
        <f>_xll.qlCalendarAdvance(Calendar,U2274,T2275,"f",FALSE)</f>
        <v>54764</v>
      </c>
      <c r="V2275" s="248">
        <f>_xll.qlCalendarAdvance(Calendar,U2275,NDays&amp;"D")</f>
        <v>54766</v>
      </c>
      <c r="W2275" s="249">
        <v>2.3822486681002175E-2</v>
      </c>
      <c r="X2275" s="246">
        <v>2.3756221624751106E-2</v>
      </c>
    </row>
    <row r="2276" spans="20:24" x14ac:dyDescent="0.2">
      <c r="T2276" s="247" t="str">
        <f t="shared" si="40"/>
        <v>1w</v>
      </c>
      <c r="U2276" s="245">
        <f>_xll.qlCalendarAdvance(Calendar,U2275,T2276,"f",FALSE)</f>
        <v>54771</v>
      </c>
      <c r="V2276" s="248">
        <f>_xll.qlCalendarAdvance(Calendar,U2276,NDays&amp;"D")</f>
        <v>54773</v>
      </c>
      <c r="W2276" s="249">
        <v>2.3821869080953739E-2</v>
      </c>
      <c r="X2276" s="246">
        <v>2.3755720672591352E-2</v>
      </c>
    </row>
    <row r="2277" spans="20:24" x14ac:dyDescent="0.2">
      <c r="T2277" s="247" t="str">
        <f t="shared" si="40"/>
        <v>1w</v>
      </c>
      <c r="U2277" s="245">
        <f>_xll.qlCalendarAdvance(Calendar,U2276,T2277,"f",FALSE)</f>
        <v>54778</v>
      </c>
      <c r="V2277" s="248">
        <f>_xll.qlCalendarAdvance(Calendar,U2277,NDays&amp;"D")</f>
        <v>54780</v>
      </c>
      <c r="W2277" s="249">
        <v>2.382123359597621E-2</v>
      </c>
      <c r="X2277" s="246">
        <v>2.3755201940174331E-2</v>
      </c>
    </row>
    <row r="2278" spans="20:24" x14ac:dyDescent="0.2">
      <c r="T2278" s="247" t="str">
        <f t="shared" si="40"/>
        <v>1w</v>
      </c>
      <c r="U2278" s="245">
        <f>_xll.qlCalendarAdvance(Calendar,U2277,T2278,"f",FALSE)</f>
        <v>54785</v>
      </c>
      <c r="V2278" s="248">
        <f>_xll.qlCalendarAdvance(Calendar,U2278,NDays&amp;"D")</f>
        <v>54787</v>
      </c>
      <c r="W2278" s="249">
        <v>2.3820580226077581E-2</v>
      </c>
      <c r="X2278" s="246">
        <v>2.3754665427340171E-2</v>
      </c>
    </row>
    <row r="2279" spans="20:24" x14ac:dyDescent="0.2">
      <c r="T2279" s="247" t="str">
        <f t="shared" si="40"/>
        <v>1w</v>
      </c>
      <c r="U2279" s="245">
        <f>_xll.qlCalendarAdvance(Calendar,U2278,T2279,"f",FALSE)</f>
        <v>54792</v>
      </c>
      <c r="V2279" s="248">
        <f>_xll.qlCalendarAdvance(Calendar,U2279,NDays&amp;"D")</f>
        <v>54794</v>
      </c>
      <c r="W2279" s="249">
        <v>2.3819908971265846E-2</v>
      </c>
      <c r="X2279" s="246">
        <v>2.3754111134168809E-2</v>
      </c>
    </row>
    <row r="2280" spans="20:24" x14ac:dyDescent="0.2">
      <c r="T2280" s="247" t="str">
        <f t="shared" si="40"/>
        <v>1w</v>
      </c>
      <c r="U2280" s="245">
        <f>_xll.qlCalendarAdvance(Calendar,U2279,T2280,"f",FALSE)</f>
        <v>54799</v>
      </c>
      <c r="V2280" s="248">
        <f>_xll.qlCalendarAdvance(Calendar,U2280,NDays&amp;"D")</f>
        <v>54801</v>
      </c>
      <c r="W2280" s="249">
        <v>2.3819219831550775E-2</v>
      </c>
      <c r="X2280" s="246">
        <v>2.3753539060820117E-2</v>
      </c>
    </row>
    <row r="2281" spans="20:24" x14ac:dyDescent="0.2">
      <c r="T2281" s="247" t="str">
        <f t="shared" si="40"/>
        <v>1w</v>
      </c>
      <c r="U2281" s="245">
        <f>_xll.qlCalendarAdvance(Calendar,U2280,T2281,"f",FALSE)</f>
        <v>54806</v>
      </c>
      <c r="V2281" s="248">
        <f>_xll.qlCalendarAdvance(Calendar,U2281,NDays&amp;"D")</f>
        <v>54808</v>
      </c>
      <c r="W2281" s="249">
        <v>2.381851280694125E-2</v>
      </c>
      <c r="X2281" s="246">
        <v>2.375294920697435E-2</v>
      </c>
    </row>
    <row r="2282" spans="20:24" x14ac:dyDescent="0.2">
      <c r="T2282" s="247" t="str">
        <f t="shared" si="40"/>
        <v>1w</v>
      </c>
      <c r="U2282" s="245">
        <f>_xll.qlCalendarAdvance(Calendar,U2281,T2282,"f",FALSE)</f>
        <v>54813</v>
      </c>
      <c r="V2282" s="248">
        <f>_xll.qlCalendarAdvance(Calendar,U2282,NDays&amp;"D")</f>
        <v>54815</v>
      </c>
      <c r="W2282" s="249">
        <v>2.3817787897445264E-2</v>
      </c>
      <c r="X2282" s="246">
        <v>2.3752341572871316E-2</v>
      </c>
    </row>
    <row r="2283" spans="20:24" x14ac:dyDescent="0.2">
      <c r="T2283" s="247" t="str">
        <f t="shared" si="40"/>
        <v>1w</v>
      </c>
      <c r="U2283" s="245">
        <f>_xll.qlCalendarAdvance(Calendar,U2282,T2283,"f",FALSE)</f>
        <v>54820</v>
      </c>
      <c r="V2283" s="248">
        <f>_xll.qlCalendarAdvance(Calendar,U2283,NDays&amp;"D")</f>
        <v>54822</v>
      </c>
      <c r="W2283" s="249">
        <v>2.3816315198359597E-2</v>
      </c>
      <c r="X2283" s="246">
        <v>2.3751716158511016E-2</v>
      </c>
    </row>
    <row r="2284" spans="20:24" x14ac:dyDescent="0.2">
      <c r="T2284" s="247" t="str">
        <f t="shared" si="40"/>
        <v>1w</v>
      </c>
      <c r="U2284" s="245">
        <f>_xll.qlCalendarAdvance(Calendar,U2283,T2284,"f",FALSE)</f>
        <v>54827</v>
      </c>
      <c r="V2284" s="248">
        <f>_xll.qlCalendarAdvance(Calendar,U2284,NDays&amp;"D")</f>
        <v>54829</v>
      </c>
      <c r="W2284" s="249">
        <v>2.3815555846702089E-2</v>
      </c>
      <c r="X2284" s="246">
        <v>2.3751072963893449E-2</v>
      </c>
    </row>
    <row r="2285" spans="20:24" x14ac:dyDescent="0.2">
      <c r="T2285" s="247" t="str">
        <f t="shared" si="40"/>
        <v>1w</v>
      </c>
      <c r="U2285" s="245">
        <f>_xll.qlCalendarAdvance(Calendar,U2284,T2285,"f",FALSE)</f>
        <v>54834</v>
      </c>
      <c r="V2285" s="248">
        <f>_xll.qlCalendarAdvance(Calendar,U2285,NDays&amp;"D")</f>
        <v>54836</v>
      </c>
      <c r="W2285" s="249">
        <v>2.3814778611367118E-2</v>
      </c>
      <c r="X2285" s="246">
        <v>2.3750411988858744E-2</v>
      </c>
    </row>
    <row r="2286" spans="20:24" x14ac:dyDescent="0.2">
      <c r="T2286" s="247" t="str">
        <f t="shared" si="40"/>
        <v>1w</v>
      </c>
      <c r="U2286" s="245">
        <f>_xll.qlCalendarAdvance(Calendar,U2285,T2286,"f",FALSE)</f>
        <v>54841</v>
      </c>
      <c r="V2286" s="248">
        <f>_xll.qlCalendarAdvance(Calendar,U2286,NDays&amp;"D")</f>
        <v>54843</v>
      </c>
      <c r="W2286" s="249">
        <v>2.3813983492363671E-2</v>
      </c>
      <c r="X2286" s="246">
        <v>2.37497332334069E-2</v>
      </c>
    </row>
    <row r="2287" spans="20:24" x14ac:dyDescent="0.2">
      <c r="T2287" s="247" t="str">
        <f t="shared" si="40"/>
        <v>1w</v>
      </c>
      <c r="U2287" s="245">
        <f>_xll.qlCalendarAdvance(Calendar,U2286,T2287,"f",FALSE)</f>
        <v>54848</v>
      </c>
      <c r="V2287" s="248">
        <f>_xll.qlCalendarAdvance(Calendar,U2287,NDays&amp;"D")</f>
        <v>54850</v>
      </c>
      <c r="W2287" s="249">
        <v>2.3815343966078113E-2</v>
      </c>
      <c r="X2287" s="246">
        <v>2.3749036697777726E-2</v>
      </c>
    </row>
    <row r="2288" spans="20:24" x14ac:dyDescent="0.2">
      <c r="T2288" s="247" t="str">
        <f t="shared" si="40"/>
        <v>1w</v>
      </c>
      <c r="U2288" s="245">
        <f>_xll.qlCalendarAdvance(Calendar,U2287,T2288,"f",FALSE)</f>
        <v>54855</v>
      </c>
      <c r="V2288" s="248">
        <f>_xll.qlCalendarAdvance(Calendar,U2288,NDays&amp;"D")</f>
        <v>54857</v>
      </c>
      <c r="W2288" s="249">
        <v>2.3814509082393315E-2</v>
      </c>
      <c r="X2288" s="246">
        <v>2.3748322381811349E-2</v>
      </c>
    </row>
    <row r="2289" spans="20:24" x14ac:dyDescent="0.2">
      <c r="T2289" s="247" t="str">
        <f t="shared" si="40"/>
        <v>1w</v>
      </c>
      <c r="U2289" s="245">
        <f>_xll.qlCalendarAdvance(Calendar,U2288,T2289,"f",FALSE)</f>
        <v>54862</v>
      </c>
      <c r="V2289" s="248">
        <f>_xll.qlCalendarAdvance(Calendar,U2289,NDays&amp;"D")</f>
        <v>54864</v>
      </c>
      <c r="W2289" s="249">
        <v>2.3813656311543731E-2</v>
      </c>
      <c r="X2289" s="246">
        <v>2.3747590285587705E-2</v>
      </c>
    </row>
    <row r="2290" spans="20:24" x14ac:dyDescent="0.2">
      <c r="T2290" s="247" t="str">
        <f t="shared" si="40"/>
        <v>1w</v>
      </c>
      <c r="U2290" s="245">
        <f>_xll.qlCalendarAdvance(Calendar,U2289,T2290,"f",FALSE)</f>
        <v>54869</v>
      </c>
      <c r="V2290" s="248">
        <f>_xll.qlCalendarAdvance(Calendar,U2290,NDays&amp;"D")</f>
        <v>54871</v>
      </c>
      <c r="W2290" s="249">
        <v>2.3812785653537168E-2</v>
      </c>
      <c r="X2290" s="246">
        <v>2.3746840408946923E-2</v>
      </c>
    </row>
    <row r="2291" spans="20:24" x14ac:dyDescent="0.2">
      <c r="T2291" s="247" t="str">
        <f t="shared" si="40"/>
        <v>1w</v>
      </c>
      <c r="U2291" s="245">
        <f>_xll.qlCalendarAdvance(Calendar,U2290,T2291,"f",FALSE)</f>
        <v>54876</v>
      </c>
      <c r="V2291" s="248">
        <f>_xll.qlCalendarAdvance(Calendar,U2291,NDays&amp;"D")</f>
        <v>54878</v>
      </c>
      <c r="W2291" s="249">
        <v>2.3811178049067901E-2</v>
      </c>
      <c r="X2291" s="246">
        <v>2.3746072752048875E-2</v>
      </c>
    </row>
    <row r="2292" spans="20:24" x14ac:dyDescent="0.2">
      <c r="T2292" s="247" t="str">
        <f t="shared" si="40"/>
        <v>1w</v>
      </c>
      <c r="U2292" s="245">
        <f>_xll.qlCalendarAdvance(Calendar,U2291,T2292,"f",FALSE)</f>
        <v>54883</v>
      </c>
      <c r="V2292" s="248">
        <f>_xll.qlCalendarAdvance(Calendar,U2292,NDays&amp;"D")</f>
        <v>54885</v>
      </c>
      <c r="W2292" s="249">
        <v>2.3810272954127368E-2</v>
      </c>
      <c r="X2292" s="246">
        <v>2.3748191859050749E-2</v>
      </c>
    </row>
    <row r="2293" spans="20:24" x14ac:dyDescent="0.2">
      <c r="T2293" s="247" t="str">
        <f t="shared" si="40"/>
        <v>1w</v>
      </c>
      <c r="U2293" s="245">
        <f>_xll.qlCalendarAdvance(Calendar,U2292,T2293,"f",FALSE)</f>
        <v>54890</v>
      </c>
      <c r="V2293" s="248">
        <f>_xll.qlCalendarAdvance(Calendar,U2293,NDays&amp;"D")</f>
        <v>54892</v>
      </c>
      <c r="W2293" s="249">
        <v>2.3809349973243556E-2</v>
      </c>
      <c r="X2293" s="246">
        <v>2.374448409724117E-2</v>
      </c>
    </row>
    <row r="2294" spans="20:24" x14ac:dyDescent="0.2">
      <c r="T2294" s="247" t="str">
        <f t="shared" si="40"/>
        <v>1w</v>
      </c>
      <c r="U2294" s="245">
        <f>_xll.qlCalendarAdvance(Calendar,U2293,T2294,"f",FALSE)</f>
        <v>54897</v>
      </c>
      <c r="V2294" s="248">
        <f>_xll.qlCalendarAdvance(Calendar,U2294,NDays&amp;"D")</f>
        <v>54899</v>
      </c>
      <c r="W2294" s="249">
        <v>2.3808409106430527E-2</v>
      </c>
      <c r="X2294" s="246">
        <v>2.3743663099411449E-2</v>
      </c>
    </row>
    <row r="2295" spans="20:24" x14ac:dyDescent="0.2">
      <c r="T2295" s="247" t="str">
        <f t="shared" si="40"/>
        <v>1w</v>
      </c>
      <c r="U2295" s="245">
        <f>_xll.qlCalendarAdvance(Calendar,U2294,T2295,"f",FALSE)</f>
        <v>54904</v>
      </c>
      <c r="V2295" s="248">
        <f>_xll.qlCalendarAdvance(Calendar,U2295,NDays&amp;"D")</f>
        <v>54906</v>
      </c>
      <c r="W2295" s="249">
        <v>2.3807450353703206E-2</v>
      </c>
      <c r="X2295" s="246">
        <v>2.3742824321244527E-2</v>
      </c>
    </row>
    <row r="2296" spans="20:24" x14ac:dyDescent="0.2">
      <c r="T2296" s="247" t="str">
        <f t="shared" si="40"/>
        <v>1w</v>
      </c>
      <c r="U2296" s="245">
        <f>_xll.qlCalendarAdvance(Calendar,U2295,T2296,"f",FALSE)</f>
        <v>54911</v>
      </c>
      <c r="V2296" s="248">
        <f>_xll.qlCalendarAdvance(Calendar,U2296,NDays&amp;"D")</f>
        <v>54913</v>
      </c>
      <c r="W2296" s="249">
        <v>2.3807186075943388E-2</v>
      </c>
      <c r="X2296" s="246">
        <v>2.3741967762820337E-2</v>
      </c>
    </row>
    <row r="2297" spans="20:24" x14ac:dyDescent="0.2">
      <c r="T2297" s="247" t="str">
        <f t="shared" si="40"/>
        <v>1w</v>
      </c>
      <c r="U2297" s="245">
        <f>_xll.qlCalendarAdvance(Calendar,U2296,T2297,"f",FALSE)</f>
        <v>54918</v>
      </c>
      <c r="V2297" s="248">
        <f>_xll.qlCalendarAdvance(Calendar,U2297,NDays&amp;"D")</f>
        <v>54920</v>
      </c>
      <c r="W2297" s="249">
        <v>2.3806190208201204E-2</v>
      </c>
      <c r="X2297" s="246">
        <v>2.3741093423819137E-2</v>
      </c>
    </row>
    <row r="2298" spans="20:24" x14ac:dyDescent="0.2">
      <c r="T2298" s="247" t="str">
        <f t="shared" si="40"/>
        <v>1w</v>
      </c>
      <c r="U2298" s="245">
        <f>_xll.qlCalendarAdvance(Calendar,U2297,T2298,"f",FALSE)</f>
        <v>54925</v>
      </c>
      <c r="V2298" s="248">
        <f>_xll.qlCalendarAdvance(Calendar,U2298,NDays&amp;"D")</f>
        <v>54927</v>
      </c>
      <c r="W2298" s="249">
        <v>2.3805176453408919E-2</v>
      </c>
      <c r="X2298" s="246">
        <v>2.3740201304800479E-2</v>
      </c>
    </row>
    <row r="2299" spans="20:24" x14ac:dyDescent="0.2">
      <c r="T2299" s="247" t="str">
        <f t="shared" si="40"/>
        <v>1w</v>
      </c>
      <c r="U2299" s="245">
        <f>_xll.qlCalendarAdvance(Calendar,U2298,T2299,"f",FALSE)</f>
        <v>54932</v>
      </c>
      <c r="V2299" s="248">
        <f>_xll.qlCalendarAdvance(Calendar,U2299,NDays&amp;"D")</f>
        <v>54934</v>
      </c>
      <c r="W2299" s="249">
        <v>2.380414481157609E-2</v>
      </c>
      <c r="X2299" s="246">
        <v>2.3739291405444618E-2</v>
      </c>
    </row>
    <row r="2300" spans="20:24" x14ac:dyDescent="0.2">
      <c r="T2300" s="247" t="str">
        <f t="shared" si="40"/>
        <v>1w</v>
      </c>
      <c r="U2300" s="245">
        <f>_xll.qlCalendarAdvance(Calendar,U2299,T2300,"f",FALSE)</f>
        <v>54939</v>
      </c>
      <c r="V2300" s="248">
        <f>_xll.qlCalendarAdvance(Calendar,U2300,NDays&amp;"D")</f>
        <v>54941</v>
      </c>
      <c r="W2300" s="249">
        <v>2.380309528272009E-2</v>
      </c>
      <c r="X2300" s="246">
        <v>2.3738363725671618E-2</v>
      </c>
    </row>
    <row r="2301" spans="20:24" x14ac:dyDescent="0.2">
      <c r="T2301" s="247" t="str">
        <f t="shared" si="40"/>
        <v>1w</v>
      </c>
      <c r="U2301" s="245">
        <f>_xll.qlCalendarAdvance(Calendar,U2300,T2301,"f",FALSE)</f>
        <v>54946</v>
      </c>
      <c r="V2301" s="248">
        <f>_xll.qlCalendarAdvance(Calendar,U2301,NDays&amp;"D")</f>
        <v>54948</v>
      </c>
      <c r="W2301" s="249">
        <v>2.3802027866851354E-2</v>
      </c>
      <c r="X2301" s="246">
        <v>2.373741826548148E-2</v>
      </c>
    </row>
    <row r="2302" spans="20:24" x14ac:dyDescent="0.2">
      <c r="T2302" s="247" t="str">
        <f t="shared" si="40"/>
        <v>1w</v>
      </c>
      <c r="U2302" s="245">
        <f>_xll.qlCalendarAdvance(Calendar,U2301,T2302,"f",FALSE)</f>
        <v>54953</v>
      </c>
      <c r="V2302" s="248">
        <f>_xll.qlCalendarAdvance(Calendar,U2302,NDays&amp;"D")</f>
        <v>54955</v>
      </c>
      <c r="W2302" s="249">
        <v>2.3800942563988122E-2</v>
      </c>
      <c r="X2302" s="246">
        <v>2.3736455025193948E-2</v>
      </c>
    </row>
    <row r="2303" spans="20:24" x14ac:dyDescent="0.2">
      <c r="T2303" s="247" t="str">
        <f t="shared" si="40"/>
        <v>1w</v>
      </c>
      <c r="U2303" s="245">
        <f>_xll.qlCalendarAdvance(Calendar,U2302,T2303,"f",FALSE)</f>
        <v>54960</v>
      </c>
      <c r="V2303" s="248">
        <f>_xll.qlCalendarAdvance(Calendar,U2303,NDays&amp;"D")</f>
        <v>54962</v>
      </c>
      <c r="W2303" s="249">
        <v>2.3799839374143431E-2</v>
      </c>
      <c r="X2303" s="246">
        <v>2.3735474004489276E-2</v>
      </c>
    </row>
    <row r="2304" spans="20:24" x14ac:dyDescent="0.2">
      <c r="T2304" s="247" t="str">
        <f t="shared" si="40"/>
        <v>1w</v>
      </c>
      <c r="U2304" s="245">
        <f>_xll.qlCalendarAdvance(Calendar,U2303,T2304,"f",FALSE)</f>
        <v>54967</v>
      </c>
      <c r="V2304" s="248">
        <f>_xll.qlCalendarAdvance(Calendar,U2304,NDays&amp;"D")</f>
        <v>54969</v>
      </c>
      <c r="W2304" s="249">
        <v>2.3798718297331177E-2</v>
      </c>
      <c r="X2304" s="246">
        <v>2.3734475203447403E-2</v>
      </c>
    </row>
    <row r="2305" spans="20:24" x14ac:dyDescent="0.2">
      <c r="T2305" s="247" t="str">
        <f t="shared" si="40"/>
        <v>1w</v>
      </c>
      <c r="U2305" s="245">
        <f>_xll.qlCalendarAdvance(Calendar,U2304,T2305,"f",FALSE)</f>
        <v>54974</v>
      </c>
      <c r="V2305" s="248">
        <f>_xll.qlCalendarAdvance(Calendar,U2305,NDays&amp;"D")</f>
        <v>54976</v>
      </c>
      <c r="W2305" s="249">
        <v>2.3797579333569612E-2</v>
      </c>
      <c r="X2305" s="246">
        <v>2.3733458622068326E-2</v>
      </c>
    </row>
    <row r="2306" spans="20:24" x14ac:dyDescent="0.2">
      <c r="T2306" s="247" t="str">
        <f t="shared" si="40"/>
        <v>1w</v>
      </c>
      <c r="U2306" s="245">
        <f>_xll.qlCalendarAdvance(Calendar,U2305,T2306,"f",FALSE)</f>
        <v>54981</v>
      </c>
      <c r="V2306" s="248">
        <f>_xll.qlCalendarAdvance(Calendar,U2306,NDays&amp;"D")</f>
        <v>54983</v>
      </c>
      <c r="W2306" s="249">
        <v>2.3796422482872635E-2</v>
      </c>
      <c r="X2306" s="246">
        <v>2.373242426051192E-2</v>
      </c>
    </row>
    <row r="2307" spans="20:24" x14ac:dyDescent="0.2">
      <c r="T2307" s="247" t="str">
        <f t="shared" si="40"/>
        <v>1w</v>
      </c>
      <c r="U2307" s="245">
        <f>_xll.qlCalendarAdvance(Calendar,U2306,T2307,"f",FALSE)</f>
        <v>54988</v>
      </c>
      <c r="V2307" s="248">
        <f>_xll.qlCalendarAdvance(Calendar,U2307,NDays&amp;"D")</f>
        <v>54990</v>
      </c>
      <c r="W2307" s="249">
        <v>2.3795247745256758E-2</v>
      </c>
      <c r="X2307" s="246">
        <v>2.373137211861831E-2</v>
      </c>
    </row>
    <row r="2308" spans="20:24" x14ac:dyDescent="0.2">
      <c r="T2308" s="247" t="str">
        <f t="shared" si="40"/>
        <v>1w</v>
      </c>
      <c r="U2308" s="245">
        <f>_xll.qlCalendarAdvance(Calendar,U2307,T2308,"f",FALSE)</f>
        <v>54995</v>
      </c>
      <c r="V2308" s="248">
        <f>_xll.qlCalendarAdvance(Calendar,U2308,NDays&amp;"D")</f>
        <v>54997</v>
      </c>
      <c r="W2308" s="249">
        <v>2.3794055120735007E-2</v>
      </c>
      <c r="X2308" s="246">
        <v>2.3730302196227626E-2</v>
      </c>
    </row>
    <row r="2309" spans="20:24" x14ac:dyDescent="0.2">
      <c r="T2309" s="247" t="str">
        <f t="shared" si="40"/>
        <v>1w</v>
      </c>
      <c r="U2309" s="245">
        <f>_xll.qlCalendarAdvance(Calendar,U2308,T2309,"f",FALSE)</f>
        <v>55002</v>
      </c>
      <c r="V2309" s="248">
        <f>_xll.qlCalendarAdvance(Calendar,U2309,NDays&amp;"D")</f>
        <v>55004</v>
      </c>
      <c r="W2309" s="249">
        <v>2.3792844609327374E-2</v>
      </c>
      <c r="X2309" s="246">
        <v>2.3729214493739548E-2</v>
      </c>
    </row>
    <row r="2310" spans="20:24" x14ac:dyDescent="0.2">
      <c r="T2310" s="247" t="str">
        <f t="shared" si="40"/>
        <v>1w</v>
      </c>
      <c r="U2310" s="245">
        <f>_xll.qlCalendarAdvance(Calendar,U2309,T2310,"f",FALSE)</f>
        <v>55009</v>
      </c>
      <c r="V2310" s="248">
        <f>_xll.qlCalendarAdvance(Calendar,U2310,NDays&amp;"D")</f>
        <v>55011</v>
      </c>
      <c r="W2310" s="249">
        <v>2.3791616211049495E-2</v>
      </c>
      <c r="X2310" s="246">
        <v>2.3728109010834331E-2</v>
      </c>
    </row>
    <row r="2311" spans="20:24" x14ac:dyDescent="0.2">
      <c r="T2311" s="247" t="str">
        <f t="shared" si="40"/>
        <v>1w</v>
      </c>
      <c r="U2311" s="245">
        <f>_xll.qlCalendarAdvance(Calendar,U2310,T2311,"f",FALSE)</f>
        <v>55016</v>
      </c>
      <c r="V2311" s="248">
        <f>_xll.qlCalendarAdvance(Calendar,U2311,NDays&amp;"D")</f>
        <v>55018</v>
      </c>
      <c r="W2311" s="249">
        <v>2.3790369925916141E-2</v>
      </c>
      <c r="X2311" s="246">
        <v>2.3726985747591911E-2</v>
      </c>
    </row>
    <row r="2312" spans="20:24" x14ac:dyDescent="0.2">
      <c r="T2312" s="247" t="str">
        <f t="shared" si="40"/>
        <v>1w</v>
      </c>
      <c r="U2312" s="245">
        <f>_xll.qlCalendarAdvance(Calendar,U2311,T2312,"f",FALSE)</f>
        <v>55023</v>
      </c>
      <c r="V2312" s="248">
        <f>_xll.qlCalendarAdvance(Calendar,U2312,NDays&amp;"D")</f>
        <v>55025</v>
      </c>
      <c r="W2312" s="249">
        <v>2.3789105753947295E-2</v>
      </c>
      <c r="X2312" s="246">
        <v>2.3725844704092225E-2</v>
      </c>
    </row>
    <row r="2313" spans="20:24" x14ac:dyDescent="0.2">
      <c r="T2313" s="247" t="str">
        <f t="shared" si="40"/>
        <v>1w</v>
      </c>
      <c r="U2313" s="245">
        <f>_xll.qlCalendarAdvance(Calendar,U2312,T2313,"f",FALSE)</f>
        <v>55030</v>
      </c>
      <c r="V2313" s="248">
        <f>_xll.qlCalendarAdvance(Calendar,U2313,NDays&amp;"D")</f>
        <v>55032</v>
      </c>
      <c r="W2313" s="249">
        <v>2.3787134328716063E-2</v>
      </c>
      <c r="X2313" s="246">
        <v>2.3724685880335272E-2</v>
      </c>
    </row>
    <row r="2314" spans="20:24" x14ac:dyDescent="0.2">
      <c r="T2314" s="247" t="str">
        <f t="shared" si="40"/>
        <v>1w</v>
      </c>
      <c r="U2314" s="245">
        <f>_xll.qlCalendarAdvance(Calendar,U2313,T2314,"f",FALSE)</f>
        <v>55037</v>
      </c>
      <c r="V2314" s="248">
        <f>_xll.qlCalendarAdvance(Calendar,U2314,NDays&amp;"D")</f>
        <v>55039</v>
      </c>
      <c r="W2314" s="249">
        <v>2.3785835746299958E-2</v>
      </c>
      <c r="X2314" s="246">
        <v>2.3723509276161181E-2</v>
      </c>
    </row>
    <row r="2315" spans="20:24" x14ac:dyDescent="0.2">
      <c r="T2315" s="247" t="str">
        <f t="shared" si="40"/>
        <v>1w</v>
      </c>
      <c r="U2315" s="245">
        <f>_xll.qlCalendarAdvance(Calendar,U2314,T2315,"f",FALSE)</f>
        <v>55044</v>
      </c>
      <c r="V2315" s="248">
        <f>_xll.qlCalendarAdvance(Calendar,U2315,NDays&amp;"D")</f>
        <v>55046</v>
      </c>
      <c r="W2315" s="249">
        <v>2.3784519278269984E-2</v>
      </c>
      <c r="X2315" s="246">
        <v>2.3722314891649887E-2</v>
      </c>
    </row>
    <row r="2316" spans="20:24" x14ac:dyDescent="0.2">
      <c r="T2316" s="247" t="str">
        <f t="shared" si="40"/>
        <v>1w</v>
      </c>
      <c r="U2316" s="245">
        <f>_xll.qlCalendarAdvance(Calendar,U2315,T2316,"f",FALSE)</f>
        <v>55051</v>
      </c>
      <c r="V2316" s="248">
        <f>_xll.qlCalendarAdvance(Calendar,U2316,NDays&amp;"D")</f>
        <v>55053</v>
      </c>
      <c r="W2316" s="249">
        <v>2.3783184924646348E-2</v>
      </c>
      <c r="X2316" s="246">
        <v>2.3721102726961263E-2</v>
      </c>
    </row>
    <row r="2317" spans="20:24" x14ac:dyDescent="0.2">
      <c r="T2317" s="247" t="str">
        <f t="shared" si="40"/>
        <v>1w</v>
      </c>
      <c r="U2317" s="245">
        <f>_xll.qlCalendarAdvance(Calendar,U2316,T2317,"f",FALSE)</f>
        <v>55058</v>
      </c>
      <c r="V2317" s="248">
        <f>_xll.qlCalendarAdvance(Calendar,U2317,NDays&amp;"D")</f>
        <v>55060</v>
      </c>
      <c r="W2317" s="249">
        <v>2.3781832685446612E-2</v>
      </c>
      <c r="X2317" s="246">
        <v>2.3719872781935436E-2</v>
      </c>
    </row>
    <row r="2318" spans="20:24" x14ac:dyDescent="0.2">
      <c r="T2318" s="247" t="str">
        <f t="shared" si="40"/>
        <v>1w</v>
      </c>
      <c r="U2318" s="245">
        <f>_xll.qlCalendarAdvance(Calendar,U2317,T2318,"f",FALSE)</f>
        <v>55065</v>
      </c>
      <c r="V2318" s="248">
        <f>_xll.qlCalendarAdvance(Calendar,U2318,NDays&amp;"D")</f>
        <v>55067</v>
      </c>
      <c r="W2318" s="249">
        <v>2.3781145099534239E-2</v>
      </c>
      <c r="X2318" s="246">
        <v>2.3718625056572407E-2</v>
      </c>
    </row>
    <row r="2319" spans="20:24" x14ac:dyDescent="0.2">
      <c r="T2319" s="247" t="str">
        <f t="shared" si="40"/>
        <v>1w</v>
      </c>
      <c r="U2319" s="245">
        <f>_xll.qlCalendarAdvance(Calendar,U2318,T2319,"f",FALSE)</f>
        <v>55072</v>
      </c>
      <c r="V2319" s="248">
        <f>_xll.qlCalendarAdvance(Calendar,U2319,NDays&amp;"D")</f>
        <v>55074</v>
      </c>
      <c r="W2319" s="249">
        <v>2.3779755720200049E-2</v>
      </c>
      <c r="X2319" s="246">
        <v>2.3717359550792239E-2</v>
      </c>
    </row>
    <row r="2320" spans="20:24" x14ac:dyDescent="0.2">
      <c r="T2320" s="247" t="str">
        <f t="shared" si="40"/>
        <v>1w</v>
      </c>
      <c r="U2320" s="245">
        <f>_xll.qlCalendarAdvance(Calendar,U2319,T2320,"f",FALSE)</f>
        <v>55079</v>
      </c>
      <c r="V2320" s="248">
        <f>_xll.qlCalendarAdvance(Calendar,U2320,NDays&amp;"D")</f>
        <v>55081</v>
      </c>
      <c r="W2320" s="249">
        <v>2.3778348454174598E-2</v>
      </c>
      <c r="X2320" s="246">
        <v>2.371607626483474E-2</v>
      </c>
    </row>
    <row r="2321" spans="20:24" x14ac:dyDescent="0.2">
      <c r="T2321" s="247" t="str">
        <f t="shared" si="40"/>
        <v>1w</v>
      </c>
      <c r="U2321" s="245">
        <f>_xll.qlCalendarAdvance(Calendar,U2320,T2321,"f",FALSE)</f>
        <v>55086</v>
      </c>
      <c r="V2321" s="248">
        <f>_xll.qlCalendarAdvance(Calendar,U2321,NDays&amp;"D")</f>
        <v>55088</v>
      </c>
      <c r="W2321" s="249">
        <v>2.3776923301476138E-2</v>
      </c>
      <c r="X2321" s="246">
        <v>2.3714775198460103E-2</v>
      </c>
    </row>
    <row r="2322" spans="20:24" x14ac:dyDescent="0.2">
      <c r="T2322" s="247" t="str">
        <f t="shared" ref="T2322:T2385" si="41">T2321</f>
        <v>1w</v>
      </c>
      <c r="U2322" s="245">
        <f>_xll.qlCalendarAdvance(Calendar,U2321,T2322,"f",FALSE)</f>
        <v>55093</v>
      </c>
      <c r="V2322" s="248">
        <f>_xll.qlCalendarAdvance(Calendar,U2322,NDays&amp;"D")</f>
        <v>55095</v>
      </c>
      <c r="W2322" s="249">
        <v>2.3775480262123776E-2</v>
      </c>
      <c r="X2322" s="246">
        <v>2.3713456351828199E-2</v>
      </c>
    </row>
    <row r="2323" spans="20:24" x14ac:dyDescent="0.2">
      <c r="T2323" s="247" t="str">
        <f t="shared" si="41"/>
        <v>1w</v>
      </c>
      <c r="U2323" s="245">
        <f>_xll.qlCalendarAdvance(Calendar,U2322,T2323,"f",FALSE)</f>
        <v>55100</v>
      </c>
      <c r="V2323" s="248">
        <f>_xll.qlCalendarAdvance(Calendar,U2323,NDays&amp;"D")</f>
        <v>55102</v>
      </c>
      <c r="W2323" s="249">
        <v>2.3774019336137504E-2</v>
      </c>
      <c r="X2323" s="246">
        <v>2.3712119724859093E-2</v>
      </c>
    </row>
    <row r="2324" spans="20:24" x14ac:dyDescent="0.2">
      <c r="T2324" s="247" t="str">
        <f t="shared" si="41"/>
        <v>1w</v>
      </c>
      <c r="U2324" s="245">
        <f>_xll.qlCalendarAdvance(Calendar,U2323,T2324,"f",FALSE)</f>
        <v>55107</v>
      </c>
      <c r="V2324" s="248">
        <f>_xll.qlCalendarAdvance(Calendar,U2324,NDays&amp;"D")</f>
        <v>55109</v>
      </c>
      <c r="W2324" s="249">
        <v>2.3772540523537302E-2</v>
      </c>
      <c r="X2324" s="246">
        <v>2.371076531763272E-2</v>
      </c>
    </row>
    <row r="2325" spans="20:24" x14ac:dyDescent="0.2">
      <c r="T2325" s="247" t="str">
        <f t="shared" si="41"/>
        <v>1w</v>
      </c>
      <c r="U2325" s="245">
        <f>_xll.qlCalendarAdvance(Calendar,U2324,T2325,"f",FALSE)</f>
        <v>55114</v>
      </c>
      <c r="V2325" s="248">
        <f>_xll.qlCalendarAdvance(Calendar,U2325,NDays&amp;"D")</f>
        <v>55116</v>
      </c>
      <c r="W2325" s="249">
        <v>2.3771043824342288E-2</v>
      </c>
      <c r="X2325" s="246">
        <v>2.3709393130149081E-2</v>
      </c>
    </row>
    <row r="2326" spans="20:24" x14ac:dyDescent="0.2">
      <c r="T2326" s="247" t="str">
        <f t="shared" si="41"/>
        <v>1w</v>
      </c>
      <c r="U2326" s="245">
        <f>_xll.qlCalendarAdvance(Calendar,U2325,T2326,"f",FALSE)</f>
        <v>55121</v>
      </c>
      <c r="V2326" s="248">
        <f>_xll.qlCalendarAdvance(Calendar,U2326,NDays&amp;"D")</f>
        <v>55123</v>
      </c>
      <c r="W2326" s="249">
        <v>2.3768186029019311E-2</v>
      </c>
      <c r="X2326" s="246">
        <v>2.3708003162248303E-2</v>
      </c>
    </row>
    <row r="2327" spans="20:24" x14ac:dyDescent="0.2">
      <c r="T2327" s="247" t="str">
        <f t="shared" si="41"/>
        <v>1w</v>
      </c>
      <c r="U2327" s="245">
        <f>_xll.qlCalendarAdvance(Calendar,U2326,T2327,"f",FALSE)</f>
        <v>55128</v>
      </c>
      <c r="V2327" s="248">
        <f>_xll.qlCalendarAdvance(Calendar,U2327,NDays&amp;"D")</f>
        <v>55130</v>
      </c>
      <c r="W2327" s="249">
        <v>2.3766656313316759E-2</v>
      </c>
      <c r="X2327" s="246">
        <v>2.3706595414010323E-2</v>
      </c>
    </row>
    <row r="2328" spans="20:24" x14ac:dyDescent="0.2">
      <c r="T2328" s="247" t="str">
        <f t="shared" si="41"/>
        <v>1w</v>
      </c>
      <c r="U2328" s="245">
        <f>_xll.qlCalendarAdvance(Calendar,U2327,T2328,"f",FALSE)</f>
        <v>55135</v>
      </c>
      <c r="V2328" s="248">
        <f>_xll.qlCalendarAdvance(Calendar,U2328,NDays&amp;"D")</f>
        <v>55137</v>
      </c>
      <c r="W2328" s="249">
        <v>2.3765108713421412E-2</v>
      </c>
      <c r="X2328" s="246">
        <v>2.3705169885595012E-2</v>
      </c>
    </row>
    <row r="2329" spans="20:24" x14ac:dyDescent="0.2">
      <c r="T2329" s="247" t="str">
        <f t="shared" si="41"/>
        <v>1w</v>
      </c>
      <c r="U2329" s="245">
        <f>_xll.qlCalendarAdvance(Calendar,U2328,T2329,"f",FALSE)</f>
        <v>55142</v>
      </c>
      <c r="V2329" s="248">
        <f>_xll.qlCalendarAdvance(Calendar,U2329,NDays&amp;"D")</f>
        <v>55144</v>
      </c>
      <c r="W2329" s="249">
        <v>2.3763543229353701E-2</v>
      </c>
      <c r="X2329" s="246">
        <v>2.3703726576762563E-2</v>
      </c>
    </row>
    <row r="2330" spans="20:24" x14ac:dyDescent="0.2">
      <c r="T2330" s="247" t="str">
        <f t="shared" si="41"/>
        <v>1w</v>
      </c>
      <c r="U2330" s="245">
        <f>_xll.qlCalendarAdvance(Calendar,U2329,T2330,"f",FALSE)</f>
        <v>55149</v>
      </c>
      <c r="V2330" s="248">
        <f>_xll.qlCalendarAdvance(Calendar,U2330,NDays&amp;"D")</f>
        <v>55151</v>
      </c>
      <c r="W2330" s="249">
        <v>2.3761959861132276E-2</v>
      </c>
      <c r="X2330" s="246">
        <v>2.3702265487592911E-2</v>
      </c>
    </row>
    <row r="2331" spans="20:24" x14ac:dyDescent="0.2">
      <c r="T2331" s="247" t="str">
        <f t="shared" si="41"/>
        <v>1w</v>
      </c>
      <c r="U2331" s="245">
        <f>_xll.qlCalendarAdvance(Calendar,U2330,T2331,"f",FALSE)</f>
        <v>55156</v>
      </c>
      <c r="V2331" s="248">
        <f>_xll.qlCalendarAdvance(Calendar,U2331,NDays&amp;"D")</f>
        <v>55158</v>
      </c>
      <c r="W2331" s="249">
        <v>2.376035860878023E-2</v>
      </c>
      <c r="X2331" s="246">
        <v>2.3700786618325864E-2</v>
      </c>
    </row>
    <row r="2332" spans="20:24" x14ac:dyDescent="0.2">
      <c r="T2332" s="247" t="str">
        <f t="shared" si="41"/>
        <v>1w</v>
      </c>
      <c r="U2332" s="245">
        <f>_xll.qlCalendarAdvance(Calendar,U2331,T2332,"f",FALSE)</f>
        <v>55163</v>
      </c>
      <c r="V2332" s="248">
        <f>_xll.qlCalendarAdvance(Calendar,U2332,NDays&amp;"D")</f>
        <v>55165</v>
      </c>
      <c r="W2332" s="249">
        <v>2.3758739472318879E-2</v>
      </c>
      <c r="X2332" s="246">
        <v>2.3699289968481807E-2</v>
      </c>
    </row>
    <row r="2333" spans="20:24" x14ac:dyDescent="0.2">
      <c r="T2333" s="247" t="str">
        <f t="shared" si="41"/>
        <v>1w</v>
      </c>
      <c r="U2333" s="245">
        <f>_xll.qlCalendarAdvance(Calendar,U2332,T2333,"f",FALSE)</f>
        <v>55170</v>
      </c>
      <c r="V2333" s="248">
        <f>_xll.qlCalendarAdvance(Calendar,U2333,NDays&amp;"D")</f>
        <v>55172</v>
      </c>
      <c r="W2333" s="249">
        <v>2.3757102451769541E-2</v>
      </c>
      <c r="X2333" s="246">
        <v>2.3697775538460419E-2</v>
      </c>
    </row>
    <row r="2334" spans="20:24" x14ac:dyDescent="0.2">
      <c r="T2334" s="247" t="str">
        <f t="shared" si="41"/>
        <v>1w</v>
      </c>
      <c r="U2334" s="245">
        <f>_xll.qlCalendarAdvance(Calendar,U2333,T2334,"f",FALSE)</f>
        <v>55177</v>
      </c>
      <c r="V2334" s="248">
        <f>_xll.qlCalendarAdvance(Calendar,U2334,NDays&amp;"D")</f>
        <v>55179</v>
      </c>
      <c r="W2334" s="249">
        <v>2.375544754715353E-2</v>
      </c>
      <c r="X2334" s="246">
        <v>2.3696243328181765E-2</v>
      </c>
    </row>
    <row r="2335" spans="20:24" x14ac:dyDescent="0.2">
      <c r="T2335" s="247" t="str">
        <f t="shared" si="41"/>
        <v>1w</v>
      </c>
      <c r="U2335" s="245">
        <f>_xll.qlCalendarAdvance(Calendar,U2334,T2335,"f",FALSE)</f>
        <v>55184</v>
      </c>
      <c r="V2335" s="248">
        <f>_xll.qlCalendarAdvance(Calendar,U2335,NDays&amp;"D")</f>
        <v>55186</v>
      </c>
      <c r="W2335" s="249">
        <v>2.3753115445302619E-2</v>
      </c>
      <c r="X2335" s="246">
        <v>2.3694693337485973E-2</v>
      </c>
    </row>
    <row r="2336" spans="20:24" x14ac:dyDescent="0.2">
      <c r="T2336" s="247" t="str">
        <f t="shared" si="41"/>
        <v>1w</v>
      </c>
      <c r="U2336" s="245">
        <f>_xll.qlCalendarAdvance(Calendar,U2335,T2336,"f",FALSE)</f>
        <v>55191</v>
      </c>
      <c r="V2336" s="248">
        <f>_xll.qlCalendarAdvance(Calendar,U2336,NDays&amp;"D")</f>
        <v>55193</v>
      </c>
      <c r="W2336" s="249">
        <v>2.3751426161183292E-2</v>
      </c>
      <c r="X2336" s="246">
        <v>2.3693125566532913E-2</v>
      </c>
    </row>
    <row r="2337" spans="20:24" x14ac:dyDescent="0.2">
      <c r="T2337" s="247" t="str">
        <f t="shared" si="41"/>
        <v>1w</v>
      </c>
      <c r="U2337" s="245">
        <f>_xll.qlCalendarAdvance(Calendar,U2336,T2337,"f",FALSE)</f>
        <v>55198</v>
      </c>
      <c r="V2337" s="248">
        <f>_xll.qlCalendarAdvance(Calendar,U2337,NDays&amp;"D")</f>
        <v>55200</v>
      </c>
      <c r="W2337" s="249">
        <v>2.3749718994229872E-2</v>
      </c>
      <c r="X2337" s="246">
        <v>2.3691540015242651E-2</v>
      </c>
    </row>
    <row r="2338" spans="20:24" x14ac:dyDescent="0.2">
      <c r="T2338" s="247" t="str">
        <f t="shared" si="41"/>
        <v>1w</v>
      </c>
      <c r="U2338" s="245">
        <f>_xll.qlCalendarAdvance(Calendar,U2337,T2338,"f",FALSE)</f>
        <v>55205</v>
      </c>
      <c r="V2338" s="248">
        <f>_xll.qlCalendarAdvance(Calendar,U2338,NDays&amp;"D")</f>
        <v>55207</v>
      </c>
      <c r="W2338" s="249">
        <v>2.3747993944468408E-2</v>
      </c>
      <c r="X2338" s="246">
        <v>2.3689936683775059E-2</v>
      </c>
    </row>
    <row r="2339" spans="20:24" x14ac:dyDescent="0.2">
      <c r="T2339" s="247" t="str">
        <f t="shared" si="41"/>
        <v>1w</v>
      </c>
      <c r="U2339" s="245">
        <f>_xll.qlCalendarAdvance(Calendar,U2338,T2339,"f",FALSE)</f>
        <v>55212</v>
      </c>
      <c r="V2339" s="248">
        <f>_xll.qlCalendarAdvance(Calendar,U2339,NDays&amp;"D")</f>
        <v>55214</v>
      </c>
      <c r="W2339" s="249">
        <v>2.3748211955108785E-2</v>
      </c>
      <c r="X2339" s="246">
        <v>2.3688315571810392E-2</v>
      </c>
    </row>
    <row r="2340" spans="20:24" x14ac:dyDescent="0.2">
      <c r="T2340" s="247" t="str">
        <f t="shared" si="41"/>
        <v>1w</v>
      </c>
      <c r="U2340" s="245">
        <f>_xll.qlCalendarAdvance(Calendar,U2339,T2340,"f",FALSE)</f>
        <v>55219</v>
      </c>
      <c r="V2340" s="248">
        <f>_xll.qlCalendarAdvance(Calendar,U2340,NDays&amp;"D")</f>
        <v>55221</v>
      </c>
      <c r="W2340" s="249">
        <v>2.3746446959587744E-2</v>
      </c>
      <c r="X2340" s="246">
        <v>2.3686676679588459E-2</v>
      </c>
    </row>
    <row r="2341" spans="20:24" x14ac:dyDescent="0.2">
      <c r="T2341" s="247" t="str">
        <f t="shared" si="41"/>
        <v>1w</v>
      </c>
      <c r="U2341" s="245">
        <f>_xll.qlCalendarAdvance(Calendar,U2340,T2341,"f",FALSE)</f>
        <v>55226</v>
      </c>
      <c r="V2341" s="248">
        <f>_xll.qlCalendarAdvance(Calendar,U2341,NDays&amp;"D")</f>
        <v>55228</v>
      </c>
      <c r="W2341" s="249">
        <v>2.3744664077828995E-2</v>
      </c>
      <c r="X2341" s="246">
        <v>2.3685020007109259E-2</v>
      </c>
    </row>
    <row r="2342" spans="20:24" x14ac:dyDescent="0.2">
      <c r="T2342" s="247" t="str">
        <f t="shared" si="41"/>
        <v>1w</v>
      </c>
      <c r="U2342" s="245">
        <f>_xll.qlCalendarAdvance(Calendar,U2341,T2342,"f",FALSE)</f>
        <v>55233</v>
      </c>
      <c r="V2342" s="248">
        <f>_xll.qlCalendarAdvance(Calendar,U2342,NDays&amp;"D")</f>
        <v>55235</v>
      </c>
      <c r="W2342" s="249">
        <v>2.3742863309855998E-2</v>
      </c>
      <c r="X2342" s="246">
        <v>2.3683345554372792E-2</v>
      </c>
    </row>
    <row r="2343" spans="20:24" x14ac:dyDescent="0.2">
      <c r="T2343" s="247" t="str">
        <f t="shared" si="41"/>
        <v>1w</v>
      </c>
      <c r="U2343" s="245">
        <f>_xll.qlCalendarAdvance(Calendar,U2342,T2343,"f",FALSE)</f>
        <v>55240</v>
      </c>
      <c r="V2343" s="248">
        <f>_xll.qlCalendarAdvance(Calendar,U2343,NDays&amp;"D")</f>
        <v>55242</v>
      </c>
      <c r="W2343" s="249">
        <v>2.3741044655693079E-2</v>
      </c>
      <c r="X2343" s="246">
        <v>2.368428194476202E-2</v>
      </c>
    </row>
    <row r="2344" spans="20:24" x14ac:dyDescent="0.2">
      <c r="T2344" s="247" t="str">
        <f t="shared" si="41"/>
        <v>1w</v>
      </c>
      <c r="U2344" s="245">
        <f>_xll.qlCalendarAdvance(Calendar,U2343,T2344,"f",FALSE)</f>
        <v>55247</v>
      </c>
      <c r="V2344" s="248">
        <f>_xll.qlCalendarAdvance(Calendar,U2344,NDays&amp;"D")</f>
        <v>55249</v>
      </c>
      <c r="W2344" s="249">
        <v>2.373856155139226E-2</v>
      </c>
      <c r="X2344" s="246">
        <v>2.3679943307728379E-2</v>
      </c>
    </row>
    <row r="2345" spans="20:24" x14ac:dyDescent="0.2">
      <c r="T2345" s="247" t="str">
        <f t="shared" si="41"/>
        <v>1w</v>
      </c>
      <c r="U2345" s="245">
        <f>_xll.qlCalendarAdvance(Calendar,U2344,T2345,"f",FALSE)</f>
        <v>55254</v>
      </c>
      <c r="V2345" s="248">
        <f>_xll.qlCalendarAdvance(Calendar,U2345,NDays&amp;"D")</f>
        <v>55256</v>
      </c>
      <c r="W2345" s="249">
        <v>2.3736708524329478E-2</v>
      </c>
      <c r="X2345" s="246">
        <v>2.3678215514140177E-2</v>
      </c>
    </row>
    <row r="2346" spans="20:24" x14ac:dyDescent="0.2">
      <c r="T2346" s="247" t="str">
        <f t="shared" si="41"/>
        <v>1w</v>
      </c>
      <c r="U2346" s="245">
        <f>_xll.qlCalendarAdvance(Calendar,U2345,T2346,"f",FALSE)</f>
        <v>55261</v>
      </c>
      <c r="V2346" s="248">
        <f>_xll.qlCalendarAdvance(Calendar,U2346,NDays&amp;"D")</f>
        <v>55263</v>
      </c>
      <c r="W2346" s="249">
        <v>2.3734837612314277E-2</v>
      </c>
      <c r="X2346" s="246">
        <v>2.3676469940134837E-2</v>
      </c>
    </row>
    <row r="2347" spans="20:24" x14ac:dyDescent="0.2">
      <c r="T2347" s="247" t="str">
        <f t="shared" si="41"/>
        <v>1w</v>
      </c>
      <c r="U2347" s="245">
        <f>_xll.qlCalendarAdvance(Calendar,U2346,T2347,"f",FALSE)</f>
        <v>55268</v>
      </c>
      <c r="V2347" s="248">
        <f>_xll.qlCalendarAdvance(Calendar,U2347,NDays&amp;"D")</f>
        <v>55270</v>
      </c>
      <c r="W2347" s="249">
        <v>2.3732948815374764E-2</v>
      </c>
      <c r="X2347" s="246">
        <v>2.3674706585712357E-2</v>
      </c>
    </row>
    <row r="2348" spans="20:24" x14ac:dyDescent="0.2">
      <c r="T2348" s="247" t="str">
        <f t="shared" si="41"/>
        <v>1w</v>
      </c>
      <c r="U2348" s="245">
        <f>_xll.qlCalendarAdvance(Calendar,U2347,T2348,"f",FALSE)</f>
        <v>55275</v>
      </c>
      <c r="V2348" s="248">
        <f>_xll.qlCalendarAdvance(Calendar,U2348,NDays&amp;"D")</f>
        <v>55277</v>
      </c>
      <c r="W2348" s="249">
        <v>2.3731683092912452E-2</v>
      </c>
      <c r="X2348" s="246">
        <v>2.3672925451112548E-2</v>
      </c>
    </row>
    <row r="2349" spans="20:24" x14ac:dyDescent="0.2">
      <c r="T2349" s="247" t="str">
        <f t="shared" si="41"/>
        <v>1w</v>
      </c>
      <c r="U2349" s="245">
        <f>_xll.qlCalendarAdvance(Calendar,U2348,T2349,"f",FALSE)</f>
        <v>55282</v>
      </c>
      <c r="V2349" s="248">
        <f>_xll.qlCalendarAdvance(Calendar,U2349,NDays&amp;"D")</f>
        <v>55284</v>
      </c>
      <c r="W2349" s="249">
        <v>2.3729757122140892E-2</v>
      </c>
      <c r="X2349" s="246">
        <v>2.3671126536175535E-2</v>
      </c>
    </row>
    <row r="2350" spans="20:24" x14ac:dyDescent="0.2">
      <c r="T2350" s="247" t="str">
        <f t="shared" si="41"/>
        <v>1w</v>
      </c>
      <c r="U2350" s="245">
        <f>_xll.qlCalendarAdvance(Calendar,U2349,T2350,"f",FALSE)</f>
        <v>55289</v>
      </c>
      <c r="V2350" s="248">
        <f>_xll.qlCalendarAdvance(Calendar,U2350,NDays&amp;"D")</f>
        <v>55291</v>
      </c>
      <c r="W2350" s="249">
        <v>2.3727813265360134E-2</v>
      </c>
      <c r="X2350" s="246">
        <v>2.366930984090132E-2</v>
      </c>
    </row>
    <row r="2351" spans="20:24" x14ac:dyDescent="0.2">
      <c r="T2351" s="247" t="str">
        <f t="shared" si="41"/>
        <v>1w</v>
      </c>
      <c r="U2351" s="245">
        <f>_xll.qlCalendarAdvance(Calendar,U2350,T2351,"f",FALSE)</f>
        <v>55296</v>
      </c>
      <c r="V2351" s="248">
        <f>_xll.qlCalendarAdvance(Calendar,U2351,NDays&amp;"D")</f>
        <v>55298</v>
      </c>
      <c r="W2351" s="249">
        <v>2.3725851522592774E-2</v>
      </c>
      <c r="X2351" s="246">
        <v>2.3667475365369839E-2</v>
      </c>
    </row>
    <row r="2352" spans="20:24" x14ac:dyDescent="0.2">
      <c r="T2352" s="247" t="str">
        <f t="shared" si="41"/>
        <v>1w</v>
      </c>
      <c r="U2352" s="245">
        <f>_xll.qlCalendarAdvance(Calendar,U2351,T2352,"f",FALSE)</f>
        <v>55303</v>
      </c>
      <c r="V2352" s="248">
        <f>_xll.qlCalendarAdvance(Calendar,U2352,NDays&amp;"D")</f>
        <v>55305</v>
      </c>
      <c r="W2352" s="249">
        <v>2.3723871893869219E-2</v>
      </c>
      <c r="X2352" s="246">
        <v>2.3665623109501155E-2</v>
      </c>
    </row>
    <row r="2353" spans="20:24" x14ac:dyDescent="0.2">
      <c r="T2353" s="247" t="str">
        <f t="shared" si="41"/>
        <v>1w</v>
      </c>
      <c r="U2353" s="245">
        <f>_xll.qlCalendarAdvance(Calendar,U2352,T2353,"f",FALSE)</f>
        <v>55310</v>
      </c>
      <c r="V2353" s="248">
        <f>_xll.qlCalendarAdvance(Calendar,U2353,NDays&amp;"D")</f>
        <v>55312</v>
      </c>
      <c r="W2353" s="249">
        <v>2.3721874379214664E-2</v>
      </c>
      <c r="X2353" s="246">
        <v>2.3663753073375204E-2</v>
      </c>
    </row>
    <row r="2354" spans="20:24" x14ac:dyDescent="0.2">
      <c r="T2354" s="247" t="str">
        <f t="shared" si="41"/>
        <v>1w</v>
      </c>
      <c r="U2354" s="245">
        <f>_xll.qlCalendarAdvance(Calendar,U2353,T2354,"f",FALSE)</f>
        <v>55317</v>
      </c>
      <c r="V2354" s="248">
        <f>_xll.qlCalendarAdvance(Calendar,U2354,NDays&amp;"D")</f>
        <v>55319</v>
      </c>
      <c r="W2354" s="249">
        <v>2.3719858978657787E-2</v>
      </c>
      <c r="X2354" s="246">
        <v>2.3661865256991987E-2</v>
      </c>
    </row>
    <row r="2355" spans="20:24" x14ac:dyDescent="0.2">
      <c r="T2355" s="247" t="str">
        <f t="shared" si="41"/>
        <v>1w</v>
      </c>
      <c r="U2355" s="245">
        <f>_xll.qlCalendarAdvance(Calendar,U2354,T2355,"f",FALSE)</f>
        <v>55324</v>
      </c>
      <c r="V2355" s="248">
        <f>_xll.qlCalendarAdvance(Calendar,U2355,NDays&amp;"D")</f>
        <v>55326</v>
      </c>
      <c r="W2355" s="249">
        <v>2.3717825692222912E-2</v>
      </c>
      <c r="X2355" s="246">
        <v>2.3659959660111696E-2</v>
      </c>
    </row>
    <row r="2356" spans="20:24" x14ac:dyDescent="0.2">
      <c r="T2356" s="247" t="str">
        <f t="shared" si="41"/>
        <v>1w</v>
      </c>
      <c r="U2356" s="245">
        <f>_xll.qlCalendarAdvance(Calendar,U2355,T2356,"f",FALSE)</f>
        <v>55331</v>
      </c>
      <c r="V2356" s="248">
        <f>_xll.qlCalendarAdvance(Calendar,U2356,NDays&amp;"D")</f>
        <v>55333</v>
      </c>
      <c r="W2356" s="249">
        <v>2.3715774519940454E-2</v>
      </c>
      <c r="X2356" s="246">
        <v>2.365803628313401E-2</v>
      </c>
    </row>
    <row r="2357" spans="20:24" x14ac:dyDescent="0.2">
      <c r="T2357" s="247" t="str">
        <f t="shared" si="41"/>
        <v>1w</v>
      </c>
      <c r="U2357" s="245">
        <f>_xll.qlCalendarAdvance(Calendar,U2356,T2357,"f",FALSE)</f>
        <v>55338</v>
      </c>
      <c r="V2357" s="248">
        <f>_xll.qlCalendarAdvance(Calendar,U2357,NDays&amp;"D")</f>
        <v>55340</v>
      </c>
      <c r="W2357" s="249">
        <v>2.3713705461838212E-2</v>
      </c>
      <c r="X2357" s="246">
        <v>2.3656095125819121E-2</v>
      </c>
    </row>
    <row r="2358" spans="20:24" x14ac:dyDescent="0.2">
      <c r="T2358" s="247" t="str">
        <f t="shared" si="41"/>
        <v>1w</v>
      </c>
      <c r="U2358" s="245">
        <f>_xll.qlCalendarAdvance(Calendar,U2357,T2358,"f",FALSE)</f>
        <v>55345</v>
      </c>
      <c r="V2358" s="248">
        <f>_xll.qlCalendarAdvance(Calendar,U2358,NDays&amp;"D")</f>
        <v>55347</v>
      </c>
      <c r="W2358" s="249">
        <v>2.3711618517943126E-2</v>
      </c>
      <c r="X2358" s="246">
        <v>2.3654136188007158E-2</v>
      </c>
    </row>
    <row r="2359" spans="20:24" x14ac:dyDescent="0.2">
      <c r="T2359" s="247" t="str">
        <f t="shared" si="41"/>
        <v>1w</v>
      </c>
      <c r="U2359" s="245">
        <f>_xll.qlCalendarAdvance(Calendar,U2358,T2359,"f",FALSE)</f>
        <v>55352</v>
      </c>
      <c r="V2359" s="248">
        <f>_xll.qlCalendarAdvance(Calendar,U2359,NDays&amp;"D")</f>
        <v>55354</v>
      </c>
      <c r="W2359" s="249">
        <v>2.3709513688284733E-2</v>
      </c>
      <c r="X2359" s="246">
        <v>2.36521594700978E-2</v>
      </c>
    </row>
    <row r="2360" spans="20:24" x14ac:dyDescent="0.2">
      <c r="T2360" s="247" t="str">
        <f t="shared" si="41"/>
        <v>1w</v>
      </c>
      <c r="U2360" s="245">
        <f>_xll.qlCalendarAdvance(Calendar,U2359,T2360,"f",FALSE)</f>
        <v>55359</v>
      </c>
      <c r="V2360" s="248">
        <f>_xll.qlCalendarAdvance(Calendar,U2360,NDays&amp;"D")</f>
        <v>55361</v>
      </c>
      <c r="W2360" s="249">
        <v>2.3707390972891706E-2</v>
      </c>
      <c r="X2360" s="246">
        <v>2.3650164971931176E-2</v>
      </c>
    </row>
    <row r="2361" spans="20:24" x14ac:dyDescent="0.2">
      <c r="T2361" s="247" t="str">
        <f t="shared" si="41"/>
        <v>1w</v>
      </c>
      <c r="U2361" s="245">
        <f>_xll.qlCalendarAdvance(Calendar,U2360,T2361,"f",FALSE)</f>
        <v>55366</v>
      </c>
      <c r="V2361" s="248">
        <f>_xll.qlCalendarAdvance(Calendar,U2361,NDays&amp;"D")</f>
        <v>55368</v>
      </c>
      <c r="W2361" s="249">
        <v>2.3705250371792722E-2</v>
      </c>
      <c r="X2361" s="246">
        <v>2.3648152693267477E-2</v>
      </c>
    </row>
    <row r="2362" spans="20:24" x14ac:dyDescent="0.2">
      <c r="T2362" s="247" t="str">
        <f t="shared" si="41"/>
        <v>1w</v>
      </c>
      <c r="U2362" s="245">
        <f>_xll.qlCalendarAdvance(Calendar,U2361,T2362,"f",FALSE)</f>
        <v>55373</v>
      </c>
      <c r="V2362" s="248">
        <f>_xll.qlCalendarAdvance(Calendar,U2362,NDays&amp;"D")</f>
        <v>55375</v>
      </c>
      <c r="W2362" s="249">
        <v>2.3703091885016448E-2</v>
      </c>
      <c r="X2362" s="246">
        <v>2.3646122634346511E-2</v>
      </c>
    </row>
    <row r="2363" spans="20:24" x14ac:dyDescent="0.2">
      <c r="T2363" s="247" t="str">
        <f t="shared" si="41"/>
        <v>1w</v>
      </c>
      <c r="U2363" s="245">
        <f>_xll.qlCalendarAdvance(Calendar,U2362,T2363,"f",FALSE)</f>
        <v>55380</v>
      </c>
      <c r="V2363" s="248">
        <f>_xll.qlCalendarAdvance(Calendar,U2363,NDays&amp;"D")</f>
        <v>55382</v>
      </c>
      <c r="W2363" s="249">
        <v>2.3700915512593301E-2</v>
      </c>
      <c r="X2363" s="246">
        <v>2.3644074795248216E-2</v>
      </c>
    </row>
    <row r="2364" spans="20:24" x14ac:dyDescent="0.2">
      <c r="T2364" s="247" t="str">
        <f t="shared" si="41"/>
        <v>1w</v>
      </c>
      <c r="U2364" s="245">
        <f>_xll.qlCalendarAdvance(Calendar,U2363,T2364,"f",FALSE)</f>
        <v>55387</v>
      </c>
      <c r="V2364" s="248">
        <f>_xll.qlCalendarAdvance(Calendar,U2364,NDays&amp;"D")</f>
        <v>55389</v>
      </c>
      <c r="W2364" s="249">
        <v>2.3698721254552815E-2</v>
      </c>
      <c r="X2364" s="246">
        <v>2.3642009175812717E-2</v>
      </c>
    </row>
    <row r="2365" spans="20:24" x14ac:dyDescent="0.2">
      <c r="T2365" s="247" t="str">
        <f t="shared" si="41"/>
        <v>1w</v>
      </c>
      <c r="U2365" s="245">
        <f>_xll.qlCalendarAdvance(Calendar,U2364,T2365,"f",FALSE)</f>
        <v>55394</v>
      </c>
      <c r="V2365" s="248">
        <f>_xll.qlCalendarAdvance(Calendar,U2365,NDays&amp;"D")</f>
        <v>55396</v>
      </c>
      <c r="W2365" s="249">
        <v>2.3695892178516816E-2</v>
      </c>
      <c r="X2365" s="246">
        <v>2.363992577596008E-2</v>
      </c>
    </row>
    <row r="2366" spans="20:24" x14ac:dyDescent="0.2">
      <c r="T2366" s="247" t="str">
        <f t="shared" si="41"/>
        <v>1w</v>
      </c>
      <c r="U2366" s="245">
        <f>_xll.qlCalendarAdvance(Calendar,U2365,T2366,"f",FALSE)</f>
        <v>55401</v>
      </c>
      <c r="V2366" s="248">
        <f>_xll.qlCalendarAdvance(Calendar,U2366,NDays&amp;"D")</f>
        <v>55403</v>
      </c>
      <c r="W2366" s="249">
        <v>2.369366357311813E-2</v>
      </c>
      <c r="X2366" s="246">
        <v>2.3637824595930113E-2</v>
      </c>
    </row>
    <row r="2367" spans="20:24" x14ac:dyDescent="0.2">
      <c r="T2367" s="247" t="str">
        <f t="shared" si="41"/>
        <v>1w</v>
      </c>
      <c r="U2367" s="245">
        <f>_xll.qlCalendarAdvance(Calendar,U2366,T2367,"f",FALSE)</f>
        <v>55408</v>
      </c>
      <c r="V2367" s="248">
        <f>_xll.qlCalendarAdvance(Calendar,U2367,NDays&amp;"D")</f>
        <v>55410</v>
      </c>
      <c r="W2367" s="249">
        <v>2.3691417083351173E-2</v>
      </c>
      <c r="X2367" s="246">
        <v>2.3635705635562942E-2</v>
      </c>
    </row>
    <row r="2368" spans="20:24" x14ac:dyDescent="0.2">
      <c r="T2368" s="247" t="str">
        <f t="shared" si="41"/>
        <v>1w</v>
      </c>
      <c r="U2368" s="245">
        <f>_xll.qlCalendarAdvance(Calendar,U2367,T2368,"f",FALSE)</f>
        <v>55415</v>
      </c>
      <c r="V2368" s="248">
        <f>_xll.qlCalendarAdvance(Calendar,U2368,NDays&amp;"D")</f>
        <v>55417</v>
      </c>
      <c r="W2368" s="249">
        <v>2.3689152709244054E-2</v>
      </c>
      <c r="X2368" s="246">
        <v>2.363356889485857E-2</v>
      </c>
    </row>
    <row r="2369" spans="20:24" x14ac:dyDescent="0.2">
      <c r="T2369" s="247" t="str">
        <f t="shared" si="41"/>
        <v>1w</v>
      </c>
      <c r="U2369" s="245">
        <f>_xll.qlCalendarAdvance(Calendar,U2368,T2369,"f",FALSE)</f>
        <v>55422</v>
      </c>
      <c r="V2369" s="248">
        <f>_xll.qlCalendarAdvance(Calendar,U2369,NDays&amp;"D")</f>
        <v>55424</v>
      </c>
      <c r="W2369" s="249">
        <v>2.3686870450826635E-2</v>
      </c>
      <c r="X2369" s="246">
        <v>2.3631414373816995E-2</v>
      </c>
    </row>
    <row r="2370" spans="20:24" x14ac:dyDescent="0.2">
      <c r="T2370" s="247" t="str">
        <f t="shared" si="41"/>
        <v>1w</v>
      </c>
      <c r="U2370" s="245">
        <f>_xll.qlCalendarAdvance(Calendar,U2369,T2370,"f",FALSE)</f>
        <v>55429</v>
      </c>
      <c r="V2370" s="248">
        <f>_xll.qlCalendarAdvance(Calendar,U2370,NDays&amp;"D")</f>
        <v>55431</v>
      </c>
      <c r="W2370" s="249">
        <v>2.3685180110023664E-2</v>
      </c>
      <c r="X2370" s="246">
        <v>2.3629242072598089E-2</v>
      </c>
    </row>
    <row r="2371" spans="20:24" x14ac:dyDescent="0.2">
      <c r="T2371" s="247" t="str">
        <f t="shared" si="41"/>
        <v>1w</v>
      </c>
      <c r="U2371" s="245">
        <f>_xll.qlCalendarAdvance(Calendar,U2370,T2371,"f",FALSE)</f>
        <v>55436</v>
      </c>
      <c r="V2371" s="248">
        <f>_xll.qlCalendarAdvance(Calendar,U2371,NDays&amp;"D")</f>
        <v>55438</v>
      </c>
      <c r="W2371" s="249">
        <v>2.3682860653508116E-2</v>
      </c>
      <c r="X2371" s="246">
        <v>2.3627051991041981E-2</v>
      </c>
    </row>
    <row r="2372" spans="20:24" x14ac:dyDescent="0.2">
      <c r="T2372" s="247" t="str">
        <f t="shared" si="41"/>
        <v>1w</v>
      </c>
      <c r="U2372" s="245">
        <f>_xll.qlCalendarAdvance(Calendar,U2371,T2372,"f",FALSE)</f>
        <v>55443</v>
      </c>
      <c r="V2372" s="248">
        <f>_xll.qlCalendarAdvance(Calendar,U2372,NDays&amp;"D")</f>
        <v>55445</v>
      </c>
      <c r="W2372" s="249">
        <v>2.3680523311622858E-2</v>
      </c>
      <c r="X2372" s="246">
        <v>2.3624844129228606E-2</v>
      </c>
    </row>
    <row r="2373" spans="20:24" x14ac:dyDescent="0.2">
      <c r="T2373" s="247" t="str">
        <f t="shared" si="41"/>
        <v>1w</v>
      </c>
      <c r="U2373" s="245">
        <f>_xll.qlCalendarAdvance(Calendar,U2372,T2373,"f",FALSE)</f>
        <v>55450</v>
      </c>
      <c r="V2373" s="248">
        <f>_xll.qlCalendarAdvance(Calendar,U2373,NDays&amp;"D")</f>
        <v>55452</v>
      </c>
      <c r="W2373" s="249">
        <v>2.3678168084396569E-2</v>
      </c>
      <c r="X2373" s="246">
        <v>2.3622618486998093E-2</v>
      </c>
    </row>
    <row r="2374" spans="20:24" x14ac:dyDescent="0.2">
      <c r="T2374" s="247" t="str">
        <f t="shared" si="41"/>
        <v>1w</v>
      </c>
      <c r="U2374" s="245">
        <f>_xll.qlCalendarAdvance(Calendar,U2373,T2374,"f",FALSE)</f>
        <v>55457</v>
      </c>
      <c r="V2374" s="248">
        <f>_xll.qlCalendarAdvance(Calendar,U2374,NDays&amp;"D")</f>
        <v>55459</v>
      </c>
      <c r="W2374" s="249">
        <v>2.3675794971862261E-2</v>
      </c>
      <c r="X2374" s="246">
        <v>2.3620375064590249E-2</v>
      </c>
    </row>
    <row r="2375" spans="20:24" x14ac:dyDescent="0.2">
      <c r="T2375" s="247" t="str">
        <f t="shared" si="41"/>
        <v>1w</v>
      </c>
      <c r="U2375" s="245">
        <f>_xll.qlCalendarAdvance(Calendar,U2374,T2375,"f",FALSE)</f>
        <v>55464</v>
      </c>
      <c r="V2375" s="248">
        <f>_xll.qlCalendarAdvance(Calendar,U2375,NDays&amp;"D")</f>
        <v>55466</v>
      </c>
      <c r="W2375" s="249">
        <v>2.3673403974053823E-2</v>
      </c>
      <c r="X2375" s="246">
        <v>2.3618113861845202E-2</v>
      </c>
    </row>
    <row r="2376" spans="20:24" x14ac:dyDescent="0.2">
      <c r="T2376" s="247" t="str">
        <f t="shared" si="41"/>
        <v>1w</v>
      </c>
      <c r="U2376" s="245">
        <f>_xll.qlCalendarAdvance(Calendar,U2375,T2376,"f",FALSE)</f>
        <v>55471</v>
      </c>
      <c r="V2376" s="248">
        <f>_xll.qlCalendarAdvance(Calendar,U2376,NDays&amp;"D")</f>
        <v>55473</v>
      </c>
      <c r="W2376" s="249">
        <v>2.3670995091001661E-2</v>
      </c>
      <c r="X2376" s="246">
        <v>2.3615834878762954E-2</v>
      </c>
    </row>
    <row r="2377" spans="20:24" x14ac:dyDescent="0.2">
      <c r="T2377" s="247" t="str">
        <f t="shared" si="41"/>
        <v>1w</v>
      </c>
      <c r="U2377" s="245">
        <f>_xll.qlCalendarAdvance(Calendar,U2376,T2377,"f",FALSE)</f>
        <v>55478</v>
      </c>
      <c r="V2377" s="248">
        <f>_xll.qlCalendarAdvance(Calendar,U2377,NDays&amp;"D")</f>
        <v>55480</v>
      </c>
      <c r="W2377" s="249">
        <v>2.3668568322739666E-2</v>
      </c>
      <c r="X2377" s="246">
        <v>2.3613538115343502E-2</v>
      </c>
    </row>
    <row r="2378" spans="20:24" x14ac:dyDescent="0.2">
      <c r="T2378" s="247" t="str">
        <f t="shared" si="41"/>
        <v>1w</v>
      </c>
      <c r="U2378" s="245">
        <f>_xll.qlCalendarAdvance(Calendar,U2377,T2378,"f",FALSE)</f>
        <v>55485</v>
      </c>
      <c r="V2378" s="248">
        <f>_xll.qlCalendarAdvance(Calendar,U2378,NDays&amp;"D")</f>
        <v>55487</v>
      </c>
      <c r="W2378" s="249">
        <v>2.3665525336337524E-2</v>
      </c>
      <c r="X2378" s="246">
        <v>2.361122357174672E-2</v>
      </c>
    </row>
    <row r="2379" spans="20:24" x14ac:dyDescent="0.2">
      <c r="T2379" s="247" t="str">
        <f t="shared" si="41"/>
        <v>1w</v>
      </c>
      <c r="U2379" s="245">
        <f>_xll.qlCalendarAdvance(Calendar,U2378,T2379,"f",FALSE)</f>
        <v>55492</v>
      </c>
      <c r="V2379" s="248">
        <f>_xll.qlCalendarAdvance(Calendar,U2379,NDays&amp;"D")</f>
        <v>55494</v>
      </c>
      <c r="W2379" s="249">
        <v>2.3663064236564318E-2</v>
      </c>
      <c r="X2379" s="246">
        <v>2.3608891247812736E-2</v>
      </c>
    </row>
    <row r="2380" spans="20:24" x14ac:dyDescent="0.2">
      <c r="T2380" s="247" t="str">
        <f t="shared" si="41"/>
        <v>1w</v>
      </c>
      <c r="U2380" s="245">
        <f>_xll.qlCalendarAdvance(Calendar,U2379,T2380,"f",FALSE)</f>
        <v>55499</v>
      </c>
      <c r="V2380" s="248">
        <f>_xll.qlCalendarAdvance(Calendar,U2380,NDays&amp;"D")</f>
        <v>55501</v>
      </c>
      <c r="W2380" s="249">
        <v>2.3660585252833058E-2</v>
      </c>
      <c r="X2380" s="246">
        <v>2.3606541143541548E-2</v>
      </c>
    </row>
    <row r="2381" spans="20:24" x14ac:dyDescent="0.2">
      <c r="T2381" s="247" t="str">
        <f t="shared" si="41"/>
        <v>1w</v>
      </c>
      <c r="U2381" s="245">
        <f>_xll.qlCalendarAdvance(Calendar,U2380,T2381,"f",FALSE)</f>
        <v>55506</v>
      </c>
      <c r="V2381" s="248">
        <f>_xll.qlCalendarAdvance(Calendar,U2381,NDays&amp;"D")</f>
        <v>55508</v>
      </c>
      <c r="W2381" s="249">
        <v>2.3658088385179764E-2</v>
      </c>
      <c r="X2381" s="246">
        <v>2.3604173259093031E-2</v>
      </c>
    </row>
    <row r="2382" spans="20:24" x14ac:dyDescent="0.2">
      <c r="T2382" s="247" t="str">
        <f t="shared" si="41"/>
        <v>1w</v>
      </c>
      <c r="U2382" s="245">
        <f>_xll.qlCalendarAdvance(Calendar,U2381,T2382,"f",FALSE)</f>
        <v>55514</v>
      </c>
      <c r="V2382" s="248">
        <f>_xll.qlCalendarAdvance(Calendar,U2382,NDays&amp;"D")</f>
        <v>55516</v>
      </c>
      <c r="W2382" s="249">
        <v>2.3655212923506162E-2</v>
      </c>
      <c r="X2382" s="246">
        <v>2.3603251986514806E-2</v>
      </c>
    </row>
    <row r="2383" spans="20:24" x14ac:dyDescent="0.2">
      <c r="T2383" s="247" t="str">
        <f t="shared" si="41"/>
        <v>1w</v>
      </c>
      <c r="U2383" s="245">
        <f>_xll.qlCalendarAdvance(Calendar,U2382,T2383,"f",FALSE)</f>
        <v>55521</v>
      </c>
      <c r="V2383" s="248">
        <f>_xll.qlCalendarAdvance(Calendar,U2383,NDays&amp;"D")</f>
        <v>55523</v>
      </c>
      <c r="W2383" s="249">
        <v>2.3652677733273474E-2</v>
      </c>
      <c r="X2383" s="246">
        <v>2.3600241037504688E-2</v>
      </c>
    </row>
    <row r="2384" spans="20:24" x14ac:dyDescent="0.2">
      <c r="T2384" s="247" t="str">
        <f t="shared" si="41"/>
        <v>1w</v>
      </c>
      <c r="U2384" s="245">
        <f>_xll.qlCalendarAdvance(Calendar,U2383,T2384,"f",FALSE)</f>
        <v>55528</v>
      </c>
      <c r="V2384" s="248">
        <f>_xll.qlCalendarAdvance(Calendar,U2384,NDays&amp;"D")</f>
        <v>55530</v>
      </c>
      <c r="W2384" s="249">
        <v>2.36501246592224E-2</v>
      </c>
      <c r="X2384" s="246">
        <v>2.359781441390929E-2</v>
      </c>
    </row>
    <row r="2385" spans="20:24" x14ac:dyDescent="0.2">
      <c r="T2385" s="247" t="str">
        <f t="shared" si="41"/>
        <v>1w</v>
      </c>
      <c r="U2385" s="245">
        <f>_xll.qlCalendarAdvance(Calendar,U2384,T2385,"f",FALSE)</f>
        <v>55535</v>
      </c>
      <c r="V2385" s="248">
        <f>_xll.qlCalendarAdvance(Calendar,U2385,NDays&amp;"D")</f>
        <v>55537</v>
      </c>
      <c r="W2385" s="249">
        <v>2.3649905149261692E-2</v>
      </c>
      <c r="X2385" s="246">
        <v>2.3595370007711836E-2</v>
      </c>
    </row>
    <row r="2386" spans="20:24" x14ac:dyDescent="0.2">
      <c r="T2386" s="247" t="str">
        <f t="shared" ref="T2386:T2449" si="42">T2385</f>
        <v>1w</v>
      </c>
      <c r="U2386" s="245">
        <f>_xll.qlCalendarAdvance(Calendar,U2385,T2386,"f",FALSE)</f>
        <v>55542</v>
      </c>
      <c r="V2386" s="248">
        <f>_xll.qlCalendarAdvance(Calendar,U2386,NDays&amp;"D")</f>
        <v>55544</v>
      </c>
      <c r="W2386" s="249">
        <v>2.3644964859805658E-2</v>
      </c>
      <c r="X2386" s="246">
        <v>2.3592907818965614E-2</v>
      </c>
    </row>
    <row r="2387" spans="20:24" x14ac:dyDescent="0.2">
      <c r="T2387" s="247" t="str">
        <f t="shared" si="42"/>
        <v>1w</v>
      </c>
      <c r="U2387" s="245">
        <f>_xll.qlCalendarAdvance(Calendar,U2386,T2387,"f",FALSE)</f>
        <v>55549</v>
      </c>
      <c r="V2387" s="248">
        <f>_xll.qlCalendarAdvance(Calendar,U2387,NDays&amp;"D")</f>
        <v>55551</v>
      </c>
      <c r="W2387" s="249">
        <v>2.3641772886597856E-2</v>
      </c>
      <c r="X2387" s="246">
        <v>2.3590427847617335E-2</v>
      </c>
    </row>
    <row r="2388" spans="20:24" x14ac:dyDescent="0.2">
      <c r="T2388" s="247" t="str">
        <f t="shared" si="42"/>
        <v>1w</v>
      </c>
      <c r="U2388" s="245">
        <f>_xll.qlCalendarAdvance(Calendar,U2387,T2388,"f",FALSE)</f>
        <v>55556</v>
      </c>
      <c r="V2388" s="248">
        <f>_xll.qlCalendarAdvance(Calendar,U2388,NDays&amp;"D")</f>
        <v>55558</v>
      </c>
      <c r="W2388" s="249">
        <v>2.3639149726782271E-2</v>
      </c>
      <c r="X2388" s="246">
        <v>2.3587930093666998E-2</v>
      </c>
    </row>
    <row r="2389" spans="20:24" x14ac:dyDescent="0.2">
      <c r="T2389" s="247" t="str">
        <f t="shared" si="42"/>
        <v>1w</v>
      </c>
      <c r="U2389" s="245">
        <f>_xll.qlCalendarAdvance(Calendar,U2388,T2389,"f",FALSE)</f>
        <v>55563</v>
      </c>
      <c r="V2389" s="248">
        <f>_xll.qlCalendarAdvance(Calendar,U2389,NDays&amp;"D")</f>
        <v>55565</v>
      </c>
      <c r="W2389" s="249">
        <v>2.3636508684474755E-2</v>
      </c>
      <c r="X2389" s="246">
        <v>2.3585414557141249E-2</v>
      </c>
    </row>
    <row r="2390" spans="20:24" x14ac:dyDescent="0.2">
      <c r="T2390" s="247" t="str">
        <f t="shared" si="42"/>
        <v>1w</v>
      </c>
      <c r="U2390" s="245">
        <f>_xll.qlCalendarAdvance(Calendar,U2389,T2390,"f",FALSE)</f>
        <v>55570</v>
      </c>
      <c r="V2390" s="248">
        <f>_xll.qlCalendarAdvance(Calendar,U2390,NDays&amp;"D")</f>
        <v>55572</v>
      </c>
      <c r="W2390" s="249">
        <v>2.363384975970817E-2</v>
      </c>
      <c r="X2390" s="246">
        <v>2.3582881238013442E-2</v>
      </c>
    </row>
    <row r="2391" spans="20:24" x14ac:dyDescent="0.2">
      <c r="T2391" s="247" t="str">
        <f t="shared" si="42"/>
        <v>1w</v>
      </c>
      <c r="U2391" s="245">
        <f>_xll.qlCalendarAdvance(Calendar,U2390,T2391,"f",FALSE)</f>
        <v>55577</v>
      </c>
      <c r="V2391" s="248">
        <f>_xll.qlCalendarAdvance(Calendar,U2391,NDays&amp;"D")</f>
        <v>55579</v>
      </c>
      <c r="W2391" s="249">
        <v>2.3633490049836142E-2</v>
      </c>
      <c r="X2391" s="246">
        <v>2.3580330136336869E-2</v>
      </c>
    </row>
    <row r="2392" spans="20:24" x14ac:dyDescent="0.2">
      <c r="T2392" s="247" t="str">
        <f t="shared" si="42"/>
        <v>1w</v>
      </c>
      <c r="U2392" s="245">
        <f>_xll.qlCalendarAdvance(Calendar,U2391,T2392,"f",FALSE)</f>
        <v>55584</v>
      </c>
      <c r="V2392" s="248">
        <f>_xll.qlCalendarAdvance(Calendar,U2392,NDays&amp;"D")</f>
        <v>55586</v>
      </c>
      <c r="W2392" s="249">
        <v>2.3630789544194057E-2</v>
      </c>
      <c r="X2392" s="246">
        <v>2.3577761252004947E-2</v>
      </c>
    </row>
    <row r="2393" spans="20:24" x14ac:dyDescent="0.2">
      <c r="T2393" s="247" t="str">
        <f t="shared" si="42"/>
        <v>1w</v>
      </c>
      <c r="U2393" s="245">
        <f>_xll.qlCalendarAdvance(Calendar,U2392,T2393,"f",FALSE)</f>
        <v>55591</v>
      </c>
      <c r="V2393" s="248">
        <f>_xll.qlCalendarAdvance(Calendar,U2393,NDays&amp;"D")</f>
        <v>55593</v>
      </c>
      <c r="W2393" s="249">
        <v>2.3628071151611533E-2</v>
      </c>
      <c r="X2393" s="246">
        <v>2.3575174585150904E-2</v>
      </c>
    </row>
    <row r="2394" spans="20:24" x14ac:dyDescent="0.2">
      <c r="T2394" s="247" t="str">
        <f t="shared" si="42"/>
        <v>1w</v>
      </c>
      <c r="U2394" s="245">
        <f>_xll.qlCalendarAdvance(Calendar,U2393,T2394,"f",FALSE)</f>
        <v>55598</v>
      </c>
      <c r="V2394" s="248">
        <f>_xll.qlCalendarAdvance(Calendar,U2394,NDays&amp;"D")</f>
        <v>55600</v>
      </c>
      <c r="W2394" s="249">
        <v>2.3625334872125987E-2</v>
      </c>
      <c r="X2394" s="246">
        <v>2.3572570135721449E-2</v>
      </c>
    </row>
    <row r="2395" spans="20:24" x14ac:dyDescent="0.2">
      <c r="T2395" s="247" t="str">
        <f t="shared" si="42"/>
        <v>1w</v>
      </c>
      <c r="U2395" s="245">
        <f>_xll.qlCalendarAdvance(Calendar,U2394,T2395,"f",FALSE)</f>
        <v>55605</v>
      </c>
      <c r="V2395" s="248">
        <f>_xll.qlCalendarAdvance(Calendar,U2395,NDays&amp;"D")</f>
        <v>55607</v>
      </c>
      <c r="W2395" s="249">
        <v>2.3620860522742169E-2</v>
      </c>
      <c r="X2395" s="246">
        <v>2.3569947903689936E-2</v>
      </c>
    </row>
    <row r="2396" spans="20:24" x14ac:dyDescent="0.2">
      <c r="T2396" s="247" t="str">
        <f t="shared" si="42"/>
        <v>1w</v>
      </c>
      <c r="U2396" s="245">
        <f>_xll.qlCalendarAdvance(Calendar,U2395,T2396,"f",FALSE)</f>
        <v>55612</v>
      </c>
      <c r="V2396" s="248">
        <f>_xll.qlCalendarAdvance(Calendar,U2396,NDays&amp;"D")</f>
        <v>55614</v>
      </c>
      <c r="W2396" s="249">
        <v>2.3618092845637529E-2</v>
      </c>
      <c r="X2396" s="246">
        <v>2.3567307889083011E-2</v>
      </c>
    </row>
    <row r="2397" spans="20:24" x14ac:dyDescent="0.2">
      <c r="T2397" s="247" t="str">
        <f t="shared" si="42"/>
        <v>1w</v>
      </c>
      <c r="U2397" s="245">
        <f>_xll.qlCalendarAdvance(Calendar,U2396,T2397,"f",FALSE)</f>
        <v>55619</v>
      </c>
      <c r="V2397" s="248">
        <f>_xll.qlCalendarAdvance(Calendar,U2397,NDays&amp;"D")</f>
        <v>55621</v>
      </c>
      <c r="W2397" s="249">
        <v>2.361530728518358E-2</v>
      </c>
      <c r="X2397" s="246">
        <v>2.3564650091874029E-2</v>
      </c>
    </row>
    <row r="2398" spans="20:24" x14ac:dyDescent="0.2">
      <c r="T2398" s="247" t="str">
        <f t="shared" si="42"/>
        <v>1w</v>
      </c>
      <c r="U2398" s="245">
        <f>_xll.qlCalendarAdvance(Calendar,U2397,T2398,"f",FALSE)</f>
        <v>55626</v>
      </c>
      <c r="V2398" s="248">
        <f>_xll.qlCalendarAdvance(Calendar,U2398,NDays&amp;"D")</f>
        <v>55632</v>
      </c>
      <c r="W2398" s="249">
        <v>2.3610893844320698E-2</v>
      </c>
      <c r="X2398" s="246">
        <v>2.355928070182145E-2</v>
      </c>
    </row>
    <row r="2399" spans="20:24" x14ac:dyDescent="0.2">
      <c r="T2399" s="247" t="str">
        <f t="shared" si="42"/>
        <v>1w</v>
      </c>
      <c r="U2399" s="245">
        <f>_xll.qlCalendarAdvance(Calendar,U2398,T2399,"f",FALSE)</f>
        <v>55633</v>
      </c>
      <c r="V2399" s="248">
        <f>_xll.qlCalendarAdvance(Calendar,U2399,NDays&amp;"D")</f>
        <v>55635</v>
      </c>
      <c r="W2399" s="249">
        <v>2.3609682514372704E-2</v>
      </c>
      <c r="X2399" s="246">
        <v>2.3559281149756472E-2</v>
      </c>
    </row>
    <row r="2400" spans="20:24" x14ac:dyDescent="0.2">
      <c r="T2400" s="247" t="str">
        <f t="shared" si="42"/>
        <v>1w</v>
      </c>
      <c r="U2400" s="245">
        <f>_xll.qlCalendarAdvance(Calendar,U2399,T2400,"f",FALSE)</f>
        <v>55641</v>
      </c>
      <c r="V2400" s="248">
        <f>_xll.qlCalendarAdvance(Calendar,U2400,NDays&amp;"D")</f>
        <v>55645</v>
      </c>
      <c r="W2400" s="249">
        <v>2.360618660224436E-2</v>
      </c>
      <c r="X2400" s="246">
        <v>2.3554251094450862E-2</v>
      </c>
    </row>
    <row r="2401" spans="20:24" x14ac:dyDescent="0.2">
      <c r="T2401" s="247" t="str">
        <f t="shared" si="42"/>
        <v>1w</v>
      </c>
      <c r="U2401" s="245">
        <f>_xll.qlCalendarAdvance(Calendar,U2400,T2401,"f",FALSE)</f>
        <v>55648</v>
      </c>
      <c r="V2401" s="248">
        <f>_xll.qlCalendarAdvance(Calendar,U2401,NDays&amp;"D")</f>
        <v>55652</v>
      </c>
      <c r="W2401" s="249">
        <v>2.3603320379818004E-2</v>
      </c>
      <c r="X2401" s="246">
        <v>2.3551517444024839E-2</v>
      </c>
    </row>
    <row r="2402" spans="20:24" x14ac:dyDescent="0.2">
      <c r="T2402" s="247" t="str">
        <f t="shared" si="42"/>
        <v>1w</v>
      </c>
      <c r="U2402" s="245">
        <f>_xll.qlCalendarAdvance(Calendar,U2401,T2402,"f",FALSE)</f>
        <v>55655</v>
      </c>
      <c r="V2402" s="248">
        <f>_xll.qlCalendarAdvance(Calendar,U2402,NDays&amp;"D")</f>
        <v>55659</v>
      </c>
      <c r="W2402" s="249">
        <v>2.3600436273103681E-2</v>
      </c>
      <c r="X2402" s="246">
        <v>2.3548766013181677E-2</v>
      </c>
    </row>
    <row r="2403" spans="20:24" x14ac:dyDescent="0.2">
      <c r="T2403" s="247" t="str">
        <f t="shared" si="42"/>
        <v>1w</v>
      </c>
      <c r="U2403" s="245">
        <f>_xll.qlCalendarAdvance(Calendar,U2402,T2403,"f",FALSE)</f>
        <v>55662</v>
      </c>
      <c r="V2403" s="248">
        <f>_xll.qlCalendarAdvance(Calendar,U2403,NDays&amp;"D")</f>
        <v>55666</v>
      </c>
      <c r="W2403" s="249">
        <v>2.3597534282142233E-2</v>
      </c>
      <c r="X2403" s="246">
        <v>2.3545996802161184E-2</v>
      </c>
    </row>
    <row r="2404" spans="20:24" x14ac:dyDescent="0.2">
      <c r="T2404" s="247" t="str">
        <f t="shared" si="42"/>
        <v>1w</v>
      </c>
      <c r="U2404" s="245">
        <f>_xll.qlCalendarAdvance(Calendar,U2403,T2404,"f",FALSE)</f>
        <v>55669</v>
      </c>
      <c r="V2404" s="248">
        <f>_xll.qlCalendarAdvance(Calendar,U2404,NDays&amp;"D")</f>
        <v>55673</v>
      </c>
      <c r="W2404" s="249">
        <v>2.3594614406970152E-2</v>
      </c>
      <c r="X2404" s="246">
        <v>2.3543209810723553E-2</v>
      </c>
    </row>
    <row r="2405" spans="20:24" x14ac:dyDescent="0.2">
      <c r="T2405" s="247" t="str">
        <f t="shared" si="42"/>
        <v>1w</v>
      </c>
      <c r="U2405" s="245">
        <f>_xll.qlCalendarAdvance(Calendar,U2404,T2405,"f",FALSE)</f>
        <v>55676</v>
      </c>
      <c r="V2405" s="248">
        <f>_xll.qlCalendarAdvance(Calendar,U2405,NDays&amp;"D")</f>
        <v>55680</v>
      </c>
      <c r="W2405" s="249">
        <v>2.3591676647630011E-2</v>
      </c>
      <c r="X2405" s="246">
        <v>2.3540405039108592E-2</v>
      </c>
    </row>
    <row r="2406" spans="20:24" x14ac:dyDescent="0.2">
      <c r="T2406" s="247" t="str">
        <f t="shared" si="42"/>
        <v>1w</v>
      </c>
      <c r="U2406" s="245">
        <f>_xll.qlCalendarAdvance(Calendar,U2405,T2406,"f",FALSE)</f>
        <v>55683</v>
      </c>
      <c r="V2406" s="248">
        <f>_xll.qlCalendarAdvance(Calendar,U2406,NDays&amp;"D")</f>
        <v>55687</v>
      </c>
      <c r="W2406" s="249">
        <v>2.358872100416004E-2</v>
      </c>
      <c r="X2406" s="246">
        <v>2.3537582487076492E-2</v>
      </c>
    </row>
    <row r="2407" spans="20:24" x14ac:dyDescent="0.2">
      <c r="T2407" s="247" t="str">
        <f t="shared" si="42"/>
        <v>1w</v>
      </c>
      <c r="U2407" s="245">
        <f>_xll.qlCalendarAdvance(Calendar,U2406,T2407,"f",FALSE)</f>
        <v>55690</v>
      </c>
      <c r="V2407" s="248">
        <f>_xll.qlCalendarAdvance(Calendar,U2407,NDays&amp;"D")</f>
        <v>55694</v>
      </c>
      <c r="W2407" s="249">
        <v>2.3585747476602813E-2</v>
      </c>
      <c r="X2407" s="246">
        <v>2.3534742154867061E-2</v>
      </c>
    </row>
    <row r="2408" spans="20:24" x14ac:dyDescent="0.2">
      <c r="T2408" s="247" t="str">
        <f t="shared" si="42"/>
        <v>1w</v>
      </c>
      <c r="U2408" s="245">
        <f>_xll.qlCalendarAdvance(Calendar,U2407,T2408,"f",FALSE)</f>
        <v>55697</v>
      </c>
      <c r="V2408" s="248">
        <f>_xll.qlCalendarAdvance(Calendar,U2408,NDays&amp;"D")</f>
        <v>55701</v>
      </c>
      <c r="W2408" s="249">
        <v>2.3582756064997434E-2</v>
      </c>
      <c r="X2408" s="246">
        <v>2.3531884042400364E-2</v>
      </c>
    </row>
    <row r="2409" spans="20:24" x14ac:dyDescent="0.2">
      <c r="T2409" s="247" t="str">
        <f t="shared" si="42"/>
        <v>1w</v>
      </c>
      <c r="U2409" s="245">
        <f>_xll.qlCalendarAdvance(Calendar,U2408,T2409,"f",FALSE)</f>
        <v>55704</v>
      </c>
      <c r="V2409" s="248">
        <f>_xll.qlCalendarAdvance(Calendar,U2409,NDays&amp;"D")</f>
        <v>55708</v>
      </c>
      <c r="W2409" s="249">
        <v>2.3579746769384735E-2</v>
      </c>
      <c r="X2409" s="246">
        <v>2.3529008149596464E-2</v>
      </c>
    </row>
    <row r="2410" spans="20:24" x14ac:dyDescent="0.2">
      <c r="T2410" s="247" t="str">
        <f t="shared" si="42"/>
        <v>1w</v>
      </c>
      <c r="U2410" s="245">
        <f>_xll.qlCalendarAdvance(Calendar,U2409,T2410,"f",FALSE)</f>
        <v>55711</v>
      </c>
      <c r="V2410" s="248">
        <f>_xll.qlCalendarAdvance(Calendar,U2410,NDays&amp;"D")</f>
        <v>55715</v>
      </c>
      <c r="W2410" s="249">
        <v>2.3576719589806422E-2</v>
      </c>
      <c r="X2410" s="246">
        <v>2.3526114476615234E-2</v>
      </c>
    </row>
    <row r="2411" spans="20:24" x14ac:dyDescent="0.2">
      <c r="T2411" s="247" t="str">
        <f t="shared" si="42"/>
        <v>1w</v>
      </c>
      <c r="U2411" s="245">
        <f>_xll.qlCalendarAdvance(Calendar,U2410,T2411,"f",FALSE)</f>
        <v>55718</v>
      </c>
      <c r="V2411" s="248">
        <f>_xll.qlCalendarAdvance(Calendar,U2411,NDays&amp;"D")</f>
        <v>55722</v>
      </c>
      <c r="W2411" s="249">
        <v>2.3573674526302466E-2</v>
      </c>
      <c r="X2411" s="246">
        <v>2.3523203023136929E-2</v>
      </c>
    </row>
    <row r="2412" spans="20:24" x14ac:dyDescent="0.2">
      <c r="T2412" s="247" t="str">
        <f t="shared" si="42"/>
        <v>1w</v>
      </c>
      <c r="U2412" s="245">
        <f>_xll.qlCalendarAdvance(Calendar,U2411,T2412,"f",FALSE)</f>
        <v>55725</v>
      </c>
      <c r="V2412" s="248">
        <f>_xll.qlCalendarAdvance(Calendar,U2412,NDays&amp;"D")</f>
        <v>55729</v>
      </c>
      <c r="W2412" s="249">
        <v>2.3570611578914571E-2</v>
      </c>
      <c r="X2412" s="246">
        <v>2.3520273789481294E-2</v>
      </c>
    </row>
    <row r="2413" spans="20:24" x14ac:dyDescent="0.2">
      <c r="T2413" s="247" t="str">
        <f t="shared" si="42"/>
        <v>1w</v>
      </c>
      <c r="U2413" s="245">
        <f>_xll.qlCalendarAdvance(Calendar,U2412,T2413,"f",FALSE)</f>
        <v>55732</v>
      </c>
      <c r="V2413" s="248">
        <f>_xll.qlCalendarAdvance(Calendar,U2413,NDays&amp;"D")</f>
        <v>55736</v>
      </c>
      <c r="W2413" s="249">
        <v>2.3567530747685309E-2</v>
      </c>
      <c r="X2413" s="246">
        <v>2.3517326775568392E-2</v>
      </c>
    </row>
    <row r="2414" spans="20:24" x14ac:dyDescent="0.2">
      <c r="T2414" s="247" t="str">
        <f t="shared" si="42"/>
        <v>1w</v>
      </c>
      <c r="U2414" s="245">
        <f>_xll.qlCalendarAdvance(Calendar,U2413,T2414,"f",FALSE)</f>
        <v>55739</v>
      </c>
      <c r="V2414" s="248">
        <f>_xll.qlCalendarAdvance(Calendar,U2414,NDays&amp;"D")</f>
        <v>55743</v>
      </c>
      <c r="W2414" s="249">
        <v>2.3564432032657259E-2</v>
      </c>
      <c r="X2414" s="246">
        <v>2.351436198147816E-2</v>
      </c>
    </row>
    <row r="2415" spans="20:24" x14ac:dyDescent="0.2">
      <c r="T2415" s="247" t="str">
        <f t="shared" si="42"/>
        <v>1w</v>
      </c>
      <c r="U2415" s="245">
        <f>_xll.qlCalendarAdvance(Calendar,U2414,T2415,"f",FALSE)</f>
        <v>55746</v>
      </c>
      <c r="V2415" s="248">
        <f>_xll.qlCalendarAdvance(Calendar,U2415,NDays&amp;"D")</f>
        <v>55750</v>
      </c>
      <c r="W2415" s="249">
        <v>2.356131543387039E-2</v>
      </c>
      <c r="X2415" s="246">
        <v>2.3511379406890853E-2</v>
      </c>
    </row>
    <row r="2416" spans="20:24" x14ac:dyDescent="0.2">
      <c r="T2416" s="247" t="str">
        <f t="shared" si="42"/>
        <v>1w</v>
      </c>
      <c r="U2416" s="245">
        <f>_xll.qlCalendarAdvance(Calendar,U2415,T2416,"f",FALSE)</f>
        <v>55753</v>
      </c>
      <c r="V2416" s="248">
        <f>_xll.qlCalendarAdvance(Calendar,U2416,NDays&amp;"D")</f>
        <v>55757</v>
      </c>
      <c r="W2416" s="249">
        <v>2.3558180951369877E-2</v>
      </c>
      <c r="X2416" s="246">
        <v>2.3508379052206152E-2</v>
      </c>
    </row>
    <row r="2417" spans="20:24" x14ac:dyDescent="0.2">
      <c r="T2417" s="247" t="str">
        <f t="shared" si="42"/>
        <v>1w</v>
      </c>
      <c r="U2417" s="245">
        <f>_xll.qlCalendarAdvance(Calendar,U2416,T2417,"f",FALSE)</f>
        <v>55760</v>
      </c>
      <c r="V2417" s="248">
        <f>_xll.qlCalendarAdvance(Calendar,U2417,NDays&amp;"D")</f>
        <v>55764</v>
      </c>
      <c r="W2417" s="249">
        <v>2.3554488063803135E-2</v>
      </c>
      <c r="X2417" s="246">
        <v>2.3505360917104312E-2</v>
      </c>
    </row>
    <row r="2418" spans="20:24" x14ac:dyDescent="0.2">
      <c r="T2418" s="247" t="str">
        <f t="shared" si="42"/>
        <v>1w</v>
      </c>
      <c r="U2418" s="245">
        <f>_xll.qlCalendarAdvance(Calendar,U2417,T2418,"f",FALSE)</f>
        <v>55767</v>
      </c>
      <c r="V2418" s="248">
        <f>_xll.qlCalendarAdvance(Calendar,U2418,NDays&amp;"D")</f>
        <v>55771</v>
      </c>
      <c r="W2418" s="249">
        <v>2.3551319298105826E-2</v>
      </c>
      <c r="X2418" s="246">
        <v>2.3502325001745206E-2</v>
      </c>
    </row>
    <row r="2419" spans="20:24" x14ac:dyDescent="0.2">
      <c r="T2419" s="247" t="str">
        <f t="shared" si="42"/>
        <v>1w</v>
      </c>
      <c r="U2419" s="245">
        <f>_xll.qlCalendarAdvance(Calendar,U2418,T2419,"f",FALSE)</f>
        <v>55774</v>
      </c>
      <c r="V2419" s="248">
        <f>_xll.qlCalendarAdvance(Calendar,U2419,NDays&amp;"D")</f>
        <v>55778</v>
      </c>
      <c r="W2419" s="249">
        <v>2.3548132649958711E-2</v>
      </c>
      <c r="X2419" s="246">
        <v>2.3499271306128833E-2</v>
      </c>
    </row>
    <row r="2420" spans="20:24" x14ac:dyDescent="0.2">
      <c r="T2420" s="247" t="str">
        <f t="shared" si="42"/>
        <v>1w</v>
      </c>
      <c r="U2420" s="245">
        <f>_xll.qlCalendarAdvance(Calendar,U2419,T2420,"f",FALSE)</f>
        <v>55781</v>
      </c>
      <c r="V2420" s="248">
        <f>_xll.qlCalendarAdvance(Calendar,U2420,NDays&amp;"D")</f>
        <v>55785</v>
      </c>
      <c r="W2420" s="249">
        <v>2.3544928119404829E-2</v>
      </c>
      <c r="X2420" s="246">
        <v>2.3496199830335129E-2</v>
      </c>
    </row>
    <row r="2421" spans="20:24" x14ac:dyDescent="0.2">
      <c r="T2421" s="247" t="str">
        <f t="shared" si="42"/>
        <v>1w</v>
      </c>
      <c r="U2421" s="245">
        <f>_xll.qlCalendarAdvance(Calendar,U2420,T2421,"f",FALSE)</f>
        <v>55788</v>
      </c>
      <c r="V2421" s="248">
        <f>_xll.qlCalendarAdvance(Calendar,U2421,NDays&amp;"D")</f>
        <v>55792</v>
      </c>
      <c r="W2421" s="249">
        <v>2.3542240284644137E-2</v>
      </c>
      <c r="X2421" s="246">
        <v>2.3493110574124287E-2</v>
      </c>
    </row>
    <row r="2422" spans="20:24" x14ac:dyDescent="0.2">
      <c r="T2422" s="247" t="str">
        <f t="shared" si="42"/>
        <v>1w</v>
      </c>
      <c r="U2422" s="245">
        <f>_xll.qlCalendarAdvance(Calendar,U2421,T2422,"f",FALSE)</f>
        <v>55795</v>
      </c>
      <c r="V2422" s="248">
        <f>_xll.qlCalendarAdvance(Calendar,U2422,NDays&amp;"D")</f>
        <v>55799</v>
      </c>
      <c r="W2422" s="249">
        <v>2.3538998500757587E-2</v>
      </c>
      <c r="X2422" s="246">
        <v>2.3490003537576243E-2</v>
      </c>
    </row>
    <row r="2423" spans="20:24" x14ac:dyDescent="0.2">
      <c r="T2423" s="247" t="str">
        <f t="shared" si="42"/>
        <v>1w</v>
      </c>
      <c r="U2423" s="245">
        <f>_xll.qlCalendarAdvance(Calendar,U2422,T2423,"f",FALSE)</f>
        <v>55802</v>
      </c>
      <c r="V2423" s="248">
        <f>_xll.qlCalendarAdvance(Calendar,U2423,NDays&amp;"D")</f>
        <v>55806</v>
      </c>
      <c r="W2423" s="249">
        <v>2.3535738833461502E-2</v>
      </c>
      <c r="X2423" s="246">
        <v>2.348687872101074E-2</v>
      </c>
    </row>
    <row r="2424" spans="20:24" x14ac:dyDescent="0.2">
      <c r="T2424" s="247" t="str">
        <f t="shared" si="42"/>
        <v>1w</v>
      </c>
      <c r="U2424" s="245">
        <f>_xll.qlCalendarAdvance(Calendar,U2423,T2424,"f",FALSE)</f>
        <v>55809</v>
      </c>
      <c r="V2424" s="248">
        <f>_xll.qlCalendarAdvance(Calendar,U2424,NDays&amp;"D")</f>
        <v>55813</v>
      </c>
      <c r="W2424" s="249">
        <v>2.3532461282799323E-2</v>
      </c>
      <c r="X2424" s="246">
        <v>2.3483736124028098E-2</v>
      </c>
    </row>
    <row r="2425" spans="20:24" x14ac:dyDescent="0.2">
      <c r="T2425" s="247" t="str">
        <f t="shared" si="42"/>
        <v>1w</v>
      </c>
      <c r="U2425" s="245">
        <f>_xll.qlCalendarAdvance(Calendar,U2424,T2425,"f",FALSE)</f>
        <v>55816</v>
      </c>
      <c r="V2425" s="248">
        <f>_xll.qlCalendarAdvance(Calendar,U2425,NDays&amp;"D")</f>
        <v>55820</v>
      </c>
      <c r="W2425" s="249">
        <v>2.3529165848814499E-2</v>
      </c>
      <c r="X2425" s="246">
        <v>2.3480575746708254E-2</v>
      </c>
    </row>
    <row r="2426" spans="20:24" x14ac:dyDescent="0.2">
      <c r="T2426" s="247" t="str">
        <f t="shared" si="42"/>
        <v>1w</v>
      </c>
      <c r="U2426" s="245">
        <f>_xll.qlCalendarAdvance(Calendar,U2425,T2426,"f",FALSE)</f>
        <v>55823</v>
      </c>
      <c r="V2426" s="248">
        <f>_xll.qlCalendarAdvance(Calendar,U2426,NDays&amp;"D")</f>
        <v>55827</v>
      </c>
      <c r="W2426" s="249">
        <v>2.3525852531553943E-2</v>
      </c>
      <c r="X2426" s="246">
        <v>2.3477397589131144E-2</v>
      </c>
    </row>
    <row r="2427" spans="20:24" x14ac:dyDescent="0.2">
      <c r="T2427" s="247" t="str">
        <f t="shared" si="42"/>
        <v>1w</v>
      </c>
      <c r="U2427" s="245">
        <f>_xll.qlCalendarAdvance(Calendar,U2426,T2427,"f",FALSE)</f>
        <v>55830</v>
      </c>
      <c r="V2427" s="248">
        <f>_xll.qlCalendarAdvance(Calendar,U2427,NDays&amp;"D")</f>
        <v>55834</v>
      </c>
      <c r="W2427" s="249">
        <v>2.35225213310611E-2</v>
      </c>
      <c r="X2427" s="246">
        <v>2.3474201651376703E-2</v>
      </c>
    </row>
    <row r="2428" spans="20:24" x14ac:dyDescent="0.2">
      <c r="T2428" s="247" t="str">
        <f t="shared" si="42"/>
        <v>1w</v>
      </c>
      <c r="U2428" s="245">
        <f>_xll.qlCalendarAdvance(Calendar,U2427,T2428,"f",FALSE)</f>
        <v>55837</v>
      </c>
      <c r="V2428" s="248">
        <f>_xll.qlCalendarAdvance(Calendar,U2428,NDays&amp;"D")</f>
        <v>55841</v>
      </c>
      <c r="W2428" s="249">
        <v>2.351917224738289E-2</v>
      </c>
      <c r="X2428" s="246">
        <v>2.3470987933205123E-2</v>
      </c>
    </row>
    <row r="2429" spans="20:24" x14ac:dyDescent="0.2">
      <c r="T2429" s="247" t="str">
        <f t="shared" si="42"/>
        <v>1w</v>
      </c>
      <c r="U2429" s="245">
        <f>_xll.qlCalendarAdvance(Calendar,U2428,T2429,"f",FALSE)</f>
        <v>55844</v>
      </c>
      <c r="V2429" s="248">
        <f>_xll.qlCalendarAdvance(Calendar,U2429,NDays&amp;"D")</f>
        <v>55848</v>
      </c>
      <c r="W2429" s="249">
        <v>2.3515805280562758E-2</v>
      </c>
      <c r="X2429" s="246">
        <v>2.3467756434856213E-2</v>
      </c>
    </row>
    <row r="2430" spans="20:24" x14ac:dyDescent="0.2">
      <c r="T2430" s="247" t="str">
        <f t="shared" si="42"/>
        <v>1w</v>
      </c>
      <c r="U2430" s="245">
        <f>_xll.qlCalendarAdvance(Calendar,U2429,T2430,"f",FALSE)</f>
        <v>55851</v>
      </c>
      <c r="V2430" s="248">
        <f>_xll.qlCalendarAdvance(Calendar,U2430,NDays&amp;"D")</f>
        <v>55855</v>
      </c>
      <c r="W2430" s="249">
        <v>2.3511899291058218E-2</v>
      </c>
      <c r="X2430" s="246">
        <v>2.3464507156250036E-2</v>
      </c>
    </row>
    <row r="2431" spans="20:24" x14ac:dyDescent="0.2">
      <c r="T2431" s="247" t="str">
        <f t="shared" si="42"/>
        <v>1w</v>
      </c>
      <c r="U2431" s="245">
        <f>_xll.qlCalendarAdvance(Calendar,U2430,T2431,"f",FALSE)</f>
        <v>55858</v>
      </c>
      <c r="V2431" s="248">
        <f>_xll.qlCalendarAdvance(Calendar,U2431,NDays&amp;"D")</f>
        <v>55862</v>
      </c>
      <c r="W2431" s="249">
        <v>2.3508498056921685E-2</v>
      </c>
      <c r="X2431" s="246">
        <v>2.3461240097306657E-2</v>
      </c>
    </row>
    <row r="2432" spans="20:24" x14ac:dyDescent="0.2">
      <c r="T2432" s="247" t="str">
        <f t="shared" si="42"/>
        <v>1w</v>
      </c>
      <c r="U2432" s="245">
        <f>_xll.qlCalendarAdvance(Calendar,U2431,T2432,"f",FALSE)</f>
        <v>55865</v>
      </c>
      <c r="V2432" s="248">
        <f>_xll.qlCalendarAdvance(Calendar,U2432,NDays&amp;"D")</f>
        <v>55869</v>
      </c>
      <c r="W2432" s="249">
        <v>2.3505078940914224E-2</v>
      </c>
      <c r="X2432" s="246">
        <v>2.3457955258185947E-2</v>
      </c>
    </row>
    <row r="2433" spans="20:24" x14ac:dyDescent="0.2">
      <c r="T2433" s="247" t="str">
        <f t="shared" si="42"/>
        <v>1w</v>
      </c>
      <c r="U2433" s="245">
        <f>_xll.qlCalendarAdvance(Calendar,U2432,T2433,"f",FALSE)</f>
        <v>55872</v>
      </c>
      <c r="V2433" s="248">
        <f>_xll.qlCalendarAdvance(Calendar,U2433,NDays&amp;"D")</f>
        <v>55876</v>
      </c>
      <c r="W2433" s="249">
        <v>2.3501641943077998E-2</v>
      </c>
      <c r="X2433" s="246">
        <v>2.3454652638568163E-2</v>
      </c>
    </row>
    <row r="2434" spans="20:24" x14ac:dyDescent="0.2">
      <c r="T2434" s="247" t="str">
        <f t="shared" si="42"/>
        <v>1w</v>
      </c>
      <c r="U2434" s="245">
        <f>_xll.qlCalendarAdvance(Calendar,U2433,T2434,"f",FALSE)</f>
        <v>55880</v>
      </c>
      <c r="V2434" s="248">
        <f>_xll.qlCalendarAdvance(Calendar,U2434,NDays&amp;"D")</f>
        <v>55884</v>
      </c>
      <c r="W2434" s="249">
        <v>2.3497177005666892E-2</v>
      </c>
      <c r="X2434" s="246">
        <v>2.345138215980036E-2</v>
      </c>
    </row>
    <row r="2435" spans="20:24" x14ac:dyDescent="0.2">
      <c r="T2435" s="247" t="str">
        <f t="shared" si="42"/>
        <v>1w</v>
      </c>
      <c r="U2435" s="245">
        <f>_xll.qlCalendarAdvance(Calendar,U2434,T2435,"f",FALSE)</f>
        <v>55887</v>
      </c>
      <c r="V2435" s="248">
        <f>_xll.qlCalendarAdvance(Calendar,U2435,NDays&amp;"D")</f>
        <v>55891</v>
      </c>
      <c r="W2435" s="249">
        <v>2.3494216733617082E-2</v>
      </c>
      <c r="X2435" s="246">
        <v>2.3447515724548396E-2</v>
      </c>
    </row>
    <row r="2436" spans="20:24" x14ac:dyDescent="0.2">
      <c r="T2436" s="247" t="str">
        <f t="shared" si="42"/>
        <v>1w</v>
      </c>
      <c r="U2436" s="245">
        <f>_xll.qlCalendarAdvance(Calendar,U2435,T2436,"f",FALSE)</f>
        <v>55894</v>
      </c>
      <c r="V2436" s="248">
        <f>_xll.qlCalendarAdvance(Calendar,U2436,NDays&amp;"D")</f>
        <v>55898</v>
      </c>
      <c r="W2436" s="249">
        <v>2.3490211500002189E-2</v>
      </c>
      <c r="X2436" s="246">
        <v>2.3444157224270512E-2</v>
      </c>
    </row>
    <row r="2437" spans="20:24" x14ac:dyDescent="0.2">
      <c r="T2437" s="247" t="str">
        <f t="shared" si="42"/>
        <v>1w</v>
      </c>
      <c r="U2437" s="245">
        <f>_xll.qlCalendarAdvance(Calendar,U2436,T2437,"f",FALSE)</f>
        <v>55901</v>
      </c>
      <c r="V2437" s="248">
        <f>_xll.qlCalendarAdvance(Calendar,U2437,NDays&amp;"D")</f>
        <v>55905</v>
      </c>
      <c r="W2437" s="249">
        <v>2.3486701926385578E-2</v>
      </c>
      <c r="X2437" s="246">
        <v>2.3440780943655426E-2</v>
      </c>
    </row>
    <row r="2438" spans="20:24" x14ac:dyDescent="0.2">
      <c r="T2438" s="247" t="str">
        <f t="shared" si="42"/>
        <v>1w</v>
      </c>
      <c r="U2438" s="245">
        <f>_xll.qlCalendarAdvance(Calendar,U2437,T2438,"f",FALSE)</f>
        <v>55908</v>
      </c>
      <c r="V2438" s="248">
        <f>_xll.qlCalendarAdvance(Calendar,U2438,NDays&amp;"D")</f>
        <v>55912</v>
      </c>
      <c r="W2438" s="249">
        <v>2.3483174472308299E-2</v>
      </c>
      <c r="X2438" s="246">
        <v>2.3437386882783073E-2</v>
      </c>
    </row>
    <row r="2439" spans="20:24" x14ac:dyDescent="0.2">
      <c r="T2439" s="247" t="str">
        <f t="shared" si="42"/>
        <v>1w</v>
      </c>
      <c r="U2439" s="245">
        <f>_xll.qlCalendarAdvance(Calendar,U2438,T2439,"f",FALSE)</f>
        <v>55915</v>
      </c>
      <c r="V2439" s="248">
        <f>_xll.qlCalendarAdvance(Calendar,U2439,NDays&amp;"D")</f>
        <v>55919</v>
      </c>
      <c r="W2439" s="249">
        <v>2.347962913781565E-2</v>
      </c>
      <c r="X2439" s="246">
        <v>2.343397504173339E-2</v>
      </c>
    </row>
    <row r="2440" spans="20:24" x14ac:dyDescent="0.2">
      <c r="T2440" s="247" t="str">
        <f t="shared" si="42"/>
        <v>1w</v>
      </c>
      <c r="U2440" s="245">
        <f>_xll.qlCalendarAdvance(Calendar,U2439,T2440,"f",FALSE)</f>
        <v>55922</v>
      </c>
      <c r="V2440" s="248">
        <f>_xll.qlCalendarAdvance(Calendar,U2440,NDays&amp;"D")</f>
        <v>55926</v>
      </c>
      <c r="W2440" s="249">
        <v>2.3476065922958256E-2</v>
      </c>
      <c r="X2440" s="246">
        <v>2.3430545420266569E-2</v>
      </c>
    </row>
    <row r="2441" spans="20:24" x14ac:dyDescent="0.2">
      <c r="T2441" s="247" t="str">
        <f t="shared" si="42"/>
        <v>1w</v>
      </c>
      <c r="U2441" s="245">
        <f>_xll.qlCalendarAdvance(Calendar,U2440,T2441,"f",FALSE)</f>
        <v>55929</v>
      </c>
      <c r="V2441" s="248">
        <f>_xll.qlCalendarAdvance(Calendar,U2441,NDays&amp;"D")</f>
        <v>55933</v>
      </c>
      <c r="W2441" s="249">
        <v>2.3472484827782303E-2</v>
      </c>
      <c r="X2441" s="246">
        <v>2.342709801854248E-2</v>
      </c>
    </row>
    <row r="2442" spans="20:24" x14ac:dyDescent="0.2">
      <c r="T2442" s="247" t="str">
        <f t="shared" si="42"/>
        <v>1w</v>
      </c>
      <c r="U2442" s="245">
        <f>_xll.qlCalendarAdvance(Calendar,U2441,T2442,"f",FALSE)</f>
        <v>55936</v>
      </c>
      <c r="V2442" s="248">
        <f>_xll.qlCalendarAdvance(Calendar,U2442,NDays&amp;"D")</f>
        <v>55940</v>
      </c>
      <c r="W2442" s="249">
        <v>2.3468885852333976E-2</v>
      </c>
      <c r="X2442" s="246">
        <v>2.3423632836641062E-2</v>
      </c>
    </row>
    <row r="2443" spans="20:24" x14ac:dyDescent="0.2">
      <c r="T2443" s="247" t="str">
        <f t="shared" si="42"/>
        <v>1w</v>
      </c>
      <c r="U2443" s="245">
        <f>_xll.qlCalendarAdvance(Calendar,U2442,T2443,"f",FALSE)</f>
        <v>55943</v>
      </c>
      <c r="V2443" s="248">
        <f>_xll.qlCalendarAdvance(Calendar,U2443,NDays&amp;"D")</f>
        <v>55947</v>
      </c>
      <c r="W2443" s="249">
        <v>2.346627182084449E-2</v>
      </c>
      <c r="X2443" s="246">
        <v>2.3420149874482377E-2</v>
      </c>
    </row>
    <row r="2444" spans="20:24" x14ac:dyDescent="0.2">
      <c r="T2444" s="247" t="str">
        <f t="shared" si="42"/>
        <v>1w</v>
      </c>
      <c r="U2444" s="245">
        <f>_xll.qlCalendarAdvance(Calendar,U2443,T2444,"f",FALSE)</f>
        <v>55950</v>
      </c>
      <c r="V2444" s="248">
        <f>_xll.qlCalendarAdvance(Calendar,U2444,NDays&amp;"D")</f>
        <v>55954</v>
      </c>
      <c r="W2444" s="249">
        <v>2.3462634057932717E-2</v>
      </c>
      <c r="X2444" s="246">
        <v>2.3416649132066425E-2</v>
      </c>
    </row>
    <row r="2445" spans="20:24" x14ac:dyDescent="0.2">
      <c r="T2445" s="247" t="str">
        <f t="shared" si="42"/>
        <v>1w</v>
      </c>
      <c r="U2445" s="245">
        <f>_xll.qlCalendarAdvance(Calendar,U2444,T2445,"f",FALSE)</f>
        <v>55957</v>
      </c>
      <c r="V2445" s="248">
        <f>_xll.qlCalendarAdvance(Calendar,U2445,NDays&amp;"D")</f>
        <v>55961</v>
      </c>
      <c r="W2445" s="249">
        <v>2.3458978412648841E-2</v>
      </c>
      <c r="X2445" s="246">
        <v>2.3413130609233335E-2</v>
      </c>
    </row>
    <row r="2446" spans="20:24" x14ac:dyDescent="0.2">
      <c r="T2446" s="247" t="str">
        <f t="shared" si="42"/>
        <v>1w</v>
      </c>
      <c r="U2446" s="245">
        <f>_xll.qlCalendarAdvance(Calendar,U2445,T2446,"f",FALSE)</f>
        <v>55964</v>
      </c>
      <c r="V2446" s="248">
        <f>_xll.qlCalendarAdvance(Calendar,U2446,NDays&amp;"D")</f>
        <v>55968</v>
      </c>
      <c r="W2446" s="249">
        <v>2.3455304885045863E-2</v>
      </c>
      <c r="X2446" s="246">
        <v>2.340959430630285E-2</v>
      </c>
    </row>
    <row r="2447" spans="20:24" x14ac:dyDescent="0.2">
      <c r="T2447" s="247" t="str">
        <f t="shared" si="42"/>
        <v>1w</v>
      </c>
      <c r="U2447" s="245">
        <f>_xll.qlCalendarAdvance(Calendar,U2446,T2447,"f",FALSE)</f>
        <v>55971</v>
      </c>
      <c r="V2447" s="248">
        <f>_xll.qlCalendarAdvance(Calendar,U2447,NDays&amp;"D")</f>
        <v>55975</v>
      </c>
      <c r="W2447" s="249">
        <v>2.3451118185593471E-2</v>
      </c>
      <c r="X2447" s="246">
        <v>2.3406040223035163E-2</v>
      </c>
    </row>
    <row r="2448" spans="20:24" x14ac:dyDescent="0.2">
      <c r="T2448" s="247" t="str">
        <f t="shared" si="42"/>
        <v>1w</v>
      </c>
      <c r="U2448" s="245">
        <f>_xll.qlCalendarAdvance(Calendar,U2447,T2448,"f",FALSE)</f>
        <v>55982</v>
      </c>
      <c r="V2448" s="248">
        <f>_xll.qlCalendarAdvance(Calendar,U2448,NDays&amp;"D")</f>
        <v>55984</v>
      </c>
      <c r="W2448" s="249">
        <v>2.3446347763331425E-2</v>
      </c>
      <c r="X2448" s="246">
        <v>2.3401444561264029E-2</v>
      </c>
    </row>
    <row r="2449" spans="20:24" x14ac:dyDescent="0.2">
      <c r="T2449" s="247" t="str">
        <f t="shared" si="42"/>
        <v>1w</v>
      </c>
      <c r="U2449" s="245">
        <f>_xll.qlCalendarAdvance(Calendar,U2448,T2449,"f",FALSE)</f>
        <v>55989</v>
      </c>
      <c r="V2449" s="248">
        <f>_xll.qlCalendarAdvance(Calendar,U2449,NDays&amp;"D")</f>
        <v>55991</v>
      </c>
      <c r="W2449" s="249">
        <v>2.3442616999431416E-2</v>
      </c>
      <c r="X2449" s="246">
        <v>2.3397849837385465E-2</v>
      </c>
    </row>
    <row r="2450" spans="20:24" x14ac:dyDescent="0.2">
      <c r="T2450" s="247" t="str">
        <f t="shared" ref="T2450:T2513" si="43">T2449</f>
        <v>1w</v>
      </c>
      <c r="U2450" s="245">
        <f>_xll.qlCalendarAdvance(Calendar,U2449,T2450,"f",FALSE)</f>
        <v>55996</v>
      </c>
      <c r="V2450" s="248">
        <f>_xll.qlCalendarAdvance(Calendar,U2450,NDays&amp;"D")</f>
        <v>55998</v>
      </c>
      <c r="W2450" s="249">
        <v>2.34388683545468E-2</v>
      </c>
      <c r="X2450" s="246">
        <v>2.3394237333249635E-2</v>
      </c>
    </row>
    <row r="2451" spans="20:24" x14ac:dyDescent="0.2">
      <c r="T2451" s="247" t="str">
        <f t="shared" si="43"/>
        <v>1w</v>
      </c>
      <c r="U2451" s="245">
        <f>_xll.qlCalendarAdvance(Calendar,U2450,T2451,"f",FALSE)</f>
        <v>56003</v>
      </c>
      <c r="V2451" s="248">
        <f>_xll.qlCalendarAdvance(Calendar,U2451,NDays&amp;"D")</f>
        <v>56006</v>
      </c>
      <c r="W2451" s="249">
        <v>2.3436027595757157E-2</v>
      </c>
      <c r="X2451" s="246">
        <v>2.3391086114843418E-2</v>
      </c>
    </row>
    <row r="2452" spans="20:24" x14ac:dyDescent="0.2">
      <c r="T2452" s="247" t="str">
        <f t="shared" si="43"/>
        <v>1w</v>
      </c>
      <c r="U2452" s="245">
        <f>_xll.qlCalendarAdvance(Calendar,U2451,T2452,"f",FALSE)</f>
        <v>56010</v>
      </c>
      <c r="V2452" s="248">
        <f>_xll.qlCalendarAdvance(Calendar,U2452,NDays&amp;"D")</f>
        <v>56012</v>
      </c>
      <c r="W2452" s="249">
        <v>2.3431804674662111E-2</v>
      </c>
      <c r="X2452" s="246">
        <v>2.3386958984126238E-2</v>
      </c>
    </row>
    <row r="2453" spans="20:24" x14ac:dyDescent="0.2">
      <c r="T2453" s="247" t="str">
        <f t="shared" si="43"/>
        <v>1w</v>
      </c>
      <c r="U2453" s="245">
        <f>_xll.qlCalendarAdvance(Calendar,U2452,T2453,"f",FALSE)</f>
        <v>56017</v>
      </c>
      <c r="V2453" s="248">
        <f>_xll.qlCalendarAdvance(Calendar,U2453,NDays&amp;"D")</f>
        <v>56019</v>
      </c>
      <c r="W2453" s="249">
        <v>2.3428000863111153E-2</v>
      </c>
      <c r="X2453" s="246">
        <v>2.3383293139298544E-2</v>
      </c>
    </row>
    <row r="2454" spans="20:24" x14ac:dyDescent="0.2">
      <c r="T2454" s="247" t="str">
        <f t="shared" si="43"/>
        <v>1w</v>
      </c>
      <c r="U2454" s="245">
        <f>_xll.qlCalendarAdvance(Calendar,U2453,T2454,"f",FALSE)</f>
        <v>56024</v>
      </c>
      <c r="V2454" s="248">
        <f>_xll.qlCalendarAdvance(Calendar,U2454,NDays&amp;"D")</f>
        <v>56026</v>
      </c>
      <c r="W2454" s="249">
        <v>2.3424179169661625E-2</v>
      </c>
      <c r="X2454" s="246">
        <v>2.3379609514053712E-2</v>
      </c>
    </row>
    <row r="2455" spans="20:24" x14ac:dyDescent="0.2">
      <c r="T2455" s="247" t="str">
        <f t="shared" si="43"/>
        <v>1w</v>
      </c>
      <c r="U2455" s="245">
        <f>_xll.qlCalendarAdvance(Calendar,U2454,T2455,"f",FALSE)</f>
        <v>56031</v>
      </c>
      <c r="V2455" s="248">
        <f>_xll.qlCalendarAdvance(Calendar,U2455,NDays&amp;"D")</f>
        <v>56033</v>
      </c>
      <c r="W2455" s="249">
        <v>2.3420339594364792E-2</v>
      </c>
      <c r="X2455" s="246">
        <v>2.3375908108551613E-2</v>
      </c>
    </row>
    <row r="2456" spans="20:24" x14ac:dyDescent="0.2">
      <c r="T2456" s="247" t="str">
        <f t="shared" si="43"/>
        <v>1w</v>
      </c>
      <c r="U2456" s="245">
        <f>_xll.qlCalendarAdvance(Calendar,U2455,T2456,"f",FALSE)</f>
        <v>56038</v>
      </c>
      <c r="V2456" s="248">
        <f>_xll.qlCalendarAdvance(Calendar,U2456,NDays&amp;"D")</f>
        <v>56040</v>
      </c>
      <c r="W2456" s="249">
        <v>2.3416482137275388E-2</v>
      </c>
      <c r="X2456" s="246">
        <v>2.3372188922872184E-2</v>
      </c>
    </row>
    <row r="2457" spans="20:24" x14ac:dyDescent="0.2">
      <c r="T2457" s="247" t="str">
        <f t="shared" si="43"/>
        <v>1w</v>
      </c>
      <c r="U2457" s="245">
        <f>_xll.qlCalendarAdvance(Calendar,U2456,T2457,"f",FALSE)</f>
        <v>56045</v>
      </c>
      <c r="V2457" s="248">
        <f>_xll.qlCalendarAdvance(Calendar,U2457,NDays&amp;"D")</f>
        <v>56047</v>
      </c>
      <c r="W2457" s="249">
        <v>2.3412606798445548E-2</v>
      </c>
      <c r="X2457" s="246">
        <v>2.3368451956935488E-2</v>
      </c>
    </row>
    <row r="2458" spans="20:24" x14ac:dyDescent="0.2">
      <c r="T2458" s="247" t="str">
        <f t="shared" si="43"/>
        <v>1w</v>
      </c>
      <c r="U2458" s="245">
        <f>_xll.qlCalendarAdvance(Calendar,U2457,T2458,"f",FALSE)</f>
        <v>56052</v>
      </c>
      <c r="V2458" s="248">
        <f>_xll.qlCalendarAdvance(Calendar,U2458,NDays&amp;"D")</f>
        <v>56054</v>
      </c>
      <c r="W2458" s="249">
        <v>2.3408713577929143E-2</v>
      </c>
      <c r="X2458" s="246">
        <v>2.3364697210661589E-2</v>
      </c>
    </row>
    <row r="2459" spans="20:24" x14ac:dyDescent="0.2">
      <c r="T2459" s="247" t="str">
        <f t="shared" si="43"/>
        <v>1w</v>
      </c>
      <c r="U2459" s="245">
        <f>_xll.qlCalendarAdvance(Calendar,U2458,T2459,"f",FALSE)</f>
        <v>56059</v>
      </c>
      <c r="V2459" s="248">
        <f>_xll.qlCalendarAdvance(Calendar,U2459,NDays&amp;"D")</f>
        <v>56061</v>
      </c>
      <c r="W2459" s="249">
        <v>2.3404802475775695E-2</v>
      </c>
      <c r="X2459" s="246">
        <v>2.3360924684130424E-2</v>
      </c>
    </row>
    <row r="2460" spans="20:24" x14ac:dyDescent="0.2">
      <c r="T2460" s="247" t="str">
        <f t="shared" si="43"/>
        <v>1w</v>
      </c>
      <c r="U2460" s="245">
        <f>_xll.qlCalendarAdvance(Calendar,U2459,T2460,"f",FALSE)</f>
        <v>56066</v>
      </c>
      <c r="V2460" s="248">
        <f>_xll.qlCalendarAdvance(Calendar,U2460,NDays&amp;"D")</f>
        <v>56068</v>
      </c>
      <c r="W2460" s="249">
        <v>2.3400873492039946E-2</v>
      </c>
      <c r="X2460" s="246">
        <v>2.3357134377501865E-2</v>
      </c>
    </row>
    <row r="2461" spans="20:24" x14ac:dyDescent="0.2">
      <c r="T2461" s="247" t="str">
        <f t="shared" si="43"/>
        <v>1w</v>
      </c>
      <c r="U2461" s="245">
        <f>_xll.qlCalendarAdvance(Calendar,U2460,T2461,"f",FALSE)</f>
        <v>56073</v>
      </c>
      <c r="V2461" s="248">
        <f>_xll.qlCalendarAdvance(Calendar,U2461,NDays&amp;"D")</f>
        <v>56075</v>
      </c>
      <c r="W2461" s="249">
        <v>2.3396926626777507E-2</v>
      </c>
      <c r="X2461" s="246">
        <v>2.3353326290456167E-2</v>
      </c>
    </row>
    <row r="2462" spans="20:24" x14ac:dyDescent="0.2">
      <c r="T2462" s="247" t="str">
        <f t="shared" si="43"/>
        <v>1w</v>
      </c>
      <c r="U2462" s="245">
        <f>_xll.qlCalendarAdvance(Calendar,U2461,T2462,"f",FALSE)</f>
        <v>56080</v>
      </c>
      <c r="V2462" s="248">
        <f>_xll.qlCalendarAdvance(Calendar,U2462,NDays&amp;"D")</f>
        <v>56082</v>
      </c>
      <c r="W2462" s="249">
        <v>2.3392961880040499E-2</v>
      </c>
      <c r="X2462" s="246">
        <v>2.3349500423153202E-2</v>
      </c>
    </row>
    <row r="2463" spans="20:24" x14ac:dyDescent="0.2">
      <c r="T2463" s="247" t="str">
        <f t="shared" si="43"/>
        <v>1w</v>
      </c>
      <c r="U2463" s="245">
        <f>_xll.qlCalendarAdvance(Calendar,U2462,T2463,"f",FALSE)</f>
        <v>56087</v>
      </c>
      <c r="V2463" s="248">
        <f>_xll.qlCalendarAdvance(Calendar,U2463,NDays&amp;"D")</f>
        <v>56089</v>
      </c>
      <c r="W2463" s="249">
        <v>2.3388979251881936E-2</v>
      </c>
      <c r="X2463" s="246">
        <v>2.3345656775592971E-2</v>
      </c>
    </row>
    <row r="2464" spans="20:24" x14ac:dyDescent="0.2">
      <c r="T2464" s="247" t="str">
        <f t="shared" si="43"/>
        <v>1w</v>
      </c>
      <c r="U2464" s="245">
        <f>_xll.qlCalendarAdvance(Calendar,U2463,T2464,"f",FALSE)</f>
        <v>56094</v>
      </c>
      <c r="V2464" s="248">
        <f>_xll.qlCalendarAdvance(Calendar,U2464,NDays&amp;"D")</f>
        <v>56096</v>
      </c>
      <c r="W2464" s="249">
        <v>2.3384978742359154E-2</v>
      </c>
      <c r="X2464" s="246">
        <v>2.334179534785541E-2</v>
      </c>
    </row>
    <row r="2465" spans="20:24" x14ac:dyDescent="0.2">
      <c r="T2465" s="247" t="str">
        <f t="shared" si="43"/>
        <v>1w</v>
      </c>
      <c r="U2465" s="245">
        <f>_xll.qlCalendarAdvance(Calendar,U2464,T2465,"f",FALSE)</f>
        <v>56101</v>
      </c>
      <c r="V2465" s="248">
        <f>_xll.qlCalendarAdvance(Calendar,U2465,NDays&amp;"D")</f>
        <v>56103</v>
      </c>
      <c r="W2465" s="249">
        <v>2.3380960351524292E-2</v>
      </c>
      <c r="X2465" s="246">
        <v>2.3337916139860582E-2</v>
      </c>
    </row>
    <row r="2466" spans="20:24" x14ac:dyDescent="0.2">
      <c r="T2466" s="247" t="str">
        <f t="shared" si="43"/>
        <v>1w</v>
      </c>
      <c r="U2466" s="245">
        <f>_xll.qlCalendarAdvance(Calendar,U2465,T2466,"f",FALSE)</f>
        <v>56108</v>
      </c>
      <c r="V2466" s="248">
        <f>_xll.qlCalendarAdvance(Calendar,U2466,NDays&amp;"D")</f>
        <v>56110</v>
      </c>
      <c r="W2466" s="249">
        <v>2.3376924079431215E-2</v>
      </c>
      <c r="X2466" s="246">
        <v>2.3334019151608487E-2</v>
      </c>
    </row>
    <row r="2467" spans="20:24" x14ac:dyDescent="0.2">
      <c r="T2467" s="247" t="str">
        <f t="shared" si="43"/>
        <v>1w</v>
      </c>
      <c r="U2467" s="245">
        <f>_xll.qlCalendarAdvance(Calendar,U2466,T2467,"f",FALSE)</f>
        <v>56115</v>
      </c>
      <c r="V2467" s="248">
        <f>_xll.qlCalendarAdvance(Calendar,U2467,NDays&amp;"D")</f>
        <v>56117</v>
      </c>
      <c r="W2467" s="249">
        <v>2.3372869926136401E-2</v>
      </c>
      <c r="X2467" s="246">
        <v>2.333010438301919E-2</v>
      </c>
    </row>
    <row r="2468" spans="20:24" x14ac:dyDescent="0.2">
      <c r="T2468" s="247" t="str">
        <f t="shared" si="43"/>
        <v>1w</v>
      </c>
      <c r="U2468" s="245">
        <f>_xll.qlCalendarAdvance(Calendar,U2467,T2468,"f",FALSE)</f>
        <v>56122</v>
      </c>
      <c r="V2468" s="248">
        <f>_xll.qlCalendarAdvance(Calendar,U2468,NDays&amp;"D")</f>
        <v>56124</v>
      </c>
      <c r="W2468" s="249">
        <v>2.3368797891697195E-2</v>
      </c>
      <c r="X2468" s="246">
        <v>2.3326171834252563E-2</v>
      </c>
    </row>
    <row r="2469" spans="20:24" x14ac:dyDescent="0.2">
      <c r="T2469" s="247" t="str">
        <f t="shared" si="43"/>
        <v>1w</v>
      </c>
      <c r="U2469" s="245">
        <f>_xll.qlCalendarAdvance(Calendar,U2468,T2469,"f",FALSE)</f>
        <v>56129</v>
      </c>
      <c r="V2469" s="248">
        <f>_xll.qlCalendarAdvance(Calendar,U2469,NDays&amp;"D")</f>
        <v>56131</v>
      </c>
      <c r="W2469" s="249">
        <v>2.3364246783207133E-2</v>
      </c>
      <c r="X2469" s="246">
        <v>2.3322221505068796E-2</v>
      </c>
    </row>
    <row r="2470" spans="20:24" x14ac:dyDescent="0.2">
      <c r="T2470" s="247" t="str">
        <f t="shared" si="43"/>
        <v>1w</v>
      </c>
      <c r="U2470" s="245">
        <f>_xll.qlCalendarAdvance(Calendar,U2469,T2470,"f",FALSE)</f>
        <v>56136</v>
      </c>
      <c r="V2470" s="248">
        <f>_xll.qlCalendarAdvance(Calendar,U2470,NDays&amp;"D")</f>
        <v>56138</v>
      </c>
      <c r="W2470" s="249">
        <v>2.3360140529552671E-2</v>
      </c>
      <c r="X2470" s="246">
        <v>2.3318253395787636E-2</v>
      </c>
    </row>
    <row r="2471" spans="20:24" x14ac:dyDescent="0.2">
      <c r="T2471" s="247" t="str">
        <f t="shared" si="43"/>
        <v>1w</v>
      </c>
      <c r="U2471" s="245">
        <f>_xll.qlCalendarAdvance(Calendar,U2470,T2471,"f",FALSE)</f>
        <v>56143</v>
      </c>
      <c r="V2471" s="248">
        <f>_xll.qlCalendarAdvance(Calendar,U2471,NDays&amp;"D")</f>
        <v>56145</v>
      </c>
      <c r="W2471" s="249">
        <v>2.3356016396025678E-2</v>
      </c>
      <c r="X2471" s="246">
        <v>2.3314267506329145E-2</v>
      </c>
    </row>
    <row r="2472" spans="20:24" x14ac:dyDescent="0.2">
      <c r="T2472" s="247" t="str">
        <f t="shared" si="43"/>
        <v>1w</v>
      </c>
      <c r="U2472" s="245">
        <f>_xll.qlCalendarAdvance(Calendar,U2471,T2472,"f",FALSE)</f>
        <v>56150</v>
      </c>
      <c r="V2472" s="248">
        <f>_xll.qlCalendarAdvance(Calendar,U2472,NDays&amp;"D")</f>
        <v>56152</v>
      </c>
      <c r="W2472" s="249">
        <v>2.3353699859603151E-2</v>
      </c>
      <c r="X2472" s="246">
        <v>2.3310263836533451E-2</v>
      </c>
    </row>
    <row r="2473" spans="20:24" x14ac:dyDescent="0.2">
      <c r="T2473" s="247" t="str">
        <f t="shared" si="43"/>
        <v>1w</v>
      </c>
      <c r="U2473" s="245">
        <f>_xll.qlCalendarAdvance(Calendar,U2472,T2473,"f",FALSE)</f>
        <v>56157</v>
      </c>
      <c r="V2473" s="248">
        <f>_xll.qlCalendarAdvance(Calendar,U2473,NDays&amp;"D")</f>
        <v>56159</v>
      </c>
      <c r="W2473" s="249">
        <v>2.3348169504247684E-2</v>
      </c>
      <c r="X2473" s="246">
        <v>2.3306242386480491E-2</v>
      </c>
    </row>
    <row r="2474" spans="20:24" x14ac:dyDescent="0.2">
      <c r="T2474" s="247" t="str">
        <f t="shared" si="43"/>
        <v>1w</v>
      </c>
      <c r="U2474" s="245">
        <f>_xll.qlCalendarAdvance(Calendar,U2473,T2474,"f",FALSE)</f>
        <v>56164</v>
      </c>
      <c r="V2474" s="248">
        <f>_xll.qlCalendarAdvance(Calendar,U2474,NDays&amp;"D")</f>
        <v>56166</v>
      </c>
      <c r="W2474" s="249">
        <v>2.3343990184102943E-2</v>
      </c>
      <c r="X2474" s="246">
        <v>2.3302203156170265E-2</v>
      </c>
    </row>
    <row r="2475" spans="20:24" x14ac:dyDescent="0.2">
      <c r="T2475" s="247" t="str">
        <f t="shared" si="43"/>
        <v>1w</v>
      </c>
      <c r="U2475" s="245">
        <f>_xll.qlCalendarAdvance(Calendar,U2474,T2475,"f",FALSE)</f>
        <v>56171</v>
      </c>
      <c r="V2475" s="248">
        <f>_xll.qlCalendarAdvance(Calendar,U2475,NDays&amp;"D")</f>
        <v>56173</v>
      </c>
      <c r="W2475" s="249">
        <v>2.3339792983203933E-2</v>
      </c>
      <c r="X2475" s="246">
        <v>2.3298146145682708E-2</v>
      </c>
    </row>
    <row r="2476" spans="20:24" x14ac:dyDescent="0.2">
      <c r="T2476" s="247" t="str">
        <f t="shared" si="43"/>
        <v>1w</v>
      </c>
      <c r="U2476" s="245">
        <f>_xll.qlCalendarAdvance(Calendar,U2475,T2476,"f",FALSE)</f>
        <v>56178</v>
      </c>
      <c r="V2476" s="248">
        <f>_xll.qlCalendarAdvance(Calendar,U2476,NDays&amp;"D")</f>
        <v>56180</v>
      </c>
      <c r="W2476" s="249">
        <v>2.3335577901611473E-2</v>
      </c>
      <c r="X2476" s="246">
        <v>2.3294071354857948E-2</v>
      </c>
    </row>
    <row r="2477" spans="20:24" x14ac:dyDescent="0.2">
      <c r="T2477" s="247" t="str">
        <f t="shared" si="43"/>
        <v>1w</v>
      </c>
      <c r="U2477" s="245">
        <f>_xll.qlCalendarAdvance(Calendar,U2476,T2477,"f",FALSE)</f>
        <v>56185</v>
      </c>
      <c r="V2477" s="248">
        <f>_xll.qlCalendarAdvance(Calendar,U2477,NDays&amp;"D")</f>
        <v>56187</v>
      </c>
      <c r="W2477" s="249">
        <v>2.3331344939378568E-2</v>
      </c>
      <c r="X2477" s="246">
        <v>2.3289978783775922E-2</v>
      </c>
    </row>
    <row r="2478" spans="20:24" x14ac:dyDescent="0.2">
      <c r="T2478" s="247" t="str">
        <f t="shared" si="43"/>
        <v>1w</v>
      </c>
      <c r="U2478" s="245">
        <f>_xll.qlCalendarAdvance(Calendar,U2477,T2478,"f",FALSE)</f>
        <v>56192</v>
      </c>
      <c r="V2478" s="248">
        <f>_xll.qlCalendarAdvance(Calendar,U2478,NDays&amp;"D")</f>
        <v>56194</v>
      </c>
      <c r="W2478" s="249">
        <v>2.3327094096565172E-2</v>
      </c>
      <c r="X2478" s="246">
        <v>2.3285868432516565E-2</v>
      </c>
    </row>
    <row r="2479" spans="20:24" x14ac:dyDescent="0.2">
      <c r="T2479" s="247" t="str">
        <f t="shared" si="43"/>
        <v>1w</v>
      </c>
      <c r="U2479" s="245">
        <f>_xll.qlCalendarAdvance(Calendar,U2478,T2479,"f",FALSE)</f>
        <v>56199</v>
      </c>
      <c r="V2479" s="248">
        <f>_xll.qlCalendarAdvance(Calendar,U2479,NDays&amp;"D")</f>
        <v>56201</v>
      </c>
      <c r="W2479" s="249">
        <v>2.3322825373230362E-2</v>
      </c>
      <c r="X2479" s="246">
        <v>2.3281740300920006E-2</v>
      </c>
    </row>
    <row r="2480" spans="20:24" x14ac:dyDescent="0.2">
      <c r="T2480" s="247" t="str">
        <f t="shared" si="43"/>
        <v>1w</v>
      </c>
      <c r="U2480" s="245">
        <f>_xll.qlCalendarAdvance(Calendar,U2479,T2480,"f",FALSE)</f>
        <v>56206</v>
      </c>
      <c r="V2480" s="248">
        <f>_xll.qlCalendarAdvance(Calendar,U2480,NDays&amp;"D")</f>
        <v>56208</v>
      </c>
      <c r="W2480" s="249">
        <v>2.3318538769430616E-2</v>
      </c>
      <c r="X2480" s="246">
        <v>2.3277594389066181E-2</v>
      </c>
    </row>
    <row r="2481" spans="20:24" x14ac:dyDescent="0.2">
      <c r="T2481" s="247" t="str">
        <f t="shared" si="43"/>
        <v>1w</v>
      </c>
      <c r="U2481" s="245">
        <f>_xll.qlCalendarAdvance(Calendar,U2480,T2481,"f",FALSE)</f>
        <v>56213</v>
      </c>
      <c r="V2481" s="248">
        <f>_xll.qlCalendarAdvance(Calendar,U2481,NDays&amp;"D")</f>
        <v>56215</v>
      </c>
      <c r="W2481" s="249">
        <v>2.331423428522415E-2</v>
      </c>
      <c r="X2481" s="246">
        <v>2.3273430697035025E-2</v>
      </c>
    </row>
    <row r="2482" spans="20:24" x14ac:dyDescent="0.2">
      <c r="T2482" s="247" t="str">
        <f t="shared" si="43"/>
        <v>1w</v>
      </c>
      <c r="U2482" s="245">
        <f>_xll.qlCalendarAdvance(Calendar,U2481,T2482,"f",FALSE)</f>
        <v>56220</v>
      </c>
      <c r="V2482" s="248">
        <f>_xll.qlCalendarAdvance(Calendar,U2482,NDays&amp;"D")</f>
        <v>56222</v>
      </c>
      <c r="W2482" s="249">
        <v>2.3309029693156624E-2</v>
      </c>
      <c r="X2482" s="246">
        <v>2.3269249224746602E-2</v>
      </c>
    </row>
    <row r="2483" spans="20:24" x14ac:dyDescent="0.2">
      <c r="T2483" s="247" t="str">
        <f t="shared" si="43"/>
        <v>1w</v>
      </c>
      <c r="U2483" s="245">
        <f>_xll.qlCalendarAdvance(Calendar,U2482,T2483,"f",FALSE)</f>
        <v>56227</v>
      </c>
      <c r="V2483" s="248">
        <f>_xll.qlCalendarAdvance(Calendar,U2483,NDays&amp;"D")</f>
        <v>56229</v>
      </c>
      <c r="W2483" s="249">
        <v>2.3304692562621909E-2</v>
      </c>
      <c r="X2483" s="246">
        <v>2.3265049972280849E-2</v>
      </c>
    </row>
    <row r="2484" spans="20:24" x14ac:dyDescent="0.2">
      <c r="T2484" s="247" t="str">
        <f t="shared" si="43"/>
        <v>1w</v>
      </c>
      <c r="U2484" s="245">
        <f>_xll.qlCalendarAdvance(Calendar,U2483,T2484,"f",FALSE)</f>
        <v>56234</v>
      </c>
      <c r="V2484" s="248">
        <f>_xll.qlCalendarAdvance(Calendar,U2484,NDays&amp;"D")</f>
        <v>56236</v>
      </c>
      <c r="W2484" s="249">
        <v>2.3300337554052142E-2</v>
      </c>
      <c r="X2484" s="246">
        <v>2.3260832939477893E-2</v>
      </c>
    </row>
    <row r="2485" spans="20:24" x14ac:dyDescent="0.2">
      <c r="T2485" s="247" t="str">
        <f t="shared" si="43"/>
        <v>1w</v>
      </c>
      <c r="U2485" s="245">
        <f>_xll.qlCalendarAdvance(Calendar,U2484,T2485,"f",FALSE)</f>
        <v>56241</v>
      </c>
      <c r="V2485" s="248">
        <f>_xll.qlCalendarAdvance(Calendar,U2485,NDays&amp;"D")</f>
        <v>56247</v>
      </c>
      <c r="W2485" s="249">
        <v>2.3294328943287666E-2</v>
      </c>
      <c r="X2485" s="246">
        <v>2.3254170250437411E-2</v>
      </c>
    </row>
    <row r="2486" spans="20:24" x14ac:dyDescent="0.2">
      <c r="T2486" s="247" t="str">
        <f t="shared" si="43"/>
        <v>1w</v>
      </c>
      <c r="U2486" s="245">
        <f>_xll.qlCalendarAdvance(Calendar,U2485,T2486,"f",FALSE)</f>
        <v>56248</v>
      </c>
      <c r="V2486" s="248">
        <f>_xll.qlCalendarAdvance(Calendar,U2486,NDays&amp;"D")</f>
        <v>56251</v>
      </c>
      <c r="W2486" s="249">
        <v>2.329094519156083E-2</v>
      </c>
      <c r="X2486" s="246">
        <v>2.3252628860301883E-2</v>
      </c>
    </row>
    <row r="2487" spans="20:24" x14ac:dyDescent="0.2">
      <c r="T2487" s="247" t="str">
        <f t="shared" si="43"/>
        <v>1w</v>
      </c>
      <c r="U2487" s="245">
        <f>_xll.qlCalendarAdvance(Calendar,U2486,T2487,"f",FALSE)</f>
        <v>56255</v>
      </c>
      <c r="V2487" s="248">
        <f>_xll.qlCalendarAdvance(Calendar,U2487,NDays&amp;"D")</f>
        <v>56257</v>
      </c>
      <c r="W2487" s="249">
        <v>2.3287165260722276E-2</v>
      </c>
      <c r="X2487" s="246">
        <v>2.32480751596853E-2</v>
      </c>
    </row>
    <row r="2488" spans="20:24" x14ac:dyDescent="0.2">
      <c r="T2488" s="247" t="str">
        <f t="shared" si="43"/>
        <v>1w</v>
      </c>
      <c r="U2488" s="245">
        <f>_xll.qlCalendarAdvance(Calendar,U2487,T2488,"f",FALSE)</f>
        <v>56262</v>
      </c>
      <c r="V2488" s="248">
        <f>_xll.qlCalendarAdvance(Calendar,U2488,NDays&amp;"D")</f>
        <v>56264</v>
      </c>
      <c r="W2488" s="249">
        <v>2.3282738740601161E-2</v>
      </c>
      <c r="X2488" s="246">
        <v>2.3243787005933214E-2</v>
      </c>
    </row>
    <row r="2489" spans="20:24" x14ac:dyDescent="0.2">
      <c r="T2489" s="247" t="str">
        <f t="shared" si="43"/>
        <v>1w</v>
      </c>
      <c r="U2489" s="245">
        <f>_xll.qlCalendarAdvance(Calendar,U2488,T2489,"f",FALSE)</f>
        <v>56269</v>
      </c>
      <c r="V2489" s="248">
        <f>_xll.qlCalendarAdvance(Calendar,U2489,NDays&amp;"D")</f>
        <v>56271</v>
      </c>
      <c r="W2489" s="249">
        <v>2.3278294342738093E-2</v>
      </c>
      <c r="X2489" s="246">
        <v>2.3239481072003798E-2</v>
      </c>
    </row>
    <row r="2490" spans="20:24" x14ac:dyDescent="0.2">
      <c r="T2490" s="247" t="str">
        <f t="shared" si="43"/>
        <v>1w</v>
      </c>
      <c r="U2490" s="245">
        <f>_xll.qlCalendarAdvance(Calendar,U2489,T2490,"f",FALSE)</f>
        <v>56276</v>
      </c>
      <c r="V2490" s="248">
        <f>_xll.qlCalendarAdvance(Calendar,U2490,NDays&amp;"D")</f>
        <v>56278</v>
      </c>
      <c r="W2490" s="249">
        <v>2.3273832067191691E-2</v>
      </c>
      <c r="X2490" s="246">
        <v>2.3235157357737179E-2</v>
      </c>
    </row>
    <row r="2491" spans="20:24" x14ac:dyDescent="0.2">
      <c r="T2491" s="247" t="str">
        <f t="shared" si="43"/>
        <v>1w</v>
      </c>
      <c r="U2491" s="245">
        <f>_xll.qlCalendarAdvance(Calendar,U2490,T2491,"f",FALSE)</f>
        <v>56283</v>
      </c>
      <c r="V2491" s="248">
        <f>_xll.qlCalendarAdvance(Calendar,U2491,NDays&amp;"D")</f>
        <v>56285</v>
      </c>
      <c r="W2491" s="249">
        <v>2.326892465752586E-2</v>
      </c>
      <c r="X2491" s="246">
        <v>2.323081586329323E-2</v>
      </c>
    </row>
    <row r="2492" spans="20:24" x14ac:dyDescent="0.2">
      <c r="T2492" s="247" t="str">
        <f t="shared" si="43"/>
        <v>1w</v>
      </c>
      <c r="U2492" s="245">
        <f>_xll.qlCalendarAdvance(Calendar,U2491,T2492,"f",FALSE)</f>
        <v>56290</v>
      </c>
      <c r="V2492" s="248">
        <f>_xll.qlCalendarAdvance(Calendar,U2492,NDays&amp;"D")</f>
        <v>56292</v>
      </c>
      <c r="W2492" s="249">
        <v>2.3264428193540892E-2</v>
      </c>
      <c r="X2492" s="246">
        <v>2.3226456588592015E-2</v>
      </c>
    </row>
    <row r="2493" spans="20:24" x14ac:dyDescent="0.2">
      <c r="T2493" s="247" t="str">
        <f t="shared" si="43"/>
        <v>1w</v>
      </c>
      <c r="U2493" s="245">
        <f>_xll.qlCalendarAdvance(Calendar,U2492,T2493,"f",FALSE)</f>
        <v>56297</v>
      </c>
      <c r="V2493" s="248">
        <f>_xll.qlCalendarAdvance(Calendar,U2493,NDays&amp;"D")</f>
        <v>56299</v>
      </c>
      <c r="W2493" s="249">
        <v>2.3259913853145457E-2</v>
      </c>
      <c r="X2493" s="246">
        <v>2.3222079533713469E-2</v>
      </c>
    </row>
    <row r="2494" spans="20:24" x14ac:dyDescent="0.2">
      <c r="T2494" s="247" t="str">
        <f t="shared" si="43"/>
        <v>1w</v>
      </c>
      <c r="U2494" s="245">
        <f>_xll.qlCalendarAdvance(Calendar,U2493,T2494,"f",FALSE)</f>
        <v>56304</v>
      </c>
      <c r="V2494" s="248">
        <f>_xll.qlCalendarAdvance(Calendar,U2494,NDays&amp;"D")</f>
        <v>56306</v>
      </c>
      <c r="W2494" s="249">
        <v>2.3255381636396146E-2</v>
      </c>
      <c r="X2494" s="246">
        <v>2.3217684698417784E-2</v>
      </c>
    </row>
    <row r="2495" spans="20:24" x14ac:dyDescent="0.2">
      <c r="T2495" s="247" t="str">
        <f t="shared" si="43"/>
        <v>1w</v>
      </c>
      <c r="U2495" s="245">
        <f>_xll.qlCalendarAdvance(Calendar,U2494,T2495,"f",FALSE)</f>
        <v>56311</v>
      </c>
      <c r="V2495" s="248">
        <f>_xll.qlCalendarAdvance(Calendar,U2495,NDays&amp;"D")</f>
        <v>56313</v>
      </c>
      <c r="W2495" s="249">
        <v>2.3252094133082858E-2</v>
      </c>
      <c r="X2495" s="246">
        <v>2.3213272083024705E-2</v>
      </c>
    </row>
    <row r="2496" spans="20:24" x14ac:dyDescent="0.2">
      <c r="T2496" s="247" t="str">
        <f t="shared" si="43"/>
        <v>1w</v>
      </c>
      <c r="U2496" s="245">
        <f>_xll.qlCalendarAdvance(Calendar,U2495,T2496,"f",FALSE)</f>
        <v>56318</v>
      </c>
      <c r="V2496" s="248">
        <f>_xll.qlCalendarAdvance(Calendar,U2496,NDays&amp;"D")</f>
        <v>56320</v>
      </c>
      <c r="W2496" s="249">
        <v>2.3247522749863067E-2</v>
      </c>
      <c r="X2496" s="246">
        <v>2.320884168737436E-2</v>
      </c>
    </row>
    <row r="2497" spans="20:24" x14ac:dyDescent="0.2">
      <c r="T2497" s="247" t="str">
        <f t="shared" si="43"/>
        <v>1w</v>
      </c>
      <c r="U2497" s="245">
        <f>_xll.qlCalendarAdvance(Calendar,U2496,T2497,"f",FALSE)</f>
        <v>56325</v>
      </c>
      <c r="V2497" s="248">
        <f>_xll.qlCalendarAdvance(Calendar,U2497,NDays&amp;"D")</f>
        <v>56327</v>
      </c>
      <c r="W2497" s="249">
        <v>2.3242937414950433E-2</v>
      </c>
      <c r="X2497" s="246">
        <v>2.3204393511546684E-2</v>
      </c>
    </row>
    <row r="2498" spans="20:24" x14ac:dyDescent="0.2">
      <c r="T2498" s="247" t="str">
        <f t="shared" si="43"/>
        <v>1w</v>
      </c>
      <c r="U2498" s="245">
        <f>_xll.qlCalendarAdvance(Calendar,U2497,T2498,"f",FALSE)</f>
        <v>56332</v>
      </c>
      <c r="V2498" s="248">
        <f>_xll.qlCalendarAdvance(Calendar,U2498,NDays&amp;"D")</f>
        <v>56334</v>
      </c>
      <c r="W2498" s="249">
        <v>2.3238340877813433E-2</v>
      </c>
      <c r="X2498" s="246">
        <v>2.3201638005675207E-2</v>
      </c>
    </row>
    <row r="2499" spans="20:24" x14ac:dyDescent="0.2">
      <c r="T2499" s="247" t="str">
        <f t="shared" si="43"/>
        <v>1w</v>
      </c>
      <c r="U2499" s="245">
        <f>_xll.qlCalendarAdvance(Calendar,U2498,T2499,"f",FALSE)</f>
        <v>56339</v>
      </c>
      <c r="V2499" s="248">
        <f>_xll.qlCalendarAdvance(Calendar,U2499,NDays&amp;"D")</f>
        <v>56341</v>
      </c>
      <c r="W2499" s="249">
        <v>2.323331812617101E-2</v>
      </c>
      <c r="X2499" s="246">
        <v>2.319544381895966E-2</v>
      </c>
    </row>
    <row r="2500" spans="20:24" x14ac:dyDescent="0.2">
      <c r="T2500" s="247" t="str">
        <f t="shared" si="43"/>
        <v>1w</v>
      </c>
      <c r="U2500" s="245">
        <f>_xll.qlCalendarAdvance(Calendar,U2499,T2500,"f",FALSE)</f>
        <v>56346</v>
      </c>
      <c r="V2500" s="248">
        <f>_xll.qlCalendarAdvance(Calendar,U2500,NDays&amp;"D")</f>
        <v>56348</v>
      </c>
      <c r="W2500" s="249">
        <v>2.3228707446196054E-2</v>
      </c>
      <c r="X2500" s="246">
        <v>2.3190942302520057E-2</v>
      </c>
    </row>
    <row r="2501" spans="20:24" x14ac:dyDescent="0.2">
      <c r="T2501" s="247" t="str">
        <f t="shared" si="43"/>
        <v>1w</v>
      </c>
      <c r="U2501" s="245">
        <f>_xll.qlCalendarAdvance(Calendar,U2500,T2501,"f",FALSE)</f>
        <v>56353</v>
      </c>
      <c r="V2501" s="248">
        <f>_xll.qlCalendarAdvance(Calendar,U2501,NDays&amp;"D")</f>
        <v>56355</v>
      </c>
      <c r="W2501" s="249">
        <v>2.3224093579400619E-2</v>
      </c>
      <c r="X2501" s="246">
        <v>2.3186423005663315E-2</v>
      </c>
    </row>
    <row r="2502" spans="20:24" x14ac:dyDescent="0.2">
      <c r="T2502" s="247" t="str">
        <f t="shared" si="43"/>
        <v>1w</v>
      </c>
      <c r="U2502" s="245">
        <f>_xll.qlCalendarAdvance(Calendar,U2501,T2502,"f",FALSE)</f>
        <v>56360</v>
      </c>
      <c r="V2502" s="248">
        <f>_xll.qlCalendarAdvance(Calendar,U2502,NDays&amp;"D")</f>
        <v>56362</v>
      </c>
      <c r="W2502" s="249">
        <v>2.3219479305239613E-2</v>
      </c>
      <c r="X2502" s="246">
        <v>2.318188592846937E-2</v>
      </c>
    </row>
    <row r="2503" spans="20:24" x14ac:dyDescent="0.2">
      <c r="T2503" s="247" t="str">
        <f t="shared" si="43"/>
        <v>1w</v>
      </c>
      <c r="U2503" s="245">
        <f>_xll.qlCalendarAdvance(Calendar,U2502,T2503,"f",FALSE)</f>
        <v>56367</v>
      </c>
      <c r="V2503" s="248">
        <f>_xll.qlCalendarAdvance(Calendar,U2503,NDays&amp;"D")</f>
        <v>56369</v>
      </c>
      <c r="W2503" s="249">
        <v>2.3215286389310825E-2</v>
      </c>
      <c r="X2503" s="246">
        <v>2.317859068357242E-2</v>
      </c>
    </row>
    <row r="2504" spans="20:24" x14ac:dyDescent="0.2">
      <c r="T2504" s="247" t="str">
        <f t="shared" si="43"/>
        <v>1w</v>
      </c>
      <c r="U2504" s="245">
        <f>_xll.qlCalendarAdvance(Calendar,U2503,T2504,"f",FALSE)</f>
        <v>56374</v>
      </c>
      <c r="V2504" s="248">
        <f>_xll.qlCalendarAdvance(Calendar,U2504,NDays&amp;"D")</f>
        <v>56376</v>
      </c>
      <c r="W2504" s="249">
        <v>2.32106803769732E-2</v>
      </c>
      <c r="X2504" s="246">
        <v>2.3172758433789298E-2</v>
      </c>
    </row>
    <row r="2505" spans="20:24" x14ac:dyDescent="0.2">
      <c r="T2505" s="247" t="str">
        <f t="shared" si="43"/>
        <v>1w</v>
      </c>
      <c r="U2505" s="245">
        <f>_xll.qlCalendarAdvance(Calendar,U2504,T2505,"f",FALSE)</f>
        <v>56381</v>
      </c>
      <c r="V2505" s="248">
        <f>_xll.qlCalendarAdvance(Calendar,U2505,NDays&amp;"D")</f>
        <v>56383</v>
      </c>
      <c r="W2505" s="249">
        <v>2.32060824083378E-2</v>
      </c>
      <c r="X2505" s="246">
        <v>2.316816801590349E-2</v>
      </c>
    </row>
    <row r="2506" spans="20:24" x14ac:dyDescent="0.2">
      <c r="T2506" s="247" t="str">
        <f t="shared" si="43"/>
        <v>1w</v>
      </c>
      <c r="U2506" s="245">
        <f>_xll.qlCalendarAdvance(Calendar,U2505,T2506,"f",FALSE)</f>
        <v>56388</v>
      </c>
      <c r="V2506" s="248">
        <f>_xll.qlCalendarAdvance(Calendar,U2506,NDays&amp;"D")</f>
        <v>56390</v>
      </c>
      <c r="W2506" s="249">
        <v>2.3201495232773185E-2</v>
      </c>
      <c r="X2506" s="246">
        <v>2.3163559818000223E-2</v>
      </c>
    </row>
    <row r="2507" spans="20:24" x14ac:dyDescent="0.2">
      <c r="T2507" s="247" t="str">
        <f t="shared" si="43"/>
        <v>1w</v>
      </c>
      <c r="U2507" s="245">
        <f>_xll.qlCalendarAdvance(Calendar,U2506,T2507,"f",FALSE)</f>
        <v>56395</v>
      </c>
      <c r="V2507" s="248">
        <f>_xll.qlCalendarAdvance(Calendar,U2507,NDays&amp;"D")</f>
        <v>56397</v>
      </c>
      <c r="W2507" s="249">
        <v>2.3196921599629671E-2</v>
      </c>
      <c r="X2507" s="246">
        <v>2.315893383983969E-2</v>
      </c>
    </row>
    <row r="2508" spans="20:24" x14ac:dyDescent="0.2">
      <c r="T2508" s="247" t="str">
        <f t="shared" si="43"/>
        <v>1w</v>
      </c>
      <c r="U2508" s="245">
        <f>_xll.qlCalendarAdvance(Calendar,U2507,T2508,"f",FALSE)</f>
        <v>56402</v>
      </c>
      <c r="V2508" s="248">
        <f>_xll.qlCalendarAdvance(Calendar,U2508,NDays&amp;"D")</f>
        <v>56404</v>
      </c>
      <c r="W2508" s="249">
        <v>2.3192364247566117E-2</v>
      </c>
      <c r="X2508" s="246">
        <v>2.3154292403004817E-2</v>
      </c>
    </row>
    <row r="2509" spans="20:24" x14ac:dyDescent="0.2">
      <c r="T2509" s="247" t="str">
        <f t="shared" si="43"/>
        <v>1w</v>
      </c>
      <c r="U2509" s="245">
        <f>_xll.qlCalendarAdvance(Calendar,U2508,T2509,"f",FALSE)</f>
        <v>56409</v>
      </c>
      <c r="V2509" s="248">
        <f>_xll.qlCalendarAdvance(Calendar,U2509,NDays&amp;"D")</f>
        <v>56411</v>
      </c>
      <c r="W2509" s="249">
        <v>2.3187824984061908E-2</v>
      </c>
      <c r="X2509" s="246">
        <v>2.3149661656498566E-2</v>
      </c>
    </row>
    <row r="2510" spans="20:24" x14ac:dyDescent="0.2">
      <c r="T2510" s="247" t="str">
        <f t="shared" si="43"/>
        <v>1w</v>
      </c>
      <c r="U2510" s="245">
        <f>_xll.qlCalendarAdvance(Calendar,U2509,T2510,"f",FALSE)</f>
        <v>56416</v>
      </c>
      <c r="V2510" s="248">
        <f>_xll.qlCalendarAdvance(Calendar,U2510,NDays&amp;"D")</f>
        <v>56418</v>
      </c>
      <c r="W2510" s="249">
        <v>2.3183303976049601E-2</v>
      </c>
      <c r="X2510" s="246">
        <v>2.314504905403858E-2</v>
      </c>
    </row>
    <row r="2511" spans="20:24" x14ac:dyDescent="0.2">
      <c r="T2511" s="247" t="str">
        <f t="shared" si="43"/>
        <v>1w</v>
      </c>
      <c r="U2511" s="245">
        <f>_xll.qlCalendarAdvance(Calendar,U2510,T2511,"f",FALSE)</f>
        <v>56423</v>
      </c>
      <c r="V2511" s="248">
        <f>_xll.qlCalendarAdvance(Calendar,U2511,NDays&amp;"D")</f>
        <v>56425</v>
      </c>
      <c r="W2511" s="249">
        <v>2.3178801223467504E-2</v>
      </c>
      <c r="X2511" s="246">
        <v>2.314045459562486E-2</v>
      </c>
    </row>
    <row r="2512" spans="20:24" x14ac:dyDescent="0.2">
      <c r="T2512" s="247" t="str">
        <f t="shared" si="43"/>
        <v>1w</v>
      </c>
      <c r="U2512" s="245">
        <f>_xll.qlCalendarAdvance(Calendar,U2511,T2512,"f",FALSE)</f>
        <v>56430</v>
      </c>
      <c r="V2512" s="248">
        <f>_xll.qlCalendarAdvance(Calendar,U2512,NDays&amp;"D")</f>
        <v>56432</v>
      </c>
      <c r="W2512" s="249">
        <v>2.3174316726252191E-2</v>
      </c>
      <c r="X2512" s="246">
        <v>2.3135878281097533E-2</v>
      </c>
    </row>
    <row r="2513" spans="20:24" x14ac:dyDescent="0.2">
      <c r="T2513" s="247" t="str">
        <f t="shared" si="43"/>
        <v>1w</v>
      </c>
      <c r="U2513" s="245">
        <f>_xll.qlCalendarAdvance(Calendar,U2512,T2513,"f",FALSE)</f>
        <v>56437</v>
      </c>
      <c r="V2513" s="248">
        <f>_xll.qlCalendarAdvance(Calendar,U2513,NDays&amp;"D")</f>
        <v>56439</v>
      </c>
      <c r="W2513" s="249">
        <v>2.3169850484340237E-2</v>
      </c>
      <c r="X2513" s="246">
        <v>2.3131320110536535E-2</v>
      </c>
    </row>
    <row r="2514" spans="20:24" x14ac:dyDescent="0.2">
      <c r="T2514" s="247" t="str">
        <f t="shared" ref="T2514:T2577" si="44">T2513</f>
        <v>1w</v>
      </c>
      <c r="U2514" s="245">
        <f>_xll.qlCalendarAdvance(Calendar,U2513,T2514,"f",FALSE)</f>
        <v>56444</v>
      </c>
      <c r="V2514" s="248">
        <f>_xll.qlCalendarAdvance(Calendar,U2514,NDays&amp;"D")</f>
        <v>56446</v>
      </c>
      <c r="W2514" s="249">
        <v>2.3165402497669945E-2</v>
      </c>
      <c r="X2514" s="246">
        <v>2.3126780084101739E-2</v>
      </c>
    </row>
    <row r="2515" spans="20:24" x14ac:dyDescent="0.2">
      <c r="T2515" s="247" t="str">
        <f t="shared" si="44"/>
        <v>1w</v>
      </c>
      <c r="U2515" s="245">
        <f>_xll.qlCalendarAdvance(Calendar,U2514,T2515,"f",FALSE)</f>
        <v>56451</v>
      </c>
      <c r="V2515" s="248">
        <f>_xll.qlCalendarAdvance(Calendar,U2515,NDays&amp;"D")</f>
        <v>56453</v>
      </c>
      <c r="W2515" s="249">
        <v>2.3160972766180499E-2</v>
      </c>
      <c r="X2515" s="246">
        <v>2.3122258201553336E-2</v>
      </c>
    </row>
    <row r="2516" spans="20:24" x14ac:dyDescent="0.2">
      <c r="T2516" s="247" t="str">
        <f t="shared" si="44"/>
        <v>1w</v>
      </c>
      <c r="U2516" s="245">
        <f>_xll.qlCalendarAdvance(Calendar,U2515,T2516,"f",FALSE)</f>
        <v>56458</v>
      </c>
      <c r="V2516" s="248">
        <f>_xll.qlCalendarAdvance(Calendar,U2516,NDays&amp;"D")</f>
        <v>56460</v>
      </c>
      <c r="W2516" s="249">
        <v>2.3156561289809342E-2</v>
      </c>
      <c r="X2516" s="246">
        <v>2.3117754462891327E-2</v>
      </c>
    </row>
    <row r="2517" spans="20:24" x14ac:dyDescent="0.2">
      <c r="T2517" s="247" t="str">
        <f t="shared" si="44"/>
        <v>1w</v>
      </c>
      <c r="U2517" s="245">
        <f>_xll.qlCalendarAdvance(Calendar,U2516,T2517,"f",FALSE)</f>
        <v>56465</v>
      </c>
      <c r="V2517" s="248">
        <f>_xll.qlCalendarAdvance(Calendar,U2517,NDays&amp;"D")</f>
        <v>56467</v>
      </c>
      <c r="W2517" s="249">
        <v>2.3152168068495647E-2</v>
      </c>
      <c r="X2517" s="246">
        <v>2.3113268868435455E-2</v>
      </c>
    </row>
    <row r="2518" spans="20:24" x14ac:dyDescent="0.2">
      <c r="T2518" s="247" t="str">
        <f t="shared" si="44"/>
        <v>1w</v>
      </c>
      <c r="U2518" s="245">
        <f>_xll.qlCalendarAdvance(Calendar,U2517,T2518,"f",FALSE)</f>
        <v>56472</v>
      </c>
      <c r="V2518" s="248">
        <f>_xll.qlCalendarAdvance(Calendar,U2518,NDays&amp;"D")</f>
        <v>56474</v>
      </c>
      <c r="W2518" s="249">
        <v>2.3147793102178599E-2</v>
      </c>
      <c r="X2518" s="246">
        <v>2.3108801417945912E-2</v>
      </c>
    </row>
    <row r="2519" spans="20:24" x14ac:dyDescent="0.2">
      <c r="T2519" s="247" t="str">
        <f t="shared" si="44"/>
        <v>1w</v>
      </c>
      <c r="U2519" s="245">
        <f>_xll.qlCalendarAdvance(Calendar,U2518,T2519,"f",FALSE)</f>
        <v>56479</v>
      </c>
      <c r="V2519" s="248">
        <f>_xll.qlCalendarAdvance(Calendar,U2519,NDays&amp;"D")</f>
        <v>56481</v>
      </c>
      <c r="W2519" s="249">
        <v>2.3143436390795639E-2</v>
      </c>
      <c r="X2519" s="246">
        <v>2.3104352111342763E-2</v>
      </c>
    </row>
    <row r="2520" spans="20:24" x14ac:dyDescent="0.2">
      <c r="T2520" s="247" t="str">
        <f t="shared" si="44"/>
        <v>1w</v>
      </c>
      <c r="U2520" s="245">
        <f>_xll.qlCalendarAdvance(Calendar,U2519,T2520,"f",FALSE)</f>
        <v>56486</v>
      </c>
      <c r="V2520" s="248">
        <f>_xll.qlCalendarAdvance(Calendar,U2520,NDays&amp;"D")</f>
        <v>56488</v>
      </c>
      <c r="W2520" s="249">
        <v>2.3139097934286808E-2</v>
      </c>
      <c r="X2520" s="246">
        <v>2.3099920948705943E-2</v>
      </c>
    </row>
    <row r="2521" spans="20:24" x14ac:dyDescent="0.2">
      <c r="T2521" s="247" t="str">
        <f t="shared" si="44"/>
        <v>1w</v>
      </c>
      <c r="U2521" s="245">
        <f>_xll.qlCalendarAdvance(Calendar,U2520,T2521,"f",FALSE)</f>
        <v>56493</v>
      </c>
      <c r="V2521" s="248">
        <f>_xll.qlCalendarAdvance(Calendar,U2521,NDays&amp;"D")</f>
        <v>56495</v>
      </c>
      <c r="W2521" s="249">
        <v>2.3134340971814583E-2</v>
      </c>
      <c r="X2521" s="246">
        <v>2.3095507930195325E-2</v>
      </c>
    </row>
    <row r="2522" spans="20:24" x14ac:dyDescent="0.2">
      <c r="T2522" s="247" t="str">
        <f t="shared" si="44"/>
        <v>1w</v>
      </c>
      <c r="U2522" s="245">
        <f>_xll.qlCalendarAdvance(Calendar,U2521,T2522,"f",FALSE)</f>
        <v>56500</v>
      </c>
      <c r="V2522" s="248">
        <f>_xll.qlCalendarAdvance(Calendar,U2522,NDays&amp;"D")</f>
        <v>56502</v>
      </c>
      <c r="W2522" s="249">
        <v>2.3130037996664764E-2</v>
      </c>
      <c r="X2522" s="246">
        <v>2.30911130555711E-2</v>
      </c>
    </row>
    <row r="2523" spans="20:24" x14ac:dyDescent="0.2">
      <c r="T2523" s="247" t="str">
        <f t="shared" si="44"/>
        <v>1w</v>
      </c>
      <c r="U2523" s="245">
        <f>_xll.qlCalendarAdvance(Calendar,U2522,T2523,"f",FALSE)</f>
        <v>56507</v>
      </c>
      <c r="V2523" s="248">
        <f>_xll.qlCalendarAdvance(Calendar,U2523,NDays&amp;"D")</f>
        <v>56509</v>
      </c>
      <c r="W2523" s="249">
        <v>2.3125753274993669E-2</v>
      </c>
      <c r="X2523" s="246">
        <v>2.308673632499314E-2</v>
      </c>
    </row>
    <row r="2524" spans="20:24" x14ac:dyDescent="0.2">
      <c r="T2524" s="247" t="str">
        <f t="shared" si="44"/>
        <v>1w</v>
      </c>
      <c r="U2524" s="245">
        <f>_xll.qlCalendarAdvance(Calendar,U2523,T2524,"f",FALSE)</f>
        <v>56514</v>
      </c>
      <c r="V2524" s="248">
        <f>_xll.qlCalendarAdvance(Calendar,U2524,NDays&amp;"D")</f>
        <v>56516</v>
      </c>
      <c r="W2524" s="249">
        <v>2.3121486806739817E-2</v>
      </c>
      <c r="X2524" s="246">
        <v>2.3082377738221638E-2</v>
      </c>
    </row>
    <row r="2525" spans="20:24" x14ac:dyDescent="0.2">
      <c r="T2525" s="247" t="str">
        <f t="shared" si="44"/>
        <v>1w</v>
      </c>
      <c r="U2525" s="245">
        <f>_xll.qlCalendarAdvance(Calendar,U2524,T2525,"f",FALSE)</f>
        <v>56521</v>
      </c>
      <c r="V2525" s="248">
        <f>_xll.qlCalendarAdvance(Calendar,U2525,NDays&amp;"D")</f>
        <v>56523</v>
      </c>
      <c r="W2525" s="249">
        <v>2.3119002820053809E-2</v>
      </c>
      <c r="X2525" s="246">
        <v>2.3078037295656273E-2</v>
      </c>
    </row>
    <row r="2526" spans="20:24" x14ac:dyDescent="0.2">
      <c r="T2526" s="247" t="str">
        <f t="shared" si="44"/>
        <v>1w</v>
      </c>
      <c r="U2526" s="245">
        <f>_xll.qlCalendarAdvance(Calendar,U2525,T2526,"f",FALSE)</f>
        <v>56528</v>
      </c>
      <c r="V2526" s="248">
        <f>_xll.qlCalendarAdvance(Calendar,U2526,NDays&amp;"D")</f>
        <v>56530</v>
      </c>
      <c r="W2526" s="249">
        <v>2.3113450544244636E-2</v>
      </c>
      <c r="X2526" s="246">
        <v>2.3073714996977301E-2</v>
      </c>
    </row>
    <row r="2527" spans="20:24" x14ac:dyDescent="0.2">
      <c r="T2527" s="247" t="str">
        <f t="shared" si="44"/>
        <v>1w</v>
      </c>
      <c r="U2527" s="245">
        <f>_xll.qlCalendarAdvance(Calendar,U2526,T2527,"f",FALSE)</f>
        <v>56535</v>
      </c>
      <c r="V2527" s="248">
        <f>_xll.qlCalendarAdvance(Calendar,U2527,NDays&amp;"D")</f>
        <v>56537</v>
      </c>
      <c r="W2527" s="249">
        <v>2.310923987018304E-2</v>
      </c>
      <c r="X2527" s="246">
        <v>2.3069410842264659E-2</v>
      </c>
    </row>
    <row r="2528" spans="20:24" x14ac:dyDescent="0.2">
      <c r="T2528" s="247" t="str">
        <f t="shared" si="44"/>
        <v>1w</v>
      </c>
      <c r="U2528" s="245">
        <f>_xll.qlCalendarAdvance(Calendar,U2527,T2528,"f",FALSE)</f>
        <v>56542</v>
      </c>
      <c r="V2528" s="248">
        <f>_xll.qlCalendarAdvance(Calendar,U2528,NDays&amp;"D")</f>
        <v>56544</v>
      </c>
      <c r="W2528" s="249">
        <v>2.3105047450521176E-2</v>
      </c>
      <c r="X2528" s="246">
        <v>2.3065124831518347E-2</v>
      </c>
    </row>
    <row r="2529" spans="20:24" x14ac:dyDescent="0.2">
      <c r="T2529" s="247" t="str">
        <f t="shared" si="44"/>
        <v>1w</v>
      </c>
      <c r="U2529" s="245">
        <f>_xll.qlCalendarAdvance(Calendar,U2528,T2529,"f",FALSE)</f>
        <v>56549</v>
      </c>
      <c r="V2529" s="248">
        <f>_xll.qlCalendarAdvance(Calendar,U2529,NDays&amp;"D")</f>
        <v>56551</v>
      </c>
      <c r="W2529" s="249">
        <v>2.3100873285199088E-2</v>
      </c>
      <c r="X2529" s="246">
        <v>2.3060856964898235E-2</v>
      </c>
    </row>
    <row r="2530" spans="20:24" x14ac:dyDescent="0.2">
      <c r="T2530" s="247" t="str">
        <f t="shared" si="44"/>
        <v>1w</v>
      </c>
      <c r="U2530" s="245">
        <f>_xll.qlCalendarAdvance(Calendar,U2529,T2530,"f",FALSE)</f>
        <v>56556</v>
      </c>
      <c r="V2530" s="248">
        <f>_xll.qlCalendarAdvance(Calendar,U2530,NDays&amp;"D")</f>
        <v>56558</v>
      </c>
      <c r="W2530" s="249">
        <v>2.3096717374161174E-2</v>
      </c>
      <c r="X2530" s="246">
        <v>2.3056607242164517E-2</v>
      </c>
    </row>
    <row r="2531" spans="20:24" x14ac:dyDescent="0.2">
      <c r="T2531" s="247" t="str">
        <f t="shared" si="44"/>
        <v>1w</v>
      </c>
      <c r="U2531" s="245">
        <f>_xll.qlCalendarAdvance(Calendar,U2530,T2531,"f",FALSE)</f>
        <v>56563</v>
      </c>
      <c r="V2531" s="248">
        <f>_xll.qlCalendarAdvance(Calendar,U2531,NDays&amp;"D")</f>
        <v>56565</v>
      </c>
      <c r="W2531" s="249">
        <v>2.309257971734574E-2</v>
      </c>
      <c r="X2531" s="246">
        <v>2.3052375663397129E-2</v>
      </c>
    </row>
    <row r="2532" spans="20:24" x14ac:dyDescent="0.2">
      <c r="T2532" s="247" t="str">
        <f t="shared" si="44"/>
        <v>1w</v>
      </c>
      <c r="U2532" s="245">
        <f>_xll.qlCalendarAdvance(Calendar,U2531,T2532,"f",FALSE)</f>
        <v>56570</v>
      </c>
      <c r="V2532" s="248">
        <f>_xll.qlCalendarAdvance(Calendar,U2532,NDays&amp;"D")</f>
        <v>56572</v>
      </c>
      <c r="W2532" s="249">
        <v>2.3088460314698047E-2</v>
      </c>
      <c r="X2532" s="246">
        <v>2.304816222859607E-2</v>
      </c>
    </row>
    <row r="2533" spans="20:24" x14ac:dyDescent="0.2">
      <c r="T2533" s="247" t="str">
        <f t="shared" si="44"/>
        <v>1w</v>
      </c>
      <c r="U2533" s="245">
        <f>_xll.qlCalendarAdvance(Calendar,U2532,T2533,"f",FALSE)</f>
        <v>56577</v>
      </c>
      <c r="V2533" s="248">
        <f>_xll.qlCalendarAdvance(Calendar,U2533,NDays&amp;"D")</f>
        <v>56579</v>
      </c>
      <c r="W2533" s="249">
        <v>2.3084359166160754E-2</v>
      </c>
      <c r="X2533" s="246">
        <v>2.304396693776134E-2</v>
      </c>
    </row>
    <row r="2534" spans="20:24" x14ac:dyDescent="0.2">
      <c r="T2534" s="247" t="str">
        <f t="shared" si="44"/>
        <v>1w</v>
      </c>
      <c r="U2534" s="245">
        <f>_xll.qlCalendarAdvance(Calendar,U2533,T2534,"f",FALSE)</f>
        <v>56584</v>
      </c>
      <c r="V2534" s="248">
        <f>_xll.qlCalendarAdvance(Calendar,U2534,NDays&amp;"D")</f>
        <v>56586</v>
      </c>
      <c r="W2534" s="249">
        <v>2.30793759461001E-2</v>
      </c>
      <c r="X2534" s="246">
        <v>2.3039789790972875E-2</v>
      </c>
    </row>
    <row r="2535" spans="20:24" x14ac:dyDescent="0.2">
      <c r="T2535" s="247" t="str">
        <f t="shared" si="44"/>
        <v>1w</v>
      </c>
      <c r="U2535" s="245">
        <f>_xll.qlCalendarAdvance(Calendar,U2534,T2535,"f",FALSE)</f>
        <v>56591</v>
      </c>
      <c r="V2535" s="248">
        <f>_xll.qlCalendarAdvance(Calendar,U2535,NDays&amp;"D")</f>
        <v>56593</v>
      </c>
      <c r="W2535" s="249">
        <v>2.3075309217827744E-2</v>
      </c>
      <c r="X2535" s="246">
        <v>2.303563078815074E-2</v>
      </c>
    </row>
    <row r="2536" spans="20:24" x14ac:dyDescent="0.2">
      <c r="T2536" s="247" t="str">
        <f t="shared" si="44"/>
        <v>1w</v>
      </c>
      <c r="U2536" s="245">
        <f>_xll.qlCalendarAdvance(Calendar,U2535,T2536,"f",FALSE)</f>
        <v>56598</v>
      </c>
      <c r="V2536" s="248">
        <f>_xll.qlCalendarAdvance(Calendar,U2536,NDays&amp;"D")</f>
        <v>56600</v>
      </c>
      <c r="W2536" s="249">
        <v>2.3071260741076571E-2</v>
      </c>
      <c r="X2536" s="246">
        <v>2.3031489929294935E-2</v>
      </c>
    </row>
    <row r="2537" spans="20:24" x14ac:dyDescent="0.2">
      <c r="T2537" s="247" t="str">
        <f t="shared" si="44"/>
        <v>1w</v>
      </c>
      <c r="U2537" s="245">
        <f>_xll.qlCalendarAdvance(Calendar,U2536,T2537,"f",FALSE)</f>
        <v>56605</v>
      </c>
      <c r="V2537" s="248">
        <f>_xll.qlCalendarAdvance(Calendar,U2537,NDays&amp;"D")</f>
        <v>56607</v>
      </c>
      <c r="W2537" s="249">
        <v>2.3067230515795956E-2</v>
      </c>
      <c r="X2537" s="246">
        <v>2.3028695707880686E-2</v>
      </c>
    </row>
    <row r="2538" spans="20:24" x14ac:dyDescent="0.2">
      <c r="T2538" s="247" t="str">
        <f t="shared" si="44"/>
        <v>1w</v>
      </c>
      <c r="U2538" s="245">
        <f>_xll.qlCalendarAdvance(Calendar,U2537,T2538,"f",FALSE)</f>
        <v>56612</v>
      </c>
      <c r="V2538" s="248">
        <f>_xll.qlCalendarAdvance(Calendar,U2538,NDays&amp;"D")</f>
        <v>56614</v>
      </c>
      <c r="W2538" s="249">
        <v>2.3063218541927277E-2</v>
      </c>
      <c r="X2538" s="246">
        <v>2.3024594238076901E-2</v>
      </c>
    </row>
    <row r="2539" spans="20:24" x14ac:dyDescent="0.2">
      <c r="T2539" s="247" t="str">
        <f t="shared" si="44"/>
        <v>1w</v>
      </c>
      <c r="U2539" s="245">
        <f>_xll.qlCalendarAdvance(Calendar,U2538,T2539,"f",FALSE)</f>
        <v>56619</v>
      </c>
      <c r="V2539" s="248">
        <f>_xll.qlCalendarAdvance(Calendar,U2539,NDays&amp;"D")</f>
        <v>56621</v>
      </c>
      <c r="W2539" s="249">
        <v>2.3059224819417246E-2</v>
      </c>
      <c r="X2539" s="246">
        <v>2.3019176216525494E-2</v>
      </c>
    </row>
    <row r="2540" spans="20:24" x14ac:dyDescent="0.2">
      <c r="T2540" s="247" t="str">
        <f t="shared" si="44"/>
        <v>1w</v>
      </c>
      <c r="U2540" s="245">
        <f>_xll.qlCalendarAdvance(Calendar,U2539,T2540,"f",FALSE)</f>
        <v>56626</v>
      </c>
      <c r="V2540" s="248">
        <f>_xll.qlCalendarAdvance(Calendar,U2540,NDays&amp;"D")</f>
        <v>56628</v>
      </c>
      <c r="W2540" s="249">
        <v>2.305524934821257E-2</v>
      </c>
      <c r="X2540" s="246">
        <v>2.3015107933614942E-2</v>
      </c>
    </row>
    <row r="2541" spans="20:24" x14ac:dyDescent="0.2">
      <c r="T2541" s="247" t="str">
        <f t="shared" si="44"/>
        <v>1w</v>
      </c>
      <c r="U2541" s="245">
        <f>_xll.qlCalendarAdvance(Calendar,U2540,T2541,"f",FALSE)</f>
        <v>56633</v>
      </c>
      <c r="V2541" s="248">
        <f>_xll.qlCalendarAdvance(Calendar,U2541,NDays&amp;"D")</f>
        <v>56635</v>
      </c>
      <c r="W2541" s="249">
        <v>2.3051292128258183E-2</v>
      </c>
      <c r="X2541" s="246">
        <v>2.301105779467072E-2</v>
      </c>
    </row>
    <row r="2542" spans="20:24" x14ac:dyDescent="0.2">
      <c r="T2542" s="247" t="str">
        <f t="shared" si="44"/>
        <v>1w</v>
      </c>
      <c r="U2542" s="245">
        <f>_xll.qlCalendarAdvance(Calendar,U2541,T2542,"f",FALSE)</f>
        <v>56640</v>
      </c>
      <c r="V2542" s="248">
        <f>_xll.qlCalendarAdvance(Calendar,U2542,NDays&amp;"D")</f>
        <v>56642</v>
      </c>
      <c r="W2542" s="249">
        <v>2.3047353159500794E-2</v>
      </c>
      <c r="X2542" s="246">
        <v>2.300702579961289E-2</v>
      </c>
    </row>
    <row r="2543" spans="20:24" x14ac:dyDescent="0.2">
      <c r="T2543" s="247" t="str">
        <f t="shared" si="44"/>
        <v>1w</v>
      </c>
      <c r="U2543" s="245">
        <f>_xll.qlCalendarAdvance(Calendar,U2542,T2543,"f",FALSE)</f>
        <v>56647</v>
      </c>
      <c r="V2543" s="248">
        <f>_xll.qlCalendarAdvance(Calendar,U2543,NDays&amp;"D")</f>
        <v>56649</v>
      </c>
      <c r="W2543" s="249">
        <v>2.304297302090241E-2</v>
      </c>
      <c r="X2543" s="246">
        <v>2.3003011948601326E-2</v>
      </c>
    </row>
    <row r="2544" spans="20:24" x14ac:dyDescent="0.2">
      <c r="T2544" s="247" t="str">
        <f t="shared" si="44"/>
        <v>1w</v>
      </c>
      <c r="U2544" s="245">
        <f>_xll.qlCalendarAdvance(Calendar,U2543,T2544,"f",FALSE)</f>
        <v>56654</v>
      </c>
      <c r="V2544" s="248">
        <f>_xll.qlCalendarAdvance(Calendar,U2544,NDays&amp;"D")</f>
        <v>56656</v>
      </c>
      <c r="W2544" s="249">
        <v>2.303906949986791E-2</v>
      </c>
      <c r="X2544" s="246">
        <v>2.2999016241476156E-2</v>
      </c>
    </row>
    <row r="2545" spans="20:24" x14ac:dyDescent="0.2">
      <c r="T2545" s="247" t="str">
        <f t="shared" si="44"/>
        <v>1w</v>
      </c>
      <c r="U2545" s="245">
        <f>_xll.qlCalendarAdvance(Calendar,U2544,T2545,"f",FALSE)</f>
        <v>56661</v>
      </c>
      <c r="V2545" s="248">
        <f>_xll.qlCalendarAdvance(Calendar,U2545,NDays&amp;"D")</f>
        <v>56663</v>
      </c>
      <c r="W2545" s="249">
        <v>2.3035184228666516E-2</v>
      </c>
      <c r="X2545" s="246">
        <v>2.2995038678317314E-2</v>
      </c>
    </row>
    <row r="2546" spans="20:24" x14ac:dyDescent="0.2">
      <c r="T2546" s="247" t="str">
        <f t="shared" si="44"/>
        <v>1w</v>
      </c>
      <c r="U2546" s="245">
        <f>_xll.qlCalendarAdvance(Calendar,U2545,T2546,"f",FALSE)</f>
        <v>56668</v>
      </c>
      <c r="V2546" s="248">
        <f>_xll.qlCalendarAdvance(Calendar,U2546,NDays&amp;"D")</f>
        <v>56670</v>
      </c>
      <c r="W2546" s="249">
        <v>2.3031317207246136E-2</v>
      </c>
      <c r="X2546" s="246">
        <v>2.2991079259204739E-2</v>
      </c>
    </row>
    <row r="2547" spans="20:24" x14ac:dyDescent="0.2">
      <c r="T2547" s="247" t="str">
        <f t="shared" si="44"/>
        <v>1w</v>
      </c>
      <c r="U2547" s="245">
        <f>_xll.qlCalendarAdvance(Calendar,U2546,T2547,"f",FALSE)</f>
        <v>56675</v>
      </c>
      <c r="V2547" s="248">
        <f>_xll.qlCalendarAdvance(Calendar,U2547,NDays&amp;"D")</f>
        <v>56677</v>
      </c>
      <c r="W2547" s="249">
        <v>2.3028859736683404E-2</v>
      </c>
      <c r="X2547" s="246">
        <v>2.2987137984138428E-2</v>
      </c>
    </row>
    <row r="2548" spans="20:24" x14ac:dyDescent="0.2">
      <c r="T2548" s="247" t="str">
        <f t="shared" si="44"/>
        <v>1w</v>
      </c>
      <c r="U2548" s="245">
        <f>_xll.qlCalendarAdvance(Calendar,U2547,T2548,"f",FALSE)</f>
        <v>56682</v>
      </c>
      <c r="V2548" s="248">
        <f>_xll.qlCalendarAdvance(Calendar,U2548,NDays&amp;"D")</f>
        <v>56684</v>
      </c>
      <c r="W2548" s="249">
        <v>2.3025032393090911E-2</v>
      </c>
      <c r="X2548" s="246">
        <v>2.2983214852958511E-2</v>
      </c>
    </row>
    <row r="2549" spans="20:24" x14ac:dyDescent="0.2">
      <c r="T2549" s="247" t="str">
        <f t="shared" si="44"/>
        <v>1w</v>
      </c>
      <c r="U2549" s="245">
        <f>_xll.qlCalendarAdvance(Calendar,U2548,T2549,"f",FALSE)</f>
        <v>56689</v>
      </c>
      <c r="V2549" s="248">
        <f>_xll.qlCalendarAdvance(Calendar,U2549,NDays&amp;"D")</f>
        <v>56691</v>
      </c>
      <c r="W2549" s="249">
        <v>2.3021223302724311E-2</v>
      </c>
      <c r="X2549" s="246">
        <v>2.2979309865664987E-2</v>
      </c>
    </row>
    <row r="2550" spans="20:24" x14ac:dyDescent="0.2">
      <c r="T2550" s="247" t="str">
        <f t="shared" si="44"/>
        <v>1w</v>
      </c>
      <c r="U2550" s="245">
        <f>_xll.qlCalendarAdvance(Calendar,U2549,T2550,"f",FALSE)</f>
        <v>56696</v>
      </c>
      <c r="V2550" s="248">
        <f>_xll.qlCalendarAdvance(Calendar,U2550,NDays&amp;"D")</f>
        <v>56698</v>
      </c>
      <c r="W2550" s="249">
        <v>2.30174324655332E-2</v>
      </c>
      <c r="X2550" s="246">
        <v>2.2975423022417729E-2</v>
      </c>
    </row>
    <row r="2551" spans="20:24" x14ac:dyDescent="0.2">
      <c r="T2551" s="247" t="str">
        <f t="shared" si="44"/>
        <v>1w</v>
      </c>
      <c r="U2551" s="245">
        <f>_xll.qlCalendarAdvance(Calendar,U2550,T2551,"f",FALSE)</f>
        <v>56703</v>
      </c>
      <c r="V2551" s="248">
        <f>_xll.qlCalendarAdvance(Calendar,U2551,NDays&amp;"D")</f>
        <v>56705</v>
      </c>
      <c r="W2551" s="249">
        <v>2.301319174788705E-2</v>
      </c>
      <c r="X2551" s="246">
        <v>2.2971554323216736E-2</v>
      </c>
    </row>
    <row r="2552" spans="20:24" x14ac:dyDescent="0.2">
      <c r="T2552" s="247" t="str">
        <f t="shared" si="44"/>
        <v>1w</v>
      </c>
      <c r="U2552" s="245">
        <f>_xll.qlCalendarAdvance(Calendar,U2551,T2552,"f",FALSE)</f>
        <v>56710</v>
      </c>
      <c r="V2552" s="248">
        <f>_xll.qlCalendarAdvance(Calendar,U2552,NDays&amp;"D")</f>
        <v>56712</v>
      </c>
      <c r="W2552" s="249">
        <v>2.3009436352458577E-2</v>
      </c>
      <c r="X2552" s="246">
        <v>2.2967703767822201E-2</v>
      </c>
    </row>
    <row r="2553" spans="20:24" x14ac:dyDescent="0.2">
      <c r="T2553" s="247" t="str">
        <f t="shared" si="44"/>
        <v>1w</v>
      </c>
      <c r="U2553" s="245">
        <f>_xll.qlCalendarAdvance(Calendar,U2552,T2553,"f",FALSE)</f>
        <v>56717</v>
      </c>
      <c r="V2553" s="248">
        <f>_xll.qlCalendarAdvance(Calendar,U2553,NDays&amp;"D")</f>
        <v>56719</v>
      </c>
      <c r="W2553" s="249">
        <v>2.300569920884862E-2</v>
      </c>
      <c r="X2553" s="246">
        <v>2.2965709656386224E-2</v>
      </c>
    </row>
    <row r="2554" spans="20:24" x14ac:dyDescent="0.2">
      <c r="T2554" s="247" t="str">
        <f t="shared" si="44"/>
        <v>1w</v>
      </c>
      <c r="U2554" s="245">
        <f>_xll.qlCalendarAdvance(Calendar,U2553,T2554,"f",FALSE)</f>
        <v>56724</v>
      </c>
      <c r="V2554" s="248">
        <f>_xll.qlCalendarAdvance(Calendar,U2554,NDays&amp;"D")</f>
        <v>56726</v>
      </c>
      <c r="W2554" s="249">
        <v>2.300198031700711E-2</v>
      </c>
      <c r="X2554" s="246">
        <v>2.2960057089171926E-2</v>
      </c>
    </row>
    <row r="2555" spans="20:24" x14ac:dyDescent="0.2">
      <c r="T2555" s="247" t="str">
        <f t="shared" si="44"/>
        <v>1w</v>
      </c>
      <c r="U2555" s="245">
        <f>_xll.qlCalendarAdvance(Calendar,U2554,T2555,"f",FALSE)</f>
        <v>56731</v>
      </c>
      <c r="V2555" s="248">
        <f>_xll.qlCalendarAdvance(Calendar,U2555,NDays&amp;"D")</f>
        <v>56733</v>
      </c>
      <c r="W2555" s="249">
        <v>2.2998279676882224E-2</v>
      </c>
      <c r="X2555" s="246">
        <v>2.2956260965756314E-2</v>
      </c>
    </row>
    <row r="2556" spans="20:24" x14ac:dyDescent="0.2">
      <c r="T2556" s="247" t="str">
        <f t="shared" si="44"/>
        <v>1w</v>
      </c>
      <c r="U2556" s="245">
        <f>_xll.qlCalendarAdvance(Calendar,U2555,T2556,"f",FALSE)</f>
        <v>56738</v>
      </c>
      <c r="V2556" s="248">
        <f>_xll.qlCalendarAdvance(Calendar,U2556,NDays&amp;"D")</f>
        <v>56740</v>
      </c>
      <c r="W2556" s="249">
        <v>2.2995070756115125E-2</v>
      </c>
      <c r="X2556" s="246">
        <v>2.2952482986227096E-2</v>
      </c>
    </row>
    <row r="2557" spans="20:24" x14ac:dyDescent="0.2">
      <c r="T2557" s="247" t="str">
        <f t="shared" si="44"/>
        <v>1w</v>
      </c>
      <c r="U2557" s="245">
        <f>_xll.qlCalendarAdvance(Calendar,U2556,T2557,"f",FALSE)</f>
        <v>56745</v>
      </c>
      <c r="V2557" s="248">
        <f>_xll.qlCalendarAdvance(Calendar,U2557,NDays&amp;"D")</f>
        <v>56747</v>
      </c>
      <c r="W2557" s="249">
        <v>2.2991407689684076E-2</v>
      </c>
      <c r="X2557" s="246">
        <v>2.294872315082408E-2</v>
      </c>
    </row>
    <row r="2558" spans="20:24" x14ac:dyDescent="0.2">
      <c r="T2558" s="247" t="str">
        <f t="shared" si="44"/>
        <v>1w</v>
      </c>
      <c r="U2558" s="245">
        <f>_xll.qlCalendarAdvance(Calendar,U2557,T2558,"f",FALSE)</f>
        <v>56752</v>
      </c>
      <c r="V2558" s="248">
        <f>_xll.qlCalendarAdvance(Calendar,U2558,NDays&amp;"D")</f>
        <v>56754</v>
      </c>
      <c r="W2558" s="249">
        <v>2.298776287601146E-2</v>
      </c>
      <c r="X2558" s="246">
        <v>2.2944981459307456E-2</v>
      </c>
    </row>
    <row r="2559" spans="20:24" x14ac:dyDescent="0.2">
      <c r="T2559" s="247" t="str">
        <f t="shared" si="44"/>
        <v>1w</v>
      </c>
      <c r="U2559" s="245">
        <f>_xll.qlCalendarAdvance(Calendar,U2558,T2559,"f",FALSE)</f>
        <v>56759</v>
      </c>
      <c r="V2559" s="248">
        <f>_xll.qlCalendarAdvance(Calendar,U2559,NDays&amp;"D")</f>
        <v>56761</v>
      </c>
      <c r="W2559" s="249">
        <v>2.2984136315049492E-2</v>
      </c>
      <c r="X2559" s="246">
        <v>2.2941257911757162E-2</v>
      </c>
    </row>
    <row r="2560" spans="20:24" x14ac:dyDescent="0.2">
      <c r="T2560" s="247" t="str">
        <f t="shared" si="44"/>
        <v>1w</v>
      </c>
      <c r="U2560" s="245">
        <f>_xll.qlCalendarAdvance(Calendar,U2559,T2560,"f",FALSE)</f>
        <v>56766</v>
      </c>
      <c r="V2560" s="248">
        <f>_xll.qlCalendarAdvance(Calendar,U2560,NDays&amp;"D")</f>
        <v>56768</v>
      </c>
      <c r="W2560" s="249">
        <v>2.29805280067443E-2</v>
      </c>
      <c r="X2560" s="246">
        <v>2.2937552508013326E-2</v>
      </c>
    </row>
    <row r="2561" spans="20:24" x14ac:dyDescent="0.2">
      <c r="T2561" s="247" t="str">
        <f t="shared" si="44"/>
        <v>1w</v>
      </c>
      <c r="U2561" s="245">
        <f>_xll.qlCalendarAdvance(Calendar,U2560,T2561,"f",FALSE)</f>
        <v>56773</v>
      </c>
      <c r="V2561" s="248">
        <f>_xll.qlCalendarAdvance(Calendar,U2561,NDays&amp;"D")</f>
        <v>56775</v>
      </c>
      <c r="W2561" s="249">
        <v>2.2976937951049835E-2</v>
      </c>
      <c r="X2561" s="246">
        <v>2.2933865248475627E-2</v>
      </c>
    </row>
    <row r="2562" spans="20:24" x14ac:dyDescent="0.2">
      <c r="T2562" s="247" t="str">
        <f t="shared" si="44"/>
        <v>1w</v>
      </c>
      <c r="U2562" s="245">
        <f>_xll.qlCalendarAdvance(Calendar,U2561,T2562,"f",FALSE)</f>
        <v>56780</v>
      </c>
      <c r="V2562" s="248">
        <f>_xll.qlCalendarAdvance(Calendar,U2562,NDays&amp;"D")</f>
        <v>56782</v>
      </c>
      <c r="W2562" s="249">
        <v>2.297336614791223E-2</v>
      </c>
      <c r="X2562" s="246">
        <v>2.2930196132824321E-2</v>
      </c>
    </row>
    <row r="2563" spans="20:24" x14ac:dyDescent="0.2">
      <c r="T2563" s="247" t="str">
        <f t="shared" si="44"/>
        <v>1w</v>
      </c>
      <c r="U2563" s="245">
        <f>_xll.qlCalendarAdvance(Calendar,U2562,T2563,"f",FALSE)</f>
        <v>56787</v>
      </c>
      <c r="V2563" s="248">
        <f>_xll.qlCalendarAdvance(Calendar,U2563,NDays&amp;"D")</f>
        <v>56789</v>
      </c>
      <c r="W2563" s="249">
        <v>2.2969812597283694E-2</v>
      </c>
      <c r="X2563" s="246">
        <v>2.2926545161059408E-2</v>
      </c>
    </row>
    <row r="2564" spans="20:24" x14ac:dyDescent="0.2">
      <c r="T2564" s="247" t="str">
        <f t="shared" si="44"/>
        <v>1w</v>
      </c>
      <c r="U2564" s="245">
        <f>_xll.qlCalendarAdvance(Calendar,U2563,T2564,"f",FALSE)</f>
        <v>56794</v>
      </c>
      <c r="V2564" s="248">
        <f>_xll.qlCalendarAdvance(Calendar,U2564,NDays&amp;"D")</f>
        <v>56796</v>
      </c>
      <c r="W2564" s="249">
        <v>2.2966277299115569E-2</v>
      </c>
      <c r="X2564" s="246">
        <v>2.2922912333340761E-2</v>
      </c>
    </row>
    <row r="2565" spans="20:24" x14ac:dyDescent="0.2">
      <c r="T2565" s="247" t="str">
        <f t="shared" si="44"/>
        <v>1w</v>
      </c>
      <c r="U2565" s="245">
        <f>_xll.qlCalendarAdvance(Calendar,U2564,T2565,"f",FALSE)</f>
        <v>56801</v>
      </c>
      <c r="V2565" s="248">
        <f>_xll.qlCalendarAdvance(Calendar,U2565,NDays&amp;"D")</f>
        <v>56803</v>
      </c>
      <c r="W2565" s="249">
        <v>2.2962760253356595E-2</v>
      </c>
      <c r="X2565" s="246">
        <v>2.2919297649588444E-2</v>
      </c>
    </row>
    <row r="2566" spans="20:24" x14ac:dyDescent="0.2">
      <c r="T2566" s="247" t="str">
        <f t="shared" si="44"/>
        <v>1w</v>
      </c>
      <c r="U2566" s="245">
        <f>_xll.qlCalendarAdvance(Calendar,U2565,T2566,"f",FALSE)</f>
        <v>56808</v>
      </c>
      <c r="V2566" s="248">
        <f>_xll.qlCalendarAdvance(Calendar,U2566,NDays&amp;"D")</f>
        <v>56810</v>
      </c>
      <c r="W2566" s="249">
        <v>2.295926145995985E-2</v>
      </c>
      <c r="X2566" s="246">
        <v>2.2915701109802455E-2</v>
      </c>
    </row>
    <row r="2567" spans="20:24" x14ac:dyDescent="0.2">
      <c r="T2567" s="247" t="str">
        <f t="shared" si="44"/>
        <v>1w</v>
      </c>
      <c r="U2567" s="245">
        <f>_xll.qlCalendarAdvance(Calendar,U2566,T2567,"f",FALSE)</f>
        <v>56815</v>
      </c>
      <c r="V2567" s="248">
        <f>_xll.qlCalendarAdvance(Calendar,U2567,NDays&amp;"D")</f>
        <v>56817</v>
      </c>
      <c r="W2567" s="249">
        <v>2.2955780918874073E-2</v>
      </c>
      <c r="X2567" s="246">
        <v>2.2912122713822924E-2</v>
      </c>
    </row>
    <row r="2568" spans="20:24" x14ac:dyDescent="0.2">
      <c r="T2568" s="247" t="str">
        <f t="shared" si="44"/>
        <v>1w</v>
      </c>
      <c r="U2568" s="245">
        <f>_xll.qlCalendarAdvance(Calendar,U2567,T2568,"f",FALSE)</f>
        <v>56822</v>
      </c>
      <c r="V2568" s="248">
        <f>_xll.qlCalendarAdvance(Calendar,U2568,NDays&amp;"D")</f>
        <v>56824</v>
      </c>
      <c r="W2568" s="249">
        <v>2.295231863005321E-2</v>
      </c>
      <c r="X2568" s="246">
        <v>2.2908562461969595E-2</v>
      </c>
    </row>
    <row r="2569" spans="20:24" x14ac:dyDescent="0.2">
      <c r="T2569" s="247" t="str">
        <f t="shared" si="44"/>
        <v>1w</v>
      </c>
      <c r="U2569" s="245">
        <f>_xll.qlCalendarAdvance(Calendar,U2568,T2569,"f",FALSE)</f>
        <v>56829</v>
      </c>
      <c r="V2569" s="248">
        <f>_xll.qlCalendarAdvance(Calendar,U2569,NDays&amp;"D")</f>
        <v>56831</v>
      </c>
      <c r="W2569" s="249">
        <v>2.2948874593449478E-2</v>
      </c>
      <c r="X2569" s="246">
        <v>2.2905020354002659E-2</v>
      </c>
    </row>
    <row r="2570" spans="20:24" x14ac:dyDescent="0.2">
      <c r="T2570" s="247" t="str">
        <f t="shared" si="44"/>
        <v>1w</v>
      </c>
      <c r="U2570" s="245">
        <f>_xll.qlCalendarAdvance(Calendar,U2569,T2570,"f",FALSE)</f>
        <v>56836</v>
      </c>
      <c r="V2570" s="248">
        <f>_xll.qlCalendarAdvance(Calendar,U2570,NDays&amp;"D")</f>
        <v>56838</v>
      </c>
      <c r="W2570" s="249">
        <v>2.294544880901335E-2</v>
      </c>
      <c r="X2570" s="246">
        <v>2.2901496390002052E-2</v>
      </c>
    </row>
    <row r="2571" spans="20:24" x14ac:dyDescent="0.2">
      <c r="T2571" s="247" t="str">
        <f t="shared" si="44"/>
        <v>1w</v>
      </c>
      <c r="U2571" s="245">
        <f>_xll.qlCalendarAdvance(Calendar,U2570,T2571,"f",FALSE)</f>
        <v>56843</v>
      </c>
      <c r="V2571" s="248">
        <f>_xll.qlCalendarAdvance(Calendar,U2571,NDays&amp;"D")</f>
        <v>56845</v>
      </c>
      <c r="W2571" s="249">
        <v>2.2942041276697904E-2</v>
      </c>
      <c r="X2571" s="246">
        <v>2.2897990569887838E-2</v>
      </c>
    </row>
    <row r="2572" spans="20:24" x14ac:dyDescent="0.2">
      <c r="T2572" s="247" t="str">
        <f t="shared" si="44"/>
        <v>1w</v>
      </c>
      <c r="U2572" s="245">
        <f>_xll.qlCalendarAdvance(Calendar,U2571,T2572,"f",FALSE)</f>
        <v>56850</v>
      </c>
      <c r="V2572" s="248">
        <f>_xll.qlCalendarAdvance(Calendar,U2572,NDays&amp;"D")</f>
        <v>56852</v>
      </c>
      <c r="W2572" s="249">
        <v>2.2938651996455357E-2</v>
      </c>
      <c r="X2572" s="246">
        <v>2.2894502893979762E-2</v>
      </c>
    </row>
    <row r="2573" spans="20:24" x14ac:dyDescent="0.2">
      <c r="T2573" s="247" t="str">
        <f t="shared" si="44"/>
        <v>1w</v>
      </c>
      <c r="U2573" s="245">
        <f>_xll.qlCalendarAdvance(Calendar,U2572,T2573,"f",FALSE)</f>
        <v>56857</v>
      </c>
      <c r="V2573" s="248">
        <f>_xll.qlCalendarAdvance(Calendar,U2573,NDays&amp;"D")</f>
        <v>56859</v>
      </c>
      <c r="W2573" s="249">
        <v>2.2934789141270864E-2</v>
      </c>
      <c r="X2573" s="246">
        <v>2.2891033361878144E-2</v>
      </c>
    </row>
    <row r="2574" spans="20:24" x14ac:dyDescent="0.2">
      <c r="T2574" s="247" t="str">
        <f t="shared" si="44"/>
        <v>1w</v>
      </c>
      <c r="U2574" s="245">
        <f>_xll.qlCalendarAdvance(Calendar,U2573,T2574,"f",FALSE)</f>
        <v>56864</v>
      </c>
      <c r="V2574" s="248">
        <f>_xll.qlCalendarAdvance(Calendar,U2574,NDays&amp;"D")</f>
        <v>56866</v>
      </c>
      <c r="W2574" s="249">
        <v>2.2931435274365346E-2</v>
      </c>
      <c r="X2574" s="246">
        <v>2.2887581973582982E-2</v>
      </c>
    </row>
    <row r="2575" spans="20:24" x14ac:dyDescent="0.2">
      <c r="T2575" s="247" t="str">
        <f t="shared" si="44"/>
        <v>1w</v>
      </c>
      <c r="U2575" s="245">
        <f>_xll.qlCalendarAdvance(Calendar,U2574,T2575,"f",FALSE)</f>
        <v>56871</v>
      </c>
      <c r="V2575" s="248">
        <f>_xll.qlCalendarAdvance(Calendar,U2575,NDays&amp;"D")</f>
        <v>56873</v>
      </c>
      <c r="W2575" s="249">
        <v>2.2928099658205799E-2</v>
      </c>
      <c r="X2575" s="246">
        <v>2.2884148729334086E-2</v>
      </c>
    </row>
    <row r="2576" spans="20:24" x14ac:dyDescent="0.2">
      <c r="T2576" s="247" t="str">
        <f t="shared" si="44"/>
        <v>1w</v>
      </c>
      <c r="U2576" s="245">
        <f>_xll.qlCalendarAdvance(Calendar,U2575,T2576,"f",FALSE)</f>
        <v>56878</v>
      </c>
      <c r="V2576" s="248">
        <f>_xll.qlCalendarAdvance(Calendar,U2576,NDays&amp;"D")</f>
        <v>56880</v>
      </c>
      <c r="W2576" s="249">
        <v>2.2924782292747421E-2</v>
      </c>
      <c r="X2576" s="246">
        <v>2.2880733629131456E-2</v>
      </c>
    </row>
    <row r="2577" spans="20:24" x14ac:dyDescent="0.2">
      <c r="T2577" s="247" t="str">
        <f t="shared" si="44"/>
        <v>1w</v>
      </c>
      <c r="U2577" s="245">
        <f>_xll.qlCalendarAdvance(Calendar,U2576,T2577,"f",FALSE)</f>
        <v>56885</v>
      </c>
      <c r="V2577" s="248">
        <f>_xll.qlCalendarAdvance(Calendar,U2577,NDays&amp;"D")</f>
        <v>56887</v>
      </c>
      <c r="W2577" s="249">
        <v>2.2921979374698247E-2</v>
      </c>
      <c r="X2577" s="246">
        <v>2.2877336672815218E-2</v>
      </c>
    </row>
    <row r="2578" spans="20:24" x14ac:dyDescent="0.2">
      <c r="T2578" s="247" t="str">
        <f t="shared" ref="T2578:T2641" si="45">T2577</f>
        <v>1w</v>
      </c>
      <c r="U2578" s="245">
        <f>_xll.qlCalendarAdvance(Calendar,U2577,T2578,"f",FALSE)</f>
        <v>56892</v>
      </c>
      <c r="V2578" s="248">
        <f>_xll.qlCalendarAdvance(Calendar,U2578,NDays&amp;"D")</f>
        <v>56894</v>
      </c>
      <c r="W2578" s="249">
        <v>2.2918699605912127E-2</v>
      </c>
      <c r="X2578" s="246">
        <v>2.287395786046531E-2</v>
      </c>
    </row>
    <row r="2579" spans="20:24" x14ac:dyDescent="0.2">
      <c r="T2579" s="247" t="str">
        <f t="shared" si="45"/>
        <v>1w</v>
      </c>
      <c r="U2579" s="245">
        <f>_xll.qlCalendarAdvance(Calendar,U2578,T2579,"f",FALSE)</f>
        <v>56899</v>
      </c>
      <c r="V2579" s="248">
        <f>_xll.qlCalendarAdvance(Calendar,U2579,NDays&amp;"D")</f>
        <v>56901</v>
      </c>
      <c r="W2579" s="249">
        <v>2.2915438088875681E-2</v>
      </c>
      <c r="X2579" s="246">
        <v>2.2870597192081732E-2</v>
      </c>
    </row>
    <row r="2580" spans="20:24" x14ac:dyDescent="0.2">
      <c r="T2580" s="247" t="str">
        <f t="shared" si="45"/>
        <v>1w</v>
      </c>
      <c r="U2580" s="245">
        <f>_xll.qlCalendarAdvance(Calendar,U2579,T2580,"f",FALSE)</f>
        <v>56906</v>
      </c>
      <c r="V2580" s="248">
        <f>_xll.qlCalendarAdvance(Calendar,U2580,NDays&amp;"D")</f>
        <v>56908</v>
      </c>
      <c r="W2580" s="249">
        <v>2.2912194823541992E-2</v>
      </c>
      <c r="X2580" s="246">
        <v>2.2867254667664483E-2</v>
      </c>
    </row>
    <row r="2581" spans="20:24" x14ac:dyDescent="0.2">
      <c r="T2581" s="247" t="str">
        <f t="shared" si="45"/>
        <v>1w</v>
      </c>
      <c r="U2581" s="245">
        <f>_xll.qlCalendarAdvance(Calendar,U2580,T2581,"f",FALSE)</f>
        <v>56913</v>
      </c>
      <c r="V2581" s="248">
        <f>_xll.qlCalendarAdvance(Calendar,U2581,NDays&amp;"D")</f>
        <v>56915</v>
      </c>
      <c r="W2581" s="249">
        <v>2.290896980986588E-2</v>
      </c>
      <c r="X2581" s="246">
        <v>2.2863930287053691E-2</v>
      </c>
    </row>
    <row r="2582" spans="20:24" x14ac:dyDescent="0.2">
      <c r="T2582" s="247" t="str">
        <f t="shared" si="45"/>
        <v>1w</v>
      </c>
      <c r="U2582" s="245">
        <f>_xll.qlCalendarAdvance(Calendar,U2581,T2582,"f",FALSE)</f>
        <v>56920</v>
      </c>
      <c r="V2582" s="248">
        <f>_xll.qlCalendarAdvance(Calendar,U2582,NDays&amp;"D")</f>
        <v>56922</v>
      </c>
      <c r="W2582" s="249">
        <v>2.2905763047803031E-2</v>
      </c>
      <c r="X2582" s="246">
        <v>2.2860624050569101E-2</v>
      </c>
    </row>
    <row r="2583" spans="20:24" x14ac:dyDescent="0.2">
      <c r="T2583" s="247" t="str">
        <f t="shared" si="45"/>
        <v>1w</v>
      </c>
      <c r="U2583" s="245">
        <f>_xll.qlCalendarAdvance(Calendar,U2582,T2583,"f",FALSE)</f>
        <v>56927</v>
      </c>
      <c r="V2583" s="248">
        <f>_xll.qlCalendarAdvance(Calendar,U2583,NDays&amp;"D")</f>
        <v>56929</v>
      </c>
      <c r="W2583" s="249">
        <v>2.2902574537309137E-2</v>
      </c>
      <c r="X2583" s="246">
        <v>2.2857335957970903E-2</v>
      </c>
    </row>
    <row r="2584" spans="20:24" x14ac:dyDescent="0.2">
      <c r="T2584" s="247" t="str">
        <f t="shared" si="45"/>
        <v>1w</v>
      </c>
      <c r="U2584" s="245">
        <f>_xll.qlCalendarAdvance(Calendar,U2583,T2584,"f",FALSE)</f>
        <v>56934</v>
      </c>
      <c r="V2584" s="248">
        <f>_xll.qlCalendarAdvance(Calendar,U2584,NDays&amp;"D")</f>
        <v>56936</v>
      </c>
      <c r="W2584" s="249">
        <v>2.2899404278339881E-2</v>
      </c>
      <c r="X2584" s="246">
        <v>2.2854066009339036E-2</v>
      </c>
    </row>
    <row r="2585" spans="20:24" x14ac:dyDescent="0.2">
      <c r="T2585" s="247" t="str">
        <f t="shared" si="45"/>
        <v>1w</v>
      </c>
      <c r="U2585" s="245">
        <f>_xll.qlCalendarAdvance(Calendar,U2584,T2585,"f",FALSE)</f>
        <v>56941</v>
      </c>
      <c r="V2585" s="248">
        <f>_xll.qlCalendarAdvance(Calendar,U2585,NDays&amp;"D")</f>
        <v>56943</v>
      </c>
      <c r="W2585" s="249">
        <v>2.2896252270849217E-2</v>
      </c>
      <c r="X2585" s="246">
        <v>2.2850814204513625E-2</v>
      </c>
    </row>
    <row r="2586" spans="20:24" x14ac:dyDescent="0.2">
      <c r="T2586" s="247" t="str">
        <f t="shared" si="45"/>
        <v>1w</v>
      </c>
      <c r="U2586" s="245">
        <f>_xll.qlCalendarAdvance(Calendar,U2585,T2586,"f",FALSE)</f>
        <v>56948</v>
      </c>
      <c r="V2586" s="248">
        <f>_xll.qlCalendarAdvance(Calendar,U2586,NDays&amp;"D")</f>
        <v>56950</v>
      </c>
      <c r="W2586" s="249">
        <v>2.2892612416720193E-2</v>
      </c>
      <c r="X2586" s="246">
        <v>2.2847580543894352E-2</v>
      </c>
    </row>
    <row r="2587" spans="20:24" x14ac:dyDescent="0.2">
      <c r="T2587" s="247" t="str">
        <f t="shared" si="45"/>
        <v>1w</v>
      </c>
      <c r="U2587" s="245">
        <f>_xll.qlCalendarAdvance(Calendar,U2586,T2587,"f",FALSE)</f>
        <v>56955</v>
      </c>
      <c r="V2587" s="248">
        <f>_xll.qlCalendarAdvance(Calendar,U2587,NDays&amp;"D")</f>
        <v>56957</v>
      </c>
      <c r="W2587" s="249">
        <v>2.2889495806001241E-2</v>
      </c>
      <c r="X2587" s="246">
        <v>2.2844365027081537E-2</v>
      </c>
    </row>
    <row r="2588" spans="20:24" x14ac:dyDescent="0.2">
      <c r="T2588" s="247" t="str">
        <f t="shared" si="45"/>
        <v>1w</v>
      </c>
      <c r="U2588" s="245">
        <f>_xll.qlCalendarAdvance(Calendar,U2587,T2588,"f",FALSE)</f>
        <v>56962</v>
      </c>
      <c r="V2588" s="248">
        <f>_xll.qlCalendarAdvance(Calendar,U2588,NDays&amp;"D")</f>
        <v>56964</v>
      </c>
      <c r="W2588" s="249">
        <v>2.2886397445449382E-2</v>
      </c>
      <c r="X2588" s="246">
        <v>2.2841167654235051E-2</v>
      </c>
    </row>
    <row r="2589" spans="20:24" x14ac:dyDescent="0.2">
      <c r="T2589" s="247" t="str">
        <f t="shared" si="45"/>
        <v>1w</v>
      </c>
      <c r="U2589" s="245">
        <f>_xll.qlCalendarAdvance(Calendar,U2588,T2589,"f",FALSE)</f>
        <v>56969</v>
      </c>
      <c r="V2589" s="248">
        <f>_xll.qlCalendarAdvance(Calendar,U2589,NDays&amp;"D")</f>
        <v>56971</v>
      </c>
      <c r="W2589" s="249">
        <v>2.2883317335023329E-2</v>
      </c>
      <c r="X2589" s="246">
        <v>2.2837988425195022E-2</v>
      </c>
    </row>
    <row r="2590" spans="20:24" x14ac:dyDescent="0.2">
      <c r="T2590" s="247" t="str">
        <f t="shared" si="45"/>
        <v>1w</v>
      </c>
      <c r="U2590" s="245">
        <f>_xll.qlCalendarAdvance(Calendar,U2589,T2590,"f",FALSE)</f>
        <v>56976</v>
      </c>
      <c r="V2590" s="248">
        <f>_xll.qlCalendarAdvance(Calendar,U2590,NDays&amp;"D")</f>
        <v>56978</v>
      </c>
      <c r="W2590" s="249">
        <v>2.2880255474682674E-2</v>
      </c>
      <c r="X2590" s="246">
        <v>2.283482734036113E-2</v>
      </c>
    </row>
    <row r="2591" spans="20:24" x14ac:dyDescent="0.2">
      <c r="T2591" s="247" t="str">
        <f t="shared" si="45"/>
        <v>1w</v>
      </c>
      <c r="U2591" s="245">
        <f>_xll.qlCalendarAdvance(Calendar,U2590,T2591,"f",FALSE)</f>
        <v>56983</v>
      </c>
      <c r="V2591" s="248">
        <f>_xll.qlCalendarAdvance(Calendar,U2591,NDays&amp;"D")</f>
        <v>56985</v>
      </c>
      <c r="W2591" s="249">
        <v>2.2877211864382619E-2</v>
      </c>
      <c r="X2591" s="246">
        <v>2.2831684399413632E-2</v>
      </c>
    </row>
    <row r="2592" spans="20:24" x14ac:dyDescent="0.2">
      <c r="T2592" s="247" t="str">
        <f t="shared" si="45"/>
        <v>1w</v>
      </c>
      <c r="U2592" s="245">
        <f>_xll.qlCalendarAdvance(Calendar,U2591,T2592,"f",FALSE)</f>
        <v>56990</v>
      </c>
      <c r="V2592" s="248">
        <f>_xll.qlCalendarAdvance(Calendar,U2592,NDays&amp;"D")</f>
        <v>56992</v>
      </c>
      <c r="W2592" s="249">
        <v>2.2874186504081878E-2</v>
      </c>
      <c r="X2592" s="246">
        <v>2.2828559602272591E-2</v>
      </c>
    </row>
    <row r="2593" spans="20:24" x14ac:dyDescent="0.2">
      <c r="T2593" s="247" t="str">
        <f t="shared" si="45"/>
        <v>1w</v>
      </c>
      <c r="U2593" s="245">
        <f>_xll.qlCalendarAdvance(Calendar,U2592,T2593,"f",FALSE)</f>
        <v>56997</v>
      </c>
      <c r="V2593" s="248">
        <f>_xll.qlCalendarAdvance(Calendar,U2593,NDays&amp;"D")</f>
        <v>56999</v>
      </c>
      <c r="W2593" s="249">
        <v>2.2871179393738287E-2</v>
      </c>
      <c r="X2593" s="246">
        <v>2.282545294909788E-2</v>
      </c>
    </row>
    <row r="2594" spans="20:24" x14ac:dyDescent="0.2">
      <c r="T2594" s="247" t="str">
        <f t="shared" si="45"/>
        <v>1w</v>
      </c>
      <c r="U2594" s="245">
        <f>_xll.qlCalendarAdvance(Calendar,U2593,T2594,"f",FALSE)</f>
        <v>57004</v>
      </c>
      <c r="V2594" s="248">
        <f>_xll.qlCalendarAdvance(Calendar,U2594,NDays&amp;"D")</f>
        <v>57006</v>
      </c>
      <c r="W2594" s="249">
        <v>2.2868190533313196E-2</v>
      </c>
      <c r="X2594" s="246">
        <v>2.2822364439969434E-2</v>
      </c>
    </row>
    <row r="2595" spans="20:24" x14ac:dyDescent="0.2">
      <c r="T2595" s="247" t="str">
        <f t="shared" si="45"/>
        <v>1w</v>
      </c>
      <c r="U2595" s="245">
        <f>_xll.qlCalendarAdvance(Calendar,U2594,T2595,"f",FALSE)</f>
        <v>57011</v>
      </c>
      <c r="V2595" s="248">
        <f>_xll.qlCalendarAdvance(Calendar,U2595,NDays&amp;"D")</f>
        <v>57013</v>
      </c>
      <c r="W2595" s="249">
        <v>2.286470395601814E-2</v>
      </c>
      <c r="X2595" s="246">
        <v>2.2819294074807317E-2</v>
      </c>
    </row>
    <row r="2596" spans="20:24" x14ac:dyDescent="0.2">
      <c r="T2596" s="247" t="str">
        <f t="shared" si="45"/>
        <v>1w</v>
      </c>
      <c r="U2596" s="245">
        <f>_xll.qlCalendarAdvance(Calendar,U2595,T2596,"f",FALSE)</f>
        <v>57018</v>
      </c>
      <c r="V2596" s="248">
        <f>_xll.qlCalendarAdvance(Calendar,U2596,NDays&amp;"D")</f>
        <v>57020</v>
      </c>
      <c r="W2596" s="249">
        <v>2.2861750478789133E-2</v>
      </c>
      <c r="X2596" s="246">
        <v>2.2816241853451658E-2</v>
      </c>
    </row>
    <row r="2597" spans="20:24" x14ac:dyDescent="0.2">
      <c r="T2597" s="247" t="str">
        <f t="shared" si="45"/>
        <v>1w</v>
      </c>
      <c r="U2597" s="245">
        <f>_xll.qlCalendarAdvance(Calendar,U2596,T2597,"f",FALSE)</f>
        <v>57025</v>
      </c>
      <c r="V2597" s="248">
        <f>_xll.qlCalendarAdvance(Calendar,U2597,NDays&amp;"D")</f>
        <v>57027</v>
      </c>
      <c r="W2597" s="249">
        <v>2.2858815250177855E-2</v>
      </c>
      <c r="X2597" s="246">
        <v>2.2813207776142264E-2</v>
      </c>
    </row>
    <row r="2598" spans="20:24" x14ac:dyDescent="0.2">
      <c r="T2598" s="247" t="str">
        <f t="shared" si="45"/>
        <v>1w</v>
      </c>
      <c r="U2598" s="245">
        <f>_xll.qlCalendarAdvance(Calendar,U2597,T2598,"f",FALSE)</f>
        <v>57032</v>
      </c>
      <c r="V2598" s="248">
        <f>_xll.qlCalendarAdvance(Calendar,U2598,NDays&amp;"D")</f>
        <v>57034</v>
      </c>
      <c r="W2598" s="249">
        <v>2.2855898270144337E-2</v>
      </c>
      <c r="X2598" s="246">
        <v>2.2810191842799199E-2</v>
      </c>
    </row>
    <row r="2599" spans="20:24" x14ac:dyDescent="0.2">
      <c r="T2599" s="247" t="str">
        <f t="shared" si="45"/>
        <v>1w</v>
      </c>
      <c r="U2599" s="245">
        <f>_xll.qlCalendarAdvance(Calendar,U2598,T2599,"f",FALSE)</f>
        <v>57039</v>
      </c>
      <c r="V2599" s="248">
        <f>_xll.qlCalendarAdvance(Calendar,U2599,NDays&amp;"D")</f>
        <v>57041</v>
      </c>
      <c r="W2599" s="249">
        <v>2.2854040547301342E-2</v>
      </c>
      <c r="X2599" s="246">
        <v>2.2807194053262592E-2</v>
      </c>
    </row>
    <row r="2600" spans="20:24" x14ac:dyDescent="0.2">
      <c r="T2600" s="247" t="str">
        <f t="shared" si="45"/>
        <v>1w</v>
      </c>
      <c r="U2600" s="245">
        <f>_xll.qlCalendarAdvance(Calendar,U2599,T2600,"f",FALSE)</f>
        <v>57046</v>
      </c>
      <c r="V2600" s="248">
        <f>_xll.qlCalendarAdvance(Calendar,U2600,NDays&amp;"D")</f>
        <v>57048</v>
      </c>
      <c r="W2600" s="249">
        <v>2.2851162306891853E-2</v>
      </c>
      <c r="X2600" s="246">
        <v>2.280421440777225E-2</v>
      </c>
    </row>
    <row r="2601" spans="20:24" x14ac:dyDescent="0.2">
      <c r="T2601" s="247" t="str">
        <f t="shared" si="45"/>
        <v>1w</v>
      </c>
      <c r="U2601" s="245">
        <f>_xll.qlCalendarAdvance(Calendar,U2600,T2601,"f",FALSE)</f>
        <v>57053</v>
      </c>
      <c r="V2601" s="248">
        <f>_xll.qlCalendarAdvance(Calendar,U2601,NDays&amp;"D")</f>
        <v>57055</v>
      </c>
      <c r="W2601" s="249">
        <v>2.2848302317291926E-2</v>
      </c>
      <c r="X2601" s="246">
        <v>2.2801252906248237E-2</v>
      </c>
    </row>
    <row r="2602" spans="20:24" x14ac:dyDescent="0.2">
      <c r="T2602" s="247" t="str">
        <f t="shared" si="45"/>
        <v>1w</v>
      </c>
      <c r="U2602" s="245">
        <f>_xll.qlCalendarAdvance(Calendar,U2601,T2602,"f",FALSE)</f>
        <v>57060</v>
      </c>
      <c r="V2602" s="248">
        <f>_xll.qlCalendarAdvance(Calendar,U2602,NDays&amp;"D")</f>
        <v>57062</v>
      </c>
      <c r="W2602" s="249">
        <v>2.2845460578462456E-2</v>
      </c>
      <c r="X2602" s="246">
        <v>2.2798309548610618E-2</v>
      </c>
    </row>
    <row r="2603" spans="20:24" x14ac:dyDescent="0.2">
      <c r="T2603" s="247" t="str">
        <f t="shared" si="45"/>
        <v>1w</v>
      </c>
      <c r="U2603" s="245">
        <f>_xll.qlCalendarAdvance(Calendar,U2602,T2603,"f",FALSE)</f>
        <v>57067</v>
      </c>
      <c r="V2603" s="248">
        <f>_xll.qlCalendarAdvance(Calendar,U2603,NDays&amp;"D")</f>
        <v>57069</v>
      </c>
      <c r="W2603" s="249">
        <v>2.2842637090360874E-2</v>
      </c>
      <c r="X2603" s="246">
        <v>2.2797439065277203E-2</v>
      </c>
    </row>
    <row r="2604" spans="20:24" x14ac:dyDescent="0.2">
      <c r="T2604" s="247" t="str">
        <f t="shared" si="45"/>
        <v>1w</v>
      </c>
      <c r="U2604" s="245">
        <f>_xll.qlCalendarAdvance(Calendar,U2603,T2604,"f",FALSE)</f>
        <v>57074</v>
      </c>
      <c r="V2604" s="248">
        <f>_xll.qlCalendarAdvance(Calendar,U2604,NDays&amp;"D")</f>
        <v>57076</v>
      </c>
      <c r="W2604" s="249">
        <v>2.2839305665540831E-2</v>
      </c>
      <c r="X2604" s="246">
        <v>2.2792477265234368E-2</v>
      </c>
    </row>
    <row r="2605" spans="20:24" x14ac:dyDescent="0.2">
      <c r="T2605" s="247" t="str">
        <f t="shared" si="45"/>
        <v>1w</v>
      </c>
      <c r="U2605" s="245">
        <f>_xll.qlCalendarAdvance(Calendar,U2604,T2605,"f",FALSE)</f>
        <v>57081</v>
      </c>
      <c r="V2605" s="248">
        <f>_xll.qlCalendarAdvance(Calendar,U2605,NDays&amp;"D")</f>
        <v>57083</v>
      </c>
      <c r="W2605" s="249">
        <v>2.2836517551538305E-2</v>
      </c>
      <c r="X2605" s="246">
        <v>2.2789588339415801E-2</v>
      </c>
    </row>
    <row r="2606" spans="20:24" x14ac:dyDescent="0.2">
      <c r="T2606" s="247" t="str">
        <f t="shared" si="45"/>
        <v>1w</v>
      </c>
      <c r="U2606" s="245">
        <f>_xll.qlCalendarAdvance(Calendar,U2605,T2606,"f",FALSE)</f>
        <v>57088</v>
      </c>
      <c r="V2606" s="248">
        <f>_xll.qlCalendarAdvance(Calendar,U2606,NDays&amp;"D")</f>
        <v>57090</v>
      </c>
      <c r="W2606" s="249">
        <v>2.2833747686975537E-2</v>
      </c>
      <c r="X2606" s="246">
        <v>2.2786717557563563E-2</v>
      </c>
    </row>
    <row r="2607" spans="20:24" x14ac:dyDescent="0.2">
      <c r="T2607" s="247" t="str">
        <f t="shared" si="45"/>
        <v>1w</v>
      </c>
      <c r="U2607" s="245">
        <f>_xll.qlCalendarAdvance(Calendar,U2606,T2607,"f",FALSE)</f>
        <v>57095</v>
      </c>
      <c r="V2607" s="248">
        <f>_xll.qlCalendarAdvance(Calendar,U2607,NDays&amp;"D")</f>
        <v>57097</v>
      </c>
      <c r="W2607" s="249">
        <v>2.2830996071813003E-2</v>
      </c>
      <c r="X2607" s="246">
        <v>2.2783864919517782E-2</v>
      </c>
    </row>
    <row r="2608" spans="20:24" x14ac:dyDescent="0.2">
      <c r="T2608" s="247" t="str">
        <f t="shared" si="45"/>
        <v>1w</v>
      </c>
      <c r="U2608" s="245">
        <f>_xll.qlCalendarAdvance(Calendar,U2607,T2608,"f",FALSE)</f>
        <v>57102</v>
      </c>
      <c r="V2608" s="248">
        <f>_xll.qlCalendarAdvance(Calendar,U2608,NDays&amp;"D")</f>
        <v>57104</v>
      </c>
      <c r="W2608" s="249">
        <v>2.282879340943492E-2</v>
      </c>
      <c r="X2608" s="246">
        <v>2.2781030425678139E-2</v>
      </c>
    </row>
    <row r="2609" spans="20:24" x14ac:dyDescent="0.2">
      <c r="T2609" s="247" t="str">
        <f t="shared" si="45"/>
        <v>1w</v>
      </c>
      <c r="U2609" s="245">
        <f>_xll.qlCalendarAdvance(Calendar,U2608,T2609,"f",FALSE)</f>
        <v>57109</v>
      </c>
      <c r="V2609" s="248">
        <f>_xll.qlCalendarAdvance(Calendar,U2609,NDays&amp;"D")</f>
        <v>57111</v>
      </c>
      <c r="W2609" s="249">
        <v>2.2826079424896076E-2</v>
      </c>
      <c r="X2609" s="246">
        <v>2.2778214075565018E-2</v>
      </c>
    </row>
    <row r="2610" spans="20:24" x14ac:dyDescent="0.2">
      <c r="T2610" s="247" t="str">
        <f t="shared" si="45"/>
        <v>1w</v>
      </c>
      <c r="U2610" s="245">
        <f>_xll.qlCalendarAdvance(Calendar,U2609,T2610,"f",FALSE)</f>
        <v>57116</v>
      </c>
      <c r="V2610" s="248">
        <f>_xll.qlCalendarAdvance(Calendar,U2610,NDays&amp;"D")</f>
        <v>57118</v>
      </c>
      <c r="W2610" s="249">
        <v>2.2823383690817507E-2</v>
      </c>
      <c r="X2610" s="246">
        <v>2.2775415869418225E-2</v>
      </c>
    </row>
    <row r="2611" spans="20:24" x14ac:dyDescent="0.2">
      <c r="T2611" s="247" t="str">
        <f t="shared" si="45"/>
        <v>1w</v>
      </c>
      <c r="U2611" s="245">
        <f>_xll.qlCalendarAdvance(Calendar,U2610,T2611,"f",FALSE)</f>
        <v>57123</v>
      </c>
      <c r="V2611" s="248">
        <f>_xll.qlCalendarAdvance(Calendar,U2611,NDays&amp;"D")</f>
        <v>57125</v>
      </c>
      <c r="W2611" s="249">
        <v>2.2820706207160979E-2</v>
      </c>
      <c r="X2611" s="246">
        <v>2.2772635807237762E-2</v>
      </c>
    </row>
    <row r="2612" spans="20:24" x14ac:dyDescent="0.2">
      <c r="T2612" s="247" t="str">
        <f t="shared" si="45"/>
        <v>1w</v>
      </c>
      <c r="U2612" s="245">
        <f>_xll.qlCalendarAdvance(Calendar,U2611,T2612,"f",FALSE)</f>
        <v>57130</v>
      </c>
      <c r="V2612" s="248">
        <f>_xll.qlCalendarAdvance(Calendar,U2612,NDays&amp;"D")</f>
        <v>57132</v>
      </c>
      <c r="W2612" s="249">
        <v>2.2818046973890001E-2</v>
      </c>
      <c r="X2612" s="246">
        <v>2.2769873889103565E-2</v>
      </c>
    </row>
    <row r="2613" spans="20:24" x14ac:dyDescent="0.2">
      <c r="T2613" s="247" t="str">
        <f t="shared" si="45"/>
        <v>1w</v>
      </c>
      <c r="U2613" s="245">
        <f>_xll.qlCalendarAdvance(Calendar,U2612,T2613,"f",FALSE)</f>
        <v>57137</v>
      </c>
      <c r="V2613" s="248">
        <f>_xll.qlCalendarAdvance(Calendar,U2613,NDays&amp;"D")</f>
        <v>57139</v>
      </c>
      <c r="W2613" s="249">
        <v>2.2815405990968082E-2</v>
      </c>
      <c r="X2613" s="246">
        <v>2.2767130114775824E-2</v>
      </c>
    </row>
    <row r="2614" spans="20:24" x14ac:dyDescent="0.2">
      <c r="T2614" s="247" t="str">
        <f t="shared" si="45"/>
        <v>1w</v>
      </c>
      <c r="U2614" s="245">
        <f>_xll.qlCalendarAdvance(Calendar,U2613,T2614,"f",FALSE)</f>
        <v>57144</v>
      </c>
      <c r="V2614" s="248">
        <f>_xll.qlCalendarAdvance(Calendar,U2614,NDays&amp;"D")</f>
        <v>57146</v>
      </c>
      <c r="W2614" s="249">
        <v>2.2812783258356992E-2</v>
      </c>
      <c r="X2614" s="246">
        <v>2.2764404484254541E-2</v>
      </c>
    </row>
    <row r="2615" spans="20:24" x14ac:dyDescent="0.2">
      <c r="T2615" s="247" t="str">
        <f t="shared" si="45"/>
        <v>1w</v>
      </c>
      <c r="U2615" s="245">
        <f>_xll.qlCalendarAdvance(Calendar,U2614,T2615,"f",FALSE)</f>
        <v>57151</v>
      </c>
      <c r="V2615" s="248">
        <f>_xll.qlCalendarAdvance(Calendar,U2615,NDays&amp;"D")</f>
        <v>57153</v>
      </c>
      <c r="W2615" s="249">
        <v>2.2810178776021105E-2</v>
      </c>
      <c r="X2615" s="246">
        <v>2.2761696998019332E-2</v>
      </c>
    </row>
    <row r="2616" spans="20:24" x14ac:dyDescent="0.2">
      <c r="T2616" s="247" t="str">
        <f t="shared" si="45"/>
        <v>1w</v>
      </c>
      <c r="U2616" s="245">
        <f>_xll.qlCalendarAdvance(Calendar,U2615,T2616,"f",FALSE)</f>
        <v>57158</v>
      </c>
      <c r="V2616" s="248">
        <f>_xll.qlCalendarAdvance(Calendar,U2616,NDays&amp;"D")</f>
        <v>57160</v>
      </c>
      <c r="W2616" s="249">
        <v>2.2807592543923064E-2</v>
      </c>
      <c r="X2616" s="246">
        <v>2.2759007655510644E-2</v>
      </c>
    </row>
    <row r="2617" spans="20:24" x14ac:dyDescent="0.2">
      <c r="T2617" s="247" t="str">
        <f t="shared" si="45"/>
        <v>1w</v>
      </c>
      <c r="U2617" s="245">
        <f>_xll.qlCalendarAdvance(Calendar,U2616,T2617,"f",FALSE)</f>
        <v>57165</v>
      </c>
      <c r="V2617" s="248">
        <f>_xll.qlCalendarAdvance(Calendar,U2617,NDays&amp;"D")</f>
        <v>57167</v>
      </c>
      <c r="W2617" s="249">
        <v>2.2805024562029843E-2</v>
      </c>
      <c r="X2617" s="246">
        <v>2.2756336456888349E-2</v>
      </c>
    </row>
    <row r="2618" spans="20:24" x14ac:dyDescent="0.2">
      <c r="T2618" s="247" t="str">
        <f t="shared" si="45"/>
        <v>1w</v>
      </c>
      <c r="U2618" s="245">
        <f>_xll.qlCalendarAdvance(Calendar,U2617,T2618,"f",FALSE)</f>
        <v>57172</v>
      </c>
      <c r="V2618" s="248">
        <f>_xll.qlCalendarAdvance(Calendar,U2618,NDays&amp;"D")</f>
        <v>57174</v>
      </c>
      <c r="W2618" s="249">
        <v>2.2802474830303222E-2</v>
      </c>
      <c r="X2618" s="246">
        <v>2.2753683402312319E-2</v>
      </c>
    </row>
    <row r="2619" spans="20:24" x14ac:dyDescent="0.2">
      <c r="T2619" s="247" t="str">
        <f t="shared" si="45"/>
        <v>1w</v>
      </c>
      <c r="U2619" s="245">
        <f>_xll.qlCalendarAdvance(Calendar,U2618,T2619,"f",FALSE)</f>
        <v>57179</v>
      </c>
      <c r="V2619" s="248">
        <f>_xll.qlCalendarAdvance(Calendar,U2619,NDays&amp;"D")</f>
        <v>57181</v>
      </c>
      <c r="W2619" s="249">
        <v>2.279994334870844E-2</v>
      </c>
      <c r="X2619" s="246">
        <v>2.2751048491702619E-2</v>
      </c>
    </row>
    <row r="2620" spans="20:24" x14ac:dyDescent="0.2">
      <c r="T2620" s="247" t="str">
        <f t="shared" si="45"/>
        <v>1w</v>
      </c>
      <c r="U2620" s="245">
        <f>_xll.qlCalendarAdvance(Calendar,U2619,T2620,"f",FALSE)</f>
        <v>57186</v>
      </c>
      <c r="V2620" s="248">
        <f>_xll.qlCalendarAdvance(Calendar,U2620,NDays&amp;"D")</f>
        <v>57188</v>
      </c>
      <c r="W2620" s="249">
        <v>2.2797430117209874E-2</v>
      </c>
      <c r="X2620" s="246">
        <v>2.2748431724899376E-2</v>
      </c>
    </row>
    <row r="2621" spans="20:24" x14ac:dyDescent="0.2">
      <c r="T2621" s="247" t="str">
        <f t="shared" si="45"/>
        <v>1w</v>
      </c>
      <c r="U2621" s="245">
        <f>_xll.qlCalendarAdvance(Calendar,U2620,T2621,"f",FALSE)</f>
        <v>57193</v>
      </c>
      <c r="V2621" s="248">
        <f>_xll.qlCalendarAdvance(Calendar,U2621,NDays&amp;"D")</f>
        <v>57195</v>
      </c>
      <c r="W2621" s="249">
        <v>2.279493513577277E-2</v>
      </c>
      <c r="X2621" s="246">
        <v>2.2745833101982527E-2</v>
      </c>
    </row>
    <row r="2622" spans="20:24" x14ac:dyDescent="0.2">
      <c r="T2622" s="247" t="str">
        <f t="shared" si="45"/>
        <v>1w</v>
      </c>
      <c r="U2622" s="245">
        <f>_xll.qlCalendarAdvance(Calendar,U2621,T2622,"f",FALSE)</f>
        <v>57200</v>
      </c>
      <c r="V2622" s="248">
        <f>_xll.qlCalendarAdvance(Calendar,U2622,NDays&amp;"D")</f>
        <v>57202</v>
      </c>
      <c r="W2622" s="249">
        <v>2.2792458404362375E-2</v>
      </c>
      <c r="X2622" s="246">
        <v>2.2743252623111943E-2</v>
      </c>
    </row>
    <row r="2623" spans="20:24" x14ac:dyDescent="0.2">
      <c r="T2623" s="247" t="str">
        <f t="shared" si="45"/>
        <v>1w</v>
      </c>
      <c r="U2623" s="245">
        <f>_xll.qlCalendarAdvance(Calendar,U2622,T2623,"f",FALSE)</f>
        <v>57207</v>
      </c>
      <c r="V2623" s="248">
        <f>_xll.qlCalendarAdvance(Calendar,U2623,NDays&amp;"D")</f>
        <v>57209</v>
      </c>
      <c r="W2623" s="249">
        <v>2.2789999922943931E-2</v>
      </c>
      <c r="X2623" s="246">
        <v>2.2740690288207688E-2</v>
      </c>
    </row>
    <row r="2624" spans="20:24" x14ac:dyDescent="0.2">
      <c r="T2624" s="247" t="str">
        <f t="shared" si="45"/>
        <v>1w</v>
      </c>
      <c r="U2624" s="245">
        <f>_xll.qlCalendarAdvance(Calendar,U2623,T2624,"f",FALSE)</f>
        <v>57214</v>
      </c>
      <c r="V2624" s="248">
        <f>_xll.qlCalendarAdvance(Calendar,U2624,NDays&amp;"D")</f>
        <v>57216</v>
      </c>
      <c r="W2624" s="249">
        <v>2.2787559691486162E-2</v>
      </c>
      <c r="X2624" s="246">
        <v>2.2738146097269762E-2</v>
      </c>
    </row>
    <row r="2625" spans="20:24" x14ac:dyDescent="0.2">
      <c r="T2625" s="247" t="str">
        <f t="shared" si="45"/>
        <v>1w</v>
      </c>
      <c r="U2625" s="245">
        <f>_xll.qlCalendarAdvance(Calendar,U2624,T2625,"f",FALSE)</f>
        <v>57221</v>
      </c>
      <c r="V2625" s="248">
        <f>_xll.qlCalendarAdvance(Calendar,U2625,NDays&amp;"D")</f>
        <v>57223</v>
      </c>
      <c r="W2625" s="249">
        <v>2.2784587604628658E-2</v>
      </c>
      <c r="X2625" s="246">
        <v>2.2735620050138294E-2</v>
      </c>
    </row>
    <row r="2626" spans="20:24" x14ac:dyDescent="0.2">
      <c r="T2626" s="247" t="str">
        <f t="shared" si="45"/>
        <v>1w</v>
      </c>
      <c r="U2626" s="245">
        <f>_xll.qlCalendarAdvance(Calendar,U2625,T2626,"f",FALSE)</f>
        <v>57228</v>
      </c>
      <c r="V2626" s="248">
        <f>_xll.qlCalendarAdvance(Calendar,U2626,NDays&amp;"D")</f>
        <v>57230</v>
      </c>
      <c r="W2626" s="249">
        <v>2.2782182721190775E-2</v>
      </c>
      <c r="X2626" s="246">
        <v>2.2733112147053092E-2</v>
      </c>
    </row>
    <row r="2627" spans="20:24" x14ac:dyDescent="0.2">
      <c r="T2627" s="247" t="str">
        <f t="shared" si="45"/>
        <v>1w</v>
      </c>
      <c r="U2627" s="245">
        <f>_xll.qlCalendarAdvance(Calendar,U2626,T2627,"f",FALSE)</f>
        <v>57235</v>
      </c>
      <c r="V2627" s="248">
        <f>_xll.qlCalendarAdvance(Calendar,U2627,NDays&amp;"D")</f>
        <v>57237</v>
      </c>
      <c r="W2627" s="249">
        <v>2.2779796086443361E-2</v>
      </c>
      <c r="X2627" s="246">
        <v>2.2730622387854282E-2</v>
      </c>
    </row>
    <row r="2628" spans="20:24" x14ac:dyDescent="0.2">
      <c r="T2628" s="247" t="str">
        <f t="shared" si="45"/>
        <v>1w</v>
      </c>
      <c r="U2628" s="245">
        <f>_xll.qlCalendarAdvance(Calendar,U2627,T2628,"f",FALSE)</f>
        <v>57242</v>
      </c>
      <c r="V2628" s="248">
        <f>_xll.qlCalendarAdvance(Calendar,U2628,NDays&amp;"D")</f>
        <v>57244</v>
      </c>
      <c r="W2628" s="249">
        <v>2.2777427700354794E-2</v>
      </c>
      <c r="X2628" s="246">
        <v>2.272815077246193E-2</v>
      </c>
    </row>
    <row r="2629" spans="20:24" x14ac:dyDescent="0.2">
      <c r="T2629" s="247" t="str">
        <f t="shared" si="45"/>
        <v>1w</v>
      </c>
      <c r="U2629" s="245">
        <f>_xll.qlCalendarAdvance(Calendar,U2628,T2629,"f",FALSE)</f>
        <v>57249</v>
      </c>
      <c r="V2629" s="248">
        <f>_xll.qlCalendarAdvance(Calendar,U2629,NDays&amp;"D")</f>
        <v>57251</v>
      </c>
      <c r="W2629" s="249">
        <v>2.2775077562894333E-2</v>
      </c>
      <c r="X2629" s="246">
        <v>2.2725697301035908E-2</v>
      </c>
    </row>
    <row r="2630" spans="20:24" x14ac:dyDescent="0.2">
      <c r="T2630" s="247" t="str">
        <f t="shared" si="45"/>
        <v>1w</v>
      </c>
      <c r="U2630" s="245">
        <f>_xll.qlCalendarAdvance(Calendar,U2629,T2630,"f",FALSE)</f>
        <v>57256</v>
      </c>
      <c r="V2630" s="248">
        <f>_xll.qlCalendarAdvance(Calendar,U2630,NDays&amp;"D")</f>
        <v>57258</v>
      </c>
      <c r="W2630" s="249">
        <v>2.2773301549967404E-2</v>
      </c>
      <c r="X2630" s="246">
        <v>2.2723261973736086E-2</v>
      </c>
    </row>
    <row r="2631" spans="20:24" x14ac:dyDescent="0.2">
      <c r="T2631" s="247" t="str">
        <f t="shared" si="45"/>
        <v>1w</v>
      </c>
      <c r="U2631" s="245">
        <f>_xll.qlCalendarAdvance(Calendar,U2630,T2631,"f",FALSE)</f>
        <v>57263</v>
      </c>
      <c r="V2631" s="248">
        <f>_xll.qlCalendarAdvance(Calendar,U2631,NDays&amp;"D")</f>
        <v>57265</v>
      </c>
      <c r="W2631" s="249">
        <v>2.2770989067280326E-2</v>
      </c>
      <c r="X2631" s="246">
        <v>2.2720844790242722E-2</v>
      </c>
    </row>
    <row r="2632" spans="20:24" x14ac:dyDescent="0.2">
      <c r="T2632" s="247" t="str">
        <f t="shared" si="45"/>
        <v>1w</v>
      </c>
      <c r="U2632" s="245">
        <f>_xll.qlCalendarAdvance(Calendar,U2631,T2632,"f",FALSE)</f>
        <v>57270</v>
      </c>
      <c r="V2632" s="248">
        <f>_xll.qlCalendarAdvance(Calendar,U2632,NDays&amp;"D")</f>
        <v>57272</v>
      </c>
      <c r="W2632" s="249">
        <v>2.2768694834284571E-2</v>
      </c>
      <c r="X2632" s="246">
        <v>2.2718445750635752E-2</v>
      </c>
    </row>
    <row r="2633" spans="20:24" x14ac:dyDescent="0.2">
      <c r="T2633" s="247" t="str">
        <f t="shared" si="45"/>
        <v>1w</v>
      </c>
      <c r="U2633" s="245">
        <f>_xll.qlCalendarAdvance(Calendar,U2632,T2633,"f",FALSE)</f>
        <v>57277</v>
      </c>
      <c r="V2633" s="248">
        <f>_xll.qlCalendarAdvance(Calendar,U2633,NDays&amp;"D")</f>
        <v>57279</v>
      </c>
      <c r="W2633" s="249">
        <v>2.2766418850951466E-2</v>
      </c>
      <c r="X2633" s="246">
        <v>2.2716064854995111E-2</v>
      </c>
    </row>
    <row r="2634" spans="20:24" x14ac:dyDescent="0.2">
      <c r="T2634" s="247" t="str">
        <f t="shared" si="45"/>
        <v>1w</v>
      </c>
      <c r="U2634" s="245">
        <f>_xll.qlCalendarAdvance(Calendar,U2633,T2634,"f",FALSE)</f>
        <v>57284</v>
      </c>
      <c r="V2634" s="248">
        <f>_xll.qlCalendarAdvance(Calendar,U2634,NDays&amp;"D")</f>
        <v>57286</v>
      </c>
      <c r="W2634" s="249">
        <v>2.2764161117249732E-2</v>
      </c>
      <c r="X2634" s="246">
        <v>2.2713702103320799E-2</v>
      </c>
    </row>
    <row r="2635" spans="20:24" x14ac:dyDescent="0.2">
      <c r="T2635" s="247" t="str">
        <f t="shared" si="45"/>
        <v>1w</v>
      </c>
      <c r="U2635" s="245">
        <f>_xll.qlCalendarAdvance(Calendar,U2634,T2635,"f",FALSE)</f>
        <v>57291</v>
      </c>
      <c r="V2635" s="248">
        <f>_xll.qlCalendarAdvance(Calendar,U2635,NDays&amp;"D")</f>
        <v>57293</v>
      </c>
      <c r="W2635" s="249">
        <v>2.2761921633147223E-2</v>
      </c>
      <c r="X2635" s="246">
        <v>2.271135749553288E-2</v>
      </c>
    </row>
    <row r="2636" spans="20:24" x14ac:dyDescent="0.2">
      <c r="T2636" s="247" t="str">
        <f t="shared" si="45"/>
        <v>1w</v>
      </c>
      <c r="U2636" s="245">
        <f>_xll.qlCalendarAdvance(Calendar,U2635,T2636,"f",FALSE)</f>
        <v>57298</v>
      </c>
      <c r="V2636" s="248">
        <f>_xll.qlCalendarAdvance(Calendar,U2636,NDays&amp;"D")</f>
        <v>57300</v>
      </c>
      <c r="W2636" s="249">
        <v>2.2759700398609181E-2</v>
      </c>
      <c r="X2636" s="246">
        <v>2.2709031031551419E-2</v>
      </c>
    </row>
    <row r="2637" spans="20:24" x14ac:dyDescent="0.2">
      <c r="T2637" s="247" t="str">
        <f t="shared" si="45"/>
        <v>1w</v>
      </c>
      <c r="U2637" s="245">
        <f>_xll.qlCalendarAdvance(Calendar,U2636,T2637,"f",FALSE)</f>
        <v>57305</v>
      </c>
      <c r="V2637" s="248">
        <f>_xll.qlCalendarAdvance(Calendar,U2637,NDays&amp;"D")</f>
        <v>57307</v>
      </c>
      <c r="W2637" s="249">
        <v>2.2757497413610411E-2</v>
      </c>
      <c r="X2637" s="246">
        <v>2.2706722711696159E-2</v>
      </c>
    </row>
    <row r="2638" spans="20:24" x14ac:dyDescent="0.2">
      <c r="T2638" s="247" t="str">
        <f t="shared" si="45"/>
        <v>1w</v>
      </c>
      <c r="U2638" s="245">
        <f>_xll.qlCalendarAdvance(Calendar,U2637,T2638,"f",FALSE)</f>
        <v>57312</v>
      </c>
      <c r="V2638" s="248">
        <f>_xll.qlCalendarAdvance(Calendar,U2638,NDays&amp;"D")</f>
        <v>57314</v>
      </c>
      <c r="W2638" s="249">
        <v>2.2754182474336027E-2</v>
      </c>
      <c r="X2638" s="246">
        <v>2.2704432535727292E-2</v>
      </c>
    </row>
    <row r="2639" spans="20:24" x14ac:dyDescent="0.2">
      <c r="T2639" s="247" t="str">
        <f t="shared" si="45"/>
        <v>1w</v>
      </c>
      <c r="U2639" s="245">
        <f>_xll.qlCalendarAdvance(Calendar,U2638,T2639,"f",FALSE)</f>
        <v>57319</v>
      </c>
      <c r="V2639" s="248">
        <f>_xll.qlCalendarAdvance(Calendar,U2639,NDays&amp;"D")</f>
        <v>57321</v>
      </c>
      <c r="W2639" s="249">
        <v>2.2752013654648628E-2</v>
      </c>
      <c r="X2639" s="246">
        <v>2.2702160503644819E-2</v>
      </c>
    </row>
    <row r="2640" spans="20:24" x14ac:dyDescent="0.2">
      <c r="T2640" s="247" t="str">
        <f t="shared" si="45"/>
        <v>1w</v>
      </c>
      <c r="U2640" s="245">
        <f>_xll.qlCalendarAdvance(Calendar,U2639,T2640,"f",FALSE)</f>
        <v>57326</v>
      </c>
      <c r="V2640" s="248">
        <f>_xll.qlCalendarAdvance(Calendar,U2640,NDays&amp;"D")</f>
        <v>57328</v>
      </c>
      <c r="W2640" s="249">
        <v>2.2749863082084154E-2</v>
      </c>
      <c r="X2640" s="246">
        <v>2.2699906615448739E-2</v>
      </c>
    </row>
    <row r="2641" spans="20:24" x14ac:dyDescent="0.2">
      <c r="T2641" s="247" t="str">
        <f t="shared" si="45"/>
        <v>1w</v>
      </c>
      <c r="U2641" s="245">
        <f>_xll.qlCalendarAdvance(Calendar,U2640,T2641,"f",FALSE)</f>
        <v>57333</v>
      </c>
      <c r="V2641" s="248">
        <f>_xll.qlCalendarAdvance(Calendar,U2641,NDays&amp;"D")</f>
        <v>57335</v>
      </c>
      <c r="W2641" s="249">
        <v>2.2747730756615958E-2</v>
      </c>
      <c r="X2641" s="246">
        <v>2.2697670871378861E-2</v>
      </c>
    </row>
    <row r="2642" spans="20:24" x14ac:dyDescent="0.2">
      <c r="T2642" s="247" t="str">
        <f t="shared" ref="T2642:T2705" si="46">T2641</f>
        <v>1w</v>
      </c>
      <c r="U2642" s="245">
        <f>_xll.qlCalendarAdvance(Calendar,U2641,T2642,"f",FALSE)</f>
        <v>57341</v>
      </c>
      <c r="V2642" s="248">
        <f>_xll.qlCalendarAdvance(Calendar,U2642,NDays&amp;"D")</f>
        <v>57343</v>
      </c>
      <c r="W2642" s="249">
        <v>2.2745886032185168E-2</v>
      </c>
      <c r="X2642" s="246">
        <v>2.2696812022386936E-2</v>
      </c>
    </row>
    <row r="2643" spans="20:24" x14ac:dyDescent="0.2">
      <c r="T2643" s="247" t="str">
        <f t="shared" si="46"/>
        <v>1w</v>
      </c>
      <c r="U2643" s="245">
        <f>_xll.qlCalendarAdvance(Calendar,U2642,T2643,"f",FALSE)</f>
        <v>57348</v>
      </c>
      <c r="V2643" s="248">
        <f>_xll.qlCalendarAdvance(Calendar,U2643,NDays&amp;"D")</f>
        <v>57350</v>
      </c>
      <c r="W2643" s="249">
        <v>2.2743222931916662E-2</v>
      </c>
      <c r="X2643" s="246">
        <v>2.2694059316243909E-2</v>
      </c>
    </row>
    <row r="2644" spans="20:24" x14ac:dyDescent="0.2">
      <c r="T2644" s="247" t="str">
        <f t="shared" si="46"/>
        <v>1w</v>
      </c>
      <c r="U2644" s="245">
        <f>_xll.qlCalendarAdvance(Calendar,U2643,T2644,"f",FALSE)</f>
        <v>57355</v>
      </c>
      <c r="V2644" s="248">
        <f>_xll.qlCalendarAdvance(Calendar,U2644,NDays&amp;"D")</f>
        <v>57357</v>
      </c>
      <c r="W2644" s="249">
        <v>2.2741147954271845E-2</v>
      </c>
      <c r="X2644" s="246">
        <v>2.2691882913425943E-2</v>
      </c>
    </row>
    <row r="2645" spans="20:24" x14ac:dyDescent="0.2">
      <c r="T2645" s="247" t="str">
        <f t="shared" si="46"/>
        <v>1w</v>
      </c>
      <c r="U2645" s="245">
        <f>_xll.qlCalendarAdvance(Calendar,U2644,T2645,"f",FALSE)</f>
        <v>57362</v>
      </c>
      <c r="V2645" s="248">
        <f>_xll.qlCalendarAdvance(Calendar,U2645,NDays&amp;"D")</f>
        <v>57364</v>
      </c>
      <c r="W2645" s="249">
        <v>2.2739091223604291E-2</v>
      </c>
      <c r="X2645" s="246">
        <v>2.2689724656892452E-2</v>
      </c>
    </row>
    <row r="2646" spans="20:24" x14ac:dyDescent="0.2">
      <c r="T2646" s="247" t="str">
        <f t="shared" si="46"/>
        <v>1w</v>
      </c>
      <c r="U2646" s="245">
        <f>_xll.qlCalendarAdvance(Calendar,U2645,T2646,"f",FALSE)</f>
        <v>57369</v>
      </c>
      <c r="V2646" s="248">
        <f>_xll.qlCalendarAdvance(Calendar,U2646,NDays&amp;"D")</f>
        <v>57371</v>
      </c>
      <c r="W2646" s="249">
        <v>2.2737052739882913E-2</v>
      </c>
      <c r="X2646" s="246">
        <v>2.26875845465635E-2</v>
      </c>
    </row>
    <row r="2647" spans="20:24" x14ac:dyDescent="0.2">
      <c r="T2647" s="247" t="str">
        <f t="shared" si="46"/>
        <v>1w</v>
      </c>
      <c r="U2647" s="245">
        <f>_xll.qlCalendarAdvance(Calendar,U2646,T2647,"f",FALSE)</f>
        <v>57376</v>
      </c>
      <c r="V2647" s="248">
        <f>_xll.qlCalendarAdvance(Calendar,U2647,NDays&amp;"D")</f>
        <v>57378</v>
      </c>
      <c r="W2647" s="249">
        <v>2.2734456894536795E-2</v>
      </c>
      <c r="X2647" s="246">
        <v>2.2685462582465732E-2</v>
      </c>
    </row>
    <row r="2648" spans="20:24" x14ac:dyDescent="0.2">
      <c r="T2648" s="247" t="str">
        <f t="shared" si="46"/>
        <v>1w</v>
      </c>
      <c r="U2648" s="245">
        <f>_xll.qlCalendarAdvance(Calendar,U2647,T2648,"f",FALSE)</f>
        <v>57383</v>
      </c>
      <c r="V2648" s="248">
        <f>_xll.qlCalendarAdvance(Calendar,U2648,NDays&amp;"D")</f>
        <v>57385</v>
      </c>
      <c r="W2648" s="249">
        <v>2.273245372742955E-2</v>
      </c>
      <c r="X2648" s="246">
        <v>2.2683358764599149E-2</v>
      </c>
    </row>
    <row r="2649" spans="20:24" x14ac:dyDescent="0.2">
      <c r="T2649" s="247" t="str">
        <f t="shared" si="46"/>
        <v>1w</v>
      </c>
      <c r="U2649" s="245">
        <f>_xll.qlCalendarAdvance(Calendar,U2648,T2649,"f",FALSE)</f>
        <v>57390</v>
      </c>
      <c r="V2649" s="248">
        <f>_xll.qlCalendarAdvance(Calendar,U2649,NDays&amp;"D")</f>
        <v>57392</v>
      </c>
      <c r="W2649" s="249">
        <v>2.273046880603017E-2</v>
      </c>
      <c r="X2649" s="246">
        <v>2.2681273092990395E-2</v>
      </c>
    </row>
    <row r="2650" spans="20:24" x14ac:dyDescent="0.2">
      <c r="T2650" s="247" t="str">
        <f t="shared" si="46"/>
        <v>1w</v>
      </c>
      <c r="U2650" s="245">
        <f>_xll.qlCalendarAdvance(Calendar,U2649,T2650,"f",FALSE)</f>
        <v>57397</v>
      </c>
      <c r="V2650" s="248">
        <f>_xll.qlCalendarAdvance(Calendar,U2650,NDays&amp;"D")</f>
        <v>57399</v>
      </c>
      <c r="W2650" s="249">
        <v>2.272850213031171E-2</v>
      </c>
      <c r="X2650" s="246">
        <v>2.2679205567612826E-2</v>
      </c>
    </row>
    <row r="2651" spans="20:24" x14ac:dyDescent="0.2">
      <c r="T2651" s="247" t="str">
        <f t="shared" si="46"/>
        <v>1w</v>
      </c>
      <c r="U2651" s="245">
        <f>_xll.qlCalendarAdvance(Calendar,U2650,T2651,"f",FALSE)</f>
        <v>57404</v>
      </c>
      <c r="V2651" s="248">
        <f>_xll.qlCalendarAdvance(Calendar,U2651,NDays&amp;"D")</f>
        <v>57406</v>
      </c>
      <c r="W2651" s="249">
        <v>2.2729456693083783E-2</v>
      </c>
      <c r="X2651" s="246">
        <v>2.2677156188439795E-2</v>
      </c>
    </row>
    <row r="2652" spans="20:24" x14ac:dyDescent="0.2">
      <c r="T2652" s="247" t="str">
        <f t="shared" si="46"/>
        <v>1w</v>
      </c>
      <c r="U2652" s="245">
        <f>_xll.qlCalendarAdvance(Calendar,U2651,T2652,"f",FALSE)</f>
        <v>57411</v>
      </c>
      <c r="V2652" s="248">
        <f>_xll.qlCalendarAdvance(Calendar,U2652,NDays&amp;"D")</f>
        <v>57413</v>
      </c>
      <c r="W2652" s="249">
        <v>2.2727532419379998E-2</v>
      </c>
      <c r="X2652" s="246">
        <v>2.267512495555124E-2</v>
      </c>
    </row>
    <row r="2653" spans="20:24" x14ac:dyDescent="0.2">
      <c r="T2653" s="247" t="str">
        <f t="shared" si="46"/>
        <v>1w</v>
      </c>
      <c r="U2653" s="245">
        <f>_xll.qlCalendarAdvance(Calendar,U2652,T2653,"f",FALSE)</f>
        <v>57418</v>
      </c>
      <c r="V2653" s="248">
        <f>_xll.qlCalendarAdvance(Calendar,U2653,NDays&amp;"D")</f>
        <v>57420</v>
      </c>
      <c r="W2653" s="249">
        <v>2.2725626397062149E-2</v>
      </c>
      <c r="X2653" s="246">
        <v>2.2673111868840579E-2</v>
      </c>
    </row>
    <row r="2654" spans="20:24" x14ac:dyDescent="0.2">
      <c r="T2654" s="247" t="str">
        <f t="shared" si="46"/>
        <v>1w</v>
      </c>
      <c r="U2654" s="245">
        <f>_xll.qlCalendarAdvance(Calendar,U2653,T2654,"f",FALSE)</f>
        <v>57425</v>
      </c>
      <c r="V2654" s="248">
        <f>_xll.qlCalendarAdvance(Calendar,U2654,NDays&amp;"D")</f>
        <v>57427</v>
      </c>
      <c r="W2654" s="249">
        <v>2.2723738626105574E-2</v>
      </c>
      <c r="X2654" s="246">
        <v>2.2671116928387747E-2</v>
      </c>
    </row>
    <row r="2655" spans="20:24" x14ac:dyDescent="0.2">
      <c r="T2655" s="247" t="str">
        <f t="shared" si="46"/>
        <v>1w</v>
      </c>
      <c r="U2655" s="245">
        <f>_xll.qlCalendarAdvance(Calendar,U2654,T2655,"f",FALSE)</f>
        <v>57432</v>
      </c>
      <c r="V2655" s="248">
        <f>_xll.qlCalendarAdvance(Calendar,U2655,NDays&amp;"D")</f>
        <v>57434</v>
      </c>
      <c r="W2655" s="249">
        <v>2.27201126908761E-2</v>
      </c>
      <c r="X2655" s="246">
        <v>2.2669140134112808E-2</v>
      </c>
    </row>
    <row r="2656" spans="20:24" x14ac:dyDescent="0.2">
      <c r="T2656" s="247" t="str">
        <f t="shared" si="46"/>
        <v>1w</v>
      </c>
      <c r="U2656" s="245">
        <f>_xll.qlCalendarAdvance(Calendar,U2655,T2656,"f",FALSE)</f>
        <v>57439</v>
      </c>
      <c r="V2656" s="248">
        <f>_xll.qlCalendarAdvance(Calendar,U2656,NDays&amp;"D")</f>
        <v>57441</v>
      </c>
      <c r="W2656" s="249">
        <v>2.2718257861767333E-2</v>
      </c>
      <c r="X2656" s="246">
        <v>2.2667181486122345E-2</v>
      </c>
    </row>
    <row r="2657" spans="20:24" x14ac:dyDescent="0.2">
      <c r="T2657" s="247" t="str">
        <f t="shared" si="46"/>
        <v>1w</v>
      </c>
      <c r="U2657" s="245">
        <f>_xll.qlCalendarAdvance(Calendar,U2656,T2657,"f",FALSE)</f>
        <v>57446</v>
      </c>
      <c r="V2657" s="248">
        <f>_xll.qlCalendarAdvance(Calendar,U2657,NDays&amp;"D")</f>
        <v>57448</v>
      </c>
      <c r="W2657" s="249">
        <v>2.2716421280471497E-2</v>
      </c>
      <c r="X2657" s="246">
        <v>2.2665240984336421E-2</v>
      </c>
    </row>
    <row r="2658" spans="20:24" x14ac:dyDescent="0.2">
      <c r="T2658" s="247" t="str">
        <f t="shared" si="46"/>
        <v>1w</v>
      </c>
      <c r="U2658" s="245">
        <f>_xll.qlCalendarAdvance(Calendar,U2657,T2658,"f",FALSE)</f>
        <v>57453</v>
      </c>
      <c r="V2658" s="248">
        <f>_xll.qlCalendarAdvance(Calendar,U2658,NDays&amp;"D")</f>
        <v>57459</v>
      </c>
      <c r="W2658" s="249">
        <v>2.2713572092117239E-2</v>
      </c>
      <c r="X2658" s="246">
        <v>2.2661073707439527E-2</v>
      </c>
    </row>
    <row r="2659" spans="20:24" x14ac:dyDescent="0.2">
      <c r="T2659" s="247" t="str">
        <f t="shared" si="46"/>
        <v>1w</v>
      </c>
      <c r="U2659" s="245">
        <f>_xll.qlCalendarAdvance(Calendar,U2658,T2659,"f",FALSE)</f>
        <v>57460</v>
      </c>
      <c r="V2659" s="248">
        <f>_xll.qlCalendarAdvance(Calendar,U2659,NDays&amp;"D")</f>
        <v>57462</v>
      </c>
      <c r="W2659" s="249">
        <v>2.2712802861215846E-2</v>
      </c>
      <c r="X2659" s="246">
        <v>2.2661414419484771E-2</v>
      </c>
    </row>
    <row r="2660" spans="20:24" x14ac:dyDescent="0.2">
      <c r="T2660" s="247" t="str">
        <f t="shared" si="46"/>
        <v>1w</v>
      </c>
      <c r="U2660" s="245">
        <f>_xll.qlCalendarAdvance(Calendar,U2659,T2660,"f",FALSE)</f>
        <v>57467</v>
      </c>
      <c r="V2660" s="248">
        <f>_xll.qlCalendarAdvance(Calendar,U2660,NDays&amp;"D")</f>
        <v>57469</v>
      </c>
      <c r="W2660" s="249">
        <v>2.2712795277436627E-2</v>
      </c>
      <c r="X2660" s="246">
        <v>2.2659528356365755E-2</v>
      </c>
    </row>
    <row r="2661" spans="20:24" x14ac:dyDescent="0.2">
      <c r="T2661" s="247" t="str">
        <f t="shared" si="46"/>
        <v>1w</v>
      </c>
      <c r="U2661" s="245">
        <f>_xll.qlCalendarAdvance(Calendar,U2660,T2661,"f",FALSE)</f>
        <v>57474</v>
      </c>
      <c r="V2661" s="248">
        <f>_xll.qlCalendarAdvance(Calendar,U2661,NDays&amp;"D")</f>
        <v>57476</v>
      </c>
      <c r="W2661" s="249">
        <v>2.2711035265264027E-2</v>
      </c>
      <c r="X2661" s="246">
        <v>2.2657660439504568E-2</v>
      </c>
    </row>
    <row r="2662" spans="20:24" x14ac:dyDescent="0.2">
      <c r="T2662" s="247" t="str">
        <f t="shared" si="46"/>
        <v>1w</v>
      </c>
      <c r="U2662" s="245">
        <f>_xll.qlCalendarAdvance(Calendar,U2661,T2662,"f",FALSE)</f>
        <v>57481</v>
      </c>
      <c r="V2662" s="248">
        <f>_xll.qlCalendarAdvance(Calendar,U2662,NDays&amp;"D")</f>
        <v>57483</v>
      </c>
      <c r="W2662" s="249">
        <v>2.2709293504241806E-2</v>
      </c>
      <c r="X2662" s="246">
        <v>2.2655810668821275E-2</v>
      </c>
    </row>
    <row r="2663" spans="20:24" x14ac:dyDescent="0.2">
      <c r="T2663" s="247" t="str">
        <f t="shared" si="46"/>
        <v>1w</v>
      </c>
      <c r="U2663" s="245">
        <f>_xll.qlCalendarAdvance(Calendar,U2662,T2663,"f",FALSE)</f>
        <v>57488</v>
      </c>
      <c r="V2663" s="248">
        <f>_xll.qlCalendarAdvance(Calendar,U2663,NDays&amp;"D")</f>
        <v>57490</v>
      </c>
      <c r="W2663" s="249">
        <v>2.2707569994348708E-2</v>
      </c>
      <c r="X2663" s="246">
        <v>2.2653979044395811E-2</v>
      </c>
    </row>
    <row r="2664" spans="20:24" x14ac:dyDescent="0.2">
      <c r="T2664" s="247" t="str">
        <f t="shared" si="46"/>
        <v>1w</v>
      </c>
      <c r="U2664" s="245">
        <f>_xll.qlCalendarAdvance(Calendar,U2663,T2664,"f",FALSE)</f>
        <v>57495</v>
      </c>
      <c r="V2664" s="248">
        <f>_xll.qlCalendarAdvance(Calendar,U2664,NDays&amp;"D")</f>
        <v>57497</v>
      </c>
      <c r="W2664" s="249">
        <v>2.2705864735558363E-2</v>
      </c>
      <c r="X2664" s="246">
        <v>2.2652165566174887E-2</v>
      </c>
    </row>
    <row r="2665" spans="20:24" x14ac:dyDescent="0.2">
      <c r="T2665" s="247" t="str">
        <f t="shared" si="46"/>
        <v>1w</v>
      </c>
      <c r="U2665" s="245">
        <f>_xll.qlCalendarAdvance(Calendar,U2664,T2665,"f",FALSE)</f>
        <v>57502</v>
      </c>
      <c r="V2665" s="248">
        <f>_xll.qlCalendarAdvance(Calendar,U2665,NDays&amp;"D")</f>
        <v>57504</v>
      </c>
      <c r="W2665" s="249">
        <v>2.2704177727848666E-2</v>
      </c>
      <c r="X2665" s="246">
        <v>2.2650370234211792E-2</v>
      </c>
    </row>
    <row r="2666" spans="20:24" x14ac:dyDescent="0.2">
      <c r="T2666" s="247" t="str">
        <f t="shared" si="46"/>
        <v>1w</v>
      </c>
      <c r="U2666" s="245">
        <f>_xll.qlCalendarAdvance(Calendar,U2665,T2666,"f",FALSE)</f>
        <v>57509</v>
      </c>
      <c r="V2666" s="248">
        <f>_xll.qlCalendarAdvance(Calendar,U2666,NDays&amp;"D")</f>
        <v>57511</v>
      </c>
      <c r="W2666" s="249">
        <v>2.2702508971192401E-2</v>
      </c>
      <c r="X2666" s="246">
        <v>2.2648593048399945E-2</v>
      </c>
    </row>
    <row r="2667" spans="20:24" x14ac:dyDescent="0.2">
      <c r="T2667" s="247" t="str">
        <f t="shared" si="46"/>
        <v>1w</v>
      </c>
      <c r="U2667" s="245">
        <f>_xll.qlCalendarAdvance(Calendar,U2666,T2667,"f",FALSE)</f>
        <v>57516</v>
      </c>
      <c r="V2667" s="248">
        <f>_xll.qlCalendarAdvance(Calendar,U2667,NDays&amp;"D")</f>
        <v>57518</v>
      </c>
      <c r="W2667" s="249">
        <v>2.2700858465568314E-2</v>
      </c>
      <c r="X2667" s="246">
        <v>2.2646834008872574E-2</v>
      </c>
    </row>
    <row r="2668" spans="20:24" x14ac:dyDescent="0.2">
      <c r="T2668" s="247" t="str">
        <f t="shared" si="46"/>
        <v>1w</v>
      </c>
      <c r="U2668" s="245">
        <f>_xll.qlCalendarAdvance(Calendar,U2667,T2668,"f",FALSE)</f>
        <v>57523</v>
      </c>
      <c r="V2668" s="248">
        <f>_xll.qlCalendarAdvance(Calendar,U2668,NDays&amp;"D")</f>
        <v>57525</v>
      </c>
      <c r="W2668" s="249">
        <v>2.2697423234799487E-2</v>
      </c>
      <c r="X2668" s="246">
        <v>2.2645093115549741E-2</v>
      </c>
    </row>
    <row r="2669" spans="20:24" x14ac:dyDescent="0.2">
      <c r="T2669" s="247" t="str">
        <f t="shared" si="46"/>
        <v>1w</v>
      </c>
      <c r="U2669" s="245">
        <f>_xll.qlCalendarAdvance(Calendar,U2668,T2669,"f",FALSE)</f>
        <v>57530</v>
      </c>
      <c r="V2669" s="248">
        <f>_xll.qlCalendarAdvance(Calendar,U2669,NDays&amp;"D")</f>
        <v>57532</v>
      </c>
      <c r="W2669" s="249">
        <v>2.2697612207322269E-2</v>
      </c>
      <c r="X2669" s="246">
        <v>2.2643370368404803E-2</v>
      </c>
    </row>
    <row r="2670" spans="20:24" x14ac:dyDescent="0.2">
      <c r="T2670" s="247" t="str">
        <f t="shared" si="46"/>
        <v>1w</v>
      </c>
      <c r="U2670" s="245">
        <f>_xll.qlCalendarAdvance(Calendar,U2669,T2670,"f",FALSE)</f>
        <v>57537</v>
      </c>
      <c r="V2670" s="248">
        <f>_xll.qlCalendarAdvance(Calendar,U2670,NDays&amp;"D")</f>
        <v>57539</v>
      </c>
      <c r="W2670" s="249">
        <v>2.269601645465354E-2</v>
      </c>
      <c r="X2670" s="246">
        <v>2.2641665767544339E-2</v>
      </c>
    </row>
    <row r="2671" spans="20:24" x14ac:dyDescent="0.2">
      <c r="T2671" s="247" t="str">
        <f t="shared" si="46"/>
        <v>1w</v>
      </c>
      <c r="U2671" s="245">
        <f>_xll.qlCalendarAdvance(Calendar,U2670,T2671,"f",FALSE)</f>
        <v>57544</v>
      </c>
      <c r="V2671" s="248">
        <f>_xll.qlCalendarAdvance(Calendar,U2671,NDays&amp;"D")</f>
        <v>57546</v>
      </c>
      <c r="W2671" s="249">
        <v>2.2694438952921746E-2</v>
      </c>
      <c r="X2671" s="246">
        <v>2.2639979312808478E-2</v>
      </c>
    </row>
    <row r="2672" spans="20:24" x14ac:dyDescent="0.2">
      <c r="T2672" s="247" t="str">
        <f t="shared" si="46"/>
        <v>1w</v>
      </c>
      <c r="U2672" s="245">
        <f>_xll.qlCalendarAdvance(Calendar,U2671,T2672,"f",FALSE)</f>
        <v>57551</v>
      </c>
      <c r="V2672" s="248">
        <f>_xll.qlCalendarAdvance(Calendar,U2672,NDays&amp;"D")</f>
        <v>57553</v>
      </c>
      <c r="W2672" s="249">
        <v>2.2692879702109876E-2</v>
      </c>
      <c r="X2672" s="246">
        <v>2.2638311004357092E-2</v>
      </c>
    </row>
    <row r="2673" spans="20:24" x14ac:dyDescent="0.2">
      <c r="T2673" s="247" t="str">
        <f t="shared" si="46"/>
        <v>1w</v>
      </c>
      <c r="U2673" s="245">
        <f>_xll.qlCalendarAdvance(Calendar,U2672,T2673,"f",FALSE)</f>
        <v>57558</v>
      </c>
      <c r="V2673" s="248">
        <f>_xll.qlCalendarAdvance(Calendar,U2673,NDays&amp;"D")</f>
        <v>57560</v>
      </c>
      <c r="W2673" s="249">
        <v>2.2691338702189867E-2</v>
      </c>
      <c r="X2673" s="246">
        <v>2.2636660842056955E-2</v>
      </c>
    </row>
    <row r="2674" spans="20:24" x14ac:dyDescent="0.2">
      <c r="T2674" s="247" t="str">
        <f t="shared" si="46"/>
        <v>1w</v>
      </c>
      <c r="U2674" s="245">
        <f>_xll.qlCalendarAdvance(Calendar,U2673,T2674,"f",FALSE)</f>
        <v>57565</v>
      </c>
      <c r="V2674" s="248">
        <f>_xll.qlCalendarAdvance(Calendar,U2674,NDays&amp;"D")</f>
        <v>57567</v>
      </c>
      <c r="W2674" s="249">
        <v>2.2689815953144711E-2</v>
      </c>
      <c r="X2674" s="246">
        <v>2.2635028826041292E-2</v>
      </c>
    </row>
    <row r="2675" spans="20:24" x14ac:dyDescent="0.2">
      <c r="T2675" s="247" t="str">
        <f t="shared" si="46"/>
        <v>1w</v>
      </c>
      <c r="U2675" s="245">
        <f>_xll.qlCalendarAdvance(Calendar,U2674,T2675,"f",FALSE)</f>
        <v>57572</v>
      </c>
      <c r="V2675" s="248">
        <f>_xll.qlCalendarAdvance(Calendar,U2675,NDays&amp;"D")</f>
        <v>57574</v>
      </c>
      <c r="W2675" s="249">
        <v>2.2688311454951447E-2</v>
      </c>
      <c r="X2675" s="246">
        <v>2.2633414956230169E-2</v>
      </c>
    </row>
    <row r="2676" spans="20:24" x14ac:dyDescent="0.2">
      <c r="T2676" s="247" t="str">
        <f t="shared" si="46"/>
        <v>1w</v>
      </c>
      <c r="U2676" s="245">
        <f>_xll.qlCalendarAdvance(Calendar,U2675,T2676,"f",FALSE)</f>
        <v>57579</v>
      </c>
      <c r="V2676" s="248">
        <f>_xll.qlCalendarAdvance(Calendar,U2676,NDays&amp;"D")</f>
        <v>57581</v>
      </c>
      <c r="W2676" s="249">
        <v>2.2686825207585418E-2</v>
      </c>
      <c r="X2676" s="246">
        <v>2.2631819232596939E-2</v>
      </c>
    </row>
    <row r="2677" spans="20:24" x14ac:dyDescent="0.2">
      <c r="T2677" s="247" t="str">
        <f t="shared" si="46"/>
        <v>1w</v>
      </c>
      <c r="U2677" s="245">
        <f>_xll.qlCalendarAdvance(Calendar,U2676,T2677,"f",FALSE)</f>
        <v>57586</v>
      </c>
      <c r="V2677" s="248">
        <f>_xll.qlCalendarAdvance(Calendar,U2677,NDays&amp;"D")</f>
        <v>57588</v>
      </c>
      <c r="W2677" s="249">
        <v>2.2683521658114967E-2</v>
      </c>
      <c r="X2677" s="246">
        <v>2.2630241655168248E-2</v>
      </c>
    </row>
    <row r="2678" spans="20:24" x14ac:dyDescent="0.2">
      <c r="T2678" s="247" t="str">
        <f t="shared" si="46"/>
        <v>1w</v>
      </c>
      <c r="U2678" s="245">
        <f>_xll.qlCalendarAdvance(Calendar,U2677,T2678,"f",FALSE)</f>
        <v>57593</v>
      </c>
      <c r="V2678" s="248">
        <f>_xll.qlCalendarAdvance(Calendar,U2678,NDays&amp;"D")</f>
        <v>57595</v>
      </c>
      <c r="W2678" s="249">
        <v>2.268206827543395E-2</v>
      </c>
      <c r="X2678" s="246">
        <v>2.2628682223997387E-2</v>
      </c>
    </row>
    <row r="2679" spans="20:24" x14ac:dyDescent="0.2">
      <c r="T2679" s="247" t="str">
        <f t="shared" si="46"/>
        <v>1w</v>
      </c>
      <c r="U2679" s="245">
        <f>_xll.qlCalendarAdvance(Calendar,U2678,T2679,"f",FALSE)</f>
        <v>57600</v>
      </c>
      <c r="V2679" s="248">
        <f>_xll.qlCalendarAdvance(Calendar,U2679,NDays&amp;"D")</f>
        <v>57602</v>
      </c>
      <c r="W2679" s="249">
        <v>2.2680633140066044E-2</v>
      </c>
      <c r="X2679" s="246">
        <v>2.262714093900442E-2</v>
      </c>
    </row>
    <row r="2680" spans="20:24" x14ac:dyDescent="0.2">
      <c r="T2680" s="247" t="str">
        <f t="shared" si="46"/>
        <v>1w</v>
      </c>
      <c r="U2680" s="245">
        <f>_xll.qlCalendarAdvance(Calendar,U2679,T2680,"f",FALSE)</f>
        <v>57607</v>
      </c>
      <c r="V2680" s="248">
        <f>_xll.qlCalendarAdvance(Calendar,U2680,NDays&amp;"D")</f>
        <v>57609</v>
      </c>
      <c r="W2680" s="249">
        <v>2.26792162519928E-2</v>
      </c>
      <c r="X2680" s="246">
        <v>2.2625617800189346E-2</v>
      </c>
    </row>
    <row r="2681" spans="20:24" x14ac:dyDescent="0.2">
      <c r="T2681" s="247" t="str">
        <f t="shared" si="46"/>
        <v>1w</v>
      </c>
      <c r="U2681" s="245">
        <f>_xll.qlCalendarAdvance(Calendar,U2680,T2681,"f",FALSE)</f>
        <v>57614</v>
      </c>
      <c r="V2681" s="248">
        <f>_xll.qlCalendarAdvance(Calendar,U2681,NDays&amp;"D")</f>
        <v>57616</v>
      </c>
      <c r="W2681" s="249">
        <v>2.2679667732476649E-2</v>
      </c>
      <c r="X2681" s="246">
        <v>2.2624112807632102E-2</v>
      </c>
    </row>
    <row r="2682" spans="20:24" x14ac:dyDescent="0.2">
      <c r="T2682" s="247" t="str">
        <f t="shared" si="46"/>
        <v>1w</v>
      </c>
      <c r="U2682" s="245">
        <f>_xll.qlCalendarAdvance(Calendar,U2681,T2682,"f",FALSE)</f>
        <v>57621</v>
      </c>
      <c r="V2682" s="248">
        <f>_xll.qlCalendarAdvance(Calendar,U2682,NDays&amp;"D")</f>
        <v>57623</v>
      </c>
      <c r="W2682" s="249">
        <v>2.2678290989655629E-2</v>
      </c>
      <c r="X2682" s="246">
        <v>2.2622625961306042E-2</v>
      </c>
    </row>
    <row r="2683" spans="20:24" x14ac:dyDescent="0.2">
      <c r="T2683" s="247" t="str">
        <f t="shared" si="46"/>
        <v>1w</v>
      </c>
      <c r="U2683" s="245">
        <f>_xll.qlCalendarAdvance(Calendar,U2682,T2683,"f",FALSE)</f>
        <v>57628</v>
      </c>
      <c r="V2683" s="248">
        <f>_xll.qlCalendarAdvance(Calendar,U2683,NDays&amp;"D")</f>
        <v>57630</v>
      </c>
      <c r="W2683" s="249">
        <v>2.2676932497522374E-2</v>
      </c>
      <c r="X2683" s="246">
        <v>2.2621157261131231E-2</v>
      </c>
    </row>
    <row r="2684" spans="20:24" x14ac:dyDescent="0.2">
      <c r="T2684" s="247" t="str">
        <f t="shared" si="46"/>
        <v>1w</v>
      </c>
      <c r="U2684" s="245">
        <f>_xll.qlCalendarAdvance(Calendar,U2683,T2684,"f",FALSE)</f>
        <v>57635</v>
      </c>
      <c r="V2684" s="248">
        <f>_xll.qlCalendarAdvance(Calendar,U2684,NDays&amp;"D")</f>
        <v>57637</v>
      </c>
      <c r="W2684" s="249">
        <v>2.2675592256054779E-2</v>
      </c>
      <c r="X2684" s="246">
        <v>2.2619706707134313E-2</v>
      </c>
    </row>
    <row r="2685" spans="20:24" x14ac:dyDescent="0.2">
      <c r="T2685" s="247" t="str">
        <f t="shared" si="46"/>
        <v>1w</v>
      </c>
      <c r="U2685" s="245">
        <f>_xll.qlCalendarAdvance(Calendar,U2684,T2685,"f",FALSE)</f>
        <v>57642</v>
      </c>
      <c r="V2685" s="248">
        <f>_xll.qlCalendarAdvance(Calendar,U2685,NDays&amp;"D")</f>
        <v>57644</v>
      </c>
      <c r="W2685" s="249">
        <v>2.267427026523754E-2</v>
      </c>
      <c r="X2685" s="246">
        <v>2.261827429942187E-2</v>
      </c>
    </row>
    <row r="2686" spans="20:24" x14ac:dyDescent="0.2">
      <c r="T2686" s="247" t="str">
        <f t="shared" si="46"/>
        <v>1w</v>
      </c>
      <c r="U2686" s="245">
        <f>_xll.qlCalendarAdvance(Calendar,U2685,T2686,"f",FALSE)</f>
        <v>57649</v>
      </c>
      <c r="V2686" s="248">
        <f>_xll.qlCalendarAdvance(Calendar,U2686,NDays&amp;"D")</f>
        <v>57651</v>
      </c>
      <c r="W2686" s="249">
        <v>2.2672966525051092E-2</v>
      </c>
      <c r="X2686" s="246">
        <v>2.2616860037860675E-2</v>
      </c>
    </row>
    <row r="2687" spans="20:24" x14ac:dyDescent="0.2">
      <c r="T2687" s="247" t="str">
        <f t="shared" si="46"/>
        <v>1w</v>
      </c>
      <c r="U2687" s="245">
        <f>_xll.qlCalendarAdvance(Calendar,U2686,T2687,"f",FALSE)</f>
        <v>57656</v>
      </c>
      <c r="V2687" s="248">
        <f>_xll.qlCalendarAdvance(Calendar,U2687,NDays&amp;"D")</f>
        <v>57658</v>
      </c>
      <c r="W2687" s="249">
        <v>2.2671681035476728E-2</v>
      </c>
      <c r="X2687" s="246">
        <v>2.2615463922557311E-2</v>
      </c>
    </row>
    <row r="2688" spans="20:24" x14ac:dyDescent="0.2">
      <c r="T2688" s="247" t="str">
        <f t="shared" si="46"/>
        <v>1w</v>
      </c>
      <c r="U2688" s="245">
        <f>_xll.qlCalendarAdvance(Calendar,U2687,T2688,"f",FALSE)</f>
        <v>57663</v>
      </c>
      <c r="V2688" s="248">
        <f>_xll.qlCalendarAdvance(Calendar,U2688,NDays&amp;"D")</f>
        <v>57665</v>
      </c>
      <c r="W2688" s="249">
        <v>2.2670413796494045E-2</v>
      </c>
      <c r="X2688" s="246">
        <v>2.2614085953405194E-2</v>
      </c>
    </row>
    <row r="2689" spans="20:24" x14ac:dyDescent="0.2">
      <c r="T2689" s="247" t="str">
        <f t="shared" si="46"/>
        <v>1w</v>
      </c>
      <c r="U2689" s="245">
        <f>_xll.qlCalendarAdvance(Calendar,U2688,T2689,"f",FALSE)</f>
        <v>57670</v>
      </c>
      <c r="V2689" s="248">
        <f>_xll.qlCalendarAdvance(Calendar,U2689,NDays&amp;"D")</f>
        <v>57672</v>
      </c>
      <c r="W2689" s="249">
        <v>2.2669164808087727E-2</v>
      </c>
      <c r="X2689" s="246">
        <v>2.2612726130457617E-2</v>
      </c>
    </row>
    <row r="2690" spans="20:24" x14ac:dyDescent="0.2">
      <c r="T2690" s="247" t="str">
        <f t="shared" si="46"/>
        <v>1w</v>
      </c>
      <c r="U2690" s="245">
        <f>_xll.qlCalendarAdvance(Calendar,U2689,T2690,"f",FALSE)</f>
        <v>57677</v>
      </c>
      <c r="V2690" s="248">
        <f>_xll.qlCalendarAdvance(Calendar,U2690,NDays&amp;"D")</f>
        <v>57679</v>
      </c>
      <c r="W2690" s="249">
        <v>2.2665423554346198E-2</v>
      </c>
      <c r="X2690" s="246">
        <v>2.2611384453767869E-2</v>
      </c>
    </row>
    <row r="2691" spans="20:24" x14ac:dyDescent="0.2">
      <c r="T2691" s="247" t="str">
        <f t="shared" si="46"/>
        <v>1w</v>
      </c>
      <c r="U2691" s="245">
        <f>_xll.qlCalendarAdvance(Calendar,U2690,T2691,"f",FALSE)</f>
        <v>57684</v>
      </c>
      <c r="V2691" s="248">
        <f>_xll.qlCalendarAdvance(Calendar,U2691,NDays&amp;"D")</f>
        <v>57686</v>
      </c>
      <c r="W2691" s="249">
        <v>2.2664206158354183E-2</v>
      </c>
      <c r="X2691" s="246">
        <v>2.2610060923229369E-2</v>
      </c>
    </row>
    <row r="2692" spans="20:24" x14ac:dyDescent="0.2">
      <c r="T2692" s="247" t="str">
        <f t="shared" si="46"/>
        <v>1w</v>
      </c>
      <c r="U2692" s="245">
        <f>_xll.qlCalendarAdvance(Calendar,U2691,T2692,"f",FALSE)</f>
        <v>57691</v>
      </c>
      <c r="V2692" s="248">
        <f>_xll.qlCalendarAdvance(Calendar,U2692,NDays&amp;"D")</f>
        <v>57693</v>
      </c>
      <c r="W2692" s="249">
        <v>2.266300700829138E-2</v>
      </c>
      <c r="X2692" s="246">
        <v>2.2608755538895409E-2</v>
      </c>
    </row>
    <row r="2693" spans="20:24" x14ac:dyDescent="0.2">
      <c r="T2693" s="247" t="str">
        <f t="shared" si="46"/>
        <v>1w</v>
      </c>
      <c r="U2693" s="245">
        <f>_xll.qlCalendarAdvance(Calendar,U2692,T2693,"f",FALSE)</f>
        <v>57698</v>
      </c>
      <c r="V2693" s="248">
        <f>_xll.qlCalendarAdvance(Calendar,U2693,NDays&amp;"D")</f>
        <v>57700</v>
      </c>
      <c r="W2693" s="249">
        <v>2.2661826104141802E-2</v>
      </c>
      <c r="X2693" s="246">
        <v>2.2607468300792632E-2</v>
      </c>
    </row>
    <row r="2694" spans="20:24" x14ac:dyDescent="0.2">
      <c r="T2694" s="247" t="str">
        <f t="shared" si="46"/>
        <v>1w</v>
      </c>
      <c r="U2694" s="245">
        <f>_xll.qlCalendarAdvance(Calendar,U2693,T2694,"f",FALSE)</f>
        <v>57706</v>
      </c>
      <c r="V2694" s="248">
        <f>_xll.qlCalendarAdvance(Calendar,U2694,NDays&amp;"D")</f>
        <v>57710</v>
      </c>
      <c r="W2694" s="249">
        <v>2.2658905468733677E-2</v>
      </c>
      <c r="X2694" s="246">
        <v>2.2605040591732184E-2</v>
      </c>
    </row>
    <row r="2695" spans="20:24" x14ac:dyDescent="0.2">
      <c r="T2695" s="247" t="str">
        <f t="shared" si="46"/>
        <v>1w</v>
      </c>
      <c r="U2695" s="245">
        <f>_xll.qlCalendarAdvance(Calendar,U2694,T2695,"f",FALSE)</f>
        <v>57713</v>
      </c>
      <c r="V2695" s="248">
        <f>_xll.qlCalendarAdvance(Calendar,U2695,NDays&amp;"D")</f>
        <v>57717</v>
      </c>
      <c r="W2695" s="249">
        <v>2.2659668244804462E-2</v>
      </c>
      <c r="X2695" s="246">
        <v>2.2603174853408348E-2</v>
      </c>
    </row>
    <row r="2696" spans="20:24" x14ac:dyDescent="0.2">
      <c r="T2696" s="247" t="str">
        <f t="shared" si="46"/>
        <v>1w</v>
      </c>
      <c r="U2696" s="245">
        <f>_xll.qlCalendarAdvance(Calendar,U2695,T2696,"f",FALSE)</f>
        <v>57720</v>
      </c>
      <c r="V2696" s="248">
        <f>_xll.qlCalendarAdvance(Calendar,U2696,NDays&amp;"D")</f>
        <v>57724</v>
      </c>
      <c r="W2696" s="249">
        <v>2.2659186596881275E-2</v>
      </c>
      <c r="X2696" s="246">
        <v>2.2601947392635324E-2</v>
      </c>
    </row>
    <row r="2697" spans="20:24" x14ac:dyDescent="0.2">
      <c r="T2697" s="247" t="str">
        <f t="shared" si="46"/>
        <v>1w</v>
      </c>
      <c r="U2697" s="245">
        <f>_xll.qlCalendarAdvance(Calendar,U2696,T2697,"f",FALSE)</f>
        <v>57727</v>
      </c>
      <c r="V2697" s="248">
        <f>_xll.qlCalendarAdvance(Calendar,U2697,NDays&amp;"D")</f>
        <v>57731</v>
      </c>
      <c r="W2697" s="249">
        <v>2.2657452264414509E-2</v>
      </c>
      <c r="X2697" s="246">
        <v>2.2600738075908566E-2</v>
      </c>
    </row>
    <row r="2698" spans="20:24" x14ac:dyDescent="0.2">
      <c r="T2698" s="247" t="str">
        <f t="shared" si="46"/>
        <v>1w</v>
      </c>
      <c r="U2698" s="245">
        <f>_xll.qlCalendarAdvance(Calendar,U2697,T2698,"f",FALSE)</f>
        <v>57734</v>
      </c>
      <c r="V2698" s="248">
        <f>_xll.qlCalendarAdvance(Calendar,U2698,NDays&amp;"D")</f>
        <v>57738</v>
      </c>
      <c r="W2698" s="249">
        <v>2.2656371644691572E-2</v>
      </c>
      <c r="X2698" s="246">
        <v>2.259954690290833E-2</v>
      </c>
    </row>
    <row r="2699" spans="20:24" x14ac:dyDescent="0.2">
      <c r="T2699" s="247" t="str">
        <f t="shared" si="46"/>
        <v>1w</v>
      </c>
      <c r="U2699" s="245">
        <f>_xll.qlCalendarAdvance(Calendar,U2698,T2699,"f",FALSE)</f>
        <v>57741</v>
      </c>
      <c r="V2699" s="248">
        <f>_xll.qlCalendarAdvance(Calendar,U2699,NDays&amp;"D")</f>
        <v>57745</v>
      </c>
      <c r="W2699" s="249">
        <v>2.2655309271927746E-2</v>
      </c>
      <c r="X2699" s="246">
        <v>2.2598373873874422E-2</v>
      </c>
    </row>
    <row r="2700" spans="20:24" x14ac:dyDescent="0.2">
      <c r="T2700" s="247" t="str">
        <f t="shared" si="46"/>
        <v>1w</v>
      </c>
      <c r="U2700" s="245">
        <f>_xll.qlCalendarAdvance(Calendar,U2699,T2700,"f",FALSE)</f>
        <v>57748</v>
      </c>
      <c r="V2700" s="248">
        <f>_xll.qlCalendarAdvance(Calendar,U2700,NDays&amp;"D")</f>
        <v>57752</v>
      </c>
      <c r="W2700" s="249">
        <v>2.2654265146111609E-2</v>
      </c>
      <c r="X2700" s="246">
        <v>2.2597218988726908E-2</v>
      </c>
    </row>
    <row r="2701" spans="20:24" x14ac:dyDescent="0.2">
      <c r="T2701" s="247" t="str">
        <f t="shared" si="46"/>
        <v>1w</v>
      </c>
      <c r="U2701" s="245">
        <f>_xll.qlCalendarAdvance(Calendar,U2700,T2701,"f",FALSE)</f>
        <v>57755</v>
      </c>
      <c r="V2701" s="248">
        <f>_xll.qlCalendarAdvance(Calendar,U2701,NDays&amp;"D")</f>
        <v>57759</v>
      </c>
      <c r="W2701" s="249">
        <v>2.2653239267228228E-2</v>
      </c>
      <c r="X2701" s="246">
        <v>2.2596082247545723E-2</v>
      </c>
    </row>
    <row r="2702" spans="20:24" x14ac:dyDescent="0.2">
      <c r="T2702" s="247" t="str">
        <f t="shared" si="46"/>
        <v>1w</v>
      </c>
      <c r="U2702" s="245">
        <f>_xll.qlCalendarAdvance(Calendar,U2701,T2702,"f",FALSE)</f>
        <v>57762</v>
      </c>
      <c r="V2702" s="248">
        <f>_xll.qlCalendarAdvance(Calendar,U2702,NDays&amp;"D")</f>
        <v>57766</v>
      </c>
      <c r="W2702" s="249">
        <v>2.2652231635261793E-2</v>
      </c>
      <c r="X2702" s="246">
        <v>2.2594963650330868E-2</v>
      </c>
    </row>
    <row r="2703" spans="20:24" x14ac:dyDescent="0.2">
      <c r="T2703" s="247" t="str">
        <f t="shared" si="46"/>
        <v>1w</v>
      </c>
      <c r="U2703" s="245">
        <f>_xll.qlCalendarAdvance(Calendar,U2702,T2703,"f",FALSE)</f>
        <v>57769</v>
      </c>
      <c r="V2703" s="248">
        <f>_xll.qlCalendarAdvance(Calendar,U2703,NDays&amp;"D")</f>
        <v>57773</v>
      </c>
      <c r="W2703" s="249">
        <v>2.2651886381353539E-2</v>
      </c>
      <c r="X2703" s="246">
        <v>2.259386319692247E-2</v>
      </c>
    </row>
    <row r="2704" spans="20:24" x14ac:dyDescent="0.2">
      <c r="T2704" s="247" t="str">
        <f t="shared" si="46"/>
        <v>1w</v>
      </c>
      <c r="U2704" s="245">
        <f>_xll.qlCalendarAdvance(Calendar,U2703,T2704,"f",FALSE)</f>
        <v>57776</v>
      </c>
      <c r="V2704" s="248">
        <f>_xll.qlCalendarAdvance(Calendar,U2704,NDays&amp;"D")</f>
        <v>57780</v>
      </c>
      <c r="W2704" s="249">
        <v>2.2650916485681939E-2</v>
      </c>
      <c r="X2704" s="246">
        <v>2.2592780887480401E-2</v>
      </c>
    </row>
    <row r="2705" spans="20:24" x14ac:dyDescent="0.2">
      <c r="T2705" s="247" t="str">
        <f t="shared" si="46"/>
        <v>1w</v>
      </c>
      <c r="U2705" s="245">
        <f>_xll.qlCalendarAdvance(Calendar,U2704,T2705,"f",FALSE)</f>
        <v>57783</v>
      </c>
      <c r="V2705" s="248">
        <f>_xll.qlCalendarAdvance(Calendar,U2705,NDays&amp;"D")</f>
        <v>57787</v>
      </c>
      <c r="W2705" s="249">
        <v>2.2649964838033429E-2</v>
      </c>
      <c r="X2705" s="246">
        <v>2.259171672184479E-2</v>
      </c>
    </row>
    <row r="2706" spans="20:24" x14ac:dyDescent="0.2">
      <c r="T2706" s="247" t="str">
        <f t="shared" ref="T2706:T2769" si="47">T2705</f>
        <v>1w</v>
      </c>
      <c r="U2706" s="245">
        <f>_xll.qlCalendarAdvance(Calendar,U2705,T2706,"f",FALSE)</f>
        <v>57790</v>
      </c>
      <c r="V2706" s="248">
        <f>_xll.qlCalendarAdvance(Calendar,U2706,NDays&amp;"D")</f>
        <v>57794</v>
      </c>
      <c r="W2706" s="249">
        <v>2.2649031438396715E-2</v>
      </c>
      <c r="X2706" s="246">
        <v>2.2590670700175508E-2</v>
      </c>
    </row>
    <row r="2707" spans="20:24" x14ac:dyDescent="0.2">
      <c r="T2707" s="247" t="str">
        <f t="shared" si="47"/>
        <v>1w</v>
      </c>
      <c r="U2707" s="245">
        <f>_xll.qlCalendarAdvance(Calendar,U2706,T2707,"f",FALSE)</f>
        <v>57797</v>
      </c>
      <c r="V2707" s="248">
        <f>_xll.qlCalendarAdvance(Calendar,U2707,NDays&amp;"D")</f>
        <v>57801</v>
      </c>
      <c r="W2707" s="249">
        <v>2.2647467178724363E-2</v>
      </c>
      <c r="X2707" s="246">
        <v>2.2589642822392619E-2</v>
      </c>
    </row>
    <row r="2708" spans="20:24" x14ac:dyDescent="0.2">
      <c r="T2708" s="247" t="str">
        <f t="shared" si="47"/>
        <v>1w</v>
      </c>
      <c r="U2708" s="245">
        <f>_xll.qlCalendarAdvance(Calendar,U2707,T2708,"f",FALSE)</f>
        <v>57804</v>
      </c>
      <c r="V2708" s="248">
        <f>_xll.qlCalendarAdvance(Calendar,U2708,NDays&amp;"D")</f>
        <v>57808</v>
      </c>
      <c r="W2708" s="249">
        <v>2.2646569027986403E-2</v>
      </c>
      <c r="X2708" s="246">
        <v>2.2588633088735932E-2</v>
      </c>
    </row>
    <row r="2709" spans="20:24" x14ac:dyDescent="0.2">
      <c r="T2709" s="247" t="str">
        <f t="shared" si="47"/>
        <v>1w</v>
      </c>
      <c r="U2709" s="245">
        <f>_xll.qlCalendarAdvance(Calendar,U2708,T2709,"f",FALSE)</f>
        <v>57811</v>
      </c>
      <c r="V2709" s="248">
        <f>_xll.qlCalendarAdvance(Calendar,U2709,NDays&amp;"D")</f>
        <v>57817</v>
      </c>
      <c r="W2709" s="249">
        <v>2.2645441074407954E-2</v>
      </c>
      <c r="X2709" s="246">
        <v>2.2587361519805782E-2</v>
      </c>
    </row>
    <row r="2710" spans="20:24" x14ac:dyDescent="0.2">
      <c r="T2710" s="247" t="str">
        <f t="shared" si="47"/>
        <v>1w</v>
      </c>
      <c r="U2710" s="245">
        <f>_xll.qlCalendarAdvance(Calendar,U2709,T2710,"f",FALSE)</f>
        <v>57818</v>
      </c>
      <c r="V2710" s="248">
        <f>_xll.qlCalendarAdvance(Calendar,U2710,NDays&amp;"D")</f>
        <v>57822</v>
      </c>
      <c r="W2710" s="249">
        <v>2.2644827466970566E-2</v>
      </c>
      <c r="X2710" s="246">
        <v>2.2586668052602121E-2</v>
      </c>
    </row>
    <row r="2711" spans="20:24" x14ac:dyDescent="0.2">
      <c r="T2711" s="247" t="str">
        <f t="shared" si="47"/>
        <v>1w</v>
      </c>
      <c r="U2711" s="245">
        <f>_xll.qlCalendarAdvance(Calendar,U2710,T2711,"f",FALSE)</f>
        <v>57825</v>
      </c>
      <c r="V2711" s="248">
        <f>_xll.qlCalendarAdvance(Calendar,U2711,NDays&amp;"D")</f>
        <v>57829</v>
      </c>
      <c r="W2711" s="249">
        <v>2.2643984056673359E-2</v>
      </c>
      <c r="X2711" s="246">
        <v>2.2585712750604614E-2</v>
      </c>
    </row>
    <row r="2712" spans="20:24" x14ac:dyDescent="0.2">
      <c r="T2712" s="247" t="str">
        <f t="shared" si="47"/>
        <v>1w</v>
      </c>
      <c r="U2712" s="245">
        <f>_xll.qlCalendarAdvance(Calendar,U2711,T2712,"f",FALSE)</f>
        <v>57832</v>
      </c>
      <c r="V2712" s="248">
        <f>_xll.qlCalendarAdvance(Calendar,U2712,NDays&amp;"D")</f>
        <v>57836</v>
      </c>
      <c r="W2712" s="249">
        <v>2.2643814248077824E-2</v>
      </c>
      <c r="X2712" s="246">
        <v>2.25847755924935E-2</v>
      </c>
    </row>
    <row r="2713" spans="20:24" x14ac:dyDescent="0.2">
      <c r="T2713" s="247" t="str">
        <f t="shared" si="47"/>
        <v>1w</v>
      </c>
      <c r="U2713" s="245">
        <f>_xll.qlCalendarAdvance(Calendar,U2712,T2713,"f",FALSE)</f>
        <v>57839</v>
      </c>
      <c r="V2713" s="248">
        <f>_xll.qlCalendarAdvance(Calendar,U2713,NDays&amp;"D")</f>
        <v>57843</v>
      </c>
      <c r="W2713" s="249">
        <v>2.2643008584163977E-2</v>
      </c>
      <c r="X2713" s="246">
        <v>2.2583856578028971E-2</v>
      </c>
    </row>
    <row r="2714" spans="20:24" x14ac:dyDescent="0.2">
      <c r="T2714" s="247" t="str">
        <f t="shared" si="47"/>
        <v>1w</v>
      </c>
      <c r="U2714" s="245">
        <f>_xll.qlCalendarAdvance(Calendar,U2713,T2714,"f",FALSE)</f>
        <v>57846</v>
      </c>
      <c r="V2714" s="248">
        <f>_xll.qlCalendarAdvance(Calendar,U2714,NDays&amp;"D")</f>
        <v>57850</v>
      </c>
      <c r="W2714" s="249">
        <v>2.264222116816288E-2</v>
      </c>
      <c r="X2714" s="246">
        <v>2.2582955707690644E-2</v>
      </c>
    </row>
    <row r="2715" spans="20:24" x14ac:dyDescent="0.2">
      <c r="T2715" s="247" t="str">
        <f t="shared" si="47"/>
        <v>1w</v>
      </c>
      <c r="U2715" s="245">
        <f>_xll.qlCalendarAdvance(Calendar,U2714,T2715,"f",FALSE)</f>
        <v>57853</v>
      </c>
      <c r="V2715" s="248">
        <f>_xll.qlCalendarAdvance(Calendar,U2715,NDays&amp;"D")</f>
        <v>57857</v>
      </c>
      <c r="W2715" s="249">
        <v>2.2641452000064972E-2</v>
      </c>
      <c r="X2715" s="246">
        <v>2.2582072981318646E-2</v>
      </c>
    </row>
    <row r="2716" spans="20:24" x14ac:dyDescent="0.2">
      <c r="T2716" s="247" t="str">
        <f t="shared" si="47"/>
        <v>1w</v>
      </c>
      <c r="U2716" s="245">
        <f>_xll.qlCalendarAdvance(Calendar,U2715,T2716,"f",FALSE)</f>
        <v>57860</v>
      </c>
      <c r="V2716" s="248">
        <f>_xll.qlCalendarAdvance(Calendar,U2716,NDays&amp;"D")</f>
        <v>57864</v>
      </c>
      <c r="W2716" s="249">
        <v>2.2640701079858955E-2</v>
      </c>
      <c r="X2716" s="246">
        <v>2.2581208398673169E-2</v>
      </c>
    </row>
    <row r="2717" spans="20:24" x14ac:dyDescent="0.2">
      <c r="T2717" s="247" t="str">
        <f t="shared" si="47"/>
        <v>1w</v>
      </c>
      <c r="U2717" s="245">
        <f>_xll.qlCalendarAdvance(Calendar,U2716,T2717,"f",FALSE)</f>
        <v>57867</v>
      </c>
      <c r="V2717" s="248">
        <f>_xll.qlCalendarAdvance(Calendar,U2717,NDays&amp;"D")</f>
        <v>57871</v>
      </c>
      <c r="W2717" s="249">
        <v>2.2639968407533535E-2</v>
      </c>
      <c r="X2717" s="246">
        <v>2.2580361959994022E-2</v>
      </c>
    </row>
    <row r="2718" spans="20:24" x14ac:dyDescent="0.2">
      <c r="T2718" s="247" t="str">
        <f t="shared" si="47"/>
        <v>1w</v>
      </c>
      <c r="U2718" s="245">
        <f>_xll.qlCalendarAdvance(Calendar,U2717,T2718,"f",FALSE)</f>
        <v>57874</v>
      </c>
      <c r="V2718" s="248">
        <f>_xll.qlCalendarAdvance(Calendar,U2718,NDays&amp;"D")</f>
        <v>57878</v>
      </c>
      <c r="W2718" s="249">
        <v>2.2639253983080025E-2</v>
      </c>
      <c r="X2718" s="246">
        <v>2.2579533665281204E-2</v>
      </c>
    </row>
    <row r="2719" spans="20:24" x14ac:dyDescent="0.2">
      <c r="T2719" s="247" t="str">
        <f t="shared" si="47"/>
        <v>1w</v>
      </c>
      <c r="U2719" s="245">
        <f>_xll.qlCalendarAdvance(Calendar,U2718,T2719,"f",FALSE)</f>
        <v>57881</v>
      </c>
      <c r="V2719" s="248">
        <f>_xll.qlCalendarAdvance(Calendar,U2719,NDays&amp;"D")</f>
        <v>57885</v>
      </c>
      <c r="W2719" s="249">
        <v>2.2638557806488869E-2</v>
      </c>
      <c r="X2719" s="246">
        <v>2.2578723514534715E-2</v>
      </c>
    </row>
    <row r="2720" spans="20:24" x14ac:dyDescent="0.2">
      <c r="T2720" s="247" t="str">
        <f t="shared" si="47"/>
        <v>1w</v>
      </c>
      <c r="U2720" s="245">
        <f>_xll.qlCalendarAdvance(Calendar,U2719,T2720,"f",FALSE)</f>
        <v>57888</v>
      </c>
      <c r="V2720" s="248">
        <f>_xll.qlCalendarAdvance(Calendar,U2720,NDays&amp;"D")</f>
        <v>57892</v>
      </c>
      <c r="W2720" s="249">
        <v>2.2637879877747898E-2</v>
      </c>
      <c r="X2720" s="246">
        <v>2.2577931507514748E-2</v>
      </c>
    </row>
    <row r="2721" spans="20:24" x14ac:dyDescent="0.2">
      <c r="T2721" s="247" t="str">
        <f t="shared" si="47"/>
        <v>1w</v>
      </c>
      <c r="U2721" s="245">
        <f>_xll.qlCalendarAdvance(Calendar,U2720,T2721,"f",FALSE)</f>
        <v>57895</v>
      </c>
      <c r="V2721" s="248">
        <f>_xll.qlCalendarAdvance(Calendar,U2721,NDays&amp;"D")</f>
        <v>57899</v>
      </c>
      <c r="W2721" s="249">
        <v>2.2637220196849297E-2</v>
      </c>
      <c r="X2721" s="246">
        <v>2.257715764446111E-2</v>
      </c>
    </row>
    <row r="2722" spans="20:24" x14ac:dyDescent="0.2">
      <c r="T2722" s="247" t="str">
        <f t="shared" si="47"/>
        <v>1w</v>
      </c>
      <c r="U2722" s="245">
        <f>_xll.qlCalendarAdvance(Calendar,U2721,T2722,"f",FALSE)</f>
        <v>57902</v>
      </c>
      <c r="V2722" s="248">
        <f>_xll.qlCalendarAdvance(Calendar,U2722,NDays&amp;"D")</f>
        <v>57906</v>
      </c>
      <c r="W2722" s="249">
        <v>2.2636578763785241E-2</v>
      </c>
      <c r="X2722" s="246">
        <v>2.2576401925373801E-2</v>
      </c>
    </row>
    <row r="2723" spans="20:24" x14ac:dyDescent="0.2">
      <c r="T2723" s="247" t="str">
        <f t="shared" si="47"/>
        <v>1w</v>
      </c>
      <c r="U2723" s="245">
        <f>_xll.qlCalendarAdvance(Calendar,U2722,T2723,"f",FALSE)</f>
        <v>57909</v>
      </c>
      <c r="V2723" s="248">
        <f>_xll.qlCalendarAdvance(Calendar,U2723,NDays&amp;"D")</f>
        <v>57913</v>
      </c>
      <c r="W2723" s="249">
        <v>2.263595557854357E-2</v>
      </c>
      <c r="X2723" s="246">
        <v>2.2575664350252822E-2</v>
      </c>
    </row>
    <row r="2724" spans="20:24" x14ac:dyDescent="0.2">
      <c r="T2724" s="247" t="str">
        <f t="shared" si="47"/>
        <v>1w</v>
      </c>
      <c r="U2724" s="245">
        <f>_xll.qlCalendarAdvance(Calendar,U2723,T2724,"f",FALSE)</f>
        <v>57916</v>
      </c>
      <c r="V2724" s="248">
        <f>_xll.qlCalendarAdvance(Calendar,U2724,NDays&amp;"D")</f>
        <v>57920</v>
      </c>
      <c r="W2724" s="249">
        <v>2.263535064111907E-2</v>
      </c>
      <c r="X2724" s="246">
        <v>2.2574944918858364E-2</v>
      </c>
    </row>
    <row r="2725" spans="20:24" x14ac:dyDescent="0.2">
      <c r="T2725" s="247" t="str">
        <f t="shared" si="47"/>
        <v>1w</v>
      </c>
      <c r="U2725" s="245">
        <f>_xll.qlCalendarAdvance(Calendar,U2724,T2725,"f",FALSE)</f>
        <v>57923</v>
      </c>
      <c r="V2725" s="248">
        <f>_xll.qlCalendarAdvance(Calendar,U2725,NDays&amp;"D")</f>
        <v>57927</v>
      </c>
      <c r="W2725" s="249">
        <v>2.2634763951500443E-2</v>
      </c>
      <c r="X2725" s="246">
        <v>2.2574243631350299E-2</v>
      </c>
    </row>
    <row r="2726" spans="20:24" x14ac:dyDescent="0.2">
      <c r="T2726" s="247" t="str">
        <f t="shared" si="47"/>
        <v>1w</v>
      </c>
      <c r="U2726" s="245">
        <f>_xll.qlCalendarAdvance(Calendar,U2725,T2726,"f",FALSE)</f>
        <v>57930</v>
      </c>
      <c r="V2726" s="248">
        <f>_xll.qlCalendarAdvance(Calendar,U2726,NDays&amp;"D")</f>
        <v>57934</v>
      </c>
      <c r="W2726" s="249">
        <v>2.2634195509681609E-2</v>
      </c>
      <c r="X2726" s="246">
        <v>2.2573560488048372E-2</v>
      </c>
    </row>
    <row r="2727" spans="20:24" x14ac:dyDescent="0.2">
      <c r="T2727" s="247" t="str">
        <f t="shared" si="47"/>
        <v>1w</v>
      </c>
      <c r="U2727" s="245">
        <f>_xll.qlCalendarAdvance(Calendar,U2726,T2727,"f",FALSE)</f>
        <v>57937</v>
      </c>
      <c r="V2727" s="248">
        <f>_xll.qlCalendarAdvance(Calendar,U2727,NDays&amp;"D")</f>
        <v>57941</v>
      </c>
      <c r="W2727" s="249">
        <v>2.263364531565475E-2</v>
      </c>
      <c r="X2727" s="246">
        <v>2.2572895488552902E-2</v>
      </c>
    </row>
    <row r="2728" spans="20:24" x14ac:dyDescent="0.2">
      <c r="T2728" s="247" t="str">
        <f t="shared" si="47"/>
        <v>1w</v>
      </c>
      <c r="U2728" s="245">
        <f>_xll.qlCalendarAdvance(Calendar,U2727,T2728,"f",FALSE)</f>
        <v>57944</v>
      </c>
      <c r="V2728" s="248">
        <f>_xll.qlCalendarAdvance(Calendar,U2728,NDays&amp;"D")</f>
        <v>57948</v>
      </c>
      <c r="W2728" s="249">
        <v>2.2633113369408566E-2</v>
      </c>
      <c r="X2728" s="246">
        <v>2.2572248632783953E-2</v>
      </c>
    </row>
    <row r="2729" spans="20:24" x14ac:dyDescent="0.2">
      <c r="T2729" s="247" t="str">
        <f t="shared" si="47"/>
        <v>1w</v>
      </c>
      <c r="U2729" s="245">
        <f>_xll.qlCalendarAdvance(Calendar,U2728,T2729,"f",FALSE)</f>
        <v>57951</v>
      </c>
      <c r="V2729" s="248">
        <f>_xll.qlCalendarAdvance(Calendar,U2729,NDays&amp;"D")</f>
        <v>57955</v>
      </c>
      <c r="W2729" s="249">
        <v>2.2631922862497204E-2</v>
      </c>
      <c r="X2729" s="246">
        <v>2.257161992106127E-2</v>
      </c>
    </row>
    <row r="2730" spans="20:24" x14ac:dyDescent="0.2">
      <c r="T2730" s="247" t="str">
        <f t="shared" si="47"/>
        <v>1w</v>
      </c>
      <c r="U2730" s="245">
        <f>_xll.qlCalendarAdvance(Calendar,U2729,T2730,"f",FALSE)</f>
        <v>57958</v>
      </c>
      <c r="V2730" s="248">
        <f>_xll.qlCalendarAdvance(Calendar,U2730,NDays&amp;"D")</f>
        <v>57962</v>
      </c>
      <c r="W2730" s="249">
        <v>2.2631426139523243E-2</v>
      </c>
      <c r="X2730" s="246">
        <v>2.2571009353145044E-2</v>
      </c>
    </row>
    <row r="2731" spans="20:24" x14ac:dyDescent="0.2">
      <c r="T2731" s="247" t="str">
        <f t="shared" si="47"/>
        <v>1w</v>
      </c>
      <c r="U2731" s="245">
        <f>_xll.qlCalendarAdvance(Calendar,U2730,T2731,"f",FALSE)</f>
        <v>57965</v>
      </c>
      <c r="V2731" s="248">
        <f>_xll.qlCalendarAdvance(Calendar,U2731,NDays&amp;"D")</f>
        <v>57969</v>
      </c>
      <c r="W2731" s="249">
        <v>2.263094766316932E-2</v>
      </c>
      <c r="X2731" s="246">
        <v>2.2570416929275083E-2</v>
      </c>
    </row>
    <row r="2732" spans="20:24" x14ac:dyDescent="0.2">
      <c r="T2732" s="247" t="str">
        <f t="shared" si="47"/>
        <v>1w</v>
      </c>
      <c r="U2732" s="245">
        <f>_xll.qlCalendarAdvance(Calendar,U2731,T2732,"f",FALSE)</f>
        <v>57972</v>
      </c>
      <c r="V2732" s="248">
        <f>_xll.qlCalendarAdvance(Calendar,U2732,NDays&amp;"D")</f>
        <v>57976</v>
      </c>
      <c r="W2732" s="249">
        <v>2.2630487433424898E-2</v>
      </c>
      <c r="X2732" s="246">
        <v>2.2569842649131644E-2</v>
      </c>
    </row>
    <row r="2733" spans="20:24" x14ac:dyDescent="0.2">
      <c r="T2733" s="247" t="str">
        <f t="shared" si="47"/>
        <v>1w</v>
      </c>
      <c r="U2733" s="245">
        <f>_xll.qlCalendarAdvance(Calendar,U2732,T2733,"f",FALSE)</f>
        <v>57979</v>
      </c>
      <c r="V2733" s="248">
        <f>_xll.qlCalendarAdvance(Calendar,U2733,NDays&amp;"D")</f>
        <v>57983</v>
      </c>
      <c r="W2733" s="249">
        <v>2.263072735468364E-2</v>
      </c>
      <c r="X2733" s="246">
        <v>2.2569286512954534E-2</v>
      </c>
    </row>
    <row r="2734" spans="20:24" x14ac:dyDescent="0.2">
      <c r="T2734" s="247" t="str">
        <f t="shared" si="47"/>
        <v>1w</v>
      </c>
      <c r="U2734" s="245">
        <f>_xll.qlCalendarAdvance(Calendar,U2733,T2734,"f",FALSE)</f>
        <v>57986</v>
      </c>
      <c r="V2734" s="248">
        <f>_xll.qlCalendarAdvance(Calendar,U2734,NDays&amp;"D")</f>
        <v>57990</v>
      </c>
      <c r="W2734" s="249">
        <v>2.2630304894994669E-2</v>
      </c>
      <c r="X2734" s="246">
        <v>2.2568748520903625E-2</v>
      </c>
    </row>
    <row r="2735" spans="20:24" x14ac:dyDescent="0.2">
      <c r="T2735" s="247" t="str">
        <f t="shared" si="47"/>
        <v>1w</v>
      </c>
      <c r="U2735" s="245">
        <f>_xll.qlCalendarAdvance(Calendar,U2734,T2735,"f",FALSE)</f>
        <v>57993</v>
      </c>
      <c r="V2735" s="248">
        <f>_xll.qlCalendarAdvance(Calendar,U2735,NDays&amp;"D")</f>
        <v>57997</v>
      </c>
      <c r="W2735" s="249">
        <v>2.2629900683040327E-2</v>
      </c>
      <c r="X2735" s="246">
        <v>2.2568228672499302E-2</v>
      </c>
    </row>
    <row r="2736" spans="20:24" x14ac:dyDescent="0.2">
      <c r="T2736" s="247" t="str">
        <f t="shared" si="47"/>
        <v>1w</v>
      </c>
      <c r="U2736" s="245">
        <f>_xll.qlCalendarAdvance(Calendar,U2735,T2736,"f",FALSE)</f>
        <v>58000</v>
      </c>
      <c r="V2736" s="248">
        <f>_xll.qlCalendarAdvance(Calendar,U2736,NDays&amp;"D")</f>
        <v>58004</v>
      </c>
      <c r="W2736" s="249">
        <v>2.2629514718816267E-2</v>
      </c>
      <c r="X2736" s="246">
        <v>2.2567726968061308E-2</v>
      </c>
    </row>
    <row r="2737" spans="20:24" x14ac:dyDescent="0.2">
      <c r="T2737" s="247" t="str">
        <f t="shared" si="47"/>
        <v>1w</v>
      </c>
      <c r="U2737" s="245">
        <f>_xll.qlCalendarAdvance(Calendar,U2736,T2737,"f",FALSE)</f>
        <v>58007</v>
      </c>
      <c r="V2737" s="248">
        <f>_xll.qlCalendarAdvance(Calendar,U2737,NDays&amp;"D")</f>
        <v>58011</v>
      </c>
      <c r="W2737" s="249">
        <v>2.2629147002319886E-2</v>
      </c>
      <c r="X2737" s="246">
        <v>2.2567243407589643E-2</v>
      </c>
    </row>
    <row r="2738" spans="20:24" x14ac:dyDescent="0.2">
      <c r="T2738" s="247" t="str">
        <f t="shared" si="47"/>
        <v>1w</v>
      </c>
      <c r="U2738" s="245">
        <f>_xll.qlCalendarAdvance(Calendar,U2737,T2738,"f",FALSE)</f>
        <v>58014</v>
      </c>
      <c r="V2738" s="248">
        <f>_xll.qlCalendarAdvance(Calendar,U2738,NDays&amp;"D")</f>
        <v>58018</v>
      </c>
      <c r="W2738" s="249">
        <v>2.2628797533543358E-2</v>
      </c>
      <c r="X2738" s="246">
        <v>2.2566777991004372E-2</v>
      </c>
    </row>
    <row r="2739" spans="20:24" x14ac:dyDescent="0.2">
      <c r="T2739" s="247" t="str">
        <f t="shared" si="47"/>
        <v>1w</v>
      </c>
      <c r="U2739" s="245">
        <f>_xll.qlCalendarAdvance(Calendar,U2738,T2739,"f",FALSE)</f>
        <v>58021</v>
      </c>
      <c r="V2739" s="248">
        <f>_xll.qlCalendarAdvance(Calendar,U2739,NDays&amp;"D")</f>
        <v>58025</v>
      </c>
      <c r="W2739" s="249">
        <v>2.2628466312483213E-2</v>
      </c>
      <c r="X2739" s="246">
        <v>2.2566330718305494E-2</v>
      </c>
    </row>
    <row r="2740" spans="20:24" x14ac:dyDescent="0.2">
      <c r="T2740" s="247" t="str">
        <f t="shared" si="47"/>
        <v>1w</v>
      </c>
      <c r="U2740" s="245">
        <f>_xll.qlCalendarAdvance(Calendar,U2739,T2740,"f",FALSE)</f>
        <v>58028</v>
      </c>
      <c r="V2740" s="248">
        <f>_xll.qlCalendarAdvance(Calendar,U2740,NDays&amp;"D")</f>
        <v>58032</v>
      </c>
      <c r="W2740" s="249">
        <v>2.262815333913424E-2</v>
      </c>
      <c r="X2740" s="246">
        <v>2.2565901589572945E-2</v>
      </c>
    </row>
    <row r="2741" spans="20:24" x14ac:dyDescent="0.2">
      <c r="T2741" s="247" t="str">
        <f t="shared" si="47"/>
        <v>1w</v>
      </c>
      <c r="U2741" s="245">
        <f>_xll.qlCalendarAdvance(Calendar,U2740,T2741,"f",FALSE)</f>
        <v>58035</v>
      </c>
      <c r="V2741" s="248">
        <f>_xll.qlCalendarAdvance(Calendar,U2741,NDays&amp;"D")</f>
        <v>58039</v>
      </c>
      <c r="W2741" s="249">
        <v>2.2627858613492084E-2</v>
      </c>
      <c r="X2741" s="246">
        <v>2.256549060472679E-2</v>
      </c>
    </row>
    <row r="2742" spans="20:24" x14ac:dyDescent="0.2">
      <c r="T2742" s="247" t="str">
        <f t="shared" si="47"/>
        <v>1w</v>
      </c>
      <c r="U2742" s="245">
        <f>_xll.qlCalendarAdvance(Calendar,U2741,T2742,"f",FALSE)</f>
        <v>58042</v>
      </c>
      <c r="V2742" s="248">
        <f>_xll.qlCalendarAdvance(Calendar,U2742,NDays&amp;"D")</f>
        <v>58046</v>
      </c>
      <c r="W2742" s="249">
        <v>2.2626888698344415E-2</v>
      </c>
      <c r="X2742" s="246">
        <v>2.256509776352722E-2</v>
      </c>
    </row>
    <row r="2743" spans="20:24" x14ac:dyDescent="0.2">
      <c r="T2743" s="247" t="str">
        <f t="shared" si="47"/>
        <v>1w</v>
      </c>
      <c r="U2743" s="245">
        <f>_xll.qlCalendarAdvance(Calendar,U2742,T2743,"f",FALSE)</f>
        <v>58049</v>
      </c>
      <c r="V2743" s="248">
        <f>_xll.qlCalendarAdvance(Calendar,U2743,NDays&amp;"D")</f>
        <v>58053</v>
      </c>
      <c r="W2743" s="249">
        <v>2.2626629180963642E-2</v>
      </c>
      <c r="X2743" s="246">
        <v>2.2564723066453851E-2</v>
      </c>
    </row>
    <row r="2744" spans="20:24" x14ac:dyDescent="0.2">
      <c r="T2744" s="247" t="str">
        <f t="shared" si="47"/>
        <v>1w</v>
      </c>
      <c r="U2744" s="245">
        <f>_xll.qlCalendarAdvance(Calendar,U2743,T2744,"f",FALSE)</f>
        <v>58056</v>
      </c>
      <c r="V2744" s="248">
        <f>_xll.qlCalendarAdvance(Calendar,U2744,NDays&amp;"D")</f>
        <v>58060</v>
      </c>
      <c r="W2744" s="249">
        <v>2.2626387910135271E-2</v>
      </c>
      <c r="X2744" s="246">
        <v>2.2564366513426748E-2</v>
      </c>
    </row>
    <row r="2745" spans="20:24" x14ac:dyDescent="0.2">
      <c r="T2745" s="247" t="str">
        <f t="shared" si="47"/>
        <v>1w</v>
      </c>
      <c r="U2745" s="245">
        <f>_xll.qlCalendarAdvance(Calendar,U2744,T2745,"f",FALSE)</f>
        <v>58063</v>
      </c>
      <c r="V2745" s="248">
        <f>_xll.qlCalendarAdvance(Calendar,U2745,NDays&amp;"D")</f>
        <v>58067</v>
      </c>
      <c r="W2745" s="249">
        <v>2.2626164885853152E-2</v>
      </c>
      <c r="X2745" s="246">
        <v>2.2564028104206102E-2</v>
      </c>
    </row>
    <row r="2746" spans="20:24" x14ac:dyDescent="0.2">
      <c r="T2746" s="247" t="str">
        <f t="shared" si="47"/>
        <v>1w</v>
      </c>
      <c r="U2746" s="245">
        <f>_xll.qlCalendarAdvance(Calendar,U2745,T2746,"f",FALSE)</f>
        <v>58071</v>
      </c>
      <c r="V2746" s="248">
        <f>_xll.qlCalendarAdvance(Calendar,U2746,NDays&amp;"D")</f>
        <v>58075</v>
      </c>
      <c r="W2746" s="249">
        <v>2.2622440743938706E-2</v>
      </c>
      <c r="X2746" s="246">
        <v>2.2564348725575556E-2</v>
      </c>
    </row>
    <row r="2747" spans="20:24" x14ac:dyDescent="0.2">
      <c r="T2747" s="247" t="str">
        <f t="shared" si="47"/>
        <v>1w</v>
      </c>
      <c r="U2747" s="245">
        <f>_xll.qlCalendarAdvance(Calendar,U2746,T2747,"f",FALSE)</f>
        <v>58078</v>
      </c>
      <c r="V2747" s="248">
        <f>_xll.qlCalendarAdvance(Calendar,U2747,NDays&amp;"D")</f>
        <v>58082</v>
      </c>
      <c r="W2747" s="249">
        <v>2.2625048502728617E-2</v>
      </c>
      <c r="X2747" s="246">
        <v>2.2563364038203915E-2</v>
      </c>
    </row>
    <row r="2748" spans="20:24" x14ac:dyDescent="0.2">
      <c r="T2748" s="247" t="str">
        <f t="shared" si="47"/>
        <v>1w</v>
      </c>
      <c r="U2748" s="245">
        <f>_xll.qlCalendarAdvance(Calendar,U2747,T2748,"f",FALSE)</f>
        <v>58085</v>
      </c>
      <c r="V2748" s="248">
        <f>_xll.qlCalendarAdvance(Calendar,U2748,NDays&amp;"D")</f>
        <v>58089</v>
      </c>
      <c r="W2748" s="249">
        <v>2.2624881531863927E-2</v>
      </c>
      <c r="X2748" s="246">
        <v>2.2563082652649058E-2</v>
      </c>
    </row>
    <row r="2749" spans="20:24" x14ac:dyDescent="0.2">
      <c r="T2749" s="247" t="str">
        <f t="shared" si="47"/>
        <v>1w</v>
      </c>
      <c r="U2749" s="245">
        <f>_xll.qlCalendarAdvance(Calendar,U2748,T2749,"f",FALSE)</f>
        <v>58092</v>
      </c>
      <c r="V2749" s="248">
        <f>_xll.qlCalendarAdvance(Calendar,U2749,NDays&amp;"D")</f>
        <v>58096</v>
      </c>
      <c r="W2749" s="249">
        <v>2.2624732806395542E-2</v>
      </c>
      <c r="X2749" s="246">
        <v>2.2562819411060531E-2</v>
      </c>
    </row>
    <row r="2750" spans="20:24" x14ac:dyDescent="0.2">
      <c r="T2750" s="247" t="str">
        <f t="shared" si="47"/>
        <v>1w</v>
      </c>
      <c r="U2750" s="245">
        <f>_xll.qlCalendarAdvance(Calendar,U2749,T2750,"f",FALSE)</f>
        <v>58099</v>
      </c>
      <c r="V2750" s="248">
        <f>_xll.qlCalendarAdvance(Calendar,U2750,NDays&amp;"D")</f>
        <v>58103</v>
      </c>
      <c r="W2750" s="249">
        <v>2.2624602326316356E-2</v>
      </c>
      <c r="X2750" s="246">
        <v>2.2562574313278461E-2</v>
      </c>
    </row>
    <row r="2751" spans="20:24" x14ac:dyDescent="0.2">
      <c r="T2751" s="247" t="str">
        <f t="shared" si="47"/>
        <v>1w</v>
      </c>
      <c r="U2751" s="245">
        <f>_xll.qlCalendarAdvance(Calendar,U2750,T2751,"f",FALSE)</f>
        <v>58106</v>
      </c>
      <c r="V2751" s="248">
        <f>_xll.qlCalendarAdvance(Calendar,U2751,NDays&amp;"D")</f>
        <v>58110</v>
      </c>
      <c r="W2751" s="249">
        <v>2.2624490091629923E-2</v>
      </c>
      <c r="X2751" s="246">
        <v>2.256234735946272E-2</v>
      </c>
    </row>
    <row r="2752" spans="20:24" x14ac:dyDescent="0.2">
      <c r="T2752" s="247" t="str">
        <f t="shared" si="47"/>
        <v>1w</v>
      </c>
      <c r="U2752" s="245">
        <f>_xll.qlCalendarAdvance(Calendar,U2751,T2752,"f",FALSE)</f>
        <v>58113</v>
      </c>
      <c r="V2752" s="248">
        <f>_xll.qlCalendarAdvance(Calendar,U2752,NDays&amp;"D")</f>
        <v>58117</v>
      </c>
      <c r="W2752" s="249">
        <v>2.2624396102331801E-2</v>
      </c>
      <c r="X2752" s="246">
        <v>2.2562138549613309E-2</v>
      </c>
    </row>
    <row r="2753" spans="20:24" x14ac:dyDescent="0.2">
      <c r="T2753" s="247" t="str">
        <f t="shared" si="47"/>
        <v>1w</v>
      </c>
      <c r="U2753" s="245">
        <f>_xll.qlCalendarAdvance(Calendar,U2752,T2753,"f",FALSE)</f>
        <v>58120</v>
      </c>
      <c r="V2753" s="248">
        <f>_xll.qlCalendarAdvance(Calendar,U2753,NDays&amp;"D")</f>
        <v>58124</v>
      </c>
      <c r="W2753" s="249">
        <v>2.2624320358420213E-2</v>
      </c>
      <c r="X2753" s="246">
        <v>2.2561947883650291E-2</v>
      </c>
    </row>
    <row r="2754" spans="20:24" x14ac:dyDescent="0.2">
      <c r="T2754" s="247" t="str">
        <f t="shared" si="47"/>
        <v>1w</v>
      </c>
      <c r="U2754" s="245">
        <f>_xll.qlCalendarAdvance(Calendar,U2753,T2754,"f",FALSE)</f>
        <v>58127</v>
      </c>
      <c r="V2754" s="248">
        <f>_xll.qlCalendarAdvance(Calendar,U2754,NDays&amp;"D")</f>
        <v>58131</v>
      </c>
      <c r="W2754" s="249">
        <v>2.2624262859896049E-2</v>
      </c>
      <c r="X2754" s="246">
        <v>2.2561775361413794E-2</v>
      </c>
    </row>
    <row r="2755" spans="20:24" x14ac:dyDescent="0.2">
      <c r="T2755" s="247" t="str">
        <f t="shared" si="47"/>
        <v>1w</v>
      </c>
      <c r="U2755" s="245">
        <f>_xll.qlCalendarAdvance(Calendar,U2754,T2755,"f",FALSE)</f>
        <v>58134</v>
      </c>
      <c r="V2755" s="248">
        <f>_xll.qlCalendarAdvance(Calendar,U2755,NDays&amp;"D")</f>
        <v>58138</v>
      </c>
      <c r="W2755" s="249">
        <v>2.2625644343216254E-2</v>
      </c>
      <c r="X2755" s="246">
        <v>2.2561620983223563E-2</v>
      </c>
    </row>
    <row r="2756" spans="20:24" x14ac:dyDescent="0.2">
      <c r="T2756" s="247" t="str">
        <f t="shared" si="47"/>
        <v>1w</v>
      </c>
      <c r="U2756" s="245">
        <f>_xll.qlCalendarAdvance(Calendar,U2755,T2756,"f",FALSE)</f>
        <v>58141</v>
      </c>
      <c r="V2756" s="248">
        <f>_xll.qlCalendarAdvance(Calendar,U2756,NDays&amp;"D")</f>
        <v>58145</v>
      </c>
      <c r="W2756" s="249">
        <v>2.2625625939639332E-2</v>
      </c>
      <c r="X2756" s="246">
        <v>2.2561484748919725E-2</v>
      </c>
    </row>
    <row r="2757" spans="20:24" x14ac:dyDescent="0.2">
      <c r="T2757" s="247" t="str">
        <f t="shared" si="47"/>
        <v>1w</v>
      </c>
      <c r="U2757" s="245">
        <f>_xll.qlCalendarAdvance(Calendar,U2756,T2757,"f",FALSE)</f>
        <v>58148</v>
      </c>
      <c r="V2757" s="248">
        <f>_xll.qlCalendarAdvance(Calendar,U2757,NDays&amp;"D")</f>
        <v>58152</v>
      </c>
      <c r="W2757" s="249">
        <v>2.2625625783735347E-2</v>
      </c>
      <c r="X2757" s="246">
        <v>2.2561366658582216E-2</v>
      </c>
    </row>
    <row r="2758" spans="20:24" x14ac:dyDescent="0.2">
      <c r="T2758" s="247" t="str">
        <f t="shared" si="47"/>
        <v>1w</v>
      </c>
      <c r="U2758" s="245">
        <f>_xll.qlCalendarAdvance(Calendar,U2757,T2758,"f",FALSE)</f>
        <v>58155</v>
      </c>
      <c r="V2758" s="248">
        <f>_xll.qlCalendarAdvance(Calendar,U2758,NDays&amp;"D")</f>
        <v>58159</v>
      </c>
      <c r="W2758" s="249">
        <v>2.2625643875500822E-2</v>
      </c>
      <c r="X2758" s="246">
        <v>2.2561266711891292E-2</v>
      </c>
    </row>
    <row r="2759" spans="20:24" x14ac:dyDescent="0.2">
      <c r="T2759" s="247" t="str">
        <f t="shared" si="47"/>
        <v>1w</v>
      </c>
      <c r="U2759" s="245">
        <f>_xll.qlCalendarAdvance(Calendar,U2758,T2759,"f",FALSE)</f>
        <v>58166</v>
      </c>
      <c r="V2759" s="248">
        <f>_xll.qlCalendarAdvance(Calendar,U2759,NDays&amp;"D")</f>
        <v>58168</v>
      </c>
      <c r="W2759" s="249">
        <v>2.2624977915298779E-2</v>
      </c>
      <c r="X2759" s="246">
        <v>2.2561164869676631E-2</v>
      </c>
    </row>
    <row r="2760" spans="20:24" x14ac:dyDescent="0.2">
      <c r="T2760" s="247" t="str">
        <f t="shared" si="47"/>
        <v>1w</v>
      </c>
      <c r="U2760" s="245">
        <f>_xll.qlCalendarAdvance(Calendar,U2759,T2760,"f",FALSE)</f>
        <v>58173</v>
      </c>
      <c r="V2760" s="248">
        <f>_xll.qlCalendarAdvance(Calendar,U2760,NDays&amp;"D")</f>
        <v>58175</v>
      </c>
      <c r="W2760" s="249">
        <v>2.2625036408960561E-2</v>
      </c>
      <c r="X2760" s="246">
        <v>2.2561106395091457E-2</v>
      </c>
    </row>
    <row r="2761" spans="20:24" x14ac:dyDescent="0.2">
      <c r="T2761" s="247" t="str">
        <f t="shared" si="47"/>
        <v>1w</v>
      </c>
      <c r="U2761" s="245">
        <f>_xll.qlCalendarAdvance(Calendar,U2760,T2761,"f",FALSE)</f>
        <v>58180</v>
      </c>
      <c r="V2761" s="248">
        <f>_xll.qlCalendarAdvance(Calendar,U2761,NDays&amp;"D")</f>
        <v>58182</v>
      </c>
      <c r="W2761" s="249">
        <v>2.2625113149151027E-2</v>
      </c>
      <c r="X2761" s="246">
        <v>2.2561066064232804E-2</v>
      </c>
    </row>
    <row r="2762" spans="20:24" x14ac:dyDescent="0.2">
      <c r="T2762" s="247" t="str">
        <f t="shared" si="47"/>
        <v>1w</v>
      </c>
      <c r="U2762" s="245">
        <f>_xll.qlCalendarAdvance(Calendar,U2761,T2762,"f",FALSE)</f>
        <v>58187</v>
      </c>
      <c r="V2762" s="248">
        <f>_xll.qlCalendarAdvance(Calendar,U2762,NDays&amp;"D")</f>
        <v>58189</v>
      </c>
      <c r="W2762" s="249">
        <v>2.262520813587281E-2</v>
      </c>
      <c r="X2762" s="246">
        <v>2.2561043877340481E-2</v>
      </c>
    </row>
    <row r="2763" spans="20:24" x14ac:dyDescent="0.2">
      <c r="T2763" s="247" t="str">
        <f t="shared" si="47"/>
        <v>1w</v>
      </c>
      <c r="U2763" s="245">
        <f>_xll.qlCalendarAdvance(Calendar,U2762,T2763,"f",FALSE)</f>
        <v>58194</v>
      </c>
      <c r="V2763" s="248">
        <f>_xll.qlCalendarAdvance(Calendar,U2763,NDays&amp;"D")</f>
        <v>58197</v>
      </c>
      <c r="W2763" s="249">
        <v>2.2627503869919526E-2</v>
      </c>
      <c r="X2763" s="246">
        <v>2.256245605536833E-2</v>
      </c>
    </row>
    <row r="2764" spans="20:24" x14ac:dyDescent="0.2">
      <c r="T2764" s="247" t="str">
        <f t="shared" si="47"/>
        <v>1w</v>
      </c>
      <c r="U2764" s="245">
        <f>_xll.qlCalendarAdvance(Calendar,U2763,T2764,"f",FALSE)</f>
        <v>58201</v>
      </c>
      <c r="V2764" s="248">
        <f>_xll.qlCalendarAdvance(Calendar,U2764,NDays&amp;"D")</f>
        <v>58203</v>
      </c>
      <c r="W2764" s="249">
        <v>2.2626175429660642E-2</v>
      </c>
      <c r="X2764" s="246">
        <v>2.2561053935374886E-2</v>
      </c>
    </row>
    <row r="2765" spans="20:24" x14ac:dyDescent="0.2">
      <c r="T2765" s="247" t="str">
        <f t="shared" si="47"/>
        <v>1w</v>
      </c>
      <c r="U2765" s="245">
        <f>_xll.qlCalendarAdvance(Calendar,U2764,T2765,"f",FALSE)</f>
        <v>58208</v>
      </c>
      <c r="V2765" s="248">
        <f>_xll.qlCalendarAdvance(Calendar,U2765,NDays&amp;"D")</f>
        <v>58210</v>
      </c>
      <c r="W2765" s="249">
        <v>2.2626326468774032E-2</v>
      </c>
      <c r="X2765" s="246">
        <v>2.2561086180061807E-2</v>
      </c>
    </row>
    <row r="2766" spans="20:24" x14ac:dyDescent="0.2">
      <c r="T2766" s="247" t="str">
        <f t="shared" si="47"/>
        <v>1w</v>
      </c>
      <c r="U2766" s="245">
        <f>_xll.qlCalendarAdvance(Calendar,U2765,T2766,"f",FALSE)</f>
        <v>58215</v>
      </c>
      <c r="V2766" s="248">
        <f>_xll.qlCalendarAdvance(Calendar,U2766,NDays&amp;"D")</f>
        <v>58217</v>
      </c>
      <c r="W2766" s="249">
        <v>2.2626495755569919E-2</v>
      </c>
      <c r="X2766" s="246">
        <v>2.2561136568794993E-2</v>
      </c>
    </row>
    <row r="2767" spans="20:24" x14ac:dyDescent="0.2">
      <c r="T2767" s="247" t="str">
        <f t="shared" si="47"/>
        <v>1w</v>
      </c>
      <c r="U2767" s="245">
        <f>_xll.qlCalendarAdvance(Calendar,U2766,T2767,"f",FALSE)</f>
        <v>58222</v>
      </c>
      <c r="V2767" s="248">
        <f>_xll.qlCalendarAdvance(Calendar,U2767,NDays&amp;"D")</f>
        <v>58224</v>
      </c>
      <c r="W2767" s="249">
        <v>2.2626683290050038E-2</v>
      </c>
      <c r="X2767" s="246">
        <v>2.2561205101414572E-2</v>
      </c>
    </row>
    <row r="2768" spans="20:24" x14ac:dyDescent="0.2">
      <c r="T2768" s="247" t="str">
        <f t="shared" si="47"/>
        <v>1w</v>
      </c>
      <c r="U2768" s="245">
        <f>_xll.qlCalendarAdvance(Calendar,U2767,T2768,"f",FALSE)</f>
        <v>58229</v>
      </c>
      <c r="V2768" s="248">
        <f>_xll.qlCalendarAdvance(Calendar,U2768,NDays&amp;"D")</f>
        <v>58231</v>
      </c>
      <c r="W2768" s="249">
        <v>2.2626889072215259E-2</v>
      </c>
      <c r="X2768" s="246">
        <v>2.2561291777920545E-2</v>
      </c>
    </row>
    <row r="2769" spans="20:24" x14ac:dyDescent="0.2">
      <c r="T2769" s="247" t="str">
        <f t="shared" si="47"/>
        <v>1w</v>
      </c>
      <c r="U2769" s="245">
        <f>_xll.qlCalendarAdvance(Calendar,U2768,T2769,"f",FALSE)</f>
        <v>58236</v>
      </c>
      <c r="V2769" s="248">
        <f>_xll.qlCalendarAdvance(Calendar,U2769,NDays&amp;"D")</f>
        <v>58238</v>
      </c>
      <c r="W2769" s="249">
        <v>2.2627113102070794E-2</v>
      </c>
      <c r="X2769" s="246">
        <v>2.2561396598392847E-2</v>
      </c>
    </row>
    <row r="2770" spans="20:24" x14ac:dyDescent="0.2">
      <c r="T2770" s="247" t="str">
        <f t="shared" ref="T2770:T2833" si="48">T2769</f>
        <v>1w</v>
      </c>
      <c r="U2770" s="245">
        <f>_xll.qlCalendarAdvance(Calendar,U2769,T2770,"f",FALSE)</f>
        <v>58243</v>
      </c>
      <c r="V2770" s="248">
        <f>_xll.qlCalendarAdvance(Calendar,U2770,NDays&amp;"D")</f>
        <v>58245</v>
      </c>
      <c r="W2770" s="249">
        <v>2.2627355379617513E-2</v>
      </c>
      <c r="X2770" s="246">
        <v>2.2561519562751542E-2</v>
      </c>
    </row>
    <row r="2771" spans="20:24" x14ac:dyDescent="0.2">
      <c r="T2771" s="247" t="str">
        <f t="shared" si="48"/>
        <v>1w</v>
      </c>
      <c r="U2771" s="245">
        <f>_xll.qlCalendarAdvance(Calendar,U2770,T2771,"f",FALSE)</f>
        <v>58250</v>
      </c>
      <c r="V2771" s="248">
        <f>_xll.qlCalendarAdvance(Calendar,U2771,NDays&amp;"D")</f>
        <v>58252</v>
      </c>
      <c r="W2771" s="249">
        <v>2.262761590486324E-2</v>
      </c>
      <c r="X2771" s="246">
        <v>2.2561660670996631E-2</v>
      </c>
    </row>
    <row r="2772" spans="20:24" x14ac:dyDescent="0.2">
      <c r="T2772" s="247" t="str">
        <f t="shared" si="48"/>
        <v>1w</v>
      </c>
      <c r="U2772" s="245">
        <f>_xll.qlCalendarAdvance(Calendar,U2771,T2772,"f",FALSE)</f>
        <v>58257</v>
      </c>
      <c r="V2772" s="248">
        <f>_xll.qlCalendarAdvance(Calendar,U2772,NDays&amp;"D")</f>
        <v>58259</v>
      </c>
      <c r="W2772" s="249">
        <v>2.2627894677804492E-2</v>
      </c>
      <c r="X2772" s="246">
        <v>2.2561819923048176E-2</v>
      </c>
    </row>
    <row r="2773" spans="20:24" x14ac:dyDescent="0.2">
      <c r="T2773" s="247" t="str">
        <f t="shared" si="48"/>
        <v>1w</v>
      </c>
      <c r="U2773" s="245">
        <f>_xll.qlCalendarAdvance(Calendar,U2772,T2773,"f",FALSE)</f>
        <v>58264</v>
      </c>
      <c r="V2773" s="248">
        <f>_xll.qlCalendarAdvance(Calendar,U2773,NDays&amp;"D")</f>
        <v>58266</v>
      </c>
      <c r="W2773" s="249">
        <v>2.2628191698451698E-2</v>
      </c>
      <c r="X2773" s="246">
        <v>2.2561997319225924E-2</v>
      </c>
    </row>
    <row r="2774" spans="20:24" x14ac:dyDescent="0.2">
      <c r="T2774" s="247" t="str">
        <f t="shared" si="48"/>
        <v>1w</v>
      </c>
      <c r="U2774" s="245">
        <f>_xll.qlCalendarAdvance(Calendar,U2773,T2774,"f",FALSE)</f>
        <v>58271</v>
      </c>
      <c r="V2774" s="248">
        <f>_xll.qlCalendarAdvance(Calendar,U2774,NDays&amp;"D")</f>
        <v>58273</v>
      </c>
      <c r="W2774" s="249">
        <v>2.2628506966805732E-2</v>
      </c>
      <c r="X2774" s="246">
        <v>2.2562192859210128E-2</v>
      </c>
    </row>
    <row r="2775" spans="20:24" x14ac:dyDescent="0.2">
      <c r="T2775" s="247" t="str">
        <f t="shared" si="48"/>
        <v>1w</v>
      </c>
      <c r="U2775" s="245">
        <f>_xll.qlCalendarAdvance(Calendar,U2774,T2775,"f",FALSE)</f>
        <v>58278</v>
      </c>
      <c r="V2775" s="248">
        <f>_xll.qlCalendarAdvance(Calendar,U2775,NDays&amp;"D")</f>
        <v>58280</v>
      </c>
      <c r="W2775" s="249">
        <v>2.262884048287267E-2</v>
      </c>
      <c r="X2775" s="246">
        <v>2.2562406543080726E-2</v>
      </c>
    </row>
    <row r="2776" spans="20:24" x14ac:dyDescent="0.2">
      <c r="T2776" s="247" t="str">
        <f t="shared" si="48"/>
        <v>1w</v>
      </c>
      <c r="U2776" s="245">
        <f>_xll.qlCalendarAdvance(Calendar,U2775,T2776,"f",FALSE)</f>
        <v>58285</v>
      </c>
      <c r="V2776" s="248">
        <f>_xll.qlCalendarAdvance(Calendar,U2776,NDays&amp;"D")</f>
        <v>58287</v>
      </c>
      <c r="W2776" s="249">
        <v>2.2629192246654252E-2</v>
      </c>
      <c r="X2776" s="246">
        <v>2.2562638370757782E-2</v>
      </c>
    </row>
    <row r="2777" spans="20:24" x14ac:dyDescent="0.2">
      <c r="T2777" s="247" t="str">
        <f t="shared" si="48"/>
        <v>1w</v>
      </c>
      <c r="U2777" s="245">
        <f>_xll.qlCalendarAdvance(Calendar,U2776,T2777,"f",FALSE)</f>
        <v>58292</v>
      </c>
      <c r="V2777" s="248">
        <f>_xll.qlCalendarAdvance(Calendar,U2777,NDays&amp;"D")</f>
        <v>58294</v>
      </c>
      <c r="W2777" s="249">
        <v>2.2629562258159163E-2</v>
      </c>
      <c r="X2777" s="246">
        <v>2.2562888342481102E-2</v>
      </c>
    </row>
    <row r="2778" spans="20:24" x14ac:dyDescent="0.2">
      <c r="T2778" s="247" t="str">
        <f t="shared" si="48"/>
        <v>1w</v>
      </c>
      <c r="U2778" s="245">
        <f>_xll.qlCalendarAdvance(Calendar,U2777,T2778,"f",FALSE)</f>
        <v>58299</v>
      </c>
      <c r="V2778" s="248">
        <f>_xll.qlCalendarAdvance(Calendar,U2778,NDays&amp;"D")</f>
        <v>58301</v>
      </c>
      <c r="W2778" s="249">
        <v>2.2629950517390016E-2</v>
      </c>
      <c r="X2778" s="246">
        <v>2.2563156458170752E-2</v>
      </c>
    </row>
    <row r="2779" spans="20:24" x14ac:dyDescent="0.2">
      <c r="T2779" s="247" t="str">
        <f t="shared" si="48"/>
        <v>1w</v>
      </c>
      <c r="U2779" s="245">
        <f>_xll.qlCalendarAdvance(Calendar,U2778,T2779,"f",FALSE)</f>
        <v>58306</v>
      </c>
      <c r="V2779" s="248">
        <f>_xll.qlCalendarAdvance(Calendar,U2779,NDays&amp;"D")</f>
        <v>58308</v>
      </c>
      <c r="W2779" s="249">
        <v>2.2630357024351153E-2</v>
      </c>
      <c r="X2779" s="246">
        <v>2.2563442717506987E-2</v>
      </c>
    </row>
    <row r="2780" spans="20:24" x14ac:dyDescent="0.2">
      <c r="T2780" s="247" t="str">
        <f t="shared" si="48"/>
        <v>1w</v>
      </c>
      <c r="U2780" s="245">
        <f>_xll.qlCalendarAdvance(Calendar,U2779,T2780,"f",FALSE)</f>
        <v>58313</v>
      </c>
      <c r="V2780" s="248">
        <f>_xll.qlCalendarAdvance(Calendar,U2780,NDays&amp;"D")</f>
        <v>58315</v>
      </c>
      <c r="W2780" s="249">
        <v>2.2630781779052131E-2</v>
      </c>
      <c r="X2780" s="246">
        <v>2.2563747120969424E-2</v>
      </c>
    </row>
    <row r="2781" spans="20:24" x14ac:dyDescent="0.2">
      <c r="T2781" s="247" t="str">
        <f t="shared" si="48"/>
        <v>1w</v>
      </c>
      <c r="U2781" s="245">
        <f>_xll.qlCalendarAdvance(Calendar,U2780,T2781,"f",FALSE)</f>
        <v>58320</v>
      </c>
      <c r="V2781" s="248">
        <f>_xll.qlCalendarAdvance(Calendar,U2781,NDays&amp;"D")</f>
        <v>58322</v>
      </c>
      <c r="W2781" s="249">
        <v>2.2630479727740894E-2</v>
      </c>
      <c r="X2781" s="246">
        <v>2.2564069668238318E-2</v>
      </c>
    </row>
    <row r="2782" spans="20:24" x14ac:dyDescent="0.2">
      <c r="T2782" s="247" t="str">
        <f t="shared" si="48"/>
        <v>1w</v>
      </c>
      <c r="U2782" s="245">
        <f>_xll.qlCalendarAdvance(Calendar,U2781,T2782,"f",FALSE)</f>
        <v>58327</v>
      </c>
      <c r="V2782" s="248">
        <f>_xll.qlCalendarAdvance(Calendar,U2782,NDays&amp;"D")</f>
        <v>58329</v>
      </c>
      <c r="W2782" s="249">
        <v>2.263093964569253E-2</v>
      </c>
      <c r="X2782" s="246">
        <v>2.2564410359393605E-2</v>
      </c>
    </row>
    <row r="2783" spans="20:24" x14ac:dyDescent="0.2">
      <c r="T2783" s="247" t="str">
        <f t="shared" si="48"/>
        <v>1w</v>
      </c>
      <c r="U2783" s="245">
        <f>_xll.qlCalendarAdvance(Calendar,U2782,T2783,"f",FALSE)</f>
        <v>58334</v>
      </c>
      <c r="V2783" s="248">
        <f>_xll.qlCalendarAdvance(Calendar,U2783,NDays&amp;"D")</f>
        <v>58336</v>
      </c>
      <c r="W2783" s="249">
        <v>2.2631417810254541E-2</v>
      </c>
      <c r="X2783" s="246">
        <v>2.2564769194515222E-2</v>
      </c>
    </row>
    <row r="2784" spans="20:24" x14ac:dyDescent="0.2">
      <c r="T2784" s="247" t="str">
        <f t="shared" si="48"/>
        <v>1w</v>
      </c>
      <c r="U2784" s="245">
        <f>_xll.qlCalendarAdvance(Calendar,U2783,T2784,"f",FALSE)</f>
        <v>58341</v>
      </c>
      <c r="V2784" s="248">
        <f>_xll.qlCalendarAdvance(Calendar,U2784,NDays&amp;"D")</f>
        <v>58343</v>
      </c>
      <c r="W2784" s="249">
        <v>2.2634911389519872E-2</v>
      </c>
      <c r="X2784" s="246">
        <v>2.2565146173603168E-2</v>
      </c>
    </row>
    <row r="2785" spans="20:24" x14ac:dyDescent="0.2">
      <c r="T2785" s="247" t="str">
        <f t="shared" si="48"/>
        <v>1w</v>
      </c>
      <c r="U2785" s="245">
        <f>_xll.qlCalendarAdvance(Calendar,U2784,T2785,"f",FALSE)</f>
        <v>58348</v>
      </c>
      <c r="V2785" s="248">
        <f>_xll.qlCalendarAdvance(Calendar,U2785,NDays&amp;"D")</f>
        <v>58350</v>
      </c>
      <c r="W2785" s="249">
        <v>2.2633179268832748E-2</v>
      </c>
      <c r="X2785" s="246">
        <v>2.2565541296577507E-2</v>
      </c>
    </row>
    <row r="2786" spans="20:24" x14ac:dyDescent="0.2">
      <c r="T2786" s="247" t="str">
        <f t="shared" si="48"/>
        <v>1w</v>
      </c>
      <c r="U2786" s="245">
        <f>_xll.qlCalendarAdvance(Calendar,U2785,T2786,"f",FALSE)</f>
        <v>58355</v>
      </c>
      <c r="V2786" s="248">
        <f>_xll.qlCalendarAdvance(Calendar,U2786,NDays&amp;"D")</f>
        <v>58357</v>
      </c>
      <c r="W2786" s="249">
        <v>2.2633713510090935E-2</v>
      </c>
      <c r="X2786" s="246">
        <v>2.2565954563278368E-2</v>
      </c>
    </row>
    <row r="2787" spans="20:24" x14ac:dyDescent="0.2">
      <c r="T2787" s="247" t="str">
        <f t="shared" si="48"/>
        <v>1w</v>
      </c>
      <c r="U2787" s="245">
        <f>_xll.qlCalendarAdvance(Calendar,U2786,T2787,"f",FALSE)</f>
        <v>58362</v>
      </c>
      <c r="V2787" s="248">
        <f>_xll.qlCalendarAdvance(Calendar,U2787,NDays&amp;"D")</f>
        <v>58364</v>
      </c>
      <c r="W2787" s="249">
        <v>2.2634265999134144E-2</v>
      </c>
      <c r="X2787" s="246">
        <v>2.2566385973945557E-2</v>
      </c>
    </row>
    <row r="2788" spans="20:24" x14ac:dyDescent="0.2">
      <c r="T2788" s="247" t="str">
        <f t="shared" si="48"/>
        <v>1w</v>
      </c>
      <c r="U2788" s="245">
        <f>_xll.qlCalendarAdvance(Calendar,U2787,T2788,"f",FALSE)</f>
        <v>58369</v>
      </c>
      <c r="V2788" s="248">
        <f>_xll.qlCalendarAdvance(Calendar,U2788,NDays&amp;"D")</f>
        <v>58371</v>
      </c>
      <c r="W2788" s="249">
        <v>2.2634836735969329E-2</v>
      </c>
      <c r="X2788" s="246">
        <v>2.2566835528659013E-2</v>
      </c>
    </row>
    <row r="2789" spans="20:24" x14ac:dyDescent="0.2">
      <c r="T2789" s="247" t="str">
        <f t="shared" si="48"/>
        <v>1w</v>
      </c>
      <c r="U2789" s="245">
        <f>_xll.qlCalendarAdvance(Calendar,U2788,T2789,"f",FALSE)</f>
        <v>58376</v>
      </c>
      <c r="V2789" s="248">
        <f>_xll.qlCalendarAdvance(Calendar,U2789,NDays&amp;"D")</f>
        <v>58378</v>
      </c>
      <c r="W2789" s="249">
        <v>2.2635425720606912E-2</v>
      </c>
      <c r="X2789" s="246">
        <v>2.2567303227338797E-2</v>
      </c>
    </row>
    <row r="2790" spans="20:24" x14ac:dyDescent="0.2">
      <c r="T2790" s="247" t="str">
        <f t="shared" si="48"/>
        <v>1w</v>
      </c>
      <c r="U2790" s="245">
        <f>_xll.qlCalendarAdvance(Calendar,U2789,T2790,"f",FALSE)</f>
        <v>58383</v>
      </c>
      <c r="V2790" s="248">
        <f>_xll.qlCalendarAdvance(Calendar,U2790,NDays&amp;"D")</f>
        <v>58385</v>
      </c>
      <c r="W2790" s="249">
        <v>2.2636032953048633E-2</v>
      </c>
      <c r="X2790" s="246">
        <v>2.2567789069745103E-2</v>
      </c>
    </row>
    <row r="2791" spans="20:24" x14ac:dyDescent="0.2">
      <c r="T2791" s="247" t="str">
        <f t="shared" si="48"/>
        <v>1w</v>
      </c>
      <c r="U2791" s="245">
        <f>_xll.qlCalendarAdvance(Calendar,U2790,T2791,"f",FALSE)</f>
        <v>58390</v>
      </c>
      <c r="V2791" s="248">
        <f>_xll.qlCalendarAdvance(Calendar,U2791,NDays&amp;"D")</f>
        <v>58392</v>
      </c>
      <c r="W2791" s="249">
        <v>2.2636658433307526E-2</v>
      </c>
      <c r="X2791" s="246">
        <v>2.2568293056197675E-2</v>
      </c>
    </row>
    <row r="2792" spans="20:24" x14ac:dyDescent="0.2">
      <c r="T2792" s="247" t="str">
        <f t="shared" si="48"/>
        <v>1w</v>
      </c>
      <c r="U2792" s="245">
        <f>_xll.qlCalendarAdvance(Calendar,U2791,T2792,"f",FALSE)</f>
        <v>58397</v>
      </c>
      <c r="V2792" s="248">
        <f>_xll.qlCalendarAdvance(Calendar,U2792,NDays&amp;"D")</f>
        <v>58399</v>
      </c>
      <c r="W2792" s="249">
        <v>2.2637302161393143E-2</v>
      </c>
      <c r="X2792" s="246">
        <v>2.2568815186296831E-2</v>
      </c>
    </row>
    <row r="2793" spans="20:24" x14ac:dyDescent="0.2">
      <c r="T2793" s="247" t="str">
        <f t="shared" si="48"/>
        <v>1w</v>
      </c>
      <c r="U2793" s="245">
        <f>_xll.qlCalendarAdvance(Calendar,U2792,T2793,"f",FALSE)</f>
        <v>58404</v>
      </c>
      <c r="V2793" s="248">
        <f>_xll.qlCalendarAdvance(Calendar,U2793,NDays&amp;"D")</f>
        <v>58406</v>
      </c>
      <c r="W2793" s="249">
        <v>2.2637964137314181E-2</v>
      </c>
      <c r="X2793" s="246">
        <v>2.2569355460602125E-2</v>
      </c>
    </row>
    <row r="2794" spans="20:24" x14ac:dyDescent="0.2">
      <c r="T2794" s="247" t="str">
        <f t="shared" si="48"/>
        <v>1w</v>
      </c>
      <c r="U2794" s="245">
        <f>_xll.qlCalendarAdvance(Calendar,U2793,T2794,"f",FALSE)</f>
        <v>58411</v>
      </c>
      <c r="V2794" s="248">
        <f>_xll.qlCalendarAdvance(Calendar,U2794,NDays&amp;"D")</f>
        <v>58413</v>
      </c>
      <c r="W2794" s="249">
        <v>2.2637881898849042E-2</v>
      </c>
      <c r="X2794" s="246">
        <v>2.2569913878554004E-2</v>
      </c>
    </row>
    <row r="2795" spans="20:24" x14ac:dyDescent="0.2">
      <c r="T2795" s="247" t="str">
        <f t="shared" si="48"/>
        <v>1w</v>
      </c>
      <c r="U2795" s="245">
        <f>_xll.qlCalendarAdvance(Calendar,U2794,T2795,"f",FALSE)</f>
        <v>58418</v>
      </c>
      <c r="V2795" s="248">
        <f>_xll.qlCalendarAdvance(Calendar,U2795,NDays&amp;"D")</f>
        <v>58420</v>
      </c>
      <c r="W2795" s="249">
        <v>2.2638579023332019E-2</v>
      </c>
      <c r="X2795" s="246">
        <v>2.2570490440552149E-2</v>
      </c>
    </row>
    <row r="2796" spans="20:24" x14ac:dyDescent="0.2">
      <c r="T2796" s="247" t="str">
        <f t="shared" si="48"/>
        <v>1w</v>
      </c>
      <c r="U2796" s="245">
        <f>_xll.qlCalendarAdvance(Calendar,U2795,T2796,"f",FALSE)</f>
        <v>58425</v>
      </c>
      <c r="V2796" s="248">
        <f>_xll.qlCalendarAdvance(Calendar,U2796,NDays&amp;"D")</f>
        <v>58427</v>
      </c>
      <c r="W2796" s="249">
        <v>2.263929439453078E-2</v>
      </c>
      <c r="X2796" s="246">
        <v>2.2571085146596559E-2</v>
      </c>
    </row>
    <row r="2797" spans="20:24" x14ac:dyDescent="0.2">
      <c r="T2797" s="247" t="str">
        <f t="shared" si="48"/>
        <v>1w</v>
      </c>
      <c r="U2797" s="245">
        <f>_xll.qlCalendarAdvance(Calendar,U2796,T2797,"f",FALSE)</f>
        <v>58432</v>
      </c>
      <c r="V2797" s="248">
        <f>_xll.qlCalendarAdvance(Calendar,U2797,NDays&amp;"D")</f>
        <v>58438</v>
      </c>
      <c r="W2797" s="249">
        <v>2.2640455415110675E-2</v>
      </c>
      <c r="X2797" s="246">
        <v>2.2572056342440305E-2</v>
      </c>
    </row>
    <row r="2798" spans="20:24" x14ac:dyDescent="0.2">
      <c r="T2798" s="247" t="str">
        <f t="shared" si="48"/>
        <v>1w</v>
      </c>
      <c r="U2798" s="245">
        <f>_xll.qlCalendarAdvance(Calendar,U2797,T2798,"f",FALSE)</f>
        <v>58439</v>
      </c>
      <c r="V2798" s="248">
        <f>_xll.qlCalendarAdvance(Calendar,U2798,NDays&amp;"D")</f>
        <v>58442</v>
      </c>
      <c r="W2798" s="249">
        <v>2.2640888775884757E-2</v>
      </c>
      <c r="X2798" s="246">
        <v>2.2573928088212014E-2</v>
      </c>
    </row>
    <row r="2799" spans="20:24" x14ac:dyDescent="0.2">
      <c r="T2799" s="247" t="str">
        <f t="shared" si="48"/>
        <v>1w</v>
      </c>
      <c r="U2799" s="245">
        <f>_xll.qlCalendarAdvance(Calendar,U2798,T2799,"f",FALSE)</f>
        <v>58446</v>
      </c>
      <c r="V2799" s="248">
        <f>_xll.qlCalendarAdvance(Calendar,U2799,NDays&amp;"D")</f>
        <v>58448</v>
      </c>
      <c r="W2799" s="249">
        <v>2.2641549988525439E-2</v>
      </c>
      <c r="X2799" s="246">
        <v>2.2572978127648469E-2</v>
      </c>
    </row>
    <row r="2800" spans="20:24" x14ac:dyDescent="0.2">
      <c r="T2800" s="247" t="str">
        <f t="shared" si="48"/>
        <v>1w</v>
      </c>
      <c r="U2800" s="245">
        <f>_xll.qlCalendarAdvance(Calendar,U2799,T2800,"f",FALSE)</f>
        <v>58453</v>
      </c>
      <c r="V2800" s="248">
        <f>_xll.qlCalendarAdvance(Calendar,U2800,NDays&amp;"D")</f>
        <v>58455</v>
      </c>
      <c r="W2800" s="249">
        <v>2.2642338346690122E-2</v>
      </c>
      <c r="X2800" s="246">
        <v>2.2573645409238452E-2</v>
      </c>
    </row>
    <row r="2801" spans="20:24" x14ac:dyDescent="0.2">
      <c r="T2801" s="247" t="str">
        <f t="shared" si="48"/>
        <v>1w</v>
      </c>
      <c r="U2801" s="245">
        <f>_xll.qlCalendarAdvance(Calendar,U2800,T2801,"f",FALSE)</f>
        <v>58460</v>
      </c>
      <c r="V2801" s="248">
        <f>_xll.qlCalendarAdvance(Calendar,U2801,NDays&amp;"D")</f>
        <v>58462</v>
      </c>
      <c r="W2801" s="249">
        <v>2.264314495162242E-2</v>
      </c>
      <c r="X2801" s="246">
        <v>2.2574330834554956E-2</v>
      </c>
    </row>
    <row r="2802" spans="20:24" x14ac:dyDescent="0.2">
      <c r="T2802" s="247" t="str">
        <f t="shared" si="48"/>
        <v>1w</v>
      </c>
      <c r="U2802" s="245">
        <f>_xll.qlCalendarAdvance(Calendar,U2801,T2802,"f",FALSE)</f>
        <v>58467</v>
      </c>
      <c r="V2802" s="248">
        <f>_xll.qlCalendarAdvance(Calendar,U2802,NDays&amp;"D")</f>
        <v>58469</v>
      </c>
      <c r="W2802" s="249">
        <v>2.2643969803335506E-2</v>
      </c>
      <c r="X2802" s="246">
        <v>2.2575034404077599E-2</v>
      </c>
    </row>
    <row r="2803" spans="20:24" x14ac:dyDescent="0.2">
      <c r="T2803" s="247" t="str">
        <f t="shared" si="48"/>
        <v>1w</v>
      </c>
      <c r="U2803" s="245">
        <f>_xll.qlCalendarAdvance(Calendar,U2802,T2803,"f",FALSE)</f>
        <v>58474</v>
      </c>
      <c r="V2803" s="248">
        <f>_xll.qlCalendarAdvance(Calendar,U2803,NDays&amp;"D")</f>
        <v>58476</v>
      </c>
      <c r="W2803" s="249">
        <v>2.2644038435990943E-2</v>
      </c>
      <c r="X2803" s="246">
        <v>2.2575756117246826E-2</v>
      </c>
    </row>
    <row r="2804" spans="20:24" x14ac:dyDescent="0.2">
      <c r="T2804" s="247" t="str">
        <f t="shared" si="48"/>
        <v>1w</v>
      </c>
      <c r="U2804" s="245">
        <f>_xll.qlCalendarAdvance(Calendar,U2803,T2804,"f",FALSE)</f>
        <v>58481</v>
      </c>
      <c r="V2804" s="248">
        <f>_xll.qlCalendarAdvance(Calendar,U2804,NDays&amp;"D")</f>
        <v>58483</v>
      </c>
      <c r="W2804" s="249">
        <v>2.264489842400863E-2</v>
      </c>
      <c r="X2804" s="246">
        <v>2.2576495974302446E-2</v>
      </c>
    </row>
    <row r="2805" spans="20:24" x14ac:dyDescent="0.2">
      <c r="T2805" s="247" t="str">
        <f t="shared" si="48"/>
        <v>1w</v>
      </c>
      <c r="U2805" s="245">
        <f>_xll.qlCalendarAdvance(Calendar,U2804,T2805,"f",FALSE)</f>
        <v>58488</v>
      </c>
      <c r="V2805" s="248">
        <f>_xll.qlCalendarAdvance(Calendar,U2805,NDays&amp;"D")</f>
        <v>58490</v>
      </c>
      <c r="W2805" s="249">
        <v>2.2645776657690853E-2</v>
      </c>
      <c r="X2805" s="246">
        <v>2.2577253975324396E-2</v>
      </c>
    </row>
    <row r="2806" spans="20:24" x14ac:dyDescent="0.2">
      <c r="T2806" s="247" t="str">
        <f t="shared" si="48"/>
        <v>1w</v>
      </c>
      <c r="U2806" s="245">
        <f>_xll.qlCalendarAdvance(Calendar,U2805,T2806,"f",FALSE)</f>
        <v>58495</v>
      </c>
      <c r="V2806" s="248">
        <f>_xll.qlCalendarAdvance(Calendar,U2806,NDays&amp;"D")</f>
        <v>58497</v>
      </c>
      <c r="W2806" s="249">
        <v>2.2646673137054485E-2</v>
      </c>
      <c r="X2806" s="246">
        <v>2.2578030120472548E-2</v>
      </c>
    </row>
    <row r="2807" spans="20:24" x14ac:dyDescent="0.2">
      <c r="T2807" s="247" t="str">
        <f t="shared" si="48"/>
        <v>1w</v>
      </c>
      <c r="U2807" s="245">
        <f>_xll.qlCalendarAdvance(Calendar,U2806,T2807,"f",FALSE)</f>
        <v>58502</v>
      </c>
      <c r="V2807" s="248">
        <f>_xll.qlCalendarAdvance(Calendar,U2807,NDays&amp;"D")</f>
        <v>58504</v>
      </c>
      <c r="W2807" s="249">
        <v>2.2649147828398698E-2</v>
      </c>
      <c r="X2807" s="246">
        <v>2.2578824409267284E-2</v>
      </c>
    </row>
    <row r="2808" spans="20:24" x14ac:dyDescent="0.2">
      <c r="T2808" s="247" t="str">
        <f t="shared" si="48"/>
        <v>1w</v>
      </c>
      <c r="U2808" s="245">
        <f>_xll.qlCalendarAdvance(Calendar,U2807,T2808,"f",FALSE)</f>
        <v>58509</v>
      </c>
      <c r="V2808" s="248">
        <f>_xll.qlCalendarAdvance(Calendar,U2808,NDays&amp;"D")</f>
        <v>58511</v>
      </c>
      <c r="W2808" s="249">
        <v>2.2650083523076962E-2</v>
      </c>
      <c r="X2808" s="246">
        <v>2.257963684202835E-2</v>
      </c>
    </row>
    <row r="2809" spans="20:24" x14ac:dyDescent="0.2">
      <c r="T2809" s="247" t="str">
        <f t="shared" si="48"/>
        <v>1w</v>
      </c>
      <c r="U2809" s="245">
        <f>_xll.qlCalendarAdvance(Calendar,U2808,T2809,"f",FALSE)</f>
        <v>58516</v>
      </c>
      <c r="V2809" s="248">
        <f>_xll.qlCalendarAdvance(Calendar,U2809,NDays&amp;"D")</f>
        <v>58518</v>
      </c>
      <c r="W2809" s="249">
        <v>2.2651037465769623E-2</v>
      </c>
      <c r="X2809" s="246">
        <v>2.2580467418755745E-2</v>
      </c>
    </row>
    <row r="2810" spans="20:24" x14ac:dyDescent="0.2">
      <c r="T2810" s="247" t="str">
        <f t="shared" si="48"/>
        <v>1w</v>
      </c>
      <c r="U2810" s="245">
        <f>_xll.qlCalendarAdvance(Calendar,U2809,T2810,"f",FALSE)</f>
        <v>58523</v>
      </c>
      <c r="V2810" s="248">
        <f>_xll.qlCalendarAdvance(Calendar,U2810,NDays&amp;"D")</f>
        <v>58525</v>
      </c>
      <c r="W2810" s="249">
        <v>2.2652009656487119E-2</v>
      </c>
      <c r="X2810" s="246">
        <v>2.2581316139289598E-2</v>
      </c>
    </row>
    <row r="2811" spans="20:24" x14ac:dyDescent="0.2">
      <c r="T2811" s="247" t="str">
        <f t="shared" si="48"/>
        <v>1w</v>
      </c>
      <c r="U2811" s="245">
        <f>_xll.qlCalendarAdvance(Calendar,U2810,T2811,"f",FALSE)</f>
        <v>58530</v>
      </c>
      <c r="V2811" s="248">
        <f>_xll.qlCalendarAdvance(Calendar,U2811,NDays&amp;"D")</f>
        <v>58532</v>
      </c>
      <c r="W2811" s="249">
        <v>2.2652214575761605E-2</v>
      </c>
      <c r="X2811" s="246">
        <v>2.258218300378978E-2</v>
      </c>
    </row>
    <row r="2812" spans="20:24" x14ac:dyDescent="0.2">
      <c r="T2812" s="247" t="str">
        <f t="shared" si="48"/>
        <v>1w</v>
      </c>
      <c r="U2812" s="245">
        <f>_xll.qlCalendarAdvance(Calendar,U2811,T2812,"f",FALSE)</f>
        <v>58537</v>
      </c>
      <c r="V2812" s="248">
        <f>_xll.qlCalendarAdvance(Calendar,U2812,NDays&amp;"D")</f>
        <v>58539</v>
      </c>
      <c r="W2812" s="249">
        <v>2.2653221895930862E-2</v>
      </c>
      <c r="X2812" s="246">
        <v>2.2583068012176355E-2</v>
      </c>
    </row>
    <row r="2813" spans="20:24" x14ac:dyDescent="0.2">
      <c r="T2813" s="247" t="str">
        <f t="shared" si="48"/>
        <v>1w</v>
      </c>
      <c r="U2813" s="245">
        <f>_xll.qlCalendarAdvance(Calendar,U2812,T2813,"f",FALSE)</f>
        <v>58544</v>
      </c>
      <c r="V2813" s="248">
        <f>_xll.qlCalendarAdvance(Calendar,U2813,NDays&amp;"D")</f>
        <v>58546</v>
      </c>
      <c r="W2813" s="249">
        <v>2.2654247463018817E-2</v>
      </c>
      <c r="X2813" s="246">
        <v>2.2587066686368118E-2</v>
      </c>
    </row>
    <row r="2814" spans="20:24" x14ac:dyDescent="0.2">
      <c r="T2814" s="247" t="str">
        <f t="shared" si="48"/>
        <v>1w</v>
      </c>
      <c r="U2814" s="245">
        <f>_xll.qlCalendarAdvance(Calendar,U2813,T2814,"f",FALSE)</f>
        <v>58551</v>
      </c>
      <c r="V2814" s="248">
        <f>_xll.qlCalendarAdvance(Calendar,U2814,NDays&amp;"D")</f>
        <v>58553</v>
      </c>
      <c r="W2814" s="249">
        <v>2.2655291277036894E-2</v>
      </c>
      <c r="X2814" s="246">
        <v>2.2584892460768557E-2</v>
      </c>
    </row>
    <row r="2815" spans="20:24" x14ac:dyDescent="0.2">
      <c r="T2815" s="247" t="str">
        <f t="shared" si="48"/>
        <v>1w</v>
      </c>
      <c r="U2815" s="245">
        <f>_xll.qlCalendarAdvance(Calendar,U2814,T2815,"f",FALSE)</f>
        <v>58558</v>
      </c>
      <c r="V2815" s="248">
        <f>_xll.qlCalendarAdvance(Calendar,U2815,NDays&amp;"D")</f>
        <v>58560</v>
      </c>
      <c r="W2815" s="249">
        <v>2.2656353338001783E-2</v>
      </c>
      <c r="X2815" s="246">
        <v>2.2585831900894249E-2</v>
      </c>
    </row>
    <row r="2816" spans="20:24" x14ac:dyDescent="0.2">
      <c r="T2816" s="247" t="str">
        <f t="shared" si="48"/>
        <v>1w</v>
      </c>
      <c r="U2816" s="245">
        <f>_xll.qlCalendarAdvance(Calendar,U2815,T2816,"f",FALSE)</f>
        <v>58565</v>
      </c>
      <c r="V2816" s="248">
        <f>_xll.qlCalendarAdvance(Calendar,U2816,NDays&amp;"D")</f>
        <v>58567</v>
      </c>
      <c r="W2816" s="249">
        <v>2.2658226010098117E-2</v>
      </c>
      <c r="X2816" s="246">
        <v>2.2586789484986269E-2</v>
      </c>
    </row>
    <row r="2817" spans="20:24" x14ac:dyDescent="0.2">
      <c r="T2817" s="247" t="str">
        <f t="shared" si="48"/>
        <v>1w</v>
      </c>
      <c r="U2817" s="245">
        <f>_xll.qlCalendarAdvance(Calendar,U2816,T2817,"f",FALSE)</f>
        <v>58572</v>
      </c>
      <c r="V2817" s="248">
        <f>_xll.qlCalendarAdvance(Calendar,U2817,NDays&amp;"D")</f>
        <v>58574</v>
      </c>
      <c r="W2817" s="249">
        <v>2.2659325937384758E-2</v>
      </c>
      <c r="X2817" s="246">
        <v>2.2587765212964683E-2</v>
      </c>
    </row>
    <row r="2818" spans="20:24" x14ac:dyDescent="0.2">
      <c r="T2818" s="247" t="str">
        <f t="shared" si="48"/>
        <v>1w</v>
      </c>
      <c r="U2818" s="245">
        <f>_xll.qlCalendarAdvance(Calendar,U2817,T2818,"f",FALSE)</f>
        <v>58579</v>
      </c>
      <c r="V2818" s="248">
        <f>_xll.qlCalendarAdvance(Calendar,U2818,NDays&amp;"D")</f>
        <v>58581</v>
      </c>
      <c r="W2818" s="249">
        <v>2.2660444112813531E-2</v>
      </c>
      <c r="X2818" s="246">
        <v>2.2588759084909427E-2</v>
      </c>
    </row>
    <row r="2819" spans="20:24" x14ac:dyDescent="0.2">
      <c r="T2819" s="247" t="str">
        <f t="shared" si="48"/>
        <v>1w</v>
      </c>
      <c r="U2819" s="245">
        <f>_xll.qlCalendarAdvance(Calendar,U2818,T2819,"f",FALSE)</f>
        <v>58586</v>
      </c>
      <c r="V2819" s="248">
        <f>_xll.qlCalendarAdvance(Calendar,U2819,NDays&amp;"D")</f>
        <v>58588</v>
      </c>
      <c r="W2819" s="249">
        <v>2.2661580536395724E-2</v>
      </c>
      <c r="X2819" s="246">
        <v>2.2589771100580691E-2</v>
      </c>
    </row>
    <row r="2820" spans="20:24" x14ac:dyDescent="0.2">
      <c r="T2820" s="247" t="str">
        <f t="shared" si="48"/>
        <v>1w</v>
      </c>
      <c r="U2820" s="245">
        <f>_xll.qlCalendarAdvance(Calendar,U2819,T2820,"f",FALSE)</f>
        <v>58593</v>
      </c>
      <c r="V2820" s="248">
        <f>_xll.qlCalendarAdvance(Calendar,U2820,NDays&amp;"D")</f>
        <v>58595</v>
      </c>
      <c r="W2820" s="249">
        <v>2.2662735208151326E-2</v>
      </c>
      <c r="X2820" s="246">
        <v>2.2590801260298221E-2</v>
      </c>
    </row>
    <row r="2821" spans="20:24" x14ac:dyDescent="0.2">
      <c r="T2821" s="247" t="str">
        <f t="shared" si="48"/>
        <v>1w</v>
      </c>
      <c r="U2821" s="245">
        <f>_xll.qlCalendarAdvance(Calendar,U2820,T2821,"f",FALSE)</f>
        <v>58600</v>
      </c>
      <c r="V2821" s="248">
        <f>_xll.qlCalendarAdvance(Calendar,U2821,NDays&amp;"D")</f>
        <v>58602</v>
      </c>
      <c r="W2821" s="249">
        <v>2.2663908128096842E-2</v>
      </c>
      <c r="X2821" s="246">
        <v>2.2591849563902144E-2</v>
      </c>
    </row>
    <row r="2822" spans="20:24" x14ac:dyDescent="0.2">
      <c r="T2822" s="247" t="str">
        <f t="shared" si="48"/>
        <v>1w</v>
      </c>
      <c r="U2822" s="245">
        <f>_xll.qlCalendarAdvance(Calendar,U2821,T2822,"f",FALSE)</f>
        <v>58607</v>
      </c>
      <c r="V2822" s="248">
        <f>_xll.qlCalendarAdvance(Calendar,U2822,NDays&amp;"D")</f>
        <v>58609</v>
      </c>
      <c r="W2822" s="249">
        <v>2.266509929624444E-2</v>
      </c>
      <c r="X2822" s="246">
        <v>2.2592916011392461E-2</v>
      </c>
    </row>
    <row r="2823" spans="20:24" x14ac:dyDescent="0.2">
      <c r="T2823" s="247" t="str">
        <f t="shared" si="48"/>
        <v>1w</v>
      </c>
      <c r="U2823" s="245">
        <f>_xll.qlCalendarAdvance(Calendar,U2822,T2823,"f",FALSE)</f>
        <v>58614</v>
      </c>
      <c r="V2823" s="248">
        <f>_xll.qlCalendarAdvance(Calendar,U2823,NDays&amp;"D")</f>
        <v>58616</v>
      </c>
      <c r="W2823" s="249">
        <v>2.2666308712614099E-2</v>
      </c>
      <c r="X2823" s="246">
        <v>2.2594000602849107E-2</v>
      </c>
    </row>
    <row r="2824" spans="20:24" x14ac:dyDescent="0.2">
      <c r="T2824" s="247" t="str">
        <f t="shared" si="48"/>
        <v>1w</v>
      </c>
      <c r="U2824" s="245">
        <f>_xll.qlCalendarAdvance(Calendar,U2823,T2824,"f",FALSE)</f>
        <v>58621</v>
      </c>
      <c r="V2824" s="248">
        <f>_xll.qlCalendarAdvance(Calendar,U2824,NDays&amp;"D")</f>
        <v>58623</v>
      </c>
      <c r="W2824" s="249">
        <v>2.2667536377219726E-2</v>
      </c>
      <c r="X2824" s="246">
        <v>2.2595103338192146E-2</v>
      </c>
    </row>
    <row r="2825" spans="20:24" x14ac:dyDescent="0.2">
      <c r="T2825" s="247" t="str">
        <f t="shared" si="48"/>
        <v>1w</v>
      </c>
      <c r="U2825" s="245">
        <f>_xll.qlCalendarAdvance(Calendar,U2824,T2825,"f",FALSE)</f>
        <v>58628</v>
      </c>
      <c r="V2825" s="248">
        <f>_xll.qlCalendarAdvance(Calendar,U2825,NDays&amp;"D")</f>
        <v>58630</v>
      </c>
      <c r="W2825" s="249">
        <v>2.2668782290083039E-2</v>
      </c>
      <c r="X2825" s="246">
        <v>2.2596224217501515E-2</v>
      </c>
    </row>
    <row r="2826" spans="20:24" x14ac:dyDescent="0.2">
      <c r="T2826" s="247" t="str">
        <f t="shared" si="48"/>
        <v>1w</v>
      </c>
      <c r="U2826" s="245">
        <f>_xll.qlCalendarAdvance(Calendar,U2825,T2826,"f",FALSE)</f>
        <v>58635</v>
      </c>
      <c r="V2826" s="248">
        <f>_xll.qlCalendarAdvance(Calendar,U2826,NDays&amp;"D")</f>
        <v>58637</v>
      </c>
      <c r="W2826" s="249">
        <v>2.2670046451215335E-2</v>
      </c>
      <c r="X2826" s="246">
        <v>2.2597363240537405E-2</v>
      </c>
    </row>
    <row r="2827" spans="20:24" x14ac:dyDescent="0.2">
      <c r="T2827" s="247" t="str">
        <f t="shared" si="48"/>
        <v>1w</v>
      </c>
      <c r="U2827" s="245">
        <f>_xll.qlCalendarAdvance(Calendar,U2826,T2827,"f",FALSE)</f>
        <v>58642</v>
      </c>
      <c r="V2827" s="248">
        <f>_xll.qlCalendarAdvance(Calendar,U2827,NDays&amp;"D")</f>
        <v>58644</v>
      </c>
      <c r="W2827" s="249">
        <v>2.2671328860639207E-2</v>
      </c>
      <c r="X2827" s="246">
        <v>2.2598520407699496E-2</v>
      </c>
    </row>
    <row r="2828" spans="20:24" x14ac:dyDescent="0.2">
      <c r="T2828" s="247" t="str">
        <f t="shared" si="48"/>
        <v>1w</v>
      </c>
      <c r="U2828" s="245">
        <f>_xll.qlCalendarAdvance(Calendar,U2827,T2828,"f",FALSE)</f>
        <v>58649</v>
      </c>
      <c r="V2828" s="248">
        <f>_xll.qlCalendarAdvance(Calendar,U2828,NDays&amp;"D")</f>
        <v>58651</v>
      </c>
      <c r="W2828" s="249">
        <v>2.267262951836942E-2</v>
      </c>
      <c r="X2828" s="246">
        <v>2.2599695718668045E-2</v>
      </c>
    </row>
    <row r="2829" spans="20:24" x14ac:dyDescent="0.2">
      <c r="T2829" s="247" t="str">
        <f t="shared" si="48"/>
        <v>1w</v>
      </c>
      <c r="U2829" s="245">
        <f>_xll.qlCalendarAdvance(Calendar,U2828,T2829,"f",FALSE)</f>
        <v>58656</v>
      </c>
      <c r="V2829" s="248">
        <f>_xll.qlCalendarAdvance(Calendar,U2829,NDays&amp;"D")</f>
        <v>58658</v>
      </c>
      <c r="W2829" s="249">
        <v>2.2673948424426833E-2</v>
      </c>
      <c r="X2829" s="246">
        <v>2.2600889173522987E-2</v>
      </c>
    </row>
    <row r="2830" spans="20:24" x14ac:dyDescent="0.2">
      <c r="T2830" s="247" t="str">
        <f t="shared" si="48"/>
        <v>1w</v>
      </c>
      <c r="U2830" s="245">
        <f>_xll.qlCalendarAdvance(Calendar,U2829,T2830,"f",FALSE)</f>
        <v>58663</v>
      </c>
      <c r="V2830" s="248">
        <f>_xll.qlCalendarAdvance(Calendar,U2830,NDays&amp;"D")</f>
        <v>58665</v>
      </c>
      <c r="W2830" s="249">
        <v>2.2675285578826213E-2</v>
      </c>
      <c r="X2830" s="246">
        <v>2.2602100772344258E-2</v>
      </c>
    </row>
    <row r="2831" spans="20:24" x14ac:dyDescent="0.2">
      <c r="T2831" s="247" t="str">
        <f t="shared" si="48"/>
        <v>1w</v>
      </c>
      <c r="U2831" s="245">
        <f>_xll.qlCalendarAdvance(Calendar,U2830,T2831,"f",FALSE)</f>
        <v>58670</v>
      </c>
      <c r="V2831" s="248">
        <f>_xll.qlCalendarAdvance(Calendar,U2831,NDays&amp;"D")</f>
        <v>58672</v>
      </c>
      <c r="W2831" s="249">
        <v>2.2676640981590151E-2</v>
      </c>
      <c r="X2831" s="246">
        <v>2.2603330515131859E-2</v>
      </c>
    </row>
    <row r="2832" spans="20:24" x14ac:dyDescent="0.2">
      <c r="T2832" s="247" t="str">
        <f t="shared" si="48"/>
        <v>1w</v>
      </c>
      <c r="U2832" s="245">
        <f>_xll.qlCalendarAdvance(Calendar,U2831,T2832,"f",FALSE)</f>
        <v>58677</v>
      </c>
      <c r="V2832" s="248">
        <f>_xll.qlCalendarAdvance(Calendar,U2832,NDays&amp;"D")</f>
        <v>58679</v>
      </c>
      <c r="W2832" s="249">
        <v>2.2678014632734288E-2</v>
      </c>
      <c r="X2832" s="246">
        <v>2.2604578401725917E-2</v>
      </c>
    </row>
    <row r="2833" spans="20:24" x14ac:dyDescent="0.2">
      <c r="T2833" s="247" t="str">
        <f t="shared" si="48"/>
        <v>1w</v>
      </c>
      <c r="U2833" s="245">
        <f>_xll.qlCalendarAdvance(Calendar,U2832,T2833,"f",FALSE)</f>
        <v>58684</v>
      </c>
      <c r="V2833" s="248">
        <f>_xll.qlCalendarAdvance(Calendar,U2833,NDays&amp;"D")</f>
        <v>58686</v>
      </c>
      <c r="W2833" s="249">
        <v>2.2678590681057965E-2</v>
      </c>
      <c r="X2833" s="246">
        <v>2.2605844432206368E-2</v>
      </c>
    </row>
    <row r="2834" spans="20:24" x14ac:dyDescent="0.2">
      <c r="T2834" s="247" t="str">
        <f t="shared" ref="T2834:T2897" si="49">T2833</f>
        <v>1w</v>
      </c>
      <c r="U2834" s="245">
        <f>_xll.qlCalendarAdvance(Calendar,U2833,T2834,"f",FALSE)</f>
        <v>58691</v>
      </c>
      <c r="V2834" s="248">
        <f>_xll.qlCalendarAdvance(Calendar,U2834,NDays&amp;"D")</f>
        <v>58693</v>
      </c>
      <c r="W2834" s="249">
        <v>2.2679999437063003E-2</v>
      </c>
      <c r="X2834" s="246">
        <v>2.2607128606653148E-2</v>
      </c>
    </row>
    <row r="2835" spans="20:24" x14ac:dyDescent="0.2">
      <c r="T2835" s="247" t="str">
        <f t="shared" si="49"/>
        <v>1w</v>
      </c>
      <c r="U2835" s="245">
        <f>_xll.qlCalendarAdvance(Calendar,U2834,T2835,"f",FALSE)</f>
        <v>58698</v>
      </c>
      <c r="V2835" s="248">
        <f>_xll.qlCalendarAdvance(Calendar,U2835,NDays&amp;"D")</f>
        <v>58700</v>
      </c>
      <c r="W2835" s="249">
        <v>2.2681426440357436E-2</v>
      </c>
      <c r="X2835" s="246">
        <v>2.2608430925066259E-2</v>
      </c>
    </row>
    <row r="2836" spans="20:24" x14ac:dyDescent="0.2">
      <c r="T2836" s="247" t="str">
        <f t="shared" si="49"/>
        <v>1w</v>
      </c>
      <c r="U2836" s="245">
        <f>_xll.qlCalendarAdvance(Calendar,U2835,T2836,"f",FALSE)</f>
        <v>58705</v>
      </c>
      <c r="V2836" s="248">
        <f>_xll.qlCalendarAdvance(Calendar,U2836,NDays&amp;"D")</f>
        <v>58707</v>
      </c>
      <c r="W2836" s="249">
        <v>2.2682871690954436E-2</v>
      </c>
      <c r="X2836" s="246">
        <v>2.2609751387285826E-2</v>
      </c>
    </row>
    <row r="2837" spans="20:24" x14ac:dyDescent="0.2">
      <c r="T2837" s="247" t="str">
        <f t="shared" si="49"/>
        <v>1w</v>
      </c>
      <c r="U2837" s="245">
        <f>_xll.qlCalendarAdvance(Calendar,U2836,T2837,"f",FALSE)</f>
        <v>58712</v>
      </c>
      <c r="V2837" s="248">
        <f>_xll.qlCalendarAdvance(Calendar,U2837,NDays&amp;"D")</f>
        <v>58714</v>
      </c>
      <c r="W2837" s="249">
        <v>2.2685156614854776E-2</v>
      </c>
      <c r="X2837" s="246">
        <v>2.2611089993391786E-2</v>
      </c>
    </row>
    <row r="2838" spans="20:24" x14ac:dyDescent="0.2">
      <c r="T2838" s="247" t="str">
        <f t="shared" si="49"/>
        <v>1w</v>
      </c>
      <c r="U2838" s="245">
        <f>_xll.qlCalendarAdvance(Calendar,U2837,T2838,"f",FALSE)</f>
        <v>58719</v>
      </c>
      <c r="V2838" s="248">
        <f>_xll.qlCalendarAdvance(Calendar,U2838,NDays&amp;"D")</f>
        <v>58721</v>
      </c>
      <c r="W2838" s="249">
        <v>2.2686639756698029E-2</v>
      </c>
      <c r="X2838" s="246">
        <v>2.2612446743623948E-2</v>
      </c>
    </row>
    <row r="2839" spans="20:24" x14ac:dyDescent="0.2">
      <c r="T2839" s="247" t="str">
        <f t="shared" si="49"/>
        <v>1w</v>
      </c>
      <c r="U2839" s="245">
        <f>_xll.qlCalendarAdvance(Calendar,U2838,T2839,"f",FALSE)</f>
        <v>58726</v>
      </c>
      <c r="V2839" s="248">
        <f>_xll.qlCalendarAdvance(Calendar,U2839,NDays&amp;"D")</f>
        <v>58728</v>
      </c>
      <c r="W2839" s="249">
        <v>2.2688141147061369E-2</v>
      </c>
      <c r="X2839" s="246">
        <v>2.2613821637582632E-2</v>
      </c>
    </row>
    <row r="2840" spans="20:24" x14ac:dyDescent="0.2">
      <c r="T2840" s="247" t="str">
        <f t="shared" si="49"/>
        <v>1w</v>
      </c>
      <c r="U2840" s="245">
        <f>_xll.qlCalendarAdvance(Calendar,U2839,T2840,"f",FALSE)</f>
        <v>58733</v>
      </c>
      <c r="V2840" s="248">
        <f>_xll.qlCalendarAdvance(Calendar,U2840,NDays&amp;"D")</f>
        <v>58735</v>
      </c>
      <c r="W2840" s="249">
        <v>2.2689660785967382E-2</v>
      </c>
      <c r="X2840" s="246">
        <v>2.2615214675507644E-2</v>
      </c>
    </row>
    <row r="2841" spans="20:24" x14ac:dyDescent="0.2">
      <c r="T2841" s="247" t="str">
        <f t="shared" si="49"/>
        <v>1w</v>
      </c>
      <c r="U2841" s="245">
        <f>_xll.qlCalendarAdvance(Calendar,U2840,T2841,"f",FALSE)</f>
        <v>58740</v>
      </c>
      <c r="V2841" s="248">
        <f>_xll.qlCalendarAdvance(Calendar,U2841,NDays&amp;"D")</f>
        <v>58742</v>
      </c>
      <c r="W2841" s="249">
        <v>2.2691198673434321E-2</v>
      </c>
      <c r="X2841" s="246">
        <v>2.261662585731905E-2</v>
      </c>
    </row>
    <row r="2842" spans="20:24" x14ac:dyDescent="0.2">
      <c r="T2842" s="247" t="str">
        <f t="shared" si="49"/>
        <v>1w</v>
      </c>
      <c r="U2842" s="245">
        <f>_xll.qlCalendarAdvance(Calendar,U2841,T2842,"f",FALSE)</f>
        <v>58747</v>
      </c>
      <c r="V2842" s="248">
        <f>_xll.qlCalendarAdvance(Calendar,U2842,NDays&amp;"D")</f>
        <v>58749</v>
      </c>
      <c r="W2842" s="249">
        <v>2.2692754809486512E-2</v>
      </c>
      <c r="X2842" s="246">
        <v>2.2618055183176722E-2</v>
      </c>
    </row>
    <row r="2843" spans="20:24" x14ac:dyDescent="0.2">
      <c r="T2843" s="247" t="str">
        <f t="shared" si="49"/>
        <v>1w</v>
      </c>
      <c r="U2843" s="245">
        <f>_xll.qlCalendarAdvance(Calendar,U2842,T2843,"f",FALSE)</f>
        <v>58754</v>
      </c>
      <c r="V2843" s="248">
        <f>_xll.qlCalendarAdvance(Calendar,U2843,NDays&amp;"D")</f>
        <v>58756</v>
      </c>
      <c r="W2843" s="249">
        <v>2.2694329194143069E-2</v>
      </c>
      <c r="X2843" s="246">
        <v>2.2619502652680978E-2</v>
      </c>
    </row>
    <row r="2844" spans="20:24" x14ac:dyDescent="0.2">
      <c r="T2844" s="247" t="str">
        <f t="shared" si="49"/>
        <v>1w</v>
      </c>
      <c r="U2844" s="245">
        <f>_xll.qlCalendarAdvance(Calendar,U2843,T2844,"f",FALSE)</f>
        <v>58761</v>
      </c>
      <c r="V2844" s="248">
        <f>_xll.qlCalendarAdvance(Calendar,U2844,NDays&amp;"D")</f>
        <v>58763</v>
      </c>
      <c r="W2844" s="249">
        <v>2.2695921827427454E-2</v>
      </c>
      <c r="X2844" s="246">
        <v>2.2620968266311436E-2</v>
      </c>
    </row>
    <row r="2845" spans="20:24" x14ac:dyDescent="0.2">
      <c r="T2845" s="247" t="str">
        <f t="shared" si="49"/>
        <v>1w</v>
      </c>
      <c r="U2845" s="245">
        <f>_xll.qlCalendarAdvance(Calendar,U2844,T2845,"f",FALSE)</f>
        <v>58768</v>
      </c>
      <c r="V2845" s="248">
        <f>_xll.qlCalendarAdvance(Calendar,U2845,NDays&amp;"D")</f>
        <v>58770</v>
      </c>
      <c r="W2845" s="249">
        <v>2.2697532709361385E-2</v>
      </c>
      <c r="X2845" s="246">
        <v>2.2622452023748352E-2</v>
      </c>
    </row>
    <row r="2846" spans="20:24" x14ac:dyDescent="0.2">
      <c r="T2846" s="247" t="str">
        <f t="shared" si="49"/>
        <v>1w</v>
      </c>
      <c r="U2846" s="245">
        <f>_xll.qlCalendarAdvance(Calendar,U2845,T2846,"f",FALSE)</f>
        <v>58775</v>
      </c>
      <c r="V2846" s="248">
        <f>_xll.qlCalendarAdvance(Calendar,U2846,NDays&amp;"D")</f>
        <v>58777</v>
      </c>
      <c r="W2846" s="249">
        <v>2.2697493935687874E-2</v>
      </c>
      <c r="X2846" s="246">
        <v>2.2623953925231532E-2</v>
      </c>
    </row>
    <row r="2847" spans="20:24" x14ac:dyDescent="0.2">
      <c r="T2847" s="247" t="str">
        <f t="shared" si="49"/>
        <v>1w</v>
      </c>
      <c r="U2847" s="245">
        <f>_xll.qlCalendarAdvance(Calendar,U2846,T2847,"f",FALSE)</f>
        <v>58782</v>
      </c>
      <c r="V2847" s="248">
        <f>_xll.qlCalendarAdvance(Calendar,U2847,NDays&amp;"D")</f>
        <v>58784</v>
      </c>
      <c r="W2847" s="249">
        <v>2.2699138501219629E-2</v>
      </c>
      <c r="X2847" s="246">
        <v>2.2625473970601107E-2</v>
      </c>
    </row>
    <row r="2848" spans="20:24" x14ac:dyDescent="0.2">
      <c r="T2848" s="247" t="str">
        <f t="shared" si="49"/>
        <v>1w</v>
      </c>
      <c r="U2848" s="245">
        <f>_xll.qlCalendarAdvance(Calendar,U2847,T2848,"f",FALSE)</f>
        <v>58789</v>
      </c>
      <c r="V2848" s="248">
        <f>_xll.qlCalendarAdvance(Calendar,U2848,NDays&amp;"D")</f>
        <v>58791</v>
      </c>
      <c r="W2848" s="249">
        <v>2.2700801313153995E-2</v>
      </c>
      <c r="X2848" s="246">
        <v>2.2627012159777138E-2</v>
      </c>
    </row>
    <row r="2849" spans="20:24" x14ac:dyDescent="0.2">
      <c r="T2849" s="247" t="str">
        <f t="shared" si="49"/>
        <v>1w</v>
      </c>
      <c r="U2849" s="245">
        <f>_xll.qlCalendarAdvance(Calendar,U2848,T2849,"f",FALSE)</f>
        <v>58796</v>
      </c>
      <c r="V2849" s="248">
        <f>_xll.qlCalendarAdvance(Calendar,U2849,NDays&amp;"D")</f>
        <v>58798</v>
      </c>
      <c r="W2849" s="249">
        <v>2.2702482371518506E-2</v>
      </c>
      <c r="X2849" s="246">
        <v>2.2628568492999435E-2</v>
      </c>
    </row>
    <row r="2850" spans="20:24" x14ac:dyDescent="0.2">
      <c r="T2850" s="247" t="str">
        <f t="shared" si="49"/>
        <v>1w</v>
      </c>
      <c r="U2850" s="245">
        <f>_xll.qlCalendarAdvance(Calendar,U2849,T2850,"f",FALSE)</f>
        <v>58803</v>
      </c>
      <c r="V2850" s="248">
        <f>_xll.qlCalendarAdvance(Calendar,U2850,NDays&amp;"D")</f>
        <v>58805</v>
      </c>
      <c r="W2850" s="249">
        <v>2.2704181676330926E-2</v>
      </c>
      <c r="X2850" s="246">
        <v>2.2630142970028189E-2</v>
      </c>
    </row>
    <row r="2851" spans="20:24" x14ac:dyDescent="0.2">
      <c r="T2851" s="247" t="str">
        <f t="shared" si="49"/>
        <v>1w</v>
      </c>
      <c r="U2851" s="245">
        <f>_xll.qlCalendarAdvance(Calendar,U2850,T2851,"f",FALSE)</f>
        <v>58810</v>
      </c>
      <c r="V2851" s="248">
        <f>_xll.qlCalendarAdvance(Calendar,U2851,NDays&amp;"D")</f>
        <v>58812</v>
      </c>
      <c r="W2851" s="249">
        <v>2.270589922761701E-2</v>
      </c>
      <c r="X2851" s="246">
        <v>2.2631735590943336E-2</v>
      </c>
    </row>
    <row r="2852" spans="20:24" x14ac:dyDescent="0.2">
      <c r="T2852" s="247" t="str">
        <f t="shared" si="49"/>
        <v>1w</v>
      </c>
      <c r="U2852" s="245">
        <f>_xll.qlCalendarAdvance(Calendar,U2851,T2852,"f",FALSE)</f>
        <v>58817</v>
      </c>
      <c r="V2852" s="248">
        <f>_xll.qlCalendarAdvance(Calendar,U2852,NDays&amp;"D")</f>
        <v>58819</v>
      </c>
      <c r="W2852" s="249">
        <v>2.2707635025398965E-2</v>
      </c>
      <c r="X2852" s="246">
        <v>2.2633346355824813E-2</v>
      </c>
    </row>
    <row r="2853" spans="20:24" x14ac:dyDescent="0.2">
      <c r="T2853" s="247" t="str">
        <f t="shared" si="49"/>
        <v>1w</v>
      </c>
      <c r="U2853" s="245">
        <f>_xll.qlCalendarAdvance(Calendar,U2852,T2853,"f",FALSE)</f>
        <v>58824</v>
      </c>
      <c r="V2853" s="248">
        <f>_xll.qlCalendarAdvance(Calendar,U2853,NDays&amp;"D")</f>
        <v>58826</v>
      </c>
      <c r="W2853" s="249">
        <v>2.2709389069701658E-2</v>
      </c>
      <c r="X2853" s="246">
        <v>2.2634975264752555E-2</v>
      </c>
    </row>
    <row r="2854" spans="20:24" x14ac:dyDescent="0.2">
      <c r="T2854" s="247" t="str">
        <f t="shared" si="49"/>
        <v>1w</v>
      </c>
      <c r="U2854" s="245">
        <f>_xll.qlCalendarAdvance(Calendar,U2853,T2854,"f",FALSE)</f>
        <v>58831</v>
      </c>
      <c r="V2854" s="248">
        <f>_xll.qlCalendarAdvance(Calendar,U2854,NDays&amp;"D")</f>
        <v>58833</v>
      </c>
      <c r="W2854" s="249">
        <v>2.271116136054907E-2</v>
      </c>
      <c r="X2854" s="246">
        <v>2.2636622317486754E-2</v>
      </c>
    </row>
    <row r="2855" spans="20:24" x14ac:dyDescent="0.2">
      <c r="T2855" s="247" t="str">
        <f t="shared" si="49"/>
        <v>1w</v>
      </c>
      <c r="U2855" s="245">
        <f>_xll.qlCalendarAdvance(Calendar,U2854,T2855,"f",FALSE)</f>
        <v>58838</v>
      </c>
      <c r="V2855" s="248">
        <f>_xll.qlCalendarAdvance(Calendar,U2855,NDays&amp;"D")</f>
        <v>58840</v>
      </c>
      <c r="W2855" s="249">
        <v>2.271210549820751E-2</v>
      </c>
      <c r="X2855" s="246">
        <v>2.2638287514107347E-2</v>
      </c>
    </row>
    <row r="2856" spans="20:24" x14ac:dyDescent="0.2">
      <c r="T2856" s="247" t="str">
        <f t="shared" si="49"/>
        <v>1w</v>
      </c>
      <c r="U2856" s="245">
        <f>_xll.qlCalendarAdvance(Calendar,U2855,T2856,"f",FALSE)</f>
        <v>58845</v>
      </c>
      <c r="V2856" s="248">
        <f>_xll.qlCalendarAdvance(Calendar,U2856,NDays&amp;"D")</f>
        <v>58847</v>
      </c>
      <c r="W2856" s="249">
        <v>2.271391286516922E-2</v>
      </c>
      <c r="X2856" s="246">
        <v>2.2639970854694269E-2</v>
      </c>
    </row>
    <row r="2857" spans="20:24" x14ac:dyDescent="0.2">
      <c r="T2857" s="247" t="str">
        <f t="shared" si="49"/>
        <v>1w</v>
      </c>
      <c r="U2857" s="245">
        <f>_xll.qlCalendarAdvance(Calendar,U2856,T2857,"f",FALSE)</f>
        <v>58852</v>
      </c>
      <c r="V2857" s="248">
        <f>_xll.qlCalendarAdvance(Calendar,U2857,NDays&amp;"D")</f>
        <v>58854</v>
      </c>
      <c r="W2857" s="249">
        <v>2.2715738477591802E-2</v>
      </c>
      <c r="X2857" s="246">
        <v>2.2641672339167584E-2</v>
      </c>
    </row>
    <row r="2858" spans="20:24" x14ac:dyDescent="0.2">
      <c r="T2858" s="247" t="str">
        <f t="shared" si="49"/>
        <v>1w</v>
      </c>
      <c r="U2858" s="245">
        <f>_xll.qlCalendarAdvance(Calendar,U2857,T2858,"f",FALSE)</f>
        <v>58859</v>
      </c>
      <c r="V2858" s="248">
        <f>_xll.qlCalendarAdvance(Calendar,U2858,NDays&amp;"D")</f>
        <v>58861</v>
      </c>
      <c r="W2858" s="249">
        <v>2.2717582335495017E-2</v>
      </c>
      <c r="X2858" s="246">
        <v>2.2643391967687165E-2</v>
      </c>
    </row>
    <row r="2859" spans="20:24" x14ac:dyDescent="0.2">
      <c r="T2859" s="247" t="str">
        <f t="shared" si="49"/>
        <v>1w</v>
      </c>
      <c r="U2859" s="245">
        <f>_xll.qlCalendarAdvance(Calendar,U2858,T2859,"f",FALSE)</f>
        <v>58866</v>
      </c>
      <c r="V2859" s="248">
        <f>_xll.qlCalendarAdvance(Calendar,U2859,NDays&amp;"D")</f>
        <v>58868</v>
      </c>
      <c r="W2859" s="249">
        <v>2.2722001177657245E-2</v>
      </c>
      <c r="X2859" s="246">
        <v>2.2645129739773395E-2</v>
      </c>
    </row>
    <row r="2860" spans="20:24" x14ac:dyDescent="0.2">
      <c r="T2860" s="247" t="str">
        <f t="shared" si="49"/>
        <v>1w</v>
      </c>
      <c r="U2860" s="245">
        <f>_xll.qlCalendarAdvance(Calendar,U2859,T2860,"f",FALSE)</f>
        <v>58873</v>
      </c>
      <c r="V2860" s="248">
        <f>_xll.qlCalendarAdvance(Calendar,U2860,NDays&amp;"D")</f>
        <v>58875</v>
      </c>
      <c r="W2860" s="249">
        <v>2.2723885792166911E-2</v>
      </c>
      <c r="X2860" s="246">
        <v>2.2646885656145699E-2</v>
      </c>
    </row>
    <row r="2861" spans="20:24" x14ac:dyDescent="0.2">
      <c r="T2861" s="247" t="str">
        <f t="shared" si="49"/>
        <v>1w</v>
      </c>
      <c r="U2861" s="245">
        <f>_xll.qlCalendarAdvance(Calendar,U2860,T2861,"f",FALSE)</f>
        <v>58880</v>
      </c>
      <c r="V2861" s="248">
        <f>_xll.qlCalendarAdvance(Calendar,U2861,NDays&amp;"D")</f>
        <v>58882</v>
      </c>
      <c r="W2861" s="249">
        <v>2.2725788655714514E-2</v>
      </c>
      <c r="X2861" s="246">
        <v>2.2648659716404396E-2</v>
      </c>
    </row>
    <row r="2862" spans="20:24" x14ac:dyDescent="0.2">
      <c r="T2862" s="247" t="str">
        <f t="shared" si="49"/>
        <v>1w</v>
      </c>
      <c r="U2862" s="245">
        <f>_xll.qlCalendarAdvance(Calendar,U2861,T2862,"f",FALSE)</f>
        <v>58887</v>
      </c>
      <c r="V2862" s="248">
        <f>_xll.qlCalendarAdvance(Calendar,U2862,NDays&amp;"D")</f>
        <v>58889</v>
      </c>
      <c r="W2862" s="249">
        <v>2.2727709768326984E-2</v>
      </c>
      <c r="X2862" s="246">
        <v>2.2650451920389614E-2</v>
      </c>
    </row>
    <row r="2863" spans="20:24" x14ac:dyDescent="0.2">
      <c r="T2863" s="247" t="str">
        <f t="shared" si="49"/>
        <v>1w</v>
      </c>
      <c r="U2863" s="245">
        <f>_xll.qlCalendarAdvance(Calendar,U2862,T2863,"f",FALSE)</f>
        <v>58894</v>
      </c>
      <c r="V2863" s="248">
        <f>_xll.qlCalendarAdvance(Calendar,U2863,NDays&amp;"D")</f>
        <v>58896</v>
      </c>
      <c r="W2863" s="249">
        <v>2.2728791017337071E-2</v>
      </c>
      <c r="X2863" s="246">
        <v>2.2652262268341161E-2</v>
      </c>
    </row>
    <row r="2864" spans="20:24" x14ac:dyDescent="0.2">
      <c r="T2864" s="247" t="str">
        <f t="shared" si="49"/>
        <v>1w</v>
      </c>
      <c r="U2864" s="245">
        <f>_xll.qlCalendarAdvance(Calendar,U2863,T2864,"f",FALSE)</f>
        <v>58901</v>
      </c>
      <c r="V2864" s="248">
        <f>_xll.qlCalendarAdvance(Calendar,U2864,NDays&amp;"D")</f>
        <v>58903</v>
      </c>
      <c r="W2864" s="249">
        <v>2.2730747201488877E-2</v>
      </c>
      <c r="X2864" s="246">
        <v>2.2657468355886223E-2</v>
      </c>
    </row>
    <row r="2865" spans="20:24" x14ac:dyDescent="0.2">
      <c r="T2865" s="247" t="str">
        <f t="shared" si="49"/>
        <v>1w</v>
      </c>
      <c r="U2865" s="245">
        <f>_xll.qlCalendarAdvance(Calendar,U2864,T2865,"f",FALSE)</f>
        <v>58908</v>
      </c>
      <c r="V2865" s="248">
        <f>_xll.qlCalendarAdvance(Calendar,U2865,NDays&amp;"D")</f>
        <v>58910</v>
      </c>
      <c r="W2865" s="249">
        <v>2.2732721633625785E-2</v>
      </c>
      <c r="X2865" s="246">
        <v>2.265593739622318E-2</v>
      </c>
    </row>
    <row r="2866" spans="20:24" x14ac:dyDescent="0.2">
      <c r="T2866" s="247" t="str">
        <f t="shared" si="49"/>
        <v>1w</v>
      </c>
      <c r="U2866" s="245">
        <f>_xll.qlCalendarAdvance(Calendar,U2865,T2866,"f",FALSE)</f>
        <v>58915</v>
      </c>
      <c r="V2866" s="248">
        <f>_xll.qlCalendarAdvance(Calendar,U2866,NDays&amp;"D")</f>
        <v>58917</v>
      </c>
      <c r="W2866" s="249">
        <v>2.2734714313772386E-2</v>
      </c>
      <c r="X2866" s="246">
        <v>2.2657802175833908E-2</v>
      </c>
    </row>
    <row r="2867" spans="20:24" x14ac:dyDescent="0.2">
      <c r="T2867" s="247" t="str">
        <f t="shared" si="49"/>
        <v>1w</v>
      </c>
      <c r="U2867" s="245">
        <f>_xll.qlCalendarAdvance(Calendar,U2866,T2867,"f",FALSE)</f>
        <v>58922</v>
      </c>
      <c r="V2867" s="248">
        <f>_xll.qlCalendarAdvance(Calendar,U2867,NDays&amp;"D")</f>
        <v>58924</v>
      </c>
      <c r="W2867" s="249">
        <v>2.273672524196119E-2</v>
      </c>
      <c r="X2867" s="246">
        <v>2.26596850994909E-2</v>
      </c>
    </row>
    <row r="2868" spans="20:24" x14ac:dyDescent="0.2">
      <c r="T2868" s="247" t="str">
        <f t="shared" si="49"/>
        <v>1w</v>
      </c>
      <c r="U2868" s="245">
        <f>_xll.qlCalendarAdvance(Calendar,U2867,T2868,"f",FALSE)</f>
        <v>58929</v>
      </c>
      <c r="V2868" s="248">
        <f>_xll.qlCalendarAdvance(Calendar,U2868,NDays&amp;"D")</f>
        <v>58931</v>
      </c>
      <c r="W2868" s="249">
        <v>2.2739619675884545E-2</v>
      </c>
      <c r="X2868" s="246">
        <v>2.2661586167274095E-2</v>
      </c>
    </row>
    <row r="2869" spans="20:24" x14ac:dyDescent="0.2">
      <c r="T2869" s="247" t="str">
        <f t="shared" si="49"/>
        <v>1w</v>
      </c>
      <c r="U2869" s="245">
        <f>_xll.qlCalendarAdvance(Calendar,U2868,T2869,"f",FALSE)</f>
        <v>58936</v>
      </c>
      <c r="V2869" s="248">
        <f>_xll.qlCalendarAdvance(Calendar,U2869,NDays&amp;"D")</f>
        <v>58938</v>
      </c>
      <c r="W2869" s="249">
        <v>2.2741668532715698E-2</v>
      </c>
      <c r="X2869" s="246">
        <v>2.2663505378623938E-2</v>
      </c>
    </row>
    <row r="2870" spans="20:24" x14ac:dyDescent="0.2">
      <c r="T2870" s="247" t="str">
        <f t="shared" si="49"/>
        <v>1w</v>
      </c>
      <c r="U2870" s="245">
        <f>_xll.qlCalendarAdvance(Calendar,U2869,T2870,"f",FALSE)</f>
        <v>58943</v>
      </c>
      <c r="V2870" s="248">
        <f>_xll.qlCalendarAdvance(Calendar,U2870,NDays&amp;"D")</f>
        <v>58945</v>
      </c>
      <c r="W2870" s="249">
        <v>2.274373563883067E-2</v>
      </c>
      <c r="X2870" s="246">
        <v>2.2665442734020047E-2</v>
      </c>
    </row>
    <row r="2871" spans="20:24" x14ac:dyDescent="0.2">
      <c r="T2871" s="247" t="str">
        <f t="shared" si="49"/>
        <v>1w</v>
      </c>
      <c r="U2871" s="245">
        <f>_xll.qlCalendarAdvance(Calendar,U2870,T2871,"f",FALSE)</f>
        <v>58950</v>
      </c>
      <c r="V2871" s="248">
        <f>_xll.qlCalendarAdvance(Calendar,U2871,NDays&amp;"D")</f>
        <v>58952</v>
      </c>
      <c r="W2871" s="249">
        <v>2.2745820994263352E-2</v>
      </c>
      <c r="X2871" s="246">
        <v>2.2667398233462421E-2</v>
      </c>
    </row>
    <row r="2872" spans="20:24" x14ac:dyDescent="0.2">
      <c r="T2872" s="247" t="str">
        <f t="shared" si="49"/>
        <v>1w</v>
      </c>
      <c r="U2872" s="245">
        <f>_xll.qlCalendarAdvance(Calendar,U2871,T2872,"f",FALSE)</f>
        <v>58957</v>
      </c>
      <c r="V2872" s="248">
        <f>_xll.qlCalendarAdvance(Calendar,U2872,NDays&amp;"D")</f>
        <v>58959</v>
      </c>
      <c r="W2872" s="249">
        <v>2.2747924599038075E-2</v>
      </c>
      <c r="X2872" s="246">
        <v>2.2669371876711253E-2</v>
      </c>
    </row>
    <row r="2873" spans="20:24" x14ac:dyDescent="0.2">
      <c r="T2873" s="247" t="str">
        <f t="shared" si="49"/>
        <v>1w</v>
      </c>
      <c r="U2873" s="245">
        <f>_xll.qlCalendarAdvance(Calendar,U2872,T2873,"f",FALSE)</f>
        <v>58964</v>
      </c>
      <c r="V2873" s="248">
        <f>_xll.qlCalendarAdvance(Calendar,U2873,NDays&amp;"D")</f>
        <v>58966</v>
      </c>
      <c r="W2873" s="249">
        <v>2.2750046453185242E-2</v>
      </c>
      <c r="X2873" s="246">
        <v>2.2671363663926414E-2</v>
      </c>
    </row>
    <row r="2874" spans="20:24" x14ac:dyDescent="0.2">
      <c r="T2874" s="247" t="str">
        <f t="shared" si="49"/>
        <v>1w</v>
      </c>
      <c r="U2874" s="245">
        <f>_xll.qlCalendarAdvance(Calendar,U2873,T2874,"f",FALSE)</f>
        <v>58971</v>
      </c>
      <c r="V2874" s="248">
        <f>_xll.qlCalendarAdvance(Calendar,U2874,NDays&amp;"D")</f>
        <v>58973</v>
      </c>
      <c r="W2874" s="249">
        <v>2.2752186556736137E-2</v>
      </c>
      <c r="X2874" s="246">
        <v>2.2673373595027968E-2</v>
      </c>
    </row>
    <row r="2875" spans="20:24" x14ac:dyDescent="0.2">
      <c r="T2875" s="247" t="str">
        <f t="shared" si="49"/>
        <v>1w</v>
      </c>
      <c r="U2875" s="245">
        <f>_xll.qlCalendarAdvance(Calendar,U2874,T2875,"f",FALSE)</f>
        <v>58978</v>
      </c>
      <c r="V2875" s="248">
        <f>_xll.qlCalendarAdvance(Calendar,U2875,NDays&amp;"D")</f>
        <v>58980</v>
      </c>
      <c r="W2875" s="249">
        <v>2.2754344909718564E-2</v>
      </c>
      <c r="X2875" s="246">
        <v>2.2675401670095852E-2</v>
      </c>
    </row>
    <row r="2876" spans="20:24" x14ac:dyDescent="0.2">
      <c r="T2876" s="247" t="str">
        <f t="shared" si="49"/>
        <v>1w</v>
      </c>
      <c r="U2876" s="245">
        <f>_xll.qlCalendarAdvance(Calendar,U2875,T2876,"f",FALSE)</f>
        <v>58985</v>
      </c>
      <c r="V2876" s="248">
        <f>_xll.qlCalendarAdvance(Calendar,U2876,NDays&amp;"D")</f>
        <v>58987</v>
      </c>
      <c r="W2876" s="249">
        <v>2.2756521512163803E-2</v>
      </c>
      <c r="X2876" s="246">
        <v>2.2677447889130065E-2</v>
      </c>
    </row>
    <row r="2877" spans="20:24" x14ac:dyDescent="0.2">
      <c r="T2877" s="247" t="str">
        <f t="shared" si="49"/>
        <v>1w</v>
      </c>
      <c r="U2877" s="245">
        <f>_xll.qlCalendarAdvance(Calendar,U2876,T2877,"f",FALSE)</f>
        <v>58992</v>
      </c>
      <c r="V2877" s="248">
        <f>_xll.qlCalendarAdvance(Calendar,U2877,NDays&amp;"D")</f>
        <v>58994</v>
      </c>
      <c r="W2877" s="249">
        <v>2.2758716364100522E-2</v>
      </c>
      <c r="X2877" s="246">
        <v>2.2679512251970735E-2</v>
      </c>
    </row>
    <row r="2878" spans="20:24" x14ac:dyDescent="0.2">
      <c r="T2878" s="247" t="str">
        <f t="shared" si="49"/>
        <v>1w</v>
      </c>
      <c r="U2878" s="245">
        <f>_xll.qlCalendarAdvance(Calendar,U2877,T2878,"f",FALSE)</f>
        <v>58999</v>
      </c>
      <c r="V2878" s="248">
        <f>_xll.qlCalendarAdvance(Calendar,U2878,NDays&amp;"D")</f>
        <v>59001</v>
      </c>
      <c r="W2878" s="249">
        <v>2.2760929465561745E-2</v>
      </c>
      <c r="X2878" s="246">
        <v>2.2681594758857671E-2</v>
      </c>
    </row>
    <row r="2879" spans="20:24" x14ac:dyDescent="0.2">
      <c r="T2879" s="247" t="str">
        <f t="shared" si="49"/>
        <v>1w</v>
      </c>
      <c r="U2879" s="245">
        <f>_xll.qlCalendarAdvance(Calendar,U2878,T2879,"f",FALSE)</f>
        <v>59006</v>
      </c>
      <c r="V2879" s="248">
        <f>_xll.qlCalendarAdvance(Calendar,U2879,NDays&amp;"D")</f>
        <v>59008</v>
      </c>
      <c r="W2879" s="249">
        <v>2.2763160816576138E-2</v>
      </c>
      <c r="X2879" s="246">
        <v>2.2683695409631E-2</v>
      </c>
    </row>
    <row r="2880" spans="20:24" x14ac:dyDescent="0.2">
      <c r="T2880" s="247" t="str">
        <f t="shared" si="49"/>
        <v>1w</v>
      </c>
      <c r="U2880" s="245">
        <f>_xll.qlCalendarAdvance(Calendar,U2879,T2880,"f",FALSE)</f>
        <v>59013</v>
      </c>
      <c r="V2880" s="248">
        <f>_xll.qlCalendarAdvance(Calendar,U2880,NDays&amp;"D")</f>
        <v>59015</v>
      </c>
      <c r="W2880" s="249">
        <v>2.2765410417174115E-2</v>
      </c>
      <c r="X2880" s="246">
        <v>2.268581420413085E-2</v>
      </c>
    </row>
    <row r="2881" spans="20:24" x14ac:dyDescent="0.2">
      <c r="T2881" s="247" t="str">
        <f t="shared" si="49"/>
        <v>1w</v>
      </c>
      <c r="U2881" s="245">
        <f>_xll.qlCalendarAdvance(Calendar,U2880,T2881,"f",FALSE)</f>
        <v>59020</v>
      </c>
      <c r="V2881" s="248">
        <f>_xll.qlCalendarAdvance(Calendar,U2881,NDays&amp;"D")</f>
        <v>59022</v>
      </c>
      <c r="W2881" s="249">
        <v>2.2767678267389561E-2</v>
      </c>
      <c r="X2881" s="246">
        <v>2.2687951142756901E-2</v>
      </c>
    </row>
    <row r="2882" spans="20:24" x14ac:dyDescent="0.2">
      <c r="T2882" s="247" t="str">
        <f t="shared" si="49"/>
        <v>1w</v>
      </c>
      <c r="U2882" s="245">
        <f>_xll.qlCalendarAdvance(Calendar,U2881,T2882,"f",FALSE)</f>
        <v>59027</v>
      </c>
      <c r="V2882" s="248">
        <f>_xll.qlCalendarAdvance(Calendar,U2882,NDays&amp;"D")</f>
        <v>59029</v>
      </c>
      <c r="W2882" s="249">
        <v>2.2769964367252888E-2</v>
      </c>
      <c r="X2882" s="246">
        <v>2.2690106225349282E-2</v>
      </c>
    </row>
    <row r="2883" spans="20:24" x14ac:dyDescent="0.2">
      <c r="T2883" s="247" t="str">
        <f t="shared" si="49"/>
        <v>1w</v>
      </c>
      <c r="U2883" s="245">
        <f>_xll.qlCalendarAdvance(Calendar,U2882,T2883,"f",FALSE)</f>
        <v>59034</v>
      </c>
      <c r="V2883" s="248">
        <f>_xll.qlCalendarAdvance(Calendar,U2883,NDays&amp;"D")</f>
        <v>59036</v>
      </c>
      <c r="W2883" s="249">
        <v>2.2772268716796242E-2</v>
      </c>
      <c r="X2883" s="246">
        <v>2.2692279451748121E-2</v>
      </c>
    </row>
    <row r="2884" spans="20:24" x14ac:dyDescent="0.2">
      <c r="T2884" s="247" t="str">
        <f t="shared" si="49"/>
        <v>1w</v>
      </c>
      <c r="U2884" s="245">
        <f>_xll.qlCalendarAdvance(Calendar,U2883,T2884,"f",FALSE)</f>
        <v>59041</v>
      </c>
      <c r="V2884" s="248">
        <f>_xll.qlCalendarAdvance(Calendar,U2884,NDays&amp;"D")</f>
        <v>59043</v>
      </c>
      <c r="W2884" s="249">
        <v>2.2774591316049166E-2</v>
      </c>
      <c r="X2884" s="246">
        <v>2.2694470822113288E-2</v>
      </c>
    </row>
    <row r="2885" spans="20:24" x14ac:dyDescent="0.2">
      <c r="T2885" s="247" t="str">
        <f t="shared" si="49"/>
        <v>1w</v>
      </c>
      <c r="U2885" s="245">
        <f>_xll.qlCalendarAdvance(Calendar,U2884,T2885,"f",FALSE)</f>
        <v>59048</v>
      </c>
      <c r="V2885" s="248">
        <f>_xll.qlCalendarAdvance(Calendar,U2885,NDays&amp;"D")</f>
        <v>59050</v>
      </c>
      <c r="W2885" s="249">
        <v>2.2776042396752853E-2</v>
      </c>
      <c r="X2885" s="246">
        <v>2.2696680336444786E-2</v>
      </c>
    </row>
    <row r="2886" spans="20:24" x14ac:dyDescent="0.2">
      <c r="T2886" s="247" t="str">
        <f t="shared" si="49"/>
        <v>1w</v>
      </c>
      <c r="U2886" s="245">
        <f>_xll.qlCalendarAdvance(Calendar,U2885,T2886,"f",FALSE)</f>
        <v>59055</v>
      </c>
      <c r="V2886" s="248">
        <f>_xll.qlCalendarAdvance(Calendar,U2886,NDays&amp;"D")</f>
        <v>59057</v>
      </c>
      <c r="W2886" s="249">
        <v>2.2778400043222995E-2</v>
      </c>
      <c r="X2886" s="246">
        <v>2.269890799458274E-2</v>
      </c>
    </row>
    <row r="2887" spans="20:24" x14ac:dyDescent="0.2">
      <c r="T2887" s="247" t="str">
        <f t="shared" si="49"/>
        <v>1w</v>
      </c>
      <c r="U2887" s="245">
        <f>_xll.qlCalendarAdvance(Calendar,U2886,T2887,"f",FALSE)</f>
        <v>59062</v>
      </c>
      <c r="V2887" s="248">
        <f>_xll.qlCalendarAdvance(Calendar,U2887,NDays&amp;"D")</f>
        <v>59064</v>
      </c>
      <c r="W2887" s="249">
        <v>2.2780775938333536E-2</v>
      </c>
      <c r="X2887" s="246">
        <v>2.270115379676696E-2</v>
      </c>
    </row>
    <row r="2888" spans="20:24" x14ac:dyDescent="0.2">
      <c r="T2888" s="247" t="str">
        <f t="shared" si="49"/>
        <v>1w</v>
      </c>
      <c r="U2888" s="245">
        <f>_xll.qlCalendarAdvance(Calendar,U2887,T2888,"f",FALSE)</f>
        <v>59069</v>
      </c>
      <c r="V2888" s="248">
        <f>_xll.qlCalendarAdvance(Calendar,U2888,NDays&amp;"D")</f>
        <v>59071</v>
      </c>
      <c r="W2888" s="249">
        <v>2.2783170082116978E-2</v>
      </c>
      <c r="X2888" s="246">
        <v>2.2703417742837573E-2</v>
      </c>
    </row>
    <row r="2889" spans="20:24" x14ac:dyDescent="0.2">
      <c r="T2889" s="247" t="str">
        <f t="shared" si="49"/>
        <v>1w</v>
      </c>
      <c r="U2889" s="245">
        <f>_xll.qlCalendarAdvance(Calendar,U2888,T2889,"f",FALSE)</f>
        <v>59076</v>
      </c>
      <c r="V2889" s="248">
        <f>_xll.qlCalendarAdvance(Calendar,U2889,NDays&amp;"D")</f>
        <v>59078</v>
      </c>
      <c r="W2889" s="249">
        <v>2.2785582474606707E-2</v>
      </c>
      <c r="X2889" s="246">
        <v>2.2705699832794579E-2</v>
      </c>
    </row>
    <row r="2890" spans="20:24" x14ac:dyDescent="0.2">
      <c r="T2890" s="247" t="str">
        <f t="shared" si="49"/>
        <v>1w</v>
      </c>
      <c r="U2890" s="245">
        <f>_xll.qlCalendarAdvance(Calendar,U2889,T2890,"f",FALSE)</f>
        <v>59083</v>
      </c>
      <c r="V2890" s="248">
        <f>_xll.qlCalendarAdvance(Calendar,U2890,NDays&amp;"D")</f>
        <v>59085</v>
      </c>
      <c r="W2890" s="249">
        <v>2.2788910157345302E-2</v>
      </c>
      <c r="X2890" s="246">
        <v>2.2708000066717915E-2</v>
      </c>
    </row>
    <row r="2891" spans="20:24" x14ac:dyDescent="0.2">
      <c r="T2891" s="247" t="str">
        <f t="shared" si="49"/>
        <v>1w</v>
      </c>
      <c r="U2891" s="245">
        <f>_xll.qlCalendarAdvance(Calendar,U2890,T2891,"f",FALSE)</f>
        <v>59090</v>
      </c>
      <c r="V2891" s="248">
        <f>_xll.qlCalendarAdvance(Calendar,U2891,NDays&amp;"D")</f>
        <v>59092</v>
      </c>
      <c r="W2891" s="249">
        <v>2.2791360505498379E-2</v>
      </c>
      <c r="X2891" s="246">
        <v>2.2710318444527644E-2</v>
      </c>
    </row>
    <row r="2892" spans="20:24" x14ac:dyDescent="0.2">
      <c r="T2892" s="247" t="str">
        <f t="shared" si="49"/>
        <v>1w</v>
      </c>
      <c r="U2892" s="245">
        <f>_xll.qlCalendarAdvance(Calendar,U2891,T2892,"f",FALSE)</f>
        <v>59097</v>
      </c>
      <c r="V2892" s="248">
        <f>_xll.qlCalendarAdvance(Calendar,U2892,NDays&amp;"D")</f>
        <v>59099</v>
      </c>
      <c r="W2892" s="249">
        <v>2.2793829103629506E-2</v>
      </c>
      <c r="X2892" s="246">
        <v>2.2712654966303703E-2</v>
      </c>
    </row>
    <row r="2893" spans="20:24" x14ac:dyDescent="0.2">
      <c r="T2893" s="247" t="str">
        <f t="shared" si="49"/>
        <v>1w</v>
      </c>
      <c r="U2893" s="245">
        <f>_xll.qlCalendarAdvance(Calendar,U2892,T2893,"f",FALSE)</f>
        <v>59104</v>
      </c>
      <c r="V2893" s="248">
        <f>_xll.qlCalendarAdvance(Calendar,U2893,NDays&amp;"D")</f>
        <v>59106</v>
      </c>
      <c r="W2893" s="249">
        <v>2.2796315951772572E-2</v>
      </c>
      <c r="X2893" s="246">
        <v>2.271500963204609E-2</v>
      </c>
    </row>
    <row r="2894" spans="20:24" x14ac:dyDescent="0.2">
      <c r="T2894" s="247" t="str">
        <f t="shared" si="49"/>
        <v>1w</v>
      </c>
      <c r="U2894" s="245">
        <f>_xll.qlCalendarAdvance(Calendar,U2893,T2894,"f",FALSE)</f>
        <v>59111</v>
      </c>
      <c r="V2894" s="248">
        <f>_xll.qlCalendarAdvance(Calendar,U2894,NDays&amp;"D")</f>
        <v>59113</v>
      </c>
      <c r="W2894" s="249">
        <v>2.2798821049960592E-2</v>
      </c>
      <c r="X2894" s="246">
        <v>2.2717382441754808E-2</v>
      </c>
    </row>
    <row r="2895" spans="20:24" x14ac:dyDescent="0.2">
      <c r="T2895" s="247" t="str">
        <f t="shared" si="49"/>
        <v>1w</v>
      </c>
      <c r="U2895" s="245">
        <f>_xll.qlCalendarAdvance(Calendar,U2894,T2895,"f",FALSE)</f>
        <v>59118</v>
      </c>
      <c r="V2895" s="248">
        <f>_xll.qlCalendarAdvance(Calendar,U2895,NDays&amp;"D")</f>
        <v>59120</v>
      </c>
      <c r="W2895" s="249">
        <v>2.2801344398230054E-2</v>
      </c>
      <c r="X2895" s="246">
        <v>2.2719773395190046E-2</v>
      </c>
    </row>
    <row r="2896" spans="20:24" x14ac:dyDescent="0.2">
      <c r="T2896" s="247" t="str">
        <f t="shared" si="49"/>
        <v>1w</v>
      </c>
      <c r="U2896" s="245">
        <f>_xll.qlCalendarAdvance(Calendar,U2895,T2896,"f",FALSE)</f>
        <v>59125</v>
      </c>
      <c r="V2896" s="248">
        <f>_xll.qlCalendarAdvance(Calendar,U2896,NDays&amp;"D")</f>
        <v>59127</v>
      </c>
      <c r="W2896" s="249">
        <v>2.2803885996614853E-2</v>
      </c>
      <c r="X2896" s="246">
        <v>2.2722182492751486E-2</v>
      </c>
    </row>
    <row r="2897" spans="20:24" x14ac:dyDescent="0.2">
      <c r="T2897" s="247" t="str">
        <f t="shared" si="49"/>
        <v>1w</v>
      </c>
      <c r="U2897" s="245">
        <f>_xll.qlCalendarAdvance(Calendar,U2896,T2897,"f",FALSE)</f>
        <v>59132</v>
      </c>
      <c r="V2897" s="248">
        <f>_xll.qlCalendarAdvance(Calendar,U2897,NDays&amp;"D")</f>
        <v>59134</v>
      </c>
      <c r="W2897" s="249">
        <v>2.2806445845151475E-2</v>
      </c>
      <c r="X2897" s="246">
        <v>2.2724609734119383E-2</v>
      </c>
    </row>
    <row r="2898" spans="20:24" x14ac:dyDescent="0.2">
      <c r="T2898" s="247" t="str">
        <f t="shared" ref="T2898:T2961" si="50">T2897</f>
        <v>1w</v>
      </c>
      <c r="U2898" s="245">
        <f>_xll.qlCalendarAdvance(Calendar,U2897,T2898,"f",FALSE)</f>
        <v>59139</v>
      </c>
      <c r="V2898" s="248">
        <f>_xll.qlCalendarAdvance(Calendar,U2898,NDays&amp;"D")</f>
        <v>59141</v>
      </c>
      <c r="W2898" s="249">
        <v>2.2807206642993627E-2</v>
      </c>
      <c r="X2898" s="246">
        <v>2.2727055119533546E-2</v>
      </c>
    </row>
    <row r="2899" spans="20:24" x14ac:dyDescent="0.2">
      <c r="T2899" s="247" t="str">
        <f t="shared" si="50"/>
        <v>1w</v>
      </c>
      <c r="U2899" s="245">
        <f>_xll.qlCalendarAdvance(Calendar,U2898,T2899,"f",FALSE)</f>
        <v>59146</v>
      </c>
      <c r="V2899" s="248">
        <f>_xll.qlCalendarAdvance(Calendar,U2899,NDays&amp;"D")</f>
        <v>59148</v>
      </c>
      <c r="W2899" s="249">
        <v>2.2809800057050467E-2</v>
      </c>
      <c r="X2899" s="246">
        <v>2.2729518648754166E-2</v>
      </c>
    </row>
    <row r="2900" spans="20:24" x14ac:dyDescent="0.2">
      <c r="T2900" s="247" t="str">
        <f t="shared" si="50"/>
        <v>1w</v>
      </c>
      <c r="U2900" s="245">
        <f>_xll.qlCalendarAdvance(Calendar,U2899,T2900,"f",FALSE)</f>
        <v>59153</v>
      </c>
      <c r="V2900" s="248">
        <f>_xll.qlCalendarAdvance(Calendar,U2900,NDays&amp;"D")</f>
        <v>59155</v>
      </c>
      <c r="W2900" s="249">
        <v>2.2812411719018044E-2</v>
      </c>
      <c r="X2900" s="246">
        <v>2.2732000322021051E-2</v>
      </c>
    </row>
    <row r="2901" spans="20:24" x14ac:dyDescent="0.2">
      <c r="T2901" s="247" t="str">
        <f t="shared" si="50"/>
        <v>1w</v>
      </c>
      <c r="U2901" s="245">
        <f>_xll.qlCalendarAdvance(Calendar,U2900,T2901,"f",FALSE)</f>
        <v>59160</v>
      </c>
      <c r="V2901" s="248">
        <f>_xll.qlCalendarAdvance(Calendar,U2901,NDays&amp;"D")</f>
        <v>59162</v>
      </c>
      <c r="W2901" s="249">
        <v>2.2815041628930999E-2</v>
      </c>
      <c r="X2901" s="246">
        <v>2.273450013917433E-2</v>
      </c>
    </row>
    <row r="2902" spans="20:24" x14ac:dyDescent="0.2">
      <c r="T2902" s="247" t="str">
        <f t="shared" si="50"/>
        <v>1w</v>
      </c>
      <c r="U2902" s="245">
        <f>_xll.qlCalendarAdvance(Calendar,U2901,T2902,"f",FALSE)</f>
        <v>59167</v>
      </c>
      <c r="V2902" s="248">
        <f>_xll.qlCalendarAdvance(Calendar,U2902,NDays&amp;"D")</f>
        <v>59169</v>
      </c>
      <c r="W2902" s="249">
        <v>2.2817689786826634E-2</v>
      </c>
      <c r="X2902" s="246">
        <v>2.2737018100134065E-2</v>
      </c>
    </row>
    <row r="2903" spans="20:24" x14ac:dyDescent="0.2">
      <c r="T2903" s="247" t="str">
        <f t="shared" si="50"/>
        <v>1w</v>
      </c>
      <c r="U2903" s="245">
        <f>_xll.qlCalendarAdvance(Calendar,U2902,T2903,"f",FALSE)</f>
        <v>59174</v>
      </c>
      <c r="V2903" s="248">
        <f>_xll.qlCalendarAdvance(Calendar,U2903,NDays&amp;"D")</f>
        <v>59176</v>
      </c>
      <c r="W2903" s="249">
        <v>2.28203561927387E-2</v>
      </c>
      <c r="X2903" s="246">
        <v>2.2739554205220003E-2</v>
      </c>
    </row>
    <row r="2904" spans="20:24" x14ac:dyDescent="0.2">
      <c r="T2904" s="247" t="str">
        <f t="shared" si="50"/>
        <v>1w</v>
      </c>
      <c r="U2904" s="245">
        <f>_xll.qlCalendarAdvance(Calendar,U2903,T2904,"f",FALSE)</f>
        <v>59181</v>
      </c>
      <c r="V2904" s="248">
        <f>_xll.qlCalendarAdvance(Calendar,U2904,NDays&amp;"D")</f>
        <v>59183</v>
      </c>
      <c r="W2904" s="249">
        <v>2.2823040846705389E-2</v>
      </c>
      <c r="X2904" s="246">
        <v>2.2742108454192334E-2</v>
      </c>
    </row>
    <row r="2905" spans="20:24" x14ac:dyDescent="0.2">
      <c r="T2905" s="247" t="str">
        <f t="shared" si="50"/>
        <v>1w</v>
      </c>
      <c r="U2905" s="245">
        <f>_xll.qlCalendarAdvance(Calendar,U2904,T2905,"f",FALSE)</f>
        <v>59188</v>
      </c>
      <c r="V2905" s="248">
        <f>_xll.qlCalendarAdvance(Calendar,U2905,NDays&amp;"D")</f>
        <v>59190</v>
      </c>
      <c r="W2905" s="249">
        <v>2.2825743748763117E-2</v>
      </c>
      <c r="X2905" s="246">
        <v>2.2744680847051058E-2</v>
      </c>
    </row>
    <row r="2906" spans="20:24" x14ac:dyDescent="0.2">
      <c r="T2906" s="247" t="str">
        <f t="shared" si="50"/>
        <v>1w</v>
      </c>
      <c r="U2906" s="245">
        <f>_xll.qlCalendarAdvance(Calendar,U2905,T2906,"f",FALSE)</f>
        <v>59195</v>
      </c>
      <c r="V2906" s="248">
        <f>_xll.qlCalendarAdvance(Calendar,U2906,NDays&amp;"D")</f>
        <v>59197</v>
      </c>
      <c r="W2906" s="249">
        <v>2.2828464898947409E-2</v>
      </c>
      <c r="X2906" s="246">
        <v>2.2747271383796175E-2</v>
      </c>
    </row>
    <row r="2907" spans="20:24" x14ac:dyDescent="0.2">
      <c r="T2907" s="247" t="str">
        <f t="shared" si="50"/>
        <v>1w</v>
      </c>
      <c r="U2907" s="245">
        <f>_xll.qlCalendarAdvance(Calendar,U2906,T2907,"f",FALSE)</f>
        <v>59202</v>
      </c>
      <c r="V2907" s="248">
        <f>_xll.qlCalendarAdvance(Calendar,U2907,NDays&amp;"D")</f>
        <v>59204</v>
      </c>
      <c r="W2907" s="249">
        <v>2.2830282667252278E-2</v>
      </c>
      <c r="X2907" s="246">
        <v>2.2749880064507622E-2</v>
      </c>
    </row>
    <row r="2908" spans="20:24" x14ac:dyDescent="0.2">
      <c r="T2908" s="247" t="str">
        <f t="shared" si="50"/>
        <v>1w</v>
      </c>
      <c r="U2908" s="245">
        <f>_xll.qlCalendarAdvance(Calendar,U2907,T2908,"f",FALSE)</f>
        <v>59209</v>
      </c>
      <c r="V2908" s="248">
        <f>_xll.qlCalendarAdvance(Calendar,U2908,NDays&amp;"D")</f>
        <v>59211</v>
      </c>
      <c r="W2908" s="249">
        <v>2.2833038836043897E-2</v>
      </c>
      <c r="X2908" s="246">
        <v>2.2752506889265334E-2</v>
      </c>
    </row>
    <row r="2909" spans="20:24" x14ac:dyDescent="0.2">
      <c r="T2909" s="247" t="str">
        <f t="shared" si="50"/>
        <v>1w</v>
      </c>
      <c r="U2909" s="245">
        <f>_xll.qlCalendarAdvance(Calendar,U2908,T2909,"f",FALSE)</f>
        <v>59216</v>
      </c>
      <c r="V2909" s="248">
        <f>_xll.qlCalendarAdvance(Calendar,U2909,NDays&amp;"D")</f>
        <v>59218</v>
      </c>
      <c r="W2909" s="249">
        <v>2.2835813251894217E-2</v>
      </c>
      <c r="X2909" s="246">
        <v>2.2755151857749567E-2</v>
      </c>
    </row>
    <row r="2910" spans="20:24" x14ac:dyDescent="0.2">
      <c r="T2910" s="247" t="str">
        <f t="shared" si="50"/>
        <v>1w</v>
      </c>
      <c r="U2910" s="245">
        <f>_xll.qlCalendarAdvance(Calendar,U2909,T2910,"f",FALSE)</f>
        <v>59223</v>
      </c>
      <c r="V2910" s="248">
        <f>_xll.qlCalendarAdvance(Calendar,U2910,NDays&amp;"D")</f>
        <v>59225</v>
      </c>
      <c r="W2910" s="249">
        <v>2.2838605914844545E-2</v>
      </c>
      <c r="X2910" s="246">
        <v>2.2757814970360002E-2</v>
      </c>
    </row>
    <row r="2911" spans="20:24" x14ac:dyDescent="0.2">
      <c r="T2911" s="247" t="str">
        <f t="shared" si="50"/>
        <v>1w</v>
      </c>
      <c r="U2911" s="245">
        <f>_xll.qlCalendarAdvance(Calendar,U2910,T2911,"f",FALSE)</f>
        <v>59230</v>
      </c>
      <c r="V2911" s="248">
        <f>_xll.qlCalendarAdvance(Calendar,U2911,NDays&amp;"D")</f>
        <v>59232</v>
      </c>
      <c r="W2911" s="249">
        <v>2.2844200010965116E-2</v>
      </c>
      <c r="X2911" s="246">
        <v>2.2760496226936766E-2</v>
      </c>
    </row>
    <row r="2912" spans="20:24" x14ac:dyDescent="0.2">
      <c r="T2912" s="247" t="str">
        <f t="shared" si="50"/>
        <v>1w</v>
      </c>
      <c r="U2912" s="245">
        <f>_xll.qlCalendarAdvance(Calendar,U2911,T2912,"f",FALSE)</f>
        <v>59237</v>
      </c>
      <c r="V2912" s="248">
        <f>_xll.qlCalendarAdvance(Calendar,U2912,NDays&amp;"D")</f>
        <v>59239</v>
      </c>
      <c r="W2912" s="249">
        <v>2.2847033616187753E-2</v>
      </c>
      <c r="X2912" s="246">
        <v>2.2763195627240052E-2</v>
      </c>
    </row>
    <row r="2913" spans="20:24" x14ac:dyDescent="0.2">
      <c r="T2913" s="247" t="str">
        <f t="shared" si="50"/>
        <v>1w</v>
      </c>
      <c r="U2913" s="245">
        <f>_xll.qlCalendarAdvance(Calendar,U2912,T2913,"f",FALSE)</f>
        <v>59244</v>
      </c>
      <c r="V2913" s="248">
        <f>_xll.qlCalendarAdvance(Calendar,U2913,NDays&amp;"D")</f>
        <v>59246</v>
      </c>
      <c r="W2913" s="249">
        <v>2.2849885472160866E-2</v>
      </c>
      <c r="X2913" s="246">
        <v>2.2765913171509666E-2</v>
      </c>
    </row>
    <row r="2914" spans="20:24" x14ac:dyDescent="0.2">
      <c r="T2914" s="247" t="str">
        <f t="shared" si="50"/>
        <v>1w</v>
      </c>
      <c r="U2914" s="245">
        <f>_xll.qlCalendarAdvance(Calendar,U2913,T2914,"f",FALSE)</f>
        <v>59251</v>
      </c>
      <c r="V2914" s="248">
        <f>_xll.qlCalendarAdvance(Calendar,U2914,NDays&amp;"D")</f>
        <v>59253</v>
      </c>
      <c r="W2914" s="249">
        <v>2.2852755578925292E-2</v>
      </c>
      <c r="X2914" s="246">
        <v>2.2772314632007351E-2</v>
      </c>
    </row>
    <row r="2915" spans="20:24" x14ac:dyDescent="0.2">
      <c r="T2915" s="247" t="str">
        <f t="shared" si="50"/>
        <v>1w</v>
      </c>
      <c r="U2915" s="245">
        <f>_xll.qlCalendarAdvance(Calendar,U2914,T2915,"f",FALSE)</f>
        <v>59258</v>
      </c>
      <c r="V2915" s="248">
        <f>_xll.qlCalendarAdvance(Calendar,U2915,NDays&amp;"D")</f>
        <v>59260</v>
      </c>
      <c r="W2915" s="249">
        <v>2.2855643936522736E-2</v>
      </c>
      <c r="X2915" s="246">
        <v>2.2771402692187692E-2</v>
      </c>
    </row>
    <row r="2916" spans="20:24" x14ac:dyDescent="0.2">
      <c r="T2916" s="247" t="str">
        <f t="shared" si="50"/>
        <v>1w</v>
      </c>
      <c r="U2916" s="245">
        <f>_xll.qlCalendarAdvance(Calendar,U2915,T2916,"f",FALSE)</f>
        <v>59265</v>
      </c>
      <c r="V2916" s="248">
        <f>_xll.qlCalendarAdvance(Calendar,U2916,NDays&amp;"D")</f>
        <v>59267</v>
      </c>
      <c r="W2916" s="249">
        <v>2.2857615209805747E-2</v>
      </c>
      <c r="X2916" s="246">
        <v>2.2774174668276359E-2</v>
      </c>
    </row>
    <row r="2917" spans="20:24" x14ac:dyDescent="0.2">
      <c r="T2917" s="247" t="str">
        <f t="shared" si="50"/>
        <v>1w</v>
      </c>
      <c r="U2917" s="245">
        <f>_xll.qlCalendarAdvance(Calendar,U2916,T2917,"f",FALSE)</f>
        <v>59272</v>
      </c>
      <c r="V2917" s="248">
        <f>_xll.qlCalendarAdvance(Calendar,U2917,NDays&amp;"D")</f>
        <v>59274</v>
      </c>
      <c r="W2917" s="249">
        <v>2.2860538580446694E-2</v>
      </c>
      <c r="X2917" s="246">
        <v>2.2776964788331355E-2</v>
      </c>
    </row>
    <row r="2918" spans="20:24" x14ac:dyDescent="0.2">
      <c r="T2918" s="247" t="str">
        <f t="shared" si="50"/>
        <v>1w</v>
      </c>
      <c r="U2918" s="245">
        <f>_xll.qlCalendarAdvance(Calendar,U2917,T2918,"f",FALSE)</f>
        <v>59279</v>
      </c>
      <c r="V2918" s="248">
        <f>_xll.qlCalendarAdvance(Calendar,U2918,NDays&amp;"D")</f>
        <v>59281</v>
      </c>
      <c r="W2918" s="249">
        <v>2.2863480200858564E-2</v>
      </c>
      <c r="X2918" s="246">
        <v>2.2779773052432617E-2</v>
      </c>
    </row>
    <row r="2919" spans="20:24" x14ac:dyDescent="0.2">
      <c r="T2919" s="247" t="str">
        <f t="shared" si="50"/>
        <v>1w</v>
      </c>
      <c r="U2919" s="245">
        <f>_xll.qlCalendarAdvance(Calendar,U2918,T2919,"f",FALSE)</f>
        <v>59286</v>
      </c>
      <c r="V2919" s="248">
        <f>_xll.qlCalendarAdvance(Calendar,U2919,NDays&amp;"D")</f>
        <v>59288</v>
      </c>
      <c r="W2919" s="249">
        <v>2.2866440071080889E-2</v>
      </c>
      <c r="X2919" s="246">
        <v>2.2782599460340336E-2</v>
      </c>
    </row>
    <row r="2920" spans="20:24" x14ac:dyDescent="0.2">
      <c r="T2920" s="247" t="str">
        <f t="shared" si="50"/>
        <v>1w</v>
      </c>
      <c r="U2920" s="245">
        <f>_xll.qlCalendarAdvance(Calendar,U2919,T2920,"f",FALSE)</f>
        <v>59293</v>
      </c>
      <c r="V2920" s="248">
        <f>_xll.qlCalendarAdvance(Calendar,U2920,NDays&amp;"D")</f>
        <v>59295</v>
      </c>
      <c r="W2920" s="249">
        <v>2.2870359488386744E-2</v>
      </c>
      <c r="X2920" s="246">
        <v>2.278544401229432E-2</v>
      </c>
    </row>
    <row r="2921" spans="20:24" x14ac:dyDescent="0.2">
      <c r="T2921" s="247" t="str">
        <f t="shared" si="50"/>
        <v>1w</v>
      </c>
      <c r="U2921" s="245">
        <f>_xll.qlCalendarAdvance(Calendar,U2920,T2921,"f",FALSE)</f>
        <v>59300</v>
      </c>
      <c r="V2921" s="248">
        <f>_xll.qlCalendarAdvance(Calendar,U2921,NDays&amp;"D")</f>
        <v>59302</v>
      </c>
      <c r="W2921" s="249">
        <v>2.2873357351822502E-2</v>
      </c>
      <c r="X2921" s="246">
        <v>2.2788306708214634E-2</v>
      </c>
    </row>
    <row r="2922" spans="20:24" x14ac:dyDescent="0.2">
      <c r="T2922" s="247" t="str">
        <f t="shared" si="50"/>
        <v>1w</v>
      </c>
      <c r="U2922" s="245">
        <f>_xll.qlCalendarAdvance(Calendar,U2921,T2922,"f",FALSE)</f>
        <v>59307</v>
      </c>
      <c r="V2922" s="248">
        <f>_xll.qlCalendarAdvance(Calendar,U2922,NDays&amp;"D")</f>
        <v>59309</v>
      </c>
      <c r="W2922" s="249">
        <v>2.2876373466374524E-2</v>
      </c>
      <c r="X2922" s="246">
        <v>2.2791187547941405E-2</v>
      </c>
    </row>
    <row r="2923" spans="20:24" x14ac:dyDescent="0.2">
      <c r="T2923" s="247" t="str">
        <f t="shared" si="50"/>
        <v>1w</v>
      </c>
      <c r="U2923" s="245">
        <f>_xll.qlCalendarAdvance(Calendar,U2922,T2923,"f",FALSE)</f>
        <v>59314</v>
      </c>
      <c r="V2923" s="248">
        <f>_xll.qlCalendarAdvance(Calendar,U2923,NDays&amp;"D")</f>
        <v>59316</v>
      </c>
      <c r="W2923" s="249">
        <v>2.2879407832088871E-2</v>
      </c>
      <c r="X2923" s="246">
        <v>2.2794086531714441E-2</v>
      </c>
    </row>
    <row r="2924" spans="20:24" x14ac:dyDescent="0.2">
      <c r="T2924" s="247" t="str">
        <f t="shared" si="50"/>
        <v>1w</v>
      </c>
      <c r="U2924" s="245">
        <f>_xll.qlCalendarAdvance(Calendar,U2923,T2924,"f",FALSE)</f>
        <v>59321</v>
      </c>
      <c r="V2924" s="248">
        <f>_xll.qlCalendarAdvance(Calendar,U2924,NDays&amp;"D")</f>
        <v>59323</v>
      </c>
      <c r="W2924" s="249">
        <v>2.2882460449003768E-2</v>
      </c>
      <c r="X2924" s="246">
        <v>2.2797003659293935E-2</v>
      </c>
    </row>
    <row r="2925" spans="20:24" x14ac:dyDescent="0.2">
      <c r="T2925" s="247" t="str">
        <f t="shared" si="50"/>
        <v>1w</v>
      </c>
      <c r="U2925" s="245">
        <f>_xll.qlCalendarAdvance(Calendar,U2924,T2925,"f",FALSE)</f>
        <v>59328</v>
      </c>
      <c r="V2925" s="248">
        <f>_xll.qlCalendarAdvance(Calendar,U2925,NDays&amp;"D")</f>
        <v>59330</v>
      </c>
      <c r="W2925" s="249">
        <v>2.2885531317162661E-2</v>
      </c>
      <c r="X2925" s="246">
        <v>2.2799938930919694E-2</v>
      </c>
    </row>
    <row r="2926" spans="20:24" x14ac:dyDescent="0.2">
      <c r="T2926" s="247" t="str">
        <f t="shared" si="50"/>
        <v>1w</v>
      </c>
      <c r="U2926" s="245">
        <f>_xll.qlCalendarAdvance(Calendar,U2925,T2926,"f",FALSE)</f>
        <v>59335</v>
      </c>
      <c r="V2926" s="248">
        <f>_xll.qlCalendarAdvance(Calendar,U2926,NDays&amp;"D")</f>
        <v>59337</v>
      </c>
      <c r="W2926" s="249">
        <v>2.2888620436610729E-2</v>
      </c>
      <c r="X2926" s="246">
        <v>2.2802892346591719E-2</v>
      </c>
    </row>
    <row r="2927" spans="20:24" x14ac:dyDescent="0.2">
      <c r="T2927" s="247" t="str">
        <f t="shared" si="50"/>
        <v>1w</v>
      </c>
      <c r="U2927" s="245">
        <f>_xll.qlCalendarAdvance(Calendar,U2926,T2927,"f",FALSE)</f>
        <v>59342</v>
      </c>
      <c r="V2927" s="248">
        <f>_xll.qlCalendarAdvance(Calendar,U2927,NDays&amp;"D")</f>
        <v>59344</v>
      </c>
      <c r="W2927" s="249">
        <v>2.2891727807385333E-2</v>
      </c>
      <c r="X2927" s="246">
        <v>2.2805863905910329E-2</v>
      </c>
    </row>
    <row r="2928" spans="20:24" x14ac:dyDescent="0.2">
      <c r="T2928" s="247" t="str">
        <f t="shared" si="50"/>
        <v>1w</v>
      </c>
      <c r="U2928" s="245">
        <f>_xll.qlCalendarAdvance(Calendar,U2927,T2928,"f",FALSE)</f>
        <v>59349</v>
      </c>
      <c r="V2928" s="248">
        <f>_xll.qlCalendarAdvance(Calendar,U2928,NDays&amp;"D")</f>
        <v>59351</v>
      </c>
      <c r="W2928" s="249">
        <v>2.2894853429535129E-2</v>
      </c>
      <c r="X2928" s="246">
        <v>2.2808853609435076E-2</v>
      </c>
    </row>
    <row r="2929" spans="20:24" x14ac:dyDescent="0.2">
      <c r="T2929" s="247" t="str">
        <f t="shared" si="50"/>
        <v>1w</v>
      </c>
      <c r="U2929" s="245">
        <f>_xll.qlCalendarAdvance(Calendar,U2928,T2929,"f",FALSE)</f>
        <v>59356</v>
      </c>
      <c r="V2929" s="248">
        <f>_xll.qlCalendarAdvance(Calendar,U2929,NDays&amp;"D")</f>
        <v>59358</v>
      </c>
      <c r="W2929" s="249">
        <v>2.2897997303101828E-2</v>
      </c>
      <c r="X2929" s="246">
        <v>2.2811861456846216E-2</v>
      </c>
    </row>
    <row r="2930" spans="20:24" x14ac:dyDescent="0.2">
      <c r="T2930" s="247" t="str">
        <f t="shared" si="50"/>
        <v>1w</v>
      </c>
      <c r="U2930" s="245">
        <f>_xll.qlCalendarAdvance(Calendar,U2929,T2930,"f",FALSE)</f>
        <v>59363</v>
      </c>
      <c r="V2930" s="248">
        <f>_xll.qlCalendarAdvance(Calendar,U2930,NDays&amp;"D")</f>
        <v>59365</v>
      </c>
      <c r="W2930" s="249">
        <v>2.2901159428129737E-2</v>
      </c>
      <c r="X2930" s="246">
        <v>2.2814887448223686E-2</v>
      </c>
    </row>
    <row r="2931" spans="20:24" x14ac:dyDescent="0.2">
      <c r="T2931" s="247" t="str">
        <f t="shared" si="50"/>
        <v>1w</v>
      </c>
      <c r="U2931" s="245">
        <f>_xll.qlCalendarAdvance(Calendar,U2930,T2931,"f",FALSE)</f>
        <v>59370</v>
      </c>
      <c r="V2931" s="248">
        <f>_xll.qlCalendarAdvance(Calendar,U2931,NDays&amp;"D")</f>
        <v>59372</v>
      </c>
      <c r="W2931" s="249">
        <v>2.2904339804659692E-2</v>
      </c>
      <c r="X2931" s="246">
        <v>2.2817931583407614E-2</v>
      </c>
    </row>
    <row r="2932" spans="20:24" x14ac:dyDescent="0.2">
      <c r="T2932" s="247" t="str">
        <f t="shared" si="50"/>
        <v>1w</v>
      </c>
      <c r="U2932" s="245">
        <f>_xll.qlCalendarAdvance(Calendar,U2931,T2932,"f",FALSE)</f>
        <v>59377</v>
      </c>
      <c r="V2932" s="248">
        <f>_xll.qlCalendarAdvance(Calendar,U2932,NDays&amp;"D")</f>
        <v>59379</v>
      </c>
      <c r="W2932" s="249">
        <v>2.2907538432739488E-2</v>
      </c>
      <c r="X2932" s="246">
        <v>2.2820993862637806E-2</v>
      </c>
    </row>
    <row r="2933" spans="20:24" x14ac:dyDescent="0.2">
      <c r="T2933" s="247" t="str">
        <f t="shared" si="50"/>
        <v>1w</v>
      </c>
      <c r="U2933" s="245">
        <f>_xll.qlCalendarAdvance(Calendar,U2932,T2933,"f",FALSE)</f>
        <v>59384</v>
      </c>
      <c r="V2933" s="248">
        <f>_xll.qlCalendarAdvance(Calendar,U2933,NDays&amp;"D")</f>
        <v>59386</v>
      </c>
      <c r="W2933" s="249">
        <v>2.2910755312412562E-2</v>
      </c>
      <c r="X2933" s="246">
        <v>2.2824074285914264E-2</v>
      </c>
    </row>
    <row r="2934" spans="20:24" x14ac:dyDescent="0.2">
      <c r="T2934" s="247" t="str">
        <f t="shared" si="50"/>
        <v>1w</v>
      </c>
      <c r="U2934" s="245">
        <f>_xll.qlCalendarAdvance(Calendar,U2933,T2934,"f",FALSE)</f>
        <v>59391</v>
      </c>
      <c r="V2934" s="248">
        <f>_xll.qlCalendarAdvance(Calendar,U2934,NDays&amp;"D")</f>
        <v>59393</v>
      </c>
      <c r="W2934" s="249">
        <v>2.2913990443724101E-2</v>
      </c>
      <c r="X2934" s="246">
        <v>2.2827172852917244E-2</v>
      </c>
    </row>
    <row r="2935" spans="20:24" x14ac:dyDescent="0.2">
      <c r="T2935" s="247" t="str">
        <f t="shared" si="50"/>
        <v>1w</v>
      </c>
      <c r="U2935" s="245">
        <f>_xll.qlCalendarAdvance(Calendar,U2934,T2935,"f",FALSE)</f>
        <v>59398</v>
      </c>
      <c r="V2935" s="248">
        <f>_xll.qlCalendarAdvance(Calendar,U2935,NDays&amp;"D")</f>
        <v>59400</v>
      </c>
      <c r="W2935" s="249">
        <v>2.2917243826717542E-2</v>
      </c>
      <c r="X2935" s="246">
        <v>2.2830289563886552E-2</v>
      </c>
    </row>
    <row r="2936" spans="20:24" x14ac:dyDescent="0.2">
      <c r="T2936" s="247" t="str">
        <f t="shared" si="50"/>
        <v>1w</v>
      </c>
      <c r="U2936" s="245">
        <f>_xll.qlCalendarAdvance(Calendar,U2935,T2936,"f",FALSE)</f>
        <v>59405</v>
      </c>
      <c r="V2936" s="248">
        <f>_xll.qlCalendarAdvance(Calendar,U2936,NDays&amp;"D")</f>
        <v>59407</v>
      </c>
      <c r="W2936" s="249">
        <v>2.2920515461439809E-2</v>
      </c>
      <c r="X2936" s="246">
        <v>2.2833424418982062E-2</v>
      </c>
    </row>
    <row r="2937" spans="20:24" x14ac:dyDescent="0.2">
      <c r="T2937" s="247" t="str">
        <f t="shared" si="50"/>
        <v>1w</v>
      </c>
      <c r="U2937" s="245">
        <f>_xll.qlCalendarAdvance(Calendar,U2936,T2937,"f",FALSE)</f>
        <v>59412</v>
      </c>
      <c r="V2937" s="248">
        <f>_xll.qlCalendarAdvance(Calendar,U2937,NDays&amp;"D")</f>
        <v>59414</v>
      </c>
      <c r="W2937" s="249">
        <v>2.2922838500338633E-2</v>
      </c>
      <c r="X2937" s="246">
        <v>2.2836577417963966E-2</v>
      </c>
    </row>
    <row r="2938" spans="20:24" x14ac:dyDescent="0.2">
      <c r="T2938" s="247" t="str">
        <f t="shared" si="50"/>
        <v>1w</v>
      </c>
      <c r="U2938" s="245">
        <f>_xll.qlCalendarAdvance(Calendar,U2937,T2938,"f",FALSE)</f>
        <v>59419</v>
      </c>
      <c r="V2938" s="248">
        <f>_xll.qlCalendarAdvance(Calendar,U2938,NDays&amp;"D")</f>
        <v>59421</v>
      </c>
      <c r="W2938" s="249">
        <v>2.292614512498569E-2</v>
      </c>
      <c r="X2938" s="246">
        <v>2.2839748560832263E-2</v>
      </c>
    </row>
    <row r="2939" spans="20:24" x14ac:dyDescent="0.2">
      <c r="T2939" s="247" t="str">
        <f t="shared" si="50"/>
        <v>1w</v>
      </c>
      <c r="U2939" s="245">
        <f>_xll.qlCalendarAdvance(Calendar,U2938,T2939,"f",FALSE)</f>
        <v>59426</v>
      </c>
      <c r="V2939" s="248">
        <f>_xll.qlCalendarAdvance(Calendar,U2939,NDays&amp;"D")</f>
        <v>59428</v>
      </c>
      <c r="W2939" s="249">
        <v>2.2929470000306693E-2</v>
      </c>
      <c r="X2939" s="246">
        <v>2.2842937847666889E-2</v>
      </c>
    </row>
    <row r="2940" spans="20:24" x14ac:dyDescent="0.2">
      <c r="T2940" s="247" t="str">
        <f t="shared" si="50"/>
        <v>1w</v>
      </c>
      <c r="U2940" s="245">
        <f>_xll.qlCalendarAdvance(Calendar,U2939,T2940,"f",FALSE)</f>
        <v>59433</v>
      </c>
      <c r="V2940" s="248">
        <f>_xll.qlCalendarAdvance(Calendar,U2940,NDays&amp;"D")</f>
        <v>59435</v>
      </c>
      <c r="W2940" s="249">
        <v>2.2932813126347307E-2</v>
      </c>
      <c r="X2940" s="246">
        <v>2.2846145278387908E-2</v>
      </c>
    </row>
    <row r="2941" spans="20:24" x14ac:dyDescent="0.2">
      <c r="T2941" s="247" t="str">
        <f t="shared" si="50"/>
        <v>1w</v>
      </c>
      <c r="U2941" s="245">
        <f>_xll.qlCalendarAdvance(Calendar,U2940,T2941,"f",FALSE)</f>
        <v>59440</v>
      </c>
      <c r="V2941" s="248">
        <f>_xll.qlCalendarAdvance(Calendar,U2941,NDays&amp;"D")</f>
        <v>59442</v>
      </c>
      <c r="W2941" s="249">
        <v>2.293617450315058E-2</v>
      </c>
      <c r="X2941" s="246">
        <v>2.2849370853075257E-2</v>
      </c>
    </row>
    <row r="2942" spans="20:24" x14ac:dyDescent="0.2">
      <c r="T2942" s="247" t="str">
        <f t="shared" si="50"/>
        <v>1w</v>
      </c>
      <c r="U2942" s="245">
        <f>_xll.qlCalendarAdvance(Calendar,U2941,T2942,"f",FALSE)</f>
        <v>59447</v>
      </c>
      <c r="V2942" s="248">
        <f>_xll.qlCalendarAdvance(Calendar,U2942,NDays&amp;"D")</f>
        <v>59449</v>
      </c>
      <c r="W2942" s="249">
        <v>2.2940528558630574E-2</v>
      </c>
      <c r="X2942" s="246">
        <v>2.2852614571808871E-2</v>
      </c>
    </row>
    <row r="2943" spans="20:24" x14ac:dyDescent="0.2">
      <c r="T2943" s="247" t="str">
        <f t="shared" si="50"/>
        <v>1w</v>
      </c>
      <c r="U2943" s="245">
        <f>_xll.qlCalendarAdvance(Calendar,U2942,T2943,"f",FALSE)</f>
        <v>59454</v>
      </c>
      <c r="V2943" s="248">
        <f>_xll.qlCalendarAdvance(Calendar,U2943,NDays&amp;"D")</f>
        <v>59456</v>
      </c>
      <c r="W2943" s="249">
        <v>2.2943927956737928E-2</v>
      </c>
      <c r="X2943" s="246">
        <v>2.2855876434508815E-2</v>
      </c>
    </row>
    <row r="2944" spans="20:24" x14ac:dyDescent="0.2">
      <c r="T2944" s="247" t="str">
        <f t="shared" si="50"/>
        <v>1w</v>
      </c>
      <c r="U2944" s="245">
        <f>_xll.qlCalendarAdvance(Calendar,U2943,T2944,"f",FALSE)</f>
        <v>59461</v>
      </c>
      <c r="V2944" s="248">
        <f>_xll.qlCalendarAdvance(Calendar,U2944,NDays&amp;"D")</f>
        <v>59463</v>
      </c>
      <c r="W2944" s="249">
        <v>2.2947345606945984E-2</v>
      </c>
      <c r="X2944" s="246">
        <v>2.2859156441095152E-2</v>
      </c>
    </row>
    <row r="2945" spans="20:24" x14ac:dyDescent="0.2">
      <c r="T2945" s="247" t="str">
        <f t="shared" si="50"/>
        <v>1w</v>
      </c>
      <c r="U2945" s="245">
        <f>_xll.qlCalendarAdvance(Calendar,U2944,T2945,"f",FALSE)</f>
        <v>59468</v>
      </c>
      <c r="V2945" s="248">
        <f>_xll.qlCalendarAdvance(Calendar,U2945,NDays&amp;"D")</f>
        <v>59470</v>
      </c>
      <c r="W2945" s="249">
        <v>2.2950781509299922E-2</v>
      </c>
      <c r="X2945" s="246">
        <v>2.2862454591487946E-2</v>
      </c>
    </row>
    <row r="2946" spans="20:24" x14ac:dyDescent="0.2">
      <c r="T2946" s="247" t="str">
        <f t="shared" si="50"/>
        <v>1w</v>
      </c>
      <c r="U2946" s="245">
        <f>_xll.qlCalendarAdvance(Calendar,U2945,T2946,"f",FALSE)</f>
        <v>59475</v>
      </c>
      <c r="V2946" s="248">
        <f>_xll.qlCalendarAdvance(Calendar,U2946,NDays&amp;"D")</f>
        <v>59477</v>
      </c>
      <c r="W2946" s="249">
        <v>2.2954235663847525E-2</v>
      </c>
      <c r="X2946" s="246">
        <v>2.2865770886006942E-2</v>
      </c>
    </row>
    <row r="2947" spans="20:24" x14ac:dyDescent="0.2">
      <c r="T2947" s="247" t="str">
        <f t="shared" si="50"/>
        <v>1w</v>
      </c>
      <c r="U2947" s="245">
        <f>_xll.qlCalendarAdvance(Calendar,U2946,T2947,"f",FALSE)</f>
        <v>59482</v>
      </c>
      <c r="V2947" s="248">
        <f>_xll.qlCalendarAdvance(Calendar,U2947,NDays&amp;"D")</f>
        <v>59484</v>
      </c>
      <c r="W2947" s="249">
        <v>2.2957708070639196E-2</v>
      </c>
      <c r="X2947" s="246">
        <v>2.2869105324492267E-2</v>
      </c>
    </row>
    <row r="2948" spans="20:24" x14ac:dyDescent="0.2">
      <c r="T2948" s="247" t="str">
        <f t="shared" si="50"/>
        <v>1w</v>
      </c>
      <c r="U2948" s="245">
        <f>_xll.qlCalendarAdvance(Calendar,U2947,T2948,"f",FALSE)</f>
        <v>59489</v>
      </c>
      <c r="V2948" s="248">
        <f>_xll.qlCalendarAdvance(Calendar,U2948,NDays&amp;"D")</f>
        <v>59491</v>
      </c>
      <c r="W2948" s="249">
        <v>2.2961198729722718E-2</v>
      </c>
      <c r="X2948" s="246">
        <v>2.2872457906863985E-2</v>
      </c>
    </row>
    <row r="2949" spans="20:24" x14ac:dyDescent="0.2">
      <c r="T2949" s="247" t="str">
        <f t="shared" si="50"/>
        <v>1w</v>
      </c>
      <c r="U2949" s="245">
        <f>_xll.qlCalendarAdvance(Calendar,U2948,T2949,"f",FALSE)</f>
        <v>59496</v>
      </c>
      <c r="V2949" s="248">
        <f>_xll.qlCalendarAdvance(Calendar,U2949,NDays&amp;"D")</f>
        <v>59498</v>
      </c>
      <c r="W2949" s="249">
        <v>2.2964707641144142E-2</v>
      </c>
      <c r="X2949" s="246">
        <v>2.2875828633122097E-2</v>
      </c>
    </row>
    <row r="2950" spans="20:24" x14ac:dyDescent="0.2">
      <c r="T2950" s="247" t="str">
        <f t="shared" si="50"/>
        <v>1w</v>
      </c>
      <c r="U2950" s="245">
        <f>_xll.qlCalendarAdvance(Calendar,U2949,T2950,"f",FALSE)</f>
        <v>59503</v>
      </c>
      <c r="V2950" s="248">
        <f>_xll.qlCalendarAdvance(Calendar,U2950,NDays&amp;"D")</f>
        <v>59505</v>
      </c>
      <c r="W2950" s="249">
        <v>2.2966261755717809E-2</v>
      </c>
      <c r="X2950" s="246">
        <v>2.287921750350641E-2</v>
      </c>
    </row>
    <row r="2951" spans="20:24" x14ac:dyDescent="0.2">
      <c r="T2951" s="247" t="str">
        <f t="shared" si="50"/>
        <v>1w</v>
      </c>
      <c r="U2951" s="245">
        <f>_xll.qlCalendarAdvance(Calendar,U2950,T2951,"f",FALSE)</f>
        <v>59510</v>
      </c>
      <c r="V2951" s="248">
        <f>_xll.qlCalendarAdvance(Calendar,U2951,NDays&amp;"D")</f>
        <v>59512</v>
      </c>
      <c r="W2951" s="249">
        <v>2.2969804113723846E-2</v>
      </c>
      <c r="X2951" s="246">
        <v>2.2882624517697181E-2</v>
      </c>
    </row>
    <row r="2952" spans="20:24" x14ac:dyDescent="0.2">
      <c r="T2952" s="247" t="str">
        <f t="shared" si="50"/>
        <v>1w</v>
      </c>
      <c r="U2952" s="245">
        <f>_xll.qlCalendarAdvance(Calendar,U2951,T2952,"f",FALSE)</f>
        <v>59517</v>
      </c>
      <c r="V2952" s="248">
        <f>_xll.qlCalendarAdvance(Calendar,U2952,NDays&amp;"D")</f>
        <v>59519</v>
      </c>
      <c r="W2952" s="249">
        <v>2.2973364721819323E-2</v>
      </c>
      <c r="X2952" s="246">
        <v>2.2886049676014153E-2</v>
      </c>
    </row>
    <row r="2953" spans="20:24" x14ac:dyDescent="0.2">
      <c r="T2953" s="247" t="str">
        <f t="shared" si="50"/>
        <v>1w</v>
      </c>
      <c r="U2953" s="245">
        <f>_xll.qlCalendarAdvance(Calendar,U2952,T2953,"f",FALSE)</f>
        <v>59524</v>
      </c>
      <c r="V2953" s="248">
        <f>_xll.qlCalendarAdvance(Calendar,U2953,NDays&amp;"D")</f>
        <v>59526</v>
      </c>
      <c r="W2953" s="249">
        <v>2.2976943580050424E-2</v>
      </c>
      <c r="X2953" s="246">
        <v>2.2889492978057646E-2</v>
      </c>
    </row>
    <row r="2954" spans="20:24" x14ac:dyDescent="0.2">
      <c r="T2954" s="247" t="str">
        <f t="shared" si="50"/>
        <v>1w</v>
      </c>
      <c r="U2954" s="245">
        <f>_xll.qlCalendarAdvance(Calendar,U2953,T2954,"f",FALSE)</f>
        <v>59532</v>
      </c>
      <c r="V2954" s="248">
        <f>_xll.qlCalendarAdvance(Calendar,U2954,NDays&amp;"D")</f>
        <v>59534</v>
      </c>
      <c r="W2954" s="249">
        <v>2.2982048824054312E-2</v>
      </c>
      <c r="X2954" s="246">
        <v>2.2896379310162196E-2</v>
      </c>
    </row>
    <row r="2955" spans="20:24" x14ac:dyDescent="0.2">
      <c r="T2955" s="247" t="str">
        <f t="shared" si="50"/>
        <v>1w</v>
      </c>
      <c r="U2955" s="245">
        <f>_xll.qlCalendarAdvance(Calendar,U2954,T2955,"f",FALSE)</f>
        <v>59539</v>
      </c>
      <c r="V2955" s="248">
        <f>_xll.qlCalendarAdvance(Calendar,U2955,NDays&amp;"D")</f>
        <v>59541</v>
      </c>
      <c r="W2955" s="249">
        <v>2.2984674016741202E-2</v>
      </c>
      <c r="X2955" s="246">
        <v>2.2898888037428122E-2</v>
      </c>
    </row>
    <row r="2956" spans="20:24" x14ac:dyDescent="0.2">
      <c r="T2956" s="247" t="str">
        <f t="shared" si="50"/>
        <v>1w</v>
      </c>
      <c r="U2956" s="245">
        <f>_xll.qlCalendarAdvance(Calendar,U2955,T2956,"f",FALSE)</f>
        <v>59546</v>
      </c>
      <c r="V2956" s="248">
        <f>_xll.qlCalendarAdvance(Calendar,U2956,NDays&amp;"D")</f>
        <v>59548</v>
      </c>
      <c r="W2956" s="249">
        <v>2.2988310232861409E-2</v>
      </c>
      <c r="X2956" s="246">
        <v>2.290239140110728E-2</v>
      </c>
    </row>
    <row r="2957" spans="20:24" x14ac:dyDescent="0.2">
      <c r="T2957" s="247" t="str">
        <f t="shared" si="50"/>
        <v>1w</v>
      </c>
      <c r="U2957" s="245">
        <f>_xll.qlCalendarAdvance(Calendar,U2956,T2957,"f",FALSE)</f>
        <v>59553</v>
      </c>
      <c r="V2957" s="248">
        <f>_xll.qlCalendarAdvance(Calendar,U2957,NDays&amp;"D")</f>
        <v>59555</v>
      </c>
      <c r="W2957" s="249">
        <v>2.2991964699320633E-2</v>
      </c>
      <c r="X2957" s="246">
        <v>2.2905912911097559E-2</v>
      </c>
    </row>
    <row r="2958" spans="20:24" x14ac:dyDescent="0.2">
      <c r="T2958" s="247" t="str">
        <f t="shared" si="50"/>
        <v>1w</v>
      </c>
      <c r="U2958" s="245">
        <f>_xll.qlCalendarAdvance(Calendar,U2957,T2958,"f",FALSE)</f>
        <v>59560</v>
      </c>
      <c r="V2958" s="248">
        <f>_xll.qlCalendarAdvance(Calendar,U2958,NDays&amp;"D")</f>
        <v>59562</v>
      </c>
      <c r="W2958" s="249">
        <v>2.2995637416168613E-2</v>
      </c>
      <c r="X2958" s="246">
        <v>2.2909452567372313E-2</v>
      </c>
    </row>
    <row r="2959" spans="20:24" x14ac:dyDescent="0.2">
      <c r="T2959" s="247" t="str">
        <f t="shared" si="50"/>
        <v>1w</v>
      </c>
      <c r="U2959" s="245">
        <f>_xll.qlCalendarAdvance(Calendar,U2958,T2959,"f",FALSE)</f>
        <v>59567</v>
      </c>
      <c r="V2959" s="248">
        <f>_xll.qlCalendarAdvance(Calendar,U2959,NDays&amp;"D")</f>
        <v>59569</v>
      </c>
      <c r="W2959" s="249">
        <v>2.2998328117620731E-2</v>
      </c>
      <c r="X2959" s="246">
        <v>2.2913010370091413E-2</v>
      </c>
    </row>
    <row r="2960" spans="20:24" x14ac:dyDescent="0.2">
      <c r="T2960" s="247" t="str">
        <f t="shared" si="50"/>
        <v>1w</v>
      </c>
      <c r="U2960" s="245">
        <f>_xll.qlCalendarAdvance(Calendar,U2959,T2960,"f",FALSE)</f>
        <v>59574</v>
      </c>
      <c r="V2960" s="248">
        <f>_xll.qlCalendarAdvance(Calendar,U2960,NDays&amp;"D")</f>
        <v>59576</v>
      </c>
      <c r="W2960" s="249">
        <v>2.3002035795568761E-2</v>
      </c>
      <c r="X2960" s="246">
        <v>2.2916586319041699E-2</v>
      </c>
    </row>
    <row r="2961" spans="20:24" x14ac:dyDescent="0.2">
      <c r="T2961" s="247" t="str">
        <f t="shared" si="50"/>
        <v>1w</v>
      </c>
      <c r="U2961" s="245">
        <f>_xll.qlCalendarAdvance(Calendar,U2960,T2961,"f",FALSE)</f>
        <v>59581</v>
      </c>
      <c r="V2961" s="248">
        <f>_xll.qlCalendarAdvance(Calendar,U2961,NDays&amp;"D")</f>
        <v>59583</v>
      </c>
      <c r="W2961" s="249">
        <v>2.3005761722852319E-2</v>
      </c>
      <c r="X2961" s="246">
        <v>2.2920180414409685E-2</v>
      </c>
    </row>
    <row r="2962" spans="20:24" x14ac:dyDescent="0.2">
      <c r="T2962" s="247" t="str">
        <f t="shared" ref="T2962:T3025" si="51">T2961</f>
        <v>1w</v>
      </c>
      <c r="U2962" s="245">
        <f>_xll.qlCalendarAdvance(Calendar,U2961,T2962,"f",FALSE)</f>
        <v>59588</v>
      </c>
      <c r="V2962" s="248">
        <f>_xll.qlCalendarAdvance(Calendar,U2962,NDays&amp;"D")</f>
        <v>59590</v>
      </c>
      <c r="W2962" s="249">
        <v>2.3009505899520805E-2</v>
      </c>
      <c r="X2962" s="246">
        <v>2.2923792656062147E-2</v>
      </c>
    </row>
    <row r="2963" spans="20:24" x14ac:dyDescent="0.2">
      <c r="T2963" s="247" t="str">
        <f t="shared" si="51"/>
        <v>1w</v>
      </c>
      <c r="U2963" s="245">
        <f>_xll.qlCalendarAdvance(Calendar,U2962,T2963,"f",FALSE)</f>
        <v>59595</v>
      </c>
      <c r="V2963" s="248">
        <f>_xll.qlCalendarAdvance(Calendar,U2963,NDays&amp;"D")</f>
        <v>59597</v>
      </c>
      <c r="W2963" s="249">
        <v>2.3018302388639698E-2</v>
      </c>
      <c r="X2963" s="246">
        <v>2.2927423044079021E-2</v>
      </c>
    </row>
    <row r="2964" spans="20:24" x14ac:dyDescent="0.2">
      <c r="T2964" s="247" t="str">
        <f t="shared" si="51"/>
        <v>1w</v>
      </c>
      <c r="U2964" s="245">
        <f>_xll.qlCalendarAdvance(Calendar,U2963,T2964,"f",FALSE)</f>
        <v>59602</v>
      </c>
      <c r="V2964" s="248">
        <f>_xll.qlCalendarAdvance(Calendar,U2964,NDays&amp;"D")</f>
        <v>59604</v>
      </c>
      <c r="W2964" s="249">
        <v>2.3022090789357935E-2</v>
      </c>
      <c r="X2964" s="246">
        <v>2.2931071578460305E-2</v>
      </c>
    </row>
    <row r="2965" spans="20:24" x14ac:dyDescent="0.2">
      <c r="T2965" s="247" t="str">
        <f t="shared" si="51"/>
        <v>1w</v>
      </c>
      <c r="U2965" s="245">
        <f>_xll.qlCalendarAdvance(Calendar,U2964,T2965,"f",FALSE)</f>
        <v>59609</v>
      </c>
      <c r="V2965" s="248">
        <f>_xll.qlCalendarAdvance(Calendar,U2965,NDays&amp;"D")</f>
        <v>59611</v>
      </c>
      <c r="W2965" s="249">
        <v>2.3025897445649392E-2</v>
      </c>
      <c r="X2965" s="246">
        <v>2.2934738259206E-2</v>
      </c>
    </row>
    <row r="2966" spans="20:24" x14ac:dyDescent="0.2">
      <c r="T2966" s="247" t="str">
        <f t="shared" si="51"/>
        <v>1w</v>
      </c>
      <c r="U2966" s="245">
        <f>_xll.qlCalendarAdvance(Calendar,U2965,T2966,"f",FALSE)</f>
        <v>59616</v>
      </c>
      <c r="V2966" s="248">
        <f>_xll.qlCalendarAdvance(Calendar,U2966,NDays&amp;"D")</f>
        <v>59618</v>
      </c>
      <c r="W2966" s="249">
        <v>2.3029722357569352E-2</v>
      </c>
      <c r="X2966" s="246">
        <v>2.2938423086262816E-2</v>
      </c>
    </row>
    <row r="2967" spans="20:24" x14ac:dyDescent="0.2">
      <c r="T2967" s="247" t="str">
        <f t="shared" si="51"/>
        <v>1w</v>
      </c>
      <c r="U2967" s="245">
        <f>_xll.qlCalendarAdvance(Calendar,U2966,T2967,"f",FALSE)</f>
        <v>59623</v>
      </c>
      <c r="V2967" s="248">
        <f>_xll.qlCalendarAdvance(Calendar,U2967,NDays&amp;"D")</f>
        <v>59625</v>
      </c>
      <c r="W2967" s="249">
        <v>2.3030525952705834E-2</v>
      </c>
      <c r="X2967" s="246">
        <v>2.2942126059657397E-2</v>
      </c>
    </row>
    <row r="2968" spans="20:24" x14ac:dyDescent="0.2">
      <c r="T2968" s="247" t="str">
        <f t="shared" si="51"/>
        <v>1w</v>
      </c>
      <c r="U2968" s="245">
        <f>_xll.qlCalendarAdvance(Calendar,U2967,T2968,"f",FALSE)</f>
        <v>59630</v>
      </c>
      <c r="V2968" s="248">
        <f>_xll.qlCalendarAdvance(Calendar,U2968,NDays&amp;"D")</f>
        <v>59632</v>
      </c>
      <c r="W2968" s="249">
        <v>2.3034382725905543E-2</v>
      </c>
      <c r="X2968" s="246">
        <v>2.294584717941639E-2</v>
      </c>
    </row>
    <row r="2969" spans="20:24" x14ac:dyDescent="0.2">
      <c r="T2969" s="247" t="str">
        <f t="shared" si="51"/>
        <v>1w</v>
      </c>
      <c r="U2969" s="245">
        <f>_xll.qlCalendarAdvance(Calendar,U2968,T2969,"f",FALSE)</f>
        <v>59637</v>
      </c>
      <c r="V2969" s="248">
        <f>_xll.qlCalendarAdvance(Calendar,U2969,NDays&amp;"D")</f>
        <v>59643</v>
      </c>
      <c r="W2969" s="249">
        <v>2.3040480246343996E-2</v>
      </c>
      <c r="X2969" s="246">
        <v>2.2949731360499825E-2</v>
      </c>
    </row>
    <row r="2970" spans="20:24" x14ac:dyDescent="0.2">
      <c r="T2970" s="247" t="str">
        <f t="shared" si="51"/>
        <v>1w</v>
      </c>
      <c r="U2970" s="245">
        <f>_xll.qlCalendarAdvance(Calendar,U2969,T2970,"f",FALSE)</f>
        <v>59644</v>
      </c>
      <c r="V2970" s="248">
        <f>_xll.qlCalendarAdvance(Calendar,U2970,NDays&amp;"D")</f>
        <v>59646</v>
      </c>
      <c r="W2970" s="249">
        <v>2.3042151028845357E-2</v>
      </c>
      <c r="X2970" s="246">
        <v>2.2953343858027608E-2</v>
      </c>
    </row>
    <row r="2971" spans="20:24" x14ac:dyDescent="0.2">
      <c r="T2971" s="247" t="str">
        <f t="shared" si="51"/>
        <v>1w</v>
      </c>
      <c r="U2971" s="245">
        <f>_xll.qlCalendarAdvance(Calendar,U2970,T2971,"f",FALSE)</f>
        <v>59651</v>
      </c>
      <c r="V2971" s="248">
        <f>_xll.qlCalendarAdvance(Calendar,U2971,NDays&amp;"D")</f>
        <v>59653</v>
      </c>
      <c r="W2971" s="249">
        <v>2.3046062558692633E-2</v>
      </c>
      <c r="X2971" s="246">
        <v>2.2957119416853189E-2</v>
      </c>
    </row>
    <row r="2972" spans="20:24" x14ac:dyDescent="0.2">
      <c r="T2972" s="247" t="str">
        <f t="shared" si="51"/>
        <v>1w</v>
      </c>
      <c r="U2972" s="245">
        <f>_xll.qlCalendarAdvance(Calendar,U2971,T2972,"f",FALSE)</f>
        <v>59658</v>
      </c>
      <c r="V2972" s="248">
        <f>_xll.qlCalendarAdvance(Calendar,U2972,NDays&amp;"D")</f>
        <v>59660</v>
      </c>
      <c r="W2972" s="249">
        <v>2.3053055200332784E-2</v>
      </c>
      <c r="X2972" s="246">
        <v>2.2960913122043181E-2</v>
      </c>
    </row>
    <row r="2973" spans="20:24" x14ac:dyDescent="0.2">
      <c r="T2973" s="247" t="str">
        <f t="shared" si="51"/>
        <v>1w</v>
      </c>
      <c r="U2973" s="245">
        <f>_xll.qlCalendarAdvance(Calendar,U2972,T2973,"f",FALSE)</f>
        <v>59665</v>
      </c>
      <c r="V2973" s="248">
        <f>_xll.qlCalendarAdvance(Calendar,U2973,NDays&amp;"D")</f>
        <v>59667</v>
      </c>
      <c r="W2973" s="249">
        <v>2.3057007903183772E-2</v>
      </c>
      <c r="X2973" s="246">
        <v>2.2964724973624229E-2</v>
      </c>
    </row>
    <row r="2974" spans="20:24" x14ac:dyDescent="0.2">
      <c r="T2974" s="247" t="str">
        <f t="shared" si="51"/>
        <v>1w</v>
      </c>
      <c r="U2974" s="245">
        <f>_xll.qlCalendarAdvance(Calendar,U2973,T2974,"f",FALSE)</f>
        <v>59672</v>
      </c>
      <c r="V2974" s="248">
        <f>_xll.qlCalendarAdvance(Calendar,U2974,NDays&amp;"D")</f>
        <v>59674</v>
      </c>
      <c r="W2974" s="249">
        <v>2.3060978862103756E-2</v>
      </c>
      <c r="X2974" s="246">
        <v>2.2968554971543043E-2</v>
      </c>
    </row>
    <row r="2975" spans="20:24" x14ac:dyDescent="0.2">
      <c r="T2975" s="247" t="str">
        <f t="shared" si="51"/>
        <v>1w</v>
      </c>
      <c r="U2975" s="245">
        <f>_xll.qlCalendarAdvance(Calendar,U2974,T2975,"f",FALSE)</f>
        <v>59679</v>
      </c>
      <c r="V2975" s="248">
        <f>_xll.qlCalendarAdvance(Calendar,U2975,NDays&amp;"D")</f>
        <v>59681</v>
      </c>
      <c r="W2975" s="249">
        <v>2.3064968077150562E-2</v>
      </c>
      <c r="X2975" s="246">
        <v>2.2972403115826268E-2</v>
      </c>
    </row>
    <row r="2976" spans="20:24" x14ac:dyDescent="0.2">
      <c r="T2976" s="247" t="str">
        <f t="shared" si="51"/>
        <v>1w</v>
      </c>
      <c r="U2976" s="245">
        <f>_xll.qlCalendarAdvance(Calendar,U2975,T2976,"f",FALSE)</f>
        <v>59686</v>
      </c>
      <c r="V2976" s="248">
        <f>_xll.qlCalendarAdvance(Calendar,U2976,NDays&amp;"D")</f>
        <v>59688</v>
      </c>
      <c r="W2976" s="249">
        <v>2.3068975548378615E-2</v>
      </c>
      <c r="X2976" s="246">
        <v>2.2976269406447258E-2</v>
      </c>
    </row>
    <row r="2977" spans="20:24" x14ac:dyDescent="0.2">
      <c r="T2977" s="247" t="str">
        <f t="shared" si="51"/>
        <v>1w</v>
      </c>
      <c r="U2977" s="245">
        <f>_xll.qlCalendarAdvance(Calendar,U2976,T2977,"f",FALSE)</f>
        <v>59693</v>
      </c>
      <c r="V2977" s="248">
        <f>_xll.qlCalendarAdvance(Calendar,U2977,NDays&amp;"D")</f>
        <v>59695</v>
      </c>
      <c r="W2977" s="249">
        <v>2.3073001275847445E-2</v>
      </c>
      <c r="X2977" s="246">
        <v>2.2980153843459306E-2</v>
      </c>
    </row>
    <row r="2978" spans="20:24" x14ac:dyDescent="0.2">
      <c r="T2978" s="247" t="str">
        <f t="shared" si="51"/>
        <v>1w</v>
      </c>
      <c r="U2978" s="245">
        <f>_xll.qlCalendarAdvance(Calendar,U2977,T2978,"f",FALSE)</f>
        <v>59700</v>
      </c>
      <c r="V2978" s="248">
        <f>_xll.qlCalendarAdvance(Calendar,U2978,NDays&amp;"D")</f>
        <v>59702</v>
      </c>
      <c r="W2978" s="249">
        <v>2.3077045259613172E-2</v>
      </c>
      <c r="X2978" s="246">
        <v>2.2984056426809119E-2</v>
      </c>
    </row>
    <row r="2979" spans="20:24" x14ac:dyDescent="0.2">
      <c r="T2979" s="247" t="str">
        <f t="shared" si="51"/>
        <v>1w</v>
      </c>
      <c r="U2979" s="245">
        <f>_xll.qlCalendarAdvance(Calendar,U2978,T2979,"f",FALSE)</f>
        <v>59707</v>
      </c>
      <c r="V2979" s="248">
        <f>_xll.qlCalendarAdvance(Calendar,U2979,NDays&amp;"D")</f>
        <v>59709</v>
      </c>
      <c r="W2979" s="249">
        <v>2.3081107499734476E-2</v>
      </c>
      <c r="X2979" s="246">
        <v>2.2987977156549988E-2</v>
      </c>
    </row>
    <row r="2980" spans="20:24" x14ac:dyDescent="0.2">
      <c r="T2980" s="247" t="str">
        <f t="shared" si="51"/>
        <v>1w</v>
      </c>
      <c r="U2980" s="245">
        <f>_xll.qlCalendarAdvance(Calendar,U2979,T2980,"f",FALSE)</f>
        <v>59714</v>
      </c>
      <c r="V2980" s="248">
        <f>_xll.qlCalendarAdvance(Calendar,U2980,NDays&amp;"D")</f>
        <v>59716</v>
      </c>
      <c r="W2980" s="249">
        <v>2.3082087688375521E-2</v>
      </c>
      <c r="X2980" s="246">
        <v>2.2991916032735205E-2</v>
      </c>
    </row>
    <row r="2981" spans="20:24" x14ac:dyDescent="0.2">
      <c r="T2981" s="247" t="str">
        <f t="shared" si="51"/>
        <v>1w</v>
      </c>
      <c r="U2981" s="245">
        <f>_xll.qlCalendarAdvance(Calendar,U2980,T2981,"f",FALSE)</f>
        <v>59721</v>
      </c>
      <c r="V2981" s="248">
        <f>_xll.qlCalendarAdvance(Calendar,U2981,NDays&amp;"D")</f>
        <v>59723</v>
      </c>
      <c r="W2981" s="249">
        <v>2.3089286749271715E-2</v>
      </c>
      <c r="X2981" s="246">
        <v>2.2995873055204896E-2</v>
      </c>
    </row>
    <row r="2982" spans="20:24" x14ac:dyDescent="0.2">
      <c r="T2982" s="247" t="str">
        <f t="shared" si="51"/>
        <v>1w</v>
      </c>
      <c r="U2982" s="245">
        <f>_xll.qlCalendarAdvance(Calendar,U2981,T2982,"f",FALSE)</f>
        <v>59728</v>
      </c>
      <c r="V2982" s="248">
        <f>_xll.qlCalendarAdvance(Calendar,U2982,NDays&amp;"D")</f>
        <v>59730</v>
      </c>
      <c r="W2982" s="249">
        <v>2.3093403758803303E-2</v>
      </c>
      <c r="X2982" s="246">
        <v>2.299984822409229E-2</v>
      </c>
    </row>
    <row r="2983" spans="20:24" x14ac:dyDescent="0.2">
      <c r="T2983" s="247" t="str">
        <f t="shared" si="51"/>
        <v>1w</v>
      </c>
      <c r="U2983" s="245">
        <f>_xll.qlCalendarAdvance(Calendar,U2982,T2983,"f",FALSE)</f>
        <v>59735</v>
      </c>
      <c r="V2983" s="248">
        <f>_xll.qlCalendarAdvance(Calendar,U2983,NDays&amp;"D")</f>
        <v>59737</v>
      </c>
      <c r="W2983" s="249">
        <v>2.3097539024920923E-2</v>
      </c>
      <c r="X2983" s="246">
        <v>2.3003841539317449E-2</v>
      </c>
    </row>
    <row r="2984" spans="20:24" x14ac:dyDescent="0.2">
      <c r="T2984" s="247" t="str">
        <f t="shared" si="51"/>
        <v>1w</v>
      </c>
      <c r="U2984" s="245">
        <f>_xll.qlCalendarAdvance(Calendar,U2983,T2984,"f",FALSE)</f>
        <v>59742</v>
      </c>
      <c r="V2984" s="248">
        <f>_xll.qlCalendarAdvance(Calendar,U2984,NDays&amp;"D")</f>
        <v>59744</v>
      </c>
      <c r="W2984" s="249">
        <v>2.31016925476858E-2</v>
      </c>
      <c r="X2984" s="246">
        <v>2.300785300096031E-2</v>
      </c>
    </row>
    <row r="2985" spans="20:24" x14ac:dyDescent="0.2">
      <c r="T2985" s="247" t="str">
        <f t="shared" si="51"/>
        <v>1w</v>
      </c>
      <c r="U2985" s="245">
        <f>_xll.qlCalendarAdvance(Calendar,U2984,T2985,"f",FALSE)</f>
        <v>59749</v>
      </c>
      <c r="V2985" s="248">
        <f>_xll.qlCalendarAdvance(Calendar,U2985,NDays&amp;"D")</f>
        <v>59751</v>
      </c>
      <c r="W2985" s="249">
        <v>2.3105864327157458E-2</v>
      </c>
      <c r="X2985" s="246">
        <v>2.3011882608994227E-2</v>
      </c>
    </row>
    <row r="2986" spans="20:24" x14ac:dyDescent="0.2">
      <c r="T2986" s="247" t="str">
        <f t="shared" si="51"/>
        <v>1w</v>
      </c>
      <c r="U2986" s="245">
        <f>_xll.qlCalendarAdvance(Calendar,U2985,T2986,"f",FALSE)</f>
        <v>59756</v>
      </c>
      <c r="V2986" s="248">
        <f>_xll.qlCalendarAdvance(Calendar,U2986,NDays&amp;"D")</f>
        <v>59758</v>
      </c>
      <c r="W2986" s="249">
        <v>2.311005436339118E-2</v>
      </c>
      <c r="X2986" s="246">
        <v>2.3015930363392556E-2</v>
      </c>
    </row>
    <row r="2987" spans="20:24" x14ac:dyDescent="0.2">
      <c r="T2987" s="247" t="str">
        <f t="shared" si="51"/>
        <v>1w</v>
      </c>
      <c r="U2987" s="245">
        <f>_xll.qlCalendarAdvance(Calendar,U2986,T2987,"f",FALSE)</f>
        <v>59763</v>
      </c>
      <c r="V2987" s="248">
        <f>_xll.qlCalendarAdvance(Calendar,U2987,NDays&amp;"D")</f>
        <v>59765</v>
      </c>
      <c r="W2987" s="249">
        <v>2.3114262656447337E-2</v>
      </c>
      <c r="X2987" s="246">
        <v>2.3019996264181941E-2</v>
      </c>
    </row>
    <row r="2988" spans="20:24" x14ac:dyDescent="0.2">
      <c r="T2988" s="247" t="str">
        <f t="shared" si="51"/>
        <v>1w</v>
      </c>
      <c r="U2988" s="245">
        <f>_xll.qlCalendarAdvance(Calendar,U2987,T2988,"f",FALSE)</f>
        <v>59770</v>
      </c>
      <c r="V2988" s="248">
        <f>_xll.qlCalendarAdvance(Calendar,U2988,NDays&amp;"D")</f>
        <v>59772</v>
      </c>
      <c r="W2988" s="249">
        <v>2.3118489206388006E-2</v>
      </c>
      <c r="X2988" s="246">
        <v>2.3024080311309092E-2</v>
      </c>
    </row>
    <row r="2989" spans="20:24" x14ac:dyDescent="0.2">
      <c r="T2989" s="247" t="str">
        <f t="shared" si="51"/>
        <v>1w</v>
      </c>
      <c r="U2989" s="245">
        <f>_xll.qlCalendarAdvance(Calendar,U2988,T2989,"f",FALSE)</f>
        <v>59777</v>
      </c>
      <c r="V2989" s="248">
        <f>_xll.qlCalendarAdvance(Calendar,U2989,NDays&amp;"D")</f>
        <v>59779</v>
      </c>
      <c r="W2989" s="249">
        <v>2.3119591296493471E-2</v>
      </c>
      <c r="X2989" s="246">
        <v>2.3028182504907235E-2</v>
      </c>
    </row>
    <row r="2990" spans="20:24" x14ac:dyDescent="0.2">
      <c r="T2990" s="247" t="str">
        <f t="shared" si="51"/>
        <v>1w</v>
      </c>
      <c r="U2990" s="245">
        <f>_xll.qlCalendarAdvance(Calendar,U2989,T2990,"f",FALSE)</f>
        <v>59784</v>
      </c>
      <c r="V2990" s="248">
        <f>_xll.qlCalendarAdvance(Calendar,U2990,NDays&amp;"D")</f>
        <v>59786</v>
      </c>
      <c r="W2990" s="249">
        <v>2.3123849629961293E-2</v>
      </c>
      <c r="X2990" s="246">
        <v>2.3032302844816499E-2</v>
      </c>
    </row>
    <row r="2991" spans="20:24" x14ac:dyDescent="0.2">
      <c r="T2991" s="247" t="str">
        <f t="shared" si="51"/>
        <v>1w</v>
      </c>
      <c r="U2991" s="245">
        <f>_xll.qlCalendarAdvance(Calendar,U2990,T2991,"f",FALSE)</f>
        <v>59791</v>
      </c>
      <c r="V2991" s="248">
        <f>_xll.qlCalendarAdvance(Calendar,U2991,NDays&amp;"D")</f>
        <v>59793</v>
      </c>
      <c r="W2991" s="249">
        <v>2.3128126216821757E-2</v>
      </c>
      <c r="X2991" s="246">
        <v>2.3036441331143465E-2</v>
      </c>
    </row>
    <row r="2992" spans="20:24" x14ac:dyDescent="0.2">
      <c r="T2992" s="247" t="str">
        <f t="shared" si="51"/>
        <v>1w</v>
      </c>
      <c r="U2992" s="245">
        <f>_xll.qlCalendarAdvance(Calendar,U2991,T2992,"f",FALSE)</f>
        <v>59798</v>
      </c>
      <c r="V2992" s="248">
        <f>_xll.qlCalendarAdvance(Calendar,U2992,NDays&amp;"D")</f>
        <v>59800</v>
      </c>
      <c r="W2992" s="249">
        <v>2.3132421057138114E-2</v>
      </c>
      <c r="X2992" s="246">
        <v>2.3040597963941423E-2</v>
      </c>
    </row>
    <row r="2993" spans="20:24" x14ac:dyDescent="0.2">
      <c r="T2993" s="247" t="str">
        <f t="shared" si="51"/>
        <v>1w</v>
      </c>
      <c r="U2993" s="245">
        <f>_xll.qlCalendarAdvance(Calendar,U2992,T2993,"f",FALSE)</f>
        <v>59805</v>
      </c>
      <c r="V2993" s="248">
        <f>_xll.qlCalendarAdvance(Calendar,U2993,NDays&amp;"D")</f>
        <v>59807</v>
      </c>
      <c r="W2993" s="249">
        <v>2.3139895811460386E-2</v>
      </c>
      <c r="X2993" s="246">
        <v>2.3044772743077147E-2</v>
      </c>
    </row>
    <row r="2994" spans="20:24" x14ac:dyDescent="0.2">
      <c r="T2994" s="247" t="str">
        <f t="shared" si="51"/>
        <v>1w</v>
      </c>
      <c r="U2994" s="245">
        <f>_xll.qlCalendarAdvance(Calendar,U2993,T2994,"f",FALSE)</f>
        <v>59812</v>
      </c>
      <c r="V2994" s="248">
        <f>_xll.qlCalendarAdvance(Calendar,U2994,NDays&amp;"D")</f>
        <v>59814</v>
      </c>
      <c r="W2994" s="249">
        <v>2.3144231903972669E-2</v>
      </c>
      <c r="X2994" s="246">
        <v>2.3048965668577281E-2</v>
      </c>
    </row>
    <row r="2995" spans="20:24" x14ac:dyDescent="0.2">
      <c r="T2995" s="247" t="str">
        <f t="shared" si="51"/>
        <v>1w</v>
      </c>
      <c r="U2995" s="245">
        <f>_xll.qlCalendarAdvance(Calendar,U2994,T2995,"f",FALSE)</f>
        <v>59819</v>
      </c>
      <c r="V2995" s="248">
        <f>_xll.qlCalendarAdvance(Calendar,U2995,NDays&amp;"D")</f>
        <v>59821</v>
      </c>
      <c r="W2995" s="249">
        <v>2.3148586253794654E-2</v>
      </c>
      <c r="X2995" s="246">
        <v>2.3053176740495118E-2</v>
      </c>
    </row>
    <row r="2996" spans="20:24" x14ac:dyDescent="0.2">
      <c r="T2996" s="247" t="str">
        <f t="shared" si="51"/>
        <v>1w</v>
      </c>
      <c r="U2996" s="245">
        <f>_xll.qlCalendarAdvance(Calendar,U2995,T2996,"f",FALSE)</f>
        <v>59826</v>
      </c>
      <c r="V2996" s="248">
        <f>_xll.qlCalendarAdvance(Calendar,U2996,NDays&amp;"D")</f>
        <v>59828</v>
      </c>
      <c r="W2996" s="249">
        <v>2.3152958860989278E-2</v>
      </c>
      <c r="X2996" s="246">
        <v>2.3057405958857302E-2</v>
      </c>
    </row>
    <row r="2997" spans="20:24" x14ac:dyDescent="0.2">
      <c r="T2997" s="247" t="str">
        <f t="shared" si="51"/>
        <v>1w</v>
      </c>
      <c r="U2997" s="245">
        <f>_xll.qlCalendarAdvance(Calendar,U2996,T2997,"f",FALSE)</f>
        <v>59833</v>
      </c>
      <c r="V2997" s="248">
        <f>_xll.qlCalendarAdvance(Calendar,U2997,NDays&amp;"D")</f>
        <v>59835</v>
      </c>
      <c r="W2997" s="249">
        <v>2.3157349725617764E-2</v>
      </c>
      <c r="X2997" s="246">
        <v>2.3061653323557252E-2</v>
      </c>
    </row>
    <row r="2998" spans="20:24" x14ac:dyDescent="0.2">
      <c r="T2998" s="247" t="str">
        <f t="shared" si="51"/>
        <v>1w</v>
      </c>
      <c r="U2998" s="245">
        <f>_xll.qlCalendarAdvance(Calendar,U2997,T2998,"f",FALSE)</f>
        <v>59840</v>
      </c>
      <c r="V2998" s="248">
        <f>_xll.qlCalendarAdvance(Calendar,U2998,NDays&amp;"D")</f>
        <v>59842</v>
      </c>
      <c r="W2998" s="249">
        <v>2.316175884774049E-2</v>
      </c>
      <c r="X2998" s="246">
        <v>2.3065918834754839E-2</v>
      </c>
    </row>
    <row r="2999" spans="20:24" x14ac:dyDescent="0.2">
      <c r="T2999" s="247" t="str">
        <f t="shared" si="51"/>
        <v>1w</v>
      </c>
      <c r="U2999" s="245">
        <f>_xll.qlCalendarAdvance(Calendar,U2998,T2999,"f",FALSE)</f>
        <v>59847</v>
      </c>
      <c r="V2999" s="248">
        <f>_xll.qlCalendarAdvance(Calendar,U2999,NDays&amp;"D")</f>
        <v>59849</v>
      </c>
      <c r="W2999" s="249">
        <v>2.3166186227422083E-2</v>
      </c>
      <c r="X2999" s="246">
        <v>2.3070202492290193E-2</v>
      </c>
    </row>
    <row r="3000" spans="20:24" x14ac:dyDescent="0.2">
      <c r="T3000" s="247" t="str">
        <f t="shared" si="51"/>
        <v>1w</v>
      </c>
      <c r="U3000" s="245">
        <f>_xll.qlCalendarAdvance(Calendar,U2999,T3000,"f",FALSE)</f>
        <v>59854</v>
      </c>
      <c r="V3000" s="248">
        <f>_xll.qlCalendarAdvance(Calendar,U3000,NDays&amp;"D")</f>
        <v>59856</v>
      </c>
      <c r="W3000" s="249">
        <v>2.3170631864726326E-2</v>
      </c>
      <c r="X3000" s="246">
        <v>2.3074504296216602E-2</v>
      </c>
    </row>
    <row r="3001" spans="20:24" x14ac:dyDescent="0.2">
      <c r="T3001" s="247" t="str">
        <f t="shared" si="51"/>
        <v>1w</v>
      </c>
      <c r="U3001" s="245">
        <f>_xll.qlCalendarAdvance(Calendar,U3000,T3001,"f",FALSE)</f>
        <v>59861</v>
      </c>
      <c r="V3001" s="248">
        <f>_xll.qlCalendarAdvance(Calendar,U3001,NDays&amp;"D")</f>
        <v>59863</v>
      </c>
      <c r="W3001" s="249">
        <v>2.3175095759713594E-2</v>
      </c>
      <c r="X3001" s="246">
        <v>2.3078824246560714E-2</v>
      </c>
    </row>
    <row r="3002" spans="20:24" x14ac:dyDescent="0.2">
      <c r="T3002" s="247" t="str">
        <f t="shared" si="51"/>
        <v>1w</v>
      </c>
      <c r="U3002" s="245">
        <f>_xll.qlCalendarAdvance(Calendar,U3001,T3002,"f",FALSE)</f>
        <v>59868</v>
      </c>
      <c r="V3002" s="248">
        <f>_xll.qlCalendarAdvance(Calendar,U3002,NDays&amp;"D")</f>
        <v>59870</v>
      </c>
      <c r="W3002" s="249">
        <v>2.3176373413258473E-2</v>
      </c>
      <c r="X3002" s="246">
        <v>2.3083162343375818E-2</v>
      </c>
    </row>
    <row r="3003" spans="20:24" x14ac:dyDescent="0.2">
      <c r="T3003" s="247" t="str">
        <f t="shared" si="51"/>
        <v>1w</v>
      </c>
      <c r="U3003" s="245">
        <f>_xll.qlCalendarAdvance(Calendar,U3002,T3003,"f",FALSE)</f>
        <v>59875</v>
      </c>
      <c r="V3003" s="248">
        <f>_xll.qlCalendarAdvance(Calendar,U3003,NDays&amp;"D")</f>
        <v>59877</v>
      </c>
      <c r="W3003" s="249">
        <v>2.3180869045498577E-2</v>
      </c>
      <c r="X3003" s="246">
        <v>2.3087518586608624E-2</v>
      </c>
    </row>
    <row r="3004" spans="20:24" x14ac:dyDescent="0.2">
      <c r="T3004" s="247" t="str">
        <f t="shared" si="51"/>
        <v>1w</v>
      </c>
      <c r="U3004" s="245">
        <f>_xll.qlCalendarAdvance(Calendar,U3003,T3004,"f",FALSE)</f>
        <v>59882</v>
      </c>
      <c r="V3004" s="248">
        <f>_xll.qlCalendarAdvance(Calendar,U3004,NDays&amp;"D")</f>
        <v>59884</v>
      </c>
      <c r="W3004" s="249">
        <v>2.3185382931917506E-2</v>
      </c>
      <c r="X3004" s="246">
        <v>2.3091892976232486E-2</v>
      </c>
    </row>
    <row r="3005" spans="20:24" x14ac:dyDescent="0.2">
      <c r="T3005" s="247" t="str">
        <f t="shared" si="51"/>
        <v>1w</v>
      </c>
      <c r="U3005" s="245">
        <f>_xll.qlCalendarAdvance(Calendar,U3004,T3005,"f",FALSE)</f>
        <v>59889</v>
      </c>
      <c r="V3005" s="248">
        <f>_xll.qlCalendarAdvance(Calendar,U3005,NDays&amp;"D")</f>
        <v>59891</v>
      </c>
      <c r="W3005" s="249">
        <v>2.3189915072574997E-2</v>
      </c>
      <c r="X3005" s="246">
        <v>2.3096285512274051E-2</v>
      </c>
    </row>
    <row r="3006" spans="20:24" x14ac:dyDescent="0.2">
      <c r="T3006" s="247" t="str">
        <f t="shared" si="51"/>
        <v>1w</v>
      </c>
      <c r="U3006" s="245">
        <f>_xll.qlCalendarAdvance(Calendar,U3005,T3006,"f",FALSE)</f>
        <v>59897</v>
      </c>
      <c r="V3006" s="248">
        <f>_xll.qlCalendarAdvance(Calendar,U3006,NDays&amp;"D")</f>
        <v>59901</v>
      </c>
      <c r="W3006" s="249">
        <v>2.319642122487147E-2</v>
      </c>
      <c r="X3006" s="246">
        <v>2.3101534551437375E-2</v>
      </c>
    </row>
    <row r="3007" spans="20:24" x14ac:dyDescent="0.2">
      <c r="T3007" s="247" t="str">
        <f t="shared" si="51"/>
        <v>1w</v>
      </c>
      <c r="U3007" s="245">
        <f>_xll.qlCalendarAdvance(Calendar,U3006,T3007,"f",FALSE)</f>
        <v>59904</v>
      </c>
      <c r="V3007" s="248">
        <f>_xll.qlCalendarAdvance(Calendar,U3007,NDays&amp;"D")</f>
        <v>59908</v>
      </c>
      <c r="W3007" s="249">
        <v>2.3202074326550463E-2</v>
      </c>
      <c r="X3007" s="246">
        <v>2.3104910700917358E-2</v>
      </c>
    </row>
    <row r="3008" spans="20:24" x14ac:dyDescent="0.2">
      <c r="T3008" s="247" t="str">
        <f t="shared" si="51"/>
        <v>1w</v>
      </c>
      <c r="U3008" s="245">
        <f>_xll.qlCalendarAdvance(Calendar,U3007,T3008,"f",FALSE)</f>
        <v>59911</v>
      </c>
      <c r="V3008" s="248">
        <f>_xll.qlCalendarAdvance(Calendar,U3008,NDays&amp;"D")</f>
        <v>59915</v>
      </c>
      <c r="W3008" s="249">
        <v>2.320559242461397E-2</v>
      </c>
      <c r="X3008" s="246">
        <v>2.3109362289455149E-2</v>
      </c>
    </row>
    <row r="3009" spans="20:24" x14ac:dyDescent="0.2">
      <c r="T3009" s="247" t="str">
        <f t="shared" si="51"/>
        <v>1w</v>
      </c>
      <c r="U3009" s="245">
        <f>_xll.qlCalendarAdvance(Calendar,U3008,T3009,"f",FALSE)</f>
        <v>59918</v>
      </c>
      <c r="V3009" s="248">
        <f>_xll.qlCalendarAdvance(Calendar,U3009,NDays&amp;"D")</f>
        <v>59922</v>
      </c>
      <c r="W3009" s="249">
        <v>2.3210205406229124E-2</v>
      </c>
      <c r="X3009" s="246">
        <v>2.3113832021959269E-2</v>
      </c>
    </row>
    <row r="3010" spans="20:24" x14ac:dyDescent="0.2">
      <c r="T3010" s="247" t="str">
        <f t="shared" si="51"/>
        <v>1w</v>
      </c>
      <c r="U3010" s="245">
        <f>_xll.qlCalendarAdvance(Calendar,U3009,T3010,"f",FALSE)</f>
        <v>59925</v>
      </c>
      <c r="V3010" s="248">
        <f>_xll.qlCalendarAdvance(Calendar,U3010,NDays&amp;"D")</f>
        <v>59929</v>
      </c>
      <c r="W3010" s="249">
        <v>2.3214836642425421E-2</v>
      </c>
      <c r="X3010" s="246">
        <v>2.3118319898429718E-2</v>
      </c>
    </row>
    <row r="3011" spans="20:24" x14ac:dyDescent="0.2">
      <c r="T3011" s="247" t="str">
        <f t="shared" si="51"/>
        <v>1w</v>
      </c>
      <c r="U3011" s="245">
        <f>_xll.qlCalendarAdvance(Calendar,U3010,T3011,"f",FALSE)</f>
        <v>59932</v>
      </c>
      <c r="V3011" s="248">
        <f>_xll.qlCalendarAdvance(Calendar,U3011,NDays&amp;"D")</f>
        <v>59936</v>
      </c>
      <c r="W3011" s="249">
        <v>2.3219486133267866E-2</v>
      </c>
      <c r="X3011" s="246">
        <v>2.3122825918946432E-2</v>
      </c>
    </row>
    <row r="3012" spans="20:24" x14ac:dyDescent="0.2">
      <c r="T3012" s="247" t="str">
        <f t="shared" si="51"/>
        <v>1w</v>
      </c>
      <c r="U3012" s="245">
        <f>_xll.qlCalendarAdvance(Calendar,U3011,T3012,"f",FALSE)</f>
        <v>59939</v>
      </c>
      <c r="V3012" s="248">
        <f>_xll.qlCalendarAdvance(Calendar,U3012,NDays&amp;"D")</f>
        <v>59943</v>
      </c>
      <c r="W3012" s="249">
        <v>2.3224153878817946E-2</v>
      </c>
      <c r="X3012" s="246">
        <v>2.312735008334954E-2</v>
      </c>
    </row>
    <row r="3013" spans="20:24" x14ac:dyDescent="0.2">
      <c r="T3013" s="247" t="str">
        <f t="shared" si="51"/>
        <v>1w</v>
      </c>
      <c r="U3013" s="245">
        <f>_xll.qlCalendarAdvance(Calendar,U3012,T3013,"f",FALSE)</f>
        <v>59946</v>
      </c>
      <c r="V3013" s="248">
        <f>_xll.qlCalendarAdvance(Calendar,U3013,NDays&amp;"D")</f>
        <v>59950</v>
      </c>
      <c r="W3013" s="249">
        <v>2.3228839879142423E-2</v>
      </c>
      <c r="X3013" s="246">
        <v>2.3131892391798914E-2</v>
      </c>
    </row>
    <row r="3014" spans="20:24" x14ac:dyDescent="0.2">
      <c r="T3014" s="247" t="str">
        <f t="shared" si="51"/>
        <v>1w</v>
      </c>
      <c r="U3014" s="245">
        <f>_xll.qlCalendarAdvance(Calendar,U3013,T3014,"f",FALSE)</f>
        <v>59953</v>
      </c>
      <c r="V3014" s="248">
        <f>_xll.qlCalendarAdvance(Calendar,U3014,NDays&amp;"D")</f>
        <v>59957</v>
      </c>
      <c r="W3014" s="249">
        <v>2.3233544134305416E-2</v>
      </c>
      <c r="X3014" s="246">
        <v>2.3136452844374489E-2</v>
      </c>
    </row>
    <row r="3015" spans="20:24" x14ac:dyDescent="0.2">
      <c r="T3015" s="247" t="str">
        <f t="shared" si="51"/>
        <v>1w</v>
      </c>
      <c r="U3015" s="245">
        <f>_xll.qlCalendarAdvance(Calendar,U3014,T3015,"f",FALSE)</f>
        <v>59960</v>
      </c>
      <c r="V3015" s="248">
        <f>_xll.qlCalendarAdvance(Calendar,U3015,NDays&amp;"D")</f>
        <v>59964</v>
      </c>
      <c r="W3015" s="249">
        <v>2.3239356101243103E-2</v>
      </c>
      <c r="X3015" s="246">
        <v>2.3141031440836457E-2</v>
      </c>
    </row>
    <row r="3016" spans="20:24" x14ac:dyDescent="0.2">
      <c r="T3016" s="247" t="str">
        <f t="shared" si="51"/>
        <v>1w</v>
      </c>
      <c r="U3016" s="245">
        <f>_xll.qlCalendarAdvance(Calendar,U3015,T3016,"f",FALSE)</f>
        <v>59967</v>
      </c>
      <c r="V3016" s="248">
        <f>_xll.qlCalendarAdvance(Calendar,U3016,NDays&amp;"D")</f>
        <v>59971</v>
      </c>
      <c r="W3016" s="249">
        <v>2.3244097955110926E-2</v>
      </c>
      <c r="X3016" s="246">
        <v>2.3145628181184819E-2</v>
      </c>
    </row>
    <row r="3017" spans="20:24" x14ac:dyDescent="0.2">
      <c r="T3017" s="247" t="str">
        <f t="shared" si="51"/>
        <v>1w</v>
      </c>
      <c r="U3017" s="245">
        <f>_xll.qlCalendarAdvance(Calendar,U3016,T3017,"f",FALSE)</f>
        <v>59974</v>
      </c>
      <c r="V3017" s="248">
        <f>_xll.qlCalendarAdvance(Calendar,U3017,NDays&amp;"D")</f>
        <v>59978</v>
      </c>
      <c r="W3017" s="249">
        <v>2.324885567022324E-2</v>
      </c>
      <c r="X3017" s="246">
        <v>2.3150243065739318E-2</v>
      </c>
    </row>
    <row r="3018" spans="20:24" x14ac:dyDescent="0.2">
      <c r="T3018" s="247" t="str">
        <f t="shared" si="51"/>
        <v>1w</v>
      </c>
      <c r="U3018" s="245">
        <f>_xll.qlCalendarAdvance(Calendar,U3017,T3018,"f",FALSE)</f>
        <v>59981</v>
      </c>
      <c r="V3018" s="248">
        <f>_xll.qlCalendarAdvance(Calendar,U3018,NDays&amp;"D")</f>
        <v>59985</v>
      </c>
      <c r="W3018" s="249">
        <v>2.3253627150978097E-2</v>
      </c>
      <c r="X3018" s="246">
        <v>2.315487609418021E-2</v>
      </c>
    </row>
    <row r="3019" spans="20:24" x14ac:dyDescent="0.2">
      <c r="T3019" s="247" t="str">
        <f t="shared" si="51"/>
        <v>1w</v>
      </c>
      <c r="U3019" s="245">
        <f>_xll.qlCalendarAdvance(Calendar,U3018,T3019,"f",FALSE)</f>
        <v>59988</v>
      </c>
      <c r="V3019" s="248">
        <f>_xll.qlCalendarAdvance(Calendar,U3019,NDays&amp;"D")</f>
        <v>59992</v>
      </c>
      <c r="W3019" s="249">
        <v>2.3257316637084021E-2</v>
      </c>
      <c r="X3019" s="246">
        <v>2.3159527266587432E-2</v>
      </c>
    </row>
    <row r="3020" spans="20:24" x14ac:dyDescent="0.2">
      <c r="T3020" s="247" t="str">
        <f t="shared" si="51"/>
        <v>1w</v>
      </c>
      <c r="U3020" s="245">
        <f>_xll.qlCalendarAdvance(Calendar,U3019,T3020,"f",FALSE)</f>
        <v>59995</v>
      </c>
      <c r="V3020" s="248">
        <f>_xll.qlCalendarAdvance(Calendar,U3020,NDays&amp;"D")</f>
        <v>60001</v>
      </c>
      <c r="W3020" s="249">
        <v>2.3263479597431792E-2</v>
      </c>
      <c r="X3020" s="246">
        <v>2.3165534006013289E-2</v>
      </c>
    </row>
    <row r="3021" spans="20:24" x14ac:dyDescent="0.2">
      <c r="T3021" s="247" t="str">
        <f t="shared" si="51"/>
        <v>1w</v>
      </c>
      <c r="U3021" s="245">
        <f>_xll.qlCalendarAdvance(Calendar,U3020,T3021,"f",FALSE)</f>
        <v>60002</v>
      </c>
      <c r="V3021" s="248">
        <f>_xll.qlCalendarAdvance(Calendar,U3021,NDays&amp;"D")</f>
        <v>60006</v>
      </c>
      <c r="W3021" s="249">
        <v>2.3266908793363839E-2</v>
      </c>
      <c r="X3021" s="246">
        <v>2.31688840433808E-2</v>
      </c>
    </row>
    <row r="3022" spans="20:24" x14ac:dyDescent="0.2">
      <c r="T3022" s="247" t="str">
        <f t="shared" si="51"/>
        <v>1w</v>
      </c>
      <c r="U3022" s="245">
        <f>_xll.qlCalendarAdvance(Calendar,U3021,T3022,"f",FALSE)</f>
        <v>60009</v>
      </c>
      <c r="V3022" s="248">
        <f>_xll.qlCalendarAdvance(Calendar,U3022,NDays&amp;"D")</f>
        <v>60013</v>
      </c>
      <c r="W3022" s="249">
        <v>2.3271714246672962E-2</v>
      </c>
      <c r="X3022" s="246">
        <v>2.3173589647766946E-2</v>
      </c>
    </row>
    <row r="3023" spans="20:24" x14ac:dyDescent="0.2">
      <c r="T3023" s="247" t="str">
        <f t="shared" si="51"/>
        <v>1w</v>
      </c>
      <c r="U3023" s="245">
        <f>_xll.qlCalendarAdvance(Calendar,U3022,T3023,"f",FALSE)</f>
        <v>60016</v>
      </c>
      <c r="V3023" s="248">
        <f>_xll.qlCalendarAdvance(Calendar,U3023,NDays&amp;"D")</f>
        <v>60020</v>
      </c>
      <c r="W3023" s="249">
        <v>2.3276523125376557E-2</v>
      </c>
      <c r="X3023" s="246">
        <v>2.3178313396119421E-2</v>
      </c>
    </row>
    <row r="3024" spans="20:24" x14ac:dyDescent="0.2">
      <c r="T3024" s="247" t="str">
        <f t="shared" si="51"/>
        <v>1w</v>
      </c>
      <c r="U3024" s="245">
        <f>_xll.qlCalendarAdvance(Calendar,U3023,T3024,"f",FALSE)</f>
        <v>60024</v>
      </c>
      <c r="V3024" s="248">
        <f>_xll.qlCalendarAdvance(Calendar,U3024,NDays&amp;"D")</f>
        <v>60028</v>
      </c>
      <c r="W3024" s="249">
        <v>2.3283114886743436E-2</v>
      </c>
      <c r="X3024" s="246">
        <v>2.318373418297881E-2</v>
      </c>
    </row>
    <row r="3025" spans="20:24" x14ac:dyDescent="0.2">
      <c r="T3025" s="247" t="str">
        <f t="shared" si="51"/>
        <v>1w</v>
      </c>
      <c r="U3025" s="245">
        <f>_xll.qlCalendarAdvance(Calendar,U3024,T3025,"f",FALSE)</f>
        <v>60031</v>
      </c>
      <c r="V3025" s="248">
        <f>_xll.qlCalendarAdvance(Calendar,U3025,NDays&amp;"D")</f>
        <v>60035</v>
      </c>
      <c r="W3025" s="249">
        <v>2.3287923749227304E-2</v>
      </c>
      <c r="X3025" s="246">
        <v>2.318849681135049E-2</v>
      </c>
    </row>
    <row r="3026" spans="20:24" x14ac:dyDescent="0.2">
      <c r="T3026" s="247" t="str">
        <f t="shared" ref="T3026:T3089" si="52">T3025</f>
        <v>1w</v>
      </c>
      <c r="U3026" s="245">
        <f>_xll.qlCalendarAdvance(Calendar,U3025,T3026,"f",FALSE)</f>
        <v>60038</v>
      </c>
      <c r="V3026" s="248">
        <f>_xll.qlCalendarAdvance(Calendar,U3026,NDays&amp;"D")</f>
        <v>60042</v>
      </c>
      <c r="W3026" s="249">
        <v>2.3292729312825663E-2</v>
      </c>
      <c r="X3026" s="246">
        <v>2.3193277583848371E-2</v>
      </c>
    </row>
    <row r="3027" spans="20:24" x14ac:dyDescent="0.2">
      <c r="T3027" s="247" t="str">
        <f t="shared" si="52"/>
        <v>1w</v>
      </c>
      <c r="U3027" s="245">
        <f>_xll.qlCalendarAdvance(Calendar,U3026,T3027,"f",FALSE)</f>
        <v>60045</v>
      </c>
      <c r="V3027" s="248">
        <f>_xll.qlCalendarAdvance(Calendar,U3027,NDays&amp;"D")</f>
        <v>60049</v>
      </c>
      <c r="W3027" s="249">
        <v>2.3297529481846192E-2</v>
      </c>
      <c r="X3027" s="246">
        <v>2.3198076500232645E-2</v>
      </c>
    </row>
    <row r="3028" spans="20:24" x14ac:dyDescent="0.2">
      <c r="T3028" s="247" t="str">
        <f t="shared" si="52"/>
        <v>1w</v>
      </c>
      <c r="U3028" s="245">
        <f>_xll.qlCalendarAdvance(Calendar,U3027,T3028,"f",FALSE)</f>
        <v>60052</v>
      </c>
      <c r="V3028" s="248">
        <f>_xll.qlCalendarAdvance(Calendar,U3028,NDays&amp;"D")</f>
        <v>60056</v>
      </c>
      <c r="W3028" s="249">
        <v>2.3302322161606208E-2</v>
      </c>
      <c r="X3028" s="246">
        <v>2.3202892908704698E-2</v>
      </c>
    </row>
    <row r="3029" spans="20:24" x14ac:dyDescent="0.2">
      <c r="T3029" s="247" t="str">
        <f t="shared" si="52"/>
        <v>1w</v>
      </c>
      <c r="U3029" s="245">
        <f>_xll.qlCalendarAdvance(Calendar,U3028,T3029,"f",FALSE)</f>
        <v>60059</v>
      </c>
      <c r="V3029" s="248">
        <f>_xll.qlCalendarAdvance(Calendar,U3029,NDays&amp;"D")</f>
        <v>60063</v>
      </c>
      <c r="W3029" s="249">
        <v>2.3307105774716182E-2</v>
      </c>
      <c r="X3029" s="246">
        <v>2.3207708554586759E-2</v>
      </c>
    </row>
    <row r="3030" spans="20:24" x14ac:dyDescent="0.2">
      <c r="T3030" s="247" t="str">
        <f t="shared" si="52"/>
        <v>1w</v>
      </c>
      <c r="U3030" s="245">
        <f>_xll.qlCalendarAdvance(Calendar,U3029,T3030,"f",FALSE)</f>
        <v>60066</v>
      </c>
      <c r="V3030" s="248">
        <f>_xll.qlCalendarAdvance(Calendar,U3030,NDays&amp;"D")</f>
        <v>60070</v>
      </c>
      <c r="W3030" s="249">
        <v>2.3311880101186871E-2</v>
      </c>
      <c r="X3030" s="246">
        <v>2.3212514962658304E-2</v>
      </c>
    </row>
    <row r="3031" spans="20:24" x14ac:dyDescent="0.2">
      <c r="T3031" s="247" t="str">
        <f t="shared" si="52"/>
        <v>1w</v>
      </c>
      <c r="U3031" s="245">
        <f>_xll.qlCalendarAdvance(Calendar,U3030,T3031,"f",FALSE)</f>
        <v>60073</v>
      </c>
      <c r="V3031" s="248">
        <f>_xll.qlCalendarAdvance(Calendar,U3031,NDays&amp;"D")</f>
        <v>60077</v>
      </c>
      <c r="W3031" s="249">
        <v>2.3316645140983524E-2</v>
      </c>
      <c r="X3031" s="246">
        <v>2.3217312132519652E-2</v>
      </c>
    </row>
    <row r="3032" spans="20:24" x14ac:dyDescent="0.2">
      <c r="T3032" s="247" t="str">
        <f t="shared" si="52"/>
        <v>1w</v>
      </c>
      <c r="U3032" s="245">
        <f>_xll.qlCalendarAdvance(Calendar,U3031,T3032,"f",FALSE)</f>
        <v>60080</v>
      </c>
      <c r="V3032" s="248">
        <f>_xll.qlCalendarAdvance(Calendar,U3032,NDays&amp;"D")</f>
        <v>60084</v>
      </c>
      <c r="W3032" s="249">
        <v>2.3321400894073991E-2</v>
      </c>
      <c r="X3032" s="246">
        <v>2.3222100064490547E-2</v>
      </c>
    </row>
    <row r="3033" spans="20:24" x14ac:dyDescent="0.2">
      <c r="T3033" s="247" t="str">
        <f t="shared" si="52"/>
        <v>1w</v>
      </c>
      <c r="U3033" s="245">
        <f>_xll.qlCalendarAdvance(Calendar,U3032,T3033,"f",FALSE)</f>
        <v>60087</v>
      </c>
      <c r="V3033" s="248">
        <f>_xll.qlCalendarAdvance(Calendar,U3033,NDays&amp;"D")</f>
        <v>60091</v>
      </c>
      <c r="W3033" s="249">
        <v>2.3326147360424383E-2</v>
      </c>
      <c r="X3033" s="246">
        <v>2.3226878758650926E-2</v>
      </c>
    </row>
    <row r="3034" spans="20:24" x14ac:dyDescent="0.2">
      <c r="T3034" s="247" t="str">
        <f t="shared" si="52"/>
        <v>1w</v>
      </c>
      <c r="U3034" s="245">
        <f>_xll.qlCalendarAdvance(Calendar,U3033,T3034,"f",FALSE)</f>
        <v>60094</v>
      </c>
      <c r="V3034" s="248">
        <f>_xll.qlCalendarAdvance(Calendar,U3034,NDays&amp;"D")</f>
        <v>60098</v>
      </c>
      <c r="W3034" s="249">
        <v>2.3330884539999947E-2</v>
      </c>
      <c r="X3034" s="246">
        <v>2.323164821476098E-2</v>
      </c>
    </row>
    <row r="3035" spans="20:24" x14ac:dyDescent="0.2">
      <c r="T3035" s="247" t="str">
        <f t="shared" si="52"/>
        <v>1w</v>
      </c>
      <c r="U3035" s="245">
        <f>_xll.qlCalendarAdvance(Calendar,U3034,T3035,"f",FALSE)</f>
        <v>60101</v>
      </c>
      <c r="V3035" s="248">
        <f>_xll.qlCalendarAdvance(Calendar,U3035,NDays&amp;"D")</f>
        <v>60105</v>
      </c>
      <c r="W3035" s="249">
        <v>2.3335612432768538E-2</v>
      </c>
      <c r="X3035" s="246">
        <v>2.3236408432900646E-2</v>
      </c>
    </row>
    <row r="3036" spans="20:24" x14ac:dyDescent="0.2">
      <c r="T3036" s="247" t="str">
        <f t="shared" si="52"/>
        <v>1w</v>
      </c>
      <c r="U3036" s="245">
        <f>_xll.qlCalendarAdvance(Calendar,U3035,T3036,"f",FALSE)</f>
        <v>60108</v>
      </c>
      <c r="V3036" s="248">
        <f>_xll.qlCalendarAdvance(Calendar,U3036,NDays&amp;"D")</f>
        <v>60112</v>
      </c>
      <c r="W3036" s="249">
        <v>2.3340331038696267E-2</v>
      </c>
      <c r="X3036" s="246">
        <v>2.3241159413149859E-2</v>
      </c>
    </row>
    <row r="3037" spans="20:24" x14ac:dyDescent="0.2">
      <c r="T3037" s="247" t="str">
        <f t="shared" si="52"/>
        <v>1w</v>
      </c>
      <c r="U3037" s="245">
        <f>_xll.qlCalendarAdvance(Calendar,U3036,T3037,"f",FALSE)</f>
        <v>60115</v>
      </c>
      <c r="V3037" s="248">
        <f>_xll.qlCalendarAdvance(Calendar,U3037,NDays&amp;"D")</f>
        <v>60119</v>
      </c>
      <c r="W3037" s="249">
        <v>2.334504035774751E-2</v>
      </c>
      <c r="X3037" s="246">
        <v>2.3245901155348747E-2</v>
      </c>
    </row>
    <row r="3038" spans="20:24" x14ac:dyDescent="0.2">
      <c r="T3038" s="247" t="str">
        <f t="shared" si="52"/>
        <v>1w</v>
      </c>
      <c r="U3038" s="245">
        <f>_xll.qlCalendarAdvance(Calendar,U3037,T3038,"f",FALSE)</f>
        <v>60122</v>
      </c>
      <c r="V3038" s="248">
        <f>_xll.qlCalendarAdvance(Calendar,U3038,NDays&amp;"D")</f>
        <v>60126</v>
      </c>
      <c r="W3038" s="249">
        <v>2.3349740389893594E-2</v>
      </c>
      <c r="X3038" s="246">
        <v>2.3250633659657183E-2</v>
      </c>
    </row>
    <row r="3039" spans="20:24" x14ac:dyDescent="0.2">
      <c r="T3039" s="247" t="str">
        <f t="shared" si="52"/>
        <v>1w</v>
      </c>
      <c r="U3039" s="245">
        <f>_xll.qlCalendarAdvance(Calendar,U3038,T3039,"f",FALSE)</f>
        <v>60129</v>
      </c>
      <c r="V3039" s="248">
        <f>_xll.qlCalendarAdvance(Calendar,U3039,NDays&amp;"D")</f>
        <v>60133</v>
      </c>
      <c r="W3039" s="249">
        <v>2.3354431135097161E-2</v>
      </c>
      <c r="X3039" s="246">
        <v>2.3255356926075166E-2</v>
      </c>
    </row>
    <row r="3040" spans="20:24" x14ac:dyDescent="0.2">
      <c r="T3040" s="247" t="str">
        <f t="shared" si="52"/>
        <v>1w</v>
      </c>
      <c r="U3040" s="245">
        <f>_xll.qlCalendarAdvance(Calendar,U3039,T3040,"f",FALSE)</f>
        <v>60136</v>
      </c>
      <c r="V3040" s="248">
        <f>_xll.qlCalendarAdvance(Calendar,U3040,NDays&amp;"D")</f>
        <v>60140</v>
      </c>
      <c r="W3040" s="249">
        <v>2.335911259332606E-2</v>
      </c>
      <c r="X3040" s="246">
        <v>2.3260070954442824E-2</v>
      </c>
    </row>
    <row r="3041" spans="20:24" x14ac:dyDescent="0.2">
      <c r="T3041" s="247" t="str">
        <f t="shared" si="52"/>
        <v>1w</v>
      </c>
      <c r="U3041" s="245">
        <f>_xll.qlCalendarAdvance(Calendar,U3040,T3041,"f",FALSE)</f>
        <v>60143</v>
      </c>
      <c r="V3041" s="248">
        <f>_xll.qlCalendarAdvance(Calendar,U3041,NDays&amp;"D")</f>
        <v>60147</v>
      </c>
      <c r="W3041" s="249">
        <v>2.3362696186448449E-2</v>
      </c>
      <c r="X3041" s="246">
        <v>2.326477574492003E-2</v>
      </c>
    </row>
    <row r="3042" spans="20:24" x14ac:dyDescent="0.2">
      <c r="T3042" s="247" t="str">
        <f t="shared" si="52"/>
        <v>1w</v>
      </c>
      <c r="U3042" s="245">
        <f>_xll.qlCalendarAdvance(Calendar,U3041,T3042,"f",FALSE)</f>
        <v>60150</v>
      </c>
      <c r="V3042" s="248">
        <f>_xll.qlCalendarAdvance(Calendar,U3042,NDays&amp;"D")</f>
        <v>60154</v>
      </c>
      <c r="W3042" s="249">
        <v>2.3367359432215126E-2</v>
      </c>
      <c r="X3042" s="246">
        <v>2.3269471297346911E-2</v>
      </c>
    </row>
    <row r="3043" spans="20:24" x14ac:dyDescent="0.2">
      <c r="T3043" s="247" t="str">
        <f t="shared" si="52"/>
        <v>1w</v>
      </c>
      <c r="U3043" s="245">
        <f>_xll.qlCalendarAdvance(Calendar,U3042,T3043,"f",FALSE)</f>
        <v>60157</v>
      </c>
      <c r="V3043" s="248">
        <f>_xll.qlCalendarAdvance(Calendar,U3043,NDays&amp;"D")</f>
        <v>60161</v>
      </c>
      <c r="W3043" s="249">
        <v>2.3372013391449821E-2</v>
      </c>
      <c r="X3043" s="246">
        <v>2.3274157611803403E-2</v>
      </c>
    </row>
    <row r="3044" spans="20:24" x14ac:dyDescent="0.2">
      <c r="T3044" s="247" t="str">
        <f t="shared" si="52"/>
        <v>1w</v>
      </c>
      <c r="U3044" s="245">
        <f>_xll.qlCalendarAdvance(Calendar,U3043,T3044,"f",FALSE)</f>
        <v>60164</v>
      </c>
      <c r="V3044" s="248">
        <f>_xll.qlCalendarAdvance(Calendar,U3044,NDays&amp;"D")</f>
        <v>60168</v>
      </c>
      <c r="W3044" s="249">
        <v>2.3376658064124423E-2</v>
      </c>
      <c r="X3044" s="246">
        <v>2.3278834688449379E-2</v>
      </c>
    </row>
    <row r="3045" spans="20:24" x14ac:dyDescent="0.2">
      <c r="T3045" s="247" t="str">
        <f t="shared" si="52"/>
        <v>1w</v>
      </c>
      <c r="U3045" s="245">
        <f>_xll.qlCalendarAdvance(Calendar,U3044,T3045,"f",FALSE)</f>
        <v>60171</v>
      </c>
      <c r="V3045" s="248">
        <f>_xll.qlCalendarAdvance(Calendar,U3045,NDays&amp;"D")</f>
        <v>60175</v>
      </c>
      <c r="W3045" s="249">
        <v>2.3382380578697549E-2</v>
      </c>
      <c r="X3045" s="246">
        <v>2.328350252704503E-2</v>
      </c>
    </row>
    <row r="3046" spans="20:24" x14ac:dyDescent="0.2">
      <c r="T3046" s="247" t="str">
        <f t="shared" si="52"/>
        <v>1w</v>
      </c>
      <c r="U3046" s="245">
        <f>_xll.qlCalendarAdvance(Calendar,U3045,T3046,"f",FALSE)</f>
        <v>60178</v>
      </c>
      <c r="V3046" s="248">
        <f>_xll.qlCalendarAdvance(Calendar,U3046,NDays&amp;"D")</f>
        <v>60182</v>
      </c>
      <c r="W3046" s="249">
        <v>2.3387006314385953E-2</v>
      </c>
      <c r="X3046" s="246">
        <v>2.3288161127670293E-2</v>
      </c>
    </row>
    <row r="3047" spans="20:24" x14ac:dyDescent="0.2">
      <c r="T3047" s="247" t="str">
        <f t="shared" si="52"/>
        <v>1w</v>
      </c>
      <c r="U3047" s="245">
        <f>_xll.qlCalendarAdvance(Calendar,U3046,T3047,"f",FALSE)</f>
        <v>60185</v>
      </c>
      <c r="V3047" s="248">
        <f>_xll.qlCalendarAdvance(Calendar,U3047,NDays&amp;"D")</f>
        <v>60189</v>
      </c>
      <c r="W3047" s="249">
        <v>2.3391622762871173E-2</v>
      </c>
      <c r="X3047" s="246">
        <v>2.3292810490405103E-2</v>
      </c>
    </row>
    <row r="3048" spans="20:24" x14ac:dyDescent="0.2">
      <c r="T3048" s="247" t="str">
        <f t="shared" si="52"/>
        <v>1w</v>
      </c>
      <c r="U3048" s="245">
        <f>_xll.qlCalendarAdvance(Calendar,U3047,T3048,"f",FALSE)</f>
        <v>60192</v>
      </c>
      <c r="V3048" s="248">
        <f>_xll.qlCalendarAdvance(Calendar,U3048,NDays&amp;"D")</f>
        <v>60196</v>
      </c>
      <c r="W3048" s="249">
        <v>2.3396229924116725E-2</v>
      </c>
      <c r="X3048" s="246">
        <v>2.3297450615169524E-2</v>
      </c>
    </row>
    <row r="3049" spans="20:24" x14ac:dyDescent="0.2">
      <c r="T3049" s="247" t="str">
        <f t="shared" si="52"/>
        <v>1w</v>
      </c>
      <c r="U3049" s="245">
        <f>_xll.qlCalendarAdvance(Calendar,U3048,T3049,"f",FALSE)</f>
        <v>60199</v>
      </c>
      <c r="V3049" s="248">
        <f>_xll.qlCalendarAdvance(Calendar,U3049,NDays&amp;"D")</f>
        <v>60203</v>
      </c>
      <c r="W3049" s="249">
        <v>2.3400827798092192E-2</v>
      </c>
      <c r="X3049" s="246">
        <v>2.330208150188362E-2</v>
      </c>
    </row>
    <row r="3050" spans="20:24" x14ac:dyDescent="0.2">
      <c r="T3050" s="247" t="str">
        <f t="shared" si="52"/>
        <v>1w</v>
      </c>
      <c r="U3050" s="245">
        <f>_xll.qlCalendarAdvance(Calendar,U3049,T3050,"f",FALSE)</f>
        <v>60206</v>
      </c>
      <c r="V3050" s="248">
        <f>_xll.qlCalendarAdvance(Calendar,U3050,NDays&amp;"D")</f>
        <v>60210</v>
      </c>
      <c r="W3050" s="249">
        <v>2.3405416384764559E-2</v>
      </c>
      <c r="X3050" s="246">
        <v>2.3306703150627328E-2</v>
      </c>
    </row>
    <row r="3051" spans="20:24" x14ac:dyDescent="0.2">
      <c r="T3051" s="247" t="str">
        <f t="shared" si="52"/>
        <v>1w</v>
      </c>
      <c r="U3051" s="245">
        <f>_xll.qlCalendarAdvance(Calendar,U3050,T3051,"f",FALSE)</f>
        <v>60213</v>
      </c>
      <c r="V3051" s="248">
        <f>_xll.qlCalendarAdvance(Calendar,U3051,NDays&amp;"D")</f>
        <v>60217</v>
      </c>
      <c r="W3051" s="249">
        <v>2.3409995684101674E-2</v>
      </c>
      <c r="X3051" s="246">
        <v>2.3311315561560519E-2</v>
      </c>
    </row>
    <row r="3052" spans="20:24" x14ac:dyDescent="0.2">
      <c r="T3052" s="247" t="str">
        <f t="shared" si="52"/>
        <v>1w</v>
      </c>
      <c r="U3052" s="245">
        <f>_xll.qlCalendarAdvance(Calendar,U3051,T3052,"f",FALSE)</f>
        <v>60220</v>
      </c>
      <c r="V3052" s="248">
        <f>_xll.qlCalendarAdvance(Calendar,U3052,NDays&amp;"D")</f>
        <v>60224</v>
      </c>
      <c r="W3052" s="249">
        <v>2.3414565696071397E-2</v>
      </c>
      <c r="X3052" s="246">
        <v>2.3315918734523322E-2</v>
      </c>
    </row>
    <row r="3053" spans="20:24" x14ac:dyDescent="0.2">
      <c r="T3053" s="247" t="str">
        <f t="shared" si="52"/>
        <v>1w</v>
      </c>
      <c r="U3053" s="245">
        <f>_xll.qlCalendarAdvance(Calendar,U3052,T3053,"f",FALSE)</f>
        <v>60227</v>
      </c>
      <c r="V3053" s="248">
        <f>_xll.qlCalendarAdvance(Calendar,U3053,NDays&amp;"D")</f>
        <v>60231</v>
      </c>
      <c r="W3053" s="249">
        <v>2.3419126420642439E-2</v>
      </c>
      <c r="X3053" s="246">
        <v>2.3320512669515736E-2</v>
      </c>
    </row>
    <row r="3054" spans="20:24" x14ac:dyDescent="0.2">
      <c r="T3054" s="247" t="str">
        <f t="shared" si="52"/>
        <v>1w</v>
      </c>
      <c r="U3054" s="245">
        <f>_xll.qlCalendarAdvance(Calendar,U3053,T3054,"f",FALSE)</f>
        <v>60234</v>
      </c>
      <c r="V3054" s="248">
        <f>_xll.qlCalendarAdvance(Calendar,U3054,NDays&amp;"D")</f>
        <v>60238</v>
      </c>
      <c r="W3054" s="249">
        <v>2.3421510199453266E-2</v>
      </c>
      <c r="X3054" s="246">
        <v>2.3325097366377889E-2</v>
      </c>
    </row>
    <row r="3055" spans="20:24" x14ac:dyDescent="0.2">
      <c r="T3055" s="247" t="str">
        <f t="shared" si="52"/>
        <v>1w</v>
      </c>
      <c r="U3055" s="245">
        <f>_xll.qlCalendarAdvance(Calendar,U3054,T3055,"f",FALSE)</f>
        <v>60241</v>
      </c>
      <c r="V3055" s="248">
        <f>_xll.qlCalendarAdvance(Calendar,U3055,NDays&amp;"D")</f>
        <v>60245</v>
      </c>
      <c r="W3055" s="249">
        <v>2.3426053086421206E-2</v>
      </c>
      <c r="X3055" s="246">
        <v>2.3329672825429526E-2</v>
      </c>
    </row>
    <row r="3056" spans="20:24" x14ac:dyDescent="0.2">
      <c r="T3056" s="247" t="str">
        <f t="shared" si="52"/>
        <v>1w</v>
      </c>
      <c r="U3056" s="245">
        <f>_xll.qlCalendarAdvance(Calendar,U3055,T3056,"f",FALSE)</f>
        <v>60248</v>
      </c>
      <c r="V3056" s="248">
        <f>_xll.qlCalendarAdvance(Calendar,U3056,NDays&amp;"D")</f>
        <v>60252</v>
      </c>
      <c r="W3056" s="249">
        <v>2.3430586686989052E-2</v>
      </c>
      <c r="X3056" s="246">
        <v>2.3334239046510774E-2</v>
      </c>
    </row>
    <row r="3057" spans="20:24" x14ac:dyDescent="0.2">
      <c r="T3057" s="247" t="str">
        <f t="shared" si="52"/>
        <v>1w</v>
      </c>
      <c r="U3057" s="245">
        <f>_xll.qlCalendarAdvance(Calendar,U3056,T3057,"f",FALSE)</f>
        <v>60255</v>
      </c>
      <c r="V3057" s="248">
        <f>_xll.qlCalendarAdvance(Calendar,U3057,NDays&amp;"D")</f>
        <v>60259</v>
      </c>
      <c r="W3057" s="249">
        <v>2.3435111001123943E-2</v>
      </c>
      <c r="X3057" s="246">
        <v>2.3338796029461761E-2</v>
      </c>
    </row>
    <row r="3058" spans="20:24" x14ac:dyDescent="0.2">
      <c r="T3058" s="247" t="str">
        <f t="shared" si="52"/>
        <v>1w</v>
      </c>
      <c r="U3058" s="245">
        <f>_xll.qlCalendarAdvance(Calendar,U3057,T3058,"f",FALSE)</f>
        <v>60265</v>
      </c>
      <c r="V3058" s="248">
        <f>_xll.qlCalendarAdvance(Calendar,U3058,NDays&amp;"D")</f>
        <v>60267</v>
      </c>
      <c r="W3058" s="249">
        <v>2.3440270274669217E-2</v>
      </c>
      <c r="X3058" s="246">
        <v>2.3345073950964412E-2</v>
      </c>
    </row>
    <row r="3059" spans="20:24" x14ac:dyDescent="0.2">
      <c r="T3059" s="247" t="str">
        <f t="shared" si="52"/>
        <v>1w</v>
      </c>
      <c r="U3059" s="245">
        <f>_xll.qlCalendarAdvance(Calendar,U3058,T3059,"f",FALSE)</f>
        <v>60272</v>
      </c>
      <c r="V3059" s="248">
        <f>_xll.qlCalendarAdvance(Calendar,U3059,NDays&amp;"D")</f>
        <v>60274</v>
      </c>
      <c r="W3059" s="249">
        <v>2.3444774689201253E-2</v>
      </c>
      <c r="X3059" s="246">
        <v>2.33485298858227E-2</v>
      </c>
    </row>
    <row r="3060" spans="20:24" x14ac:dyDescent="0.2">
      <c r="T3060" s="247" t="str">
        <f t="shared" si="52"/>
        <v>1w</v>
      </c>
      <c r="U3060" s="245">
        <f>_xll.qlCalendarAdvance(Calendar,U3059,T3060,"f",FALSE)</f>
        <v>60279</v>
      </c>
      <c r="V3060" s="248">
        <f>_xll.qlCalendarAdvance(Calendar,U3060,NDays&amp;"D")</f>
        <v>60281</v>
      </c>
      <c r="W3060" s="249">
        <v>2.3449269817201746E-2</v>
      </c>
      <c r="X3060" s="246">
        <v>2.3353057835358015E-2</v>
      </c>
    </row>
    <row r="3061" spans="20:24" x14ac:dyDescent="0.2">
      <c r="T3061" s="247" t="str">
        <f t="shared" si="52"/>
        <v>1w</v>
      </c>
      <c r="U3061" s="245">
        <f>_xll.qlCalendarAdvance(Calendar,U3060,T3061,"f",FALSE)</f>
        <v>60286</v>
      </c>
      <c r="V3061" s="248">
        <f>_xll.qlCalendarAdvance(Calendar,U3061,NDays&amp;"D")</f>
        <v>60288</v>
      </c>
      <c r="W3061" s="249">
        <v>2.3453755658642272E-2</v>
      </c>
      <c r="X3061" s="246">
        <v>2.3357576547002878E-2</v>
      </c>
    </row>
    <row r="3062" spans="20:24" x14ac:dyDescent="0.2">
      <c r="T3062" s="247" t="str">
        <f t="shared" si="52"/>
        <v>1w</v>
      </c>
      <c r="U3062" s="245">
        <f>_xll.qlCalendarAdvance(Calendar,U3061,T3062,"f",FALSE)</f>
        <v>60293</v>
      </c>
      <c r="V3062" s="248">
        <f>_xll.qlCalendarAdvance(Calendar,U3062,NDays&amp;"D")</f>
        <v>60295</v>
      </c>
      <c r="W3062" s="249">
        <v>2.3458232213489083E-2</v>
      </c>
      <c r="X3062" s="246">
        <v>2.3362086020517481E-2</v>
      </c>
    </row>
    <row r="3063" spans="20:24" x14ac:dyDescent="0.2">
      <c r="T3063" s="247" t="str">
        <f t="shared" si="52"/>
        <v>1w</v>
      </c>
      <c r="U3063" s="245">
        <f>_xll.qlCalendarAdvance(Calendar,U3062,T3063,"f",FALSE)</f>
        <v>60300</v>
      </c>
      <c r="V3063" s="248">
        <f>_xll.qlCalendarAdvance(Calendar,U3063,NDays&amp;"D")</f>
        <v>60302</v>
      </c>
      <c r="W3063" s="249">
        <v>2.3461619060175833E-2</v>
      </c>
      <c r="X3063" s="246">
        <v>2.336658625614163E-2</v>
      </c>
    </row>
    <row r="3064" spans="20:24" x14ac:dyDescent="0.2">
      <c r="T3064" s="247" t="str">
        <f t="shared" si="52"/>
        <v>1w</v>
      </c>
      <c r="U3064" s="245">
        <f>_xll.qlCalendarAdvance(Calendar,U3063,T3064,"f",FALSE)</f>
        <v>60307</v>
      </c>
      <c r="V3064" s="248">
        <f>_xll.qlCalendarAdvance(Calendar,U3064,NDays&amp;"D")</f>
        <v>60309</v>
      </c>
      <c r="W3064" s="249">
        <v>2.3466077415326959E-2</v>
      </c>
      <c r="X3064" s="246">
        <v>2.3371077253715455E-2</v>
      </c>
    </row>
    <row r="3065" spans="20:24" x14ac:dyDescent="0.2">
      <c r="T3065" s="247" t="str">
        <f t="shared" si="52"/>
        <v>1w</v>
      </c>
      <c r="U3065" s="245">
        <f>_xll.qlCalendarAdvance(Calendar,U3064,T3065,"f",FALSE)</f>
        <v>60314</v>
      </c>
      <c r="V3065" s="248">
        <f>_xll.qlCalendarAdvance(Calendar,U3065,NDays&amp;"D")</f>
        <v>60316</v>
      </c>
      <c r="W3065" s="249">
        <v>2.3470526484342183E-2</v>
      </c>
      <c r="X3065" s="246">
        <v>2.3375559013398828E-2</v>
      </c>
    </row>
    <row r="3066" spans="20:24" x14ac:dyDescent="0.2">
      <c r="T3066" s="247" t="str">
        <f t="shared" si="52"/>
        <v>1w</v>
      </c>
      <c r="U3066" s="245">
        <f>_xll.qlCalendarAdvance(Calendar,U3065,T3066,"f",FALSE)</f>
        <v>60321</v>
      </c>
      <c r="V3066" s="248">
        <f>_xll.qlCalendarAdvance(Calendar,U3066,NDays&amp;"D")</f>
        <v>60323</v>
      </c>
      <c r="W3066" s="249">
        <v>2.3474966267191859E-2</v>
      </c>
      <c r="X3066" s="246">
        <v>2.3380031535111812E-2</v>
      </c>
    </row>
    <row r="3067" spans="20:24" x14ac:dyDescent="0.2">
      <c r="T3067" s="247" t="str">
        <f t="shared" si="52"/>
        <v>1w</v>
      </c>
      <c r="U3067" s="245">
        <f>_xll.qlCalendarAdvance(Calendar,U3066,T3067,"f",FALSE)</f>
        <v>60328</v>
      </c>
      <c r="V3067" s="248">
        <f>_xll.qlCalendarAdvance(Calendar,U3067,NDays&amp;"D")</f>
        <v>60330</v>
      </c>
      <c r="W3067" s="249">
        <v>2.3482633568236218E-2</v>
      </c>
      <c r="X3067" s="246">
        <v>2.3384494818854407E-2</v>
      </c>
    </row>
    <row r="3068" spans="20:24" x14ac:dyDescent="0.2">
      <c r="T3068" s="247" t="str">
        <f t="shared" si="52"/>
        <v>1w</v>
      </c>
      <c r="U3068" s="245">
        <f>_xll.qlCalendarAdvance(Calendar,U3067,T3068,"f",FALSE)</f>
        <v>60335</v>
      </c>
      <c r="V3068" s="248">
        <f>_xll.qlCalendarAdvance(Calendar,U3068,NDays&amp;"D")</f>
        <v>60337</v>
      </c>
      <c r="W3068" s="249">
        <v>2.3487053651123746E-2</v>
      </c>
      <c r="X3068" s="246">
        <v>2.3388948864706549E-2</v>
      </c>
    </row>
    <row r="3069" spans="20:24" x14ac:dyDescent="0.2">
      <c r="T3069" s="247" t="str">
        <f t="shared" si="52"/>
        <v>1w</v>
      </c>
      <c r="U3069" s="245">
        <f>_xll.qlCalendarAdvance(Calendar,U3068,T3069,"f",FALSE)</f>
        <v>60342</v>
      </c>
      <c r="V3069" s="248">
        <f>_xll.qlCalendarAdvance(Calendar,U3069,NDays&amp;"D")</f>
        <v>60344</v>
      </c>
      <c r="W3069" s="249">
        <v>2.349146444609649E-2</v>
      </c>
      <c r="X3069" s="246">
        <v>2.3393393672428431E-2</v>
      </c>
    </row>
    <row r="3070" spans="20:24" x14ac:dyDescent="0.2">
      <c r="T3070" s="247" t="str">
        <f t="shared" si="52"/>
        <v>1w</v>
      </c>
      <c r="U3070" s="245">
        <f>_xll.qlCalendarAdvance(Calendar,U3069,T3070,"f",FALSE)</f>
        <v>60349</v>
      </c>
      <c r="V3070" s="248">
        <f>_xll.qlCalendarAdvance(Calendar,U3070,NDays&amp;"D")</f>
        <v>60351</v>
      </c>
      <c r="W3070" s="249">
        <v>2.3495865953123165E-2</v>
      </c>
      <c r="X3070" s="246">
        <v>2.339782924225986E-2</v>
      </c>
    </row>
    <row r="3071" spans="20:24" x14ac:dyDescent="0.2">
      <c r="T3071" s="247" t="str">
        <f t="shared" si="52"/>
        <v>1w</v>
      </c>
      <c r="U3071" s="245">
        <f>_xll.qlCalendarAdvance(Calendar,U3070,T3071,"f",FALSE)</f>
        <v>60357</v>
      </c>
      <c r="V3071" s="248">
        <f>_xll.qlCalendarAdvance(Calendar,U3071,NDays&amp;"D")</f>
        <v>60359</v>
      </c>
      <c r="W3071" s="249">
        <v>2.3499807489077425E-2</v>
      </c>
      <c r="X3071" s="246">
        <v>2.3402887153229912E-2</v>
      </c>
    </row>
    <row r="3072" spans="20:24" x14ac:dyDescent="0.2">
      <c r="T3072" s="247" t="str">
        <f t="shared" si="52"/>
        <v>1w</v>
      </c>
      <c r="U3072" s="245">
        <f>_xll.qlCalendarAdvance(Calendar,U3071,T3072,"f",FALSE)</f>
        <v>60364</v>
      </c>
      <c r="V3072" s="248">
        <f>_xll.qlCalendarAdvance(Calendar,U3072,NDays&amp;"D")</f>
        <v>60366</v>
      </c>
      <c r="W3072" s="249">
        <v>2.3504189471461406E-2</v>
      </c>
      <c r="X3072" s="246">
        <v>2.3407302927456186E-2</v>
      </c>
    </row>
    <row r="3073" spans="20:24" x14ac:dyDescent="0.2">
      <c r="T3073" s="247" t="str">
        <f t="shared" si="52"/>
        <v>1w</v>
      </c>
      <c r="U3073" s="245">
        <f>_xll.qlCalendarAdvance(Calendar,U3072,T3073,"f",FALSE)</f>
        <v>60371</v>
      </c>
      <c r="V3073" s="248">
        <f>_xll.qlCalendarAdvance(Calendar,U3073,NDays&amp;"D")</f>
        <v>60373</v>
      </c>
      <c r="W3073" s="249">
        <v>2.3508562166355929E-2</v>
      </c>
      <c r="X3073" s="246">
        <v>2.3411709463712072E-2</v>
      </c>
    </row>
    <row r="3074" spans="20:24" x14ac:dyDescent="0.2">
      <c r="T3074" s="247" t="str">
        <f t="shared" si="52"/>
        <v>1w</v>
      </c>
      <c r="U3074" s="245">
        <f>_xll.qlCalendarAdvance(Calendar,U3073,T3074,"f",FALSE)</f>
        <v>60378</v>
      </c>
      <c r="V3074" s="248">
        <f>_xll.qlCalendarAdvance(Calendar,U3074,NDays&amp;"D")</f>
        <v>60380</v>
      </c>
      <c r="W3074" s="249">
        <v>2.3512925573730251E-2</v>
      </c>
      <c r="X3074" s="246">
        <v>2.3416106761837696E-2</v>
      </c>
    </row>
    <row r="3075" spans="20:24" x14ac:dyDescent="0.2">
      <c r="T3075" s="247" t="str">
        <f t="shared" si="52"/>
        <v>1w</v>
      </c>
      <c r="U3075" s="245">
        <f>_xll.qlCalendarAdvance(Calendar,U3074,T3075,"f",FALSE)</f>
        <v>60385</v>
      </c>
      <c r="V3075" s="248">
        <f>_xll.qlCalendarAdvance(Calendar,U3075,NDays&amp;"D")</f>
        <v>60387</v>
      </c>
      <c r="W3075" s="249">
        <v>2.3518355562195586E-2</v>
      </c>
      <c r="X3075" s="246">
        <v>2.3423719581752156E-2</v>
      </c>
    </row>
    <row r="3076" spans="20:24" x14ac:dyDescent="0.2">
      <c r="T3076" s="247" t="str">
        <f t="shared" si="52"/>
        <v>1w</v>
      </c>
      <c r="U3076" s="245">
        <f>_xll.qlCalendarAdvance(Calendar,U3075,T3076,"f",FALSE)</f>
        <v>60392</v>
      </c>
      <c r="V3076" s="248">
        <f>_xll.qlCalendarAdvance(Calendar,U3076,NDays&amp;"D")</f>
        <v>60394</v>
      </c>
      <c r="W3076" s="249">
        <v>2.3522700014025177E-2</v>
      </c>
      <c r="X3076" s="246">
        <v>2.342487364457746E-2</v>
      </c>
    </row>
    <row r="3077" spans="20:24" x14ac:dyDescent="0.2">
      <c r="T3077" s="247" t="str">
        <f t="shared" si="52"/>
        <v>1w</v>
      </c>
      <c r="U3077" s="245">
        <f>_xll.qlCalendarAdvance(Calendar,U3076,T3077,"f",FALSE)</f>
        <v>60399</v>
      </c>
      <c r="V3077" s="248">
        <f>_xll.qlCalendarAdvance(Calendar,U3077,NDays&amp;"D")</f>
        <v>60401</v>
      </c>
      <c r="W3077" s="249">
        <v>2.3527035177688879E-2</v>
      </c>
      <c r="X3077" s="246">
        <v>2.342924322895179E-2</v>
      </c>
    </row>
    <row r="3078" spans="20:24" x14ac:dyDescent="0.2">
      <c r="T3078" s="247" t="str">
        <f t="shared" si="52"/>
        <v>1w</v>
      </c>
      <c r="U3078" s="245">
        <f>_xll.qlCalendarAdvance(Calendar,U3077,T3078,"f",FALSE)</f>
        <v>60406</v>
      </c>
      <c r="V3078" s="248">
        <f>_xll.qlCalendarAdvance(Calendar,U3078,NDays&amp;"D")</f>
        <v>60408</v>
      </c>
      <c r="W3078" s="249">
        <v>2.3531361053155411E-2</v>
      </c>
      <c r="X3078" s="246">
        <v>2.343360357519586E-2</v>
      </c>
    </row>
    <row r="3079" spans="20:24" x14ac:dyDescent="0.2">
      <c r="T3079" s="247" t="str">
        <f t="shared" si="52"/>
        <v>1w</v>
      </c>
      <c r="U3079" s="245">
        <f>_xll.qlCalendarAdvance(Calendar,U3078,T3079,"f",FALSE)</f>
        <v>60413</v>
      </c>
      <c r="V3079" s="248">
        <f>_xll.qlCalendarAdvance(Calendar,U3079,NDays&amp;"D")</f>
        <v>60415</v>
      </c>
      <c r="W3079" s="249">
        <v>2.3535677640395235E-2</v>
      </c>
      <c r="X3079" s="246">
        <v>2.343795468370935E-2</v>
      </c>
    </row>
    <row r="3080" spans="20:24" x14ac:dyDescent="0.2">
      <c r="T3080" s="247" t="str">
        <f t="shared" si="52"/>
        <v>1w</v>
      </c>
      <c r="U3080" s="245">
        <f>_xll.qlCalendarAdvance(Calendar,U3079,T3080,"f",FALSE)</f>
        <v>60420</v>
      </c>
      <c r="V3080" s="248">
        <f>_xll.qlCalendarAdvance(Calendar,U3080,NDays&amp;"D")</f>
        <v>60422</v>
      </c>
      <c r="W3080" s="249">
        <v>2.353998493937794E-2</v>
      </c>
      <c r="X3080" s="246">
        <v>2.3442296554252451E-2</v>
      </c>
    </row>
    <row r="3081" spans="20:24" x14ac:dyDescent="0.2">
      <c r="T3081" s="247" t="str">
        <f t="shared" si="52"/>
        <v>1w</v>
      </c>
      <c r="U3081" s="245">
        <f>_xll.qlCalendarAdvance(Calendar,U3080,T3081,"f",FALSE)</f>
        <v>60427</v>
      </c>
      <c r="V3081" s="248">
        <f>_xll.qlCalendarAdvance(Calendar,U3081,NDays&amp;"D")</f>
        <v>60429</v>
      </c>
      <c r="W3081" s="249">
        <v>2.3544282950072243E-2</v>
      </c>
      <c r="X3081" s="246">
        <v>2.3446629186745227E-2</v>
      </c>
    </row>
    <row r="3082" spans="20:24" x14ac:dyDescent="0.2">
      <c r="T3082" s="247" t="str">
        <f t="shared" si="52"/>
        <v>1w</v>
      </c>
      <c r="U3082" s="245">
        <f>_xll.qlCalendarAdvance(Calendar,U3081,T3082,"f",FALSE)</f>
        <v>60434</v>
      </c>
      <c r="V3082" s="248">
        <f>_xll.qlCalendarAdvance(Calendar,U3082,NDays&amp;"D")</f>
        <v>60436</v>
      </c>
      <c r="W3082" s="249">
        <v>2.3548571672445999E-2</v>
      </c>
      <c r="X3082" s="246">
        <v>2.3450952581107742E-2</v>
      </c>
    </row>
    <row r="3083" spans="20:24" x14ac:dyDescent="0.2">
      <c r="T3083" s="247" t="str">
        <f t="shared" si="52"/>
        <v>1w</v>
      </c>
      <c r="U3083" s="245">
        <f>_xll.qlCalendarAdvance(Calendar,U3082,T3083,"f",FALSE)</f>
        <v>60441</v>
      </c>
      <c r="V3083" s="248">
        <f>_xll.qlCalendarAdvance(Calendar,U3083,NDays&amp;"D")</f>
        <v>60443</v>
      </c>
      <c r="W3083" s="249">
        <v>2.3552851106472275E-2</v>
      </c>
      <c r="X3083" s="246">
        <v>2.3455266737739677E-2</v>
      </c>
    </row>
    <row r="3084" spans="20:24" x14ac:dyDescent="0.2">
      <c r="T3084" s="247" t="str">
        <f t="shared" si="52"/>
        <v>1w</v>
      </c>
      <c r="U3084" s="245">
        <f>_xll.qlCalendarAdvance(Calendar,U3083,T3084,"f",FALSE)</f>
        <v>60448</v>
      </c>
      <c r="V3084" s="248">
        <f>_xll.qlCalendarAdvance(Calendar,U3084,NDays&amp;"D")</f>
        <v>60450</v>
      </c>
      <c r="W3084" s="249">
        <v>2.355712125211892E-2</v>
      </c>
      <c r="X3084" s="246">
        <v>2.3459571656321287E-2</v>
      </c>
    </row>
    <row r="3085" spans="20:24" x14ac:dyDescent="0.2">
      <c r="T3085" s="247" t="str">
        <f t="shared" si="52"/>
        <v>1w</v>
      </c>
      <c r="U3085" s="245">
        <f>_xll.qlCalendarAdvance(Calendar,U3084,T3085,"f",FALSE)</f>
        <v>60455</v>
      </c>
      <c r="V3085" s="248">
        <f>_xll.qlCalendarAdvance(Calendar,U3085,NDays&amp;"D")</f>
        <v>60457</v>
      </c>
      <c r="W3085" s="249">
        <v>2.3561382109356391E-2</v>
      </c>
      <c r="X3085" s="246">
        <v>2.3463867336932509E-2</v>
      </c>
    </row>
    <row r="3086" spans="20:24" x14ac:dyDescent="0.2">
      <c r="T3086" s="247" t="str">
        <f t="shared" si="52"/>
        <v>1w</v>
      </c>
      <c r="U3086" s="245">
        <f>_xll.qlCalendarAdvance(Calendar,U3085,T3086,"f",FALSE)</f>
        <v>60462</v>
      </c>
      <c r="V3086" s="248">
        <f>_xll.qlCalendarAdvance(Calendar,U3086,NDays&amp;"D")</f>
        <v>60464</v>
      </c>
      <c r="W3086" s="249">
        <v>2.3565633678153411E-2</v>
      </c>
      <c r="X3086" s="246">
        <v>2.3468153779493406E-2</v>
      </c>
    </row>
    <row r="3087" spans="20:24" x14ac:dyDescent="0.2">
      <c r="T3087" s="247" t="str">
        <f t="shared" si="52"/>
        <v>1w</v>
      </c>
      <c r="U3087" s="245">
        <f>_xll.qlCalendarAdvance(Calendar,U3086,T3087,"f",FALSE)</f>
        <v>60469</v>
      </c>
      <c r="V3087" s="248">
        <f>_xll.qlCalendarAdvance(Calendar,U3087,NDays&amp;"D")</f>
        <v>60471</v>
      </c>
      <c r="W3087" s="249">
        <v>2.3569875958480438E-2</v>
      </c>
      <c r="X3087" s="246">
        <v>2.3472430984243786E-2</v>
      </c>
    </row>
    <row r="3088" spans="20:24" x14ac:dyDescent="0.2">
      <c r="T3088" s="247" t="str">
        <f t="shared" si="52"/>
        <v>1w</v>
      </c>
      <c r="U3088" s="245">
        <f>_xll.qlCalendarAdvance(Calendar,U3087,T3088,"f",FALSE)</f>
        <v>60476</v>
      </c>
      <c r="V3088" s="248">
        <f>_xll.qlCalendarAdvance(Calendar,U3088,NDays&amp;"D")</f>
        <v>60478</v>
      </c>
      <c r="W3088" s="249">
        <v>2.35741089503088E-2</v>
      </c>
      <c r="X3088" s="246">
        <v>2.3476698950943842E-2</v>
      </c>
    </row>
    <row r="3089" spans="20:24" x14ac:dyDescent="0.2">
      <c r="T3089" s="247" t="str">
        <f t="shared" si="52"/>
        <v>1w</v>
      </c>
      <c r="U3089" s="245">
        <f>_xll.qlCalendarAdvance(Calendar,U3088,T3089,"f",FALSE)</f>
        <v>60483</v>
      </c>
      <c r="V3089" s="248">
        <f>_xll.qlCalendarAdvance(Calendar,U3089,NDays&amp;"D")</f>
        <v>60485</v>
      </c>
      <c r="W3089" s="249">
        <v>2.3578332653605476E-2</v>
      </c>
      <c r="X3089" s="246">
        <v>2.3480957679593573E-2</v>
      </c>
    </row>
    <row r="3090" spans="20:24" x14ac:dyDescent="0.2">
      <c r="T3090" s="247" t="str">
        <f t="shared" ref="T3090:T3153" si="53">T3089</f>
        <v>1w</v>
      </c>
      <c r="U3090" s="245">
        <f>_xll.qlCalendarAdvance(Calendar,U3089,T3090,"f",FALSE)</f>
        <v>60490</v>
      </c>
      <c r="V3090" s="248">
        <f>_xll.qlCalendarAdvance(Calendar,U3090,NDays&amp;"D")</f>
        <v>60492</v>
      </c>
      <c r="W3090" s="249">
        <v>2.3582547068343538E-2</v>
      </c>
      <c r="X3090" s="246">
        <v>2.3485207170352851E-2</v>
      </c>
    </row>
    <row r="3091" spans="20:24" x14ac:dyDescent="0.2">
      <c r="T3091" s="247" t="str">
        <f t="shared" si="53"/>
        <v>1w</v>
      </c>
      <c r="U3091" s="245">
        <f>_xll.qlCalendarAdvance(Calendar,U3090,T3091,"f",FALSE)</f>
        <v>60497</v>
      </c>
      <c r="V3091" s="248">
        <f>_xll.qlCalendarAdvance(Calendar,U3091,NDays&amp;"D")</f>
        <v>60499</v>
      </c>
      <c r="W3091" s="249">
        <v>2.358675219449257E-2</v>
      </c>
      <c r="X3091" s="246">
        <v>2.3489447423221677E-2</v>
      </c>
    </row>
    <row r="3092" spans="20:24" x14ac:dyDescent="0.2">
      <c r="T3092" s="247" t="str">
        <f t="shared" si="53"/>
        <v>1w</v>
      </c>
      <c r="U3092" s="245">
        <f>_xll.qlCalendarAdvance(Calendar,U3091,T3092,"f",FALSE)</f>
        <v>60504</v>
      </c>
      <c r="V3092" s="248">
        <f>_xll.qlCalendarAdvance(Calendar,U3092,NDays&amp;"D")</f>
        <v>60506</v>
      </c>
      <c r="W3092" s="249">
        <v>2.3590948032022163E-2</v>
      </c>
      <c r="X3092" s="246">
        <v>2.3493678437960241E-2</v>
      </c>
    </row>
    <row r="3093" spans="20:24" x14ac:dyDescent="0.2">
      <c r="T3093" s="247" t="str">
        <f t="shared" si="53"/>
        <v>1w</v>
      </c>
      <c r="U3093" s="245">
        <f>_xll.qlCalendarAdvance(Calendar,U3092,T3093,"f",FALSE)</f>
        <v>60511</v>
      </c>
      <c r="V3093" s="248">
        <f>_xll.qlCalendarAdvance(Calendar,U3093,NDays&amp;"D")</f>
        <v>60513</v>
      </c>
      <c r="W3093" s="249">
        <v>2.3594065644971528E-2</v>
      </c>
      <c r="X3093" s="246">
        <v>2.3497900214728418E-2</v>
      </c>
    </row>
    <row r="3094" spans="20:24" x14ac:dyDescent="0.2">
      <c r="T3094" s="247" t="str">
        <f t="shared" si="53"/>
        <v>1w</v>
      </c>
      <c r="U3094" s="245">
        <f>_xll.qlCalendarAdvance(Calendar,U3093,T3094,"f",FALSE)</f>
        <v>60518</v>
      </c>
      <c r="V3094" s="248">
        <f>_xll.qlCalendarAdvance(Calendar,U3094,NDays&amp;"D")</f>
        <v>60520</v>
      </c>
      <c r="W3094" s="249">
        <v>2.3598243295635615E-2</v>
      </c>
      <c r="X3094" s="246">
        <v>2.3502112753686077E-2</v>
      </c>
    </row>
    <row r="3095" spans="20:24" x14ac:dyDescent="0.2">
      <c r="T3095" s="247" t="str">
        <f t="shared" si="53"/>
        <v>1w</v>
      </c>
      <c r="U3095" s="245">
        <f>_xll.qlCalendarAdvance(Calendar,U3094,T3095,"f",FALSE)</f>
        <v>60525</v>
      </c>
      <c r="V3095" s="248">
        <f>_xll.qlCalendarAdvance(Calendar,U3095,NDays&amp;"D")</f>
        <v>60527</v>
      </c>
      <c r="W3095" s="249">
        <v>2.3602411658147915E-2</v>
      </c>
      <c r="X3095" s="246">
        <v>2.350631605443354E-2</v>
      </c>
    </row>
    <row r="3096" spans="20:24" x14ac:dyDescent="0.2">
      <c r="T3096" s="247" t="str">
        <f t="shared" si="53"/>
        <v>1w</v>
      </c>
      <c r="U3096" s="245">
        <f>_xll.qlCalendarAdvance(Calendar,U3095,T3096,"f",FALSE)</f>
        <v>60532</v>
      </c>
      <c r="V3096" s="248">
        <f>_xll.qlCalendarAdvance(Calendar,U3096,NDays&amp;"D")</f>
        <v>60534</v>
      </c>
      <c r="W3096" s="249">
        <v>2.3606570732486471E-2</v>
      </c>
      <c r="X3096" s="246">
        <v>2.3510510117370487E-2</v>
      </c>
    </row>
    <row r="3097" spans="20:24" x14ac:dyDescent="0.2">
      <c r="T3097" s="247" t="str">
        <f t="shared" si="53"/>
        <v>1w</v>
      </c>
      <c r="U3097" s="245">
        <f>_xll.qlCalendarAdvance(Calendar,U3096,T3097,"f",FALSE)</f>
        <v>60539</v>
      </c>
      <c r="V3097" s="248">
        <f>_xll.qlCalendarAdvance(Calendar,U3097,NDays&amp;"D")</f>
        <v>60541</v>
      </c>
      <c r="W3097" s="249">
        <v>2.3614990055689979E-2</v>
      </c>
      <c r="X3097" s="246">
        <v>2.3514694942257108E-2</v>
      </c>
    </row>
    <row r="3098" spans="20:24" x14ac:dyDescent="0.2">
      <c r="T3098" s="247" t="str">
        <f t="shared" si="53"/>
        <v>1w</v>
      </c>
      <c r="U3098" s="245">
        <f>_xll.qlCalendarAdvance(Calendar,U3097,T3098,"f",FALSE)</f>
        <v>60546</v>
      </c>
      <c r="V3098" s="248">
        <f>_xll.qlCalendarAdvance(Calendar,U3098,NDays&amp;"D")</f>
        <v>60548</v>
      </c>
      <c r="W3098" s="249">
        <v>2.3615927994526751E-2</v>
      </c>
      <c r="X3098" s="246">
        <v>2.3518870529253277E-2</v>
      </c>
    </row>
    <row r="3099" spans="20:24" x14ac:dyDescent="0.2">
      <c r="T3099" s="247" t="str">
        <f t="shared" si="53"/>
        <v>1w</v>
      </c>
      <c r="U3099" s="245">
        <f>_xll.qlCalendarAdvance(Calendar,U3098,T3099,"f",FALSE)</f>
        <v>60553</v>
      </c>
      <c r="V3099" s="248">
        <f>_xll.qlCalendarAdvance(Calendar,U3099,NDays&amp;"D")</f>
        <v>60555</v>
      </c>
      <c r="W3099" s="249">
        <v>2.3620058810893109E-2</v>
      </c>
      <c r="X3099" s="246">
        <v>2.3523036878199122E-2</v>
      </c>
    </row>
    <row r="3100" spans="20:24" x14ac:dyDescent="0.2">
      <c r="T3100" s="247" t="str">
        <f t="shared" si="53"/>
        <v>1w</v>
      </c>
      <c r="U3100" s="245">
        <f>_xll.qlCalendarAdvance(Calendar,U3099,T3100,"f",FALSE)</f>
        <v>60560</v>
      </c>
      <c r="V3100" s="248">
        <f>_xll.qlCalendarAdvance(Calendar,U3100,NDays&amp;"D")</f>
        <v>60562</v>
      </c>
      <c r="W3100" s="249">
        <v>2.3624180338401954E-2</v>
      </c>
      <c r="X3100" s="246">
        <v>2.3527193989174577E-2</v>
      </c>
    </row>
    <row r="3101" spans="20:24" x14ac:dyDescent="0.2">
      <c r="T3101" s="247" t="str">
        <f t="shared" si="53"/>
        <v>1w</v>
      </c>
      <c r="U3101" s="245">
        <f>_xll.qlCalendarAdvance(Calendar,U3100,T3101,"f",FALSE)</f>
        <v>60567</v>
      </c>
      <c r="V3101" s="248">
        <f>_xll.qlCalendarAdvance(Calendar,U3101,NDays&amp;"D")</f>
        <v>60569</v>
      </c>
      <c r="W3101" s="249">
        <v>2.3628292577028098E-2</v>
      </c>
      <c r="X3101" s="246">
        <v>2.353134186225958E-2</v>
      </c>
    </row>
    <row r="3102" spans="20:24" x14ac:dyDescent="0.2">
      <c r="T3102" s="247" t="str">
        <f t="shared" si="53"/>
        <v>1w</v>
      </c>
      <c r="U3102" s="245">
        <f>_xll.qlCalendarAdvance(Calendar,U3101,T3102,"f",FALSE)</f>
        <v>60574</v>
      </c>
      <c r="V3102" s="248">
        <f>_xll.qlCalendarAdvance(Calendar,U3102,NDays&amp;"D")</f>
        <v>60576</v>
      </c>
      <c r="W3102" s="249">
        <v>2.3632395526739382E-2</v>
      </c>
      <c r="X3102" s="246">
        <v>2.3535480497214323E-2</v>
      </c>
    </row>
    <row r="3103" spans="20:24" x14ac:dyDescent="0.2">
      <c r="T3103" s="247" t="str">
        <f t="shared" si="53"/>
        <v>1w</v>
      </c>
      <c r="U3103" s="245">
        <f>_xll.qlCalendarAdvance(Calendar,U3102,T3103,"f",FALSE)</f>
        <v>60581</v>
      </c>
      <c r="V3103" s="248">
        <f>_xll.qlCalendarAdvance(Calendar,U3103,NDays&amp;"D")</f>
        <v>60583</v>
      </c>
      <c r="W3103" s="249">
        <v>2.3636489187508009E-2</v>
      </c>
      <c r="X3103" s="246">
        <v>2.3539609894198676E-2</v>
      </c>
    </row>
    <row r="3104" spans="20:24" x14ac:dyDescent="0.2">
      <c r="T3104" s="247" t="str">
        <f t="shared" si="53"/>
        <v>1w</v>
      </c>
      <c r="U3104" s="245">
        <f>_xll.qlCalendarAdvance(Calendar,U3103,T3104,"f",FALSE)</f>
        <v>60588</v>
      </c>
      <c r="V3104" s="248">
        <f>_xll.qlCalendarAdvance(Calendar,U3104,NDays&amp;"D")</f>
        <v>60590</v>
      </c>
      <c r="W3104" s="249">
        <v>2.3640573559306176E-2</v>
      </c>
      <c r="X3104" s="246">
        <v>2.3543730053372514E-2</v>
      </c>
    </row>
    <row r="3105" spans="20:24" x14ac:dyDescent="0.2">
      <c r="T3105" s="247" t="str">
        <f t="shared" si="53"/>
        <v>1w</v>
      </c>
      <c r="U3105" s="245">
        <f>_xll.qlCalendarAdvance(Calendar,U3104,T3105,"f",FALSE)</f>
        <v>60595</v>
      </c>
      <c r="V3105" s="248">
        <f>_xll.qlCalendarAdvance(Calendar,U3105,NDays&amp;"D")</f>
        <v>60597</v>
      </c>
      <c r="W3105" s="249">
        <v>2.3644648642100863E-2</v>
      </c>
      <c r="X3105" s="246">
        <v>2.354784097441609E-2</v>
      </c>
    </row>
    <row r="3106" spans="20:24" x14ac:dyDescent="0.2">
      <c r="T3106" s="247" t="str">
        <f t="shared" si="53"/>
        <v>1w</v>
      </c>
      <c r="U3106" s="245">
        <f>_xll.qlCalendarAdvance(Calendar,U3105,T3106,"f",FALSE)</f>
        <v>60602</v>
      </c>
      <c r="V3106" s="248">
        <f>_xll.qlCalendarAdvance(Calendar,U3106,NDays&amp;"D")</f>
        <v>60604</v>
      </c>
      <c r="W3106" s="249">
        <v>2.3646586812172465E-2</v>
      </c>
      <c r="X3106" s="246">
        <v>2.355194265764915E-2</v>
      </c>
    </row>
    <row r="3107" spans="20:24" x14ac:dyDescent="0.2">
      <c r="T3107" s="247" t="str">
        <f t="shared" si="53"/>
        <v>1w</v>
      </c>
      <c r="U3107" s="245">
        <f>_xll.qlCalendarAdvance(Calendar,U3106,T3107,"f",FALSE)</f>
        <v>60609</v>
      </c>
      <c r="V3107" s="248">
        <f>_xll.qlCalendarAdvance(Calendar,U3107,NDays&amp;"D")</f>
        <v>60611</v>
      </c>
      <c r="W3107" s="249">
        <v>2.3650644112375829E-2</v>
      </c>
      <c r="X3107" s="246">
        <v>2.3556035102751949E-2</v>
      </c>
    </row>
    <row r="3108" spans="20:24" x14ac:dyDescent="0.2">
      <c r="T3108" s="247" t="str">
        <f t="shared" si="53"/>
        <v>1w</v>
      </c>
      <c r="U3108" s="245">
        <f>_xll.qlCalendarAdvance(Calendar,U3107,T3108,"f",FALSE)</f>
        <v>60616</v>
      </c>
      <c r="V3108" s="248">
        <f>_xll.qlCalendarAdvance(Calendar,U3108,NDays&amp;"D")</f>
        <v>60618</v>
      </c>
      <c r="W3108" s="249">
        <v>2.3654692124624788E-2</v>
      </c>
      <c r="X3108" s="246">
        <v>2.3560118309964295E-2</v>
      </c>
    </row>
    <row r="3109" spans="20:24" x14ac:dyDescent="0.2">
      <c r="T3109" s="247" t="str">
        <f t="shared" si="53"/>
        <v>1w</v>
      </c>
      <c r="U3109" s="245">
        <f>_xll.qlCalendarAdvance(Calendar,U3108,T3109,"f",FALSE)</f>
        <v>60623</v>
      </c>
      <c r="V3109" s="248">
        <f>_xll.qlCalendarAdvance(Calendar,U3109,NDays&amp;"D")</f>
        <v>60625</v>
      </c>
      <c r="W3109" s="249">
        <v>2.3658730848886478E-2</v>
      </c>
      <c r="X3109" s="246">
        <v>2.3567377854789573E-2</v>
      </c>
    </row>
    <row r="3110" spans="20:24" x14ac:dyDescent="0.2">
      <c r="T3110" s="247" t="str">
        <f t="shared" si="53"/>
        <v>1w</v>
      </c>
      <c r="U3110" s="245">
        <f>_xll.qlCalendarAdvance(Calendar,U3109,T3110,"f",FALSE)</f>
        <v>60630</v>
      </c>
      <c r="V3110" s="248">
        <f>_xll.qlCalendarAdvance(Calendar,U3110,NDays&amp;"D")</f>
        <v>60632</v>
      </c>
      <c r="W3110" s="249">
        <v>2.3662760285136919E-2</v>
      </c>
      <c r="X3110" s="246">
        <v>2.3571441404406368E-2</v>
      </c>
    </row>
    <row r="3111" spans="20:24" x14ac:dyDescent="0.2">
      <c r="T3111" s="247" t="str">
        <f t="shared" si="53"/>
        <v>1w</v>
      </c>
      <c r="U3111" s="245">
        <f>_xll.qlCalendarAdvance(Calendar,U3110,T3111,"f",FALSE)</f>
        <v>60637</v>
      </c>
      <c r="V3111" s="248">
        <f>_xll.qlCalendarAdvance(Calendar,U3111,NDays&amp;"D")</f>
        <v>60639</v>
      </c>
      <c r="W3111" s="249">
        <v>2.3666780433347689E-2</v>
      </c>
      <c r="X3111" s="246">
        <v>2.3572312503539194E-2</v>
      </c>
    </row>
    <row r="3112" spans="20:24" x14ac:dyDescent="0.2">
      <c r="T3112" s="247" t="str">
        <f t="shared" si="53"/>
        <v>1w</v>
      </c>
      <c r="U3112" s="245">
        <f>_xll.qlCalendarAdvance(Calendar,U3111,T3112,"f",FALSE)</f>
        <v>60644</v>
      </c>
      <c r="V3112" s="248">
        <f>_xll.qlCalendarAdvance(Calendar,U3112,NDays&amp;"D")</f>
        <v>60646</v>
      </c>
      <c r="W3112" s="249">
        <v>2.3670791293488591E-2</v>
      </c>
      <c r="X3112" s="246">
        <v>2.3576358758869986E-2</v>
      </c>
    </row>
    <row r="3113" spans="20:24" x14ac:dyDescent="0.2">
      <c r="T3113" s="247" t="str">
        <f t="shared" si="53"/>
        <v>1w</v>
      </c>
      <c r="U3113" s="245">
        <f>_xll.qlCalendarAdvance(Calendar,U3112,T3113,"f",FALSE)</f>
        <v>60651</v>
      </c>
      <c r="V3113" s="248">
        <f>_xll.qlCalendarAdvance(Calendar,U3113,NDays&amp;"D")</f>
        <v>60653</v>
      </c>
      <c r="W3113" s="249">
        <v>2.3674792865533867E-2</v>
      </c>
      <c r="X3113" s="246">
        <v>2.3580395776070517E-2</v>
      </c>
    </row>
    <row r="3114" spans="20:24" x14ac:dyDescent="0.2">
      <c r="T3114" s="247" t="str">
        <f t="shared" si="53"/>
        <v>1w</v>
      </c>
      <c r="U3114" s="245">
        <f>_xll.qlCalendarAdvance(Calendar,U3113,T3114,"f",FALSE)</f>
        <v>60658</v>
      </c>
      <c r="V3114" s="248">
        <f>_xll.qlCalendarAdvance(Calendar,U3114,NDays&amp;"D")</f>
        <v>60660</v>
      </c>
      <c r="W3114" s="249">
        <v>2.3678785149455983E-2</v>
      </c>
      <c r="X3114" s="246">
        <v>2.3584423555460532E-2</v>
      </c>
    </row>
    <row r="3115" spans="20:24" x14ac:dyDescent="0.2">
      <c r="T3115" s="247" t="str">
        <f t="shared" si="53"/>
        <v>1w</v>
      </c>
      <c r="U3115" s="245">
        <f>_xll.qlCalendarAdvance(Calendar,U3114,T3115,"f",FALSE)</f>
        <v>60665</v>
      </c>
      <c r="V3115" s="248">
        <f>_xll.qlCalendarAdvance(Calendar,U3115,NDays&amp;"D")</f>
        <v>60667</v>
      </c>
      <c r="W3115" s="249">
        <v>2.3681707945337447E-2</v>
      </c>
      <c r="X3115" s="246">
        <v>2.3588442096720286E-2</v>
      </c>
    </row>
    <row r="3116" spans="20:24" x14ac:dyDescent="0.2">
      <c r="T3116" s="247" t="str">
        <f t="shared" si="53"/>
        <v>1w</v>
      </c>
      <c r="U3116" s="245">
        <f>_xll.qlCalendarAdvance(Calendar,U3115,T3116,"f",FALSE)</f>
        <v>60672</v>
      </c>
      <c r="V3116" s="248">
        <f>_xll.qlCalendarAdvance(Calendar,U3116,NDays&amp;"D")</f>
        <v>60674</v>
      </c>
      <c r="W3116" s="249">
        <v>2.3685682055677136E-2</v>
      </c>
      <c r="X3116" s="246">
        <v>2.3592451400089587E-2</v>
      </c>
    </row>
    <row r="3117" spans="20:24" x14ac:dyDescent="0.2">
      <c r="T3117" s="247" t="str">
        <f t="shared" si="53"/>
        <v>1w</v>
      </c>
      <c r="U3117" s="245">
        <f>_xll.qlCalendarAdvance(Calendar,U3116,T3117,"f",FALSE)</f>
        <v>60679</v>
      </c>
      <c r="V3117" s="248">
        <f>_xll.qlCalendarAdvance(Calendar,U3117,NDays&amp;"D")</f>
        <v>60681</v>
      </c>
      <c r="W3117" s="249">
        <v>2.36896468783774E-2</v>
      </c>
      <c r="X3117" s="246">
        <v>2.3596451465488499E-2</v>
      </c>
    </row>
    <row r="3118" spans="20:24" x14ac:dyDescent="0.2">
      <c r="T3118" s="247" t="str">
        <f t="shared" si="53"/>
        <v>1w</v>
      </c>
      <c r="U3118" s="245">
        <f>_xll.qlCalendarAdvance(Calendar,U3117,T3118,"f",FALSE)</f>
        <v>60686</v>
      </c>
      <c r="V3118" s="248">
        <f>_xll.qlCalendarAdvance(Calendar,U3118,NDays&amp;"D")</f>
        <v>60688</v>
      </c>
      <c r="W3118" s="249">
        <v>2.3693602413411299E-2</v>
      </c>
      <c r="X3118" s="246">
        <v>2.3600442292677215E-2</v>
      </c>
    </row>
    <row r="3119" spans="20:24" x14ac:dyDescent="0.2">
      <c r="T3119" s="247" t="str">
        <f t="shared" si="53"/>
        <v>1w</v>
      </c>
      <c r="U3119" s="245">
        <f>_xll.qlCalendarAdvance(Calendar,U3118,T3119,"f",FALSE)</f>
        <v>60693</v>
      </c>
      <c r="V3119" s="248">
        <f>_xll.qlCalendarAdvance(Calendar,U3119,NDays&amp;"D")</f>
        <v>60695</v>
      </c>
      <c r="W3119" s="249">
        <v>2.370072444016846E-2</v>
      </c>
      <c r="X3119" s="246">
        <v>2.3604423882215286E-2</v>
      </c>
    </row>
    <row r="3120" spans="20:24" x14ac:dyDescent="0.2">
      <c r="T3120" s="247" t="str">
        <f t="shared" si="53"/>
        <v>1w</v>
      </c>
      <c r="U3120" s="245">
        <f>_xll.qlCalendarAdvance(Calendar,U3119,T3120,"f",FALSE)</f>
        <v>60700</v>
      </c>
      <c r="V3120" s="248">
        <f>_xll.qlCalendarAdvance(Calendar,U3120,NDays&amp;"D")</f>
        <v>60702</v>
      </c>
      <c r="W3120" s="249">
        <v>2.3704660184530182E-2</v>
      </c>
      <c r="X3120" s="246">
        <v>2.3608396233543161E-2</v>
      </c>
    </row>
    <row r="3121" spans="20:24" x14ac:dyDescent="0.2">
      <c r="T3121" s="247" t="str">
        <f t="shared" si="53"/>
        <v>1w</v>
      </c>
      <c r="U3121" s="245">
        <f>_xll.qlCalendarAdvance(Calendar,U3120,T3121,"f",FALSE)</f>
        <v>60707</v>
      </c>
      <c r="V3121" s="248">
        <f>_xll.qlCalendarAdvance(Calendar,U3121,NDays&amp;"D")</f>
        <v>60709</v>
      </c>
      <c r="W3121" s="249">
        <v>2.3708586639440084E-2</v>
      </c>
      <c r="X3121" s="246">
        <v>2.3612359346900647E-2</v>
      </c>
    </row>
    <row r="3122" spans="20:24" x14ac:dyDescent="0.2">
      <c r="T3122" s="247" t="str">
        <f t="shared" si="53"/>
        <v>1w</v>
      </c>
      <c r="U3122" s="245">
        <f>_xll.qlCalendarAdvance(Calendar,U3121,T3122,"f",FALSE)</f>
        <v>60714</v>
      </c>
      <c r="V3122" s="248">
        <f>_xll.qlCalendarAdvance(Calendar,U3122,NDays&amp;"D")</f>
        <v>60716</v>
      </c>
      <c r="W3122" s="249">
        <v>2.3712503804867762E-2</v>
      </c>
      <c r="X3122" s="246">
        <v>2.3616313222287744E-2</v>
      </c>
    </row>
    <row r="3123" spans="20:24" x14ac:dyDescent="0.2">
      <c r="T3123" s="247" t="str">
        <f t="shared" si="53"/>
        <v>1w</v>
      </c>
      <c r="U3123" s="245">
        <f>_xll.qlCalendarAdvance(Calendar,U3122,T3123,"f",FALSE)</f>
        <v>60721</v>
      </c>
      <c r="V3123" s="248">
        <f>_xll.qlCalendarAdvance(Calendar,U3123,NDays&amp;"D")</f>
        <v>60723</v>
      </c>
      <c r="W3123" s="249">
        <v>2.3715354704009584E-2</v>
      </c>
      <c r="X3123" s="246">
        <v>2.3620257859864324E-2</v>
      </c>
    </row>
    <row r="3124" spans="20:24" x14ac:dyDescent="0.2">
      <c r="T3124" s="247" t="str">
        <f t="shared" si="53"/>
        <v>1w</v>
      </c>
      <c r="U3124" s="245">
        <f>_xll.qlCalendarAdvance(Calendar,U3123,T3124,"f",FALSE)</f>
        <v>60728</v>
      </c>
      <c r="V3124" s="248">
        <f>_xll.qlCalendarAdvance(Calendar,U3124,NDays&amp;"D")</f>
        <v>60730</v>
      </c>
      <c r="W3124" s="249">
        <v>2.3719253697816963E-2</v>
      </c>
      <c r="X3124" s="246">
        <v>2.3628416841514621E-2</v>
      </c>
    </row>
    <row r="3125" spans="20:24" x14ac:dyDescent="0.2">
      <c r="T3125" s="247" t="str">
        <f t="shared" si="53"/>
        <v>1w</v>
      </c>
      <c r="U3125" s="245">
        <f>_xll.qlCalendarAdvance(Calendar,U3124,T3125,"f",FALSE)</f>
        <v>60735</v>
      </c>
      <c r="V3125" s="248">
        <f>_xll.qlCalendarAdvance(Calendar,U3125,NDays&amp;"D")</f>
        <v>60737</v>
      </c>
      <c r="W3125" s="249">
        <v>2.3723143402629272E-2</v>
      </c>
      <c r="X3125" s="246">
        <v>2.3628119420706639E-2</v>
      </c>
    </row>
    <row r="3126" spans="20:24" x14ac:dyDescent="0.2">
      <c r="T3126" s="247" t="str">
        <f t="shared" si="53"/>
        <v>1w</v>
      </c>
      <c r="U3126" s="245">
        <f>_xll.qlCalendarAdvance(Calendar,U3125,T3126,"f",FALSE)</f>
        <v>60742</v>
      </c>
      <c r="V3126" s="248">
        <f>_xll.qlCalendarAdvance(Calendar,U3126,NDays&amp;"D")</f>
        <v>60744</v>
      </c>
      <c r="W3126" s="249">
        <v>2.3727023818421039E-2</v>
      </c>
      <c r="X3126" s="246">
        <v>2.3632036344372054E-2</v>
      </c>
    </row>
    <row r="3127" spans="20:24" x14ac:dyDescent="0.2">
      <c r="T3127" s="247" t="str">
        <f t="shared" si="53"/>
        <v>1w</v>
      </c>
      <c r="U3127" s="245">
        <f>_xll.qlCalendarAdvance(Calendar,U3126,T3127,"f",FALSE)</f>
        <v>60749</v>
      </c>
      <c r="V3127" s="248">
        <f>_xll.qlCalendarAdvance(Calendar,U3127,NDays&amp;"D")</f>
        <v>60751</v>
      </c>
      <c r="W3127" s="249">
        <v>2.3730894945163276E-2</v>
      </c>
      <c r="X3127" s="246">
        <v>2.3635944029827272E-2</v>
      </c>
    </row>
    <row r="3128" spans="20:24" x14ac:dyDescent="0.2">
      <c r="T3128" s="247" t="str">
        <f t="shared" si="53"/>
        <v>1w</v>
      </c>
      <c r="U3128" s="245">
        <f>_xll.qlCalendarAdvance(Calendar,U3127,T3128,"f",FALSE)</f>
        <v>60756</v>
      </c>
      <c r="V3128" s="248">
        <f>_xll.qlCalendarAdvance(Calendar,U3128,NDays&amp;"D")</f>
        <v>60758</v>
      </c>
      <c r="W3128" s="249">
        <v>2.3735811716757864E-2</v>
      </c>
      <c r="X3128" s="246">
        <v>2.3639842477392037E-2</v>
      </c>
    </row>
    <row r="3129" spans="20:24" x14ac:dyDescent="0.2">
      <c r="T3129" s="247" t="str">
        <f t="shared" si="53"/>
        <v>1w</v>
      </c>
      <c r="U3129" s="245">
        <f>_xll.qlCalendarAdvance(Calendar,U3128,T3129,"f",FALSE)</f>
        <v>60763</v>
      </c>
      <c r="V3129" s="248">
        <f>_xll.qlCalendarAdvance(Calendar,U3129,NDays&amp;"D")</f>
        <v>60765</v>
      </c>
      <c r="W3129" s="249">
        <v>2.3739663855036657E-2</v>
      </c>
      <c r="X3129" s="246">
        <v>2.3643731686906477E-2</v>
      </c>
    </row>
    <row r="3130" spans="20:24" x14ac:dyDescent="0.2">
      <c r="T3130" s="247" t="str">
        <f t="shared" si="53"/>
        <v>1w</v>
      </c>
      <c r="U3130" s="245">
        <f>_xll.qlCalendarAdvance(Calendar,U3129,T3130,"f",FALSE)</f>
        <v>60770</v>
      </c>
      <c r="V3130" s="248">
        <f>_xll.qlCalendarAdvance(Calendar,U3130,NDays&amp;"D")</f>
        <v>60772</v>
      </c>
      <c r="W3130" s="249">
        <v>2.3743506703614269E-2</v>
      </c>
      <c r="X3130" s="246">
        <v>2.3647611658450529E-2</v>
      </c>
    </row>
    <row r="3131" spans="20:24" x14ac:dyDescent="0.2">
      <c r="T3131" s="247" t="str">
        <f t="shared" si="53"/>
        <v>1w</v>
      </c>
      <c r="U3131" s="245">
        <f>_xll.qlCalendarAdvance(Calendar,U3130,T3131,"f",FALSE)</f>
        <v>60777</v>
      </c>
      <c r="V3131" s="248">
        <f>_xll.qlCalendarAdvance(Calendar,U3131,NDays&amp;"D")</f>
        <v>60779</v>
      </c>
      <c r="W3131" s="249">
        <v>2.3747340262462027E-2</v>
      </c>
      <c r="X3131" s="246">
        <v>2.3651482392104128E-2</v>
      </c>
    </row>
    <row r="3132" spans="20:24" x14ac:dyDescent="0.2">
      <c r="T3132" s="247" t="str">
        <f t="shared" si="53"/>
        <v>1w</v>
      </c>
      <c r="U3132" s="245">
        <f>_xll.qlCalendarAdvance(Calendar,U3131,T3132,"f",FALSE)</f>
        <v>60784</v>
      </c>
      <c r="V3132" s="248">
        <f>_xll.qlCalendarAdvance(Calendar,U3132,NDays&amp;"D")</f>
        <v>60786</v>
      </c>
      <c r="W3132" s="249">
        <v>2.3751164531553862E-2</v>
      </c>
      <c r="X3132" s="246">
        <v>2.3655343887707403E-2</v>
      </c>
    </row>
    <row r="3133" spans="20:24" x14ac:dyDescent="0.2">
      <c r="T3133" s="247" t="str">
        <f t="shared" si="53"/>
        <v>1w</v>
      </c>
      <c r="U3133" s="245">
        <f>_xll.qlCalendarAdvance(Calendar,U3132,T3133,"f",FALSE)</f>
        <v>60791</v>
      </c>
      <c r="V3133" s="248">
        <f>_xll.qlCalendarAdvance(Calendar,U3133,NDays&amp;"D")</f>
        <v>60793</v>
      </c>
      <c r="W3133" s="249">
        <v>2.3754979510861102E-2</v>
      </c>
      <c r="X3133" s="246">
        <v>2.3659196145100481E-2</v>
      </c>
    </row>
    <row r="3134" spans="20:24" x14ac:dyDescent="0.2">
      <c r="T3134" s="247" t="str">
        <f t="shared" si="53"/>
        <v>1w</v>
      </c>
      <c r="U3134" s="245">
        <f>_xll.qlCalendarAdvance(Calendar,U3133,T3134,"f",FALSE)</f>
        <v>60798</v>
      </c>
      <c r="V3134" s="248">
        <f>_xll.qlCalendarAdvance(Calendar,U3134,NDays&amp;"D")</f>
        <v>60800</v>
      </c>
      <c r="W3134" s="249">
        <v>2.3758785200358554E-2</v>
      </c>
      <c r="X3134" s="246">
        <v>2.3663039164842914E-2</v>
      </c>
    </row>
    <row r="3135" spans="20:24" x14ac:dyDescent="0.2">
      <c r="T3135" s="247" t="str">
        <f t="shared" si="53"/>
        <v>1w</v>
      </c>
      <c r="U3135" s="245">
        <f>_xll.qlCalendarAdvance(Calendar,U3134,T3135,"f",FALSE)</f>
        <v>60805</v>
      </c>
      <c r="V3135" s="248">
        <f>_xll.qlCalendarAdvance(Calendar,U3135,NDays&amp;"D")</f>
        <v>60807</v>
      </c>
      <c r="W3135" s="249">
        <v>2.3762581600019279E-2</v>
      </c>
      <c r="X3135" s="246">
        <v>2.3666872946535022E-2</v>
      </c>
    </row>
    <row r="3136" spans="20:24" x14ac:dyDescent="0.2">
      <c r="T3136" s="247" t="str">
        <f t="shared" si="53"/>
        <v>1w</v>
      </c>
      <c r="U3136" s="245">
        <f>_xll.qlCalendarAdvance(Calendar,U3135,T3136,"f",FALSE)</f>
        <v>60812</v>
      </c>
      <c r="V3136" s="248">
        <f>_xll.qlCalendarAdvance(Calendar,U3136,NDays&amp;"D")</f>
        <v>60814</v>
      </c>
      <c r="W3136" s="249">
        <v>2.3766368709812868E-2</v>
      </c>
      <c r="X3136" s="246">
        <v>2.367069749009687E-2</v>
      </c>
    </row>
    <row r="3137" spans="20:24" x14ac:dyDescent="0.2">
      <c r="T3137" s="247" t="str">
        <f t="shared" si="53"/>
        <v>1w</v>
      </c>
      <c r="U3137" s="245">
        <f>_xll.qlCalendarAdvance(Calendar,U3136,T3137,"f",FALSE)</f>
        <v>60819</v>
      </c>
      <c r="V3137" s="248">
        <f>_xll.qlCalendarAdvance(Calendar,U3137,NDays&amp;"D")</f>
        <v>60821</v>
      </c>
      <c r="W3137" s="249">
        <v>2.3770146529716731E-2</v>
      </c>
      <c r="X3137" s="246">
        <v>2.3674512795768266E-2</v>
      </c>
    </row>
    <row r="3138" spans="20:24" x14ac:dyDescent="0.2">
      <c r="T3138" s="247" t="str">
        <f t="shared" si="53"/>
        <v>1w</v>
      </c>
      <c r="U3138" s="245">
        <f>_xll.qlCalendarAdvance(Calendar,U3137,T3138,"f",FALSE)</f>
        <v>60826</v>
      </c>
      <c r="V3138" s="248">
        <f>_xll.qlCalendarAdvance(Calendar,U3138,NDays&amp;"D")</f>
        <v>60828</v>
      </c>
      <c r="W3138" s="249">
        <v>2.3773915059703062E-2</v>
      </c>
      <c r="X3138" s="246">
        <v>2.3678318863469272E-2</v>
      </c>
    </row>
    <row r="3139" spans="20:24" x14ac:dyDescent="0.2">
      <c r="T3139" s="247" t="str">
        <f t="shared" si="53"/>
        <v>1w</v>
      </c>
      <c r="U3139" s="245">
        <f>_xll.qlCalendarAdvance(Calendar,U3138,T3139,"f",FALSE)</f>
        <v>60833</v>
      </c>
      <c r="V3139" s="248">
        <f>_xll.qlCalendarAdvance(Calendar,U3139,NDays&amp;"D")</f>
        <v>60835</v>
      </c>
      <c r="W3139" s="249">
        <v>2.3777674299744058E-2</v>
      </c>
      <c r="X3139" s="246">
        <v>2.3682115693119954E-2</v>
      </c>
    </row>
    <row r="3140" spans="20:24" x14ac:dyDescent="0.2">
      <c r="T3140" s="247" t="str">
        <f t="shared" si="53"/>
        <v>1w</v>
      </c>
      <c r="U3140" s="245">
        <f>_xll.qlCalendarAdvance(Calendar,U3139,T3140,"f",FALSE)</f>
        <v>60840</v>
      </c>
      <c r="V3140" s="248">
        <f>_xll.qlCalendarAdvance(Calendar,U3140,NDays&amp;"D")</f>
        <v>60842</v>
      </c>
      <c r="W3140" s="249">
        <v>2.3781424249814522E-2</v>
      </c>
      <c r="X3140" s="246">
        <v>2.3685903284720311E-2</v>
      </c>
    </row>
    <row r="3141" spans="20:24" x14ac:dyDescent="0.2">
      <c r="T3141" s="247" t="str">
        <f t="shared" si="53"/>
        <v>1w</v>
      </c>
      <c r="U3141" s="245">
        <f>_xll.qlCalendarAdvance(Calendar,U3140,T3141,"f",FALSE)</f>
        <v>60847</v>
      </c>
      <c r="V3141" s="248">
        <f>_xll.qlCalendarAdvance(Calendar,U3141,NDays&amp;"D")</f>
        <v>60849</v>
      </c>
      <c r="W3141" s="249">
        <v>2.3785164909885782E-2</v>
      </c>
      <c r="X3141" s="246">
        <v>2.3689681638430216E-2</v>
      </c>
    </row>
    <row r="3142" spans="20:24" x14ac:dyDescent="0.2">
      <c r="T3142" s="247" t="str">
        <f t="shared" si="53"/>
        <v>1w</v>
      </c>
      <c r="U3142" s="245">
        <f>_xll.qlCalendarAdvance(Calendar,U3141,T3142,"f",FALSE)</f>
        <v>60854</v>
      </c>
      <c r="V3142" s="248">
        <f>_xll.qlCalendarAdvance(Calendar,U3142,NDays&amp;"D")</f>
        <v>60856</v>
      </c>
      <c r="W3142" s="249">
        <v>2.3788896279934375E-2</v>
      </c>
      <c r="X3142" s="246">
        <v>2.3693450754169731E-2</v>
      </c>
    </row>
    <row r="3143" spans="20:24" x14ac:dyDescent="0.2">
      <c r="T3143" s="247" t="str">
        <f t="shared" si="53"/>
        <v>1w</v>
      </c>
      <c r="U3143" s="245">
        <f>_xll.qlCalendarAdvance(Calendar,U3142,T3143,"f",FALSE)</f>
        <v>60861</v>
      </c>
      <c r="V3143" s="248">
        <f>_xll.qlCalendarAdvance(Calendar,U3143,NDays&amp;"D")</f>
        <v>60863</v>
      </c>
      <c r="W3143" s="249">
        <v>2.3792618359930764E-2</v>
      </c>
      <c r="X3143" s="246">
        <v>2.3697210631938859E-2</v>
      </c>
    </row>
    <row r="3144" spans="20:24" x14ac:dyDescent="0.2">
      <c r="T3144" s="247" t="str">
        <f t="shared" si="53"/>
        <v>1w</v>
      </c>
      <c r="U3144" s="245">
        <f>_xll.qlCalendarAdvance(Calendar,U3143,T3144,"f",FALSE)</f>
        <v>60868</v>
      </c>
      <c r="V3144" s="248">
        <f>_xll.qlCalendarAdvance(Calendar,U3144,NDays&amp;"D")</f>
        <v>60870</v>
      </c>
      <c r="W3144" s="249">
        <v>2.3796331149850622E-2</v>
      </c>
      <c r="X3144" s="246">
        <v>2.3700961271577725E-2</v>
      </c>
    </row>
    <row r="3145" spans="20:24" x14ac:dyDescent="0.2">
      <c r="T3145" s="247" t="str">
        <f t="shared" si="53"/>
        <v>1w</v>
      </c>
      <c r="U3145" s="245">
        <f>_xll.qlCalendarAdvance(Calendar,U3144,T3145,"f",FALSE)</f>
        <v>60875</v>
      </c>
      <c r="V3145" s="248">
        <f>_xll.qlCalendarAdvance(Calendar,U3145,NDays&amp;"D")</f>
        <v>60877</v>
      </c>
      <c r="W3145" s="249">
        <v>2.3798986768500858E-2</v>
      </c>
      <c r="X3145" s="246">
        <v>2.3704702673406075E-2</v>
      </c>
    </row>
    <row r="3146" spans="20:24" x14ac:dyDescent="0.2">
      <c r="T3146" s="247" t="str">
        <f t="shared" si="53"/>
        <v>1w</v>
      </c>
      <c r="U3146" s="245">
        <f>_xll.qlCalendarAdvance(Calendar,U3145,T3146,"f",FALSE)</f>
        <v>60882</v>
      </c>
      <c r="V3146" s="248">
        <f>_xll.qlCalendarAdvance(Calendar,U3146,NDays&amp;"D")</f>
        <v>60884</v>
      </c>
      <c r="W3146" s="249">
        <v>2.3802681398229168E-2</v>
      </c>
      <c r="X3146" s="246">
        <v>2.3708434837104164E-2</v>
      </c>
    </row>
    <row r="3147" spans="20:24" x14ac:dyDescent="0.2">
      <c r="T3147" s="247" t="str">
        <f t="shared" si="53"/>
        <v>1w</v>
      </c>
      <c r="U3147" s="245">
        <f>_xll.qlCalendarAdvance(Calendar,U3146,T3147,"f",FALSE)</f>
        <v>60889</v>
      </c>
      <c r="V3147" s="248">
        <f>_xll.qlCalendarAdvance(Calendar,U3147,NDays&amp;"D")</f>
        <v>60891</v>
      </c>
      <c r="W3147" s="249">
        <v>2.3806366738377386E-2</v>
      </c>
      <c r="X3147" s="246">
        <v>2.3712157762831865E-2</v>
      </c>
    </row>
    <row r="3148" spans="20:24" x14ac:dyDescent="0.2">
      <c r="T3148" s="247" t="str">
        <f t="shared" si="53"/>
        <v>1w</v>
      </c>
      <c r="U3148" s="245">
        <f>_xll.qlCalendarAdvance(Calendar,U3147,T3148,"f",FALSE)</f>
        <v>60896</v>
      </c>
      <c r="V3148" s="248">
        <f>_xll.qlCalendarAdvance(Calendar,U3148,NDays&amp;"D")</f>
        <v>60898</v>
      </c>
      <c r="W3148" s="249">
        <v>2.381004278892267E-2</v>
      </c>
      <c r="X3148" s="246">
        <v>2.3715871450669113E-2</v>
      </c>
    </row>
    <row r="3149" spans="20:24" x14ac:dyDescent="0.2">
      <c r="T3149" s="247" t="str">
        <f t="shared" si="53"/>
        <v>1w</v>
      </c>
      <c r="U3149" s="245">
        <f>_xll.qlCalendarAdvance(Calendar,U3148,T3149,"f",FALSE)</f>
        <v>60903</v>
      </c>
      <c r="V3149" s="248">
        <f>_xll.qlCalendarAdvance(Calendar,U3149,NDays&amp;"D")</f>
        <v>60905</v>
      </c>
      <c r="W3149" s="249">
        <v>2.381475574737393E-2</v>
      </c>
      <c r="X3149" s="246">
        <v>2.37195759003761E-2</v>
      </c>
    </row>
    <row r="3150" spans="20:24" x14ac:dyDescent="0.2">
      <c r="T3150" s="247" t="str">
        <f t="shared" si="53"/>
        <v>1w</v>
      </c>
      <c r="U3150" s="245">
        <f>_xll.qlCalendarAdvance(Calendar,U3149,T3150,"f",FALSE)</f>
        <v>60910</v>
      </c>
      <c r="V3150" s="248">
        <f>_xll.qlCalendarAdvance(Calendar,U3150,NDays&amp;"D")</f>
        <v>60912</v>
      </c>
      <c r="W3150" s="249">
        <v>2.3818412796281982E-2</v>
      </c>
      <c r="X3150" s="246">
        <v>2.3723271112112698E-2</v>
      </c>
    </row>
    <row r="3151" spans="20:24" x14ac:dyDescent="0.2">
      <c r="T3151" s="247" t="str">
        <f t="shared" si="53"/>
        <v>1w</v>
      </c>
      <c r="U3151" s="245">
        <f>_xll.qlCalendarAdvance(Calendar,U3150,T3151,"f",FALSE)</f>
        <v>60917</v>
      </c>
      <c r="V3151" s="248">
        <f>_xll.qlCalendarAdvance(Calendar,U3151,NDays&amp;"D")</f>
        <v>60919</v>
      </c>
      <c r="W3151" s="249">
        <v>2.3822060554928425E-2</v>
      </c>
      <c r="X3151" s="246">
        <v>2.3726957085958844E-2</v>
      </c>
    </row>
    <row r="3152" spans="20:24" x14ac:dyDescent="0.2">
      <c r="T3152" s="247" t="str">
        <f t="shared" si="53"/>
        <v>1w</v>
      </c>
      <c r="U3152" s="245">
        <f>_xll.qlCalendarAdvance(Calendar,U3151,T3152,"f",FALSE)</f>
        <v>60924</v>
      </c>
      <c r="V3152" s="248">
        <f>_xll.qlCalendarAdvance(Calendar,U3152,NDays&amp;"D")</f>
        <v>60926</v>
      </c>
      <c r="W3152" s="249">
        <v>2.382569902328981E-2</v>
      </c>
      <c r="X3152" s="246">
        <v>2.3730633821834601E-2</v>
      </c>
    </row>
    <row r="3153" spans="20:24" x14ac:dyDescent="0.2">
      <c r="T3153" s="247" t="str">
        <f t="shared" si="53"/>
        <v>1w</v>
      </c>
      <c r="U3153" s="245">
        <f>_xll.qlCalendarAdvance(Calendar,U3152,T3153,"f",FALSE)</f>
        <v>60931</v>
      </c>
      <c r="V3153" s="248">
        <f>_xll.qlCalendarAdvance(Calendar,U3153,NDays&amp;"D")</f>
        <v>60933</v>
      </c>
      <c r="W3153" s="249">
        <v>2.382932820134093E-2</v>
      </c>
      <c r="X3153" s="246">
        <v>2.3734301319660034E-2</v>
      </c>
    </row>
    <row r="3154" spans="20:24" x14ac:dyDescent="0.2">
      <c r="T3154" s="247" t="str">
        <f t="shared" ref="T3154:T3217" si="54">T3153</f>
        <v>1w</v>
      </c>
      <c r="U3154" s="245">
        <f>_xll.qlCalendarAdvance(Calendar,U3153,T3154,"f",FALSE)</f>
        <v>60938</v>
      </c>
      <c r="V3154" s="248">
        <f>_xll.qlCalendarAdvance(Calendar,U3154,NDays&amp;"D")</f>
        <v>60940</v>
      </c>
      <c r="W3154" s="249">
        <v>2.3832948089053122E-2</v>
      </c>
      <c r="X3154" s="246">
        <v>2.3737959579435142E-2</v>
      </c>
    </row>
    <row r="3155" spans="20:24" x14ac:dyDescent="0.2">
      <c r="T3155" s="247" t="str">
        <f t="shared" si="54"/>
        <v>1w</v>
      </c>
      <c r="U3155" s="245">
        <f>_xll.qlCalendarAdvance(Calendar,U3154,T3155,"f",FALSE)</f>
        <v>60945</v>
      </c>
      <c r="V3155" s="248">
        <f>_xll.qlCalendarAdvance(Calendar,U3155,NDays&amp;"D")</f>
        <v>60947</v>
      </c>
      <c r="W3155" s="249">
        <v>2.3836558686403785E-2</v>
      </c>
      <c r="X3155" s="246">
        <v>2.3741608601319797E-2</v>
      </c>
    </row>
    <row r="3156" spans="20:24" x14ac:dyDescent="0.2">
      <c r="T3156" s="247" t="str">
        <f t="shared" si="54"/>
        <v>1w</v>
      </c>
      <c r="U3156" s="245">
        <f>_xll.qlCalendarAdvance(Calendar,U3155,T3156,"f",FALSE)</f>
        <v>60952</v>
      </c>
      <c r="V3156" s="248">
        <f>_xll.qlCalendarAdvance(Calendar,U3156,NDays&amp;"D")</f>
        <v>60954</v>
      </c>
      <c r="W3156" s="249">
        <v>2.3840159993365993E-2</v>
      </c>
      <c r="X3156" s="246">
        <v>2.3745248385154127E-2</v>
      </c>
    </row>
    <row r="3157" spans="20:24" x14ac:dyDescent="0.2">
      <c r="T3157" s="247" t="str">
        <f t="shared" si="54"/>
        <v>1w</v>
      </c>
      <c r="U3157" s="245">
        <f>_xll.qlCalendarAdvance(Calendar,U3156,T3157,"f",FALSE)</f>
        <v>60959</v>
      </c>
      <c r="V3157" s="248">
        <f>_xll.qlCalendarAdvance(Calendar,U3157,NDays&amp;"D")</f>
        <v>60961</v>
      </c>
      <c r="W3157" s="249">
        <v>2.3843752009914544E-2</v>
      </c>
      <c r="X3157" s="246">
        <v>2.3748878930938133E-2</v>
      </c>
    </row>
    <row r="3158" spans="20:24" x14ac:dyDescent="0.2">
      <c r="T3158" s="247" t="str">
        <f t="shared" si="54"/>
        <v>1w</v>
      </c>
      <c r="U3158" s="245">
        <f>_xll.qlCalendarAdvance(Calendar,U3157,T3158,"f",FALSE)</f>
        <v>60966</v>
      </c>
      <c r="V3158" s="248">
        <f>_xll.qlCalendarAdvance(Calendar,U3158,NDays&amp;"D")</f>
        <v>60968</v>
      </c>
      <c r="W3158" s="249">
        <v>2.3845249989991046E-2</v>
      </c>
      <c r="X3158" s="246">
        <v>2.375250023875175E-2</v>
      </c>
    </row>
    <row r="3159" spans="20:24" x14ac:dyDescent="0.2">
      <c r="T3159" s="247" t="str">
        <f t="shared" si="54"/>
        <v>1w</v>
      </c>
      <c r="U3159" s="245">
        <f>_xll.qlCalendarAdvance(Calendar,U3158,T3159,"f",FALSE)</f>
        <v>60973</v>
      </c>
      <c r="V3159" s="248">
        <f>_xll.qlCalendarAdvance(Calendar,U3159,NDays&amp;"D")</f>
        <v>60975</v>
      </c>
      <c r="W3159" s="249">
        <v>2.3848824280689129E-2</v>
      </c>
      <c r="X3159" s="246">
        <v>2.3756112308674915E-2</v>
      </c>
    </row>
    <row r="3160" spans="20:24" x14ac:dyDescent="0.2">
      <c r="T3160" s="247" t="str">
        <f t="shared" si="54"/>
        <v>1w</v>
      </c>
      <c r="U3160" s="245">
        <f>_xll.qlCalendarAdvance(Calendar,U3159,T3160,"f",FALSE)</f>
        <v>60980</v>
      </c>
      <c r="V3160" s="248">
        <f>_xll.qlCalendarAdvance(Calendar,U3160,NDays&amp;"D")</f>
        <v>60982</v>
      </c>
      <c r="W3160" s="249">
        <v>2.3852389282057906E-2</v>
      </c>
      <c r="X3160" s="246">
        <v>2.3759715140547755E-2</v>
      </c>
    </row>
    <row r="3161" spans="20:24" x14ac:dyDescent="0.2">
      <c r="T3161" s="247" t="str">
        <f t="shared" si="54"/>
        <v>1w</v>
      </c>
      <c r="U3161" s="245">
        <f>_xll.qlCalendarAdvance(Calendar,U3160,T3161,"f",FALSE)</f>
        <v>60987</v>
      </c>
      <c r="V3161" s="248">
        <f>_xll.qlCalendarAdvance(Calendar,U3161,NDays&amp;"D")</f>
        <v>60989</v>
      </c>
      <c r="W3161" s="249">
        <v>2.3855944994072509E-2</v>
      </c>
      <c r="X3161" s="246">
        <v>2.3763308734290334E-2</v>
      </c>
    </row>
    <row r="3162" spans="20:24" x14ac:dyDescent="0.2">
      <c r="T3162" s="247" t="str">
        <f t="shared" si="54"/>
        <v>1w</v>
      </c>
      <c r="U3162" s="245">
        <f>_xll.qlCalendarAdvance(Calendar,U3161,T3162,"f",FALSE)</f>
        <v>60994</v>
      </c>
      <c r="V3162" s="248">
        <f>_xll.qlCalendarAdvance(Calendar,U3162,NDays&amp;"D")</f>
        <v>60996</v>
      </c>
      <c r="W3162" s="249">
        <v>2.3859491416708067E-2</v>
      </c>
      <c r="X3162" s="246">
        <v>2.3766893090222396E-2</v>
      </c>
    </row>
    <row r="3163" spans="20:24" x14ac:dyDescent="0.2">
      <c r="T3163" s="247" t="str">
        <f t="shared" si="54"/>
        <v>1w</v>
      </c>
      <c r="U3163" s="245">
        <f>_xll.qlCalendarAdvance(Calendar,U3162,T3163,"f",FALSE)</f>
        <v>61001</v>
      </c>
      <c r="V3163" s="248">
        <f>_xll.qlCalendarAdvance(Calendar,U3163,NDays&amp;"D")</f>
        <v>61003</v>
      </c>
      <c r="W3163" s="249">
        <v>2.3863028549940601E-2</v>
      </c>
      <c r="X3163" s="246">
        <v>2.3770468208264006E-2</v>
      </c>
    </row>
    <row r="3164" spans="20:24" x14ac:dyDescent="0.2">
      <c r="T3164" s="247" t="str">
        <f t="shared" si="54"/>
        <v>1w</v>
      </c>
      <c r="U3164" s="245">
        <f>_xll.qlCalendarAdvance(Calendar,U3163,T3164,"f",FALSE)</f>
        <v>61008</v>
      </c>
      <c r="V3164" s="248">
        <f>_xll.qlCalendarAdvance(Calendar,U3164,NDays&amp;"D")</f>
        <v>61010</v>
      </c>
      <c r="W3164" s="249">
        <v>2.386655639374613E-2</v>
      </c>
      <c r="X3164" s="246">
        <v>2.3774034088095419E-2</v>
      </c>
    </row>
    <row r="3165" spans="20:24" x14ac:dyDescent="0.2">
      <c r="T3165" s="247" t="str">
        <f t="shared" si="54"/>
        <v>1w</v>
      </c>
      <c r="U3165" s="245">
        <f>_xll.qlCalendarAdvance(Calendar,U3164,T3165,"f",FALSE)</f>
        <v>61015</v>
      </c>
      <c r="V3165" s="248">
        <f>_xll.qlCalendarAdvance(Calendar,U3165,NDays&amp;"D")</f>
        <v>61017</v>
      </c>
      <c r="W3165" s="249">
        <v>2.387007494809712E-2</v>
      </c>
      <c r="X3165" s="246">
        <v>2.3777590729796572E-2</v>
      </c>
    </row>
    <row r="3166" spans="20:24" x14ac:dyDescent="0.2">
      <c r="T3166" s="247" t="str">
        <f t="shared" si="54"/>
        <v>1w</v>
      </c>
      <c r="U3166" s="245">
        <f>_xll.qlCalendarAdvance(Calendar,U3165,T3166,"f",FALSE)</f>
        <v>61022</v>
      </c>
      <c r="V3166" s="248">
        <f>_xll.qlCalendarAdvance(Calendar,U3166,NDays&amp;"D")</f>
        <v>61024</v>
      </c>
      <c r="W3166" s="249">
        <v>2.3873584212971366E-2</v>
      </c>
      <c r="X3166" s="246">
        <v>2.3781138133767143E-2</v>
      </c>
    </row>
    <row r="3167" spans="20:24" x14ac:dyDescent="0.2">
      <c r="T3167" s="247" t="str">
        <f t="shared" si="54"/>
        <v>1w</v>
      </c>
      <c r="U3167" s="245">
        <f>_xll.qlCalendarAdvance(Calendar,U3166,T3167,"f",FALSE)</f>
        <v>61029</v>
      </c>
      <c r="V3167" s="248">
        <f>_xll.qlCalendarAdvance(Calendar,U3167,NDays&amp;"D")</f>
        <v>61031</v>
      </c>
      <c r="W3167" s="249">
        <v>2.3876045690710442E-2</v>
      </c>
      <c r="X3167" s="246">
        <v>2.3784676299687391E-2</v>
      </c>
    </row>
    <row r="3168" spans="20:24" x14ac:dyDescent="0.2">
      <c r="T3168" s="247" t="str">
        <f t="shared" si="54"/>
        <v>1w</v>
      </c>
      <c r="U3168" s="245">
        <f>_xll.qlCalendarAdvance(Calendar,U3167,T3168,"f",FALSE)</f>
        <v>61036</v>
      </c>
      <c r="V3168" s="248">
        <f>_xll.qlCalendarAdvance(Calendar,U3168,NDays&amp;"D")</f>
        <v>61038</v>
      </c>
      <c r="W3168" s="249">
        <v>2.3879536809215739E-2</v>
      </c>
      <c r="X3168" s="246">
        <v>2.3788205227557313E-2</v>
      </c>
    </row>
    <row r="3169" spans="20:24" x14ac:dyDescent="0.2">
      <c r="T3169" s="247" t="str">
        <f t="shared" si="54"/>
        <v>1w</v>
      </c>
      <c r="U3169" s="245">
        <f>_xll.qlCalendarAdvance(Calendar,U3168,T3169,"f",FALSE)</f>
        <v>61043</v>
      </c>
      <c r="V3169" s="248">
        <f>_xll.qlCalendarAdvance(Calendar,U3169,NDays&amp;"D")</f>
        <v>61045</v>
      </c>
      <c r="W3169" s="249">
        <v>2.388301863875503E-2</v>
      </c>
      <c r="X3169" s="246">
        <v>2.3791724917376911E-2</v>
      </c>
    </row>
    <row r="3170" spans="20:24" x14ac:dyDescent="0.2">
      <c r="T3170" s="247" t="str">
        <f t="shared" si="54"/>
        <v>1w</v>
      </c>
      <c r="U3170" s="245">
        <f>_xll.qlCalendarAdvance(Calendar,U3169,T3170,"f",FALSE)</f>
        <v>61050</v>
      </c>
      <c r="V3170" s="248">
        <f>_xll.qlCalendarAdvance(Calendar,U3170,NDays&amp;"D")</f>
        <v>61052</v>
      </c>
      <c r="W3170" s="249">
        <v>2.3886491179303176E-2</v>
      </c>
      <c r="X3170" s="246">
        <v>2.3795235369306056E-2</v>
      </c>
    </row>
    <row r="3171" spans="20:24" x14ac:dyDescent="0.2">
      <c r="T3171" s="247" t="str">
        <f t="shared" si="54"/>
        <v>1w</v>
      </c>
      <c r="U3171" s="245">
        <f>_xll.qlCalendarAdvance(Calendar,U3170,T3171,"f",FALSE)</f>
        <v>61057</v>
      </c>
      <c r="V3171" s="248">
        <f>_xll.qlCalendarAdvance(Calendar,U3171,NDays&amp;"D")</f>
        <v>61059</v>
      </c>
      <c r="W3171" s="249">
        <v>2.3893064734019549E-2</v>
      </c>
      <c r="X3171" s="246">
        <v>2.3798736583264812E-2</v>
      </c>
    </row>
    <row r="3172" spans="20:24" x14ac:dyDescent="0.2">
      <c r="T3172" s="247" t="str">
        <f t="shared" si="54"/>
        <v>1w</v>
      </c>
      <c r="U3172" s="245">
        <f>_xll.qlCalendarAdvance(Calendar,U3171,T3172,"f",FALSE)</f>
        <v>61064</v>
      </c>
      <c r="V3172" s="248">
        <f>_xll.qlCalendarAdvance(Calendar,U3172,NDays&amp;"D")</f>
        <v>61066</v>
      </c>
      <c r="W3172" s="249">
        <v>2.3896517391345677E-2</v>
      </c>
      <c r="X3172" s="246">
        <v>2.3802228559173244E-2</v>
      </c>
    </row>
    <row r="3173" spans="20:24" x14ac:dyDescent="0.2">
      <c r="T3173" s="247" t="str">
        <f t="shared" si="54"/>
        <v>1w</v>
      </c>
      <c r="U3173" s="245">
        <f>_xll.qlCalendarAdvance(Calendar,U3172,T3173,"f",FALSE)</f>
        <v>61071</v>
      </c>
      <c r="V3173" s="248">
        <f>_xll.qlCalendarAdvance(Calendar,U3173,NDays&amp;"D")</f>
        <v>61073</v>
      </c>
      <c r="W3173" s="249">
        <v>2.3899960757859339E-2</v>
      </c>
      <c r="X3173" s="246">
        <v>2.3805711297191223E-2</v>
      </c>
    </row>
    <row r="3174" spans="20:24" x14ac:dyDescent="0.2">
      <c r="T3174" s="247" t="str">
        <f t="shared" si="54"/>
        <v>1w</v>
      </c>
      <c r="U3174" s="245">
        <f>_xll.qlCalendarAdvance(Calendar,U3173,T3174,"f",FALSE)</f>
        <v>61078</v>
      </c>
      <c r="V3174" s="248">
        <f>_xll.qlCalendarAdvance(Calendar,U3174,NDays&amp;"D")</f>
        <v>61080</v>
      </c>
      <c r="W3174" s="249">
        <v>2.3903394833533598E-2</v>
      </c>
      <c r="X3174" s="246">
        <v>2.3809184796999006E-2</v>
      </c>
    </row>
    <row r="3175" spans="20:24" x14ac:dyDescent="0.2">
      <c r="T3175" s="247" t="str">
        <f t="shared" si="54"/>
        <v>1w</v>
      </c>
      <c r="U3175" s="245">
        <f>_xll.qlCalendarAdvance(Calendar,U3174,T3175,"f",FALSE)</f>
        <v>61085</v>
      </c>
      <c r="V3175" s="248">
        <f>_xll.qlCalendarAdvance(Calendar,U3175,NDays&amp;"D")</f>
        <v>61087</v>
      </c>
      <c r="W3175" s="249">
        <v>2.3905784590411726E-2</v>
      </c>
      <c r="X3175" s="246">
        <v>2.3816787667236383E-2</v>
      </c>
    </row>
    <row r="3176" spans="20:24" x14ac:dyDescent="0.2">
      <c r="T3176" s="247" t="str">
        <f t="shared" si="54"/>
        <v>1w</v>
      </c>
      <c r="U3176" s="245">
        <f>_xll.qlCalendarAdvance(Calendar,U3175,T3176,"f",FALSE)</f>
        <v>61092</v>
      </c>
      <c r="V3176" s="248">
        <f>_xll.qlCalendarAdvance(Calendar,U3176,NDays&amp;"D")</f>
        <v>61094</v>
      </c>
      <c r="W3176" s="249">
        <v>2.3909200521800025E-2</v>
      </c>
      <c r="X3176" s="246">
        <v>2.3816104082703404E-2</v>
      </c>
    </row>
    <row r="3177" spans="20:24" x14ac:dyDescent="0.2">
      <c r="T3177" s="247" t="str">
        <f t="shared" si="54"/>
        <v>1w</v>
      </c>
      <c r="U3177" s="245">
        <f>_xll.qlCalendarAdvance(Calendar,U3176,T3177,"f",FALSE)</f>
        <v>61099</v>
      </c>
      <c r="V3177" s="248">
        <f>_xll.qlCalendarAdvance(Calendar,U3177,NDays&amp;"D")</f>
        <v>61101</v>
      </c>
      <c r="W3177" s="249">
        <v>2.3912607162865088E-2</v>
      </c>
      <c r="X3177" s="246">
        <v>2.3819549868759893E-2</v>
      </c>
    </row>
    <row r="3178" spans="20:24" x14ac:dyDescent="0.2">
      <c r="T3178" s="247" t="str">
        <f t="shared" si="54"/>
        <v>1w</v>
      </c>
      <c r="U3178" s="245">
        <f>_xll.qlCalendarAdvance(Calendar,U3177,T3178,"f",FALSE)</f>
        <v>61106</v>
      </c>
      <c r="V3178" s="248">
        <f>_xll.qlCalendarAdvance(Calendar,U3178,NDays&amp;"D")</f>
        <v>61108</v>
      </c>
      <c r="W3178" s="249">
        <v>2.3916004513580565E-2</v>
      </c>
      <c r="X3178" s="246">
        <v>2.3822986416606184E-2</v>
      </c>
    </row>
    <row r="3179" spans="20:24" x14ac:dyDescent="0.2">
      <c r="T3179" s="247" t="str">
        <f t="shared" si="54"/>
        <v>1w</v>
      </c>
      <c r="U3179" s="245">
        <f>_xll.qlCalendarAdvance(Calendar,U3178,T3179,"f",FALSE)</f>
        <v>61113</v>
      </c>
      <c r="V3179" s="248">
        <f>_xll.qlCalendarAdvance(Calendar,U3179,NDays&amp;"D")</f>
        <v>61115</v>
      </c>
      <c r="W3179" s="249">
        <v>2.3919392573922733E-2</v>
      </c>
      <c r="X3179" s="246">
        <v>2.3826413726482087E-2</v>
      </c>
    </row>
    <row r="3180" spans="20:24" x14ac:dyDescent="0.2">
      <c r="T3180" s="247" t="str">
        <f t="shared" si="54"/>
        <v>1w</v>
      </c>
      <c r="U3180" s="245">
        <f>_xll.qlCalendarAdvance(Calendar,U3179,T3180,"f",FALSE)</f>
        <v>61120</v>
      </c>
      <c r="V3180" s="248">
        <f>_xll.qlCalendarAdvance(Calendar,U3180,NDays&amp;"D")</f>
        <v>61122</v>
      </c>
      <c r="W3180" s="249">
        <v>2.3923804178649272E-2</v>
      </c>
      <c r="X3180" s="246">
        <v>2.3829831798387602E-2</v>
      </c>
    </row>
    <row r="3181" spans="20:24" x14ac:dyDescent="0.2">
      <c r="T3181" s="247" t="str">
        <f t="shared" si="54"/>
        <v>1w</v>
      </c>
      <c r="U3181" s="245">
        <f>_xll.qlCalendarAdvance(Calendar,U3180,T3181,"f",FALSE)</f>
        <v>61127</v>
      </c>
      <c r="V3181" s="248">
        <f>_xll.qlCalendarAdvance(Calendar,U3181,NDays&amp;"D")</f>
        <v>61129</v>
      </c>
      <c r="W3181" s="249">
        <v>2.3927173217788242E-2</v>
      </c>
      <c r="X3181" s="246">
        <v>2.3833240632402664E-2</v>
      </c>
    </row>
    <row r="3182" spans="20:24" x14ac:dyDescent="0.2">
      <c r="T3182" s="247" t="str">
        <f t="shared" si="54"/>
        <v>1w</v>
      </c>
      <c r="U3182" s="245">
        <f>_xll.qlCalendarAdvance(Calendar,U3181,T3182,"f",FALSE)</f>
        <v>61134</v>
      </c>
      <c r="V3182" s="248">
        <f>_xll.qlCalendarAdvance(Calendar,U3182,NDays&amp;"D")</f>
        <v>61136</v>
      </c>
      <c r="W3182" s="249">
        <v>2.3930532965896662E-2</v>
      </c>
      <c r="X3182" s="246">
        <v>2.3836640228207528E-2</v>
      </c>
    </row>
    <row r="3183" spans="20:24" x14ac:dyDescent="0.2">
      <c r="T3183" s="247" t="str">
        <f t="shared" si="54"/>
        <v>1w</v>
      </c>
      <c r="U3183" s="245">
        <f>_xll.qlCalendarAdvance(Calendar,U3182,T3183,"f",FALSE)</f>
        <v>61141</v>
      </c>
      <c r="V3183" s="248">
        <f>_xll.qlCalendarAdvance(Calendar,U3183,NDays&amp;"D")</f>
        <v>61143</v>
      </c>
      <c r="W3183" s="249">
        <v>2.3933883422950199E-2</v>
      </c>
      <c r="X3183" s="246">
        <v>2.3840030586121941E-2</v>
      </c>
    </row>
    <row r="3184" spans="20:24" x14ac:dyDescent="0.2">
      <c r="T3184" s="247" t="str">
        <f t="shared" si="54"/>
        <v>1w</v>
      </c>
      <c r="U3184" s="245">
        <f>_xll.qlCalendarAdvance(Calendar,U3183,T3184,"f",FALSE)</f>
        <v>61148</v>
      </c>
      <c r="V3184" s="248">
        <f>_xll.qlCalendarAdvance(Calendar,U3184,NDays&amp;"D")</f>
        <v>61150</v>
      </c>
      <c r="W3184" s="249">
        <v>2.3937224588927129E-2</v>
      </c>
      <c r="X3184" s="246">
        <v>2.3843411706145901E-2</v>
      </c>
    </row>
    <row r="3185" spans="20:24" x14ac:dyDescent="0.2">
      <c r="T3185" s="247" t="str">
        <f t="shared" si="54"/>
        <v>1w</v>
      </c>
      <c r="U3185" s="245">
        <f>_xll.qlCalendarAdvance(Calendar,U3184,T3185,"f",FALSE)</f>
        <v>61155</v>
      </c>
      <c r="V3185" s="248">
        <f>_xll.qlCalendarAdvance(Calendar,U3185,NDays&amp;"D")</f>
        <v>61157</v>
      </c>
      <c r="W3185" s="249">
        <v>2.394055646380313E-2</v>
      </c>
      <c r="X3185" s="246">
        <v>2.38467835880396E-2</v>
      </c>
    </row>
    <row r="3186" spans="20:24" x14ac:dyDescent="0.2">
      <c r="T3186" s="247" t="str">
        <f t="shared" si="54"/>
        <v>1w</v>
      </c>
      <c r="U3186" s="245">
        <f>_xll.qlCalendarAdvance(Calendar,U3185,T3186,"f",FALSE)</f>
        <v>61162</v>
      </c>
      <c r="V3186" s="248">
        <f>_xll.qlCalendarAdvance(Calendar,U3186,NDays&amp;"D")</f>
        <v>61164</v>
      </c>
      <c r="W3186" s="249">
        <v>2.3943879047554739E-2</v>
      </c>
      <c r="X3186" s="246">
        <v>2.385014623196291E-2</v>
      </c>
    </row>
    <row r="3187" spans="20:24" x14ac:dyDescent="0.2">
      <c r="T3187" s="247" t="str">
        <f t="shared" si="54"/>
        <v>1w</v>
      </c>
      <c r="U3187" s="245">
        <f>_xll.qlCalendarAdvance(Calendar,U3186,T3187,"f",FALSE)</f>
        <v>61169</v>
      </c>
      <c r="V3187" s="248">
        <f>_xll.qlCalendarAdvance(Calendar,U3187,NDays&amp;"D")</f>
        <v>61171</v>
      </c>
      <c r="W3187" s="249">
        <v>2.3947192340156759E-2</v>
      </c>
      <c r="X3187" s="246">
        <v>2.3853499637755959E-2</v>
      </c>
    </row>
    <row r="3188" spans="20:24" x14ac:dyDescent="0.2">
      <c r="T3188" s="247" t="str">
        <f t="shared" si="54"/>
        <v>1w</v>
      </c>
      <c r="U3188" s="245">
        <f>_xll.qlCalendarAdvance(Calendar,U3187,T3188,"f",FALSE)</f>
        <v>61176</v>
      </c>
      <c r="V3188" s="248">
        <f>_xll.qlCalendarAdvance(Calendar,U3188,NDays&amp;"D")</f>
        <v>61178</v>
      </c>
      <c r="W3188" s="249">
        <v>2.3950496341588336E-2</v>
      </c>
      <c r="X3188" s="246">
        <v>2.3856843805818428E-2</v>
      </c>
    </row>
    <row r="3189" spans="20:24" x14ac:dyDescent="0.2">
      <c r="T3189" s="247" t="str">
        <f t="shared" si="54"/>
        <v>1w</v>
      </c>
      <c r="U3189" s="245">
        <f>_xll.qlCalendarAdvance(Calendar,U3188,T3189,"f",FALSE)</f>
        <v>61183</v>
      </c>
      <c r="V3189" s="248">
        <f>_xll.qlCalendarAdvance(Calendar,U3189,NDays&amp;"D")</f>
        <v>61185</v>
      </c>
      <c r="W3189" s="249">
        <v>2.3953791051824276E-2</v>
      </c>
      <c r="X3189" s="246">
        <v>2.3860178735670701E-2</v>
      </c>
    </row>
    <row r="3190" spans="20:24" x14ac:dyDescent="0.2">
      <c r="T3190" s="247" t="str">
        <f t="shared" si="54"/>
        <v>1w</v>
      </c>
      <c r="U3190" s="245">
        <f>_xll.qlCalendarAdvance(Calendar,U3189,T3190,"f",FALSE)</f>
        <v>61190</v>
      </c>
      <c r="V3190" s="248">
        <f>_xll.qlCalendarAdvance(Calendar,U3190,NDays&amp;"D")</f>
        <v>61192</v>
      </c>
      <c r="W3190" s="249">
        <v>2.3957076470841117E-2</v>
      </c>
      <c r="X3190" s="246">
        <v>2.3863504427552584E-2</v>
      </c>
    </row>
    <row r="3191" spans="20:24" x14ac:dyDescent="0.2">
      <c r="T3191" s="247" t="str">
        <f t="shared" si="54"/>
        <v>1w</v>
      </c>
      <c r="U3191" s="245">
        <f>_xll.qlCalendarAdvance(Calendar,U3190,T3191,"f",FALSE)</f>
        <v>61197</v>
      </c>
      <c r="V3191" s="248">
        <f>_xll.qlCalendarAdvance(Calendar,U3191,NDays&amp;"D")</f>
        <v>61199</v>
      </c>
      <c r="W3191" s="249">
        <v>2.3960352598616268E-2</v>
      </c>
      <c r="X3191" s="246">
        <v>2.3866820881384143E-2</v>
      </c>
    </row>
    <row r="3192" spans="20:24" x14ac:dyDescent="0.2">
      <c r="T3192" s="247" t="str">
        <f t="shared" si="54"/>
        <v>1w</v>
      </c>
      <c r="U3192" s="245">
        <f>_xll.qlCalendarAdvance(Calendar,U3191,T3192,"f",FALSE)</f>
        <v>61204</v>
      </c>
      <c r="V3192" s="248">
        <f>_xll.qlCalendarAdvance(Calendar,U3192,NDays&amp;"D")</f>
        <v>61206</v>
      </c>
      <c r="W3192" s="249">
        <v>2.3963619435127141E-2</v>
      </c>
      <c r="X3192" s="246">
        <v>2.3870128097405185E-2</v>
      </c>
    </row>
    <row r="3193" spans="20:24" x14ac:dyDescent="0.2">
      <c r="T3193" s="247" t="str">
        <f t="shared" si="54"/>
        <v>1w</v>
      </c>
      <c r="U3193" s="245">
        <f>_xll.qlCalendarAdvance(Calendar,U3192,T3193,"f",FALSE)</f>
        <v>61211</v>
      </c>
      <c r="V3193" s="248">
        <f>_xll.qlCalendarAdvance(Calendar,U3193,NDays&amp;"D")</f>
        <v>61213</v>
      </c>
      <c r="W3193" s="249">
        <v>2.3966876980350275E-2</v>
      </c>
      <c r="X3193" s="246">
        <v>2.3873426075136095E-2</v>
      </c>
    </row>
    <row r="3194" spans="20:24" x14ac:dyDescent="0.2">
      <c r="T3194" s="247" t="str">
        <f t="shared" si="54"/>
        <v>1w</v>
      </c>
      <c r="U3194" s="245">
        <f>_xll.qlCalendarAdvance(Calendar,U3193,T3194,"f",FALSE)</f>
        <v>61218</v>
      </c>
      <c r="V3194" s="248">
        <f>_xll.qlCalendarAdvance(Calendar,U3194,NDays&amp;"D")</f>
        <v>61220</v>
      </c>
      <c r="W3194" s="249">
        <v>2.3970125234262209E-2</v>
      </c>
      <c r="X3194" s="246">
        <v>2.3876714815136424E-2</v>
      </c>
    </row>
    <row r="3195" spans="20:24" x14ac:dyDescent="0.2">
      <c r="T3195" s="247" t="str">
        <f t="shared" si="54"/>
        <v>1w</v>
      </c>
      <c r="U3195" s="245">
        <f>_xll.qlCalendarAdvance(Calendar,U3194,T3195,"f",FALSE)</f>
        <v>61225</v>
      </c>
      <c r="V3195" s="248">
        <f>_xll.qlCalendarAdvance(Calendar,U3195,NDays&amp;"D")</f>
        <v>61227</v>
      </c>
      <c r="W3195" s="249">
        <v>2.3973364196839483E-2</v>
      </c>
      <c r="X3195" s="246">
        <v>2.3879994317006492E-2</v>
      </c>
    </row>
    <row r="3196" spans="20:24" x14ac:dyDescent="0.2">
      <c r="T3196" s="247" t="str">
        <f t="shared" si="54"/>
        <v>1w</v>
      </c>
      <c r="U3196" s="245">
        <f>_xll.qlCalendarAdvance(Calendar,U3195,T3196,"f",FALSE)</f>
        <v>61232</v>
      </c>
      <c r="V3196" s="248">
        <f>_xll.qlCalendarAdvance(Calendar,U3196,NDays&amp;"D")</f>
        <v>61234</v>
      </c>
      <c r="W3196" s="249">
        <v>2.3976593868060378E-2</v>
      </c>
      <c r="X3196" s="246">
        <v>2.3883264580906172E-2</v>
      </c>
    </row>
    <row r="3197" spans="20:24" x14ac:dyDescent="0.2">
      <c r="T3197" s="247" t="str">
        <f t="shared" si="54"/>
        <v>1w</v>
      </c>
      <c r="U3197" s="245">
        <f>_xll.qlCalendarAdvance(Calendar,U3196,T3197,"f",FALSE)</f>
        <v>61239</v>
      </c>
      <c r="V3197" s="248">
        <f>_xll.qlCalendarAdvance(Calendar,U3197,NDays&amp;"D")</f>
        <v>61241</v>
      </c>
      <c r="W3197" s="249">
        <v>2.39787889795786E-2</v>
      </c>
      <c r="X3197" s="246">
        <v>2.3886525606755526E-2</v>
      </c>
    </row>
    <row r="3198" spans="20:24" x14ac:dyDescent="0.2">
      <c r="T3198" s="247" t="str">
        <f t="shared" si="54"/>
        <v>1w</v>
      </c>
      <c r="U3198" s="245">
        <f>_xll.qlCalendarAdvance(Calendar,U3197,T3198,"f",FALSE)</f>
        <v>61246</v>
      </c>
      <c r="V3198" s="248">
        <f>_xll.qlCalendarAdvance(Calendar,U3198,NDays&amp;"D")</f>
        <v>61248</v>
      </c>
      <c r="W3198" s="249">
        <v>2.398200051840161E-2</v>
      </c>
      <c r="X3198" s="246">
        <v>2.3889777394634493E-2</v>
      </c>
    </row>
    <row r="3199" spans="20:24" x14ac:dyDescent="0.2">
      <c r="T3199" s="247" t="str">
        <f t="shared" si="54"/>
        <v>1w</v>
      </c>
      <c r="U3199" s="245">
        <f>_xll.qlCalendarAdvance(Calendar,U3198,T3199,"f",FALSE)</f>
        <v>61253</v>
      </c>
      <c r="V3199" s="248">
        <f>_xll.qlCalendarAdvance(Calendar,U3199,NDays&amp;"D")</f>
        <v>61255</v>
      </c>
      <c r="W3199" s="249">
        <v>2.3985202766389265E-2</v>
      </c>
      <c r="X3199" s="246">
        <v>2.3893019944623006E-2</v>
      </c>
    </row>
    <row r="3200" spans="20:24" x14ac:dyDescent="0.2">
      <c r="T3200" s="247" t="str">
        <f t="shared" si="54"/>
        <v>1w</v>
      </c>
      <c r="U3200" s="245">
        <f>_xll.qlCalendarAdvance(Calendar,U3199,T3200,"f",FALSE)</f>
        <v>61260</v>
      </c>
      <c r="V3200" s="248">
        <f>_xll.qlCalendarAdvance(Calendar,U3200,NDays&amp;"D")</f>
        <v>61262</v>
      </c>
      <c r="W3200" s="249">
        <v>2.398839572351873E-2</v>
      </c>
      <c r="X3200" s="246">
        <v>2.3896253256401323E-2</v>
      </c>
    </row>
    <row r="3201" spans="20:24" x14ac:dyDescent="0.2">
      <c r="T3201" s="247" t="str">
        <f t="shared" si="54"/>
        <v>1w</v>
      </c>
      <c r="U3201" s="245">
        <f>_xll.qlCalendarAdvance(Calendar,U3200,T3201,"f",FALSE)</f>
        <v>61267</v>
      </c>
      <c r="V3201" s="248">
        <f>_xll.qlCalendarAdvance(Calendar,U3201,NDays&amp;"D")</f>
        <v>61269</v>
      </c>
      <c r="W3201" s="249">
        <v>2.399157938976804E-2</v>
      </c>
      <c r="X3201" s="246">
        <v>2.3899477330289187E-2</v>
      </c>
    </row>
    <row r="3202" spans="20:24" x14ac:dyDescent="0.2">
      <c r="T3202" s="247" t="str">
        <f t="shared" si="54"/>
        <v>1w</v>
      </c>
      <c r="U3202" s="245">
        <f>_xll.qlCalendarAdvance(Calendar,U3201,T3202,"f",FALSE)</f>
        <v>61274</v>
      </c>
      <c r="V3202" s="248">
        <f>_xll.qlCalendarAdvance(Calendar,U3202,NDays&amp;"D")</f>
        <v>61276</v>
      </c>
      <c r="W3202" s="249">
        <v>2.3995776775608896E-2</v>
      </c>
      <c r="X3202" s="246">
        <v>2.3902692166126727E-2</v>
      </c>
    </row>
    <row r="3203" spans="20:24" x14ac:dyDescent="0.2">
      <c r="T3203" s="247" t="str">
        <f t="shared" si="54"/>
        <v>1w</v>
      </c>
      <c r="U3203" s="245">
        <f>_xll.qlCalendarAdvance(Calendar,U3202,T3203,"f",FALSE)</f>
        <v>61281</v>
      </c>
      <c r="V3203" s="248">
        <f>_xll.qlCalendarAdvance(Calendar,U3203,NDays&amp;"D")</f>
        <v>61283</v>
      </c>
      <c r="W3203" s="249">
        <v>2.3998941406694778E-2</v>
      </c>
      <c r="X3203" s="246">
        <v>2.3905897763993877E-2</v>
      </c>
    </row>
    <row r="3204" spans="20:24" x14ac:dyDescent="0.2">
      <c r="T3204" s="247" t="str">
        <f t="shared" si="54"/>
        <v>1w</v>
      </c>
      <c r="U3204" s="245">
        <f>_xll.qlCalendarAdvance(Calendar,U3203,T3204,"f",FALSE)</f>
        <v>61288</v>
      </c>
      <c r="V3204" s="248">
        <f>_xll.qlCalendarAdvance(Calendar,U3204,NDays&amp;"D")</f>
        <v>61290</v>
      </c>
      <c r="W3204" s="249">
        <v>2.4002096746240945E-2</v>
      </c>
      <c r="X3204" s="246">
        <v>2.390909412389064E-2</v>
      </c>
    </row>
    <row r="3205" spans="20:24" x14ac:dyDescent="0.2">
      <c r="T3205" s="247" t="str">
        <f t="shared" si="54"/>
        <v>1w</v>
      </c>
      <c r="U3205" s="245">
        <f>_xll.qlCalendarAdvance(Calendar,U3204,T3205,"f",FALSE)</f>
        <v>61295</v>
      </c>
      <c r="V3205" s="248">
        <f>_xll.qlCalendarAdvance(Calendar,U3205,NDays&amp;"D")</f>
        <v>61297</v>
      </c>
      <c r="W3205" s="249">
        <v>2.4005242794225678E-2</v>
      </c>
      <c r="X3205" s="246">
        <v>2.3912281245577205E-2</v>
      </c>
    </row>
    <row r="3206" spans="20:24" x14ac:dyDescent="0.2">
      <c r="T3206" s="247" t="str">
        <f t="shared" si="54"/>
        <v>1w</v>
      </c>
      <c r="U3206" s="245">
        <f>_xll.qlCalendarAdvance(Calendar,U3205,T3206,"f",FALSE)</f>
        <v>61302</v>
      </c>
      <c r="V3206" s="248">
        <f>_xll.qlCalendarAdvance(Calendar,U3206,NDays&amp;"D")</f>
        <v>61304</v>
      </c>
      <c r="W3206" s="249">
        <v>2.4008379550628997E-2</v>
      </c>
      <c r="X3206" s="246">
        <v>2.391545912953319E-2</v>
      </c>
    </row>
    <row r="3207" spans="20:24" x14ac:dyDescent="0.2">
      <c r="T3207" s="247" t="str">
        <f t="shared" si="54"/>
        <v>1w</v>
      </c>
      <c r="U3207" s="245">
        <f>_xll.qlCalendarAdvance(Calendar,U3206,T3207,"f",FALSE)</f>
        <v>61309</v>
      </c>
      <c r="V3207" s="248">
        <f>_xll.qlCalendarAdvance(Calendar,U3207,NDays&amp;"D")</f>
        <v>61311</v>
      </c>
      <c r="W3207" s="249">
        <v>2.4011507015428306E-2</v>
      </c>
      <c r="X3207" s="246">
        <v>2.3918627775278978E-2</v>
      </c>
    </row>
    <row r="3208" spans="20:24" x14ac:dyDescent="0.2">
      <c r="T3208" s="247" t="str">
        <f t="shared" si="54"/>
        <v>1w</v>
      </c>
      <c r="U3208" s="245">
        <f>_xll.qlCalendarAdvance(Calendar,U3207,T3208,"f",FALSE)</f>
        <v>61316</v>
      </c>
      <c r="V3208" s="248">
        <f>_xll.qlCalendarAdvance(Calendar,U3208,NDays&amp;"D")</f>
        <v>61318</v>
      </c>
      <c r="W3208" s="249">
        <v>2.4014625188597542E-2</v>
      </c>
      <c r="X3208" s="246">
        <v>2.3921787183054377E-2</v>
      </c>
    </row>
    <row r="3209" spans="20:24" x14ac:dyDescent="0.2">
      <c r="T3209" s="247" t="str">
        <f t="shared" si="54"/>
        <v>1w</v>
      </c>
      <c r="U3209" s="245">
        <f>_xll.qlCalendarAdvance(Calendar,U3208,T3209,"f",FALSE)</f>
        <v>61323</v>
      </c>
      <c r="V3209" s="248">
        <f>_xll.qlCalendarAdvance(Calendar,U3209,NDays&amp;"D")</f>
        <v>61325</v>
      </c>
      <c r="W3209" s="249">
        <v>2.4017734070120193E-2</v>
      </c>
      <c r="X3209" s="246">
        <v>2.3924937352939324E-2</v>
      </c>
    </row>
    <row r="3210" spans="20:24" x14ac:dyDescent="0.2">
      <c r="T3210" s="247" t="str">
        <f t="shared" si="54"/>
        <v>1w</v>
      </c>
      <c r="U3210" s="245">
        <f>_xll.qlCalendarAdvance(Calendar,U3209,T3210,"f",FALSE)</f>
        <v>61330</v>
      </c>
      <c r="V3210" s="248">
        <f>_xll.qlCalendarAdvance(Calendar,U3210,NDays&amp;"D")</f>
        <v>61332</v>
      </c>
      <c r="W3210" s="249">
        <v>2.4019814292761264E-2</v>
      </c>
      <c r="X3210" s="246">
        <v>2.3928078284853882E-2</v>
      </c>
    </row>
    <row r="3211" spans="20:24" x14ac:dyDescent="0.2">
      <c r="T3211" s="247" t="str">
        <f t="shared" si="54"/>
        <v>1w</v>
      </c>
      <c r="U3211" s="245">
        <f>_xll.qlCalendarAdvance(Calendar,U3210,T3211,"f",FALSE)</f>
        <v>61337</v>
      </c>
      <c r="V3211" s="248">
        <f>_xll.qlCalendarAdvance(Calendar,U3211,NDays&amp;"D")</f>
        <v>61339</v>
      </c>
      <c r="W3211" s="249">
        <v>2.4022905048995947E-2</v>
      </c>
      <c r="X3211" s="246">
        <v>2.3931209978638179E-2</v>
      </c>
    </row>
    <row r="3212" spans="20:24" x14ac:dyDescent="0.2">
      <c r="T3212" s="247" t="str">
        <f t="shared" si="54"/>
        <v>1w</v>
      </c>
      <c r="U3212" s="245">
        <f>_xll.qlCalendarAdvance(Calendar,U3211,T3212,"f",FALSE)</f>
        <v>61344</v>
      </c>
      <c r="V3212" s="248">
        <f>_xll.qlCalendarAdvance(Calendar,U3212,NDays&amp;"D")</f>
        <v>61346</v>
      </c>
      <c r="W3212" s="249">
        <v>2.4025986514107155E-2</v>
      </c>
      <c r="X3212" s="246">
        <v>2.3934332434452088E-2</v>
      </c>
    </row>
    <row r="3213" spans="20:24" x14ac:dyDescent="0.2">
      <c r="T3213" s="247" t="str">
        <f t="shared" si="54"/>
        <v>1w</v>
      </c>
      <c r="U3213" s="245">
        <f>_xll.qlCalendarAdvance(Calendar,U3212,T3213,"f",FALSE)</f>
        <v>61351</v>
      </c>
      <c r="V3213" s="248">
        <f>_xll.qlCalendarAdvance(Calendar,U3213,NDays&amp;"D")</f>
        <v>61353</v>
      </c>
      <c r="W3213" s="249">
        <v>2.4029058688079075E-2</v>
      </c>
      <c r="X3213" s="246">
        <v>2.3937445652295608E-2</v>
      </c>
    </row>
    <row r="3214" spans="20:24" x14ac:dyDescent="0.2">
      <c r="T3214" s="247" t="str">
        <f t="shared" si="54"/>
        <v>1w</v>
      </c>
      <c r="U3214" s="245">
        <f>_xll.qlCalendarAdvance(Calendar,U3213,T3214,"f",FALSE)</f>
        <v>61358</v>
      </c>
      <c r="V3214" s="248">
        <f>_xll.qlCalendarAdvance(Calendar,U3214,NDays&amp;"D")</f>
        <v>61360</v>
      </c>
      <c r="W3214" s="249">
        <v>2.4032121570881845E-2</v>
      </c>
      <c r="X3214" s="246">
        <v>2.3940549632008867E-2</v>
      </c>
    </row>
    <row r="3215" spans="20:24" x14ac:dyDescent="0.2">
      <c r="T3215" s="247" t="str">
        <f t="shared" si="54"/>
        <v>1w</v>
      </c>
      <c r="U3215" s="245">
        <f>_xll.qlCalendarAdvance(Calendar,U3214,T3215,"f",FALSE)</f>
        <v>61365</v>
      </c>
      <c r="V3215" s="248">
        <f>_xll.qlCalendarAdvance(Calendar,U3215,NDays&amp;"D")</f>
        <v>61367</v>
      </c>
      <c r="W3215" s="249">
        <v>2.4035175162499652E-2</v>
      </c>
      <c r="X3215" s="246">
        <v>2.3943644373671802E-2</v>
      </c>
    </row>
    <row r="3216" spans="20:24" x14ac:dyDescent="0.2">
      <c r="T3216" s="247" t="str">
        <f t="shared" si="54"/>
        <v>1w</v>
      </c>
      <c r="U3216" s="245">
        <f>_xll.qlCalendarAdvance(Calendar,U3215,T3216,"f",FALSE)</f>
        <v>61372</v>
      </c>
      <c r="V3216" s="248">
        <f>_xll.qlCalendarAdvance(Calendar,U3216,NDays&amp;"D")</f>
        <v>61374</v>
      </c>
      <c r="W3216" s="249">
        <v>2.403821946291141E-2</v>
      </c>
      <c r="X3216" s="246">
        <v>2.394672987752422E-2</v>
      </c>
    </row>
    <row r="3217" spans="20:24" x14ac:dyDescent="0.2">
      <c r="T3217" s="247" t="str">
        <f t="shared" si="54"/>
        <v>1w</v>
      </c>
      <c r="U3217" s="245">
        <f>_xll.qlCalendarAdvance(Calendar,U3216,T3217,"f",FALSE)</f>
        <v>61379</v>
      </c>
      <c r="V3217" s="248">
        <f>_xll.qlCalendarAdvance(Calendar,U3217,NDays&amp;"D")</f>
        <v>61381</v>
      </c>
      <c r="W3217" s="249">
        <v>2.4041254472093404E-2</v>
      </c>
      <c r="X3217" s="246">
        <v>2.3949806143246377E-2</v>
      </c>
    </row>
    <row r="3218" spans="20:24" x14ac:dyDescent="0.2">
      <c r="T3218" s="247" t="str">
        <f t="shared" ref="T3218:T3281" si="55">T3217</f>
        <v>1w</v>
      </c>
      <c r="U3218" s="245">
        <f>_xll.qlCalendarAdvance(Calendar,U3217,T3218,"f",FALSE)</f>
        <v>61386</v>
      </c>
      <c r="V3218" s="248">
        <f>_xll.qlCalendarAdvance(Calendar,U3218,NDays&amp;"D")</f>
        <v>61388</v>
      </c>
      <c r="W3218" s="249">
        <v>2.4044280190026312E-2</v>
      </c>
      <c r="X3218" s="246">
        <v>2.3952873170998146E-2</v>
      </c>
    </row>
    <row r="3219" spans="20:24" x14ac:dyDescent="0.2">
      <c r="T3219" s="247" t="str">
        <f t="shared" si="55"/>
        <v>1w</v>
      </c>
      <c r="U3219" s="245">
        <f>_xll.qlCalendarAdvance(Calendar,U3218,T3219,"f",FALSE)</f>
        <v>61393</v>
      </c>
      <c r="V3219" s="248">
        <f>_xll.qlCalendarAdvance(Calendar,U3219,NDays&amp;"D")</f>
        <v>61395</v>
      </c>
      <c r="W3219" s="249">
        <v>2.4046281394406677E-2</v>
      </c>
      <c r="X3219" s="246">
        <v>2.3955930960619654E-2</v>
      </c>
    </row>
    <row r="3220" spans="20:24" x14ac:dyDescent="0.2">
      <c r="T3220" s="247" t="str">
        <f t="shared" si="55"/>
        <v>1w</v>
      </c>
      <c r="U3220" s="245">
        <f>_xll.qlCalendarAdvance(Calendar,U3219,T3220,"f",FALSE)</f>
        <v>61400</v>
      </c>
      <c r="V3220" s="248">
        <f>_xll.qlCalendarAdvance(Calendar,U3220,NDays&amp;"D")</f>
        <v>61402</v>
      </c>
      <c r="W3220" s="249">
        <v>2.4049288993130524E-2</v>
      </c>
      <c r="X3220" s="246">
        <v>2.3958979512510581E-2</v>
      </c>
    </row>
    <row r="3221" spans="20:24" x14ac:dyDescent="0.2">
      <c r="T3221" s="247" t="str">
        <f t="shared" si="55"/>
        <v>1w</v>
      </c>
      <c r="U3221" s="245">
        <f>_xll.qlCalendarAdvance(Calendar,U3220,T3221,"f",FALSE)</f>
        <v>61407</v>
      </c>
      <c r="V3221" s="248">
        <f>_xll.qlCalendarAdvance(Calendar,U3221,NDays&amp;"D")</f>
        <v>61409</v>
      </c>
      <c r="W3221" s="249">
        <v>2.4052287301135067E-2</v>
      </c>
      <c r="X3221" s="246">
        <v>2.3962018826271247E-2</v>
      </c>
    </row>
    <row r="3222" spans="20:24" x14ac:dyDescent="0.2">
      <c r="T3222" s="247" t="str">
        <f t="shared" si="55"/>
        <v>1w</v>
      </c>
      <c r="U3222" s="245">
        <f>_xll.qlCalendarAdvance(Calendar,U3221,T3222,"f",FALSE)</f>
        <v>61414</v>
      </c>
      <c r="V3222" s="248">
        <f>_xll.qlCalendarAdvance(Calendar,U3222,NDays&amp;"D")</f>
        <v>61416</v>
      </c>
      <c r="W3222" s="249">
        <v>2.4055276318398988E-2</v>
      </c>
      <c r="X3222" s="246">
        <v>2.3965048901821717E-2</v>
      </c>
    </row>
    <row r="3223" spans="20:24" x14ac:dyDescent="0.2">
      <c r="T3223" s="247" t="str">
        <f t="shared" si="55"/>
        <v>1w</v>
      </c>
      <c r="U3223" s="245">
        <f>_xll.qlCalendarAdvance(Calendar,U3222,T3223,"f",FALSE)</f>
        <v>61421</v>
      </c>
      <c r="V3223" s="248">
        <f>_xll.qlCalendarAdvance(Calendar,U3223,NDays&amp;"D")</f>
        <v>61423</v>
      </c>
      <c r="W3223" s="249">
        <v>2.406028277604572E-2</v>
      </c>
      <c r="X3223" s="246">
        <v>2.3968069739401798E-2</v>
      </c>
    </row>
    <row r="3224" spans="20:24" x14ac:dyDescent="0.2">
      <c r="T3224" s="247" t="str">
        <f t="shared" si="55"/>
        <v>1w</v>
      </c>
      <c r="U3224" s="245">
        <f>_xll.qlCalendarAdvance(Calendar,U3223,T3224,"f",FALSE)</f>
        <v>61428</v>
      </c>
      <c r="V3224" s="248">
        <f>_xll.qlCalendarAdvance(Calendar,U3224,NDays&amp;"D")</f>
        <v>61430</v>
      </c>
      <c r="W3224" s="249">
        <v>2.4063252280223924E-2</v>
      </c>
      <c r="X3224" s="246">
        <v>2.3971081339251299E-2</v>
      </c>
    </row>
    <row r="3225" spans="20:24" x14ac:dyDescent="0.2">
      <c r="T3225" s="247" t="str">
        <f t="shared" si="55"/>
        <v>1w</v>
      </c>
      <c r="U3225" s="245">
        <f>_xll.qlCalendarAdvance(Calendar,U3224,T3225,"f",FALSE)</f>
        <v>61435</v>
      </c>
      <c r="V3225" s="248">
        <f>_xll.qlCalendarAdvance(Calendar,U3225,NDays&amp;"D")</f>
        <v>61437</v>
      </c>
      <c r="W3225" s="249">
        <v>2.4066212492408867E-2</v>
      </c>
      <c r="X3225" s="246">
        <v>2.3974083700970539E-2</v>
      </c>
    </row>
    <row r="3226" spans="20:24" x14ac:dyDescent="0.2">
      <c r="T3226" s="247" t="str">
        <f t="shared" si="55"/>
        <v>1w</v>
      </c>
      <c r="U3226" s="245">
        <f>_xll.qlCalendarAdvance(Calendar,U3225,T3226,"f",FALSE)</f>
        <v>61442</v>
      </c>
      <c r="V3226" s="248">
        <f>_xll.qlCalendarAdvance(Calendar,U3226,NDays&amp;"D")</f>
        <v>61444</v>
      </c>
      <c r="W3226" s="249">
        <v>2.4069163412577088E-2</v>
      </c>
      <c r="X3226" s="246">
        <v>2.3977076824479582E-2</v>
      </c>
    </row>
    <row r="3227" spans="20:24" x14ac:dyDescent="0.2">
      <c r="T3227" s="247" t="str">
        <f t="shared" si="55"/>
        <v>1w</v>
      </c>
      <c r="U3227" s="245">
        <f>_xll.qlCalendarAdvance(Calendar,U3226,T3227,"f",FALSE)</f>
        <v>61449</v>
      </c>
      <c r="V3227" s="248">
        <f>_xll.qlCalendarAdvance(Calendar,U3227,NDays&amp;"D")</f>
        <v>61451</v>
      </c>
      <c r="W3227" s="249">
        <v>2.4072105040713818E-2</v>
      </c>
      <c r="X3227" s="246">
        <v>2.3980060710178108E-2</v>
      </c>
    </row>
    <row r="3228" spans="20:24" x14ac:dyDescent="0.2">
      <c r="T3228" s="247" t="str">
        <f t="shared" si="55"/>
        <v>1w</v>
      </c>
      <c r="U3228" s="245">
        <f>_xll.qlCalendarAdvance(Calendar,U3227,T3228,"f",FALSE)</f>
        <v>61456</v>
      </c>
      <c r="V3228" s="248">
        <f>_xll.qlCalendarAdvance(Calendar,U3228,NDays&amp;"D")</f>
        <v>61458</v>
      </c>
      <c r="W3228" s="249">
        <v>2.4074026345952439E-2</v>
      </c>
      <c r="X3228" s="246">
        <v>2.398303535782631E-2</v>
      </c>
    </row>
    <row r="3229" spans="20:24" x14ac:dyDescent="0.2">
      <c r="T3229" s="247" t="str">
        <f t="shared" si="55"/>
        <v>1w</v>
      </c>
      <c r="U3229" s="245">
        <f>_xll.qlCalendarAdvance(Calendar,U3228,T3229,"f",FALSE)</f>
        <v>61463</v>
      </c>
      <c r="V3229" s="248">
        <f>_xll.qlCalendarAdvance(Calendar,U3229,NDays&amp;"D")</f>
        <v>61465</v>
      </c>
      <c r="W3229" s="249">
        <v>2.4076949858746047E-2</v>
      </c>
      <c r="X3229" s="246">
        <v>2.3986000767424187E-2</v>
      </c>
    </row>
    <row r="3230" spans="20:24" x14ac:dyDescent="0.2">
      <c r="T3230" s="247" t="str">
        <f t="shared" si="55"/>
        <v>1w</v>
      </c>
      <c r="U3230" s="245">
        <f>_xll.qlCalendarAdvance(Calendar,U3229,T3230,"f",FALSE)</f>
        <v>61470</v>
      </c>
      <c r="V3230" s="248">
        <f>_xll.qlCalendarAdvance(Calendar,U3230,NDays&amp;"D")</f>
        <v>61472</v>
      </c>
      <c r="W3230" s="249">
        <v>2.407986408004022E-2</v>
      </c>
      <c r="X3230" s="246">
        <v>2.3992997167779251E-2</v>
      </c>
    </row>
    <row r="3231" spans="20:24" x14ac:dyDescent="0.2">
      <c r="T3231" s="247" t="str">
        <f t="shared" si="55"/>
        <v>1w</v>
      </c>
      <c r="U3231" s="245">
        <f>_xll.qlCalendarAdvance(Calendar,U3230,T3231,"f",FALSE)</f>
        <v>61477</v>
      </c>
      <c r="V3231" s="248">
        <f>_xll.qlCalendarAdvance(Calendar,U3231,NDays&amp;"D")</f>
        <v>61479</v>
      </c>
      <c r="W3231" s="249">
        <v>2.408276900981475E-2</v>
      </c>
      <c r="X3231" s="246">
        <v>2.3991903872548903E-2</v>
      </c>
    </row>
    <row r="3232" spans="20:24" x14ac:dyDescent="0.2">
      <c r="T3232" s="247" t="str">
        <f t="shared" si="55"/>
        <v>1w</v>
      </c>
      <c r="U3232" s="245">
        <f>_xll.qlCalendarAdvance(Calendar,U3231,T3232,"f",FALSE)</f>
        <v>61485</v>
      </c>
      <c r="V3232" s="248">
        <f>_xll.qlCalendarAdvance(Calendar,U3232,NDays&amp;"D")</f>
        <v>61487</v>
      </c>
      <c r="W3232" s="249">
        <v>2.408910480626527E-2</v>
      </c>
      <c r="X3232" s="246">
        <v>2.3997278609710904E-2</v>
      </c>
    </row>
    <row r="3233" spans="20:24" x14ac:dyDescent="0.2">
      <c r="T3233" s="247" t="str">
        <f t="shared" si="55"/>
        <v>1w</v>
      </c>
      <c r="U3233" s="245">
        <f>_xll.qlCalendarAdvance(Calendar,U3232,T3233,"f",FALSE)</f>
        <v>61492</v>
      </c>
      <c r="V3233" s="248">
        <f>_xll.qlCalendarAdvance(Calendar,U3233,NDays&amp;"D")</f>
        <v>61494</v>
      </c>
      <c r="W3233" s="249">
        <v>2.4091988411540682E-2</v>
      </c>
      <c r="X3233" s="246">
        <v>2.4000204817919979E-2</v>
      </c>
    </row>
    <row r="3234" spans="20:24" x14ac:dyDescent="0.2">
      <c r="T3234" s="247" t="str">
        <f t="shared" si="55"/>
        <v>1w</v>
      </c>
      <c r="U3234" s="245">
        <f>_xll.qlCalendarAdvance(Calendar,U3233,T3234,"f",FALSE)</f>
        <v>61499</v>
      </c>
      <c r="V3234" s="248">
        <f>_xll.qlCalendarAdvance(Calendar,U3234,NDays&amp;"D")</f>
        <v>61501</v>
      </c>
      <c r="W3234" s="249">
        <v>2.4094862723436413E-2</v>
      </c>
      <c r="X3234" s="246">
        <v>2.4003121786959625E-2</v>
      </c>
    </row>
    <row r="3235" spans="20:24" x14ac:dyDescent="0.2">
      <c r="T3235" s="247" t="str">
        <f t="shared" si="55"/>
        <v>1w</v>
      </c>
      <c r="U3235" s="245">
        <f>_xll.qlCalendarAdvance(Calendar,U3234,T3235,"f",FALSE)</f>
        <v>61506</v>
      </c>
      <c r="V3235" s="248">
        <f>_xll.qlCalendarAdvance(Calendar,U3235,NDays&amp;"D")</f>
        <v>61508</v>
      </c>
      <c r="W3235" s="249">
        <v>2.40977277419295E-2</v>
      </c>
      <c r="X3235" s="246">
        <v>2.400602951672326E-2</v>
      </c>
    </row>
    <row r="3236" spans="20:24" x14ac:dyDescent="0.2">
      <c r="T3236" s="247" t="str">
        <f t="shared" si="55"/>
        <v>1w</v>
      </c>
      <c r="U3236" s="245">
        <f>_xll.qlCalendarAdvance(Calendar,U3235,T3236,"f",FALSE)</f>
        <v>61513</v>
      </c>
      <c r="V3236" s="248">
        <f>_xll.qlCalendarAdvance(Calendar,U3236,NDays&amp;"D")</f>
        <v>61515</v>
      </c>
      <c r="W3236" s="249">
        <v>2.4100583467003785E-2</v>
      </c>
      <c r="X3236" s="246">
        <v>2.4008928007370756E-2</v>
      </c>
    </row>
    <row r="3237" spans="20:24" x14ac:dyDescent="0.2">
      <c r="T3237" s="247" t="str">
        <f t="shared" si="55"/>
        <v>1w</v>
      </c>
      <c r="U3237" s="245">
        <f>_xll.qlCalendarAdvance(Calendar,U3236,T3237,"f",FALSE)</f>
        <v>61520</v>
      </c>
      <c r="V3237" s="248">
        <f>_xll.qlCalendarAdvance(Calendar,U3237,NDays&amp;"D")</f>
        <v>61522</v>
      </c>
      <c r="W3237" s="249">
        <v>2.410342989863631E-2</v>
      </c>
      <c r="X3237" s="246">
        <v>2.4011817258822177E-2</v>
      </c>
    </row>
    <row r="3238" spans="20:24" x14ac:dyDescent="0.2">
      <c r="T3238" s="247" t="str">
        <f t="shared" si="55"/>
        <v>1w</v>
      </c>
      <c r="U3238" s="245">
        <f>_xll.qlCalendarAdvance(Calendar,U3237,T3238,"f",FALSE)</f>
        <v>61527</v>
      </c>
      <c r="V3238" s="248">
        <f>_xll.qlCalendarAdvance(Calendar,U3238,NDays&amp;"D")</f>
        <v>61529</v>
      </c>
      <c r="W3238" s="249">
        <v>2.4106267036804113E-2</v>
      </c>
      <c r="X3238" s="246">
        <v>2.4014697271050878E-2</v>
      </c>
    </row>
    <row r="3239" spans="20:24" x14ac:dyDescent="0.2">
      <c r="T3239" s="247" t="str">
        <f t="shared" si="55"/>
        <v>1w</v>
      </c>
      <c r="U3239" s="245">
        <f>_xll.qlCalendarAdvance(Calendar,U3238,T3239,"f",FALSE)</f>
        <v>61534</v>
      </c>
      <c r="V3239" s="248">
        <f>_xll.qlCalendarAdvance(Calendar,U3239,NDays&amp;"D")</f>
        <v>61536</v>
      </c>
      <c r="W3239" s="249">
        <v>2.4109094881490187E-2</v>
      </c>
      <c r="X3239" s="246">
        <v>2.4017568044110149E-2</v>
      </c>
    </row>
    <row r="3240" spans="20:24" x14ac:dyDescent="0.2">
      <c r="T3240" s="247" t="str">
        <f t="shared" si="55"/>
        <v>1w</v>
      </c>
      <c r="U3240" s="245">
        <f>_xll.qlCalendarAdvance(Calendar,U3239,T3240,"f",FALSE)</f>
        <v>61541</v>
      </c>
      <c r="V3240" s="248">
        <f>_xll.qlCalendarAdvance(Calendar,U3240,NDays&amp;"D")</f>
        <v>61543</v>
      </c>
      <c r="W3240" s="249">
        <v>2.4108897541108492E-2</v>
      </c>
      <c r="X3240" s="246">
        <v>2.402042957789341E-2</v>
      </c>
    </row>
    <row r="3241" spans="20:24" x14ac:dyDescent="0.2">
      <c r="T3241" s="247" t="str">
        <f t="shared" si="55"/>
        <v>1w</v>
      </c>
      <c r="U3241" s="245">
        <f>_xll.qlCalendarAdvance(Calendar,U3240,T3241,"f",FALSE)</f>
        <v>61548</v>
      </c>
      <c r="V3241" s="248">
        <f>_xll.qlCalendarAdvance(Calendar,U3241,NDays&amp;"D")</f>
        <v>61550</v>
      </c>
      <c r="W3241" s="249">
        <v>2.4114722690330413E-2</v>
      </c>
      <c r="X3241" s="246">
        <v>2.4023281872533886E-2</v>
      </c>
    </row>
    <row r="3242" spans="20:24" x14ac:dyDescent="0.2">
      <c r="T3242" s="247" t="str">
        <f t="shared" si="55"/>
        <v>1w</v>
      </c>
      <c r="U3242" s="245">
        <f>_xll.qlCalendarAdvance(Calendar,U3241,T3242,"f",FALSE)</f>
        <v>61555</v>
      </c>
      <c r="V3242" s="248">
        <f>_xll.qlCalendarAdvance(Calendar,U3242,NDays&amp;"D")</f>
        <v>61557</v>
      </c>
      <c r="W3242" s="249">
        <v>2.4117522654443741E-2</v>
      </c>
      <c r="X3242" s="246">
        <v>2.4026124927924997E-2</v>
      </c>
    </row>
    <row r="3243" spans="20:24" x14ac:dyDescent="0.2">
      <c r="T3243" s="247" t="str">
        <f t="shared" si="55"/>
        <v>1w</v>
      </c>
      <c r="U3243" s="245">
        <f>_xll.qlCalendarAdvance(Calendar,U3242,T3243,"f",FALSE)</f>
        <v>61562</v>
      </c>
      <c r="V3243" s="248">
        <f>_xll.qlCalendarAdvance(Calendar,U3243,NDays&amp;"D")</f>
        <v>61564</v>
      </c>
      <c r="W3243" s="249">
        <v>2.4120313324992006E-2</v>
      </c>
      <c r="X3243" s="246">
        <v>2.4028958744146678E-2</v>
      </c>
    </row>
    <row r="3244" spans="20:24" x14ac:dyDescent="0.2">
      <c r="T3244" s="247" t="str">
        <f t="shared" si="55"/>
        <v>1w</v>
      </c>
      <c r="U3244" s="245">
        <f>_xll.qlCalendarAdvance(Calendar,U3243,T3244,"f",FALSE)</f>
        <v>61569</v>
      </c>
      <c r="V3244" s="248">
        <f>_xll.qlCalendarAdvance(Calendar,U3244,NDays&amp;"D")</f>
        <v>61571</v>
      </c>
      <c r="W3244" s="249">
        <v>2.4123094701957348E-2</v>
      </c>
      <c r="X3244" s="246">
        <v>2.4031783321172284E-2</v>
      </c>
    </row>
    <row r="3245" spans="20:24" x14ac:dyDescent="0.2">
      <c r="T3245" s="247" t="str">
        <f t="shared" si="55"/>
        <v>1w</v>
      </c>
      <c r="U3245" s="245">
        <f>_xll.qlCalendarAdvance(Calendar,U3244,T3245,"f",FALSE)</f>
        <v>61576</v>
      </c>
      <c r="V3245" s="248">
        <f>_xll.qlCalendarAdvance(Calendar,U3245,NDays&amp;"D")</f>
        <v>61578</v>
      </c>
      <c r="W3245" s="249">
        <v>2.412586678531765E-2</v>
      </c>
      <c r="X3245" s="246">
        <v>2.4034598659001816E-2</v>
      </c>
    </row>
    <row r="3246" spans="20:24" x14ac:dyDescent="0.2">
      <c r="T3246" s="247" t="str">
        <f t="shared" si="55"/>
        <v>1w</v>
      </c>
      <c r="U3246" s="245">
        <f>_xll.qlCalendarAdvance(Calendar,U3245,T3246,"f",FALSE)</f>
        <v>61583</v>
      </c>
      <c r="V3246" s="248">
        <f>_xll.qlCalendarAdvance(Calendar,U3246,NDays&amp;"D")</f>
        <v>61585</v>
      </c>
      <c r="W3246" s="249">
        <v>2.4128629575050811E-2</v>
      </c>
      <c r="X3246" s="246">
        <v>2.4037404757635272E-2</v>
      </c>
    </row>
    <row r="3247" spans="20:24" x14ac:dyDescent="0.2">
      <c r="T3247" s="247" t="str">
        <f t="shared" si="55"/>
        <v>1w</v>
      </c>
      <c r="U3247" s="245">
        <f>_xll.qlCalendarAdvance(Calendar,U3246,T3247,"f",FALSE)</f>
        <v>61590</v>
      </c>
      <c r="V3247" s="248">
        <f>_xll.qlCalendarAdvance(Calendar,U3247,NDays&amp;"D")</f>
        <v>61592</v>
      </c>
      <c r="W3247" s="249">
        <v>2.4131383071139823E-2</v>
      </c>
      <c r="X3247" s="246">
        <v>2.4040201616992718E-2</v>
      </c>
    </row>
    <row r="3248" spans="20:24" x14ac:dyDescent="0.2">
      <c r="T3248" s="247" t="str">
        <f t="shared" si="55"/>
        <v>1w</v>
      </c>
      <c r="U3248" s="245">
        <f>_xll.qlCalendarAdvance(Calendar,U3247,T3248,"f",FALSE)</f>
        <v>61597</v>
      </c>
      <c r="V3248" s="248">
        <f>_xll.qlCalendarAdvance(Calendar,U3248,NDays&amp;"D")</f>
        <v>61599</v>
      </c>
      <c r="W3248" s="249">
        <v>2.413412727356597E-2</v>
      </c>
      <c r="X3248" s="246">
        <v>2.4042989237207379E-2</v>
      </c>
    </row>
    <row r="3249" spans="20:24" x14ac:dyDescent="0.2">
      <c r="T3249" s="247" t="str">
        <f t="shared" si="55"/>
        <v>1w</v>
      </c>
      <c r="U3249" s="245">
        <f>_xll.qlCalendarAdvance(Calendar,U3248,T3249,"f",FALSE)</f>
        <v>61604</v>
      </c>
      <c r="V3249" s="248">
        <f>_xll.qlCalendarAdvance(Calendar,U3249,NDays&amp;"D")</f>
        <v>61606</v>
      </c>
      <c r="W3249" s="249">
        <v>2.4133859211317117E-2</v>
      </c>
      <c r="X3249" s="246">
        <v>2.4045767618199321E-2</v>
      </c>
    </row>
    <row r="3250" spans="20:24" x14ac:dyDescent="0.2">
      <c r="T3250" s="247" t="str">
        <f t="shared" si="55"/>
        <v>1w</v>
      </c>
      <c r="U3250" s="245">
        <f>_xll.qlCalendarAdvance(Calendar,U3249,T3250,"f",FALSE)</f>
        <v>61611</v>
      </c>
      <c r="V3250" s="248">
        <f>_xll.qlCalendarAdvance(Calendar,U3250,NDays&amp;"D")</f>
        <v>61613</v>
      </c>
      <c r="W3250" s="249">
        <v>2.4136586270992338E-2</v>
      </c>
      <c r="X3250" s="246">
        <v>2.4048536759995187E-2</v>
      </c>
    </row>
    <row r="3251" spans="20:24" x14ac:dyDescent="0.2">
      <c r="T3251" s="247" t="str">
        <f t="shared" si="55"/>
        <v>1w</v>
      </c>
      <c r="U3251" s="245">
        <f>_xll.qlCalendarAdvance(Calendar,U3250,T3251,"f",FALSE)</f>
        <v>61618</v>
      </c>
      <c r="V3251" s="248">
        <f>_xll.qlCalendarAdvance(Calendar,U3251,NDays&amp;"D")</f>
        <v>61620</v>
      </c>
      <c r="W3251" s="249">
        <v>2.4139304038749115E-2</v>
      </c>
      <c r="X3251" s="246">
        <v>2.4051296662541688E-2</v>
      </c>
    </row>
    <row r="3252" spans="20:24" x14ac:dyDescent="0.2">
      <c r="T3252" s="247" t="str">
        <f t="shared" si="55"/>
        <v>1w</v>
      </c>
      <c r="U3252" s="245">
        <f>_xll.qlCalendarAdvance(Calendar,U3251,T3252,"f",FALSE)</f>
        <v>61625</v>
      </c>
      <c r="V3252" s="248">
        <f>_xll.qlCalendarAdvance(Calendar,U3252,NDays&amp;"D")</f>
        <v>61627</v>
      </c>
      <c r="W3252" s="249">
        <v>2.4142012514569003E-2</v>
      </c>
      <c r="X3252" s="246">
        <v>2.4054047325892114E-2</v>
      </c>
    </row>
    <row r="3253" spans="20:24" x14ac:dyDescent="0.2">
      <c r="T3253" s="247" t="str">
        <f t="shared" si="55"/>
        <v>1w</v>
      </c>
      <c r="U3253" s="245">
        <f>_xll.qlCalendarAdvance(Calendar,U3252,T3253,"f",FALSE)</f>
        <v>61632</v>
      </c>
      <c r="V3253" s="248">
        <f>_xll.qlCalendarAdvance(Calendar,U3253,NDays&amp;"D")</f>
        <v>61634</v>
      </c>
      <c r="W3253" s="249">
        <v>2.4147708880022472E-2</v>
      </c>
      <c r="X3253" s="246">
        <v>2.405678875001982E-2</v>
      </c>
    </row>
    <row r="3254" spans="20:24" x14ac:dyDescent="0.2">
      <c r="T3254" s="247" t="str">
        <f t="shared" si="55"/>
        <v>1w</v>
      </c>
      <c r="U3254" s="245">
        <f>_xll.qlCalendarAdvance(Calendar,U3253,T3254,"f",FALSE)</f>
        <v>61639</v>
      </c>
      <c r="V3254" s="248">
        <f>_xll.qlCalendarAdvance(Calendar,U3254,NDays&amp;"D")</f>
        <v>61641</v>
      </c>
      <c r="W3254" s="249">
        <v>2.4150397320043714E-2</v>
      </c>
      <c r="X3254" s="246">
        <v>2.4059520934978096E-2</v>
      </c>
    </row>
    <row r="3255" spans="20:24" x14ac:dyDescent="0.2">
      <c r="T3255" s="247" t="str">
        <f t="shared" si="55"/>
        <v>1w</v>
      </c>
      <c r="U3255" s="245">
        <f>_xll.qlCalendarAdvance(Calendar,U3254,T3255,"f",FALSE)</f>
        <v>61646</v>
      </c>
      <c r="V3255" s="248">
        <f>_xll.qlCalendarAdvance(Calendar,U3255,NDays&amp;"D")</f>
        <v>61648</v>
      </c>
      <c r="W3255" s="249">
        <v>2.4153076466261782E-2</v>
      </c>
      <c r="X3255" s="246">
        <v>2.4062243880740297E-2</v>
      </c>
    </row>
    <row r="3256" spans="20:24" x14ac:dyDescent="0.2">
      <c r="T3256" s="247" t="str">
        <f t="shared" si="55"/>
        <v>1w</v>
      </c>
      <c r="U3256" s="245">
        <f>_xll.qlCalendarAdvance(Calendar,U3255,T3256,"f",FALSE)</f>
        <v>61653</v>
      </c>
      <c r="V3256" s="248">
        <f>_xll.qlCalendarAdvance(Calendar,U3256,NDays&amp;"D")</f>
        <v>61655</v>
      </c>
      <c r="W3256" s="249">
        <v>2.4155746318658817E-2</v>
      </c>
      <c r="X3256" s="246">
        <v>2.4064957587253133E-2</v>
      </c>
    </row>
    <row r="3257" spans="20:24" x14ac:dyDescent="0.2">
      <c r="T3257" s="247" t="str">
        <f t="shared" si="55"/>
        <v>1w</v>
      </c>
      <c r="U3257" s="245">
        <f>_xll.qlCalendarAdvance(Calendar,U3256,T3257,"f",FALSE)</f>
        <v>61660</v>
      </c>
      <c r="V3257" s="248">
        <f>_xll.qlCalendarAdvance(Calendar,U3257,NDays&amp;"D")</f>
        <v>61662</v>
      </c>
      <c r="W3257" s="249">
        <v>2.4158406877213563E-2</v>
      </c>
      <c r="X3257" s="246">
        <v>2.4067662054543248E-2</v>
      </c>
    </row>
    <row r="3258" spans="20:24" x14ac:dyDescent="0.2">
      <c r="T3258" s="247" t="str">
        <f t="shared" si="55"/>
        <v>1w</v>
      </c>
      <c r="U3258" s="245">
        <f>_xll.qlCalendarAdvance(Calendar,U3257,T3258,"f",FALSE)</f>
        <v>61667</v>
      </c>
      <c r="V3258" s="248">
        <f>_xll.qlCalendarAdvance(Calendar,U3258,NDays&amp;"D")</f>
        <v>61669</v>
      </c>
      <c r="W3258" s="249">
        <v>2.4161058141909008E-2</v>
      </c>
      <c r="X3258" s="246">
        <v>2.4070357282663934E-2</v>
      </c>
    </row>
    <row r="3259" spans="20:24" x14ac:dyDescent="0.2">
      <c r="T3259" s="247" t="str">
        <f t="shared" si="55"/>
        <v>1w</v>
      </c>
      <c r="U3259" s="245">
        <f>_xll.qlCalendarAdvance(Calendar,U3258,T3259,"f",FALSE)</f>
        <v>61674</v>
      </c>
      <c r="V3259" s="248">
        <f>_xll.qlCalendarAdvance(Calendar,U3259,NDays&amp;"D")</f>
        <v>61676</v>
      </c>
      <c r="W3259" s="249">
        <v>2.4163700112724742E-2</v>
      </c>
      <c r="X3259" s="246">
        <v>2.407304327150861E-2</v>
      </c>
    </row>
    <row r="3260" spans="20:24" x14ac:dyDescent="0.2">
      <c r="T3260" s="247" t="str">
        <f t="shared" si="55"/>
        <v>1w</v>
      </c>
      <c r="U3260" s="245">
        <f>_xll.qlCalendarAdvance(Calendar,U3259,T3260,"f",FALSE)</f>
        <v>61681</v>
      </c>
      <c r="V3260" s="248">
        <f>_xll.qlCalendarAdvance(Calendar,U3260,NDays&amp;"D")</f>
        <v>61683</v>
      </c>
      <c r="W3260" s="249">
        <v>2.4166332789641212E-2</v>
      </c>
      <c r="X3260" s="246">
        <v>2.407572002115721E-2</v>
      </c>
    </row>
    <row r="3261" spans="20:24" x14ac:dyDescent="0.2">
      <c r="T3261" s="247" t="str">
        <f t="shared" si="55"/>
        <v>1w</v>
      </c>
      <c r="U3261" s="245">
        <f>_xll.qlCalendarAdvance(Calendar,U3260,T3261,"f",FALSE)</f>
        <v>61688</v>
      </c>
      <c r="V3261" s="248">
        <f>_xll.qlCalendarAdvance(Calendar,U3261,NDays&amp;"D")</f>
        <v>61690</v>
      </c>
      <c r="W3261" s="249">
        <v>2.4168956172639706E-2</v>
      </c>
      <c r="X3261" s="246">
        <v>2.407838753163638E-2</v>
      </c>
    </row>
    <row r="3262" spans="20:24" x14ac:dyDescent="0.2">
      <c r="T3262" s="247" t="str">
        <f t="shared" si="55"/>
        <v>1w</v>
      </c>
      <c r="U3262" s="245">
        <f>_xll.qlCalendarAdvance(Calendar,U3261,T3262,"f",FALSE)</f>
        <v>61695</v>
      </c>
      <c r="V3262" s="248">
        <f>_xll.qlCalendarAdvance(Calendar,U3262,NDays&amp;"D")</f>
        <v>61697</v>
      </c>
      <c r="W3262" s="249">
        <v>2.4167591524281384E-2</v>
      </c>
      <c r="X3262" s="246">
        <v>2.4081045802892831E-2</v>
      </c>
    </row>
    <row r="3263" spans="20:24" x14ac:dyDescent="0.2">
      <c r="T3263" s="247" t="str">
        <f t="shared" si="55"/>
        <v>1w</v>
      </c>
      <c r="U3263" s="245">
        <f>_xll.qlCalendarAdvance(Calendar,U3262,T3263,"f",FALSE)</f>
        <v>61702</v>
      </c>
      <c r="V3263" s="248">
        <f>_xll.qlCalendarAdvance(Calendar,U3263,NDays&amp;"D")</f>
        <v>61704</v>
      </c>
      <c r="W3263" s="249">
        <v>2.4170198276796562E-2</v>
      </c>
      <c r="X3263" s="246">
        <v>2.408369483487327E-2</v>
      </c>
    </row>
    <row r="3264" spans="20:24" x14ac:dyDescent="0.2">
      <c r="T3264" s="247" t="str">
        <f t="shared" si="55"/>
        <v>1w</v>
      </c>
      <c r="U3264" s="245">
        <f>_xll.qlCalendarAdvance(Calendar,U3263,T3264,"f",FALSE)</f>
        <v>61709</v>
      </c>
      <c r="V3264" s="248">
        <f>_xll.qlCalendarAdvance(Calendar,U3264,NDays&amp;"D")</f>
        <v>61711</v>
      </c>
      <c r="W3264" s="249">
        <v>2.417279573775577E-2</v>
      </c>
      <c r="X3264" s="246">
        <v>2.4086334627710926E-2</v>
      </c>
    </row>
    <row r="3265" spans="20:24" x14ac:dyDescent="0.2">
      <c r="T3265" s="247" t="str">
        <f t="shared" si="55"/>
        <v>1w</v>
      </c>
      <c r="U3265" s="245">
        <f>_xll.qlCalendarAdvance(Calendar,U3264,T3265,"f",FALSE)</f>
        <v>61716</v>
      </c>
      <c r="V3265" s="248">
        <f>_xll.qlCalendarAdvance(Calendar,U3265,NDays&amp;"D")</f>
        <v>61718</v>
      </c>
      <c r="W3265" s="249">
        <v>2.4175383907141246E-2</v>
      </c>
      <c r="X3265" s="246">
        <v>2.408896518127257E-2</v>
      </c>
    </row>
    <row r="3266" spans="20:24" x14ac:dyDescent="0.2">
      <c r="T3266" s="247" t="str">
        <f t="shared" si="55"/>
        <v>1w</v>
      </c>
      <c r="U3266" s="245">
        <f>_xll.qlCalendarAdvance(Calendar,U3265,T3266,"f",FALSE)</f>
        <v>61724</v>
      </c>
      <c r="V3266" s="248">
        <f>_xll.qlCalendarAdvance(Calendar,U3266,NDays&amp;"D")</f>
        <v>61728</v>
      </c>
      <c r="W3266" s="249">
        <v>2.4177080132880811E-2</v>
      </c>
      <c r="X3266" s="246">
        <v>2.4091714371574646E-2</v>
      </c>
    </row>
    <row r="3267" spans="20:24" x14ac:dyDescent="0.2">
      <c r="T3267" s="247" t="str">
        <f t="shared" si="55"/>
        <v>1w</v>
      </c>
      <c r="U3267" s="245">
        <f>_xll.qlCalendarAdvance(Calendar,U3266,T3267,"f",FALSE)</f>
        <v>61731</v>
      </c>
      <c r="V3267" s="248">
        <f>_xll.qlCalendarAdvance(Calendar,U3267,NDays&amp;"D")</f>
        <v>61735</v>
      </c>
      <c r="W3267" s="249">
        <v>2.4182622802634099E-2</v>
      </c>
      <c r="X3267" s="246">
        <v>2.4093330739534125E-2</v>
      </c>
    </row>
    <row r="3268" spans="20:24" x14ac:dyDescent="0.2">
      <c r="T3268" s="247" t="str">
        <f t="shared" si="55"/>
        <v>1w</v>
      </c>
      <c r="U3268" s="245">
        <f>_xll.qlCalendarAdvance(Calendar,U3267,T3268,"f",FALSE)</f>
        <v>61738</v>
      </c>
      <c r="V3268" s="248">
        <f>_xll.qlCalendarAdvance(Calendar,U3268,NDays&amp;"D")</f>
        <v>61742</v>
      </c>
      <c r="W3268" s="249">
        <v>2.4186170151897165E-2</v>
      </c>
      <c r="X3268" s="246">
        <v>2.4095930587790804E-2</v>
      </c>
    </row>
    <row r="3269" spans="20:24" x14ac:dyDescent="0.2">
      <c r="T3269" s="247" t="str">
        <f t="shared" si="55"/>
        <v>1w</v>
      </c>
      <c r="U3269" s="245">
        <f>_xll.qlCalendarAdvance(Calendar,U3268,T3269,"f",FALSE)</f>
        <v>61745</v>
      </c>
      <c r="V3269" s="248">
        <f>_xll.qlCalendarAdvance(Calendar,U3269,NDays&amp;"D")</f>
        <v>61749</v>
      </c>
      <c r="W3269" s="249">
        <v>2.4187725150179008E-2</v>
      </c>
      <c r="X3269" s="246">
        <v>2.4098521197917222E-2</v>
      </c>
    </row>
    <row r="3270" spans="20:24" x14ac:dyDescent="0.2">
      <c r="T3270" s="247" t="str">
        <f t="shared" si="55"/>
        <v>1w</v>
      </c>
      <c r="U3270" s="245">
        <f>_xll.qlCalendarAdvance(Calendar,U3269,T3270,"f",FALSE)</f>
        <v>61752</v>
      </c>
      <c r="V3270" s="248">
        <f>_xll.qlCalendarAdvance(Calendar,U3270,NDays&amp;"D")</f>
        <v>61756</v>
      </c>
      <c r="W3270" s="249">
        <v>2.4190262385544992E-2</v>
      </c>
      <c r="X3270" s="246">
        <v>2.410110256991338E-2</v>
      </c>
    </row>
    <row r="3271" spans="20:24" x14ac:dyDescent="0.2">
      <c r="T3271" s="247" t="str">
        <f t="shared" si="55"/>
        <v>1w</v>
      </c>
      <c r="U3271" s="245">
        <f>_xll.qlCalendarAdvance(Calendar,U3270,T3271,"f",FALSE)</f>
        <v>61759</v>
      </c>
      <c r="V3271" s="248">
        <f>_xll.qlCalendarAdvance(Calendar,U3271,NDays&amp;"D")</f>
        <v>61763</v>
      </c>
      <c r="W3271" s="249">
        <v>2.4192790328618326E-2</v>
      </c>
      <c r="X3271" s="246">
        <v>2.4103674704019085E-2</v>
      </c>
    </row>
    <row r="3272" spans="20:24" x14ac:dyDescent="0.2">
      <c r="T3272" s="247" t="str">
        <f t="shared" si="55"/>
        <v>1w</v>
      </c>
      <c r="U3272" s="245">
        <f>_xll.qlCalendarAdvance(Calendar,U3271,T3272,"f",FALSE)</f>
        <v>61766</v>
      </c>
      <c r="V3272" s="248">
        <f>_xll.qlCalendarAdvance(Calendar,U3272,NDays&amp;"D")</f>
        <v>61770</v>
      </c>
      <c r="W3272" s="249">
        <v>2.4195308979378806E-2</v>
      </c>
      <c r="X3272" s="246">
        <v>2.4106237599994529E-2</v>
      </c>
    </row>
    <row r="3273" spans="20:24" x14ac:dyDescent="0.2">
      <c r="T3273" s="247" t="str">
        <f t="shared" si="55"/>
        <v>1w</v>
      </c>
      <c r="U3273" s="245">
        <f>_xll.qlCalendarAdvance(Calendar,U3272,T3273,"f",FALSE)</f>
        <v>61773</v>
      </c>
      <c r="V3273" s="248">
        <f>_xll.qlCalendarAdvance(Calendar,U3273,NDays&amp;"D")</f>
        <v>61777</v>
      </c>
      <c r="W3273" s="249">
        <v>2.4197818337811497E-2</v>
      </c>
      <c r="X3273" s="246">
        <v>2.4108791258159457E-2</v>
      </c>
    </row>
    <row r="3274" spans="20:24" x14ac:dyDescent="0.2">
      <c r="T3274" s="247" t="str">
        <f t="shared" si="55"/>
        <v>1w</v>
      </c>
      <c r="U3274" s="245">
        <f>_xll.qlCalendarAdvance(Calendar,U3273,T3274,"f",FALSE)</f>
        <v>61780</v>
      </c>
      <c r="V3274" s="248">
        <f>_xll.qlCalendarAdvance(Calendar,U3274,NDays&amp;"D")</f>
        <v>61784</v>
      </c>
      <c r="W3274" s="249">
        <v>2.4200318403896203E-2</v>
      </c>
      <c r="X3274" s="246">
        <v>2.4111335678114187E-2</v>
      </c>
    </row>
    <row r="3275" spans="20:24" x14ac:dyDescent="0.2">
      <c r="T3275" s="247" t="str">
        <f t="shared" si="55"/>
        <v>1w</v>
      </c>
      <c r="U3275" s="245">
        <f>_xll.qlCalendarAdvance(Calendar,U3274,T3275,"f",FALSE)</f>
        <v>61787</v>
      </c>
      <c r="V3275" s="248">
        <f>_xll.qlCalendarAdvance(Calendar,U3275,NDays&amp;"D")</f>
        <v>61791</v>
      </c>
      <c r="W3275" s="249">
        <v>2.4203797241810959E-2</v>
      </c>
      <c r="X3275" s="246">
        <v>2.4113870859938658E-2</v>
      </c>
    </row>
    <row r="3276" spans="20:24" x14ac:dyDescent="0.2">
      <c r="T3276" s="247" t="str">
        <f t="shared" si="55"/>
        <v>1w</v>
      </c>
      <c r="U3276" s="245">
        <f>_xll.qlCalendarAdvance(Calendar,U3275,T3276,"f",FALSE)</f>
        <v>61794</v>
      </c>
      <c r="V3276" s="248">
        <f>_xll.qlCalendarAdvance(Calendar,U3276,NDays&amp;"D")</f>
        <v>61798</v>
      </c>
      <c r="W3276" s="249">
        <v>2.4206278225699724E-2</v>
      </c>
      <c r="X3276" s="246">
        <v>2.4116396803952611E-2</v>
      </c>
    </row>
    <row r="3277" spans="20:24" x14ac:dyDescent="0.2">
      <c r="T3277" s="247" t="str">
        <f t="shared" si="55"/>
        <v>1w</v>
      </c>
      <c r="U3277" s="245">
        <f>_xll.qlCalendarAdvance(Calendar,U3276,T3277,"f",FALSE)</f>
        <v>61801</v>
      </c>
      <c r="V3277" s="248">
        <f>_xll.qlCalendarAdvance(Calendar,U3277,NDays&amp;"D")</f>
        <v>61805</v>
      </c>
      <c r="W3277" s="249">
        <v>2.4208749916581257E-2</v>
      </c>
      <c r="X3277" s="246">
        <v>2.4118913509996176E-2</v>
      </c>
    </row>
    <row r="3278" spans="20:24" x14ac:dyDescent="0.2">
      <c r="T3278" s="247" t="str">
        <f t="shared" si="55"/>
        <v>1w</v>
      </c>
      <c r="U3278" s="245">
        <f>_xll.qlCalendarAdvance(Calendar,U3277,T3278,"f",FALSE)</f>
        <v>61808</v>
      </c>
      <c r="V3278" s="248">
        <f>_xll.qlCalendarAdvance(Calendar,U3278,NDays&amp;"D")</f>
        <v>61812</v>
      </c>
      <c r="W3278" s="249">
        <v>2.4211212314439047E-2</v>
      </c>
      <c r="X3278" s="246">
        <v>2.412142097790948E-2</v>
      </c>
    </row>
    <row r="3279" spans="20:24" x14ac:dyDescent="0.2">
      <c r="T3279" s="247" t="str">
        <f t="shared" si="55"/>
        <v>1w</v>
      </c>
      <c r="U3279" s="245">
        <f>_xll.qlCalendarAdvance(Calendar,U3278,T3279,"f",FALSE)</f>
        <v>61815</v>
      </c>
      <c r="V3279" s="248">
        <f>_xll.qlCalendarAdvance(Calendar,U3279,NDays&amp;"D")</f>
        <v>61819</v>
      </c>
      <c r="W3279" s="249">
        <v>2.4212679348507817E-2</v>
      </c>
      <c r="X3279" s="246">
        <v>2.4123919207692524E-2</v>
      </c>
    </row>
    <row r="3280" spans="20:24" x14ac:dyDescent="0.2">
      <c r="T3280" s="247" t="str">
        <f t="shared" si="55"/>
        <v>1w</v>
      </c>
      <c r="U3280" s="245">
        <f>_xll.qlCalendarAdvance(Calendar,U3279,T3280,"f",FALSE)</f>
        <v>61822</v>
      </c>
      <c r="V3280" s="248">
        <f>_xll.qlCalendarAdvance(Calendar,U3280,NDays&amp;"D")</f>
        <v>61826</v>
      </c>
      <c r="W3280" s="249">
        <v>2.4215123660146186E-2</v>
      </c>
      <c r="X3280" s="246">
        <v>2.412640819966505E-2</v>
      </c>
    </row>
    <row r="3281" spans="20:24" x14ac:dyDescent="0.2">
      <c r="T3281" s="247" t="str">
        <f t="shared" si="55"/>
        <v>1w</v>
      </c>
      <c r="U3281" s="245">
        <f>_xll.qlCalendarAdvance(Calendar,U3280,T3281,"f",FALSE)</f>
        <v>61829</v>
      </c>
      <c r="V3281" s="248">
        <f>_xll.qlCalendarAdvance(Calendar,U3281,NDays&amp;"D")</f>
        <v>61835</v>
      </c>
      <c r="W3281" s="249">
        <v>2.4218252692296931E-2</v>
      </c>
      <c r="X3281" s="246">
        <v>2.4129594757722472E-2</v>
      </c>
    </row>
    <row r="3282" spans="20:24" x14ac:dyDescent="0.2">
      <c r="T3282" s="247" t="str">
        <f t="shared" ref="T3282:T3345" si="56">T3281</f>
        <v>1w</v>
      </c>
      <c r="U3282" s="245">
        <f>_xll.qlCalendarAdvance(Calendar,U3281,T3282,"f",FALSE)</f>
        <v>61836</v>
      </c>
      <c r="V3282" s="248">
        <f>_xll.qlCalendarAdvance(Calendar,U3282,NDays&amp;"D")</f>
        <v>61840</v>
      </c>
      <c r="W3282" s="249">
        <v>2.4219984406001233E-2</v>
      </c>
      <c r="X3282" s="246">
        <v>2.4131358469299258E-2</v>
      </c>
    </row>
    <row r="3283" spans="20:24" x14ac:dyDescent="0.2">
      <c r="T3283" s="247" t="str">
        <f t="shared" si="56"/>
        <v>1w</v>
      </c>
      <c r="U3283" s="245">
        <f>_xll.qlCalendarAdvance(Calendar,U3282,T3283,"f",FALSE)</f>
        <v>61843</v>
      </c>
      <c r="V3283" s="248">
        <f>_xll.qlCalendarAdvance(Calendar,U3283,NDays&amp;"D")</f>
        <v>61847</v>
      </c>
      <c r="W3283" s="249">
        <v>2.4222400840184531E-2</v>
      </c>
      <c r="X3283" s="246">
        <v>2.4133819747040874E-2</v>
      </c>
    </row>
    <row r="3284" spans="20:24" x14ac:dyDescent="0.2">
      <c r="T3284" s="247" t="str">
        <f t="shared" si="56"/>
        <v>1w</v>
      </c>
      <c r="U3284" s="245">
        <f>_xll.qlCalendarAdvance(Calendar,U3283,T3284,"f",FALSE)</f>
        <v>61850</v>
      </c>
      <c r="V3284" s="248">
        <f>_xll.qlCalendarAdvance(Calendar,U3284,NDays&amp;"D")</f>
        <v>61854</v>
      </c>
      <c r="W3284" s="249">
        <v>2.4225791547111471E-2</v>
      </c>
      <c r="X3284" s="246">
        <v>2.4136271786892038E-2</v>
      </c>
    </row>
    <row r="3285" spans="20:24" x14ac:dyDescent="0.2">
      <c r="T3285" s="247" t="str">
        <f t="shared" si="56"/>
        <v>1w</v>
      </c>
      <c r="U3285" s="245">
        <f>_xll.qlCalendarAdvance(Calendar,U3284,T3285,"f",FALSE)</f>
        <v>61857</v>
      </c>
      <c r="V3285" s="248">
        <f>_xll.qlCalendarAdvance(Calendar,U3285,NDays&amp;"D")</f>
        <v>61861</v>
      </c>
      <c r="W3285" s="249">
        <v>2.4228188893319107E-2</v>
      </c>
      <c r="X3285" s="246">
        <v>2.4138714588692878E-2</v>
      </c>
    </row>
    <row r="3286" spans="20:24" x14ac:dyDescent="0.2">
      <c r="T3286" s="247" t="str">
        <f t="shared" si="56"/>
        <v>1w</v>
      </c>
      <c r="U3286" s="245">
        <f>_xll.qlCalendarAdvance(Calendar,U3285,T3286,"f",FALSE)</f>
        <v>61864</v>
      </c>
      <c r="V3286" s="248">
        <f>_xll.qlCalendarAdvance(Calendar,U3286,NDays&amp;"D")</f>
        <v>61868</v>
      </c>
      <c r="W3286" s="249">
        <v>2.4230576946362246E-2</v>
      </c>
      <c r="X3286" s="246">
        <v>2.4141148152363456E-2</v>
      </c>
    </row>
    <row r="3287" spans="20:24" x14ac:dyDescent="0.2">
      <c r="T3287" s="247" t="str">
        <f t="shared" si="56"/>
        <v>1w</v>
      </c>
      <c r="U3287" s="245">
        <f>_xll.qlCalendarAdvance(Calendar,U3286,T3287,"f",FALSE)</f>
        <v>61871</v>
      </c>
      <c r="V3287" s="248">
        <f>_xll.qlCalendarAdvance(Calendar,U3287,NDays&amp;"D")</f>
        <v>61875</v>
      </c>
      <c r="W3287" s="249">
        <v>2.4232955706228722E-2</v>
      </c>
      <c r="X3287" s="246">
        <v>2.4143572478063646E-2</v>
      </c>
    </row>
    <row r="3288" spans="20:24" x14ac:dyDescent="0.2">
      <c r="T3288" s="247" t="str">
        <f t="shared" si="56"/>
        <v>1w</v>
      </c>
      <c r="U3288" s="245">
        <f>_xll.qlCalendarAdvance(Calendar,U3287,T3288,"f",FALSE)</f>
        <v>61878</v>
      </c>
      <c r="V3288" s="248">
        <f>_xll.qlCalendarAdvance(Calendar,U3288,NDays&amp;"D")</f>
        <v>61882</v>
      </c>
      <c r="W3288" s="249">
        <v>2.4235325172899416E-2</v>
      </c>
      <c r="X3288" s="246">
        <v>2.4145987565873384E-2</v>
      </c>
    </row>
    <row r="3289" spans="20:24" x14ac:dyDescent="0.2">
      <c r="T3289" s="247" t="str">
        <f t="shared" si="56"/>
        <v>1w</v>
      </c>
      <c r="U3289" s="245">
        <f>_xll.qlCalendarAdvance(Calendar,U3288,T3289,"f",FALSE)</f>
        <v>61885</v>
      </c>
      <c r="V3289" s="248">
        <f>_xll.qlCalendarAdvance(Calendar,U3289,NDays&amp;"D")</f>
        <v>61889</v>
      </c>
      <c r="W3289" s="249">
        <v>2.4237685346356959E-2</v>
      </c>
      <c r="X3289" s="246">
        <v>2.4148393415472924E-2</v>
      </c>
    </row>
    <row r="3290" spans="20:24" x14ac:dyDescent="0.2">
      <c r="T3290" s="247" t="str">
        <f t="shared" si="56"/>
        <v>1w</v>
      </c>
      <c r="U3290" s="245">
        <f>_xll.qlCalendarAdvance(Calendar,U3289,T3290,"f",FALSE)</f>
        <v>61892</v>
      </c>
      <c r="V3290" s="248">
        <f>_xll.qlCalendarAdvance(Calendar,U3290,NDays&amp;"D")</f>
        <v>61896</v>
      </c>
      <c r="W3290" s="249">
        <v>2.4240036226587443E-2</v>
      </c>
      <c r="X3290" s="246">
        <v>2.4150790027102076E-2</v>
      </c>
    </row>
    <row r="3291" spans="20:24" x14ac:dyDescent="0.2">
      <c r="T3291" s="247" t="str">
        <f t="shared" si="56"/>
        <v>1w</v>
      </c>
      <c r="U3291" s="245">
        <f>_xll.qlCalendarAdvance(Calendar,U3290,T3291,"f",FALSE)</f>
        <v>61899</v>
      </c>
      <c r="V3291" s="248">
        <f>_xll.qlCalendarAdvance(Calendar,U3291,NDays&amp;"D")</f>
        <v>61903</v>
      </c>
      <c r="W3291" s="249">
        <v>2.4242377813570883E-2</v>
      </c>
      <c r="X3291" s="246">
        <v>2.4153177400680903E-2</v>
      </c>
    </row>
    <row r="3292" spans="20:24" x14ac:dyDescent="0.2">
      <c r="T3292" s="247" t="str">
        <f t="shared" si="56"/>
        <v>1w</v>
      </c>
      <c r="U3292" s="245">
        <f>_xll.qlCalendarAdvance(Calendar,U3291,T3292,"f",FALSE)</f>
        <v>61906</v>
      </c>
      <c r="V3292" s="248">
        <f>_xll.qlCalendarAdvance(Calendar,U3292,NDays&amp;"D")</f>
        <v>61910</v>
      </c>
      <c r="W3292" s="249">
        <v>2.4244710107292514E-2</v>
      </c>
      <c r="X3292" s="246">
        <v>2.4155555536209405E-2</v>
      </c>
    </row>
    <row r="3293" spans="20:24" x14ac:dyDescent="0.2">
      <c r="T3293" s="247" t="str">
        <f t="shared" si="56"/>
        <v>1w</v>
      </c>
      <c r="U3293" s="245">
        <f>_xll.qlCalendarAdvance(Calendar,U3292,T3293,"f",FALSE)</f>
        <v>61913</v>
      </c>
      <c r="V3293" s="248">
        <f>_xll.qlCalendarAdvance(Calendar,U3293,NDays&amp;"D")</f>
        <v>61917</v>
      </c>
      <c r="W3293" s="249">
        <v>2.4247033107735825E-2</v>
      </c>
      <c r="X3293" s="246">
        <v>2.4157924433687583E-2</v>
      </c>
    </row>
    <row r="3294" spans="20:24" x14ac:dyDescent="0.2">
      <c r="T3294" s="247" t="str">
        <f t="shared" si="56"/>
        <v>1w</v>
      </c>
      <c r="U3294" s="245">
        <f>_xll.qlCalendarAdvance(Calendar,U3293,T3294,"f",FALSE)</f>
        <v>61920</v>
      </c>
      <c r="V3294" s="248">
        <f>_xll.qlCalendarAdvance(Calendar,U3294,NDays&amp;"D")</f>
        <v>61924</v>
      </c>
      <c r="W3294" s="249">
        <v>2.4249346814884304E-2</v>
      </c>
      <c r="X3294" s="246">
        <v>2.4160284093275308E-2</v>
      </c>
    </row>
    <row r="3295" spans="20:24" x14ac:dyDescent="0.2">
      <c r="T3295" s="247" t="str">
        <f t="shared" si="56"/>
        <v>1w</v>
      </c>
      <c r="U3295" s="245">
        <f>_xll.qlCalendarAdvance(Calendar,U3294,T3295,"f",FALSE)</f>
        <v>61927</v>
      </c>
      <c r="V3295" s="248">
        <f>_xll.qlCalendarAdvance(Calendar,U3295,NDays&amp;"D")</f>
        <v>61931</v>
      </c>
      <c r="W3295" s="249">
        <v>2.4251651228720576E-2</v>
      </c>
      <c r="X3295" s="246">
        <v>2.4162634514892645E-2</v>
      </c>
    </row>
    <row r="3296" spans="20:24" x14ac:dyDescent="0.2">
      <c r="T3296" s="247" t="str">
        <f t="shared" si="56"/>
        <v>1w</v>
      </c>
      <c r="U3296" s="245">
        <f>_xll.qlCalendarAdvance(Calendar,U3295,T3296,"f",FALSE)</f>
        <v>61934</v>
      </c>
      <c r="V3296" s="248">
        <f>_xll.qlCalendarAdvance(Calendar,U3296,NDays&amp;"D")</f>
        <v>61938</v>
      </c>
      <c r="W3296" s="249">
        <v>2.4253946349230743E-2</v>
      </c>
      <c r="X3296" s="246">
        <v>2.416497569837972E-2</v>
      </c>
    </row>
    <row r="3297" spans="20:24" x14ac:dyDescent="0.2">
      <c r="T3297" s="247" t="str">
        <f t="shared" si="56"/>
        <v>1w</v>
      </c>
      <c r="U3297" s="245">
        <f>_xll.qlCalendarAdvance(Calendar,U3296,T3297,"f",FALSE)</f>
        <v>61941</v>
      </c>
      <c r="V3297" s="248">
        <f>_xll.qlCalendarAdvance(Calendar,U3297,NDays&amp;"D")</f>
        <v>61945</v>
      </c>
      <c r="W3297" s="249">
        <v>2.4256232176395682E-2</v>
      </c>
      <c r="X3297" s="246">
        <v>2.4167307643816471E-2</v>
      </c>
    </row>
    <row r="3298" spans="20:24" x14ac:dyDescent="0.2">
      <c r="T3298" s="247" t="str">
        <f t="shared" si="56"/>
        <v>1w</v>
      </c>
      <c r="U3298" s="245">
        <f>_xll.qlCalendarAdvance(Calendar,U3297,T3298,"f",FALSE)</f>
        <v>61948</v>
      </c>
      <c r="V3298" s="248">
        <f>_xll.qlCalendarAdvance(Calendar,U3298,NDays&amp;"D")</f>
        <v>61952</v>
      </c>
      <c r="W3298" s="249">
        <v>2.42585087102015E-2</v>
      </c>
      <c r="X3298" s="246">
        <v>2.416963035136277E-2</v>
      </c>
    </row>
    <row r="3299" spans="20:24" x14ac:dyDescent="0.2">
      <c r="T3299" s="247" t="str">
        <f t="shared" si="56"/>
        <v>1w</v>
      </c>
      <c r="U3299" s="245">
        <f>_xll.qlCalendarAdvance(Calendar,U3298,T3299,"f",FALSE)</f>
        <v>61955</v>
      </c>
      <c r="V3299" s="248">
        <f>_xll.qlCalendarAdvance(Calendar,U3299,NDays&amp;"D")</f>
        <v>61959</v>
      </c>
      <c r="W3299" s="249">
        <v>2.4260775950629941E-2</v>
      </c>
      <c r="X3299" s="246">
        <v>2.4171943820698871E-2</v>
      </c>
    </row>
    <row r="3300" spans="20:24" x14ac:dyDescent="0.2">
      <c r="T3300" s="247" t="str">
        <f t="shared" si="56"/>
        <v>1w</v>
      </c>
      <c r="U3300" s="245">
        <f>_xll.qlCalendarAdvance(Calendar,U3299,T3300,"f",FALSE)</f>
        <v>61962</v>
      </c>
      <c r="V3300" s="248">
        <f>_xll.qlCalendarAdvance(Calendar,U3300,NDays&amp;"D")</f>
        <v>61966</v>
      </c>
      <c r="W3300" s="249">
        <v>2.4263033897666243E-2</v>
      </c>
      <c r="X3300" s="246">
        <v>2.417424805214452E-2</v>
      </c>
    </row>
    <row r="3301" spans="20:24" x14ac:dyDescent="0.2">
      <c r="T3301" s="247" t="str">
        <f t="shared" si="56"/>
        <v>1w</v>
      </c>
      <c r="U3301" s="245">
        <f>_xll.qlCalendarAdvance(Calendar,U3300,T3301,"f",FALSE)</f>
        <v>61969</v>
      </c>
      <c r="V3301" s="248">
        <f>_xll.qlCalendarAdvance(Calendar,U3301,NDays&amp;"D")</f>
        <v>61973</v>
      </c>
      <c r="W3301" s="249">
        <v>2.4264307618634566E-2</v>
      </c>
      <c r="X3301" s="246">
        <v>2.4176543045379972E-2</v>
      </c>
    </row>
    <row r="3302" spans="20:24" x14ac:dyDescent="0.2">
      <c r="T3302" s="247" t="str">
        <f t="shared" si="56"/>
        <v>1w</v>
      </c>
      <c r="U3302" s="245">
        <f>_xll.qlCalendarAdvance(Calendar,U3301,T3302,"f",FALSE)</f>
        <v>61976</v>
      </c>
      <c r="V3302" s="248">
        <f>_xll.qlCalendarAdvance(Calendar,U3302,NDays&amp;"D")</f>
        <v>61980</v>
      </c>
      <c r="W3302" s="249">
        <v>2.4266547492137063E-2</v>
      </c>
      <c r="X3302" s="246">
        <v>2.4178828800724972E-2</v>
      </c>
    </row>
    <row r="3303" spans="20:24" x14ac:dyDescent="0.2">
      <c r="T3303" s="247" t="str">
        <f t="shared" si="56"/>
        <v>1w</v>
      </c>
      <c r="U3303" s="245">
        <f>_xll.qlCalendarAdvance(Calendar,U3302,T3303,"f",FALSE)</f>
        <v>61983</v>
      </c>
      <c r="V3303" s="248">
        <f>_xll.qlCalendarAdvance(Calendar,U3303,NDays&amp;"D")</f>
        <v>61987</v>
      </c>
      <c r="W3303" s="249">
        <v>2.4268778072808441E-2</v>
      </c>
      <c r="X3303" s="246">
        <v>2.4181105318099583E-2</v>
      </c>
    </row>
    <row r="3304" spans="20:24" x14ac:dyDescent="0.2">
      <c r="T3304" s="247" t="str">
        <f t="shared" si="56"/>
        <v>1w</v>
      </c>
      <c r="U3304" s="245">
        <f>_xll.qlCalendarAdvance(Calendar,U3303,T3304,"f",FALSE)</f>
        <v>61990</v>
      </c>
      <c r="V3304" s="248">
        <f>_xll.qlCalendarAdvance(Calendar,U3304,NDays&amp;"D")</f>
        <v>61994</v>
      </c>
      <c r="W3304" s="249">
        <v>2.4270999360636404E-2</v>
      </c>
      <c r="X3304" s="246">
        <v>2.4183372597263997E-2</v>
      </c>
    </row>
    <row r="3305" spans="20:24" x14ac:dyDescent="0.2">
      <c r="T3305" s="247" t="str">
        <f t="shared" si="56"/>
        <v>1w</v>
      </c>
      <c r="U3305" s="245">
        <f>_xll.qlCalendarAdvance(Calendar,U3304,T3305,"f",FALSE)</f>
        <v>61997</v>
      </c>
      <c r="V3305" s="248">
        <f>_xll.qlCalendarAdvance(Calendar,U3305,NDays&amp;"D")</f>
        <v>62001</v>
      </c>
      <c r="W3305" s="249">
        <v>2.427418423140518E-2</v>
      </c>
      <c r="X3305" s="246">
        <v>2.4185630638617894E-2</v>
      </c>
    </row>
    <row r="3306" spans="20:24" x14ac:dyDescent="0.2">
      <c r="T3306" s="247" t="str">
        <f t="shared" si="56"/>
        <v>1w</v>
      </c>
      <c r="U3306" s="245">
        <f>_xll.qlCalendarAdvance(Calendar,U3305,T3306,"f",FALSE)</f>
        <v>62004</v>
      </c>
      <c r="V3306" s="248">
        <f>_xll.qlCalendarAdvance(Calendar,U3306,NDays&amp;"D")</f>
        <v>62008</v>
      </c>
      <c r="W3306" s="249">
        <v>2.4276386417753239E-2</v>
      </c>
      <c r="X3306" s="246">
        <v>2.4187879441841531E-2</v>
      </c>
    </row>
    <row r="3307" spans="20:24" x14ac:dyDescent="0.2">
      <c r="T3307" s="247" t="str">
        <f t="shared" si="56"/>
        <v>1w</v>
      </c>
      <c r="U3307" s="245">
        <f>_xll.qlCalendarAdvance(Calendar,U3306,T3307,"f",FALSE)</f>
        <v>62011</v>
      </c>
      <c r="V3307" s="248">
        <f>_xll.qlCalendarAdvance(Calendar,U3307,NDays&amp;"D")</f>
        <v>62015</v>
      </c>
      <c r="W3307" s="249">
        <v>2.4278579310600547E-2</v>
      </c>
      <c r="X3307" s="246">
        <v>2.4190119007094779E-2</v>
      </c>
    </row>
    <row r="3308" spans="20:24" x14ac:dyDescent="0.2">
      <c r="T3308" s="247" t="str">
        <f t="shared" si="56"/>
        <v>1w</v>
      </c>
      <c r="U3308" s="245">
        <f>_xll.qlCalendarAdvance(Calendar,U3307,T3308,"f",FALSE)</f>
        <v>62018</v>
      </c>
      <c r="V3308" s="248">
        <f>_xll.qlCalendarAdvance(Calendar,U3308,NDays&amp;"D")</f>
        <v>62022</v>
      </c>
      <c r="W3308" s="249">
        <v>2.4280762909927121E-2</v>
      </c>
      <c r="X3308" s="246">
        <v>2.419234933413783E-2</v>
      </c>
    </row>
    <row r="3309" spans="20:24" x14ac:dyDescent="0.2">
      <c r="T3309" s="247" t="str">
        <f t="shared" si="56"/>
        <v>1w</v>
      </c>
      <c r="U3309" s="245">
        <f>_xll.qlCalendarAdvance(Calendar,U3308,T3309,"f",FALSE)</f>
        <v>62025</v>
      </c>
      <c r="V3309" s="248">
        <f>_xll.qlCalendarAdvance(Calendar,U3309,NDays&amp;"D")</f>
        <v>62029</v>
      </c>
      <c r="W3309" s="249">
        <v>2.4282937215719926E-2</v>
      </c>
      <c r="X3309" s="246">
        <v>2.4194570423290429E-2</v>
      </c>
    </row>
    <row r="3310" spans="20:24" x14ac:dyDescent="0.2">
      <c r="T3310" s="247" t="str">
        <f t="shared" si="56"/>
        <v>1w</v>
      </c>
      <c r="U3310" s="245">
        <f>_xll.qlCalendarAdvance(Calendar,U3309,T3310,"f",FALSE)</f>
        <v>62032</v>
      </c>
      <c r="V3310" s="248">
        <f>_xll.qlCalendarAdvance(Calendar,U3310,NDays&amp;"D")</f>
        <v>62036</v>
      </c>
      <c r="W3310" s="249">
        <v>2.4285102227963321E-2</v>
      </c>
      <c r="X3310" s="246">
        <v>2.4196782274392703E-2</v>
      </c>
    </row>
    <row r="3311" spans="20:24" x14ac:dyDescent="0.2">
      <c r="T3311" s="247" t="str">
        <f t="shared" si="56"/>
        <v>1w</v>
      </c>
      <c r="U3311" s="245">
        <f>_xll.qlCalendarAdvance(Calendar,U3310,T3311,"f",FALSE)</f>
        <v>62039</v>
      </c>
      <c r="V3311" s="248">
        <f>_xll.qlCalendarAdvance(Calendar,U3311,NDays&amp;"D")</f>
        <v>62043</v>
      </c>
      <c r="W3311" s="249">
        <v>2.4287257946645144E-2</v>
      </c>
      <c r="X3311" s="246">
        <v>2.4198984887524588E-2</v>
      </c>
    </row>
    <row r="3312" spans="20:24" x14ac:dyDescent="0.2">
      <c r="T3312" s="247" t="str">
        <f t="shared" si="56"/>
        <v>1w</v>
      </c>
      <c r="U3312" s="245">
        <f>_xll.qlCalendarAdvance(Calendar,U3311,T3312,"f",FALSE)</f>
        <v>62046</v>
      </c>
      <c r="V3312" s="248">
        <f>_xll.qlCalendarAdvance(Calendar,U3312,NDays&amp;"D")</f>
        <v>62050</v>
      </c>
      <c r="W3312" s="249">
        <v>2.4289404371744542E-2</v>
      </c>
      <c r="X3312" s="246">
        <v>2.4201178262606149E-2</v>
      </c>
    </row>
    <row r="3313" spans="20:24" x14ac:dyDescent="0.2">
      <c r="T3313" s="247" t="str">
        <f t="shared" si="56"/>
        <v>1w</v>
      </c>
      <c r="U3313" s="245">
        <f>_xll.qlCalendarAdvance(Calendar,U3312,T3313,"f",FALSE)</f>
        <v>62053</v>
      </c>
      <c r="V3313" s="248">
        <f>_xll.qlCalendarAdvance(Calendar,U3313,NDays&amp;"D")</f>
        <v>62057</v>
      </c>
      <c r="W3313" s="249">
        <v>2.4291541503248481E-2</v>
      </c>
      <c r="X3313" s="246">
        <v>2.4203362399557449E-2</v>
      </c>
    </row>
    <row r="3314" spans="20:24" x14ac:dyDescent="0.2">
      <c r="T3314" s="247" t="str">
        <f t="shared" si="56"/>
        <v>1w</v>
      </c>
      <c r="U3314" s="245">
        <f>_xll.qlCalendarAdvance(Calendar,U3313,T3314,"f",FALSE)</f>
        <v>62060</v>
      </c>
      <c r="V3314" s="248">
        <f>_xll.qlCalendarAdvance(Calendar,U3314,NDays&amp;"D")</f>
        <v>62064</v>
      </c>
      <c r="W3314" s="249">
        <v>2.4292701129118008E-2</v>
      </c>
      <c r="X3314" s="246">
        <v>2.4205537298618296E-2</v>
      </c>
    </row>
    <row r="3315" spans="20:24" x14ac:dyDescent="0.2">
      <c r="T3315" s="247" t="str">
        <f t="shared" si="56"/>
        <v>1w</v>
      </c>
      <c r="U3315" s="245">
        <f>_xll.qlCalendarAdvance(Calendar,U3314,T3315,"f",FALSE)</f>
        <v>62067</v>
      </c>
      <c r="V3315" s="248">
        <f>_xll.qlCalendarAdvance(Calendar,U3315,NDays&amp;"D")</f>
        <v>62071</v>
      </c>
      <c r="W3315" s="249">
        <v>2.4294820194650284E-2</v>
      </c>
      <c r="X3315" s="246">
        <v>2.420770295938901E-2</v>
      </c>
    </row>
    <row r="3316" spans="20:24" x14ac:dyDescent="0.2">
      <c r="T3316" s="247" t="str">
        <f t="shared" si="56"/>
        <v>1w</v>
      </c>
      <c r="U3316" s="245">
        <f>_xll.qlCalendarAdvance(Calendar,U3315,T3316,"f",FALSE)</f>
        <v>62074</v>
      </c>
      <c r="V3316" s="248">
        <f>_xll.qlCalendarAdvance(Calendar,U3316,NDays&amp;"D")</f>
        <v>62078</v>
      </c>
      <c r="W3316" s="249">
        <v>2.4296929967157311E-2</v>
      </c>
      <c r="X3316" s="246">
        <v>2.4209859382429144E-2</v>
      </c>
    </row>
    <row r="3317" spans="20:24" x14ac:dyDescent="0.2">
      <c r="T3317" s="247" t="str">
        <f t="shared" si="56"/>
        <v>1w</v>
      </c>
      <c r="U3317" s="245">
        <f>_xll.qlCalendarAdvance(Calendar,U3316,T3317,"f",FALSE)</f>
        <v>62081</v>
      </c>
      <c r="V3317" s="248">
        <f>_xll.qlCalendarAdvance(Calendar,U3317,NDays&amp;"D")</f>
        <v>62085</v>
      </c>
      <c r="W3317" s="249">
        <v>2.4299030446623276E-2</v>
      </c>
      <c r="X3317" s="246">
        <v>2.4212006567418953E-2</v>
      </c>
    </row>
    <row r="3318" spans="20:24" x14ac:dyDescent="0.2">
      <c r="T3318" s="247" t="str">
        <f t="shared" si="56"/>
        <v>1w</v>
      </c>
      <c r="U3318" s="245">
        <f>_xll.qlCalendarAdvance(Calendar,U3317,T3318,"f",FALSE)</f>
        <v>62089</v>
      </c>
      <c r="V3318" s="248">
        <f>_xll.qlCalendarAdvance(Calendar,U3318,NDays&amp;"D")</f>
        <v>62093</v>
      </c>
      <c r="W3318" s="249">
        <v>2.4296589273619853E-2</v>
      </c>
      <c r="X3318" s="246">
        <v>2.4215415791002393E-2</v>
      </c>
    </row>
    <row r="3319" spans="20:24" x14ac:dyDescent="0.2">
      <c r="T3319" s="247" t="str">
        <f t="shared" si="56"/>
        <v>1w</v>
      </c>
      <c r="U3319" s="245">
        <f>_xll.qlCalendarAdvance(Calendar,U3318,T3319,"f",FALSE)</f>
        <v>62096</v>
      </c>
      <c r="V3319" s="248">
        <f>_xll.qlCalendarAdvance(Calendar,U3319,NDays&amp;"D")</f>
        <v>62100</v>
      </c>
      <c r="W3319" s="249">
        <v>2.4302534649687679E-2</v>
      </c>
      <c r="X3319" s="246">
        <v>2.4216576570275095E-2</v>
      </c>
    </row>
    <row r="3320" spans="20:24" x14ac:dyDescent="0.2">
      <c r="T3320" s="247" t="str">
        <f t="shared" si="56"/>
        <v>1w</v>
      </c>
      <c r="U3320" s="245">
        <f>_xll.qlCalendarAdvance(Calendar,U3319,T3320,"f",FALSE)</f>
        <v>62103</v>
      </c>
      <c r="V3320" s="248">
        <f>_xll.qlCalendarAdvance(Calendar,U3320,NDays&amp;"D")</f>
        <v>62107</v>
      </c>
      <c r="W3320" s="249">
        <v>2.4304606446702515E-2</v>
      </c>
      <c r="X3320" s="246">
        <v>2.4218694721369616E-2</v>
      </c>
    </row>
    <row r="3321" spans="20:24" x14ac:dyDescent="0.2">
      <c r="T3321" s="247" t="str">
        <f t="shared" si="56"/>
        <v>1w</v>
      </c>
      <c r="U3321" s="245">
        <f>_xll.qlCalendarAdvance(Calendar,U3320,T3321,"f",FALSE)</f>
        <v>62110</v>
      </c>
      <c r="V3321" s="248">
        <f>_xll.qlCalendarAdvance(Calendar,U3321,NDays&amp;"D")</f>
        <v>62114</v>
      </c>
      <c r="W3321" s="249">
        <v>2.4306668951229682E-2</v>
      </c>
      <c r="X3321" s="246">
        <v>2.4220803634413812E-2</v>
      </c>
    </row>
    <row r="3322" spans="20:24" x14ac:dyDescent="0.2">
      <c r="T3322" s="247" t="str">
        <f t="shared" si="56"/>
        <v>1w</v>
      </c>
      <c r="U3322" s="245">
        <f>_xll.qlCalendarAdvance(Calendar,U3321,T3322,"f",FALSE)</f>
        <v>62117</v>
      </c>
      <c r="V3322" s="248">
        <f>_xll.qlCalendarAdvance(Calendar,U3322,NDays&amp;"D")</f>
        <v>62121</v>
      </c>
      <c r="W3322" s="249">
        <v>2.4308722163256746E-2</v>
      </c>
      <c r="X3322" s="246">
        <v>2.4222903309567556E-2</v>
      </c>
    </row>
    <row r="3323" spans="20:24" x14ac:dyDescent="0.2">
      <c r="T3323" s="247" t="str">
        <f t="shared" si="56"/>
        <v>1w</v>
      </c>
      <c r="U3323" s="245">
        <f>_xll.qlCalendarAdvance(Calendar,U3322,T3323,"f",FALSE)</f>
        <v>62124</v>
      </c>
      <c r="V3323" s="248">
        <f>_xll.qlCalendarAdvance(Calendar,U3323,NDays&amp;"D")</f>
        <v>62128</v>
      </c>
      <c r="W3323" s="249">
        <v>2.4310766082766833E-2</v>
      </c>
      <c r="X3323" s="246">
        <v>2.4224993746591039E-2</v>
      </c>
    </row>
    <row r="3324" spans="20:24" x14ac:dyDescent="0.2">
      <c r="T3324" s="247" t="str">
        <f t="shared" si="56"/>
        <v>1w</v>
      </c>
      <c r="U3324" s="245">
        <f>_xll.qlCalendarAdvance(Calendar,U3323,T3324,"f",FALSE)</f>
        <v>62131</v>
      </c>
      <c r="V3324" s="248">
        <f>_xll.qlCalendarAdvance(Calendar,U3324,NDays&amp;"D")</f>
        <v>62135</v>
      </c>
      <c r="W3324" s="249">
        <v>2.4312800709746618E-2</v>
      </c>
      <c r="X3324" s="246">
        <v>2.4227074945484262E-2</v>
      </c>
    </row>
    <row r="3325" spans="20:24" x14ac:dyDescent="0.2">
      <c r="T3325" s="247" t="str">
        <f t="shared" si="56"/>
        <v>1w</v>
      </c>
      <c r="U3325" s="245">
        <f>_xll.qlCalendarAdvance(Calendar,U3324,T3325,"f",FALSE)</f>
        <v>62138</v>
      </c>
      <c r="V3325" s="248">
        <f>_xll.qlCalendarAdvance(Calendar,U3325,NDays&amp;"D")</f>
        <v>62142</v>
      </c>
      <c r="W3325" s="249">
        <v>2.4314826044184557E-2</v>
      </c>
      <c r="X3325" s="246">
        <v>2.4229146906407095E-2</v>
      </c>
    </row>
    <row r="3326" spans="20:24" x14ac:dyDescent="0.2">
      <c r="T3326" s="247" t="str">
        <f t="shared" si="56"/>
        <v>1w</v>
      </c>
      <c r="U3326" s="245">
        <f>_xll.qlCalendarAdvance(Calendar,U3325,T3326,"f",FALSE)</f>
        <v>62145</v>
      </c>
      <c r="V3326" s="248">
        <f>_xll.qlCalendarAdvance(Calendar,U3326,NDays&amp;"D")</f>
        <v>62149</v>
      </c>
      <c r="W3326" s="249">
        <v>2.4316842086064661E-2</v>
      </c>
      <c r="X3326" s="246">
        <v>2.4231209629439476E-2</v>
      </c>
    </row>
    <row r="3327" spans="20:24" x14ac:dyDescent="0.2">
      <c r="T3327" s="247" t="str">
        <f t="shared" si="56"/>
        <v>1w</v>
      </c>
      <c r="U3327" s="245">
        <f>_xll.qlCalendarAdvance(Calendar,U3326,T3327,"f",FALSE)</f>
        <v>62152</v>
      </c>
      <c r="V3327" s="248">
        <f>_xll.qlCalendarAdvance(Calendar,U3327,NDays&amp;"D")</f>
        <v>62156</v>
      </c>
      <c r="W3327" s="249">
        <v>2.4320771466881483E-2</v>
      </c>
      <c r="X3327" s="246">
        <v>2.4233263114261661E-2</v>
      </c>
    </row>
    <row r="3328" spans="20:24" x14ac:dyDescent="0.2">
      <c r="T3328" s="247" t="str">
        <f t="shared" si="56"/>
        <v>1w</v>
      </c>
      <c r="U3328" s="245">
        <f>_xll.qlCalendarAdvance(Calendar,U3327,T3328,"f",FALSE)</f>
        <v>62159</v>
      </c>
      <c r="V3328" s="248">
        <f>_xll.qlCalendarAdvance(Calendar,U3328,NDays&amp;"D")</f>
        <v>62163</v>
      </c>
      <c r="W3328" s="249">
        <v>2.4322767864990921E-2</v>
      </c>
      <c r="X3328" s="246">
        <v>2.4235307361113456E-2</v>
      </c>
    </row>
    <row r="3329" spans="20:24" x14ac:dyDescent="0.2">
      <c r="T3329" s="247" t="str">
        <f t="shared" si="56"/>
        <v>1w</v>
      </c>
      <c r="U3329" s="245">
        <f>_xll.qlCalendarAdvance(Calendar,U3328,T3329,"f",FALSE)</f>
        <v>62166</v>
      </c>
      <c r="V3329" s="248">
        <f>_xll.qlCalendarAdvance(Calendar,U3329,NDays&amp;"D")</f>
        <v>62170</v>
      </c>
      <c r="W3329" s="249">
        <v>2.4324754969269433E-2</v>
      </c>
      <c r="X3329" s="246">
        <v>2.4237342369994863E-2</v>
      </c>
    </row>
    <row r="3330" spans="20:24" x14ac:dyDescent="0.2">
      <c r="T3330" s="247" t="str">
        <f t="shared" si="56"/>
        <v>1w</v>
      </c>
      <c r="U3330" s="245">
        <f>_xll.qlCalendarAdvance(Calendar,U3329,T3330,"f",FALSE)</f>
        <v>62173</v>
      </c>
      <c r="V3330" s="248">
        <f>_xll.qlCalendarAdvance(Calendar,U3330,NDays&amp;"D")</f>
        <v>62177</v>
      </c>
      <c r="W3330" s="249">
        <v>2.4326732779703122E-2</v>
      </c>
      <c r="X3330" s="246">
        <v>2.4239368140825945E-2</v>
      </c>
    </row>
    <row r="3331" spans="20:24" x14ac:dyDescent="0.2">
      <c r="T3331" s="247" t="str">
        <f t="shared" si="56"/>
        <v>1w</v>
      </c>
      <c r="U3331" s="245">
        <f>_xll.qlCalendarAdvance(Calendar,U3330,T3331,"f",FALSE)</f>
        <v>62184</v>
      </c>
      <c r="V3331" s="248">
        <f>_xll.qlCalendarAdvance(Calendar,U3331,NDays&amp;"D")</f>
        <v>62186</v>
      </c>
      <c r="W3331" s="249">
        <v>2.4328302983419557E-2</v>
      </c>
      <c r="X3331" s="246">
        <v>2.4241959128969981E-2</v>
      </c>
    </row>
    <row r="3332" spans="20:24" x14ac:dyDescent="0.2">
      <c r="T3332" s="247" t="str">
        <f t="shared" si="56"/>
        <v>1w</v>
      </c>
      <c r="U3332" s="245">
        <f>_xll.qlCalendarAdvance(Calendar,U3331,T3332,"f",FALSE)</f>
        <v>62191</v>
      </c>
      <c r="V3332" s="248">
        <f>_xll.qlCalendarAdvance(Calendar,U3332,NDays&amp;"D")</f>
        <v>62193</v>
      </c>
      <c r="W3332" s="249">
        <v>2.4330260082710976E-2</v>
      </c>
      <c r="X3332" s="246">
        <v>2.4243963784211786E-2</v>
      </c>
    </row>
    <row r="3333" spans="20:24" x14ac:dyDescent="0.2">
      <c r="T3333" s="247" t="str">
        <f t="shared" si="56"/>
        <v>1w</v>
      </c>
      <c r="U3333" s="245">
        <f>_xll.qlCalendarAdvance(Calendar,U3332,T3333,"f",FALSE)</f>
        <v>62198</v>
      </c>
      <c r="V3333" s="248">
        <f>_xll.qlCalendarAdvance(Calendar,U3333,NDays&amp;"D")</f>
        <v>62200</v>
      </c>
      <c r="W3333" s="249">
        <v>2.4332207888729428E-2</v>
      </c>
      <c r="X3333" s="246">
        <v>2.4245959201563139E-2</v>
      </c>
    </row>
    <row r="3334" spans="20:24" x14ac:dyDescent="0.2">
      <c r="T3334" s="247" t="str">
        <f t="shared" si="56"/>
        <v>1w</v>
      </c>
      <c r="U3334" s="245">
        <f>_xll.qlCalendarAdvance(Calendar,U3333,T3334,"f",FALSE)</f>
        <v>62205</v>
      </c>
      <c r="V3334" s="248">
        <f>_xll.qlCalendarAdvance(Calendar,U3334,NDays&amp;"D")</f>
        <v>62207</v>
      </c>
      <c r="W3334" s="249">
        <v>2.4334146401457351E-2</v>
      </c>
      <c r="X3334" s="246">
        <v>2.4247945380704294E-2</v>
      </c>
    </row>
    <row r="3335" spans="20:24" x14ac:dyDescent="0.2">
      <c r="T3335" s="247" t="str">
        <f t="shared" si="56"/>
        <v>1w</v>
      </c>
      <c r="U3335" s="245">
        <f>_xll.qlCalendarAdvance(Calendar,U3334,T3335,"f",FALSE)</f>
        <v>62212</v>
      </c>
      <c r="V3335" s="248">
        <f>_xll.qlCalendarAdvance(Calendar,U3335,NDays&amp;"D")</f>
        <v>62215</v>
      </c>
      <c r="W3335" s="249">
        <v>2.4339220934490969E-2</v>
      </c>
      <c r="X3335" s="246">
        <v>2.425211901166513E-2</v>
      </c>
    </row>
    <row r="3336" spans="20:24" x14ac:dyDescent="0.2">
      <c r="T3336" s="247" t="str">
        <f t="shared" si="56"/>
        <v>1w</v>
      </c>
      <c r="U3336" s="245">
        <f>_xll.qlCalendarAdvance(Calendar,U3335,T3336,"f",FALSE)</f>
        <v>62219</v>
      </c>
      <c r="V3336" s="248">
        <f>_xll.qlCalendarAdvance(Calendar,U3336,NDays&amp;"D")</f>
        <v>62221</v>
      </c>
      <c r="W3336" s="249">
        <v>2.4338951920021824E-2</v>
      </c>
      <c r="X3336" s="246">
        <v>2.4251890025155376E-2</v>
      </c>
    </row>
    <row r="3337" spans="20:24" x14ac:dyDescent="0.2">
      <c r="T3337" s="247" t="str">
        <f t="shared" si="56"/>
        <v>1w</v>
      </c>
      <c r="U3337" s="245">
        <f>_xll.qlCalendarAdvance(Calendar,U3336,T3337,"f",FALSE)</f>
        <v>62226</v>
      </c>
      <c r="V3337" s="248">
        <f>_xll.qlCalendarAdvance(Calendar,U3337,NDays&amp;"D")</f>
        <v>62228</v>
      </c>
      <c r="W3337" s="249">
        <v>2.4340862017733129E-2</v>
      </c>
      <c r="X3337" s="246">
        <v>2.4253848490145558E-2</v>
      </c>
    </row>
    <row r="3338" spans="20:24" x14ac:dyDescent="0.2">
      <c r="T3338" s="247" t="str">
        <f t="shared" si="56"/>
        <v>1w</v>
      </c>
      <c r="U3338" s="245">
        <f>_xll.qlCalendarAdvance(Calendar,U3337,T3338,"f",FALSE)</f>
        <v>62233</v>
      </c>
      <c r="V3338" s="248">
        <f>_xll.qlCalendarAdvance(Calendar,U3338,NDays&amp;"D")</f>
        <v>62235</v>
      </c>
      <c r="W3338" s="249">
        <v>2.4342762821486653E-2</v>
      </c>
      <c r="X3338" s="246">
        <v>2.4255797717405159E-2</v>
      </c>
    </row>
    <row r="3339" spans="20:24" x14ac:dyDescent="0.2">
      <c r="T3339" s="247" t="str">
        <f t="shared" si="56"/>
        <v>1w</v>
      </c>
      <c r="U3339" s="245">
        <f>_xll.qlCalendarAdvance(Calendar,U3338,T3339,"f",FALSE)</f>
        <v>62240</v>
      </c>
      <c r="V3339" s="248">
        <f>_xll.qlCalendarAdvance(Calendar,U3339,NDays&amp;"D")</f>
        <v>62242</v>
      </c>
      <c r="W3339" s="249">
        <v>2.4344654331265026E-2</v>
      </c>
      <c r="X3339" s="246">
        <v>2.4257737706454563E-2</v>
      </c>
    </row>
    <row r="3340" spans="20:24" x14ac:dyDescent="0.2">
      <c r="T3340" s="247" t="str">
        <f t="shared" si="56"/>
        <v>1w</v>
      </c>
      <c r="U3340" s="245">
        <f>_xll.qlCalendarAdvance(Calendar,U3339,T3340,"f",FALSE)</f>
        <v>62247</v>
      </c>
      <c r="V3340" s="248">
        <f>_xll.qlCalendarAdvance(Calendar,U3340,NDays&amp;"D")</f>
        <v>62249</v>
      </c>
      <c r="W3340" s="249">
        <v>2.4346536547059556E-2</v>
      </c>
      <c r="X3340" s="246">
        <v>2.4259668457533579E-2</v>
      </c>
    </row>
    <row r="3341" spans="20:24" x14ac:dyDescent="0.2">
      <c r="T3341" s="247" t="str">
        <f t="shared" si="56"/>
        <v>1w</v>
      </c>
      <c r="U3341" s="245">
        <f>_xll.qlCalendarAdvance(Calendar,U3340,T3341,"f",FALSE)</f>
        <v>62254</v>
      </c>
      <c r="V3341" s="248">
        <f>_xll.qlCalendarAdvance(Calendar,U3341,NDays&amp;"D")</f>
        <v>62256</v>
      </c>
      <c r="W3341" s="249">
        <v>2.4348409468851993E-2</v>
      </c>
      <c r="X3341" s="246">
        <v>2.4261589970402397E-2</v>
      </c>
    </row>
    <row r="3342" spans="20:24" x14ac:dyDescent="0.2">
      <c r="T3342" s="247" t="str">
        <f t="shared" si="56"/>
        <v>1w</v>
      </c>
      <c r="U3342" s="245">
        <f>_xll.qlCalendarAdvance(Calendar,U3341,T3342,"f",FALSE)</f>
        <v>62261</v>
      </c>
      <c r="V3342" s="248">
        <f>_xll.qlCalendarAdvance(Calendar,U3342,NDays&amp;"D")</f>
        <v>62263</v>
      </c>
      <c r="W3342" s="249">
        <v>2.4350273096631916E-2</v>
      </c>
      <c r="X3342" s="246">
        <v>2.42635022454607E-2</v>
      </c>
    </row>
    <row r="3343" spans="20:24" x14ac:dyDescent="0.2">
      <c r="T3343" s="247" t="str">
        <f t="shared" si="56"/>
        <v>1w</v>
      </c>
      <c r="U3343" s="245">
        <f>_xll.qlCalendarAdvance(Calendar,U3342,T3343,"f",FALSE)</f>
        <v>62268</v>
      </c>
      <c r="V3343" s="248">
        <f>_xll.qlCalendarAdvance(Calendar,U3343,NDays&amp;"D")</f>
        <v>62270</v>
      </c>
      <c r="W3343" s="249">
        <v>2.4352127430387158E-2</v>
      </c>
      <c r="X3343" s="246">
        <v>2.4265405282468677E-2</v>
      </c>
    </row>
    <row r="3344" spans="20:24" x14ac:dyDescent="0.2">
      <c r="T3344" s="247" t="str">
        <f t="shared" si="56"/>
        <v>1w</v>
      </c>
      <c r="U3344" s="245">
        <f>_xll.qlCalendarAdvance(Calendar,U3343,T3344,"f",FALSE)</f>
        <v>62275</v>
      </c>
      <c r="V3344" s="248">
        <f>_xll.qlCalendarAdvance(Calendar,U3344,NDays&amp;"D")</f>
        <v>62277</v>
      </c>
      <c r="W3344" s="249">
        <v>2.4353972470101213E-2</v>
      </c>
      <c r="X3344" s="246">
        <v>2.4267299081346394E-2</v>
      </c>
    </row>
    <row r="3345" spans="20:24" x14ac:dyDescent="0.2">
      <c r="T3345" s="247" t="str">
        <f t="shared" si="56"/>
        <v>1w</v>
      </c>
      <c r="U3345" s="245">
        <f>_xll.qlCalendarAdvance(Calendar,U3344,T3345,"f",FALSE)</f>
        <v>62282</v>
      </c>
      <c r="V3345" s="248">
        <f>_xll.qlCalendarAdvance(Calendar,U3345,NDays&amp;"D")</f>
        <v>62284</v>
      </c>
      <c r="W3345" s="249">
        <v>2.435580821576452E-2</v>
      </c>
      <c r="X3345" s="246">
        <v>2.4269183642173786E-2</v>
      </c>
    </row>
    <row r="3346" spans="20:24" x14ac:dyDescent="0.2">
      <c r="T3346" s="247" t="str">
        <f t="shared" ref="T3346:T3409" si="57">T3345</f>
        <v>1w</v>
      </c>
      <c r="U3346" s="245">
        <f>_xll.qlCalendarAdvance(Calendar,U3345,T3346,"f",FALSE)</f>
        <v>62289</v>
      </c>
      <c r="V3346" s="248">
        <f>_xll.qlCalendarAdvance(Calendar,U3346,NDays&amp;"D")</f>
        <v>62291</v>
      </c>
      <c r="W3346" s="249">
        <v>2.435763466736144E-2</v>
      </c>
      <c r="X3346" s="246">
        <v>2.4271058964950853E-2</v>
      </c>
    </row>
    <row r="3347" spans="20:24" x14ac:dyDescent="0.2">
      <c r="T3347" s="247" t="str">
        <f t="shared" si="57"/>
        <v>1w</v>
      </c>
      <c r="U3347" s="245">
        <f>_xll.qlCalendarAdvance(Calendar,U3346,T3347,"f",FALSE)</f>
        <v>62296</v>
      </c>
      <c r="V3347" s="248">
        <f>_xll.qlCalendarAdvance(Calendar,U3347,NDays&amp;"D")</f>
        <v>62298</v>
      </c>
      <c r="W3347" s="249">
        <v>2.4359451824880682E-2</v>
      </c>
      <c r="X3347" s="246">
        <v>2.4272925049837468E-2</v>
      </c>
    </row>
    <row r="3348" spans="20:24" x14ac:dyDescent="0.2">
      <c r="T3348" s="247" t="str">
        <f t="shared" si="57"/>
        <v>1w</v>
      </c>
      <c r="U3348" s="245">
        <f>_xll.qlCalendarAdvance(Calendar,U3347,T3348,"f",FALSE)</f>
        <v>62303</v>
      </c>
      <c r="V3348" s="248">
        <f>_xll.qlCalendarAdvance(Calendar,U3348,NDays&amp;"D")</f>
        <v>62305</v>
      </c>
      <c r="W3348" s="249">
        <v>2.4361259688309204E-2</v>
      </c>
      <c r="X3348" s="246">
        <v>2.4274781896593822E-2</v>
      </c>
    </row>
    <row r="3349" spans="20:24" x14ac:dyDescent="0.2">
      <c r="T3349" s="247" t="str">
        <f t="shared" si="57"/>
        <v>1w</v>
      </c>
      <c r="U3349" s="245">
        <f>_xll.qlCalendarAdvance(Calendar,U3348,T3349,"f",FALSE)</f>
        <v>62310</v>
      </c>
      <c r="V3349" s="248">
        <f>_xll.qlCalendarAdvance(Calendar,U3349,NDays&amp;"D")</f>
        <v>62312</v>
      </c>
      <c r="W3349" s="249">
        <v>2.4363058257632245E-2</v>
      </c>
      <c r="X3349" s="246">
        <v>2.4276629505299852E-2</v>
      </c>
    </row>
    <row r="3350" spans="20:24" x14ac:dyDescent="0.2">
      <c r="T3350" s="247" t="str">
        <f t="shared" si="57"/>
        <v>1w</v>
      </c>
      <c r="U3350" s="245">
        <f>_xll.qlCalendarAdvance(Calendar,U3349,T3350,"f",FALSE)</f>
        <v>62317</v>
      </c>
      <c r="V3350" s="248">
        <f>_xll.qlCalendarAdvance(Calendar,U3350,NDays&amp;"D")</f>
        <v>62319</v>
      </c>
      <c r="W3350" s="249">
        <v>2.4364847532839375E-2</v>
      </c>
      <c r="X3350" s="246">
        <v>2.4278467876035492E-2</v>
      </c>
    </row>
    <row r="3351" spans="20:24" x14ac:dyDescent="0.2">
      <c r="T3351" s="247" t="str">
        <f t="shared" si="57"/>
        <v>1w</v>
      </c>
      <c r="U3351" s="245">
        <f>_xll.qlCalendarAdvance(Calendar,U3350,T3351,"f",FALSE)</f>
        <v>62324</v>
      </c>
      <c r="V3351" s="248">
        <f>_xll.qlCalendarAdvance(Calendar,U3351,NDays&amp;"D")</f>
        <v>62326</v>
      </c>
      <c r="W3351" s="249">
        <v>2.436662751391756E-2</v>
      </c>
      <c r="X3351" s="246">
        <v>2.4280297008720808E-2</v>
      </c>
    </row>
    <row r="3352" spans="20:24" x14ac:dyDescent="0.2">
      <c r="T3352" s="247" t="str">
        <f t="shared" si="57"/>
        <v>1w</v>
      </c>
      <c r="U3352" s="245">
        <f>_xll.qlCalendarAdvance(Calendar,U3351,T3352,"f",FALSE)</f>
        <v>62331</v>
      </c>
      <c r="V3352" s="248">
        <f>_xll.qlCalendarAdvance(Calendar,U3352,NDays&amp;"D")</f>
        <v>62333</v>
      </c>
      <c r="W3352" s="249">
        <v>2.4368398200853764E-2</v>
      </c>
      <c r="X3352" s="246">
        <v>2.4282116903275863E-2</v>
      </c>
    </row>
    <row r="3353" spans="20:24" x14ac:dyDescent="0.2">
      <c r="T3353" s="247" t="str">
        <f t="shared" si="57"/>
        <v>1w</v>
      </c>
      <c r="U3353" s="245">
        <f>_xll.qlCalendarAdvance(Calendar,U3352,T3353,"f",FALSE)</f>
        <v>62338</v>
      </c>
      <c r="V3353" s="248">
        <f>_xll.qlCalendarAdvance(Calendar,U3353,NDays&amp;"D")</f>
        <v>62340</v>
      </c>
      <c r="W3353" s="249">
        <v>2.4369212400881066E-2</v>
      </c>
      <c r="X3353" s="246">
        <v>2.4283927559940466E-2</v>
      </c>
    </row>
    <row r="3354" spans="20:24" x14ac:dyDescent="0.2">
      <c r="T3354" s="247" t="str">
        <f t="shared" si="57"/>
        <v>1w</v>
      </c>
      <c r="U3354" s="245">
        <f>_xll.qlCalendarAdvance(Calendar,U3353,T3354,"f",FALSE)</f>
        <v>62345</v>
      </c>
      <c r="V3354" s="248">
        <f>_xll.qlCalendarAdvance(Calendar,U3354,NDays&amp;"D")</f>
        <v>62347</v>
      </c>
      <c r="W3354" s="249">
        <v>2.4370965045080507E-2</v>
      </c>
      <c r="X3354" s="246">
        <v>2.4285728978554744E-2</v>
      </c>
    </row>
    <row r="3355" spans="20:24" x14ac:dyDescent="0.2">
      <c r="T3355" s="247" t="str">
        <f t="shared" si="57"/>
        <v>1w</v>
      </c>
      <c r="U3355" s="245">
        <f>_xll.qlCalendarAdvance(Calendar,U3354,T3355,"f",FALSE)</f>
        <v>62352</v>
      </c>
      <c r="V3355" s="248">
        <f>_xll.qlCalendarAdvance(Calendar,U3355,NDays&amp;"D")</f>
        <v>62354</v>
      </c>
      <c r="W3355" s="249">
        <v>2.4372708395719742E-2</v>
      </c>
      <c r="X3355" s="246">
        <v>2.4287521159038761E-2</v>
      </c>
    </row>
    <row r="3356" spans="20:24" x14ac:dyDescent="0.2">
      <c r="T3356" s="247" t="str">
        <f t="shared" si="57"/>
        <v>1w</v>
      </c>
      <c r="U3356" s="245">
        <f>_xll.qlCalendarAdvance(Calendar,U3355,T3356,"f",FALSE)</f>
        <v>62359</v>
      </c>
      <c r="V3356" s="248">
        <f>_xll.qlCalendarAdvance(Calendar,U3356,NDays&amp;"D")</f>
        <v>62361</v>
      </c>
      <c r="W3356" s="249">
        <v>2.4378224611255616E-2</v>
      </c>
      <c r="X3356" s="246">
        <v>2.4289304101392517E-2</v>
      </c>
    </row>
    <row r="3357" spans="20:24" x14ac:dyDescent="0.2">
      <c r="T3357" s="247" t="str">
        <f t="shared" si="57"/>
        <v>1w</v>
      </c>
      <c r="U3357" s="245">
        <f>_xll.qlCalendarAdvance(Calendar,U3356,T3357,"f",FALSE)</f>
        <v>62366</v>
      </c>
      <c r="V3357" s="248">
        <f>_xll.qlCalendarAdvance(Calendar,U3357,NDays&amp;"D")</f>
        <v>62368</v>
      </c>
      <c r="W3357" s="249">
        <v>2.437711222296635E-2</v>
      </c>
      <c r="X3357" s="246">
        <v>2.4291077806015693E-2</v>
      </c>
    </row>
    <row r="3358" spans="20:24" x14ac:dyDescent="0.2">
      <c r="T3358" s="247" t="str">
        <f t="shared" si="57"/>
        <v>1w</v>
      </c>
      <c r="U3358" s="245">
        <f>_xll.qlCalendarAdvance(Calendar,U3357,T3358,"f",FALSE)</f>
        <v>62373</v>
      </c>
      <c r="V3358" s="248">
        <f>_xll.qlCalendarAdvance(Calendar,U3358,NDays&amp;"D")</f>
        <v>62375</v>
      </c>
      <c r="W3358" s="249">
        <v>2.4378827144790897E-2</v>
      </c>
      <c r="X3358" s="246">
        <v>2.4292842272428672E-2</v>
      </c>
    </row>
    <row r="3359" spans="20:24" x14ac:dyDescent="0.2">
      <c r="T3359" s="247" t="str">
        <f t="shared" si="57"/>
        <v>1w</v>
      </c>
      <c r="U3359" s="245">
        <f>_xll.qlCalendarAdvance(Calendar,U3358,T3359,"f",FALSE)</f>
        <v>62380</v>
      </c>
      <c r="V3359" s="248">
        <f>_xll.qlCalendarAdvance(Calendar,U3359,NDays&amp;"D")</f>
        <v>62382</v>
      </c>
      <c r="W3359" s="249">
        <v>2.4380532772383969E-2</v>
      </c>
      <c r="X3359" s="246">
        <v>2.4294597500791326E-2</v>
      </c>
    </row>
    <row r="3360" spans="20:24" x14ac:dyDescent="0.2">
      <c r="T3360" s="247" t="str">
        <f t="shared" si="57"/>
        <v>1w</v>
      </c>
      <c r="U3360" s="245">
        <f>_xll.qlCalendarAdvance(Calendar,U3359,T3360,"f",FALSE)</f>
        <v>62387</v>
      </c>
      <c r="V3360" s="248">
        <f>_xll.qlCalendarAdvance(Calendar,U3360,NDays&amp;"D")</f>
        <v>62389</v>
      </c>
      <c r="W3360" s="249">
        <v>2.4382229105738625E-2</v>
      </c>
      <c r="X3360" s="246">
        <v>2.4296343491183592E-2</v>
      </c>
    </row>
    <row r="3361" spans="20:24" x14ac:dyDescent="0.2">
      <c r="T3361" s="247" t="str">
        <f t="shared" si="57"/>
        <v>1w</v>
      </c>
      <c r="U3361" s="245">
        <f>_xll.qlCalendarAdvance(Calendar,U3360,T3361,"f",FALSE)</f>
        <v>62394</v>
      </c>
      <c r="V3361" s="248">
        <f>_xll.qlCalendarAdvance(Calendar,U3361,NDays&amp;"D")</f>
        <v>62396</v>
      </c>
      <c r="W3361" s="249">
        <v>2.4383916144840083E-2</v>
      </c>
      <c r="X3361" s="246">
        <v>2.4298080243525533E-2</v>
      </c>
    </row>
    <row r="3362" spans="20:24" x14ac:dyDescent="0.2">
      <c r="T3362" s="247" t="str">
        <f t="shared" si="57"/>
        <v>1w</v>
      </c>
      <c r="U3362" s="245">
        <f>_xll.qlCalendarAdvance(Calendar,U3361,T3362,"f",FALSE)</f>
        <v>62401</v>
      </c>
      <c r="V3362" s="248">
        <f>_xll.qlCalendarAdvance(Calendar,U3362,NDays&amp;"D")</f>
        <v>62403</v>
      </c>
      <c r="W3362" s="249">
        <v>2.4385593889677926E-2</v>
      </c>
      <c r="X3362" s="246">
        <v>2.4299807757737213E-2</v>
      </c>
    </row>
    <row r="3363" spans="20:24" x14ac:dyDescent="0.2">
      <c r="T3363" s="247" t="str">
        <f t="shared" si="57"/>
        <v>1w</v>
      </c>
      <c r="U3363" s="245">
        <f>_xll.qlCalendarAdvance(Calendar,U3362,T3363,"f",FALSE)</f>
        <v>62408</v>
      </c>
      <c r="V3363" s="248">
        <f>_xll.qlCalendarAdvance(Calendar,U3363,NDays&amp;"D")</f>
        <v>62410</v>
      </c>
      <c r="W3363" s="249">
        <v>2.4387262340238244E-2</v>
      </c>
      <c r="X3363" s="246">
        <v>2.4301526033978504E-2</v>
      </c>
    </row>
    <row r="3364" spans="20:24" x14ac:dyDescent="0.2">
      <c r="T3364" s="247" t="str">
        <f t="shared" si="57"/>
        <v>1w</v>
      </c>
      <c r="U3364" s="245">
        <f>_xll.qlCalendarAdvance(Calendar,U3363,T3364,"f",FALSE)</f>
        <v>62415</v>
      </c>
      <c r="V3364" s="248">
        <f>_xll.qlCalendarAdvance(Calendar,U3364,NDays&amp;"D")</f>
        <v>62417</v>
      </c>
      <c r="W3364" s="249">
        <v>2.4388921496511486E-2</v>
      </c>
      <c r="X3364" s="246">
        <v>2.4303235072169471E-2</v>
      </c>
    </row>
    <row r="3365" spans="20:24" x14ac:dyDescent="0.2">
      <c r="T3365" s="247" t="str">
        <f t="shared" si="57"/>
        <v>1w</v>
      </c>
      <c r="U3365" s="245">
        <f>_xll.qlCalendarAdvance(Calendar,U3364,T3365,"f",FALSE)</f>
        <v>62422</v>
      </c>
      <c r="V3365" s="248">
        <f>_xll.qlCalendarAdvance(Calendar,U3365,NDays&amp;"D")</f>
        <v>62424</v>
      </c>
      <c r="W3365" s="249">
        <v>2.4390571358485481E-2</v>
      </c>
      <c r="X3365" s="246">
        <v>2.4304934872390049E-2</v>
      </c>
    </row>
    <row r="3366" spans="20:24" x14ac:dyDescent="0.2">
      <c r="T3366" s="247" t="str">
        <f t="shared" si="57"/>
        <v>1w</v>
      </c>
      <c r="U3366" s="245">
        <f>_xll.qlCalendarAdvance(Calendar,U3365,T3366,"f",FALSE)</f>
        <v>62429</v>
      </c>
      <c r="V3366" s="248">
        <f>_xll.qlCalendarAdvance(Calendar,U3366,NDays&amp;"D")</f>
        <v>62431</v>
      </c>
      <c r="W3366" s="249">
        <v>2.4390331812123023E-2</v>
      </c>
      <c r="X3366" s="246">
        <v>2.4306625434400431E-2</v>
      </c>
    </row>
    <row r="3367" spans="20:24" x14ac:dyDescent="0.2">
      <c r="T3367" s="247" t="str">
        <f t="shared" si="57"/>
        <v>1w</v>
      </c>
      <c r="U3367" s="245">
        <f>_xll.qlCalendarAdvance(Calendar,U3366,T3367,"f",FALSE)</f>
        <v>62436</v>
      </c>
      <c r="V3367" s="248">
        <f>_xll.qlCalendarAdvance(Calendar,U3367,NDays&amp;"D")</f>
        <v>62438</v>
      </c>
      <c r="W3367" s="249">
        <v>2.4391964192683524E-2</v>
      </c>
      <c r="X3367" s="246">
        <v>2.4308306758600295E-2</v>
      </c>
    </row>
    <row r="3368" spans="20:24" x14ac:dyDescent="0.2">
      <c r="T3368" s="247" t="str">
        <f t="shared" si="57"/>
        <v>1w</v>
      </c>
      <c r="U3368" s="245">
        <f>_xll.qlCalendarAdvance(Calendar,U3367,T3368,"f",FALSE)</f>
        <v>62443</v>
      </c>
      <c r="V3368" s="248">
        <f>_xll.qlCalendarAdvance(Calendar,U3368,NDays&amp;"D")</f>
        <v>62445</v>
      </c>
      <c r="W3368" s="249">
        <v>2.4393587280150619E-2</v>
      </c>
      <c r="X3368" s="246">
        <v>2.4309978844589963E-2</v>
      </c>
    </row>
    <row r="3369" spans="20:24" x14ac:dyDescent="0.2">
      <c r="T3369" s="247" t="str">
        <f t="shared" si="57"/>
        <v>1w</v>
      </c>
      <c r="U3369" s="245">
        <f>_xll.qlCalendarAdvance(Calendar,U3368,T3369,"f",FALSE)</f>
        <v>62450</v>
      </c>
      <c r="V3369" s="248">
        <f>_xll.qlCalendarAdvance(Calendar,U3369,NDays&amp;"D")</f>
        <v>62456</v>
      </c>
      <c r="W3369" s="249">
        <v>2.4397057152665366E-2</v>
      </c>
      <c r="X3369" s="246">
        <v>2.4312587743846592E-2</v>
      </c>
    </row>
    <row r="3370" spans="20:24" x14ac:dyDescent="0.2">
      <c r="T3370" s="247" t="str">
        <f t="shared" si="57"/>
        <v>1w</v>
      </c>
      <c r="U3370" s="245">
        <f>_xll.qlCalendarAdvance(Calendar,U3369,T3370,"f",FALSE)</f>
        <v>62457</v>
      </c>
      <c r="V3370" s="248">
        <f>_xll.qlCalendarAdvance(Calendar,U3370,NDays&amp;"D")</f>
        <v>62460</v>
      </c>
      <c r="W3370" s="249">
        <v>2.4397034031607312E-2</v>
      </c>
      <c r="X3370" s="246">
        <v>2.4315408148982698E-2</v>
      </c>
    </row>
    <row r="3371" spans="20:24" x14ac:dyDescent="0.2">
      <c r="T3371" s="247" t="str">
        <f t="shared" si="57"/>
        <v>1w</v>
      </c>
      <c r="U3371" s="245">
        <f>_xll.qlCalendarAdvance(Calendar,U3370,T3371,"f",FALSE)</f>
        <v>62464</v>
      </c>
      <c r="V3371" s="248">
        <f>_xll.qlCalendarAdvance(Calendar,U3371,NDays&amp;"D")</f>
        <v>62466</v>
      </c>
      <c r="W3371" s="249">
        <v>2.4398400783888441E-2</v>
      </c>
      <c r="X3371" s="246">
        <v>2.4314939674736635E-2</v>
      </c>
    </row>
    <row r="3372" spans="20:24" x14ac:dyDescent="0.2">
      <c r="T3372" s="247" t="str">
        <f t="shared" si="57"/>
        <v>1w</v>
      </c>
      <c r="U3372" s="245">
        <f>_xll.qlCalendarAdvance(Calendar,U3371,T3372,"f",FALSE)</f>
        <v>62471</v>
      </c>
      <c r="V3372" s="248">
        <f>_xll.qlCalendarAdvance(Calendar,U3372,NDays&amp;"D")</f>
        <v>62473</v>
      </c>
      <c r="W3372" s="249">
        <v>2.4399986698875331E-2</v>
      </c>
      <c r="X3372" s="246">
        <v>2.4316574808525004E-2</v>
      </c>
    </row>
    <row r="3373" spans="20:24" x14ac:dyDescent="0.2">
      <c r="T3373" s="247" t="str">
        <f t="shared" si="57"/>
        <v>1w</v>
      </c>
      <c r="U3373" s="245">
        <f>_xll.qlCalendarAdvance(Calendar,U3372,T3373,"f",FALSE)</f>
        <v>62478</v>
      </c>
      <c r="V3373" s="248">
        <f>_xll.qlCalendarAdvance(Calendar,U3373,NDays&amp;"D")</f>
        <v>62480</v>
      </c>
      <c r="W3373" s="249">
        <v>2.4401563320714637E-2</v>
      </c>
      <c r="X3373" s="246">
        <v>2.4318200704422921E-2</v>
      </c>
    </row>
    <row r="3374" spans="20:24" x14ac:dyDescent="0.2">
      <c r="T3374" s="247" t="str">
        <f t="shared" si="57"/>
        <v>1w</v>
      </c>
      <c r="U3374" s="245">
        <f>_xll.qlCalendarAdvance(Calendar,U3373,T3374,"f",FALSE)</f>
        <v>62485</v>
      </c>
      <c r="V3374" s="248">
        <f>_xll.qlCalendarAdvance(Calendar,U3374,NDays&amp;"D")</f>
        <v>62487</v>
      </c>
      <c r="W3374" s="249">
        <v>2.4403130649396587E-2</v>
      </c>
      <c r="X3374" s="246">
        <v>2.4319817362270513E-2</v>
      </c>
    </row>
    <row r="3375" spans="20:24" x14ac:dyDescent="0.2">
      <c r="T3375" s="247" t="str">
        <f t="shared" si="57"/>
        <v>1w</v>
      </c>
      <c r="U3375" s="245">
        <f>_xll.qlCalendarAdvance(Calendar,U3374,T3375,"f",FALSE)</f>
        <v>62492</v>
      </c>
      <c r="V3375" s="248">
        <f>_xll.qlCalendarAdvance(Calendar,U3375,NDays&amp;"D")</f>
        <v>62494</v>
      </c>
      <c r="W3375" s="249">
        <v>2.4403753615963648E-2</v>
      </c>
      <c r="X3375" s="246">
        <v>2.432142478206778E-2</v>
      </c>
    </row>
    <row r="3376" spans="20:24" x14ac:dyDescent="0.2">
      <c r="T3376" s="247" t="str">
        <f t="shared" si="57"/>
        <v>1w</v>
      </c>
      <c r="U3376" s="245">
        <f>_xll.qlCalendarAdvance(Calendar,U3375,T3376,"f",FALSE)</f>
        <v>62499</v>
      </c>
      <c r="V3376" s="248">
        <f>_xll.qlCalendarAdvance(Calendar,U3376,NDays&amp;"D")</f>
        <v>62501</v>
      </c>
      <c r="W3376" s="249">
        <v>2.4405302917378899E-2</v>
      </c>
      <c r="X3376" s="246">
        <v>2.4323022963814722E-2</v>
      </c>
    </row>
    <row r="3377" spans="20:24" x14ac:dyDescent="0.2">
      <c r="T3377" s="247" t="str">
        <f t="shared" si="57"/>
        <v>1w</v>
      </c>
      <c r="U3377" s="245">
        <f>_xll.qlCalendarAdvance(Calendar,U3376,T3377,"f",FALSE)</f>
        <v>62506</v>
      </c>
      <c r="V3377" s="248">
        <f>_xll.qlCalendarAdvance(Calendar,U3377,NDays&amp;"D")</f>
        <v>62508</v>
      </c>
      <c r="W3377" s="249">
        <v>2.4406842926224737E-2</v>
      </c>
      <c r="X3377" s="246">
        <v>2.4324611907591276E-2</v>
      </c>
    </row>
    <row r="3378" spans="20:24" x14ac:dyDescent="0.2">
      <c r="T3378" s="247" t="str">
        <f t="shared" si="57"/>
        <v>1w</v>
      </c>
      <c r="U3378" s="245">
        <f>_xll.qlCalendarAdvance(Calendar,U3377,T3378,"f",FALSE)</f>
        <v>62513</v>
      </c>
      <c r="V3378" s="248">
        <f>_xll.qlCalendarAdvance(Calendar,U3378,NDays&amp;"D")</f>
        <v>62515</v>
      </c>
      <c r="W3378" s="249">
        <v>2.4408373642491286E-2</v>
      </c>
      <c r="X3378" s="246">
        <v>2.4326191613317505E-2</v>
      </c>
    </row>
    <row r="3379" spans="20:24" x14ac:dyDescent="0.2">
      <c r="T3379" s="247" t="str">
        <f t="shared" si="57"/>
        <v>1w</v>
      </c>
      <c r="U3379" s="245">
        <f>_xll.qlCalendarAdvance(Calendar,U3378,T3379,"f",FALSE)</f>
        <v>62520</v>
      </c>
      <c r="V3379" s="248">
        <f>_xll.qlCalendarAdvance(Calendar,U3379,NDays&amp;"D")</f>
        <v>62522</v>
      </c>
      <c r="W3379" s="249">
        <v>2.4412693518200003E-2</v>
      </c>
      <c r="X3379" s="246">
        <v>2.4327762080993409E-2</v>
      </c>
    </row>
    <row r="3380" spans="20:24" x14ac:dyDescent="0.2">
      <c r="T3380" s="247" t="str">
        <f t="shared" si="57"/>
        <v>1w</v>
      </c>
      <c r="U3380" s="245">
        <f>_xll.qlCalendarAdvance(Calendar,U3379,T3380,"f",FALSE)</f>
        <v>62527</v>
      </c>
      <c r="V3380" s="248">
        <f>_xll.qlCalendarAdvance(Calendar,U3380,NDays&amp;"D")</f>
        <v>62529</v>
      </c>
      <c r="W3380" s="249">
        <v>2.44142039643108E-2</v>
      </c>
      <c r="X3380" s="246">
        <v>2.4329323310618989E-2</v>
      </c>
    </row>
    <row r="3381" spans="20:24" x14ac:dyDescent="0.2">
      <c r="T3381" s="247" t="str">
        <f t="shared" si="57"/>
        <v>1w</v>
      </c>
      <c r="U3381" s="245">
        <f>_xll.qlCalendarAdvance(Calendar,U3380,T3381,"f",FALSE)</f>
        <v>62534</v>
      </c>
      <c r="V3381" s="248">
        <f>_xll.qlCalendarAdvance(Calendar,U3381,NDays&amp;"D")</f>
        <v>62536</v>
      </c>
      <c r="W3381" s="249">
        <v>2.4415705115940756E-2</v>
      </c>
      <c r="X3381" s="246">
        <v>2.4330875302034372E-2</v>
      </c>
    </row>
    <row r="3382" spans="20:24" x14ac:dyDescent="0.2">
      <c r="T3382" s="247" t="str">
        <f t="shared" si="57"/>
        <v>1w</v>
      </c>
      <c r="U3382" s="245">
        <f>_xll.qlCalendarAdvance(Calendar,U3381,T3382,"f",FALSE)</f>
        <v>62541</v>
      </c>
      <c r="V3382" s="248">
        <f>_xll.qlCalendarAdvance(Calendar,U3382,NDays&amp;"D")</f>
        <v>62543</v>
      </c>
      <c r="W3382" s="249">
        <v>2.4417196973082925E-2</v>
      </c>
      <c r="X3382" s="246">
        <v>2.4332418055639238E-2</v>
      </c>
    </row>
    <row r="3383" spans="20:24" x14ac:dyDescent="0.2">
      <c r="T3383" s="247" t="str">
        <f t="shared" si="57"/>
        <v>1w</v>
      </c>
      <c r="U3383" s="245">
        <f>_xll.qlCalendarAdvance(Calendar,U3382,T3383,"f",FALSE)</f>
        <v>62548</v>
      </c>
      <c r="V3383" s="248">
        <f>_xll.qlCalendarAdvance(Calendar,U3383,NDays&amp;"D")</f>
        <v>62550</v>
      </c>
      <c r="W3383" s="249">
        <v>2.4417748980602592E-2</v>
      </c>
      <c r="X3383" s="246">
        <v>2.4333951571273715E-2</v>
      </c>
    </row>
    <row r="3384" spans="20:24" x14ac:dyDescent="0.2">
      <c r="T3384" s="247" t="str">
        <f t="shared" si="57"/>
        <v>1w</v>
      </c>
      <c r="U3384" s="245">
        <f>_xll.qlCalendarAdvance(Calendar,U3383,T3384,"f",FALSE)</f>
        <v>62555</v>
      </c>
      <c r="V3384" s="248">
        <f>_xll.qlCalendarAdvance(Calendar,U3384,NDays&amp;"D")</f>
        <v>62557</v>
      </c>
      <c r="W3384" s="249">
        <v>2.4419222812961605E-2</v>
      </c>
      <c r="X3384" s="246">
        <v>2.4335475848458188E-2</v>
      </c>
    </row>
    <row r="3385" spans="20:24" x14ac:dyDescent="0.2">
      <c r="T3385" s="247" t="str">
        <f t="shared" si="57"/>
        <v>1w</v>
      </c>
      <c r="U3385" s="245">
        <f>_xll.qlCalendarAdvance(Calendar,U3384,T3385,"f",FALSE)</f>
        <v>62562</v>
      </c>
      <c r="V3385" s="248">
        <f>_xll.qlCalendarAdvance(Calendar,U3385,NDays&amp;"D")</f>
        <v>62564</v>
      </c>
      <c r="W3385" s="249">
        <v>2.4420687351424854E-2</v>
      </c>
      <c r="X3385" s="246">
        <v>2.4340712705262391E-2</v>
      </c>
    </row>
    <row r="3386" spans="20:24" x14ac:dyDescent="0.2">
      <c r="T3386" s="247" t="str">
        <f t="shared" si="57"/>
        <v>1w</v>
      </c>
      <c r="U3386" s="245">
        <f>_xll.qlCalendarAdvance(Calendar,U3385,T3386,"f",FALSE)</f>
        <v>62569</v>
      </c>
      <c r="V3386" s="248">
        <f>_xll.qlCalendarAdvance(Calendar,U3386,NDays&amp;"D")</f>
        <v>62571</v>
      </c>
      <c r="W3386" s="249">
        <v>2.4422142595980044E-2</v>
      </c>
      <c r="X3386" s="246">
        <v>2.4338496689475519E-2</v>
      </c>
    </row>
    <row r="3387" spans="20:24" x14ac:dyDescent="0.2">
      <c r="T3387" s="247" t="str">
        <f t="shared" si="57"/>
        <v>1w</v>
      </c>
      <c r="U3387" s="245">
        <f>_xll.qlCalendarAdvance(Calendar,U3386,T3387,"f",FALSE)</f>
        <v>62576</v>
      </c>
      <c r="V3387" s="248">
        <f>_xll.qlCalendarAdvance(Calendar,U3387,NDays&amp;"D")</f>
        <v>62578</v>
      </c>
      <c r="W3387" s="249">
        <v>2.4424516841081618E-2</v>
      </c>
      <c r="X3387" s="246">
        <v>2.4342781281516679E-2</v>
      </c>
    </row>
    <row r="3388" spans="20:24" x14ac:dyDescent="0.2">
      <c r="T3388" s="247" t="str">
        <f t="shared" si="57"/>
        <v>1w</v>
      </c>
      <c r="U3388" s="245">
        <f>_xll.qlCalendarAdvance(Calendar,U3387,T3388,"f",FALSE)</f>
        <v>62583</v>
      </c>
      <c r="V3388" s="248">
        <f>_xll.qlCalendarAdvance(Calendar,U3388,NDays&amp;"D")</f>
        <v>62585</v>
      </c>
      <c r="W3388" s="249">
        <v>2.4425952931066808E-2</v>
      </c>
      <c r="X3388" s="246">
        <v>2.4341480578051744E-2</v>
      </c>
    </row>
    <row r="3389" spans="20:24" x14ac:dyDescent="0.2">
      <c r="T3389" s="247" t="str">
        <f t="shared" si="57"/>
        <v>1w</v>
      </c>
      <c r="U3389" s="245">
        <f>_xll.qlCalendarAdvance(Calendar,U3388,T3389,"f",FALSE)</f>
        <v>62590</v>
      </c>
      <c r="V3389" s="248">
        <f>_xll.qlCalendarAdvance(Calendar,U3389,NDays&amp;"D")</f>
        <v>62592</v>
      </c>
      <c r="W3389" s="249">
        <v>2.442737972648688E-2</v>
      </c>
      <c r="X3389" s="246">
        <v>2.4342958665304337E-2</v>
      </c>
    </row>
    <row r="3390" spans="20:24" x14ac:dyDescent="0.2">
      <c r="T3390" s="247" t="str">
        <f t="shared" si="57"/>
        <v>1w</v>
      </c>
      <c r="U3390" s="245">
        <f>_xll.qlCalendarAdvance(Calendar,U3389,T3390,"f",FALSE)</f>
        <v>62597</v>
      </c>
      <c r="V3390" s="248">
        <f>_xll.qlCalendarAdvance(Calendar,U3390,NDays&amp;"D")</f>
        <v>62599</v>
      </c>
      <c r="W3390" s="249">
        <v>2.4428797227338359E-2</v>
      </c>
      <c r="X3390" s="246">
        <v>2.4344427514586542E-2</v>
      </c>
    </row>
    <row r="3391" spans="20:24" x14ac:dyDescent="0.2">
      <c r="T3391" s="247" t="str">
        <f t="shared" si="57"/>
        <v>1w</v>
      </c>
      <c r="U3391" s="245">
        <f>_xll.qlCalendarAdvance(Calendar,U3390,T3391,"f",FALSE)</f>
        <v>62604</v>
      </c>
      <c r="V3391" s="248">
        <f>_xll.qlCalendarAdvance(Calendar,U3391,NDays&amp;"D")</f>
        <v>62606</v>
      </c>
      <c r="W3391" s="249">
        <v>2.4430205433607344E-2</v>
      </c>
      <c r="X3391" s="246">
        <v>2.4345887125818422E-2</v>
      </c>
    </row>
    <row r="3392" spans="20:24" x14ac:dyDescent="0.2">
      <c r="T3392" s="247" t="str">
        <f t="shared" si="57"/>
        <v>1w</v>
      </c>
      <c r="U3392" s="245">
        <f>_xll.qlCalendarAdvance(Calendar,U3391,T3392,"f",FALSE)</f>
        <v>62611</v>
      </c>
      <c r="V3392" s="248">
        <f>_xll.qlCalendarAdvance(Calendar,U3392,NDays&amp;"D")</f>
        <v>62613</v>
      </c>
      <c r="W3392" s="249">
        <v>2.4431604345282538E-2</v>
      </c>
      <c r="X3392" s="246">
        <v>2.4347337498760169E-2</v>
      </c>
    </row>
    <row r="3393" spans="20:24" x14ac:dyDescent="0.2">
      <c r="T3393" s="247" t="str">
        <f t="shared" si="57"/>
        <v>1w</v>
      </c>
      <c r="U3393" s="245">
        <f>_xll.qlCalendarAdvance(Calendar,U3392,T3393,"f",FALSE)</f>
        <v>62618</v>
      </c>
      <c r="V3393" s="248">
        <f>_xll.qlCalendarAdvance(Calendar,U3393,NDays&amp;"D")</f>
        <v>62620</v>
      </c>
      <c r="W3393" s="249">
        <v>2.4432993962356993E-2</v>
      </c>
      <c r="X3393" s="246">
        <v>2.4348778633891399E-2</v>
      </c>
    </row>
    <row r="3394" spans="20:24" x14ac:dyDescent="0.2">
      <c r="T3394" s="247" t="str">
        <f t="shared" si="57"/>
        <v>1w</v>
      </c>
      <c r="U3394" s="245">
        <f>_xll.qlCalendarAdvance(Calendar,U3393,T3394,"f",FALSE)</f>
        <v>62625</v>
      </c>
      <c r="V3394" s="248">
        <f>_xll.qlCalendarAdvance(Calendar,U3394,NDays&amp;"D")</f>
        <v>62627</v>
      </c>
      <c r="W3394" s="249">
        <v>2.4434374284820277E-2</v>
      </c>
      <c r="X3394" s="246">
        <v>2.4350210531132177E-2</v>
      </c>
    </row>
    <row r="3395" spans="20:24" x14ac:dyDescent="0.2">
      <c r="T3395" s="247" t="str">
        <f t="shared" si="57"/>
        <v>1w</v>
      </c>
      <c r="U3395" s="245">
        <f>_xll.qlCalendarAdvance(Calendar,U3394,T3395,"f",FALSE)</f>
        <v>62632</v>
      </c>
      <c r="V3395" s="248">
        <f>_xll.qlCalendarAdvance(Calendar,U3395,NDays&amp;"D")</f>
        <v>62634</v>
      </c>
      <c r="W3395" s="249">
        <v>2.4435745312658495E-2</v>
      </c>
      <c r="X3395" s="246">
        <v>2.4351633190082822E-2</v>
      </c>
    </row>
    <row r="3396" spans="20:24" x14ac:dyDescent="0.2">
      <c r="T3396" s="247" t="str">
        <f t="shared" si="57"/>
        <v>1w</v>
      </c>
      <c r="U3396" s="245">
        <f>_xll.qlCalendarAdvance(Calendar,U3395,T3396,"f",FALSE)</f>
        <v>62639</v>
      </c>
      <c r="V3396" s="248">
        <f>_xll.qlCalendarAdvance(Calendar,U3396,NDays&amp;"D")</f>
        <v>62641</v>
      </c>
      <c r="W3396" s="249">
        <v>2.4437107045868166E-2</v>
      </c>
      <c r="X3396" s="246">
        <v>2.4353046610983142E-2</v>
      </c>
    </row>
    <row r="3397" spans="20:24" x14ac:dyDescent="0.2">
      <c r="T3397" s="247" t="str">
        <f t="shared" si="57"/>
        <v>1w</v>
      </c>
      <c r="U3397" s="245">
        <f>_xll.qlCalendarAdvance(Calendar,U3396,T3397,"f",FALSE)</f>
        <v>62646</v>
      </c>
      <c r="V3397" s="248">
        <f>_xll.qlCalendarAdvance(Calendar,U3397,NDays&amp;"D")</f>
        <v>62648</v>
      </c>
      <c r="W3397" s="249">
        <v>2.443845948443539E-2</v>
      </c>
      <c r="X3397" s="246">
        <v>2.435445079399301E-2</v>
      </c>
    </row>
    <row r="3398" spans="20:24" x14ac:dyDescent="0.2">
      <c r="T3398" s="247" t="str">
        <f t="shared" si="57"/>
        <v>1w</v>
      </c>
      <c r="U3398" s="245">
        <f>_xll.qlCalendarAdvance(Calendar,U3397,T3398,"f",FALSE)</f>
        <v>62653</v>
      </c>
      <c r="V3398" s="248">
        <f>_xll.qlCalendarAdvance(Calendar,U3398,NDays&amp;"D")</f>
        <v>62655</v>
      </c>
      <c r="W3398" s="249">
        <v>2.4439802628353217E-2</v>
      </c>
      <c r="X3398" s="246">
        <v>2.4355845738952553E-2</v>
      </c>
    </row>
    <row r="3399" spans="20:24" x14ac:dyDescent="0.2">
      <c r="T3399" s="247" t="str">
        <f t="shared" si="57"/>
        <v>1w</v>
      </c>
      <c r="U3399" s="245">
        <f>_xll.qlCalendarAdvance(Calendar,U3398,T3399,"f",FALSE)</f>
        <v>62660</v>
      </c>
      <c r="V3399" s="248">
        <f>_xll.qlCalendarAdvance(Calendar,U3399,NDays&amp;"D")</f>
        <v>62662</v>
      </c>
      <c r="W3399" s="249">
        <v>2.4441136477610349E-2</v>
      </c>
      <c r="X3399" s="246">
        <v>2.4357231445701899E-2</v>
      </c>
    </row>
    <row r="3400" spans="20:24" x14ac:dyDescent="0.2">
      <c r="T3400" s="247" t="str">
        <f t="shared" si="57"/>
        <v>1w</v>
      </c>
      <c r="U3400" s="245">
        <f>_xll.qlCalendarAdvance(Calendar,U3399,T3400,"f",FALSE)</f>
        <v>62667</v>
      </c>
      <c r="V3400" s="248">
        <f>_xll.qlCalendarAdvance(Calendar,U3400,NDays&amp;"D")</f>
        <v>62669</v>
      </c>
      <c r="W3400" s="249">
        <v>2.4442461032196362E-2</v>
      </c>
      <c r="X3400" s="246">
        <v>2.4358607914640729E-2</v>
      </c>
    </row>
    <row r="3401" spans="20:24" x14ac:dyDescent="0.2">
      <c r="T3401" s="247" t="str">
        <f t="shared" si="57"/>
        <v>1w</v>
      </c>
      <c r="U3401" s="245">
        <f>_xll.qlCalendarAdvance(Calendar,U3400,T3401,"f",FALSE)</f>
        <v>62674</v>
      </c>
      <c r="V3401" s="248">
        <f>_xll.qlCalendarAdvance(Calendar,U3401,NDays&amp;"D")</f>
        <v>62676</v>
      </c>
      <c r="W3401" s="249">
        <v>2.4443776292105174E-2</v>
      </c>
      <c r="X3401" s="246">
        <v>2.4359975145449297E-2</v>
      </c>
    </row>
    <row r="3402" spans="20:24" x14ac:dyDescent="0.2">
      <c r="T3402" s="247" t="str">
        <f t="shared" si="57"/>
        <v>1w</v>
      </c>
      <c r="U3402" s="245">
        <f>_xll.qlCalendarAdvance(Calendar,U3401,T3402,"f",FALSE)</f>
        <v>62681</v>
      </c>
      <c r="V3402" s="248">
        <f>_xll.qlCalendarAdvance(Calendar,U3402,NDays&amp;"D")</f>
        <v>62683</v>
      </c>
      <c r="W3402" s="249">
        <v>2.4445082257323749E-2</v>
      </c>
      <c r="X3402" s="246">
        <v>2.4361333137967733E-2</v>
      </c>
    </row>
    <row r="3403" spans="20:24" x14ac:dyDescent="0.2">
      <c r="T3403" s="247" t="str">
        <f t="shared" si="57"/>
        <v>1w</v>
      </c>
      <c r="U3403" s="245">
        <f>_xll.qlCalendarAdvance(Calendar,U3402,T3403,"f",FALSE)</f>
        <v>62688</v>
      </c>
      <c r="V3403" s="248">
        <f>_xll.qlCalendarAdvance(Calendar,U3403,NDays&amp;"D")</f>
        <v>62690</v>
      </c>
      <c r="W3403" s="249">
        <v>2.4446378927846877E-2</v>
      </c>
      <c r="X3403" s="246">
        <v>2.4362681892755589E-2</v>
      </c>
    </row>
    <row r="3404" spans="20:24" x14ac:dyDescent="0.2">
      <c r="T3404" s="247" t="str">
        <f t="shared" si="57"/>
        <v>1w</v>
      </c>
      <c r="U3404" s="245">
        <f>_xll.qlCalendarAdvance(Calendar,U3403,T3404,"f",FALSE)</f>
        <v>62695</v>
      </c>
      <c r="V3404" s="248">
        <f>_xll.qlCalendarAdvance(Calendar,U3404,NDays&amp;"D")</f>
        <v>62697</v>
      </c>
      <c r="W3404" s="249">
        <v>2.4447666303663261E-2</v>
      </c>
      <c r="X3404" s="246">
        <v>2.436402140949312E-2</v>
      </c>
    </row>
    <row r="3405" spans="20:24" x14ac:dyDescent="0.2">
      <c r="T3405" s="247" t="str">
        <f t="shared" si="57"/>
        <v>1w</v>
      </c>
      <c r="U3405" s="245">
        <f>_xll.qlCalendarAdvance(Calendar,U3404,T3405,"f",FALSE)</f>
        <v>62702</v>
      </c>
      <c r="V3405" s="248">
        <f>_xll.qlCalendarAdvance(Calendar,U3405,NDays&amp;"D")</f>
        <v>62704</v>
      </c>
      <c r="W3405" s="249">
        <v>2.444802638683137E-2</v>
      </c>
      <c r="X3405" s="246">
        <v>2.4365351688020453E-2</v>
      </c>
    </row>
    <row r="3406" spans="20:24" x14ac:dyDescent="0.2">
      <c r="T3406" s="247" t="str">
        <f t="shared" si="57"/>
        <v>1w</v>
      </c>
      <c r="U3406" s="245">
        <f>_xll.qlCalendarAdvance(Calendar,U3405,T3406,"f",FALSE)</f>
        <v>62709</v>
      </c>
      <c r="V3406" s="248">
        <f>_xll.qlCalendarAdvance(Calendar,U3406,NDays&amp;"D")</f>
        <v>62711</v>
      </c>
      <c r="W3406" s="249">
        <v>2.4449295751171603E-2</v>
      </c>
      <c r="X3406" s="246">
        <v>2.4366672728657335E-2</v>
      </c>
    </row>
    <row r="3407" spans="20:24" x14ac:dyDescent="0.2">
      <c r="T3407" s="247" t="str">
        <f t="shared" si="57"/>
        <v>1w</v>
      </c>
      <c r="U3407" s="245">
        <f>_xll.qlCalendarAdvance(Calendar,U3406,T3407,"f",FALSE)</f>
        <v>62716</v>
      </c>
      <c r="V3407" s="248">
        <f>_xll.qlCalendarAdvance(Calendar,U3407,NDays&amp;"D")</f>
        <v>62718</v>
      </c>
      <c r="W3407" s="249">
        <v>2.4450555821403496E-2</v>
      </c>
      <c r="X3407" s="246">
        <v>2.4367984531243891E-2</v>
      </c>
    </row>
    <row r="3408" spans="20:24" x14ac:dyDescent="0.2">
      <c r="T3408" s="247" t="str">
        <f t="shared" si="57"/>
        <v>1w</v>
      </c>
      <c r="U3408" s="245">
        <f>_xll.qlCalendarAdvance(Calendar,U3407,T3408,"f",FALSE)</f>
        <v>62723</v>
      </c>
      <c r="V3408" s="248">
        <f>_xll.qlCalendarAdvance(Calendar,U3408,NDays&amp;"D")</f>
        <v>62725</v>
      </c>
      <c r="W3408" s="249">
        <v>2.4451806597519141E-2</v>
      </c>
      <c r="X3408" s="246">
        <v>2.4369287095700187E-2</v>
      </c>
    </row>
    <row r="3409" spans="20:24" x14ac:dyDescent="0.2">
      <c r="T3409" s="247" t="str">
        <f t="shared" si="57"/>
        <v>1w</v>
      </c>
      <c r="U3409" s="245">
        <f>_xll.qlCalendarAdvance(Calendar,U3408,T3409,"f",FALSE)</f>
        <v>62730</v>
      </c>
      <c r="V3409" s="248">
        <f>_xll.qlCalendarAdvance(Calendar,U3409,NDays&amp;"D")</f>
        <v>62732</v>
      </c>
      <c r="W3409" s="249">
        <v>2.4456710724533211E-2</v>
      </c>
      <c r="X3409" s="246">
        <v>2.4370580422186094E-2</v>
      </c>
    </row>
    <row r="3410" spans="20:24" x14ac:dyDescent="0.2">
      <c r="T3410" s="247" t="str">
        <f t="shared" ref="T3410:T3473" si="58">T3409</f>
        <v>1w</v>
      </c>
      <c r="U3410" s="245">
        <f>_xll.qlCalendarAdvance(Calendar,U3409,T3410,"f",FALSE)</f>
        <v>62737</v>
      </c>
      <c r="V3410" s="248">
        <f>_xll.qlCalendarAdvance(Calendar,U3410,NDays&amp;"D")</f>
        <v>62739</v>
      </c>
      <c r="W3410" s="249">
        <v>2.4455195369206456E-2</v>
      </c>
      <c r="X3410" s="246">
        <v>2.4371864510461805E-2</v>
      </c>
    </row>
    <row r="3411" spans="20:24" x14ac:dyDescent="0.2">
      <c r="T3411" s="247" t="str">
        <f t="shared" si="58"/>
        <v>1w</v>
      </c>
      <c r="U3411" s="245">
        <f>_xll.qlCalendarAdvance(Calendar,U3410,T3411,"f",FALSE)</f>
        <v>62744</v>
      </c>
      <c r="V3411" s="248">
        <f>_xll.qlCalendarAdvance(Calendar,U3411,NDays&amp;"D")</f>
        <v>62746</v>
      </c>
      <c r="W3411" s="249">
        <v>2.4456417681824535E-2</v>
      </c>
      <c r="X3411" s="246">
        <v>2.4373139360926999E-2</v>
      </c>
    </row>
    <row r="3412" spans="20:24" x14ac:dyDescent="0.2">
      <c r="T3412" s="247" t="str">
        <f t="shared" si="58"/>
        <v>1w</v>
      </c>
      <c r="U3412" s="245">
        <f>_xll.qlCalendarAdvance(Calendar,U3411,T3412,"f",FALSE)</f>
        <v>62751</v>
      </c>
      <c r="V3412" s="248">
        <f>_xll.qlCalendarAdvance(Calendar,U3412,NDays&amp;"D")</f>
        <v>62753</v>
      </c>
      <c r="W3412" s="249">
        <v>2.4457630699662884E-2</v>
      </c>
      <c r="X3412" s="246">
        <v>2.4374404973341868E-2</v>
      </c>
    </row>
    <row r="3413" spans="20:24" x14ac:dyDescent="0.2">
      <c r="T3413" s="247" t="str">
        <f t="shared" si="58"/>
        <v>1w</v>
      </c>
      <c r="U3413" s="245">
        <f>_xll.qlCalendarAdvance(Calendar,U3412,T3413,"f",FALSE)</f>
        <v>62758</v>
      </c>
      <c r="V3413" s="248">
        <f>_xll.qlCalendarAdvance(Calendar,U3413,NDays&amp;"D")</f>
        <v>62760</v>
      </c>
      <c r="W3413" s="249">
        <v>2.445883442271542E-2</v>
      </c>
      <c r="X3413" s="246">
        <v>2.437566134754654E-2</v>
      </c>
    </row>
    <row r="3414" spans="20:24" x14ac:dyDescent="0.2">
      <c r="T3414" s="247" t="str">
        <f t="shared" si="58"/>
        <v>1w</v>
      </c>
      <c r="U3414" s="245">
        <f>_xll.qlCalendarAdvance(Calendar,U3413,T3414,"f",FALSE)</f>
        <v>62765</v>
      </c>
      <c r="V3414" s="248">
        <f>_xll.qlCalendarAdvance(Calendar,U3414,NDays&amp;"D")</f>
        <v>62767</v>
      </c>
      <c r="W3414" s="249">
        <v>2.4460028850972593E-2</v>
      </c>
      <c r="X3414" s="246">
        <v>2.4376908483780824E-2</v>
      </c>
    </row>
    <row r="3415" spans="20:24" x14ac:dyDescent="0.2">
      <c r="T3415" s="247" t="str">
        <f t="shared" si="58"/>
        <v>1w</v>
      </c>
      <c r="U3415" s="245">
        <f>_xll.qlCalendarAdvance(Calendar,U3414,T3415,"f",FALSE)</f>
        <v>62772</v>
      </c>
      <c r="V3415" s="248">
        <f>_xll.qlCalendarAdvance(Calendar,U3415,NDays&amp;"D")</f>
        <v>62774</v>
      </c>
      <c r="W3415" s="249">
        <v>2.4461213984426574E-2</v>
      </c>
      <c r="X3415" s="246">
        <v>2.4378146381964783E-2</v>
      </c>
    </row>
    <row r="3416" spans="20:24" x14ac:dyDescent="0.2">
      <c r="T3416" s="247" t="str">
        <f t="shared" si="58"/>
        <v>1w</v>
      </c>
      <c r="U3416" s="245">
        <f>_xll.qlCalendarAdvance(Calendar,U3415,T3416,"f",FALSE)</f>
        <v>62779</v>
      </c>
      <c r="V3416" s="248">
        <f>_xll.qlCalendarAdvance(Calendar,U3416,NDays&amp;"D")</f>
        <v>62781</v>
      </c>
      <c r="W3416" s="249">
        <v>2.4462389823069548E-2</v>
      </c>
      <c r="X3416" s="246">
        <v>2.4379375042178353E-2</v>
      </c>
    </row>
    <row r="3417" spans="20:24" x14ac:dyDescent="0.2">
      <c r="T3417" s="247" t="str">
        <f t="shared" si="58"/>
        <v>1w</v>
      </c>
      <c r="U3417" s="245">
        <f>_xll.qlCalendarAdvance(Calendar,U3416,T3417,"f",FALSE)</f>
        <v>62786</v>
      </c>
      <c r="V3417" s="248">
        <f>_xll.qlCalendarAdvance(Calendar,U3417,NDays&amp;"D")</f>
        <v>62788</v>
      </c>
      <c r="W3417" s="249">
        <v>2.4463556366891088E-2</v>
      </c>
      <c r="X3417" s="246">
        <v>2.4380594464341598E-2</v>
      </c>
    </row>
    <row r="3418" spans="20:24" x14ac:dyDescent="0.2">
      <c r="T3418" s="247" t="str">
        <f t="shared" si="58"/>
        <v>1w</v>
      </c>
      <c r="U3418" s="245">
        <f>_xll.qlCalendarAdvance(Calendar,U3417,T3418,"f",FALSE)</f>
        <v>62793</v>
      </c>
      <c r="V3418" s="248">
        <f>_xll.qlCalendarAdvance(Calendar,U3418,NDays&amp;"D")</f>
        <v>62795</v>
      </c>
      <c r="W3418" s="249">
        <v>2.4463803180323217E-2</v>
      </c>
      <c r="X3418" s="246">
        <v>2.4381804648454519E-2</v>
      </c>
    </row>
    <row r="3419" spans="20:24" x14ac:dyDescent="0.2">
      <c r="T3419" s="247" t="str">
        <f t="shared" si="58"/>
        <v>1w</v>
      </c>
      <c r="U3419" s="245">
        <f>_xll.qlCalendarAdvance(Calendar,U3418,T3419,"f",FALSE)</f>
        <v>62800</v>
      </c>
      <c r="V3419" s="248">
        <f>_xll.qlCalendarAdvance(Calendar,U3419,NDays&amp;"D")</f>
        <v>62802</v>
      </c>
      <c r="W3419" s="249">
        <v>2.4464951720586554E-2</v>
      </c>
      <c r="X3419" s="246">
        <v>2.4383005594517115E-2</v>
      </c>
    </row>
    <row r="3420" spans="20:24" x14ac:dyDescent="0.2">
      <c r="T3420" s="247" t="str">
        <f t="shared" si="58"/>
        <v>1w</v>
      </c>
      <c r="U3420" s="245">
        <f>_xll.qlCalendarAdvance(Calendar,U3419,T3420,"f",FALSE)</f>
        <v>62807</v>
      </c>
      <c r="V3420" s="248">
        <f>_xll.qlCalendarAdvance(Calendar,U3420,NDays&amp;"D")</f>
        <v>62809</v>
      </c>
      <c r="W3420" s="249">
        <v>2.4466090966628232E-2</v>
      </c>
      <c r="X3420" s="246">
        <v>2.4384197302369515E-2</v>
      </c>
    </row>
    <row r="3421" spans="20:24" x14ac:dyDescent="0.2">
      <c r="T3421" s="247" t="str">
        <f t="shared" si="58"/>
        <v>1w</v>
      </c>
      <c r="U3421" s="245">
        <f>_xll.qlCalendarAdvance(Calendar,U3420,T3421,"f",FALSE)</f>
        <v>62814</v>
      </c>
      <c r="V3421" s="248">
        <f>_xll.qlCalendarAdvance(Calendar,U3421,NDays&amp;"D")</f>
        <v>62816</v>
      </c>
      <c r="W3421" s="249">
        <v>2.4467220918445619E-2</v>
      </c>
      <c r="X3421" s="246">
        <v>2.4388109696937832E-2</v>
      </c>
    </row>
    <row r="3422" spans="20:24" x14ac:dyDescent="0.2">
      <c r="T3422" s="247" t="str">
        <f t="shared" si="58"/>
        <v>1w</v>
      </c>
      <c r="U3422" s="245">
        <f>_xll.qlCalendarAdvance(Calendar,U3421,T3422,"f",FALSE)</f>
        <v>62821</v>
      </c>
      <c r="V3422" s="248">
        <f>_xll.qlCalendarAdvance(Calendar,U3422,NDays&amp;"D")</f>
        <v>62823</v>
      </c>
      <c r="W3422" s="249">
        <v>2.4468341576029933E-2</v>
      </c>
      <c r="X3422" s="246">
        <v>2.4389281187302547E-2</v>
      </c>
    </row>
    <row r="3423" spans="20:24" x14ac:dyDescent="0.2">
      <c r="T3423" s="247" t="str">
        <f t="shared" si="58"/>
        <v>1w</v>
      </c>
      <c r="U3423" s="245">
        <f>_xll.qlCalendarAdvance(Calendar,U3422,T3423,"f",FALSE)</f>
        <v>62828</v>
      </c>
      <c r="V3423" s="248">
        <f>_xll.qlCalendarAdvance(Calendar,U3423,NDays&amp;"D")</f>
        <v>62830</v>
      </c>
      <c r="W3423" s="249">
        <v>2.4469452939370629E-2</v>
      </c>
      <c r="X3423" s="246">
        <v>2.4387716998024445E-2</v>
      </c>
    </row>
    <row r="3424" spans="20:24" x14ac:dyDescent="0.2">
      <c r="T3424" s="247" t="str">
        <f t="shared" si="58"/>
        <v>1w</v>
      </c>
      <c r="U3424" s="245">
        <f>_xll.qlCalendarAdvance(Calendar,U3423,T3424,"f",FALSE)</f>
        <v>62835</v>
      </c>
      <c r="V3424" s="248">
        <f>_xll.qlCalendarAdvance(Calendar,U3424,NDays&amp;"D")</f>
        <v>62837</v>
      </c>
      <c r="W3424" s="249">
        <v>2.4470555008461559E-2</v>
      </c>
      <c r="X3424" s="246">
        <v>2.4388871753915353E-2</v>
      </c>
    </row>
    <row r="3425" spans="20:24" x14ac:dyDescent="0.2">
      <c r="T3425" s="247" t="str">
        <f t="shared" si="58"/>
        <v>1w</v>
      </c>
      <c r="U3425" s="245">
        <f>_xll.qlCalendarAdvance(Calendar,U3424,T3425,"f",FALSE)</f>
        <v>62842</v>
      </c>
      <c r="V3425" s="248">
        <f>_xll.qlCalendarAdvance(Calendar,U3425,NDays&amp;"D")</f>
        <v>62844</v>
      </c>
      <c r="W3425" s="249">
        <v>2.4471647783296576E-2</v>
      </c>
      <c r="X3425" s="246">
        <v>2.4390017271676001E-2</v>
      </c>
    </row>
    <row r="3426" spans="20:24" x14ac:dyDescent="0.2">
      <c r="T3426" s="247" t="str">
        <f t="shared" si="58"/>
        <v>1w</v>
      </c>
      <c r="U3426" s="245">
        <f>_xll.qlCalendarAdvance(Calendar,U3425,T3426,"f",FALSE)</f>
        <v>62849</v>
      </c>
      <c r="V3426" s="248">
        <f>_xll.qlCalendarAdvance(Calendar,U3426,NDays&amp;"D")</f>
        <v>62851</v>
      </c>
      <c r="W3426" s="249">
        <v>2.4472731263866017E-2</v>
      </c>
      <c r="X3426" s="246">
        <v>2.4391153551386324E-2</v>
      </c>
    </row>
    <row r="3427" spans="20:24" x14ac:dyDescent="0.2">
      <c r="T3427" s="247" t="str">
        <f t="shared" si="58"/>
        <v>1w</v>
      </c>
      <c r="U3427" s="245">
        <f>_xll.qlCalendarAdvance(Calendar,U3426,T3427,"f",FALSE)</f>
        <v>62856</v>
      </c>
      <c r="V3427" s="248">
        <f>_xll.qlCalendarAdvance(Calendar,U3427,NDays&amp;"D")</f>
        <v>62858</v>
      </c>
      <c r="W3427" s="249">
        <v>2.4472900296571787E-2</v>
      </c>
      <c r="X3427" s="246">
        <v>2.4392280593126259E-2</v>
      </c>
    </row>
    <row r="3428" spans="20:24" x14ac:dyDescent="0.2">
      <c r="T3428" s="247" t="str">
        <f t="shared" si="58"/>
        <v>1w</v>
      </c>
      <c r="U3428" s="245">
        <f>_xll.qlCalendarAdvance(Calendar,U3427,T3428,"f",FALSE)</f>
        <v>62863</v>
      </c>
      <c r="V3428" s="248">
        <f>_xll.qlCalendarAdvance(Calendar,U3428,NDays&amp;"D")</f>
        <v>62865</v>
      </c>
      <c r="W3428" s="249">
        <v>2.447396578025085E-2</v>
      </c>
      <c r="X3428" s="246">
        <v>2.4393398396815869E-2</v>
      </c>
    </row>
    <row r="3429" spans="20:24" x14ac:dyDescent="0.2">
      <c r="T3429" s="247" t="str">
        <f t="shared" si="58"/>
        <v>1w</v>
      </c>
      <c r="U3429" s="245">
        <f>_xll.qlCalendarAdvance(Calendar,U3428,T3429,"f",FALSE)</f>
        <v>62870</v>
      </c>
      <c r="V3429" s="248">
        <f>_xll.qlCalendarAdvance(Calendar,U3429,NDays&amp;"D")</f>
        <v>62872</v>
      </c>
      <c r="W3429" s="249">
        <v>2.447502197026985E-2</v>
      </c>
      <c r="X3429" s="246">
        <v>2.439450696253509E-2</v>
      </c>
    </row>
    <row r="3430" spans="20:24" x14ac:dyDescent="0.2">
      <c r="T3430" s="247" t="str">
        <f t="shared" si="58"/>
        <v>1w</v>
      </c>
      <c r="U3430" s="245">
        <f>_xll.qlCalendarAdvance(Calendar,U3429,T3430,"f",FALSE)</f>
        <v>62877</v>
      </c>
      <c r="V3430" s="248">
        <f>_xll.qlCalendarAdvance(Calendar,U3430,NDays&amp;"D")</f>
        <v>62879</v>
      </c>
      <c r="W3430" s="249">
        <v>2.4476068866621681E-2</v>
      </c>
      <c r="X3430" s="246">
        <v>2.4395606290044114E-2</v>
      </c>
    </row>
    <row r="3431" spans="20:24" x14ac:dyDescent="0.2">
      <c r="T3431" s="247" t="str">
        <f t="shared" si="58"/>
        <v>1w</v>
      </c>
      <c r="U3431" s="245">
        <f>_xll.qlCalendarAdvance(Calendar,U3430,T3431,"f",FALSE)</f>
        <v>62884</v>
      </c>
      <c r="V3431" s="248">
        <f>_xll.qlCalendarAdvance(Calendar,U3431,NDays&amp;"D")</f>
        <v>62886</v>
      </c>
      <c r="W3431" s="249">
        <v>2.4478912019775114E-2</v>
      </c>
      <c r="X3431" s="246">
        <v>2.4396696379502814E-2</v>
      </c>
    </row>
    <row r="3432" spans="20:24" x14ac:dyDescent="0.2">
      <c r="T3432" s="247" t="str">
        <f t="shared" si="58"/>
        <v>1w</v>
      </c>
      <c r="U3432" s="245">
        <f>_xll.qlCalendarAdvance(Calendar,U3431,T3432,"f",FALSE)</f>
        <v>62891</v>
      </c>
      <c r="V3432" s="248">
        <f>_xll.qlCalendarAdvance(Calendar,U3432,NDays&amp;"D")</f>
        <v>62893</v>
      </c>
      <c r="W3432" s="249">
        <v>2.4479939140339368E-2</v>
      </c>
      <c r="X3432" s="246">
        <v>2.4397777230911188E-2</v>
      </c>
    </row>
    <row r="3433" spans="20:24" x14ac:dyDescent="0.2">
      <c r="T3433" s="247" t="str">
        <f t="shared" si="58"/>
        <v>1w</v>
      </c>
      <c r="U3433" s="245">
        <f>_xll.qlCalendarAdvance(Calendar,U3432,T3433,"f",FALSE)</f>
        <v>62898</v>
      </c>
      <c r="V3433" s="248">
        <f>_xll.qlCalendarAdvance(Calendar,U3433,NDays&amp;"D")</f>
        <v>62900</v>
      </c>
      <c r="W3433" s="249">
        <v>2.4480956965961413E-2</v>
      </c>
      <c r="X3433" s="246">
        <v>2.4398848844509047E-2</v>
      </c>
    </row>
    <row r="3434" spans="20:24" x14ac:dyDescent="0.2">
      <c r="T3434" s="247" t="str">
        <f t="shared" si="58"/>
        <v>1w</v>
      </c>
      <c r="U3434" s="245">
        <f>_xll.qlCalendarAdvance(Calendar,U3433,T3434,"f",FALSE)</f>
        <v>62905</v>
      </c>
      <c r="V3434" s="248">
        <f>_xll.qlCalendarAdvance(Calendar,U3434,NDays&amp;"D")</f>
        <v>62907</v>
      </c>
      <c r="W3434" s="249">
        <v>2.4481965496630825E-2</v>
      </c>
      <c r="X3434" s="246">
        <v>2.4399911219816772E-2</v>
      </c>
    </row>
    <row r="3435" spans="20:24" x14ac:dyDescent="0.2">
      <c r="T3435" s="247" t="str">
        <f t="shared" si="58"/>
        <v>1w</v>
      </c>
      <c r="U3435" s="245">
        <f>_xll.qlCalendarAdvance(Calendar,U3434,T3435,"f",FALSE)</f>
        <v>62912</v>
      </c>
      <c r="V3435" s="248">
        <f>_xll.qlCalendarAdvance(Calendar,U3435,NDays&amp;"D")</f>
        <v>62914</v>
      </c>
      <c r="W3435" s="249">
        <v>2.448206434583482E-2</v>
      </c>
      <c r="X3435" s="246">
        <v>2.4400964356994237E-2</v>
      </c>
    </row>
    <row r="3436" spans="20:24" x14ac:dyDescent="0.2">
      <c r="T3436" s="247" t="str">
        <f t="shared" si="58"/>
        <v>1w</v>
      </c>
      <c r="U3436" s="245">
        <f>_xll.qlCalendarAdvance(Calendar,U3435,T3436,"f",FALSE)</f>
        <v>62919</v>
      </c>
      <c r="V3436" s="248">
        <f>_xll.qlCalendarAdvance(Calendar,U3436,NDays&amp;"D")</f>
        <v>62921</v>
      </c>
      <c r="W3436" s="249">
        <v>2.448305488334793E-2</v>
      </c>
      <c r="X3436" s="246">
        <v>2.4405613032710605E-2</v>
      </c>
    </row>
    <row r="3437" spans="20:24" x14ac:dyDescent="0.2">
      <c r="T3437" s="247" t="str">
        <f t="shared" si="58"/>
        <v>1w</v>
      </c>
      <c r="U3437" s="245">
        <f>_xll.qlCalendarAdvance(Calendar,U3436,T3437,"f",FALSE)</f>
        <v>62926</v>
      </c>
      <c r="V3437" s="248">
        <f>_xll.qlCalendarAdvance(Calendar,U3437,NDays&amp;"D")</f>
        <v>62928</v>
      </c>
      <c r="W3437" s="249">
        <v>2.4484036126517287E-2</v>
      </c>
      <c r="X3437" s="246">
        <v>2.4403042917677809E-2</v>
      </c>
    </row>
    <row r="3438" spans="20:24" x14ac:dyDescent="0.2">
      <c r="T3438" s="247" t="str">
        <f t="shared" si="58"/>
        <v>1w</v>
      </c>
      <c r="U3438" s="245">
        <f>_xll.qlCalendarAdvance(Calendar,U3437,T3438,"f",FALSE)</f>
        <v>62933</v>
      </c>
      <c r="V3438" s="248">
        <f>_xll.qlCalendarAdvance(Calendar,U3438,NDays&amp;"D")</f>
        <v>62935</v>
      </c>
      <c r="W3438" s="249">
        <v>2.4485008075333225E-2</v>
      </c>
      <c r="X3438" s="246">
        <v>2.4404068340864171E-2</v>
      </c>
    </row>
    <row r="3439" spans="20:24" x14ac:dyDescent="0.2">
      <c r="T3439" s="247" t="str">
        <f t="shared" si="58"/>
        <v>1w</v>
      </c>
      <c r="U3439" s="245">
        <f>_xll.qlCalendarAdvance(Calendar,U3438,T3439,"f",FALSE)</f>
        <v>62940</v>
      </c>
      <c r="V3439" s="248">
        <f>_xll.qlCalendarAdvance(Calendar,U3439,NDays&amp;"D")</f>
        <v>62942</v>
      </c>
      <c r="W3439" s="249">
        <v>2.4485970729789593E-2</v>
      </c>
      <c r="X3439" s="246">
        <v>2.4405084526000209E-2</v>
      </c>
    </row>
    <row r="3440" spans="20:24" x14ac:dyDescent="0.2">
      <c r="T3440" s="247" t="str">
        <f t="shared" si="58"/>
        <v>1w</v>
      </c>
      <c r="U3440" s="245">
        <f>_xll.qlCalendarAdvance(Calendar,U3439,T3440,"f",FALSE)</f>
        <v>62947</v>
      </c>
      <c r="V3440" s="248">
        <f>_xll.qlCalendarAdvance(Calendar,U3440,NDays&amp;"D")</f>
        <v>62949</v>
      </c>
      <c r="W3440" s="249">
        <v>2.4487821486265771E-2</v>
      </c>
      <c r="X3440" s="246">
        <v>2.4406091473325731E-2</v>
      </c>
    </row>
    <row r="3441" spans="20:24" x14ac:dyDescent="0.2">
      <c r="T3441" s="247" t="str">
        <f t="shared" si="58"/>
        <v>1w</v>
      </c>
      <c r="U3441" s="245">
        <f>_xll.qlCalendarAdvance(Calendar,U3440,T3441,"f",FALSE)</f>
        <v>62954</v>
      </c>
      <c r="V3441" s="248">
        <f>_xll.qlCalendarAdvance(Calendar,U3441,NDays&amp;"D")</f>
        <v>62956</v>
      </c>
      <c r="W3441" s="249">
        <v>2.4488764952077333E-2</v>
      </c>
      <c r="X3441" s="246">
        <v>2.4407089182361119E-2</v>
      </c>
    </row>
    <row r="3442" spans="20:24" x14ac:dyDescent="0.2">
      <c r="T3442" s="247" t="str">
        <f t="shared" si="58"/>
        <v>1w</v>
      </c>
      <c r="U3442" s="245">
        <f>_xll.qlCalendarAdvance(Calendar,U3441,T3442,"f",FALSE)</f>
        <v>62961</v>
      </c>
      <c r="V3442" s="248">
        <f>_xll.qlCalendarAdvance(Calendar,U3442,NDays&amp;"D")</f>
        <v>62963</v>
      </c>
      <c r="W3442" s="249">
        <v>2.4489699122881525E-2</v>
      </c>
      <c r="X3442" s="246">
        <v>2.4408077653266247E-2</v>
      </c>
    </row>
    <row r="3443" spans="20:24" x14ac:dyDescent="0.2">
      <c r="T3443" s="247" t="str">
        <f t="shared" si="58"/>
        <v>1w</v>
      </c>
      <c r="U3443" s="245">
        <f>_xll.qlCalendarAdvance(Calendar,U3442,T3443,"f",FALSE)</f>
        <v>62968</v>
      </c>
      <c r="V3443" s="248">
        <f>_xll.qlCalendarAdvance(Calendar,U3443,NDays&amp;"D")</f>
        <v>62970</v>
      </c>
      <c r="W3443" s="249">
        <v>2.4490623998670521E-2</v>
      </c>
      <c r="X3443" s="246">
        <v>2.4409056886280922E-2</v>
      </c>
    </row>
    <row r="3444" spans="20:24" x14ac:dyDescent="0.2">
      <c r="T3444" s="247" t="str">
        <f t="shared" si="58"/>
        <v>1w</v>
      </c>
      <c r="U3444" s="245">
        <f>_xll.qlCalendarAdvance(Calendar,U3443,T3444,"f",FALSE)</f>
        <v>62975</v>
      </c>
      <c r="V3444" s="248">
        <f>_xll.qlCalendarAdvance(Calendar,U3444,NDays&amp;"D")</f>
        <v>62977</v>
      </c>
      <c r="W3444" s="249">
        <v>2.4491539579442591E-2</v>
      </c>
      <c r="X3444" s="246">
        <v>2.4410026881245273E-2</v>
      </c>
    </row>
    <row r="3445" spans="20:24" x14ac:dyDescent="0.2">
      <c r="T3445" s="247" t="str">
        <f t="shared" si="58"/>
        <v>1w</v>
      </c>
      <c r="U3445" s="245">
        <f>_xll.qlCalendarAdvance(Calendar,U3444,T3445,"f",FALSE)</f>
        <v>62982</v>
      </c>
      <c r="V3445" s="248">
        <f>_xll.qlCalendarAdvance(Calendar,U3445,NDays&amp;"D")</f>
        <v>62984</v>
      </c>
      <c r="W3445" s="249">
        <v>2.4492445865187302E-2</v>
      </c>
      <c r="X3445" s="246">
        <v>2.4410987638159298E-2</v>
      </c>
    </row>
    <row r="3446" spans="20:24" x14ac:dyDescent="0.2">
      <c r="T3446" s="247" t="str">
        <f t="shared" si="58"/>
        <v>1w</v>
      </c>
      <c r="U3446" s="245">
        <f>_xll.qlCalendarAdvance(Calendar,U3445,T3446,"f",FALSE)</f>
        <v>62989</v>
      </c>
      <c r="V3446" s="248">
        <f>_xll.qlCalendarAdvance(Calendar,U3446,NDays&amp;"D")</f>
        <v>62991</v>
      </c>
      <c r="W3446" s="249">
        <v>2.4493342855898576E-2</v>
      </c>
      <c r="X3446" s="246">
        <v>2.4411939157022999E-2</v>
      </c>
    </row>
    <row r="3447" spans="20:24" x14ac:dyDescent="0.2">
      <c r="T3447" s="247" t="str">
        <f t="shared" si="58"/>
        <v>1w</v>
      </c>
      <c r="U3447" s="245">
        <f>_xll.qlCalendarAdvance(Calendar,U3446,T3447,"f",FALSE)</f>
        <v>62996</v>
      </c>
      <c r="V3447" s="248">
        <f>_xll.qlCalendarAdvance(Calendar,U3447,NDays&amp;"D")</f>
        <v>62998</v>
      </c>
      <c r="W3447" s="249">
        <v>2.4494230551569456E-2</v>
      </c>
      <c r="X3447" s="246">
        <v>2.4412881437836376E-2</v>
      </c>
    </row>
    <row r="3448" spans="20:24" x14ac:dyDescent="0.2">
      <c r="T3448" s="247" t="str">
        <f t="shared" si="58"/>
        <v>1w</v>
      </c>
      <c r="U3448" s="245">
        <f>_xll.qlCalendarAdvance(Calendar,U3447,T3448,"f",FALSE)</f>
        <v>63003</v>
      </c>
      <c r="V3448" s="248">
        <f>_xll.qlCalendarAdvance(Calendar,U3448,NDays&amp;"D")</f>
        <v>63005</v>
      </c>
      <c r="W3448" s="249">
        <v>2.4495108952195605E-2</v>
      </c>
      <c r="X3448" s="246">
        <v>2.4413814480679363E-2</v>
      </c>
    </row>
    <row r="3449" spans="20:24" x14ac:dyDescent="0.2">
      <c r="T3449" s="247" t="str">
        <f t="shared" si="58"/>
        <v>1w</v>
      </c>
      <c r="U3449" s="245">
        <f>_xll.qlCalendarAdvance(Calendar,U3448,T3449,"f",FALSE)</f>
        <v>63010</v>
      </c>
      <c r="V3449" s="248">
        <f>_xll.qlCalendarAdvance(Calendar,U3449,NDays&amp;"D")</f>
        <v>63012</v>
      </c>
      <c r="W3449" s="249">
        <v>2.4495978057770939E-2</v>
      </c>
      <c r="X3449" s="246">
        <v>2.441473828539209E-2</v>
      </c>
    </row>
    <row r="3450" spans="20:24" x14ac:dyDescent="0.2">
      <c r="T3450" s="247" t="str">
        <f t="shared" si="58"/>
        <v>1w</v>
      </c>
      <c r="U3450" s="245">
        <f>_xll.qlCalendarAdvance(Calendar,U3449,T3450,"f",FALSE)</f>
        <v>63017</v>
      </c>
      <c r="V3450" s="248">
        <f>_xll.qlCalendarAdvance(Calendar,U3450,NDays&amp;"D")</f>
        <v>63019</v>
      </c>
      <c r="W3450" s="249">
        <v>2.4496837868286769E-2</v>
      </c>
      <c r="X3450" s="246">
        <v>2.4415652851974556E-2</v>
      </c>
    </row>
    <row r="3451" spans="20:24" x14ac:dyDescent="0.2">
      <c r="T3451" s="247" t="str">
        <f t="shared" si="58"/>
        <v>1w</v>
      </c>
      <c r="U3451" s="245">
        <f>_xll.qlCalendarAdvance(Calendar,U3450,T3451,"f",FALSE)</f>
        <v>63024</v>
      </c>
      <c r="V3451" s="248">
        <f>_xll.qlCalendarAdvance(Calendar,U3451,NDays&amp;"D")</f>
        <v>63026</v>
      </c>
      <c r="W3451" s="249">
        <v>2.4497688383738749E-2</v>
      </c>
      <c r="X3451" s="246">
        <v>2.441655818066657E-2</v>
      </c>
    </row>
    <row r="3452" spans="20:24" x14ac:dyDescent="0.2">
      <c r="T3452" s="247" t="str">
        <f t="shared" si="58"/>
        <v>1w</v>
      </c>
      <c r="U3452" s="245">
        <f>_xll.qlCalendarAdvance(Calendar,U3451,T3452,"f",FALSE)</f>
        <v>63031</v>
      </c>
      <c r="V3452" s="248">
        <f>_xll.qlCalendarAdvance(Calendar,U3452,NDays&amp;"D")</f>
        <v>63033</v>
      </c>
      <c r="W3452" s="249">
        <v>2.4498529604121667E-2</v>
      </c>
      <c r="X3452" s="246">
        <v>2.4417454271308259E-2</v>
      </c>
    </row>
    <row r="3453" spans="20:24" x14ac:dyDescent="0.2">
      <c r="T3453" s="247" t="str">
        <f t="shared" si="58"/>
        <v>1w</v>
      </c>
      <c r="U3453" s="245">
        <f>_xll.qlCalendarAdvance(Calendar,U3452,T3453,"f",FALSE)</f>
        <v>63038</v>
      </c>
      <c r="V3453" s="248">
        <f>_xll.qlCalendarAdvance(Calendar,U3453,NDays&amp;"D")</f>
        <v>63040</v>
      </c>
      <c r="W3453" s="249">
        <v>2.4499361529426833E-2</v>
      </c>
      <c r="X3453" s="246">
        <v>2.4418341123739751E-2</v>
      </c>
    </row>
    <row r="3454" spans="20:24" x14ac:dyDescent="0.2">
      <c r="T3454" s="247" t="str">
        <f t="shared" si="58"/>
        <v>1w</v>
      </c>
      <c r="U3454" s="245">
        <f>_xll.qlCalendarAdvance(Calendar,U3453,T3454,"f",FALSE)</f>
        <v>63045</v>
      </c>
      <c r="V3454" s="248">
        <f>_xll.qlCalendarAdvance(Calendar,U3454,NDays&amp;"D")</f>
        <v>63047</v>
      </c>
      <c r="W3454" s="249">
        <v>2.4500184159649902E-2</v>
      </c>
      <c r="X3454" s="246">
        <v>2.4419218738360726E-2</v>
      </c>
    </row>
    <row r="3455" spans="20:24" x14ac:dyDescent="0.2">
      <c r="T3455" s="247" t="str">
        <f t="shared" si="58"/>
        <v>1w</v>
      </c>
      <c r="U3455" s="245">
        <f>_xll.qlCalendarAdvance(Calendar,U3454,T3455,"f",FALSE)</f>
        <v>63052</v>
      </c>
      <c r="V3455" s="248">
        <f>_xll.qlCalendarAdvance(Calendar,U3455,NDays&amp;"D")</f>
        <v>63054</v>
      </c>
      <c r="W3455" s="249">
        <v>2.4500997494786535E-2</v>
      </c>
      <c r="X3455" s="246">
        <v>2.4420087114851441E-2</v>
      </c>
    </row>
    <row r="3456" spans="20:24" x14ac:dyDescent="0.2">
      <c r="T3456" s="247" t="str">
        <f t="shared" si="58"/>
        <v>1w</v>
      </c>
      <c r="U3456" s="245">
        <f>_xll.qlCalendarAdvance(Calendar,U3455,T3456,"f",FALSE)</f>
        <v>63059</v>
      </c>
      <c r="V3456" s="248">
        <f>_xll.qlCalendarAdvance(Calendar,U3456,NDays&amp;"D")</f>
        <v>63061</v>
      </c>
      <c r="W3456" s="249">
        <v>2.4501801534829774E-2</v>
      </c>
      <c r="X3456" s="246">
        <v>2.4420946253052023E-2</v>
      </c>
    </row>
    <row r="3457" spans="20:24" x14ac:dyDescent="0.2">
      <c r="T3457" s="247" t="str">
        <f t="shared" si="58"/>
        <v>1w</v>
      </c>
      <c r="U3457" s="245">
        <f>_xll.qlCalendarAdvance(Calendar,U3456,T3457,"f",FALSE)</f>
        <v>63066</v>
      </c>
      <c r="V3457" s="248">
        <f>_xll.qlCalendarAdvance(Calendar,U3457,NDays&amp;"D")</f>
        <v>63068</v>
      </c>
      <c r="W3457" s="249">
        <v>2.4501709167341477E-2</v>
      </c>
      <c r="X3457" s="246">
        <v>2.4421796153522024E-2</v>
      </c>
    </row>
    <row r="3458" spans="20:24" x14ac:dyDescent="0.2">
      <c r="T3458" s="247" t="str">
        <f t="shared" si="58"/>
        <v>1w</v>
      </c>
      <c r="U3458" s="245">
        <f>_xll.qlCalendarAdvance(Calendar,U3457,T3458,"f",FALSE)</f>
        <v>63073</v>
      </c>
      <c r="V3458" s="248">
        <f>_xll.qlCalendarAdvance(Calendar,U3458,NDays&amp;"D")</f>
        <v>63075</v>
      </c>
      <c r="W3458" s="249">
        <v>2.4502495227780197E-2</v>
      </c>
      <c r="X3458" s="246">
        <v>2.4422636815861765E-2</v>
      </c>
    </row>
    <row r="3459" spans="20:24" x14ac:dyDescent="0.2">
      <c r="T3459" s="247" t="str">
        <f t="shared" si="58"/>
        <v>1w</v>
      </c>
      <c r="U3459" s="245">
        <f>_xll.qlCalendarAdvance(Calendar,U3458,T3459,"f",FALSE)</f>
        <v>63080</v>
      </c>
      <c r="V3459" s="248">
        <f>_xll.qlCalendarAdvance(Calendar,U3459,NDays&amp;"D")</f>
        <v>63082</v>
      </c>
      <c r="W3459" s="249">
        <v>2.4503271993736368E-2</v>
      </c>
      <c r="X3459" s="246">
        <v>2.4423468240071244E-2</v>
      </c>
    </row>
    <row r="3460" spans="20:24" x14ac:dyDescent="0.2">
      <c r="T3460" s="247" t="str">
        <f t="shared" si="58"/>
        <v>1w</v>
      </c>
      <c r="U3460" s="245">
        <f>_xll.qlCalendarAdvance(Calendar,U3459,T3460,"f",FALSE)</f>
        <v>63087</v>
      </c>
      <c r="V3460" s="248">
        <f>_xll.qlCalendarAdvance(Calendar,U3460,NDays&amp;"D")</f>
        <v>63089</v>
      </c>
      <c r="W3460" s="249">
        <v>2.4504039465206479E-2</v>
      </c>
      <c r="X3460" s="246">
        <v>2.4424290426310336E-2</v>
      </c>
    </row>
    <row r="3461" spans="20:24" x14ac:dyDescent="0.2">
      <c r="T3461" s="247" t="str">
        <f t="shared" si="58"/>
        <v>1w</v>
      </c>
      <c r="U3461" s="245">
        <f>_xll.qlCalendarAdvance(Calendar,U3460,T3461,"f",FALSE)</f>
        <v>63094</v>
      </c>
      <c r="V3461" s="248">
        <f>_xll.qlCalendarAdvance(Calendar,U3461,NDays&amp;"D")</f>
        <v>63096</v>
      </c>
      <c r="W3461" s="249">
        <v>2.4504797642185262E-2</v>
      </c>
      <c r="X3461" s="246">
        <v>2.4425103374499102E-2</v>
      </c>
    </row>
    <row r="3462" spans="20:24" x14ac:dyDescent="0.2">
      <c r="T3462" s="247" t="str">
        <f t="shared" si="58"/>
        <v>1w</v>
      </c>
      <c r="U3462" s="245">
        <f>_xll.qlCalendarAdvance(Calendar,U3461,T3462,"f",FALSE)</f>
        <v>63101</v>
      </c>
      <c r="V3462" s="248">
        <f>_xll.qlCalendarAdvance(Calendar,U3462,NDays&amp;"D")</f>
        <v>63103</v>
      </c>
      <c r="W3462" s="249">
        <v>2.4506430577805667E-2</v>
      </c>
      <c r="X3462" s="246">
        <v>2.442590708471748E-2</v>
      </c>
    </row>
    <row r="3463" spans="20:24" x14ac:dyDescent="0.2">
      <c r="T3463" s="247" t="str">
        <f t="shared" si="58"/>
        <v>1w</v>
      </c>
      <c r="U3463" s="245">
        <f>_xll.qlCalendarAdvance(Calendar,U3462,T3463,"f",FALSE)</f>
        <v>63108</v>
      </c>
      <c r="V3463" s="248">
        <f>_xll.qlCalendarAdvance(Calendar,U3463,NDays&amp;"D")</f>
        <v>63110</v>
      </c>
      <c r="W3463" s="249">
        <v>2.4507169552037907E-2</v>
      </c>
      <c r="X3463" s="246">
        <v>2.4426701556805597E-2</v>
      </c>
    </row>
    <row r="3464" spans="20:24" x14ac:dyDescent="0.2">
      <c r="T3464" s="247" t="str">
        <f t="shared" si="58"/>
        <v>1w</v>
      </c>
      <c r="U3464" s="245">
        <f>_xll.qlCalendarAdvance(Calendar,U3463,T3464,"f",FALSE)</f>
        <v>63115</v>
      </c>
      <c r="V3464" s="248">
        <f>_xll.qlCalendarAdvance(Calendar,U3464,NDays&amp;"D")</f>
        <v>63117</v>
      </c>
      <c r="W3464" s="249">
        <v>2.4507899231132446E-2</v>
      </c>
      <c r="X3464" s="246">
        <v>2.4427486790763453E-2</v>
      </c>
    </row>
    <row r="3465" spans="20:24" x14ac:dyDescent="0.2">
      <c r="T3465" s="247" t="str">
        <f t="shared" si="58"/>
        <v>1w</v>
      </c>
      <c r="U3465" s="245">
        <f>_xll.qlCalendarAdvance(Calendar,U3464,T3465,"f",FALSE)</f>
        <v>63122</v>
      </c>
      <c r="V3465" s="248">
        <f>_xll.qlCalendarAdvance(Calendar,U3465,NDays&amp;"D")</f>
        <v>63124</v>
      </c>
      <c r="W3465" s="249">
        <v>2.4508619615084066E-2</v>
      </c>
      <c r="X3465" s="246">
        <v>2.4428262786830857E-2</v>
      </c>
    </row>
    <row r="3466" spans="20:24" x14ac:dyDescent="0.2">
      <c r="T3466" s="247" t="str">
        <f t="shared" si="58"/>
        <v>1w</v>
      </c>
      <c r="U3466" s="245">
        <f>_xll.qlCalendarAdvance(Calendar,U3465,T3466,"f",FALSE)</f>
        <v>63129</v>
      </c>
      <c r="V3466" s="248">
        <f>_xll.qlCalendarAdvance(Calendar,U3466,NDays&amp;"D")</f>
        <v>63131</v>
      </c>
      <c r="W3466" s="249">
        <v>2.4509330703888429E-2</v>
      </c>
      <c r="X3466" s="246">
        <v>2.4429029544767999E-2</v>
      </c>
    </row>
    <row r="3467" spans="20:24" x14ac:dyDescent="0.2">
      <c r="T3467" s="247" t="str">
        <f t="shared" si="58"/>
        <v>1w</v>
      </c>
      <c r="U3467" s="245">
        <f>_xll.qlCalendarAdvance(Calendar,U3466,T3467,"f",FALSE)</f>
        <v>63136</v>
      </c>
      <c r="V3467" s="248">
        <f>_xll.qlCalendarAdvance(Calendar,U3467,NDays&amp;"D")</f>
        <v>63138</v>
      </c>
      <c r="W3467" s="249">
        <v>2.4510032497540316E-2</v>
      </c>
      <c r="X3467" s="246">
        <v>2.4429787064574882E-2</v>
      </c>
    </row>
    <row r="3468" spans="20:24" x14ac:dyDescent="0.2">
      <c r="T3468" s="247" t="str">
        <f t="shared" si="58"/>
        <v>1w</v>
      </c>
      <c r="U3468" s="245">
        <f>_xll.qlCalendarAdvance(Calendar,U3467,T3468,"f",FALSE)</f>
        <v>63143</v>
      </c>
      <c r="V3468" s="248">
        <f>_xll.qlCalendarAdvance(Calendar,U3468,NDays&amp;"D")</f>
        <v>63145</v>
      </c>
      <c r="W3468" s="249">
        <v>2.4510724996034516E-2</v>
      </c>
      <c r="X3468" s="246">
        <v>2.4430535346411375E-2</v>
      </c>
    </row>
    <row r="3469" spans="20:24" x14ac:dyDescent="0.2">
      <c r="T3469" s="247" t="str">
        <f t="shared" si="58"/>
        <v>1w</v>
      </c>
      <c r="U3469" s="245">
        <f>_xll.qlCalendarAdvance(Calendar,U3468,T3469,"f",FALSE)</f>
        <v>63150</v>
      </c>
      <c r="V3469" s="248">
        <f>_xll.qlCalendarAdvance(Calendar,U3469,NDays&amp;"D")</f>
        <v>63152</v>
      </c>
      <c r="W3469" s="249">
        <v>2.4511408199365817E-2</v>
      </c>
      <c r="X3469" s="246">
        <v>2.443127439027748E-2</v>
      </c>
    </row>
    <row r="3470" spans="20:24" x14ac:dyDescent="0.2">
      <c r="T3470" s="247" t="str">
        <f t="shared" si="58"/>
        <v>1w</v>
      </c>
      <c r="U3470" s="245">
        <f>_xll.qlCalendarAdvance(Calendar,U3469,T3470,"f",FALSE)</f>
        <v>63157</v>
      </c>
      <c r="V3470" s="248">
        <f>_xll.qlCalendarAdvance(Calendar,U3470,NDays&amp;"D")</f>
        <v>63159</v>
      </c>
      <c r="W3470" s="249">
        <v>2.4510323837241721E-2</v>
      </c>
      <c r="X3470" s="246">
        <v>2.443200419609326E-2</v>
      </c>
    </row>
    <row r="3471" spans="20:24" x14ac:dyDescent="0.2">
      <c r="T3471" s="247" t="str">
        <f t="shared" si="58"/>
        <v>1w</v>
      </c>
      <c r="U3471" s="245">
        <f>_xll.qlCalendarAdvance(Calendar,U3470,T3471,"f",FALSE)</f>
        <v>63164</v>
      </c>
      <c r="V3471" s="248">
        <f>_xll.qlCalendarAdvance(Calendar,U3471,NDays&amp;"D")</f>
        <v>63166</v>
      </c>
      <c r="W3471" s="249">
        <v>2.4510989687716922E-2</v>
      </c>
      <c r="X3471" s="246">
        <v>2.4432724763618907E-2</v>
      </c>
    </row>
    <row r="3472" spans="20:24" x14ac:dyDescent="0.2">
      <c r="T3472" s="247" t="str">
        <f t="shared" si="58"/>
        <v>1w</v>
      </c>
      <c r="U3472" s="245">
        <f>_xll.qlCalendarAdvance(Calendar,U3471,T3472,"f",FALSE)</f>
        <v>63171</v>
      </c>
      <c r="V3472" s="248">
        <f>_xll.qlCalendarAdvance(Calendar,U3472,NDays&amp;"D")</f>
        <v>63173</v>
      </c>
      <c r="W3472" s="249">
        <v>2.4511646244277152E-2</v>
      </c>
      <c r="X3472" s="246">
        <v>2.443343609349391E-2</v>
      </c>
    </row>
    <row r="3473" spans="20:24" x14ac:dyDescent="0.2">
      <c r="T3473" s="247" t="str">
        <f t="shared" si="58"/>
        <v>1w</v>
      </c>
      <c r="U3473" s="245">
        <f>_xll.qlCalendarAdvance(Calendar,U3472,T3473,"f",FALSE)</f>
        <v>63178</v>
      </c>
      <c r="V3473" s="248">
        <f>_xll.qlCalendarAdvance(Calendar,U3473,NDays&amp;"D")</f>
        <v>63180</v>
      </c>
      <c r="W3473" s="249">
        <v>2.4512293506916194E-2</v>
      </c>
      <c r="X3473" s="246">
        <v>2.4434138185238652E-2</v>
      </c>
    </row>
    <row r="3474" spans="20:24" x14ac:dyDescent="0.2">
      <c r="T3474" s="247" t="str">
        <f t="shared" ref="T3474:T3537" si="59">T3473</f>
        <v>1w</v>
      </c>
      <c r="U3474" s="245">
        <f>_xll.qlCalendarAdvance(Calendar,U3473,T3474,"f",FALSE)</f>
        <v>63185</v>
      </c>
      <c r="V3474" s="248">
        <f>_xll.qlCalendarAdvance(Calendar,U3474,NDays&amp;"D")</f>
        <v>63187</v>
      </c>
      <c r="W3474" s="249">
        <v>2.4512931475628719E-2</v>
      </c>
      <c r="X3474" s="246">
        <v>2.4434831038613325E-2</v>
      </c>
    </row>
    <row r="3475" spans="20:24" x14ac:dyDescent="0.2">
      <c r="T3475" s="247" t="str">
        <f t="shared" si="59"/>
        <v>1w</v>
      </c>
      <c r="U3475" s="245">
        <f>_xll.qlCalendarAdvance(Calendar,U3474,T3475,"f",FALSE)</f>
        <v>63192</v>
      </c>
      <c r="V3475" s="248">
        <f>_xll.qlCalendarAdvance(Calendar,U3475,NDays&amp;"D")</f>
        <v>63194</v>
      </c>
      <c r="W3475" s="249">
        <v>2.4513560150411173E-2</v>
      </c>
      <c r="X3475" s="246">
        <v>2.4435514654177481E-2</v>
      </c>
    </row>
    <row r="3476" spans="20:24" x14ac:dyDescent="0.2">
      <c r="T3476" s="247" t="str">
        <f t="shared" si="59"/>
        <v>1w</v>
      </c>
      <c r="U3476" s="245">
        <f>_xll.qlCalendarAdvance(Calendar,U3475,T3476,"f",FALSE)</f>
        <v>63199</v>
      </c>
      <c r="V3476" s="248">
        <f>_xll.qlCalendarAdvance(Calendar,U3476,NDays&amp;"D")</f>
        <v>63201</v>
      </c>
      <c r="W3476" s="249">
        <v>2.4514179531259117E-2</v>
      </c>
      <c r="X3476" s="246">
        <v>2.4436189031771249E-2</v>
      </c>
    </row>
    <row r="3477" spans="20:24" x14ac:dyDescent="0.2">
      <c r="T3477" s="247" t="str">
        <f t="shared" si="59"/>
        <v>1w</v>
      </c>
      <c r="U3477" s="245">
        <f>_xll.qlCalendarAdvance(Calendar,U3476,T3477,"f",FALSE)</f>
        <v>63206</v>
      </c>
      <c r="V3477" s="248">
        <f>_xll.qlCalendarAdvance(Calendar,U3477,NDays&amp;"D")</f>
        <v>63208</v>
      </c>
      <c r="W3477" s="249">
        <v>2.4514789618168109E-2</v>
      </c>
      <c r="X3477" s="246">
        <v>2.4436854171074884E-2</v>
      </c>
    </row>
    <row r="3478" spans="20:24" x14ac:dyDescent="0.2">
      <c r="T3478" s="247" t="str">
        <f t="shared" si="59"/>
        <v>1w</v>
      </c>
      <c r="U3478" s="245">
        <f>_xll.qlCalendarAdvance(Calendar,U3477,T3478,"f",FALSE)</f>
        <v>63213</v>
      </c>
      <c r="V3478" s="248">
        <f>_xll.qlCalendarAdvance(Calendar,U3478,NDays&amp;"D")</f>
        <v>63215</v>
      </c>
      <c r="W3478" s="249">
        <v>2.4515390411134597E-2</v>
      </c>
      <c r="X3478" s="246">
        <v>2.4437510072488067E-2</v>
      </c>
    </row>
    <row r="3479" spans="20:24" x14ac:dyDescent="0.2">
      <c r="T3479" s="247" t="str">
        <f t="shared" si="59"/>
        <v>1w</v>
      </c>
      <c r="U3479" s="245">
        <f>_xll.qlCalendarAdvance(Calendar,U3478,T3479,"f",FALSE)</f>
        <v>63220</v>
      </c>
      <c r="V3479" s="248">
        <f>_xll.qlCalendarAdvance(Calendar,U3479,NDays&amp;"D")</f>
        <v>63222</v>
      </c>
      <c r="W3479" s="249">
        <v>2.4515108336363733E-2</v>
      </c>
      <c r="X3479" s="246">
        <v>2.4438156735850924E-2</v>
      </c>
    </row>
    <row r="3480" spans="20:24" x14ac:dyDescent="0.2">
      <c r="T3480" s="247" t="str">
        <f t="shared" si="59"/>
        <v>1w</v>
      </c>
      <c r="U3480" s="245">
        <f>_xll.qlCalendarAdvance(Calendar,U3479,T3480,"f",FALSE)</f>
        <v>63227</v>
      </c>
      <c r="V3480" s="248">
        <f>_xll.qlCalendarAdvance(Calendar,U3480,NDays&amp;"D")</f>
        <v>63229</v>
      </c>
      <c r="W3480" s="249">
        <v>2.4515691165715257E-2</v>
      </c>
      <c r="X3480" s="246">
        <v>2.4438794161163457E-2</v>
      </c>
    </row>
    <row r="3481" spans="20:24" x14ac:dyDescent="0.2">
      <c r="T3481" s="247" t="str">
        <f t="shared" si="59"/>
        <v>1w</v>
      </c>
      <c r="U3481" s="245">
        <f>_xll.qlCalendarAdvance(Calendar,U3480,T3481,"f",FALSE)</f>
        <v>63234</v>
      </c>
      <c r="V3481" s="248">
        <f>_xll.qlCalendarAdvance(Calendar,U3481,NDays&amp;"D")</f>
        <v>63236</v>
      </c>
      <c r="W3481" s="249">
        <v>2.4516264701741119E-2</v>
      </c>
      <c r="X3481" s="246">
        <v>2.4439422348425666E-2</v>
      </c>
    </row>
    <row r="3482" spans="20:24" x14ac:dyDescent="0.2">
      <c r="T3482" s="247" t="str">
        <f t="shared" si="59"/>
        <v>1w</v>
      </c>
      <c r="U3482" s="245">
        <f>_xll.qlCalendarAdvance(Calendar,U3481,T3482,"f",FALSE)</f>
        <v>63241</v>
      </c>
      <c r="V3482" s="248">
        <f>_xll.qlCalendarAdvance(Calendar,U3482,NDays&amp;"D")</f>
        <v>63243</v>
      </c>
      <c r="W3482" s="249">
        <v>2.4516828944436832E-2</v>
      </c>
      <c r="X3482" s="246">
        <v>2.4440041297557613E-2</v>
      </c>
    </row>
    <row r="3483" spans="20:24" x14ac:dyDescent="0.2">
      <c r="T3483" s="247" t="str">
        <f t="shared" si="59"/>
        <v>1w</v>
      </c>
      <c r="U3483" s="245">
        <f>_xll.qlCalendarAdvance(Calendar,U3482,T3483,"f",FALSE)</f>
        <v>63248</v>
      </c>
      <c r="V3483" s="248">
        <f>_xll.qlCalendarAdvance(Calendar,U3483,NDays&amp;"D")</f>
        <v>63250</v>
      </c>
      <c r="W3483" s="249">
        <v>2.4519997051369341E-2</v>
      </c>
      <c r="X3483" s="246">
        <v>2.444065100895898E-2</v>
      </c>
    </row>
    <row r="3484" spans="20:24" x14ac:dyDescent="0.2">
      <c r="T3484" s="247" t="str">
        <f t="shared" si="59"/>
        <v>1w</v>
      </c>
      <c r="U3484" s="245">
        <f>_xll.qlCalendarAdvance(Calendar,U3483,T3484,"f",FALSE)</f>
        <v>63255</v>
      </c>
      <c r="V3484" s="248">
        <f>_xll.qlCalendarAdvance(Calendar,U3484,NDays&amp;"D")</f>
        <v>63257</v>
      </c>
      <c r="W3484" s="249">
        <v>2.4520540826719305E-2</v>
      </c>
      <c r="X3484" s="246">
        <v>2.4441251481910342E-2</v>
      </c>
    </row>
    <row r="3485" spans="20:24" x14ac:dyDescent="0.2">
      <c r="T3485" s="247" t="str">
        <f t="shared" si="59"/>
        <v>1w</v>
      </c>
      <c r="U3485" s="245">
        <f>_xll.qlCalendarAdvance(Calendar,U3484,T3485,"f",FALSE)</f>
        <v>63262</v>
      </c>
      <c r="V3485" s="248">
        <f>_xll.qlCalendarAdvance(Calendar,U3485,NDays&amp;"D")</f>
        <v>63264</v>
      </c>
      <c r="W3485" s="249">
        <v>2.4521075306839467E-2</v>
      </c>
      <c r="X3485" s="246">
        <v>2.4441842716971252E-2</v>
      </c>
    </row>
    <row r="3486" spans="20:24" x14ac:dyDescent="0.2">
      <c r="T3486" s="247" t="str">
        <f t="shared" si="59"/>
        <v>1w</v>
      </c>
      <c r="U3486" s="245">
        <f>_xll.qlCalendarAdvance(Calendar,U3485,T3486,"f",FALSE)</f>
        <v>63269</v>
      </c>
      <c r="V3486" s="248">
        <f>_xll.qlCalendarAdvance(Calendar,U3486,NDays&amp;"D")</f>
        <v>63271</v>
      </c>
      <c r="W3486" s="249">
        <v>2.4521600491722875E-2</v>
      </c>
      <c r="X3486" s="246">
        <v>2.4445908450960729E-2</v>
      </c>
    </row>
    <row r="3487" spans="20:24" x14ac:dyDescent="0.2">
      <c r="T3487" s="247" t="str">
        <f t="shared" si="59"/>
        <v>1w</v>
      </c>
      <c r="U3487" s="245">
        <f>_xll.qlCalendarAdvance(Calendar,U3486,T3487,"f",FALSE)</f>
        <v>63276</v>
      </c>
      <c r="V3487" s="248">
        <f>_xll.qlCalendarAdvance(Calendar,U3487,NDays&amp;"D")</f>
        <v>63278</v>
      </c>
      <c r="W3487" s="249">
        <v>2.4522116381366924E-2</v>
      </c>
      <c r="X3487" s="246">
        <v>2.4442997473022032E-2</v>
      </c>
    </row>
    <row r="3488" spans="20:24" x14ac:dyDescent="0.2">
      <c r="T3488" s="247" t="str">
        <f t="shared" si="59"/>
        <v>1w</v>
      </c>
      <c r="U3488" s="245">
        <f>_xll.qlCalendarAdvance(Calendar,U3487,T3488,"f",FALSE)</f>
        <v>63283</v>
      </c>
      <c r="V3488" s="248">
        <f>_xll.qlCalendarAdvance(Calendar,U3488,NDays&amp;"D")</f>
        <v>63285</v>
      </c>
      <c r="W3488" s="249">
        <v>2.4521755084806342E-2</v>
      </c>
      <c r="X3488" s="246">
        <v>2.4443560994011904E-2</v>
      </c>
    </row>
    <row r="3489" spans="20:24" x14ac:dyDescent="0.2">
      <c r="T3489" s="247" t="str">
        <f t="shared" si="59"/>
        <v>1w</v>
      </c>
      <c r="U3489" s="245">
        <f>_xll.qlCalendarAdvance(Calendar,U3488,T3489,"f",FALSE)</f>
        <v>63290</v>
      </c>
      <c r="V3489" s="248">
        <f>_xll.qlCalendarAdvance(Calendar,U3489,NDays&amp;"D")</f>
        <v>63292</v>
      </c>
      <c r="W3489" s="249">
        <v>2.4522253014092714E-2</v>
      </c>
      <c r="X3489" s="246">
        <v>2.4444115276711642E-2</v>
      </c>
    </row>
    <row r="3490" spans="20:24" x14ac:dyDescent="0.2">
      <c r="T3490" s="247" t="str">
        <f t="shared" si="59"/>
        <v>1w</v>
      </c>
      <c r="U3490" s="245">
        <f>_xll.qlCalendarAdvance(Calendar,U3489,T3490,"f",FALSE)</f>
        <v>63297</v>
      </c>
      <c r="V3490" s="248">
        <f>_xll.qlCalendarAdvance(Calendar,U3490,NDays&amp;"D")</f>
        <v>63299</v>
      </c>
      <c r="W3490" s="249">
        <v>2.4522741648761268E-2</v>
      </c>
      <c r="X3490" s="246">
        <v>2.4444660321600864E-2</v>
      </c>
    </row>
    <row r="3491" spans="20:24" x14ac:dyDescent="0.2">
      <c r="T3491" s="247" t="str">
        <f t="shared" si="59"/>
        <v>1w</v>
      </c>
      <c r="U3491" s="245">
        <f>_xll.qlCalendarAdvance(Calendar,U3490,T3491,"f",FALSE)</f>
        <v>63304</v>
      </c>
      <c r="V3491" s="248">
        <f>_xll.qlCalendarAdvance(Calendar,U3491,NDays&amp;"D")</f>
        <v>63306</v>
      </c>
      <c r="W3491" s="249">
        <v>2.4523220988804967E-2</v>
      </c>
      <c r="X3491" s="246">
        <v>2.4445196128439761E-2</v>
      </c>
    </row>
    <row r="3492" spans="20:24" x14ac:dyDescent="0.2">
      <c r="T3492" s="247" t="str">
        <f t="shared" si="59"/>
        <v>1w</v>
      </c>
      <c r="U3492" s="245">
        <f>_xll.qlCalendarAdvance(Calendar,U3491,T3492,"f",FALSE)</f>
        <v>63311</v>
      </c>
      <c r="V3492" s="248">
        <f>_xll.qlCalendarAdvance(Calendar,U3492,NDays&amp;"D")</f>
        <v>63313</v>
      </c>
      <c r="W3492" s="249">
        <v>2.452455640087076E-2</v>
      </c>
      <c r="X3492" s="246">
        <v>2.4445722697148398E-2</v>
      </c>
    </row>
    <row r="3493" spans="20:24" x14ac:dyDescent="0.2">
      <c r="T3493" s="247" t="str">
        <f t="shared" si="59"/>
        <v>1w</v>
      </c>
      <c r="U3493" s="245">
        <f>_xll.qlCalendarAdvance(Calendar,U3492,T3493,"f",FALSE)</f>
        <v>63318</v>
      </c>
      <c r="V3493" s="248">
        <f>_xll.qlCalendarAdvance(Calendar,U3493,NDays&amp;"D")</f>
        <v>63320</v>
      </c>
      <c r="W3493" s="249">
        <v>2.452501651900392E-2</v>
      </c>
      <c r="X3493" s="246">
        <v>2.4446240027886645E-2</v>
      </c>
    </row>
    <row r="3494" spans="20:24" x14ac:dyDescent="0.2">
      <c r="T3494" s="247" t="str">
        <f t="shared" si="59"/>
        <v>1w</v>
      </c>
      <c r="U3494" s="245">
        <f>_xll.qlCalendarAdvance(Calendar,U3493,T3494,"f",FALSE)</f>
        <v>63325</v>
      </c>
      <c r="V3494" s="248">
        <f>_xll.qlCalendarAdvance(Calendar,U3494,NDays&amp;"D")</f>
        <v>63327</v>
      </c>
      <c r="W3494" s="249">
        <v>2.4525467341872522E-2</v>
      </c>
      <c r="X3494" s="246">
        <v>2.4446748120574568E-2</v>
      </c>
    </row>
    <row r="3495" spans="20:24" x14ac:dyDescent="0.2">
      <c r="T3495" s="247" t="str">
        <f t="shared" si="59"/>
        <v>1w</v>
      </c>
      <c r="U3495" s="245">
        <f>_xll.qlCalendarAdvance(Calendar,U3494,T3495,"f",FALSE)</f>
        <v>63332</v>
      </c>
      <c r="V3495" s="248">
        <f>_xll.qlCalendarAdvance(Calendar,U3495,NDays&amp;"D")</f>
        <v>63334</v>
      </c>
      <c r="W3495" s="249">
        <v>2.4525908869473957E-2</v>
      </c>
      <c r="X3495" s="246">
        <v>2.4447246975132231E-2</v>
      </c>
    </row>
    <row r="3496" spans="20:24" x14ac:dyDescent="0.2">
      <c r="T3496" s="247" t="str">
        <f t="shared" si="59"/>
        <v>1w</v>
      </c>
      <c r="U3496" s="245">
        <f>_xll.qlCalendarAdvance(Calendar,U3495,T3496,"f",FALSE)</f>
        <v>63339</v>
      </c>
      <c r="V3496" s="248">
        <f>_xll.qlCalendarAdvance(Calendar,U3496,NDays&amp;"D")</f>
        <v>63341</v>
      </c>
      <c r="W3496" s="249">
        <v>2.4526341101808229E-2</v>
      </c>
      <c r="X3496" s="246">
        <v>2.4447736591719504E-2</v>
      </c>
    </row>
    <row r="3497" spans="20:24" x14ac:dyDescent="0.2">
      <c r="T3497" s="247" t="str">
        <f t="shared" si="59"/>
        <v>1w</v>
      </c>
      <c r="U3497" s="245">
        <f>_xll.qlCalendarAdvance(Calendar,U3496,T3497,"f",FALSE)</f>
        <v>63346</v>
      </c>
      <c r="V3497" s="248">
        <f>_xll.qlCalendarAdvance(Calendar,U3497,NDays&amp;"D")</f>
        <v>63348</v>
      </c>
      <c r="W3497" s="249">
        <v>2.4526764038866649E-2</v>
      </c>
      <c r="X3497" s="246">
        <v>2.4448216970176517E-2</v>
      </c>
    </row>
    <row r="3498" spans="20:24" x14ac:dyDescent="0.2">
      <c r="T3498" s="247" t="str">
        <f t="shared" si="59"/>
        <v>1w</v>
      </c>
      <c r="U3498" s="245">
        <f>_xll.qlCalendarAdvance(Calendar,U3497,T3498,"f",FALSE)</f>
        <v>63353</v>
      </c>
      <c r="V3498" s="248">
        <f>_xll.qlCalendarAdvance(Calendar,U3498,NDays&amp;"D")</f>
        <v>63355</v>
      </c>
      <c r="W3498" s="249">
        <v>2.4527177680650082E-2</v>
      </c>
      <c r="X3498" s="246">
        <v>2.4448688110663142E-2</v>
      </c>
    </row>
    <row r="3499" spans="20:24" x14ac:dyDescent="0.2">
      <c r="T3499" s="247" t="str">
        <f t="shared" si="59"/>
        <v>1w</v>
      </c>
      <c r="U3499" s="245">
        <f>_xll.qlCalendarAdvance(Calendar,U3498,T3499,"f",FALSE)</f>
        <v>63360</v>
      </c>
      <c r="V3499" s="248">
        <f>_xll.qlCalendarAdvance(Calendar,U3499,NDays&amp;"D")</f>
        <v>63362</v>
      </c>
      <c r="W3499" s="249">
        <v>2.4527582027155059E-2</v>
      </c>
      <c r="X3499" s="246">
        <v>2.4449150013019505E-2</v>
      </c>
    </row>
    <row r="3500" spans="20:24" x14ac:dyDescent="0.2">
      <c r="T3500" s="247" t="str">
        <f t="shared" si="59"/>
        <v>1w</v>
      </c>
      <c r="U3500" s="245">
        <f>_xll.qlCalendarAdvance(Calendar,U3499,T3500,"f",FALSE)</f>
        <v>63367</v>
      </c>
      <c r="V3500" s="248">
        <f>_xll.qlCalendarAdvance(Calendar,U3500,NDays&amp;"D")</f>
        <v>63369</v>
      </c>
      <c r="W3500" s="249">
        <v>2.4527977078376357E-2</v>
      </c>
      <c r="X3500" s="246">
        <v>2.4449602677325544E-2</v>
      </c>
    </row>
    <row r="3501" spans="20:24" x14ac:dyDescent="0.2">
      <c r="T3501" s="247" t="str">
        <f t="shared" si="59"/>
        <v>1w</v>
      </c>
      <c r="U3501" s="245">
        <f>_xll.qlCalendarAdvance(Calendar,U3500,T3501,"f",FALSE)</f>
        <v>63374</v>
      </c>
      <c r="V3501" s="248">
        <f>_xll.qlCalendarAdvance(Calendar,U3501,NDays&amp;"D")</f>
        <v>63376</v>
      </c>
      <c r="W3501" s="249">
        <v>2.4528362834314855E-2</v>
      </c>
      <c r="X3501" s="246">
        <v>2.4450046103661194E-2</v>
      </c>
    </row>
    <row r="3502" spans="20:24" x14ac:dyDescent="0.2">
      <c r="T3502" s="247" t="str">
        <f t="shared" si="59"/>
        <v>1w</v>
      </c>
      <c r="U3502" s="245">
        <f>_xll.qlCalendarAdvance(Calendar,U3501,T3502,"f",FALSE)</f>
        <v>63381</v>
      </c>
      <c r="V3502" s="248">
        <f>_xll.qlCalendarAdvance(Calendar,U3502,NDays&amp;"D")</f>
        <v>63383</v>
      </c>
      <c r="W3502" s="249">
        <v>2.4528739294966202E-2</v>
      </c>
      <c r="X3502" s="246">
        <v>2.4450480292026455E-2</v>
      </c>
    </row>
    <row r="3503" spans="20:24" x14ac:dyDescent="0.2">
      <c r="T3503" s="247" t="str">
        <f t="shared" si="59"/>
        <v>1w</v>
      </c>
      <c r="U3503" s="245">
        <f>_xll.qlCalendarAdvance(Calendar,U3502,T3503,"f",FALSE)</f>
        <v>63388</v>
      </c>
      <c r="V3503" s="248">
        <f>_xll.qlCalendarAdvance(Calendar,U3503,NDays&amp;"D")</f>
        <v>63390</v>
      </c>
      <c r="W3503" s="249">
        <v>2.452910646032519E-2</v>
      </c>
      <c r="X3503" s="246">
        <v>2.445090524218152E-2</v>
      </c>
    </row>
    <row r="3504" spans="20:24" x14ac:dyDescent="0.2">
      <c r="T3504" s="247" t="str">
        <f t="shared" si="59"/>
        <v>1w</v>
      </c>
      <c r="U3504" s="245">
        <f>_xll.qlCalendarAdvance(Calendar,U3503,T3504,"f",FALSE)</f>
        <v>63395</v>
      </c>
      <c r="V3504" s="248">
        <f>_xll.qlCalendarAdvance(Calendar,U3504,NDays&amp;"D")</f>
        <v>63397</v>
      </c>
      <c r="W3504" s="249">
        <v>2.452946433039355E-2</v>
      </c>
      <c r="X3504" s="246">
        <v>2.445132095428626E-2</v>
      </c>
    </row>
    <row r="3505" spans="20:24" x14ac:dyDescent="0.2">
      <c r="T3505" s="247" t="str">
        <f t="shared" si="59"/>
        <v>1w</v>
      </c>
      <c r="U3505" s="245">
        <f>_xll.qlCalendarAdvance(Calendar,U3504,T3505,"f",FALSE)</f>
        <v>63402</v>
      </c>
      <c r="V3505" s="248">
        <f>_xll.qlCalendarAdvance(Calendar,U3505,NDays&amp;"D")</f>
        <v>63404</v>
      </c>
      <c r="W3505" s="249">
        <v>2.4529812905166076E-2</v>
      </c>
      <c r="X3505" s="246">
        <v>2.4451727428500547E-2</v>
      </c>
    </row>
    <row r="3506" spans="20:24" x14ac:dyDescent="0.2">
      <c r="T3506" s="247" t="str">
        <f t="shared" si="59"/>
        <v>1w</v>
      </c>
      <c r="U3506" s="245">
        <f>_xll.qlCalendarAdvance(Calendar,U3505,T3506,"f",FALSE)</f>
        <v>63409</v>
      </c>
      <c r="V3506" s="248">
        <f>_xll.qlCalendarAdvance(Calendar,U3506,NDays&amp;"D")</f>
        <v>63411</v>
      </c>
      <c r="W3506" s="249">
        <v>2.4530152184641895E-2</v>
      </c>
      <c r="X3506" s="246">
        <v>2.4452124664584574E-2</v>
      </c>
    </row>
    <row r="3507" spans="20:24" x14ac:dyDescent="0.2">
      <c r="T3507" s="247" t="str">
        <f t="shared" si="59"/>
        <v>1w</v>
      </c>
      <c r="U3507" s="245">
        <f>_xll.qlCalendarAdvance(Calendar,U3506,T3507,"f",FALSE)</f>
        <v>63416</v>
      </c>
      <c r="V3507" s="248">
        <f>_xll.qlCalendarAdvance(Calendar,U3507,NDays&amp;"D")</f>
        <v>63418</v>
      </c>
      <c r="W3507" s="249">
        <v>2.4530482168816661E-2</v>
      </c>
      <c r="X3507" s="246">
        <v>2.4452512662538339E-2</v>
      </c>
    </row>
    <row r="3508" spans="20:24" x14ac:dyDescent="0.2">
      <c r="T3508" s="247" t="str">
        <f t="shared" si="59"/>
        <v>1w</v>
      </c>
      <c r="U3508" s="245">
        <f>_xll.qlCalendarAdvance(Calendar,U3507,T3508,"f",FALSE)</f>
        <v>63423</v>
      </c>
      <c r="V3508" s="248">
        <f>_xll.qlCalendarAdvance(Calendar,U3508,NDays&amp;"D")</f>
        <v>63425</v>
      </c>
      <c r="W3508" s="249">
        <v>2.453080285768864E-2</v>
      </c>
      <c r="X3508" s="246">
        <v>2.445289142244178E-2</v>
      </c>
    </row>
    <row r="3509" spans="20:24" x14ac:dyDescent="0.2">
      <c r="T3509" s="247" t="str">
        <f t="shared" si="59"/>
        <v>1w</v>
      </c>
      <c r="U3509" s="245">
        <f>_xll.qlCalendarAdvance(Calendar,U3508,T3509,"f",FALSE)</f>
        <v>63430</v>
      </c>
      <c r="V3509" s="248">
        <f>_xll.qlCalendarAdvance(Calendar,U3509,NDays&amp;"D")</f>
        <v>63432</v>
      </c>
      <c r="W3509" s="249">
        <v>2.4530259725584331E-2</v>
      </c>
      <c r="X3509" s="246">
        <v>2.4453260944534705E-2</v>
      </c>
    </row>
    <row r="3510" spans="20:24" x14ac:dyDescent="0.2">
      <c r="T3510" s="247" t="str">
        <f t="shared" si="59"/>
        <v>1w</v>
      </c>
      <c r="U3510" s="245">
        <f>_xll.qlCalendarAdvance(Calendar,U3509,T3510,"f",FALSE)</f>
        <v>63437</v>
      </c>
      <c r="V3510" s="248">
        <f>_xll.qlCalendarAdvance(Calendar,U3510,NDays&amp;"D")</f>
        <v>63439</v>
      </c>
      <c r="W3510" s="249">
        <v>2.453056246723059E-2</v>
      </c>
      <c r="X3510" s="246">
        <v>2.4453621228337497E-2</v>
      </c>
    </row>
    <row r="3511" spans="20:24" x14ac:dyDescent="0.2">
      <c r="T3511" s="247" t="str">
        <f t="shared" si="59"/>
        <v>1w</v>
      </c>
      <c r="U3511" s="245">
        <f>_xll.qlCalendarAdvance(Calendar,U3510,T3511,"f",FALSE)</f>
        <v>63444</v>
      </c>
      <c r="V3511" s="248">
        <f>_xll.qlCalendarAdvance(Calendar,U3511,NDays&amp;"D")</f>
        <v>63446</v>
      </c>
      <c r="W3511" s="249">
        <v>2.4530855914196657E-2</v>
      </c>
      <c r="X3511" s="246">
        <v>2.4453972274089963E-2</v>
      </c>
    </row>
    <row r="3512" spans="20:24" x14ac:dyDescent="0.2">
      <c r="T3512" s="247" t="str">
        <f t="shared" si="59"/>
        <v>1w</v>
      </c>
      <c r="U3512" s="245">
        <f>_xll.qlCalendarAdvance(Calendar,U3511,T3512,"f",FALSE)</f>
        <v>63451</v>
      </c>
      <c r="V3512" s="248">
        <f>_xll.qlCalendarAdvance(Calendar,U3512,NDays&amp;"D")</f>
        <v>63453</v>
      </c>
      <c r="W3512" s="249">
        <v>2.4531140066486923E-2</v>
      </c>
      <c r="X3512" s="246">
        <v>2.4454314082031914E-2</v>
      </c>
    </row>
    <row r="3513" spans="20:24" x14ac:dyDescent="0.2">
      <c r="T3513" s="247" t="str">
        <f t="shared" si="59"/>
        <v>1w</v>
      </c>
      <c r="U3513" s="245">
        <f>_xll.qlCalendarAdvance(Calendar,U3512,T3513,"f",FALSE)</f>
        <v>63458</v>
      </c>
      <c r="V3513" s="248">
        <f>_xll.qlCalendarAdvance(Calendar,U3513,NDays&amp;"D")</f>
        <v>63460</v>
      </c>
      <c r="W3513" s="249">
        <v>2.4531414924094368E-2</v>
      </c>
      <c r="X3513" s="246">
        <v>2.4454646651763667E-2</v>
      </c>
    </row>
    <row r="3514" spans="20:24" x14ac:dyDescent="0.2">
      <c r="T3514" s="247" t="str">
        <f t="shared" si="59"/>
        <v>1w</v>
      </c>
      <c r="U3514" s="245">
        <f>_xll.qlCalendarAdvance(Calendar,U3513,T3514,"f",FALSE)</f>
        <v>63465</v>
      </c>
      <c r="V3514" s="248">
        <f>_xll.qlCalendarAdvance(Calendar,U3514,NDays&amp;"D")</f>
        <v>63467</v>
      </c>
      <c r="W3514" s="249">
        <v>2.4532531789452482E-2</v>
      </c>
      <c r="X3514" s="246">
        <v>2.445496998336516E-2</v>
      </c>
    </row>
    <row r="3515" spans="20:24" x14ac:dyDescent="0.2">
      <c r="T3515" s="247" t="str">
        <f t="shared" si="59"/>
        <v>1w</v>
      </c>
      <c r="U3515" s="245">
        <f>_xll.qlCalendarAdvance(Calendar,U3514,T3515,"f",FALSE)</f>
        <v>63472</v>
      </c>
      <c r="V3515" s="248">
        <f>_xll.qlCalendarAdvance(Calendar,U3515,NDays&amp;"D")</f>
        <v>63474</v>
      </c>
      <c r="W3515" s="249">
        <v>2.4532787411148466E-2</v>
      </c>
      <c r="X3515" s="246">
        <v>2.4455284076996264E-2</v>
      </c>
    </row>
    <row r="3516" spans="20:24" x14ac:dyDescent="0.2">
      <c r="T3516" s="247" t="str">
        <f t="shared" si="59"/>
        <v>1w</v>
      </c>
      <c r="U3516" s="245">
        <f>_xll.qlCalendarAdvance(Calendar,U3515,T3516,"f",FALSE)</f>
        <v>63479</v>
      </c>
      <c r="V3516" s="248">
        <f>_xll.qlCalendarAdvance(Calendar,U3516,NDays&amp;"D")</f>
        <v>63481</v>
      </c>
      <c r="W3516" s="249">
        <v>2.4533033737526026E-2</v>
      </c>
      <c r="X3516" s="246">
        <v>2.4455588932577044E-2</v>
      </c>
    </row>
    <row r="3517" spans="20:24" x14ac:dyDescent="0.2">
      <c r="T3517" s="247" t="str">
        <f t="shared" si="59"/>
        <v>1w</v>
      </c>
      <c r="U3517" s="245">
        <f>_xll.qlCalendarAdvance(Calendar,U3516,T3517,"f",FALSE)</f>
        <v>63486</v>
      </c>
      <c r="V3517" s="248">
        <f>_xll.qlCalendarAdvance(Calendar,U3517,NDays&amp;"D")</f>
        <v>63488</v>
      </c>
      <c r="W3517" s="249">
        <v>2.4533270768583415E-2</v>
      </c>
      <c r="X3517" s="246">
        <v>2.4455884550187434E-2</v>
      </c>
    </row>
    <row r="3518" spans="20:24" x14ac:dyDescent="0.2">
      <c r="T3518" s="247" t="str">
        <f t="shared" si="59"/>
        <v>1w</v>
      </c>
      <c r="U3518" s="245">
        <f>_xll.qlCalendarAdvance(Calendar,U3517,T3518,"f",FALSE)</f>
        <v>63493</v>
      </c>
      <c r="V3518" s="248">
        <f>_xll.qlCalendarAdvance(Calendar,U3518,NDays&amp;"D")</f>
        <v>63495</v>
      </c>
      <c r="W3518" s="249">
        <v>2.4533498504317165E-2</v>
      </c>
      <c r="X3518" s="246">
        <v>2.4456170929667564E-2</v>
      </c>
    </row>
    <row r="3519" spans="20:24" x14ac:dyDescent="0.2">
      <c r="T3519" s="247" t="str">
        <f t="shared" si="59"/>
        <v>1w</v>
      </c>
      <c r="U3519" s="245">
        <f>_xll.qlCalendarAdvance(Calendar,U3518,T3519,"f",FALSE)</f>
        <v>63500</v>
      </c>
      <c r="V3519" s="248">
        <f>_xll.qlCalendarAdvance(Calendar,U3519,NDays&amp;"D")</f>
        <v>63502</v>
      </c>
      <c r="W3519" s="249">
        <v>2.453371694472814E-2</v>
      </c>
      <c r="X3519" s="246">
        <v>2.445644807109737E-2</v>
      </c>
    </row>
    <row r="3520" spans="20:24" x14ac:dyDescent="0.2">
      <c r="T3520" s="247" t="str">
        <f t="shared" si="59"/>
        <v>1w</v>
      </c>
      <c r="U3520" s="245">
        <f>_xll.qlCalendarAdvance(Calendar,U3519,T3520,"f",FALSE)</f>
        <v>63507</v>
      </c>
      <c r="V3520" s="248">
        <f>_xll.qlCalendarAdvance(Calendar,U3520,NDays&amp;"D")</f>
        <v>63509</v>
      </c>
      <c r="W3520" s="249">
        <v>2.4533926089814608E-2</v>
      </c>
      <c r="X3520" s="246">
        <v>2.4456715974556786E-2</v>
      </c>
    </row>
    <row r="3521" spans="20:24" x14ac:dyDescent="0.2">
      <c r="T3521" s="247" t="str">
        <f t="shared" si="59"/>
        <v>1w</v>
      </c>
      <c r="U3521" s="245">
        <f>_xll.qlCalendarAdvance(Calendar,U3520,T3521,"f",FALSE)</f>
        <v>63514</v>
      </c>
      <c r="V3521" s="248">
        <f>_xll.qlCalendarAdvance(Calendar,U3521,NDays&amp;"D")</f>
        <v>63516</v>
      </c>
      <c r="W3521" s="249">
        <v>2.4534125939573957E-2</v>
      </c>
      <c r="X3521" s="246">
        <v>2.4456974639885942E-2</v>
      </c>
    </row>
    <row r="3522" spans="20:24" x14ac:dyDescent="0.2">
      <c r="T3522" s="247" t="str">
        <f t="shared" si="59"/>
        <v>1w</v>
      </c>
      <c r="U3522" s="245">
        <f>_xll.qlCalendarAdvance(Calendar,U3521,T3522,"f",FALSE)</f>
        <v>63521</v>
      </c>
      <c r="V3522" s="248">
        <f>_xll.qlCalendarAdvance(Calendar,U3522,NDays&amp;"D")</f>
        <v>63523</v>
      </c>
      <c r="W3522" s="249">
        <v>2.4532624245346746E-2</v>
      </c>
      <c r="X3522" s="246">
        <v>2.4457224067164773E-2</v>
      </c>
    </row>
    <row r="3523" spans="20:24" x14ac:dyDescent="0.2">
      <c r="T3523" s="247" t="str">
        <f t="shared" si="59"/>
        <v>1w</v>
      </c>
      <c r="U3523" s="245">
        <f>_xll.qlCalendarAdvance(Calendar,U3522,T3523,"f",FALSE)</f>
        <v>63528</v>
      </c>
      <c r="V3523" s="248">
        <f>_xll.qlCalendarAdvance(Calendar,U3523,NDays&amp;"D")</f>
        <v>63530</v>
      </c>
      <c r="W3523" s="249">
        <v>2.4532806807544105E-2</v>
      </c>
      <c r="X3523" s="246">
        <v>2.4457464256473216E-2</v>
      </c>
    </row>
    <row r="3524" spans="20:24" x14ac:dyDescent="0.2">
      <c r="T3524" s="247" t="str">
        <f t="shared" si="59"/>
        <v>1w</v>
      </c>
      <c r="U3524" s="245">
        <f>_xll.qlCalendarAdvance(Calendar,U3523,T3524,"f",FALSE)</f>
        <v>63535</v>
      </c>
      <c r="V3524" s="248">
        <f>_xll.qlCalendarAdvance(Calendar,U3524,NDays&amp;"D")</f>
        <v>63537</v>
      </c>
      <c r="W3524" s="249">
        <v>2.4532980075675503E-2</v>
      </c>
      <c r="X3524" s="246">
        <v>2.4457695207651398E-2</v>
      </c>
    </row>
    <row r="3525" spans="20:24" x14ac:dyDescent="0.2">
      <c r="T3525" s="247" t="str">
        <f t="shared" si="59"/>
        <v>1w</v>
      </c>
      <c r="U3525" s="245">
        <f>_xll.qlCalendarAdvance(Calendar,U3524,T3525,"f",FALSE)</f>
        <v>63542</v>
      </c>
      <c r="V3525" s="248">
        <f>_xll.qlCalendarAdvance(Calendar,U3525,NDays&amp;"D")</f>
        <v>63544</v>
      </c>
      <c r="W3525" s="249">
        <v>2.4533144049737388E-2</v>
      </c>
      <c r="X3525" s="246">
        <v>2.4457916920779255E-2</v>
      </c>
    </row>
    <row r="3526" spans="20:24" x14ac:dyDescent="0.2">
      <c r="T3526" s="247" t="str">
        <f t="shared" si="59"/>
        <v>1w</v>
      </c>
      <c r="U3526" s="245">
        <f>_xll.qlCalendarAdvance(Calendar,U3525,T3526,"f",FALSE)</f>
        <v>63550</v>
      </c>
      <c r="V3526" s="248">
        <f>_xll.qlCalendarAdvance(Calendar,U3526,NDays&amp;"D")</f>
        <v>63552</v>
      </c>
      <c r="W3526" s="249">
        <v>2.4534163501205335E-2</v>
      </c>
      <c r="X3526" s="246">
        <v>2.4460695551524747E-2</v>
      </c>
    </row>
    <row r="3527" spans="20:24" x14ac:dyDescent="0.2">
      <c r="T3527" s="247" t="str">
        <f t="shared" si="59"/>
        <v>1w</v>
      </c>
      <c r="U3527" s="245">
        <f>_xll.qlCalendarAdvance(Calendar,U3526,T3527,"f",FALSE)</f>
        <v>63557</v>
      </c>
      <c r="V3527" s="248">
        <f>_xll.qlCalendarAdvance(Calendar,U3527,NDays&amp;"D")</f>
        <v>63559</v>
      </c>
      <c r="W3527" s="249">
        <v>2.4533464126364812E-2</v>
      </c>
      <c r="X3527" s="246">
        <v>2.4460050680907841E-2</v>
      </c>
    </row>
    <row r="3528" spans="20:24" x14ac:dyDescent="0.2">
      <c r="T3528" s="247" t="str">
        <f t="shared" si="59"/>
        <v>1w</v>
      </c>
      <c r="U3528" s="245">
        <f>_xll.qlCalendarAdvance(Calendar,U3527,T3528,"f",FALSE)</f>
        <v>63564</v>
      </c>
      <c r="V3528" s="248">
        <f>_xll.qlCalendarAdvance(Calendar,U3528,NDays&amp;"D")</f>
        <v>63566</v>
      </c>
      <c r="W3528" s="249">
        <v>2.4533598890486452E-2</v>
      </c>
      <c r="X3528" s="246">
        <v>2.4460242066481896E-2</v>
      </c>
    </row>
    <row r="3529" spans="20:24" x14ac:dyDescent="0.2">
      <c r="T3529" s="247" t="str">
        <f t="shared" si="59"/>
        <v>1w</v>
      </c>
      <c r="U3529" s="245">
        <f>_xll.qlCalendarAdvance(Calendar,U3528,T3529,"f",FALSE)</f>
        <v>63571</v>
      </c>
      <c r="V3529" s="248">
        <f>_xll.qlCalendarAdvance(Calendar,U3529,NDays&amp;"D")</f>
        <v>63573</v>
      </c>
      <c r="W3529" s="249">
        <v>2.4533724360535913E-2</v>
      </c>
      <c r="X3529" s="246">
        <v>2.4460424212753296E-2</v>
      </c>
    </row>
    <row r="3530" spans="20:24" x14ac:dyDescent="0.2">
      <c r="T3530" s="247" t="str">
        <f t="shared" si="59"/>
        <v>1w</v>
      </c>
      <c r="U3530" s="245">
        <f>_xll.qlCalendarAdvance(Calendar,U3529,T3530,"f",FALSE)</f>
        <v>63578</v>
      </c>
      <c r="V3530" s="248">
        <f>_xll.qlCalendarAdvance(Calendar,U3530,NDays&amp;"D")</f>
        <v>63580</v>
      </c>
      <c r="W3530" s="249">
        <v>2.4533840536510532E-2</v>
      </c>
      <c r="X3530" s="246">
        <v>2.4460597119695393E-2</v>
      </c>
    </row>
    <row r="3531" spans="20:24" x14ac:dyDescent="0.2">
      <c r="T3531" s="247" t="str">
        <f t="shared" si="59"/>
        <v>1w</v>
      </c>
      <c r="U3531" s="245">
        <f>_xll.qlCalendarAdvance(Calendar,U3530,T3531,"f",FALSE)</f>
        <v>63585</v>
      </c>
      <c r="V3531" s="248">
        <f>_xll.qlCalendarAdvance(Calendar,U3531,NDays&amp;"D")</f>
        <v>63587</v>
      </c>
      <c r="W3531" s="249">
        <v>2.4533107237670642E-2</v>
      </c>
      <c r="X3531" s="246">
        <v>2.446076078741477E-2</v>
      </c>
    </row>
    <row r="3532" spans="20:24" x14ac:dyDescent="0.2">
      <c r="T3532" s="247" t="str">
        <f t="shared" si="59"/>
        <v>1w</v>
      </c>
      <c r="U3532" s="245">
        <f>_xll.qlCalendarAdvance(Calendar,U3531,T3532,"f",FALSE)</f>
        <v>63592</v>
      </c>
      <c r="V3532" s="248">
        <f>_xll.qlCalendarAdvance(Calendar,U3532,NDays&amp;"D")</f>
        <v>63594</v>
      </c>
      <c r="W3532" s="249">
        <v>2.4533205482682768E-2</v>
      </c>
      <c r="X3532" s="246">
        <v>2.4460915215778201E-2</v>
      </c>
    </row>
    <row r="3533" spans="20:24" x14ac:dyDescent="0.2">
      <c r="T3533" s="247" t="str">
        <f t="shared" si="59"/>
        <v>1w</v>
      </c>
      <c r="U3533" s="245">
        <f>_xll.qlCalendarAdvance(Calendar,U3532,T3533,"f",FALSE)</f>
        <v>63599</v>
      </c>
      <c r="V3533" s="248">
        <f>_xll.qlCalendarAdvance(Calendar,U3533,NDays&amp;"D")</f>
        <v>63601</v>
      </c>
      <c r="W3533" s="249">
        <v>2.4533294434249779E-2</v>
      </c>
      <c r="X3533" s="246">
        <v>2.4461060404812329E-2</v>
      </c>
    </row>
    <row r="3534" spans="20:24" x14ac:dyDescent="0.2">
      <c r="T3534" s="247" t="str">
        <f t="shared" si="59"/>
        <v>1w</v>
      </c>
      <c r="U3534" s="245">
        <f>_xll.qlCalendarAdvance(Calendar,U3533,T3534,"f",FALSE)</f>
        <v>63606</v>
      </c>
      <c r="V3534" s="248">
        <f>_xll.qlCalendarAdvance(Calendar,U3534,NDays&amp;"D")</f>
        <v>63608</v>
      </c>
      <c r="W3534" s="249">
        <v>2.4533374092369879E-2</v>
      </c>
      <c r="X3534" s="246">
        <v>2.4461196354570447E-2</v>
      </c>
    </row>
    <row r="3535" spans="20:24" x14ac:dyDescent="0.2">
      <c r="T3535" s="247" t="str">
        <f t="shared" si="59"/>
        <v>1w</v>
      </c>
      <c r="U3535" s="245">
        <f>_xll.qlCalendarAdvance(Calendar,U3534,T3535,"f",FALSE)</f>
        <v>63613</v>
      </c>
      <c r="V3535" s="248">
        <f>_xll.qlCalendarAdvance(Calendar,U3535,NDays&amp;"D")</f>
        <v>63615</v>
      </c>
      <c r="W3535" s="249">
        <v>2.4537631948171032E-2</v>
      </c>
      <c r="X3535" s="246">
        <v>2.4461323065025908E-2</v>
      </c>
    </row>
    <row r="3536" spans="20:24" x14ac:dyDescent="0.2">
      <c r="T3536" s="247" t="str">
        <f t="shared" si="59"/>
        <v>1w</v>
      </c>
      <c r="U3536" s="245">
        <f>_xll.qlCalendarAdvance(Calendar,U3535,T3536,"f",FALSE)</f>
        <v>63620</v>
      </c>
      <c r="V3536" s="248">
        <f>_xll.qlCalendarAdvance(Calendar,U3536,NDays&amp;"D")</f>
        <v>63622</v>
      </c>
      <c r="W3536" s="249" t="e">
        <v>#NUM!</v>
      </c>
      <c r="X3536" s="246">
        <v>2.4461440536178714E-2</v>
      </c>
    </row>
    <row r="3537" spans="2:24" x14ac:dyDescent="0.2">
      <c r="T3537" s="247" t="str">
        <f t="shared" si="59"/>
        <v>1w</v>
      </c>
      <c r="U3537" s="245">
        <f>_xll.qlCalendarAdvance(Calendar,U3536,T3537,"f",FALSE)</f>
        <v>63627</v>
      </c>
      <c r="V3537" s="248">
        <f>_xll.qlCalendarAdvance(Calendar,U3537,NDays&amp;"D")</f>
        <v>63629</v>
      </c>
      <c r="W3537" s="249" t="e">
        <v>#NUM!</v>
      </c>
      <c r="X3537" s="246">
        <v>2.4461548768002217E-2</v>
      </c>
    </row>
    <row r="3538" spans="2:24" x14ac:dyDescent="0.2">
      <c r="T3538" s="247" t="str">
        <f t="shared" ref="T3538:T3549" si="60">T3537</f>
        <v>1w</v>
      </c>
      <c r="U3538" s="245">
        <f>_xll.qlCalendarAdvance(Calendar,U3537,T3538,"f",FALSE)</f>
        <v>63634</v>
      </c>
      <c r="V3538" s="248">
        <f>_xll.qlCalendarAdvance(Calendar,U3538,NDays&amp;"D")</f>
        <v>63636</v>
      </c>
      <c r="W3538" s="249" t="e">
        <v>#NUM!</v>
      </c>
      <c r="X3538" s="246">
        <v>2.4461647760523064E-2</v>
      </c>
    </row>
    <row r="3539" spans="2:24" x14ac:dyDescent="0.2">
      <c r="T3539" s="247" t="str">
        <f t="shared" si="60"/>
        <v>1w</v>
      </c>
      <c r="U3539" s="245">
        <f>_xll.qlCalendarAdvance(Calendar,U3538,T3539,"f",FALSE)</f>
        <v>63641</v>
      </c>
      <c r="V3539" s="248">
        <f>_xll.qlCalendarAdvance(Calendar,U3539,NDays&amp;"D")</f>
        <v>63643</v>
      </c>
      <c r="W3539" s="249" t="e">
        <v>#NUM!</v>
      </c>
      <c r="X3539" s="246">
        <v>2.4461737513794546E-2</v>
      </c>
    </row>
    <row r="3540" spans="2:24" x14ac:dyDescent="0.2">
      <c r="T3540" s="247" t="str">
        <f t="shared" si="60"/>
        <v>1w</v>
      </c>
      <c r="U3540" s="245">
        <f>_xll.qlCalendarAdvance(Calendar,U3539,T3540,"f",FALSE)</f>
        <v>63648</v>
      </c>
      <c r="V3540" s="248">
        <f>_xll.qlCalendarAdvance(Calendar,U3540,NDays&amp;"D")</f>
        <v>63650</v>
      </c>
      <c r="W3540" s="249" t="e">
        <v>#NUM!</v>
      </c>
      <c r="X3540" s="246">
        <v>2.4461818027736726E-2</v>
      </c>
    </row>
    <row r="3541" spans="2:24" x14ac:dyDescent="0.2">
      <c r="T3541" s="247" t="str">
        <f t="shared" si="60"/>
        <v>1w</v>
      </c>
      <c r="U3541" s="245">
        <f>_xll.qlCalendarAdvance(Calendar,U3540,T3541,"f",FALSE)</f>
        <v>63655</v>
      </c>
      <c r="V3541" s="248">
        <f>_xll.qlCalendarAdvance(Calendar,U3541,NDays&amp;"D")</f>
        <v>63661</v>
      </c>
      <c r="W3541" s="249" t="e">
        <v>#NUM!</v>
      </c>
      <c r="X3541" s="246">
        <v>2.446025508971772E-2</v>
      </c>
    </row>
    <row r="3542" spans="2:24" x14ac:dyDescent="0.2">
      <c r="T3542" s="247" t="str">
        <f t="shared" si="60"/>
        <v>1w</v>
      </c>
      <c r="U3542" s="245">
        <f>_xll.qlCalendarAdvance(Calendar,U3541,T3542,"f",FALSE)</f>
        <v>63662</v>
      </c>
      <c r="V3542" s="248">
        <f>_xll.qlCalendarAdvance(Calendar,U3542,NDays&amp;"D")</f>
        <v>63664</v>
      </c>
      <c r="W3542" s="249" t="e">
        <v>#NUM!</v>
      </c>
      <c r="X3542" s="246">
        <v>2.4461951337659826E-2</v>
      </c>
    </row>
    <row r="3543" spans="2:24" x14ac:dyDescent="0.2">
      <c r="B3543" s="245"/>
      <c r="C3543" s="248"/>
      <c r="D3543" s="249"/>
      <c r="E3543" s="249"/>
      <c r="T3543" s="247" t="str">
        <f t="shared" si="60"/>
        <v>1w</v>
      </c>
      <c r="U3543" s="245">
        <f>_xll.qlCalendarAdvance(Calendar,U3542,T3543,"f",FALSE)</f>
        <v>63669</v>
      </c>
      <c r="V3543" s="248">
        <f>_xll.qlCalendarAdvance(Calendar,U3543,NDays&amp;"D")</f>
        <v>63671</v>
      </c>
      <c r="W3543" s="249" t="e">
        <v>#NUM!</v>
      </c>
      <c r="X3543" s="246">
        <v>2.4462004133720683E-2</v>
      </c>
    </row>
    <row r="3544" spans="2:24" x14ac:dyDescent="0.2">
      <c r="B3544" s="245"/>
      <c r="C3544" s="248"/>
      <c r="D3544" s="249"/>
      <c r="E3544" s="249"/>
      <c r="T3544" s="247" t="str">
        <f t="shared" si="60"/>
        <v>1w</v>
      </c>
      <c r="U3544" s="245">
        <f>_xll.qlCalendarAdvance(Calendar,U3543,T3544,"f",FALSE)</f>
        <v>63676</v>
      </c>
      <c r="V3544" s="248">
        <f>_xll.qlCalendarAdvance(Calendar,U3544,NDays&amp;"D")</f>
        <v>63678</v>
      </c>
      <c r="W3544" s="249" t="e">
        <v>#NUM!</v>
      </c>
      <c r="X3544" s="246">
        <v>2.4462047690425592E-2</v>
      </c>
    </row>
    <row r="3545" spans="2:24" x14ac:dyDescent="0.2">
      <c r="B3545" s="245"/>
      <c r="C3545" s="248"/>
      <c r="D3545" s="249"/>
      <c r="E3545" s="249"/>
      <c r="T3545" s="247" t="str">
        <f t="shared" si="60"/>
        <v>1w</v>
      </c>
      <c r="U3545" s="245">
        <f>_xll.qlCalendarAdvance(Calendar,U3544,T3545,"f",FALSE)</f>
        <v>63683</v>
      </c>
      <c r="V3545" s="248">
        <f>_xll.qlCalendarAdvance(Calendar,U3545,NDays&amp;"D")</f>
        <v>63685</v>
      </c>
      <c r="W3545" s="249" t="e">
        <v>#NUM!</v>
      </c>
      <c r="X3545" s="246">
        <v>2.4462082007827846E-2</v>
      </c>
    </row>
    <row r="3546" spans="2:24" x14ac:dyDescent="0.2">
      <c r="B3546" s="245"/>
      <c r="C3546" s="248"/>
      <c r="D3546" s="249"/>
      <c r="E3546" s="249"/>
      <c r="T3546" s="247" t="str">
        <f t="shared" si="60"/>
        <v>1w</v>
      </c>
      <c r="U3546" s="245">
        <f>_xll.qlCalendarAdvance(Calendar,U3545,T3546,"f",FALSE)</f>
        <v>63690</v>
      </c>
      <c r="V3546" s="248">
        <f>_xll.qlCalendarAdvance(Calendar,U3546,NDays&amp;"D")</f>
        <v>63692</v>
      </c>
      <c r="W3546" s="249" t="e">
        <v>#NUM!</v>
      </c>
      <c r="X3546" s="246">
        <v>2.4462107085954088E-2</v>
      </c>
    </row>
    <row r="3547" spans="2:24" x14ac:dyDescent="0.2">
      <c r="B3547" s="245"/>
      <c r="C3547" s="248"/>
      <c r="D3547" s="249"/>
      <c r="E3547" s="249"/>
      <c r="T3547" s="247" t="str">
        <f t="shared" si="60"/>
        <v>1w</v>
      </c>
      <c r="U3547" s="245">
        <f>_xll.qlCalendarAdvance(Calendar,U3546,T3547,"f",FALSE)</f>
        <v>63697</v>
      </c>
      <c r="V3547" s="248">
        <f>_xll.qlCalendarAdvance(Calendar,U3547,NDays&amp;"D")</f>
        <v>63699</v>
      </c>
      <c r="W3547" s="249" t="e">
        <v>#NUM!</v>
      </c>
      <c r="X3547" s="246">
        <v>2.4462122924751029E-2</v>
      </c>
    </row>
    <row r="3548" spans="2:24" x14ac:dyDescent="0.2">
      <c r="B3548" s="245"/>
      <c r="C3548" s="248"/>
      <c r="D3548" s="249"/>
      <c r="E3548" s="249"/>
      <c r="T3548" s="247" t="str">
        <f t="shared" si="60"/>
        <v>1w</v>
      </c>
      <c r="U3548" s="245">
        <f>_xll.qlCalendarAdvance(Calendar,U3547,T3548,"f",FALSE)</f>
        <v>63704</v>
      </c>
      <c r="V3548" s="248">
        <f>_xll.qlCalendarAdvance(Calendar,U3548,NDays&amp;"D")</f>
        <v>63706</v>
      </c>
      <c r="W3548" s="249" t="e">
        <v>#NUM!</v>
      </c>
      <c r="X3548" s="246">
        <v>2.4462129524218668E-2</v>
      </c>
    </row>
    <row r="3549" spans="2:24" ht="12" thickBot="1" x14ac:dyDescent="0.25">
      <c r="B3549" s="245"/>
      <c r="C3549" s="248"/>
      <c r="D3549" s="249"/>
      <c r="E3549" s="249"/>
      <c r="T3549" s="265" t="str">
        <f t="shared" si="60"/>
        <v>1w</v>
      </c>
      <c r="U3549" s="252">
        <f>_xll.qlCalendarAdvance(Calendar,U3548,T3549,"f",FALSE)</f>
        <v>63711</v>
      </c>
      <c r="V3549" s="271">
        <f>_xll.qlCalendarAdvance(Calendar,U3549,NDays&amp;"D")</f>
        <v>63713</v>
      </c>
      <c r="W3549" s="250" t="e">
        <v>#NUM!</v>
      </c>
      <c r="X3549" s="251" t="e">
        <v>#NUM!</v>
      </c>
    </row>
    <row r="3550" spans="2:24" x14ac:dyDescent="0.2">
      <c r="B3550" s="245"/>
      <c r="C3550" s="248"/>
      <c r="D3550" s="249"/>
      <c r="E3550" s="249"/>
    </row>
    <row r="3551" spans="2:24" x14ac:dyDescent="0.2">
      <c r="B3551" s="245"/>
      <c r="C3551" s="248"/>
      <c r="D3551" s="249"/>
      <c r="E3551" s="249"/>
    </row>
    <row r="3552" spans="2:24" x14ac:dyDescent="0.2">
      <c r="B3552" s="245"/>
      <c r="C3552" s="248"/>
      <c r="D3552" s="249"/>
      <c r="E3552" s="249"/>
    </row>
    <row r="3553" spans="2:20" x14ac:dyDescent="0.2">
      <c r="B3553" s="245"/>
      <c r="C3553" s="248"/>
      <c r="D3553" s="249"/>
      <c r="E3553" s="249"/>
      <c r="T3553" s="261"/>
    </row>
    <row r="3554" spans="2:20" x14ac:dyDescent="0.2">
      <c r="B3554" s="245"/>
      <c r="C3554" s="248"/>
      <c r="D3554" s="249"/>
      <c r="E3554" s="249"/>
      <c r="T3554" s="261"/>
    </row>
    <row r="3555" spans="2:20" x14ac:dyDescent="0.2">
      <c r="B3555" s="245"/>
      <c r="C3555" s="248"/>
      <c r="D3555" s="249"/>
      <c r="E3555" s="249"/>
      <c r="T3555" s="261"/>
    </row>
    <row r="3556" spans="2:20" x14ac:dyDescent="0.2">
      <c r="B3556" s="245"/>
      <c r="C3556" s="248"/>
      <c r="D3556" s="249"/>
      <c r="E3556" s="249"/>
      <c r="T3556" s="261"/>
    </row>
    <row r="3557" spans="2:20" x14ac:dyDescent="0.2">
      <c r="B3557" s="245"/>
      <c r="C3557" s="248"/>
      <c r="D3557" s="249"/>
      <c r="E3557" s="249"/>
      <c r="T3557" s="261"/>
    </row>
    <row r="3558" spans="2:20" x14ac:dyDescent="0.2">
      <c r="B3558" s="245"/>
      <c r="C3558" s="248"/>
      <c r="D3558" s="249"/>
      <c r="E3558" s="249"/>
      <c r="T3558" s="261"/>
    </row>
    <row r="3559" spans="2:20" x14ac:dyDescent="0.2">
      <c r="B3559" s="245"/>
      <c r="C3559" s="248"/>
      <c r="D3559" s="249"/>
      <c r="E3559" s="249"/>
      <c r="T3559" s="261"/>
    </row>
    <row r="3560" spans="2:20" x14ac:dyDescent="0.2">
      <c r="B3560" s="245"/>
      <c r="C3560" s="248"/>
      <c r="D3560" s="249"/>
      <c r="E3560" s="249"/>
      <c r="T3560" s="261"/>
    </row>
    <row r="3561" spans="2:20" x14ac:dyDescent="0.2">
      <c r="B3561" s="245"/>
      <c r="C3561" s="248"/>
      <c r="D3561" s="249"/>
      <c r="E3561" s="249"/>
      <c r="T3561" s="261"/>
    </row>
    <row r="3562" spans="2:20" x14ac:dyDescent="0.2">
      <c r="B3562" s="245"/>
      <c r="C3562" s="248"/>
      <c r="D3562" s="249"/>
      <c r="E3562" s="249"/>
      <c r="T3562" s="261"/>
    </row>
    <row r="3563" spans="2:20" x14ac:dyDescent="0.2">
      <c r="B3563" s="245"/>
      <c r="C3563" s="248"/>
      <c r="D3563" s="249"/>
      <c r="E3563" s="249"/>
      <c r="T3563" s="261"/>
    </row>
    <row r="3564" spans="2:20" x14ac:dyDescent="0.2">
      <c r="B3564" s="245"/>
      <c r="C3564" s="248"/>
      <c r="D3564" s="249"/>
      <c r="E3564" s="249"/>
      <c r="T3564" s="261"/>
    </row>
    <row r="3565" spans="2:20" x14ac:dyDescent="0.2">
      <c r="B3565" s="245"/>
      <c r="C3565" s="248"/>
      <c r="D3565" s="249"/>
      <c r="E3565" s="249"/>
      <c r="T3565" s="261"/>
    </row>
    <row r="3566" spans="2:20" x14ac:dyDescent="0.2">
      <c r="B3566" s="245"/>
      <c r="C3566" s="248"/>
      <c r="D3566" s="249"/>
      <c r="E3566" s="249"/>
      <c r="T3566" s="261"/>
    </row>
    <row r="3567" spans="2:20" x14ac:dyDescent="0.2">
      <c r="B3567" s="245"/>
      <c r="C3567" s="248"/>
      <c r="D3567" s="249"/>
      <c r="E3567" s="249"/>
      <c r="T3567" s="261"/>
    </row>
    <row r="3568" spans="2:20" x14ac:dyDescent="0.2">
      <c r="B3568" s="245"/>
      <c r="C3568" s="248"/>
      <c r="D3568" s="249"/>
      <c r="E3568" s="249"/>
      <c r="T3568" s="261"/>
    </row>
    <row r="3569" spans="2:20" x14ac:dyDescent="0.2">
      <c r="B3569" s="245"/>
      <c r="C3569" s="248"/>
      <c r="D3569" s="249"/>
      <c r="E3569" s="249"/>
      <c r="T3569" s="261"/>
    </row>
    <row r="3570" spans="2:20" x14ac:dyDescent="0.2">
      <c r="B3570" s="245"/>
      <c r="C3570" s="248"/>
      <c r="D3570" s="249"/>
      <c r="E3570" s="249"/>
      <c r="T3570" s="261"/>
    </row>
    <row r="3571" spans="2:20" x14ac:dyDescent="0.2">
      <c r="B3571" s="245"/>
      <c r="C3571" s="248"/>
      <c r="D3571" s="249"/>
      <c r="E3571" s="249"/>
      <c r="T3571" s="261"/>
    </row>
    <row r="3572" spans="2:20" x14ac:dyDescent="0.2">
      <c r="B3572" s="245"/>
      <c r="C3572" s="248"/>
      <c r="D3572" s="249"/>
      <c r="E3572" s="249"/>
      <c r="T3572" s="261"/>
    </row>
    <row r="3573" spans="2:20" x14ac:dyDescent="0.2">
      <c r="B3573" s="245"/>
      <c r="C3573" s="248"/>
      <c r="D3573" s="249"/>
      <c r="E3573" s="249"/>
      <c r="T3573" s="261"/>
    </row>
    <row r="3574" spans="2:20" x14ac:dyDescent="0.2">
      <c r="B3574" s="245"/>
      <c r="C3574" s="248"/>
      <c r="D3574" s="249"/>
      <c r="E3574" s="249"/>
      <c r="T3574" s="261"/>
    </row>
    <row r="3575" spans="2:20" x14ac:dyDescent="0.2">
      <c r="B3575" s="245"/>
      <c r="C3575" s="248"/>
      <c r="D3575" s="249"/>
      <c r="E3575" s="249"/>
      <c r="T3575" s="261"/>
    </row>
    <row r="3576" spans="2:20" x14ac:dyDescent="0.2">
      <c r="B3576" s="245"/>
      <c r="C3576" s="248"/>
      <c r="D3576" s="249"/>
      <c r="E3576" s="249"/>
      <c r="T3576" s="261"/>
    </row>
    <row r="3577" spans="2:20" x14ac:dyDescent="0.2">
      <c r="B3577" s="245"/>
      <c r="C3577" s="248"/>
      <c r="D3577" s="249"/>
      <c r="E3577" s="249"/>
      <c r="T3577" s="261"/>
    </row>
    <row r="3578" spans="2:20" x14ac:dyDescent="0.2">
      <c r="B3578" s="245"/>
      <c r="C3578" s="248"/>
      <c r="D3578" s="249"/>
      <c r="E3578" s="249"/>
      <c r="T3578" s="261"/>
    </row>
    <row r="3579" spans="2:20" x14ac:dyDescent="0.2">
      <c r="B3579" s="245"/>
      <c r="C3579" s="248"/>
      <c r="D3579" s="249"/>
      <c r="E3579" s="249"/>
      <c r="T3579" s="261"/>
    </row>
    <row r="3580" spans="2:20" x14ac:dyDescent="0.2">
      <c r="B3580" s="245"/>
      <c r="C3580" s="248"/>
      <c r="D3580" s="249"/>
      <c r="E3580" s="249"/>
      <c r="T3580" s="261"/>
    </row>
    <row r="3581" spans="2:20" x14ac:dyDescent="0.2">
      <c r="B3581" s="245"/>
      <c r="C3581" s="248"/>
      <c r="D3581" s="249"/>
      <c r="E3581" s="249"/>
      <c r="T3581" s="261"/>
    </row>
    <row r="3582" spans="2:20" x14ac:dyDescent="0.2">
      <c r="B3582" s="245"/>
      <c r="C3582" s="248"/>
      <c r="D3582" s="249"/>
      <c r="E3582" s="249"/>
      <c r="T3582" s="261"/>
    </row>
    <row r="3583" spans="2:20" x14ac:dyDescent="0.2">
      <c r="B3583" s="245"/>
      <c r="C3583" s="248"/>
      <c r="D3583" s="249"/>
      <c r="E3583" s="249"/>
      <c r="T3583" s="261"/>
    </row>
    <row r="3584" spans="2:20" x14ac:dyDescent="0.2">
      <c r="B3584" s="245"/>
      <c r="C3584" s="248"/>
      <c r="D3584" s="249"/>
      <c r="E3584" s="249"/>
      <c r="T3584" s="261"/>
    </row>
    <row r="3585" spans="2:20" x14ac:dyDescent="0.2">
      <c r="B3585" s="245"/>
      <c r="C3585" s="248"/>
      <c r="D3585" s="249"/>
      <c r="E3585" s="249"/>
      <c r="T3585" s="261"/>
    </row>
    <row r="3586" spans="2:20" x14ac:dyDescent="0.2">
      <c r="B3586" s="245"/>
      <c r="C3586" s="248"/>
      <c r="D3586" s="249"/>
      <c r="E3586" s="249"/>
      <c r="T3586" s="261"/>
    </row>
    <row r="3587" spans="2:20" x14ac:dyDescent="0.2">
      <c r="B3587" s="245"/>
      <c r="C3587" s="248"/>
      <c r="D3587" s="249"/>
      <c r="E3587" s="249"/>
      <c r="T3587" s="261"/>
    </row>
    <row r="3588" spans="2:20" x14ac:dyDescent="0.2">
      <c r="B3588" s="245"/>
      <c r="C3588" s="248"/>
      <c r="D3588" s="249"/>
      <c r="E3588" s="249"/>
      <c r="T3588" s="261"/>
    </row>
    <row r="3589" spans="2:20" x14ac:dyDescent="0.2">
      <c r="B3589" s="245"/>
      <c r="C3589" s="248"/>
      <c r="D3589" s="249"/>
      <c r="E3589" s="249"/>
      <c r="T3589" s="261"/>
    </row>
    <row r="3590" spans="2:20" x14ac:dyDescent="0.2">
      <c r="B3590" s="245"/>
      <c r="C3590" s="248"/>
      <c r="D3590" s="249"/>
      <c r="E3590" s="249"/>
      <c r="T3590" s="261"/>
    </row>
    <row r="3591" spans="2:20" x14ac:dyDescent="0.2">
      <c r="B3591" s="245"/>
      <c r="C3591" s="248"/>
      <c r="D3591" s="249"/>
      <c r="E3591" s="249"/>
      <c r="T3591" s="261"/>
    </row>
    <row r="3592" spans="2:20" x14ac:dyDescent="0.2">
      <c r="B3592" s="245"/>
      <c r="C3592" s="248"/>
      <c r="D3592" s="249"/>
      <c r="E3592" s="249"/>
      <c r="T3592" s="261"/>
    </row>
    <row r="3593" spans="2:20" x14ac:dyDescent="0.2">
      <c r="B3593" s="245"/>
      <c r="C3593" s="248"/>
      <c r="D3593" s="249"/>
      <c r="E3593" s="249"/>
      <c r="T3593" s="261"/>
    </row>
    <row r="3594" spans="2:20" x14ac:dyDescent="0.2">
      <c r="B3594" s="245"/>
      <c r="C3594" s="248"/>
      <c r="D3594" s="249"/>
      <c r="E3594" s="249"/>
      <c r="T3594" s="261"/>
    </row>
    <row r="3595" spans="2:20" x14ac:dyDescent="0.2">
      <c r="B3595" s="245"/>
      <c r="C3595" s="248"/>
      <c r="D3595" s="249"/>
      <c r="E3595" s="249"/>
      <c r="T3595" s="261"/>
    </row>
    <row r="3596" spans="2:20" x14ac:dyDescent="0.2">
      <c r="B3596" s="245"/>
      <c r="C3596" s="248"/>
      <c r="D3596" s="249"/>
      <c r="E3596" s="249"/>
      <c r="T3596" s="261"/>
    </row>
    <row r="3597" spans="2:20" x14ac:dyDescent="0.2">
      <c r="B3597" s="245"/>
      <c r="C3597" s="248"/>
      <c r="D3597" s="249"/>
      <c r="E3597" s="249"/>
      <c r="T3597" s="261"/>
    </row>
    <row r="3598" spans="2:20" x14ac:dyDescent="0.2">
      <c r="B3598" s="245"/>
      <c r="C3598" s="248"/>
      <c r="D3598" s="249"/>
      <c r="E3598" s="249"/>
      <c r="T3598" s="261"/>
    </row>
    <row r="3599" spans="2:20" x14ac:dyDescent="0.2">
      <c r="B3599" s="245"/>
      <c r="C3599" s="248"/>
      <c r="D3599" s="249"/>
      <c r="E3599" s="249"/>
      <c r="T3599" s="261"/>
    </row>
    <row r="3600" spans="2:20" x14ac:dyDescent="0.2">
      <c r="B3600" s="245"/>
      <c r="C3600" s="248"/>
      <c r="D3600" s="249"/>
      <c r="E3600" s="249"/>
      <c r="T3600" s="261"/>
    </row>
    <row r="3601" spans="2:20" x14ac:dyDescent="0.2">
      <c r="B3601" s="245"/>
      <c r="C3601" s="248"/>
      <c r="D3601" s="249"/>
      <c r="E3601" s="249"/>
      <c r="T3601" s="261"/>
    </row>
    <row r="3602" spans="2:20" x14ac:dyDescent="0.2">
      <c r="B3602" s="245"/>
      <c r="C3602" s="248"/>
      <c r="D3602" s="249"/>
      <c r="E3602" s="249"/>
      <c r="T3602" s="261"/>
    </row>
    <row r="3603" spans="2:20" x14ac:dyDescent="0.2">
      <c r="B3603" s="245"/>
      <c r="C3603" s="248"/>
      <c r="D3603" s="249"/>
      <c r="E3603" s="249"/>
      <c r="T3603" s="261"/>
    </row>
    <row r="3604" spans="2:20" x14ac:dyDescent="0.2">
      <c r="B3604" s="245"/>
      <c r="C3604" s="248"/>
      <c r="D3604" s="249"/>
      <c r="E3604" s="249"/>
      <c r="T3604" s="261"/>
    </row>
    <row r="3605" spans="2:20" x14ac:dyDescent="0.2">
      <c r="B3605" s="245"/>
      <c r="C3605" s="248"/>
      <c r="D3605" s="249"/>
      <c r="E3605" s="249"/>
      <c r="T3605" s="261"/>
    </row>
    <row r="3606" spans="2:20" x14ac:dyDescent="0.2">
      <c r="B3606" s="245"/>
      <c r="C3606" s="248"/>
      <c r="D3606" s="249"/>
      <c r="E3606" s="249"/>
      <c r="T3606" s="261"/>
    </row>
    <row r="3607" spans="2:20" x14ac:dyDescent="0.2">
      <c r="B3607" s="245"/>
      <c r="C3607" s="248"/>
      <c r="D3607" s="249"/>
      <c r="E3607" s="249"/>
      <c r="T3607" s="261"/>
    </row>
    <row r="3608" spans="2:20" x14ac:dyDescent="0.2">
      <c r="B3608" s="245"/>
      <c r="C3608" s="248"/>
      <c r="D3608" s="249"/>
      <c r="E3608" s="249"/>
      <c r="T3608" s="261"/>
    </row>
    <row r="3609" spans="2:20" x14ac:dyDescent="0.2">
      <c r="B3609" s="245"/>
      <c r="C3609" s="248"/>
      <c r="D3609" s="249"/>
      <c r="E3609" s="249"/>
      <c r="T3609" s="261"/>
    </row>
    <row r="3610" spans="2:20" x14ac:dyDescent="0.2">
      <c r="B3610" s="245"/>
      <c r="C3610" s="248"/>
      <c r="D3610" s="249"/>
      <c r="E3610" s="249"/>
      <c r="T3610" s="261"/>
    </row>
    <row r="3611" spans="2:20" x14ac:dyDescent="0.2">
      <c r="B3611" s="245"/>
      <c r="C3611" s="248"/>
      <c r="D3611" s="249"/>
      <c r="E3611" s="249"/>
      <c r="T3611" s="261"/>
    </row>
    <row r="3612" spans="2:20" x14ac:dyDescent="0.2">
      <c r="B3612" s="245"/>
      <c r="C3612" s="248"/>
      <c r="D3612" s="249"/>
      <c r="E3612" s="249"/>
      <c r="T3612" s="261"/>
    </row>
    <row r="3613" spans="2:20" x14ac:dyDescent="0.2">
      <c r="B3613" s="245"/>
      <c r="C3613" s="248"/>
      <c r="D3613" s="249"/>
      <c r="E3613" s="249"/>
      <c r="T3613" s="261"/>
    </row>
    <row r="3614" spans="2:20" x14ac:dyDescent="0.2">
      <c r="B3614" s="245"/>
      <c r="C3614" s="248"/>
      <c r="D3614" s="249"/>
      <c r="E3614" s="249"/>
      <c r="T3614" s="261"/>
    </row>
    <row r="3615" spans="2:20" x14ac:dyDescent="0.2">
      <c r="B3615" s="245"/>
      <c r="C3615" s="248"/>
      <c r="D3615" s="249"/>
      <c r="E3615" s="249"/>
      <c r="T3615" s="261"/>
    </row>
    <row r="3616" spans="2:20" x14ac:dyDescent="0.2">
      <c r="B3616" s="245"/>
      <c r="C3616" s="248"/>
      <c r="D3616" s="249"/>
      <c r="E3616" s="249"/>
      <c r="T3616" s="261"/>
    </row>
    <row r="3617" spans="2:20" x14ac:dyDescent="0.2">
      <c r="B3617" s="245"/>
      <c r="C3617" s="248"/>
      <c r="D3617" s="249"/>
      <c r="E3617" s="249"/>
      <c r="T3617" s="261"/>
    </row>
    <row r="3618" spans="2:20" x14ac:dyDescent="0.2">
      <c r="B3618" s="245"/>
      <c r="C3618" s="248"/>
      <c r="D3618" s="249"/>
      <c r="E3618" s="249"/>
      <c r="T3618" s="261"/>
    </row>
    <row r="3619" spans="2:20" x14ac:dyDescent="0.2">
      <c r="B3619" s="245"/>
      <c r="C3619" s="248"/>
      <c r="D3619" s="249"/>
      <c r="E3619" s="249"/>
      <c r="T3619" s="261"/>
    </row>
    <row r="3620" spans="2:20" x14ac:dyDescent="0.2">
      <c r="B3620" s="245"/>
      <c r="C3620" s="248"/>
      <c r="D3620" s="249"/>
      <c r="E3620" s="249"/>
      <c r="T3620" s="261"/>
    </row>
    <row r="3621" spans="2:20" x14ac:dyDescent="0.2">
      <c r="B3621" s="245"/>
      <c r="C3621" s="248"/>
      <c r="D3621" s="249"/>
      <c r="E3621" s="249"/>
      <c r="T3621" s="261"/>
    </row>
    <row r="3622" spans="2:20" x14ac:dyDescent="0.2">
      <c r="B3622" s="245"/>
      <c r="C3622" s="248"/>
      <c r="D3622" s="249"/>
      <c r="E3622" s="249"/>
      <c r="T3622" s="261"/>
    </row>
    <row r="3623" spans="2:20" x14ac:dyDescent="0.2">
      <c r="B3623" s="245"/>
      <c r="C3623" s="248"/>
      <c r="D3623" s="249"/>
      <c r="E3623" s="249"/>
      <c r="T3623" s="261"/>
    </row>
    <row r="3624" spans="2:20" x14ac:dyDescent="0.2">
      <c r="B3624" s="245"/>
      <c r="C3624" s="248"/>
      <c r="D3624" s="249"/>
      <c r="E3624" s="249"/>
      <c r="T3624" s="261"/>
    </row>
    <row r="3625" spans="2:20" x14ac:dyDescent="0.2">
      <c r="B3625" s="245"/>
      <c r="C3625" s="248"/>
      <c r="D3625" s="249"/>
      <c r="E3625" s="249"/>
      <c r="T3625" s="261"/>
    </row>
    <row r="3626" spans="2:20" x14ac:dyDescent="0.2">
      <c r="B3626" s="245"/>
      <c r="C3626" s="248"/>
      <c r="D3626" s="249"/>
      <c r="E3626" s="249"/>
      <c r="T3626" s="261"/>
    </row>
    <row r="3627" spans="2:20" x14ac:dyDescent="0.2">
      <c r="B3627" s="245"/>
      <c r="C3627" s="248"/>
      <c r="D3627" s="249"/>
      <c r="E3627" s="249"/>
      <c r="T3627" s="261"/>
    </row>
    <row r="3628" spans="2:20" x14ac:dyDescent="0.2">
      <c r="B3628" s="245"/>
      <c r="C3628" s="248"/>
      <c r="D3628" s="249"/>
      <c r="E3628" s="249"/>
      <c r="T3628" s="261"/>
    </row>
    <row r="3629" spans="2:20" x14ac:dyDescent="0.2">
      <c r="B3629" s="245"/>
      <c r="C3629" s="248"/>
      <c r="D3629" s="249"/>
      <c r="E3629" s="249"/>
      <c r="T3629" s="261"/>
    </row>
    <row r="3630" spans="2:20" x14ac:dyDescent="0.2">
      <c r="B3630" s="245"/>
      <c r="C3630" s="248"/>
      <c r="D3630" s="249"/>
      <c r="E3630" s="249"/>
      <c r="T3630" s="261"/>
    </row>
    <row r="3631" spans="2:20" x14ac:dyDescent="0.2">
      <c r="B3631" s="245"/>
      <c r="C3631" s="248"/>
      <c r="D3631" s="249"/>
      <c r="E3631" s="249"/>
      <c r="T3631" s="261"/>
    </row>
    <row r="3632" spans="2:20" x14ac:dyDescent="0.2">
      <c r="B3632" s="245"/>
      <c r="C3632" s="248"/>
      <c r="D3632" s="249"/>
      <c r="E3632" s="249"/>
      <c r="T3632" s="261"/>
    </row>
    <row r="3633" spans="2:20" x14ac:dyDescent="0.2">
      <c r="B3633" s="245"/>
      <c r="C3633" s="248"/>
      <c r="D3633" s="249"/>
      <c r="E3633" s="249"/>
      <c r="T3633" s="261"/>
    </row>
    <row r="3634" spans="2:20" x14ac:dyDescent="0.2">
      <c r="B3634" s="245"/>
      <c r="C3634" s="248"/>
      <c r="D3634" s="249"/>
      <c r="E3634" s="249"/>
      <c r="T3634" s="261"/>
    </row>
    <row r="3635" spans="2:20" x14ac:dyDescent="0.2">
      <c r="B3635" s="245"/>
      <c r="C3635" s="248"/>
      <c r="D3635" s="249"/>
      <c r="E3635" s="249"/>
      <c r="T3635" s="261"/>
    </row>
    <row r="3636" spans="2:20" x14ac:dyDescent="0.2">
      <c r="B3636" s="245"/>
      <c r="C3636" s="248"/>
      <c r="D3636" s="249"/>
      <c r="E3636" s="249"/>
      <c r="T3636" s="261"/>
    </row>
    <row r="3637" spans="2:20" x14ac:dyDescent="0.2">
      <c r="B3637" s="245"/>
      <c r="C3637" s="248"/>
      <c r="D3637" s="249"/>
      <c r="E3637" s="249"/>
      <c r="T3637" s="261"/>
    </row>
    <row r="3638" spans="2:20" x14ac:dyDescent="0.2">
      <c r="B3638" s="245"/>
      <c r="C3638" s="248"/>
      <c r="D3638" s="249"/>
      <c r="E3638" s="249"/>
      <c r="T3638" s="261"/>
    </row>
    <row r="3639" spans="2:20" x14ac:dyDescent="0.2">
      <c r="B3639" s="245"/>
      <c r="C3639" s="248"/>
      <c r="D3639" s="249"/>
      <c r="E3639" s="249"/>
      <c r="T3639" s="261"/>
    </row>
    <row r="3640" spans="2:20" x14ac:dyDescent="0.2">
      <c r="B3640" s="245"/>
      <c r="C3640" s="248"/>
      <c r="D3640" s="249"/>
      <c r="E3640" s="249"/>
      <c r="T3640" s="261"/>
    </row>
    <row r="3641" spans="2:20" x14ac:dyDescent="0.2">
      <c r="B3641" s="245"/>
      <c r="C3641" s="248"/>
      <c r="D3641" s="249"/>
      <c r="E3641" s="249"/>
      <c r="T3641" s="261"/>
    </row>
    <row r="3642" spans="2:20" x14ac:dyDescent="0.2">
      <c r="B3642" s="245"/>
      <c r="C3642" s="248"/>
      <c r="D3642" s="249"/>
      <c r="E3642" s="249"/>
      <c r="T3642" s="261"/>
    </row>
    <row r="3643" spans="2:20" x14ac:dyDescent="0.2">
      <c r="B3643" s="245"/>
      <c r="C3643" s="248"/>
      <c r="D3643" s="249"/>
      <c r="E3643" s="249"/>
      <c r="T3643" s="261"/>
    </row>
    <row r="3644" spans="2:20" x14ac:dyDescent="0.2">
      <c r="B3644" s="245"/>
      <c r="C3644" s="248"/>
      <c r="D3644" s="249"/>
      <c r="E3644" s="249"/>
      <c r="T3644" s="261"/>
    </row>
    <row r="3645" spans="2:20" x14ac:dyDescent="0.2">
      <c r="B3645" s="245"/>
      <c r="C3645" s="248"/>
      <c r="D3645" s="249"/>
      <c r="E3645" s="249"/>
      <c r="T3645" s="261"/>
    </row>
    <row r="3646" spans="2:20" x14ac:dyDescent="0.2">
      <c r="B3646" s="245"/>
      <c r="C3646" s="248"/>
      <c r="D3646" s="249"/>
      <c r="E3646" s="249"/>
      <c r="T3646" s="261"/>
    </row>
    <row r="3647" spans="2:20" x14ac:dyDescent="0.2">
      <c r="B3647" s="245"/>
      <c r="C3647" s="248"/>
      <c r="D3647" s="249"/>
      <c r="E3647" s="249"/>
      <c r="T3647" s="261"/>
    </row>
    <row r="3648" spans="2:20" x14ac:dyDescent="0.2">
      <c r="B3648" s="245"/>
      <c r="C3648" s="248"/>
      <c r="D3648" s="249"/>
      <c r="E3648" s="249"/>
      <c r="T3648" s="261"/>
    </row>
    <row r="3649" spans="2:20" x14ac:dyDescent="0.2">
      <c r="B3649" s="245"/>
      <c r="C3649" s="248"/>
      <c r="D3649" s="249"/>
      <c r="E3649" s="249"/>
      <c r="T3649" s="261"/>
    </row>
    <row r="3650" spans="2:20" x14ac:dyDescent="0.2">
      <c r="B3650" s="245"/>
      <c r="C3650" s="248"/>
      <c r="D3650" s="249"/>
      <c r="E3650" s="249"/>
      <c r="T3650" s="261"/>
    </row>
    <row r="3651" spans="2:20" x14ac:dyDescent="0.2">
      <c r="B3651" s="245"/>
      <c r="C3651" s="248"/>
      <c r="D3651" s="249"/>
      <c r="E3651" s="249"/>
      <c r="T3651" s="261"/>
    </row>
    <row r="3652" spans="2:20" x14ac:dyDescent="0.2">
      <c r="B3652" s="245"/>
      <c r="C3652" s="248"/>
      <c r="D3652" s="249"/>
      <c r="E3652" s="249"/>
      <c r="T3652" s="261"/>
    </row>
    <row r="3653" spans="2:20" x14ac:dyDescent="0.2">
      <c r="B3653" s="245"/>
      <c r="C3653" s="248"/>
      <c r="D3653" s="249"/>
      <c r="E3653" s="249"/>
      <c r="T3653" s="261"/>
    </row>
    <row r="3654" spans="2:20" x14ac:dyDescent="0.2">
      <c r="B3654" s="245"/>
      <c r="C3654" s="248"/>
      <c r="D3654" s="249"/>
      <c r="E3654" s="249"/>
      <c r="T3654" s="261"/>
    </row>
    <row r="3655" spans="2:20" x14ac:dyDescent="0.2">
      <c r="B3655" s="245"/>
      <c r="C3655" s="248"/>
      <c r="D3655" s="249"/>
      <c r="E3655" s="249"/>
      <c r="T3655" s="261"/>
    </row>
    <row r="3656" spans="2:20" x14ac:dyDescent="0.2">
      <c r="B3656" s="245"/>
      <c r="C3656" s="248"/>
      <c r="D3656" s="249"/>
      <c r="E3656" s="249"/>
      <c r="T3656" s="261"/>
    </row>
    <row r="3657" spans="2:20" x14ac:dyDescent="0.2">
      <c r="B3657" s="245"/>
      <c r="C3657" s="248"/>
      <c r="D3657" s="249"/>
      <c r="E3657" s="249"/>
      <c r="T3657" s="261"/>
    </row>
    <row r="3658" spans="2:20" x14ac:dyDescent="0.2">
      <c r="B3658" s="245"/>
      <c r="C3658" s="248"/>
      <c r="D3658" s="249"/>
      <c r="E3658" s="249"/>
      <c r="T3658" s="261"/>
    </row>
    <row r="3659" spans="2:20" x14ac:dyDescent="0.2">
      <c r="B3659" s="245"/>
      <c r="C3659" s="248"/>
      <c r="D3659" s="249"/>
      <c r="E3659" s="249"/>
      <c r="T3659" s="261"/>
    </row>
    <row r="3660" spans="2:20" x14ac:dyDescent="0.2">
      <c r="B3660" s="245"/>
      <c r="C3660" s="248"/>
      <c r="D3660" s="249"/>
      <c r="E3660" s="249"/>
      <c r="T3660" s="261"/>
    </row>
    <row r="3661" spans="2:20" x14ac:dyDescent="0.2">
      <c r="B3661" s="245"/>
      <c r="C3661" s="248"/>
      <c r="D3661" s="249"/>
      <c r="E3661" s="249"/>
      <c r="T3661" s="261"/>
    </row>
    <row r="3662" spans="2:20" x14ac:dyDescent="0.2">
      <c r="B3662" s="245"/>
      <c r="C3662" s="248"/>
      <c r="D3662" s="249"/>
      <c r="E3662" s="249"/>
      <c r="T3662" s="261"/>
    </row>
    <row r="3663" spans="2:20" x14ac:dyDescent="0.2">
      <c r="B3663" s="245"/>
      <c r="C3663" s="248"/>
      <c r="D3663" s="249"/>
      <c r="E3663" s="249"/>
      <c r="T3663" s="261"/>
    </row>
    <row r="3664" spans="2:20" x14ac:dyDescent="0.2">
      <c r="B3664" s="245"/>
      <c r="C3664" s="248"/>
      <c r="D3664" s="249"/>
      <c r="E3664" s="249"/>
      <c r="T3664" s="261"/>
    </row>
    <row r="3665" spans="2:20" x14ac:dyDescent="0.2">
      <c r="B3665" s="245"/>
      <c r="C3665" s="248"/>
      <c r="D3665" s="249"/>
      <c r="E3665" s="249"/>
      <c r="T3665" s="261"/>
    </row>
    <row r="3666" spans="2:20" x14ac:dyDescent="0.2">
      <c r="B3666" s="245"/>
      <c r="C3666" s="248"/>
      <c r="D3666" s="249"/>
      <c r="E3666" s="249"/>
      <c r="T3666" s="261"/>
    </row>
    <row r="3667" spans="2:20" x14ac:dyDescent="0.2">
      <c r="B3667" s="245"/>
      <c r="C3667" s="248"/>
      <c r="D3667" s="249"/>
      <c r="E3667" s="249"/>
      <c r="T3667" s="261"/>
    </row>
    <row r="3668" spans="2:20" x14ac:dyDescent="0.2">
      <c r="B3668" s="245"/>
      <c r="C3668" s="248"/>
      <c r="D3668" s="249"/>
      <c r="E3668" s="249"/>
      <c r="T3668" s="261"/>
    </row>
    <row r="3669" spans="2:20" x14ac:dyDescent="0.2">
      <c r="B3669" s="245"/>
      <c r="C3669" s="248"/>
      <c r="D3669" s="249"/>
      <c r="E3669" s="249"/>
      <c r="T3669" s="261"/>
    </row>
    <row r="3670" spans="2:20" x14ac:dyDescent="0.2">
      <c r="B3670" s="245"/>
      <c r="C3670" s="248"/>
      <c r="D3670" s="249"/>
      <c r="E3670" s="249"/>
      <c r="T3670" s="261"/>
    </row>
    <row r="3671" spans="2:20" x14ac:dyDescent="0.2">
      <c r="B3671" s="245"/>
      <c r="C3671" s="248"/>
      <c r="D3671" s="249"/>
      <c r="E3671" s="249"/>
      <c r="T3671" s="261"/>
    </row>
    <row r="3672" spans="2:20" x14ac:dyDescent="0.2">
      <c r="B3672" s="245"/>
      <c r="C3672" s="248"/>
      <c r="D3672" s="249"/>
      <c r="E3672" s="249"/>
      <c r="T3672" s="261"/>
    </row>
    <row r="3673" spans="2:20" x14ac:dyDescent="0.2">
      <c r="B3673" s="245"/>
      <c r="C3673" s="248"/>
      <c r="D3673" s="249"/>
      <c r="E3673" s="249"/>
      <c r="T3673" s="261"/>
    </row>
    <row r="3674" spans="2:20" x14ac:dyDescent="0.2">
      <c r="B3674" s="245"/>
      <c r="C3674" s="248"/>
      <c r="D3674" s="249"/>
      <c r="E3674" s="249"/>
      <c r="T3674" s="261"/>
    </row>
    <row r="3675" spans="2:20" x14ac:dyDescent="0.2">
      <c r="B3675" s="245"/>
      <c r="C3675" s="248"/>
      <c r="D3675" s="249"/>
      <c r="E3675" s="249"/>
      <c r="T3675" s="261"/>
    </row>
    <row r="3676" spans="2:20" x14ac:dyDescent="0.2">
      <c r="B3676" s="245"/>
      <c r="C3676" s="248"/>
      <c r="D3676" s="249"/>
      <c r="E3676" s="249"/>
      <c r="T3676" s="261"/>
    </row>
    <row r="3677" spans="2:20" x14ac:dyDescent="0.2">
      <c r="B3677" s="245"/>
      <c r="C3677" s="248"/>
      <c r="D3677" s="249"/>
      <c r="E3677" s="249"/>
      <c r="T3677" s="261"/>
    </row>
    <row r="3678" spans="2:20" x14ac:dyDescent="0.2">
      <c r="B3678" s="245"/>
      <c r="C3678" s="248"/>
      <c r="D3678" s="249"/>
      <c r="E3678" s="249"/>
      <c r="T3678" s="261"/>
    </row>
    <row r="3679" spans="2:20" x14ac:dyDescent="0.2">
      <c r="B3679" s="245"/>
      <c r="C3679" s="248"/>
      <c r="D3679" s="249"/>
      <c r="E3679" s="249"/>
      <c r="T3679" s="261"/>
    </row>
    <row r="3680" spans="2:20" x14ac:dyDescent="0.2">
      <c r="B3680" s="245"/>
      <c r="C3680" s="248"/>
      <c r="D3680" s="249"/>
      <c r="E3680" s="249"/>
      <c r="T3680" s="261"/>
    </row>
    <row r="3681" spans="2:20" x14ac:dyDescent="0.2">
      <c r="B3681" s="245"/>
      <c r="C3681" s="248"/>
      <c r="D3681" s="249"/>
      <c r="E3681" s="249"/>
      <c r="T3681" s="261"/>
    </row>
    <row r="3682" spans="2:20" x14ac:dyDescent="0.2">
      <c r="B3682" s="245"/>
      <c r="C3682" s="248"/>
      <c r="D3682" s="249"/>
      <c r="E3682" s="249"/>
      <c r="T3682" s="261"/>
    </row>
    <row r="3683" spans="2:20" x14ac:dyDescent="0.2">
      <c r="B3683" s="245"/>
      <c r="C3683" s="248"/>
      <c r="D3683" s="249"/>
      <c r="E3683" s="249"/>
      <c r="T3683" s="261"/>
    </row>
    <row r="3684" spans="2:20" x14ac:dyDescent="0.2">
      <c r="B3684" s="245"/>
      <c r="C3684" s="248"/>
      <c r="D3684" s="249"/>
      <c r="E3684" s="249"/>
      <c r="T3684" s="261"/>
    </row>
    <row r="3685" spans="2:20" x14ac:dyDescent="0.2">
      <c r="B3685" s="245"/>
      <c r="C3685" s="248"/>
      <c r="D3685" s="249"/>
      <c r="E3685" s="249"/>
      <c r="T3685" s="261"/>
    </row>
    <row r="3686" spans="2:20" x14ac:dyDescent="0.2">
      <c r="B3686" s="245"/>
      <c r="C3686" s="248"/>
      <c r="D3686" s="249"/>
      <c r="E3686" s="249"/>
      <c r="T3686" s="261"/>
    </row>
    <row r="3687" spans="2:20" x14ac:dyDescent="0.2">
      <c r="B3687" s="245"/>
      <c r="C3687" s="248"/>
      <c r="D3687" s="249"/>
      <c r="E3687" s="249"/>
      <c r="T3687" s="261"/>
    </row>
    <row r="3688" spans="2:20" x14ac:dyDescent="0.2">
      <c r="B3688" s="245"/>
      <c r="C3688" s="248"/>
      <c r="D3688" s="249"/>
      <c r="E3688" s="249"/>
      <c r="T3688" s="261"/>
    </row>
    <row r="3689" spans="2:20" x14ac:dyDescent="0.2">
      <c r="B3689" s="245"/>
      <c r="C3689" s="248"/>
      <c r="D3689" s="249"/>
      <c r="E3689" s="249"/>
      <c r="T3689" s="261"/>
    </row>
    <row r="3690" spans="2:20" x14ac:dyDescent="0.2">
      <c r="B3690" s="245"/>
      <c r="C3690" s="248"/>
      <c r="D3690" s="249"/>
      <c r="E3690" s="249"/>
      <c r="T3690" s="261"/>
    </row>
    <row r="3691" spans="2:20" x14ac:dyDescent="0.2">
      <c r="B3691" s="245"/>
      <c r="C3691" s="248"/>
      <c r="D3691" s="249"/>
      <c r="E3691" s="249"/>
      <c r="T3691" s="261"/>
    </row>
    <row r="3692" spans="2:20" x14ac:dyDescent="0.2">
      <c r="B3692" s="245"/>
      <c r="C3692" s="248"/>
      <c r="D3692" s="249"/>
      <c r="E3692" s="249"/>
      <c r="T3692" s="261"/>
    </row>
    <row r="3693" spans="2:20" x14ac:dyDescent="0.2">
      <c r="B3693" s="245"/>
      <c r="C3693" s="248"/>
      <c r="D3693" s="249"/>
      <c r="E3693" s="249"/>
      <c r="T3693" s="261"/>
    </row>
    <row r="3694" spans="2:20" x14ac:dyDescent="0.2">
      <c r="B3694" s="245"/>
      <c r="C3694" s="248"/>
      <c r="D3694" s="249"/>
      <c r="E3694" s="249"/>
      <c r="T3694" s="261"/>
    </row>
    <row r="3695" spans="2:20" x14ac:dyDescent="0.2">
      <c r="B3695" s="245"/>
      <c r="C3695" s="248"/>
      <c r="D3695" s="249"/>
      <c r="E3695" s="249"/>
      <c r="T3695" s="261"/>
    </row>
    <row r="3696" spans="2:20" x14ac:dyDescent="0.2">
      <c r="B3696" s="245"/>
      <c r="C3696" s="248"/>
      <c r="D3696" s="249"/>
      <c r="E3696" s="249"/>
      <c r="T3696" s="261"/>
    </row>
    <row r="3697" spans="2:20" x14ac:dyDescent="0.2">
      <c r="B3697" s="245"/>
      <c r="C3697" s="248"/>
      <c r="D3697" s="249"/>
      <c r="E3697" s="249"/>
      <c r="T3697" s="261"/>
    </row>
    <row r="3698" spans="2:20" x14ac:dyDescent="0.2">
      <c r="B3698" s="245"/>
      <c r="C3698" s="248"/>
      <c r="D3698" s="249"/>
      <c r="E3698" s="249"/>
      <c r="T3698" s="261"/>
    </row>
    <row r="3699" spans="2:20" x14ac:dyDescent="0.2">
      <c r="B3699" s="245"/>
      <c r="C3699" s="248"/>
      <c r="D3699" s="249"/>
      <c r="E3699" s="249"/>
      <c r="T3699" s="261"/>
    </row>
    <row r="3700" spans="2:20" x14ac:dyDescent="0.2">
      <c r="B3700" s="245"/>
      <c r="C3700" s="248"/>
      <c r="D3700" s="249"/>
      <c r="E3700" s="249"/>
      <c r="T3700" s="261"/>
    </row>
    <row r="3701" spans="2:20" x14ac:dyDescent="0.2">
      <c r="B3701" s="245"/>
      <c r="C3701" s="248"/>
      <c r="D3701" s="249"/>
      <c r="E3701" s="249"/>
      <c r="T3701" s="261"/>
    </row>
    <row r="3702" spans="2:20" x14ac:dyDescent="0.2">
      <c r="B3702" s="245"/>
      <c r="C3702" s="248"/>
      <c r="D3702" s="249"/>
      <c r="E3702" s="249"/>
      <c r="T3702" s="261"/>
    </row>
    <row r="3703" spans="2:20" x14ac:dyDescent="0.2">
      <c r="B3703" s="245"/>
      <c r="C3703" s="248"/>
      <c r="D3703" s="249"/>
      <c r="E3703" s="249"/>
      <c r="T3703" s="261"/>
    </row>
    <row r="3704" spans="2:20" x14ac:dyDescent="0.2">
      <c r="B3704" s="245"/>
      <c r="C3704" s="248"/>
      <c r="D3704" s="249"/>
      <c r="E3704" s="249"/>
      <c r="T3704" s="261"/>
    </row>
    <row r="3705" spans="2:20" x14ac:dyDescent="0.2">
      <c r="B3705" s="245"/>
      <c r="C3705" s="248"/>
      <c r="D3705" s="249"/>
      <c r="E3705" s="249"/>
      <c r="T3705" s="261"/>
    </row>
    <row r="3706" spans="2:20" x14ac:dyDescent="0.2">
      <c r="B3706" s="245"/>
      <c r="C3706" s="248"/>
      <c r="D3706" s="249"/>
      <c r="E3706" s="249"/>
      <c r="T3706" s="261"/>
    </row>
    <row r="3707" spans="2:20" x14ac:dyDescent="0.2">
      <c r="B3707" s="245"/>
      <c r="C3707" s="248"/>
      <c r="D3707" s="249"/>
      <c r="E3707" s="249"/>
      <c r="T3707" s="261"/>
    </row>
    <row r="3708" spans="2:20" x14ac:dyDescent="0.2">
      <c r="B3708" s="245"/>
      <c r="C3708" s="248"/>
      <c r="D3708" s="249"/>
      <c r="E3708" s="249"/>
      <c r="T3708" s="261"/>
    </row>
    <row r="3709" spans="2:20" x14ac:dyDescent="0.2">
      <c r="B3709" s="245"/>
      <c r="C3709" s="248"/>
      <c r="D3709" s="249"/>
      <c r="E3709" s="249"/>
      <c r="T3709" s="261"/>
    </row>
    <row r="3710" spans="2:20" x14ac:dyDescent="0.2">
      <c r="B3710" s="245"/>
      <c r="C3710" s="248"/>
      <c r="D3710" s="249"/>
      <c r="E3710" s="249"/>
      <c r="T3710" s="261"/>
    </row>
    <row r="3711" spans="2:20" x14ac:dyDescent="0.2">
      <c r="B3711" s="245"/>
      <c r="C3711" s="248"/>
      <c r="D3711" s="249"/>
      <c r="E3711" s="249"/>
      <c r="T3711" s="261"/>
    </row>
    <row r="3712" spans="2:20" x14ac:dyDescent="0.2">
      <c r="B3712" s="245"/>
      <c r="C3712" s="248"/>
      <c r="D3712" s="249"/>
      <c r="E3712" s="249"/>
      <c r="T3712" s="261"/>
    </row>
    <row r="3713" spans="2:20" x14ac:dyDescent="0.2">
      <c r="B3713" s="245"/>
      <c r="C3713" s="248"/>
      <c r="D3713" s="249"/>
      <c r="E3713" s="249"/>
      <c r="T3713" s="261"/>
    </row>
    <row r="3714" spans="2:20" x14ac:dyDescent="0.2">
      <c r="B3714" s="245"/>
      <c r="C3714" s="248"/>
      <c r="D3714" s="249"/>
      <c r="E3714" s="249"/>
      <c r="T3714" s="261"/>
    </row>
    <row r="3715" spans="2:20" x14ac:dyDescent="0.2">
      <c r="B3715" s="245"/>
      <c r="C3715" s="248"/>
      <c r="D3715" s="249"/>
      <c r="E3715" s="249"/>
      <c r="T3715" s="261"/>
    </row>
    <row r="3716" spans="2:20" x14ac:dyDescent="0.2">
      <c r="B3716" s="245"/>
      <c r="C3716" s="248"/>
      <c r="D3716" s="249"/>
      <c r="E3716" s="249"/>
      <c r="T3716" s="261"/>
    </row>
    <row r="3717" spans="2:20" x14ac:dyDescent="0.2">
      <c r="B3717" s="245"/>
      <c r="C3717" s="248"/>
      <c r="D3717" s="249"/>
      <c r="E3717" s="249"/>
      <c r="T3717" s="261"/>
    </row>
    <row r="3718" spans="2:20" x14ac:dyDescent="0.2">
      <c r="B3718" s="245"/>
      <c r="C3718" s="248"/>
      <c r="D3718" s="249"/>
      <c r="E3718" s="249"/>
      <c r="T3718" s="261"/>
    </row>
    <row r="3719" spans="2:20" x14ac:dyDescent="0.2">
      <c r="B3719" s="245"/>
      <c r="C3719" s="248"/>
      <c r="D3719" s="249"/>
      <c r="E3719" s="249"/>
      <c r="T3719" s="261"/>
    </row>
    <row r="3720" spans="2:20" x14ac:dyDescent="0.2">
      <c r="B3720" s="245"/>
      <c r="C3720" s="248"/>
      <c r="D3720" s="249"/>
      <c r="E3720" s="249"/>
      <c r="T3720" s="261"/>
    </row>
    <row r="3721" spans="2:20" x14ac:dyDescent="0.2">
      <c r="B3721" s="245"/>
      <c r="C3721" s="248"/>
      <c r="D3721" s="249"/>
      <c r="E3721" s="249"/>
      <c r="T3721" s="261"/>
    </row>
    <row r="3722" spans="2:20" x14ac:dyDescent="0.2">
      <c r="B3722" s="245"/>
      <c r="C3722" s="248"/>
      <c r="D3722" s="249"/>
      <c r="E3722" s="249"/>
      <c r="T3722" s="261"/>
    </row>
    <row r="3723" spans="2:20" x14ac:dyDescent="0.2">
      <c r="B3723" s="245"/>
      <c r="C3723" s="248"/>
      <c r="D3723" s="249"/>
      <c r="E3723" s="249"/>
      <c r="T3723" s="261"/>
    </row>
    <row r="3724" spans="2:20" x14ac:dyDescent="0.2">
      <c r="B3724" s="245"/>
      <c r="C3724" s="248"/>
      <c r="D3724" s="249"/>
      <c r="E3724" s="249"/>
      <c r="T3724" s="261"/>
    </row>
    <row r="3725" spans="2:20" x14ac:dyDescent="0.2">
      <c r="B3725" s="245"/>
      <c r="C3725" s="248"/>
      <c r="D3725" s="249"/>
      <c r="E3725" s="249"/>
      <c r="T3725" s="261"/>
    </row>
    <row r="3726" spans="2:20" x14ac:dyDescent="0.2">
      <c r="B3726" s="245"/>
      <c r="C3726" s="248"/>
      <c r="D3726" s="249"/>
      <c r="E3726" s="249"/>
      <c r="T3726" s="261"/>
    </row>
    <row r="3727" spans="2:20" x14ac:dyDescent="0.2">
      <c r="B3727" s="245"/>
      <c r="C3727" s="248"/>
      <c r="D3727" s="249"/>
      <c r="E3727" s="249"/>
      <c r="T3727" s="261"/>
    </row>
    <row r="3728" spans="2:20" x14ac:dyDescent="0.2">
      <c r="B3728" s="245"/>
      <c r="C3728" s="248"/>
      <c r="D3728" s="249"/>
      <c r="E3728" s="249"/>
      <c r="T3728" s="261"/>
    </row>
    <row r="3729" spans="2:20" x14ac:dyDescent="0.2">
      <c r="B3729" s="245"/>
      <c r="C3729" s="248"/>
      <c r="D3729" s="249"/>
      <c r="E3729" s="249"/>
      <c r="T3729" s="261"/>
    </row>
    <row r="3730" spans="2:20" x14ac:dyDescent="0.2">
      <c r="B3730" s="245"/>
      <c r="C3730" s="248"/>
      <c r="D3730" s="249"/>
      <c r="E3730" s="249"/>
      <c r="T3730" s="261"/>
    </row>
    <row r="3731" spans="2:20" x14ac:dyDescent="0.2">
      <c r="B3731" s="245"/>
      <c r="C3731" s="248"/>
      <c r="D3731" s="249"/>
      <c r="E3731" s="249"/>
      <c r="T3731" s="261"/>
    </row>
    <row r="3732" spans="2:20" x14ac:dyDescent="0.2">
      <c r="B3732" s="245"/>
      <c r="C3732" s="248"/>
      <c r="D3732" s="249"/>
      <c r="E3732" s="249"/>
      <c r="T3732" s="261"/>
    </row>
    <row r="3733" spans="2:20" x14ac:dyDescent="0.2">
      <c r="B3733" s="245"/>
      <c r="C3733" s="248"/>
      <c r="D3733" s="249"/>
      <c r="E3733" s="249"/>
      <c r="T3733" s="261"/>
    </row>
    <row r="3734" spans="2:20" x14ac:dyDescent="0.2">
      <c r="B3734" s="245"/>
      <c r="C3734" s="248"/>
      <c r="D3734" s="249"/>
      <c r="E3734" s="249"/>
      <c r="T3734" s="261"/>
    </row>
    <row r="3735" spans="2:20" x14ac:dyDescent="0.2">
      <c r="B3735" s="245"/>
      <c r="C3735" s="248"/>
      <c r="D3735" s="249"/>
      <c r="E3735" s="249"/>
      <c r="T3735" s="261"/>
    </row>
    <row r="3736" spans="2:20" x14ac:dyDescent="0.2">
      <c r="B3736" s="245"/>
      <c r="C3736" s="248"/>
      <c r="D3736" s="249"/>
      <c r="E3736" s="249"/>
      <c r="T3736" s="261"/>
    </row>
    <row r="3737" spans="2:20" x14ac:dyDescent="0.2">
      <c r="B3737" s="245"/>
      <c r="C3737" s="248"/>
      <c r="D3737" s="249"/>
      <c r="E3737" s="249"/>
      <c r="T3737" s="261"/>
    </row>
    <row r="3738" spans="2:20" x14ac:dyDescent="0.2">
      <c r="B3738" s="245"/>
      <c r="C3738" s="248"/>
      <c r="D3738" s="249"/>
      <c r="E3738" s="249"/>
      <c r="T3738" s="261"/>
    </row>
    <row r="3739" spans="2:20" x14ac:dyDescent="0.2">
      <c r="B3739" s="245"/>
      <c r="C3739" s="248"/>
      <c r="D3739" s="249"/>
      <c r="E3739" s="249"/>
      <c r="T3739" s="261"/>
    </row>
    <row r="3740" spans="2:20" x14ac:dyDescent="0.2">
      <c r="B3740" s="245"/>
      <c r="C3740" s="248"/>
      <c r="D3740" s="249"/>
      <c r="E3740" s="249"/>
      <c r="T3740" s="261"/>
    </row>
    <row r="3741" spans="2:20" x14ac:dyDescent="0.2">
      <c r="B3741" s="245"/>
      <c r="C3741" s="248"/>
      <c r="D3741" s="249"/>
      <c r="E3741" s="249"/>
      <c r="T3741" s="261"/>
    </row>
    <row r="3742" spans="2:20" x14ac:dyDescent="0.2">
      <c r="B3742" s="245"/>
      <c r="C3742" s="248"/>
      <c r="D3742" s="249"/>
      <c r="E3742" s="249"/>
      <c r="T3742" s="261"/>
    </row>
    <row r="3743" spans="2:20" x14ac:dyDescent="0.2">
      <c r="B3743" s="245"/>
      <c r="C3743" s="248"/>
      <c r="D3743" s="249"/>
      <c r="E3743" s="249"/>
      <c r="T3743" s="261"/>
    </row>
    <row r="3744" spans="2:20" x14ac:dyDescent="0.2">
      <c r="B3744" s="245"/>
      <c r="C3744" s="248"/>
      <c r="D3744" s="249"/>
      <c r="E3744" s="249"/>
      <c r="T3744" s="261"/>
    </row>
    <row r="3745" spans="2:20" x14ac:dyDescent="0.2">
      <c r="B3745" s="245"/>
      <c r="C3745" s="248"/>
      <c r="D3745" s="249"/>
      <c r="E3745" s="249"/>
      <c r="T3745" s="261"/>
    </row>
    <row r="3746" spans="2:20" x14ac:dyDescent="0.2">
      <c r="B3746" s="245"/>
      <c r="C3746" s="248"/>
      <c r="D3746" s="249"/>
      <c r="E3746" s="249"/>
      <c r="T3746" s="261"/>
    </row>
    <row r="3747" spans="2:20" x14ac:dyDescent="0.2">
      <c r="B3747" s="245"/>
      <c r="C3747" s="248"/>
      <c r="D3747" s="249"/>
      <c r="E3747" s="249"/>
      <c r="T3747" s="261"/>
    </row>
    <row r="3748" spans="2:20" x14ac:dyDescent="0.2">
      <c r="B3748" s="245"/>
      <c r="C3748" s="248"/>
      <c r="D3748" s="249"/>
      <c r="E3748" s="249"/>
      <c r="T3748" s="261"/>
    </row>
    <row r="3749" spans="2:20" x14ac:dyDescent="0.2">
      <c r="B3749" s="245"/>
      <c r="C3749" s="248"/>
      <c r="D3749" s="249"/>
      <c r="E3749" s="249"/>
      <c r="T3749" s="261"/>
    </row>
    <row r="3750" spans="2:20" x14ac:dyDescent="0.2">
      <c r="B3750" s="245"/>
      <c r="C3750" s="248"/>
      <c r="D3750" s="249"/>
      <c r="E3750" s="249"/>
      <c r="T3750" s="261"/>
    </row>
    <row r="3751" spans="2:20" x14ac:dyDescent="0.2">
      <c r="B3751" s="245"/>
      <c r="C3751" s="248"/>
      <c r="D3751" s="249"/>
      <c r="E3751" s="249"/>
      <c r="T3751" s="261"/>
    </row>
    <row r="3752" spans="2:20" x14ac:dyDescent="0.2">
      <c r="B3752" s="245"/>
      <c r="C3752" s="248"/>
      <c r="D3752" s="249"/>
      <c r="E3752" s="249"/>
      <c r="T3752" s="261"/>
    </row>
    <row r="3753" spans="2:20" x14ac:dyDescent="0.2">
      <c r="B3753" s="245"/>
      <c r="C3753" s="248"/>
      <c r="D3753" s="249"/>
      <c r="E3753" s="249"/>
      <c r="T3753" s="261"/>
    </row>
    <row r="3754" spans="2:20" x14ac:dyDescent="0.2">
      <c r="B3754" s="245"/>
      <c r="C3754" s="248"/>
      <c r="D3754" s="249"/>
      <c r="E3754" s="249"/>
      <c r="T3754" s="261"/>
    </row>
    <row r="3755" spans="2:20" x14ac:dyDescent="0.2">
      <c r="B3755" s="245"/>
      <c r="C3755" s="248"/>
      <c r="D3755" s="249"/>
      <c r="E3755" s="249"/>
      <c r="T3755" s="261"/>
    </row>
    <row r="3756" spans="2:20" x14ac:dyDescent="0.2">
      <c r="B3756" s="245"/>
      <c r="C3756" s="248"/>
      <c r="D3756" s="249"/>
      <c r="E3756" s="249"/>
      <c r="T3756" s="261"/>
    </row>
    <row r="3757" spans="2:20" x14ac:dyDescent="0.2">
      <c r="B3757" s="245"/>
      <c r="C3757" s="248"/>
      <c r="D3757" s="249"/>
      <c r="E3757" s="249"/>
      <c r="T3757" s="261"/>
    </row>
    <row r="3758" spans="2:20" x14ac:dyDescent="0.2">
      <c r="B3758" s="245"/>
      <c r="C3758" s="248"/>
      <c r="D3758" s="249"/>
      <c r="E3758" s="249"/>
      <c r="T3758" s="261"/>
    </row>
    <row r="3759" spans="2:20" x14ac:dyDescent="0.2">
      <c r="B3759" s="245"/>
      <c r="C3759" s="248"/>
      <c r="D3759" s="249"/>
      <c r="E3759" s="249"/>
      <c r="T3759" s="261"/>
    </row>
    <row r="3760" spans="2:20" x14ac:dyDescent="0.2">
      <c r="B3760" s="245"/>
      <c r="C3760" s="248"/>
      <c r="D3760" s="249"/>
      <c r="E3760" s="249"/>
      <c r="T3760" s="261"/>
    </row>
    <row r="3761" spans="2:20" x14ac:dyDescent="0.2">
      <c r="B3761" s="245"/>
      <c r="C3761" s="248"/>
      <c r="D3761" s="249"/>
      <c r="E3761" s="249"/>
      <c r="T3761" s="261"/>
    </row>
    <row r="3762" spans="2:20" x14ac:dyDescent="0.2">
      <c r="B3762" s="245"/>
      <c r="C3762" s="248"/>
      <c r="D3762" s="249"/>
      <c r="E3762" s="249"/>
      <c r="T3762" s="261"/>
    </row>
    <row r="3763" spans="2:20" x14ac:dyDescent="0.2">
      <c r="B3763" s="245"/>
      <c r="C3763" s="248"/>
      <c r="D3763" s="249"/>
      <c r="E3763" s="249"/>
      <c r="T3763" s="261"/>
    </row>
    <row r="3764" spans="2:20" x14ac:dyDescent="0.2">
      <c r="B3764" s="245"/>
      <c r="C3764" s="248"/>
      <c r="D3764" s="249"/>
      <c r="E3764" s="249"/>
      <c r="T3764" s="261"/>
    </row>
    <row r="3765" spans="2:20" x14ac:dyDescent="0.2">
      <c r="B3765" s="245"/>
      <c r="C3765" s="248"/>
      <c r="D3765" s="249"/>
      <c r="E3765" s="249"/>
      <c r="T3765" s="261"/>
    </row>
    <row r="3766" spans="2:20" x14ac:dyDescent="0.2">
      <c r="B3766" s="245"/>
      <c r="C3766" s="248"/>
      <c r="D3766" s="249"/>
      <c r="E3766" s="249"/>
      <c r="T3766" s="261"/>
    </row>
    <row r="3767" spans="2:20" x14ac:dyDescent="0.2">
      <c r="B3767" s="245"/>
      <c r="C3767" s="248"/>
      <c r="D3767" s="249"/>
      <c r="E3767" s="249"/>
      <c r="T3767" s="261"/>
    </row>
    <row r="3768" spans="2:20" x14ac:dyDescent="0.2">
      <c r="B3768" s="245"/>
      <c r="C3768" s="248"/>
      <c r="D3768" s="249"/>
      <c r="E3768" s="249"/>
      <c r="T3768" s="261"/>
    </row>
    <row r="3769" spans="2:20" x14ac:dyDescent="0.2">
      <c r="B3769" s="245"/>
      <c r="C3769" s="248"/>
      <c r="D3769" s="249"/>
      <c r="E3769" s="249"/>
      <c r="T3769" s="261"/>
    </row>
    <row r="3770" spans="2:20" x14ac:dyDescent="0.2">
      <c r="B3770" s="245"/>
      <c r="C3770" s="248"/>
      <c r="D3770" s="249"/>
      <c r="E3770" s="249"/>
      <c r="T3770" s="261"/>
    </row>
    <row r="3771" spans="2:20" x14ac:dyDescent="0.2">
      <c r="B3771" s="245"/>
      <c r="C3771" s="248"/>
      <c r="D3771" s="249"/>
      <c r="E3771" s="249"/>
      <c r="T3771" s="261"/>
    </row>
    <row r="3772" spans="2:20" x14ac:dyDescent="0.2">
      <c r="B3772" s="245"/>
      <c r="C3772" s="248"/>
      <c r="D3772" s="249"/>
      <c r="E3772" s="249"/>
      <c r="T3772" s="261"/>
    </row>
    <row r="3773" spans="2:20" x14ac:dyDescent="0.2">
      <c r="B3773" s="245"/>
      <c r="C3773" s="248"/>
      <c r="D3773" s="249"/>
      <c r="E3773" s="249"/>
      <c r="T3773" s="261"/>
    </row>
    <row r="3774" spans="2:20" x14ac:dyDescent="0.2">
      <c r="B3774" s="245"/>
      <c r="C3774" s="248"/>
      <c r="D3774" s="249"/>
      <c r="E3774" s="249"/>
      <c r="T3774" s="261"/>
    </row>
    <row r="3775" spans="2:20" x14ac:dyDescent="0.2">
      <c r="B3775" s="245"/>
      <c r="C3775" s="248"/>
      <c r="D3775" s="249"/>
      <c r="E3775" s="249"/>
      <c r="T3775" s="261"/>
    </row>
    <row r="3776" spans="2:20" x14ac:dyDescent="0.2">
      <c r="B3776" s="245"/>
      <c r="C3776" s="248"/>
      <c r="D3776" s="249"/>
      <c r="E3776" s="249"/>
      <c r="T3776" s="261"/>
    </row>
    <row r="3777" spans="2:20" x14ac:dyDescent="0.2">
      <c r="B3777" s="245"/>
      <c r="C3777" s="248"/>
      <c r="D3777" s="249"/>
      <c r="E3777" s="249"/>
      <c r="T3777" s="261"/>
    </row>
    <row r="3778" spans="2:20" x14ac:dyDescent="0.2">
      <c r="B3778" s="245"/>
      <c r="C3778" s="248"/>
      <c r="D3778" s="249"/>
      <c r="E3778" s="249"/>
      <c r="T3778" s="261"/>
    </row>
    <row r="3779" spans="2:20" x14ac:dyDescent="0.2">
      <c r="B3779" s="245"/>
      <c r="C3779" s="248"/>
      <c r="D3779" s="249"/>
      <c r="E3779" s="249"/>
      <c r="T3779" s="261"/>
    </row>
    <row r="3780" spans="2:20" x14ac:dyDescent="0.2">
      <c r="B3780" s="245"/>
      <c r="C3780" s="248"/>
      <c r="D3780" s="249"/>
      <c r="E3780" s="249"/>
      <c r="T3780" s="261"/>
    </row>
    <row r="3781" spans="2:20" x14ac:dyDescent="0.2">
      <c r="B3781" s="245"/>
      <c r="C3781" s="248"/>
      <c r="D3781" s="249"/>
      <c r="E3781" s="249"/>
      <c r="T3781" s="261"/>
    </row>
    <row r="3782" spans="2:20" x14ac:dyDescent="0.2">
      <c r="B3782" s="245"/>
      <c r="C3782" s="248"/>
      <c r="D3782" s="249"/>
      <c r="E3782" s="249"/>
      <c r="T3782" s="261"/>
    </row>
    <row r="3783" spans="2:20" x14ac:dyDescent="0.2">
      <c r="B3783" s="245"/>
      <c r="C3783" s="248"/>
      <c r="D3783" s="249"/>
      <c r="E3783" s="249"/>
      <c r="T3783" s="261"/>
    </row>
    <row r="3784" spans="2:20" x14ac:dyDescent="0.2">
      <c r="B3784" s="245"/>
      <c r="C3784" s="248"/>
      <c r="D3784" s="249"/>
      <c r="E3784" s="249"/>
      <c r="T3784" s="261"/>
    </row>
    <row r="3785" spans="2:20" x14ac:dyDescent="0.2">
      <c r="B3785" s="245"/>
      <c r="C3785" s="248"/>
      <c r="D3785" s="249"/>
      <c r="E3785" s="249"/>
      <c r="T3785" s="261"/>
    </row>
    <row r="3786" spans="2:20" x14ac:dyDescent="0.2">
      <c r="B3786" s="245"/>
      <c r="C3786" s="248"/>
      <c r="D3786" s="249"/>
      <c r="E3786" s="249"/>
      <c r="T3786" s="261"/>
    </row>
    <row r="3787" spans="2:20" x14ac:dyDescent="0.2">
      <c r="B3787" s="245"/>
      <c r="C3787" s="248"/>
      <c r="D3787" s="249"/>
      <c r="E3787" s="249"/>
      <c r="T3787" s="261"/>
    </row>
    <row r="3788" spans="2:20" x14ac:dyDescent="0.2">
      <c r="B3788" s="245"/>
      <c r="C3788" s="248"/>
      <c r="D3788" s="249"/>
      <c r="E3788" s="249"/>
      <c r="T3788" s="261"/>
    </row>
    <row r="3789" spans="2:20" x14ac:dyDescent="0.2">
      <c r="B3789" s="245"/>
      <c r="C3789" s="248"/>
      <c r="D3789" s="249"/>
      <c r="E3789" s="249"/>
      <c r="T3789" s="261"/>
    </row>
    <row r="3790" spans="2:20" x14ac:dyDescent="0.2">
      <c r="B3790" s="245"/>
      <c r="C3790" s="248"/>
      <c r="D3790" s="249"/>
      <c r="E3790" s="249"/>
      <c r="T3790" s="261"/>
    </row>
    <row r="3791" spans="2:20" x14ac:dyDescent="0.2">
      <c r="B3791" s="245"/>
      <c r="C3791" s="248"/>
      <c r="D3791" s="249"/>
      <c r="E3791" s="249"/>
      <c r="T3791" s="261"/>
    </row>
    <row r="3792" spans="2:20" x14ac:dyDescent="0.2">
      <c r="B3792" s="245"/>
      <c r="C3792" s="248"/>
      <c r="D3792" s="249"/>
      <c r="E3792" s="249"/>
      <c r="T3792" s="261"/>
    </row>
    <row r="3793" spans="2:20" x14ac:dyDescent="0.2">
      <c r="B3793" s="245"/>
      <c r="C3793" s="248"/>
      <c r="D3793" s="249"/>
      <c r="E3793" s="249"/>
      <c r="T3793" s="261"/>
    </row>
    <row r="3794" spans="2:20" x14ac:dyDescent="0.2">
      <c r="B3794" s="245"/>
      <c r="C3794" s="248"/>
      <c r="D3794" s="249"/>
      <c r="E3794" s="249"/>
      <c r="T3794" s="261"/>
    </row>
    <row r="3795" spans="2:20" x14ac:dyDescent="0.2">
      <c r="B3795" s="245"/>
      <c r="C3795" s="248"/>
      <c r="D3795" s="249"/>
      <c r="E3795" s="249"/>
      <c r="T3795" s="261"/>
    </row>
    <row r="3796" spans="2:20" x14ac:dyDescent="0.2">
      <c r="B3796" s="245"/>
      <c r="C3796" s="248"/>
      <c r="D3796" s="249"/>
      <c r="E3796" s="249"/>
      <c r="T3796" s="261"/>
    </row>
    <row r="3797" spans="2:20" x14ac:dyDescent="0.2">
      <c r="B3797" s="245"/>
      <c r="C3797" s="248"/>
      <c r="D3797" s="249"/>
      <c r="E3797" s="249"/>
      <c r="T3797" s="261"/>
    </row>
    <row r="3798" spans="2:20" x14ac:dyDescent="0.2">
      <c r="B3798" s="245"/>
      <c r="C3798" s="248"/>
      <c r="D3798" s="249"/>
      <c r="E3798" s="249"/>
      <c r="T3798" s="261"/>
    </row>
    <row r="3799" spans="2:20" x14ac:dyDescent="0.2">
      <c r="B3799" s="245"/>
      <c r="C3799" s="248"/>
      <c r="D3799" s="249"/>
      <c r="E3799" s="249"/>
      <c r="T3799" s="261"/>
    </row>
    <row r="3800" spans="2:20" x14ac:dyDescent="0.2">
      <c r="B3800" s="245"/>
      <c r="C3800" s="248"/>
      <c r="D3800" s="249"/>
      <c r="E3800" s="249"/>
      <c r="T3800" s="261"/>
    </row>
    <row r="3801" spans="2:20" x14ac:dyDescent="0.2">
      <c r="B3801" s="245"/>
      <c r="C3801" s="248"/>
      <c r="D3801" s="249"/>
      <c r="E3801" s="249"/>
      <c r="T3801" s="261"/>
    </row>
    <row r="3802" spans="2:20" x14ac:dyDescent="0.2">
      <c r="B3802" s="245"/>
      <c r="C3802" s="248"/>
      <c r="D3802" s="249"/>
      <c r="E3802" s="249"/>
      <c r="T3802" s="261"/>
    </row>
    <row r="3803" spans="2:20" x14ac:dyDescent="0.2">
      <c r="B3803" s="245"/>
      <c r="C3803" s="248"/>
      <c r="D3803" s="249"/>
      <c r="E3803" s="249"/>
      <c r="T3803" s="261"/>
    </row>
    <row r="3804" spans="2:20" x14ac:dyDescent="0.2">
      <c r="B3804" s="245"/>
      <c r="C3804" s="248"/>
      <c r="D3804" s="249"/>
      <c r="E3804" s="249"/>
      <c r="T3804" s="261"/>
    </row>
    <row r="3805" spans="2:20" x14ac:dyDescent="0.2">
      <c r="B3805" s="245"/>
      <c r="C3805" s="248"/>
      <c r="D3805" s="249"/>
      <c r="E3805" s="249"/>
      <c r="T3805" s="261"/>
    </row>
    <row r="3806" spans="2:20" x14ac:dyDescent="0.2">
      <c r="B3806" s="245"/>
      <c r="C3806" s="248"/>
      <c r="D3806" s="249"/>
      <c r="E3806" s="249"/>
      <c r="T3806" s="261"/>
    </row>
    <row r="3807" spans="2:20" x14ac:dyDescent="0.2">
      <c r="B3807" s="245"/>
      <c r="C3807" s="248"/>
      <c r="D3807" s="249"/>
      <c r="E3807" s="249"/>
      <c r="T3807" s="261"/>
    </row>
    <row r="3808" spans="2:20" x14ac:dyDescent="0.2">
      <c r="B3808" s="245"/>
      <c r="C3808" s="248"/>
      <c r="D3808" s="249"/>
      <c r="E3808" s="249"/>
      <c r="T3808" s="261"/>
    </row>
    <row r="3809" spans="2:20" x14ac:dyDescent="0.2">
      <c r="B3809" s="245"/>
      <c r="C3809" s="248"/>
      <c r="D3809" s="249"/>
      <c r="E3809" s="249"/>
      <c r="T3809" s="261"/>
    </row>
    <row r="3810" spans="2:20" x14ac:dyDescent="0.2">
      <c r="B3810" s="245"/>
      <c r="C3810" s="248"/>
      <c r="D3810" s="249"/>
      <c r="E3810" s="249"/>
      <c r="T3810" s="261"/>
    </row>
    <row r="3811" spans="2:20" x14ac:dyDescent="0.2">
      <c r="B3811" s="245"/>
      <c r="C3811" s="248"/>
      <c r="D3811" s="249"/>
      <c r="E3811" s="249"/>
      <c r="T3811" s="261"/>
    </row>
    <row r="3812" spans="2:20" x14ac:dyDescent="0.2">
      <c r="B3812" s="245"/>
      <c r="C3812" s="248"/>
      <c r="D3812" s="249"/>
      <c r="E3812" s="249"/>
      <c r="T3812" s="261"/>
    </row>
    <row r="3813" spans="2:20" x14ac:dyDescent="0.2">
      <c r="B3813" s="245"/>
      <c r="C3813" s="248"/>
      <c r="D3813" s="249"/>
      <c r="E3813" s="249"/>
      <c r="T3813" s="261"/>
    </row>
    <row r="3814" spans="2:20" x14ac:dyDescent="0.2">
      <c r="B3814" s="245"/>
      <c r="C3814" s="248"/>
      <c r="D3814" s="249"/>
      <c r="E3814" s="249"/>
      <c r="T3814" s="261"/>
    </row>
    <row r="3815" spans="2:20" x14ac:dyDescent="0.2">
      <c r="B3815" s="245"/>
      <c r="C3815" s="248"/>
      <c r="D3815" s="249"/>
      <c r="E3815" s="249"/>
      <c r="T3815" s="261"/>
    </row>
    <row r="3816" spans="2:20" x14ac:dyDescent="0.2">
      <c r="B3816" s="245"/>
      <c r="C3816" s="248"/>
      <c r="D3816" s="249"/>
      <c r="E3816" s="249"/>
      <c r="T3816" s="261"/>
    </row>
    <row r="3817" spans="2:20" x14ac:dyDescent="0.2">
      <c r="B3817" s="245"/>
      <c r="C3817" s="248"/>
      <c r="D3817" s="249"/>
      <c r="E3817" s="249"/>
      <c r="T3817" s="261"/>
    </row>
    <row r="3818" spans="2:20" x14ac:dyDescent="0.2">
      <c r="B3818" s="245"/>
      <c r="C3818" s="248"/>
      <c r="D3818" s="249"/>
      <c r="E3818" s="249"/>
      <c r="T3818" s="261"/>
    </row>
    <row r="3819" spans="2:20" x14ac:dyDescent="0.2">
      <c r="B3819" s="245"/>
      <c r="C3819" s="248"/>
      <c r="D3819" s="249"/>
      <c r="E3819" s="249"/>
      <c r="T3819" s="261"/>
    </row>
    <row r="3820" spans="2:20" x14ac:dyDescent="0.2">
      <c r="B3820" s="245"/>
      <c r="C3820" s="248"/>
      <c r="D3820" s="249"/>
      <c r="E3820" s="249"/>
      <c r="T3820" s="261"/>
    </row>
    <row r="3821" spans="2:20" x14ac:dyDescent="0.2">
      <c r="B3821" s="245"/>
      <c r="C3821" s="248"/>
      <c r="D3821" s="249"/>
      <c r="E3821" s="249"/>
      <c r="T3821" s="261"/>
    </row>
    <row r="3822" spans="2:20" x14ac:dyDescent="0.2">
      <c r="B3822" s="245"/>
      <c r="C3822" s="248"/>
      <c r="D3822" s="249"/>
      <c r="E3822" s="249"/>
      <c r="T3822" s="261"/>
    </row>
    <row r="3823" spans="2:20" x14ac:dyDescent="0.2">
      <c r="B3823" s="245"/>
      <c r="C3823" s="248"/>
      <c r="D3823" s="249"/>
      <c r="E3823" s="249"/>
      <c r="T3823" s="261"/>
    </row>
    <row r="3824" spans="2:20" x14ac:dyDescent="0.2">
      <c r="B3824" s="245"/>
      <c r="C3824" s="248"/>
      <c r="D3824" s="249"/>
      <c r="E3824" s="249"/>
      <c r="T3824" s="261"/>
    </row>
    <row r="3825" spans="2:20" x14ac:dyDescent="0.2">
      <c r="B3825" s="245"/>
      <c r="C3825" s="248"/>
      <c r="D3825" s="249"/>
      <c r="E3825" s="249"/>
      <c r="T3825" s="261"/>
    </row>
    <row r="3826" spans="2:20" x14ac:dyDescent="0.2">
      <c r="B3826" s="245"/>
      <c r="C3826" s="248"/>
      <c r="D3826" s="249"/>
      <c r="E3826" s="249"/>
      <c r="T3826" s="261"/>
    </row>
    <row r="3827" spans="2:20" x14ac:dyDescent="0.2">
      <c r="B3827" s="245"/>
      <c r="C3827" s="248"/>
      <c r="D3827" s="249"/>
      <c r="E3827" s="249"/>
      <c r="T3827" s="261"/>
    </row>
    <row r="3828" spans="2:20" x14ac:dyDescent="0.2">
      <c r="B3828" s="245"/>
      <c r="C3828" s="248"/>
      <c r="D3828" s="249"/>
      <c r="E3828" s="249"/>
      <c r="T3828" s="261"/>
    </row>
    <row r="3829" spans="2:20" x14ac:dyDescent="0.2">
      <c r="B3829" s="245"/>
      <c r="C3829" s="248"/>
      <c r="D3829" s="249"/>
      <c r="E3829" s="249"/>
      <c r="T3829" s="261"/>
    </row>
    <row r="3830" spans="2:20" x14ac:dyDescent="0.2">
      <c r="B3830" s="245"/>
      <c r="C3830" s="248"/>
      <c r="D3830" s="249"/>
      <c r="E3830" s="249"/>
      <c r="T3830" s="261"/>
    </row>
    <row r="3831" spans="2:20" x14ac:dyDescent="0.2">
      <c r="B3831" s="245"/>
      <c r="C3831" s="248"/>
      <c r="D3831" s="249"/>
      <c r="E3831" s="249"/>
      <c r="T3831" s="261"/>
    </row>
    <row r="3832" spans="2:20" x14ac:dyDescent="0.2">
      <c r="B3832" s="245"/>
      <c r="C3832" s="248"/>
      <c r="D3832" s="249"/>
      <c r="E3832" s="249"/>
      <c r="T3832" s="261"/>
    </row>
    <row r="3833" spans="2:20" x14ac:dyDescent="0.2">
      <c r="B3833" s="245"/>
      <c r="C3833" s="248"/>
      <c r="D3833" s="249"/>
      <c r="E3833" s="249"/>
      <c r="T3833" s="261"/>
    </row>
    <row r="3834" spans="2:20" x14ac:dyDescent="0.2">
      <c r="B3834" s="245"/>
      <c r="C3834" s="248"/>
      <c r="D3834" s="249"/>
      <c r="E3834" s="249"/>
      <c r="T3834" s="261"/>
    </row>
    <row r="3835" spans="2:20" x14ac:dyDescent="0.2">
      <c r="B3835" s="245"/>
      <c r="C3835" s="248"/>
      <c r="D3835" s="249"/>
      <c r="E3835" s="249"/>
      <c r="T3835" s="261"/>
    </row>
    <row r="3836" spans="2:20" x14ac:dyDescent="0.2">
      <c r="B3836" s="245"/>
      <c r="C3836" s="248"/>
      <c r="D3836" s="249"/>
      <c r="E3836" s="249"/>
      <c r="T3836" s="261"/>
    </row>
    <row r="3837" spans="2:20" x14ac:dyDescent="0.2">
      <c r="B3837" s="245"/>
      <c r="C3837" s="248"/>
      <c r="D3837" s="249"/>
      <c r="E3837" s="249"/>
      <c r="T3837" s="261"/>
    </row>
    <row r="3838" spans="2:20" x14ac:dyDescent="0.2">
      <c r="B3838" s="245"/>
      <c r="C3838" s="248"/>
      <c r="D3838" s="249"/>
      <c r="E3838" s="249"/>
      <c r="T3838" s="261"/>
    </row>
    <row r="3839" spans="2:20" x14ac:dyDescent="0.2">
      <c r="B3839" s="245"/>
      <c r="C3839" s="248"/>
      <c r="D3839" s="249"/>
      <c r="E3839" s="249"/>
      <c r="T3839" s="261"/>
    </row>
    <row r="3840" spans="2:20" x14ac:dyDescent="0.2">
      <c r="B3840" s="245"/>
      <c r="C3840" s="248"/>
      <c r="D3840" s="249"/>
      <c r="E3840" s="249"/>
      <c r="T3840" s="261"/>
    </row>
    <row r="3841" spans="2:20" x14ac:dyDescent="0.2">
      <c r="B3841" s="245"/>
      <c r="C3841" s="248"/>
      <c r="D3841" s="249"/>
      <c r="E3841" s="249"/>
      <c r="T3841" s="261"/>
    </row>
    <row r="3842" spans="2:20" x14ac:dyDescent="0.2">
      <c r="B3842" s="245"/>
      <c r="C3842" s="248"/>
      <c r="D3842" s="249"/>
      <c r="E3842" s="249"/>
      <c r="T3842" s="261"/>
    </row>
    <row r="3843" spans="2:20" x14ac:dyDescent="0.2">
      <c r="B3843" s="245"/>
      <c r="C3843" s="248"/>
      <c r="D3843" s="249"/>
      <c r="E3843" s="249"/>
      <c r="T3843" s="261"/>
    </row>
    <row r="3844" spans="2:20" x14ac:dyDescent="0.2">
      <c r="B3844" s="245"/>
      <c r="C3844" s="248"/>
      <c r="D3844" s="249"/>
      <c r="E3844" s="249"/>
      <c r="T3844" s="261"/>
    </row>
    <row r="3845" spans="2:20" x14ac:dyDescent="0.2">
      <c r="B3845" s="245"/>
      <c r="C3845" s="248"/>
      <c r="D3845" s="249"/>
      <c r="E3845" s="249"/>
      <c r="T3845" s="261"/>
    </row>
    <row r="3846" spans="2:20" x14ac:dyDescent="0.2">
      <c r="B3846" s="245"/>
      <c r="C3846" s="248"/>
      <c r="D3846" s="249"/>
      <c r="E3846" s="249"/>
      <c r="T3846" s="261"/>
    </row>
    <row r="3847" spans="2:20" x14ac:dyDescent="0.2">
      <c r="B3847" s="245"/>
      <c r="C3847" s="248"/>
      <c r="D3847" s="249"/>
      <c r="E3847" s="249"/>
      <c r="T3847" s="261"/>
    </row>
    <row r="3848" spans="2:20" x14ac:dyDescent="0.2">
      <c r="B3848" s="245"/>
      <c r="C3848" s="248"/>
      <c r="D3848" s="249"/>
      <c r="E3848" s="249"/>
      <c r="T3848" s="261"/>
    </row>
    <row r="3849" spans="2:20" x14ac:dyDescent="0.2">
      <c r="B3849" s="245"/>
      <c r="C3849" s="248"/>
      <c r="D3849" s="249"/>
      <c r="E3849" s="249"/>
      <c r="T3849" s="261"/>
    </row>
    <row r="3850" spans="2:20" x14ac:dyDescent="0.2">
      <c r="B3850" s="245"/>
      <c r="C3850" s="248"/>
      <c r="D3850" s="249"/>
      <c r="E3850" s="249"/>
      <c r="T3850" s="261"/>
    </row>
    <row r="3851" spans="2:20" x14ac:dyDescent="0.2">
      <c r="B3851" s="245"/>
      <c r="C3851" s="248"/>
      <c r="D3851" s="249"/>
      <c r="E3851" s="249"/>
      <c r="T3851" s="261"/>
    </row>
    <row r="3852" spans="2:20" x14ac:dyDescent="0.2">
      <c r="B3852" s="245"/>
      <c r="C3852" s="248"/>
      <c r="D3852" s="249"/>
      <c r="E3852" s="249"/>
      <c r="T3852" s="261"/>
    </row>
    <row r="3853" spans="2:20" x14ac:dyDescent="0.2">
      <c r="B3853" s="245"/>
      <c r="C3853" s="248"/>
      <c r="D3853" s="249"/>
      <c r="E3853" s="249"/>
      <c r="T3853" s="261"/>
    </row>
    <row r="3854" spans="2:20" x14ac:dyDescent="0.2">
      <c r="B3854" s="245"/>
      <c r="C3854" s="248"/>
      <c r="D3854" s="249"/>
      <c r="E3854" s="249"/>
      <c r="T3854" s="261"/>
    </row>
    <row r="3855" spans="2:20" x14ac:dyDescent="0.2">
      <c r="B3855" s="245"/>
      <c r="C3855" s="248"/>
      <c r="D3855" s="249"/>
      <c r="E3855" s="249"/>
      <c r="T3855" s="261"/>
    </row>
    <row r="3856" spans="2:20" x14ac:dyDescent="0.2">
      <c r="B3856" s="245"/>
      <c r="C3856" s="248"/>
      <c r="D3856" s="249"/>
      <c r="E3856" s="249"/>
      <c r="T3856" s="261"/>
    </row>
    <row r="3857" spans="2:20" x14ac:dyDescent="0.2">
      <c r="B3857" s="245"/>
      <c r="C3857" s="248"/>
      <c r="D3857" s="249"/>
      <c r="E3857" s="249"/>
      <c r="T3857" s="261"/>
    </row>
    <row r="3858" spans="2:20" x14ac:dyDescent="0.2">
      <c r="B3858" s="245"/>
      <c r="C3858" s="248"/>
      <c r="D3858" s="249"/>
      <c r="E3858" s="249"/>
      <c r="T3858" s="261"/>
    </row>
    <row r="3859" spans="2:20" x14ac:dyDescent="0.2">
      <c r="B3859" s="245"/>
      <c r="C3859" s="248"/>
      <c r="D3859" s="249"/>
      <c r="E3859" s="249"/>
      <c r="T3859" s="261"/>
    </row>
    <row r="3860" spans="2:20" x14ac:dyDescent="0.2">
      <c r="B3860" s="245"/>
      <c r="C3860" s="248"/>
      <c r="D3860" s="249"/>
      <c r="E3860" s="249"/>
      <c r="T3860" s="261"/>
    </row>
    <row r="3861" spans="2:20" x14ac:dyDescent="0.2">
      <c r="B3861" s="245"/>
      <c r="C3861" s="248"/>
      <c r="D3861" s="249"/>
      <c r="E3861" s="249"/>
      <c r="T3861" s="261"/>
    </row>
    <row r="3862" spans="2:20" x14ac:dyDescent="0.2">
      <c r="B3862" s="245"/>
      <c r="C3862" s="248"/>
      <c r="D3862" s="249"/>
      <c r="E3862" s="249"/>
      <c r="T3862" s="261"/>
    </row>
    <row r="3863" spans="2:20" x14ac:dyDescent="0.2">
      <c r="B3863" s="245"/>
      <c r="C3863" s="248"/>
      <c r="D3863" s="249"/>
      <c r="E3863" s="249"/>
      <c r="T3863" s="261"/>
    </row>
    <row r="3864" spans="2:20" x14ac:dyDescent="0.2">
      <c r="B3864" s="245"/>
      <c r="C3864" s="248"/>
      <c r="D3864" s="249"/>
      <c r="E3864" s="249"/>
      <c r="T3864" s="261"/>
    </row>
    <row r="3865" spans="2:20" x14ac:dyDescent="0.2">
      <c r="B3865" s="245"/>
      <c r="C3865" s="248"/>
      <c r="D3865" s="249"/>
      <c r="E3865" s="249"/>
      <c r="T3865" s="261"/>
    </row>
    <row r="3866" spans="2:20" x14ac:dyDescent="0.2">
      <c r="B3866" s="245"/>
      <c r="C3866" s="248"/>
      <c r="D3866" s="249"/>
      <c r="E3866" s="249"/>
      <c r="T3866" s="261"/>
    </row>
    <row r="3867" spans="2:20" x14ac:dyDescent="0.2">
      <c r="B3867" s="245"/>
      <c r="C3867" s="248"/>
      <c r="D3867" s="249"/>
      <c r="E3867" s="249"/>
      <c r="T3867" s="261"/>
    </row>
    <row r="3868" spans="2:20" x14ac:dyDescent="0.2">
      <c r="B3868" s="245"/>
      <c r="C3868" s="248"/>
      <c r="D3868" s="249"/>
      <c r="E3868" s="249"/>
      <c r="T3868" s="261"/>
    </row>
    <row r="3869" spans="2:20" x14ac:dyDescent="0.2">
      <c r="B3869" s="245"/>
      <c r="C3869" s="248"/>
      <c r="D3869" s="249"/>
      <c r="E3869" s="249"/>
      <c r="T3869" s="261"/>
    </row>
    <row r="3870" spans="2:20" x14ac:dyDescent="0.2">
      <c r="B3870" s="245"/>
      <c r="C3870" s="248"/>
      <c r="D3870" s="249"/>
      <c r="E3870" s="249"/>
      <c r="T3870" s="261"/>
    </row>
    <row r="3871" spans="2:20" x14ac:dyDescent="0.2">
      <c r="B3871" s="245"/>
      <c r="C3871" s="248"/>
      <c r="D3871" s="249"/>
      <c r="E3871" s="249"/>
      <c r="T3871" s="261"/>
    </row>
    <row r="3872" spans="2:20" x14ac:dyDescent="0.2">
      <c r="B3872" s="245"/>
      <c r="C3872" s="248"/>
      <c r="D3872" s="249"/>
      <c r="E3872" s="249"/>
      <c r="T3872" s="261"/>
    </row>
    <row r="3873" spans="2:20" x14ac:dyDescent="0.2">
      <c r="B3873" s="245"/>
      <c r="C3873" s="248"/>
      <c r="D3873" s="249"/>
      <c r="E3873" s="249"/>
      <c r="T3873" s="261"/>
    </row>
    <row r="3874" spans="2:20" x14ac:dyDescent="0.2">
      <c r="B3874" s="245"/>
      <c r="C3874" s="248"/>
      <c r="D3874" s="249"/>
      <c r="E3874" s="249"/>
      <c r="T3874" s="261"/>
    </row>
    <row r="3875" spans="2:20" x14ac:dyDescent="0.2">
      <c r="B3875" s="245"/>
      <c r="C3875" s="248"/>
      <c r="D3875" s="249"/>
      <c r="E3875" s="249"/>
      <c r="T3875" s="261"/>
    </row>
    <row r="3876" spans="2:20" x14ac:dyDescent="0.2">
      <c r="B3876" s="245"/>
      <c r="C3876" s="248"/>
      <c r="D3876" s="249"/>
      <c r="E3876" s="249"/>
      <c r="T3876" s="261"/>
    </row>
    <row r="3877" spans="2:20" x14ac:dyDescent="0.2">
      <c r="B3877" s="245"/>
      <c r="C3877" s="248"/>
      <c r="D3877" s="249"/>
      <c r="E3877" s="249"/>
      <c r="T3877" s="261"/>
    </row>
    <row r="3878" spans="2:20" x14ac:dyDescent="0.2">
      <c r="B3878" s="245"/>
      <c r="C3878" s="248"/>
      <c r="D3878" s="249"/>
      <c r="E3878" s="249"/>
      <c r="T3878" s="261"/>
    </row>
    <row r="3879" spans="2:20" x14ac:dyDescent="0.2">
      <c r="B3879" s="245"/>
      <c r="C3879" s="248"/>
      <c r="D3879" s="249"/>
      <c r="E3879" s="249"/>
      <c r="T3879" s="261"/>
    </row>
    <row r="3880" spans="2:20" x14ac:dyDescent="0.2">
      <c r="B3880" s="245"/>
      <c r="C3880" s="248"/>
      <c r="D3880" s="249"/>
      <c r="E3880" s="249"/>
      <c r="T3880" s="261"/>
    </row>
    <row r="3881" spans="2:20" x14ac:dyDescent="0.2">
      <c r="B3881" s="245"/>
      <c r="C3881" s="248"/>
      <c r="D3881" s="249"/>
      <c r="E3881" s="249"/>
      <c r="T3881" s="261"/>
    </row>
    <row r="3882" spans="2:20" x14ac:dyDescent="0.2">
      <c r="B3882" s="245"/>
      <c r="C3882" s="248"/>
      <c r="D3882" s="249"/>
      <c r="E3882" s="249"/>
      <c r="T3882" s="261"/>
    </row>
    <row r="3883" spans="2:20" x14ac:dyDescent="0.2">
      <c r="B3883" s="245"/>
      <c r="C3883" s="248"/>
      <c r="D3883" s="249"/>
      <c r="E3883" s="249"/>
      <c r="T3883" s="261"/>
    </row>
    <row r="3884" spans="2:20" x14ac:dyDescent="0.2">
      <c r="B3884" s="245"/>
      <c r="C3884" s="248"/>
      <c r="D3884" s="249"/>
      <c r="E3884" s="249"/>
      <c r="T3884" s="261"/>
    </row>
    <row r="3885" spans="2:20" x14ac:dyDescent="0.2">
      <c r="B3885" s="245"/>
      <c r="C3885" s="248"/>
      <c r="D3885" s="249"/>
      <c r="E3885" s="249"/>
      <c r="T3885" s="261"/>
    </row>
    <row r="3886" spans="2:20" x14ac:dyDescent="0.2">
      <c r="B3886" s="245"/>
      <c r="C3886" s="248"/>
      <c r="D3886" s="249"/>
      <c r="E3886" s="249"/>
      <c r="T3886" s="261"/>
    </row>
    <row r="3887" spans="2:20" x14ac:dyDescent="0.2">
      <c r="B3887" s="245"/>
      <c r="C3887" s="248"/>
      <c r="D3887" s="249"/>
      <c r="E3887" s="249"/>
      <c r="T3887" s="261"/>
    </row>
    <row r="3888" spans="2:20" x14ac:dyDescent="0.2">
      <c r="B3888" s="245"/>
      <c r="C3888" s="248"/>
      <c r="D3888" s="249"/>
      <c r="E3888" s="249"/>
      <c r="T3888" s="261"/>
    </row>
    <row r="3889" spans="2:20" x14ac:dyDescent="0.2">
      <c r="B3889" s="245"/>
      <c r="C3889" s="248"/>
      <c r="D3889" s="249"/>
      <c r="E3889" s="249"/>
      <c r="T3889" s="261"/>
    </row>
    <row r="3890" spans="2:20" x14ac:dyDescent="0.2">
      <c r="B3890" s="245"/>
      <c r="C3890" s="248"/>
      <c r="D3890" s="249"/>
      <c r="E3890" s="249"/>
      <c r="T3890" s="261"/>
    </row>
    <row r="3891" spans="2:20" x14ac:dyDescent="0.2">
      <c r="B3891" s="245"/>
      <c r="C3891" s="248"/>
      <c r="D3891" s="249"/>
      <c r="E3891" s="249"/>
      <c r="T3891" s="261"/>
    </row>
    <row r="3892" spans="2:20" x14ac:dyDescent="0.2">
      <c r="B3892" s="245"/>
      <c r="C3892" s="248"/>
      <c r="D3892" s="249"/>
      <c r="E3892" s="249"/>
      <c r="T3892" s="261"/>
    </row>
    <row r="3893" spans="2:20" x14ac:dyDescent="0.2">
      <c r="B3893" s="245"/>
      <c r="C3893" s="248"/>
      <c r="D3893" s="249"/>
      <c r="E3893" s="249"/>
      <c r="T3893" s="261"/>
    </row>
    <row r="3894" spans="2:20" x14ac:dyDescent="0.2">
      <c r="B3894" s="245"/>
      <c r="C3894" s="248"/>
      <c r="D3894" s="249"/>
      <c r="E3894" s="249"/>
      <c r="T3894" s="261"/>
    </row>
    <row r="3895" spans="2:20" x14ac:dyDescent="0.2">
      <c r="B3895" s="245"/>
      <c r="C3895" s="248"/>
      <c r="D3895" s="249"/>
      <c r="E3895" s="249"/>
      <c r="T3895" s="261"/>
    </row>
    <row r="3896" spans="2:20" x14ac:dyDescent="0.2">
      <c r="B3896" s="245"/>
      <c r="C3896" s="248"/>
      <c r="D3896" s="249"/>
      <c r="E3896" s="249"/>
      <c r="T3896" s="261"/>
    </row>
    <row r="3897" spans="2:20" x14ac:dyDescent="0.2">
      <c r="B3897" s="245"/>
      <c r="C3897" s="248"/>
      <c r="D3897" s="249"/>
      <c r="E3897" s="249"/>
      <c r="T3897" s="261"/>
    </row>
    <row r="3898" spans="2:20" x14ac:dyDescent="0.2">
      <c r="B3898" s="245"/>
      <c r="C3898" s="248"/>
      <c r="D3898" s="249"/>
      <c r="E3898" s="249"/>
      <c r="T3898" s="261"/>
    </row>
    <row r="3899" spans="2:20" x14ac:dyDescent="0.2">
      <c r="B3899" s="245"/>
      <c r="C3899" s="248"/>
      <c r="D3899" s="249"/>
      <c r="E3899" s="249"/>
      <c r="T3899" s="261"/>
    </row>
    <row r="3900" spans="2:20" x14ac:dyDescent="0.2">
      <c r="B3900" s="245"/>
      <c r="C3900" s="248"/>
      <c r="D3900" s="249"/>
      <c r="E3900" s="249"/>
      <c r="T3900" s="261"/>
    </row>
    <row r="3901" spans="2:20" x14ac:dyDescent="0.2">
      <c r="B3901" s="245"/>
      <c r="C3901" s="248"/>
      <c r="D3901" s="249"/>
      <c r="E3901" s="249"/>
      <c r="T3901" s="261"/>
    </row>
    <row r="3902" spans="2:20" x14ac:dyDescent="0.2">
      <c r="B3902" s="245"/>
      <c r="C3902" s="248"/>
      <c r="D3902" s="249"/>
      <c r="E3902" s="249"/>
      <c r="T3902" s="261"/>
    </row>
    <row r="3903" spans="2:20" x14ac:dyDescent="0.2">
      <c r="B3903" s="245"/>
      <c r="C3903" s="248"/>
      <c r="D3903" s="249"/>
      <c r="E3903" s="249"/>
      <c r="T3903" s="261"/>
    </row>
    <row r="3904" spans="2:20" x14ac:dyDescent="0.2">
      <c r="B3904" s="245"/>
      <c r="C3904" s="248"/>
      <c r="D3904" s="249"/>
      <c r="E3904" s="249"/>
      <c r="T3904" s="261"/>
    </row>
    <row r="3905" spans="2:20" x14ac:dyDescent="0.2">
      <c r="B3905" s="245"/>
      <c r="C3905" s="248"/>
      <c r="D3905" s="249"/>
      <c r="E3905" s="249"/>
      <c r="T3905" s="261"/>
    </row>
    <row r="3906" spans="2:20" x14ac:dyDescent="0.2">
      <c r="B3906" s="245"/>
      <c r="C3906" s="248"/>
      <c r="D3906" s="249"/>
      <c r="E3906" s="249"/>
      <c r="T3906" s="261"/>
    </row>
    <row r="3907" spans="2:20" x14ac:dyDescent="0.2">
      <c r="B3907" s="245"/>
      <c r="C3907" s="248"/>
      <c r="D3907" s="249"/>
      <c r="E3907" s="249"/>
      <c r="T3907" s="261"/>
    </row>
    <row r="3908" spans="2:20" x14ac:dyDescent="0.2">
      <c r="B3908" s="245"/>
      <c r="C3908" s="248"/>
      <c r="D3908" s="249"/>
      <c r="E3908" s="249"/>
      <c r="T3908" s="261"/>
    </row>
    <row r="3909" spans="2:20" x14ac:dyDescent="0.2">
      <c r="B3909" s="245"/>
      <c r="C3909" s="248"/>
      <c r="D3909" s="249"/>
      <c r="E3909" s="249"/>
      <c r="T3909" s="261"/>
    </row>
    <row r="3910" spans="2:20" x14ac:dyDescent="0.2">
      <c r="B3910" s="245"/>
      <c r="C3910" s="248"/>
      <c r="D3910" s="249"/>
      <c r="E3910" s="249"/>
      <c r="T3910" s="261"/>
    </row>
    <row r="3911" spans="2:20" x14ac:dyDescent="0.2">
      <c r="B3911" s="245"/>
      <c r="C3911" s="248"/>
      <c r="D3911" s="249"/>
      <c r="E3911" s="249"/>
      <c r="T3911" s="261"/>
    </row>
    <row r="3912" spans="2:20" x14ac:dyDescent="0.2">
      <c r="B3912" s="245"/>
      <c r="C3912" s="248"/>
      <c r="D3912" s="249"/>
      <c r="E3912" s="249"/>
      <c r="T3912" s="261"/>
    </row>
    <row r="3913" spans="2:20" x14ac:dyDescent="0.2">
      <c r="B3913" s="245"/>
      <c r="C3913" s="248"/>
      <c r="D3913" s="249"/>
      <c r="E3913" s="249"/>
      <c r="T3913" s="261"/>
    </row>
    <row r="3914" spans="2:20" x14ac:dyDescent="0.2">
      <c r="B3914" s="245"/>
      <c r="C3914" s="248"/>
      <c r="D3914" s="249"/>
      <c r="E3914" s="249"/>
      <c r="T3914" s="261"/>
    </row>
    <row r="3915" spans="2:20" x14ac:dyDescent="0.2">
      <c r="B3915" s="245"/>
      <c r="C3915" s="248"/>
      <c r="D3915" s="249"/>
      <c r="E3915" s="249"/>
      <c r="T3915" s="261"/>
    </row>
    <row r="3916" spans="2:20" x14ac:dyDescent="0.2">
      <c r="B3916" s="245"/>
      <c r="C3916" s="248"/>
      <c r="D3916" s="249"/>
      <c r="E3916" s="249"/>
      <c r="T3916" s="261"/>
    </row>
    <row r="3917" spans="2:20" x14ac:dyDescent="0.2">
      <c r="B3917" s="245"/>
      <c r="C3917" s="248"/>
      <c r="D3917" s="249"/>
      <c r="E3917" s="249"/>
      <c r="T3917" s="261"/>
    </row>
    <row r="3918" spans="2:20" x14ac:dyDescent="0.2">
      <c r="B3918" s="245"/>
      <c r="C3918" s="248"/>
      <c r="D3918" s="249"/>
      <c r="E3918" s="249"/>
      <c r="T3918" s="261"/>
    </row>
    <row r="3919" spans="2:20" x14ac:dyDescent="0.2">
      <c r="B3919" s="245"/>
      <c r="C3919" s="248"/>
      <c r="D3919" s="249"/>
      <c r="E3919" s="249"/>
      <c r="T3919" s="261"/>
    </row>
    <row r="3920" spans="2:20" x14ac:dyDescent="0.2">
      <c r="B3920" s="245"/>
      <c r="C3920" s="248"/>
      <c r="D3920" s="249"/>
      <c r="E3920" s="249"/>
      <c r="T3920" s="261"/>
    </row>
    <row r="3921" spans="2:20" x14ac:dyDescent="0.2">
      <c r="B3921" s="245"/>
      <c r="C3921" s="248"/>
      <c r="D3921" s="249"/>
      <c r="E3921" s="249"/>
      <c r="T3921" s="261"/>
    </row>
    <row r="3922" spans="2:20" x14ac:dyDescent="0.2">
      <c r="B3922" s="245"/>
      <c r="C3922" s="248"/>
      <c r="D3922" s="249"/>
      <c r="E3922" s="249"/>
      <c r="T3922" s="261"/>
    </row>
    <row r="3923" spans="2:20" x14ac:dyDescent="0.2">
      <c r="B3923" s="245"/>
      <c r="C3923" s="248"/>
      <c r="D3923" s="249"/>
      <c r="E3923" s="249"/>
      <c r="T3923" s="261"/>
    </row>
    <row r="3924" spans="2:20" x14ac:dyDescent="0.2">
      <c r="B3924" s="245"/>
      <c r="C3924" s="248"/>
      <c r="D3924" s="249"/>
      <c r="E3924" s="249"/>
      <c r="T3924" s="261"/>
    </row>
    <row r="3925" spans="2:20" x14ac:dyDescent="0.2">
      <c r="B3925" s="245"/>
      <c r="C3925" s="248"/>
      <c r="D3925" s="249"/>
      <c r="E3925" s="249"/>
      <c r="T3925" s="261"/>
    </row>
    <row r="3926" spans="2:20" x14ac:dyDescent="0.2">
      <c r="B3926" s="245"/>
      <c r="C3926" s="248"/>
      <c r="D3926" s="249"/>
      <c r="E3926" s="249"/>
      <c r="T3926" s="261"/>
    </row>
    <row r="3927" spans="2:20" x14ac:dyDescent="0.2">
      <c r="B3927" s="245"/>
      <c r="C3927" s="248"/>
      <c r="D3927" s="249"/>
      <c r="E3927" s="249"/>
      <c r="T3927" s="261"/>
    </row>
    <row r="3928" spans="2:20" x14ac:dyDescent="0.2">
      <c r="B3928" s="245"/>
      <c r="C3928" s="248"/>
      <c r="D3928" s="249"/>
      <c r="E3928" s="249"/>
      <c r="T3928" s="261"/>
    </row>
    <row r="3929" spans="2:20" x14ac:dyDescent="0.2">
      <c r="B3929" s="245"/>
      <c r="C3929" s="248"/>
      <c r="D3929" s="249"/>
      <c r="E3929" s="249"/>
      <c r="T3929" s="261"/>
    </row>
    <row r="3930" spans="2:20" x14ac:dyDescent="0.2">
      <c r="B3930" s="245"/>
      <c r="C3930" s="248"/>
      <c r="D3930" s="249"/>
      <c r="E3930" s="249"/>
      <c r="T3930" s="261"/>
    </row>
    <row r="3931" spans="2:20" x14ac:dyDescent="0.2">
      <c r="B3931" s="245"/>
      <c r="C3931" s="248"/>
      <c r="D3931" s="249"/>
      <c r="E3931" s="249"/>
      <c r="T3931" s="261"/>
    </row>
    <row r="3932" spans="2:20" x14ac:dyDescent="0.2">
      <c r="B3932" s="245"/>
      <c r="C3932" s="248"/>
      <c r="D3932" s="249"/>
      <c r="E3932" s="249"/>
      <c r="T3932" s="261"/>
    </row>
    <row r="3933" spans="2:20" x14ac:dyDescent="0.2">
      <c r="B3933" s="245"/>
      <c r="C3933" s="248"/>
      <c r="D3933" s="249"/>
      <c r="E3933" s="249"/>
      <c r="T3933" s="261"/>
    </row>
    <row r="3934" spans="2:20" x14ac:dyDescent="0.2">
      <c r="B3934" s="245"/>
      <c r="C3934" s="248"/>
      <c r="D3934" s="249"/>
      <c r="E3934" s="249"/>
      <c r="T3934" s="261"/>
    </row>
    <row r="3935" spans="2:20" x14ac:dyDescent="0.2">
      <c r="B3935" s="245"/>
      <c r="C3935" s="248"/>
      <c r="D3935" s="249"/>
      <c r="E3935" s="249"/>
      <c r="T3935" s="261"/>
    </row>
    <row r="3936" spans="2:20" x14ac:dyDescent="0.2">
      <c r="B3936" s="245"/>
      <c r="C3936" s="248"/>
      <c r="D3936" s="249"/>
      <c r="E3936" s="249"/>
      <c r="T3936" s="261"/>
    </row>
    <row r="3937" spans="2:20" x14ac:dyDescent="0.2">
      <c r="B3937" s="245"/>
      <c r="C3937" s="248"/>
      <c r="D3937" s="249"/>
      <c r="E3937" s="249"/>
      <c r="T3937" s="261"/>
    </row>
    <row r="3938" spans="2:20" x14ac:dyDescent="0.2">
      <c r="B3938" s="245"/>
      <c r="C3938" s="248"/>
      <c r="D3938" s="249"/>
      <c r="E3938" s="249"/>
      <c r="T3938" s="261"/>
    </row>
    <row r="3939" spans="2:20" x14ac:dyDescent="0.2">
      <c r="B3939" s="245"/>
      <c r="C3939" s="248"/>
      <c r="D3939" s="249"/>
      <c r="E3939" s="249"/>
      <c r="T3939" s="261"/>
    </row>
    <row r="3940" spans="2:20" x14ac:dyDescent="0.2">
      <c r="B3940" s="245"/>
      <c r="C3940" s="248"/>
      <c r="D3940" s="249"/>
      <c r="E3940" s="249"/>
      <c r="T3940" s="261"/>
    </row>
    <row r="3941" spans="2:20" x14ac:dyDescent="0.2">
      <c r="B3941" s="245"/>
      <c r="C3941" s="248"/>
      <c r="D3941" s="249"/>
      <c r="E3941" s="249"/>
      <c r="T3941" s="261"/>
    </row>
    <row r="3942" spans="2:20" x14ac:dyDescent="0.2">
      <c r="B3942" s="245"/>
      <c r="C3942" s="248"/>
      <c r="D3942" s="249"/>
      <c r="E3942" s="249"/>
      <c r="T3942" s="261"/>
    </row>
    <row r="3943" spans="2:20" x14ac:dyDescent="0.2">
      <c r="B3943" s="245"/>
      <c r="C3943" s="248"/>
      <c r="D3943" s="249"/>
      <c r="E3943" s="249"/>
      <c r="T3943" s="261"/>
    </row>
    <row r="3944" spans="2:20" x14ac:dyDescent="0.2">
      <c r="B3944" s="245"/>
      <c r="C3944" s="248"/>
      <c r="D3944" s="249"/>
      <c r="E3944" s="249"/>
      <c r="T3944" s="261"/>
    </row>
    <row r="3945" spans="2:20" x14ac:dyDescent="0.2">
      <c r="B3945" s="245"/>
      <c r="C3945" s="248"/>
      <c r="D3945" s="249"/>
      <c r="E3945" s="249"/>
      <c r="T3945" s="261"/>
    </row>
    <row r="3946" spans="2:20" x14ac:dyDescent="0.2">
      <c r="B3946" s="245"/>
      <c r="C3946" s="248"/>
      <c r="D3946" s="249"/>
      <c r="E3946" s="249"/>
      <c r="T3946" s="261"/>
    </row>
    <row r="3947" spans="2:20" x14ac:dyDescent="0.2">
      <c r="B3947" s="245"/>
      <c r="C3947" s="248"/>
      <c r="D3947" s="249"/>
      <c r="E3947" s="249"/>
      <c r="T3947" s="261"/>
    </row>
    <row r="3948" spans="2:20" x14ac:dyDescent="0.2">
      <c r="B3948" s="245"/>
      <c r="C3948" s="248"/>
      <c r="D3948" s="249"/>
      <c r="E3948" s="249"/>
      <c r="T3948" s="261"/>
    </row>
    <row r="3949" spans="2:20" x14ac:dyDescent="0.2">
      <c r="B3949" s="245"/>
      <c r="C3949" s="248"/>
      <c r="D3949" s="249"/>
      <c r="E3949" s="249"/>
      <c r="T3949" s="261"/>
    </row>
    <row r="3950" spans="2:20" x14ac:dyDescent="0.2">
      <c r="B3950" s="245"/>
      <c r="C3950" s="248"/>
      <c r="D3950" s="249"/>
      <c r="E3950" s="249"/>
      <c r="T3950" s="261"/>
    </row>
    <row r="3951" spans="2:20" x14ac:dyDescent="0.2">
      <c r="B3951" s="245"/>
      <c r="C3951" s="248"/>
      <c r="D3951" s="249"/>
      <c r="E3951" s="249"/>
      <c r="T3951" s="261"/>
    </row>
    <row r="3952" spans="2:20" x14ac:dyDescent="0.2">
      <c r="B3952" s="245"/>
      <c r="C3952" s="248"/>
      <c r="D3952" s="249"/>
      <c r="E3952" s="249"/>
      <c r="T3952" s="261"/>
    </row>
    <row r="3953" spans="2:20" x14ac:dyDescent="0.2">
      <c r="B3953" s="245"/>
      <c r="C3953" s="248"/>
      <c r="D3953" s="249"/>
      <c r="E3953" s="249"/>
      <c r="T3953" s="261"/>
    </row>
    <row r="3954" spans="2:20" x14ac:dyDescent="0.2">
      <c r="B3954" s="245"/>
      <c r="C3954" s="248"/>
      <c r="D3954" s="249"/>
      <c r="E3954" s="249"/>
      <c r="T3954" s="261"/>
    </row>
    <row r="3955" spans="2:20" x14ac:dyDescent="0.2">
      <c r="B3955" s="245"/>
      <c r="C3955" s="248"/>
      <c r="D3955" s="249"/>
      <c r="E3955" s="249"/>
      <c r="T3955" s="261"/>
    </row>
    <row r="3956" spans="2:20" x14ac:dyDescent="0.2">
      <c r="B3956" s="245"/>
      <c r="C3956" s="248"/>
      <c r="D3956" s="249"/>
      <c r="E3956" s="249"/>
      <c r="T3956" s="261"/>
    </row>
    <row r="3957" spans="2:20" x14ac:dyDescent="0.2">
      <c r="B3957" s="245"/>
      <c r="C3957" s="248"/>
      <c r="D3957" s="249"/>
      <c r="E3957" s="249"/>
      <c r="T3957" s="261"/>
    </row>
    <row r="3958" spans="2:20" x14ac:dyDescent="0.2">
      <c r="B3958" s="245"/>
      <c r="C3958" s="248"/>
      <c r="D3958" s="249"/>
      <c r="E3958" s="249"/>
      <c r="T3958" s="261"/>
    </row>
    <row r="3959" spans="2:20" x14ac:dyDescent="0.2">
      <c r="B3959" s="245"/>
      <c r="C3959" s="248"/>
      <c r="D3959" s="249"/>
      <c r="E3959" s="249"/>
      <c r="T3959" s="261"/>
    </row>
    <row r="3960" spans="2:20" x14ac:dyDescent="0.2">
      <c r="B3960" s="245"/>
      <c r="C3960" s="248"/>
      <c r="D3960" s="249"/>
      <c r="E3960" s="249"/>
      <c r="T3960" s="261"/>
    </row>
    <row r="3961" spans="2:20" x14ac:dyDescent="0.2">
      <c r="B3961" s="245"/>
      <c r="C3961" s="248"/>
      <c r="D3961" s="249"/>
      <c r="E3961" s="249"/>
      <c r="T3961" s="261"/>
    </row>
    <row r="3962" spans="2:20" x14ac:dyDescent="0.2">
      <c r="B3962" s="245"/>
      <c r="C3962" s="248"/>
      <c r="D3962" s="249"/>
      <c r="E3962" s="249"/>
      <c r="T3962" s="261"/>
    </row>
    <row r="3963" spans="2:20" x14ac:dyDescent="0.2">
      <c r="B3963" s="245"/>
      <c r="C3963" s="248"/>
      <c r="D3963" s="249"/>
      <c r="E3963" s="249"/>
      <c r="T3963" s="261"/>
    </row>
    <row r="3964" spans="2:20" x14ac:dyDescent="0.2">
      <c r="B3964" s="245"/>
      <c r="C3964" s="248"/>
      <c r="D3964" s="249"/>
      <c r="E3964" s="249"/>
      <c r="T3964" s="261"/>
    </row>
    <row r="3965" spans="2:20" x14ac:dyDescent="0.2">
      <c r="B3965" s="245"/>
      <c r="C3965" s="248"/>
      <c r="D3965" s="249"/>
      <c r="E3965" s="249"/>
      <c r="T3965" s="261"/>
    </row>
    <row r="3966" spans="2:20" x14ac:dyDescent="0.2">
      <c r="B3966" s="245"/>
      <c r="C3966" s="248"/>
      <c r="D3966" s="249"/>
      <c r="E3966" s="249"/>
      <c r="T3966" s="261"/>
    </row>
    <row r="3967" spans="2:20" x14ac:dyDescent="0.2">
      <c r="B3967" s="245"/>
      <c r="C3967" s="248"/>
      <c r="D3967" s="249"/>
      <c r="E3967" s="249"/>
      <c r="T3967" s="261"/>
    </row>
    <row r="3968" spans="2:20" x14ac:dyDescent="0.2">
      <c r="B3968" s="245"/>
      <c r="C3968" s="248"/>
      <c r="D3968" s="249"/>
      <c r="E3968" s="249"/>
      <c r="T3968" s="261"/>
    </row>
    <row r="3969" spans="2:20" x14ac:dyDescent="0.2">
      <c r="B3969" s="245"/>
      <c r="C3969" s="248"/>
      <c r="D3969" s="249"/>
      <c r="E3969" s="249"/>
      <c r="T3969" s="261"/>
    </row>
    <row r="3970" spans="2:20" x14ac:dyDescent="0.2">
      <c r="B3970" s="245"/>
      <c r="C3970" s="248"/>
      <c r="D3970" s="249"/>
      <c r="E3970" s="249"/>
      <c r="T3970" s="261"/>
    </row>
    <row r="3971" spans="2:20" x14ac:dyDescent="0.2">
      <c r="B3971" s="245"/>
      <c r="C3971" s="248"/>
      <c r="D3971" s="249"/>
      <c r="E3971" s="249"/>
      <c r="T3971" s="261"/>
    </row>
    <row r="3972" spans="2:20" x14ac:dyDescent="0.2">
      <c r="B3972" s="245"/>
      <c r="C3972" s="248"/>
      <c r="D3972" s="249"/>
      <c r="E3972" s="249"/>
      <c r="T3972" s="261"/>
    </row>
    <row r="3973" spans="2:20" x14ac:dyDescent="0.2">
      <c r="B3973" s="245"/>
      <c r="C3973" s="248"/>
      <c r="D3973" s="249"/>
      <c r="E3973" s="249"/>
      <c r="T3973" s="261"/>
    </row>
    <row r="3974" spans="2:20" x14ac:dyDescent="0.2">
      <c r="B3974" s="245"/>
      <c r="C3974" s="248"/>
      <c r="D3974" s="249"/>
      <c r="E3974" s="249"/>
      <c r="T3974" s="261"/>
    </row>
    <row r="3975" spans="2:20" x14ac:dyDescent="0.2">
      <c r="B3975" s="245"/>
      <c r="C3975" s="248"/>
      <c r="D3975" s="249"/>
      <c r="E3975" s="249"/>
      <c r="T3975" s="261"/>
    </row>
    <row r="3976" spans="2:20" x14ac:dyDescent="0.2">
      <c r="B3976" s="245"/>
      <c r="C3976" s="248"/>
      <c r="D3976" s="249"/>
      <c r="E3976" s="249"/>
      <c r="T3976" s="261"/>
    </row>
    <row r="3977" spans="2:20" x14ac:dyDescent="0.2">
      <c r="B3977" s="245"/>
      <c r="C3977" s="248"/>
      <c r="D3977" s="249"/>
      <c r="E3977" s="249"/>
      <c r="T3977" s="261"/>
    </row>
    <row r="3978" spans="2:20" x14ac:dyDescent="0.2">
      <c r="B3978" s="245"/>
      <c r="C3978" s="248"/>
      <c r="D3978" s="249"/>
      <c r="E3978" s="249"/>
      <c r="T3978" s="261"/>
    </row>
    <row r="3979" spans="2:20" x14ac:dyDescent="0.2">
      <c r="B3979" s="245"/>
      <c r="C3979" s="248"/>
      <c r="D3979" s="249"/>
      <c r="E3979" s="249"/>
      <c r="T3979" s="261"/>
    </row>
    <row r="3980" spans="2:20" x14ac:dyDescent="0.2">
      <c r="B3980" s="245"/>
      <c r="C3980" s="248"/>
      <c r="D3980" s="249"/>
      <c r="E3980" s="249"/>
      <c r="T3980" s="261"/>
    </row>
    <row r="3981" spans="2:20" x14ac:dyDescent="0.2">
      <c r="B3981" s="245"/>
      <c r="C3981" s="248"/>
      <c r="D3981" s="249"/>
      <c r="E3981" s="249"/>
      <c r="T3981" s="261"/>
    </row>
    <row r="3982" spans="2:20" x14ac:dyDescent="0.2">
      <c r="B3982" s="245"/>
      <c r="C3982" s="248"/>
      <c r="D3982" s="249"/>
      <c r="E3982" s="249"/>
      <c r="T3982" s="261"/>
    </row>
    <row r="3983" spans="2:20" x14ac:dyDescent="0.2">
      <c r="B3983" s="245"/>
      <c r="C3983" s="248"/>
      <c r="D3983" s="249"/>
      <c r="E3983" s="249"/>
      <c r="T3983" s="261"/>
    </row>
    <row r="3984" spans="2:20" x14ac:dyDescent="0.2">
      <c r="B3984" s="245"/>
      <c r="C3984" s="248"/>
      <c r="D3984" s="249"/>
      <c r="E3984" s="249"/>
      <c r="T3984" s="261"/>
    </row>
    <row r="3985" spans="2:20" x14ac:dyDescent="0.2">
      <c r="B3985" s="245"/>
      <c r="C3985" s="248"/>
      <c r="D3985" s="249"/>
      <c r="E3985" s="249"/>
      <c r="T3985" s="261"/>
    </row>
    <row r="3986" spans="2:20" x14ac:dyDescent="0.2">
      <c r="B3986" s="245"/>
      <c r="C3986" s="248"/>
      <c r="D3986" s="249"/>
      <c r="E3986" s="249"/>
      <c r="T3986" s="261"/>
    </row>
    <row r="3987" spans="2:20" x14ac:dyDescent="0.2">
      <c r="B3987" s="245"/>
      <c r="C3987" s="248"/>
      <c r="D3987" s="249"/>
      <c r="E3987" s="249"/>
      <c r="T3987" s="261"/>
    </row>
    <row r="3988" spans="2:20" x14ac:dyDescent="0.2">
      <c r="B3988" s="245"/>
      <c r="C3988" s="248"/>
      <c r="D3988" s="249"/>
      <c r="E3988" s="249"/>
      <c r="T3988" s="261"/>
    </row>
    <row r="3989" spans="2:20" x14ac:dyDescent="0.2">
      <c r="B3989" s="245"/>
      <c r="C3989" s="248"/>
      <c r="D3989" s="249"/>
      <c r="E3989" s="249"/>
      <c r="T3989" s="261"/>
    </row>
    <row r="3990" spans="2:20" x14ac:dyDescent="0.2">
      <c r="B3990" s="245"/>
      <c r="C3990" s="248"/>
      <c r="D3990" s="249"/>
      <c r="E3990" s="249"/>
      <c r="T3990" s="261"/>
    </row>
    <row r="3991" spans="2:20" x14ac:dyDescent="0.2">
      <c r="B3991" s="245"/>
      <c r="C3991" s="248"/>
      <c r="D3991" s="249"/>
      <c r="E3991" s="249"/>
      <c r="T3991" s="261"/>
    </row>
    <row r="3992" spans="2:20" x14ac:dyDescent="0.2">
      <c r="B3992" s="245"/>
      <c r="C3992" s="248"/>
      <c r="D3992" s="249"/>
      <c r="E3992" s="249"/>
      <c r="T3992" s="261"/>
    </row>
    <row r="3993" spans="2:20" x14ac:dyDescent="0.2">
      <c r="B3993" s="245"/>
      <c r="C3993" s="248"/>
      <c r="D3993" s="249"/>
      <c r="E3993" s="249"/>
      <c r="T3993" s="261"/>
    </row>
    <row r="3994" spans="2:20" x14ac:dyDescent="0.2">
      <c r="B3994" s="245"/>
      <c r="C3994" s="248"/>
      <c r="D3994" s="249"/>
      <c r="E3994" s="249"/>
      <c r="T3994" s="261"/>
    </row>
    <row r="3995" spans="2:20" x14ac:dyDescent="0.2">
      <c r="B3995" s="245"/>
      <c r="C3995" s="248"/>
      <c r="D3995" s="249"/>
      <c r="E3995" s="249"/>
      <c r="T3995" s="261"/>
    </row>
    <row r="3996" spans="2:20" x14ac:dyDescent="0.2">
      <c r="B3996" s="245"/>
      <c r="C3996" s="248"/>
      <c r="D3996" s="249"/>
      <c r="E3996" s="249"/>
      <c r="T3996" s="261"/>
    </row>
    <row r="3997" spans="2:20" x14ac:dyDescent="0.2">
      <c r="B3997" s="245"/>
      <c r="C3997" s="248"/>
      <c r="D3997" s="249"/>
      <c r="E3997" s="249"/>
      <c r="T3997" s="261"/>
    </row>
    <row r="3998" spans="2:20" x14ac:dyDescent="0.2">
      <c r="B3998" s="245"/>
      <c r="C3998" s="248"/>
      <c r="D3998" s="249"/>
      <c r="E3998" s="249"/>
      <c r="T3998" s="261"/>
    </row>
    <row r="3999" spans="2:20" x14ac:dyDescent="0.2">
      <c r="B3999" s="245"/>
      <c r="C3999" s="248"/>
      <c r="D3999" s="249"/>
      <c r="E3999" s="249"/>
      <c r="T3999" s="261"/>
    </row>
    <row r="4000" spans="2:20" x14ac:dyDescent="0.2">
      <c r="B4000" s="245"/>
      <c r="C4000" s="248"/>
      <c r="D4000" s="249"/>
      <c r="E4000" s="249"/>
      <c r="T4000" s="261"/>
    </row>
    <row r="4001" spans="2:20" x14ac:dyDescent="0.2">
      <c r="B4001" s="245"/>
      <c r="C4001" s="248"/>
      <c r="D4001" s="249"/>
      <c r="E4001" s="249"/>
      <c r="T4001" s="261"/>
    </row>
    <row r="4002" spans="2:20" x14ac:dyDescent="0.2">
      <c r="B4002" s="245"/>
      <c r="C4002" s="248"/>
      <c r="D4002" s="249"/>
      <c r="E4002" s="249"/>
      <c r="T4002" s="261"/>
    </row>
    <row r="4003" spans="2:20" x14ac:dyDescent="0.2">
      <c r="B4003" s="245"/>
      <c r="C4003" s="248"/>
      <c r="D4003" s="249"/>
      <c r="E4003" s="249"/>
      <c r="T4003" s="261"/>
    </row>
    <row r="4004" spans="2:20" x14ac:dyDescent="0.2">
      <c r="B4004" s="245"/>
      <c r="C4004" s="248"/>
      <c r="D4004" s="249"/>
      <c r="E4004" s="249"/>
      <c r="T4004" s="261"/>
    </row>
    <row r="4005" spans="2:20" x14ac:dyDescent="0.2">
      <c r="B4005" s="245"/>
      <c r="C4005" s="248"/>
      <c r="D4005" s="249"/>
      <c r="E4005" s="249"/>
      <c r="T4005" s="261"/>
    </row>
    <row r="4006" spans="2:20" x14ac:dyDescent="0.2">
      <c r="B4006" s="245"/>
      <c r="C4006" s="248"/>
      <c r="D4006" s="249"/>
      <c r="E4006" s="249"/>
      <c r="T4006" s="261"/>
    </row>
    <row r="4007" spans="2:20" x14ac:dyDescent="0.2">
      <c r="B4007" s="245"/>
      <c r="C4007" s="248"/>
      <c r="D4007" s="249"/>
      <c r="E4007" s="249"/>
      <c r="T4007" s="261"/>
    </row>
    <row r="4008" spans="2:20" x14ac:dyDescent="0.2">
      <c r="B4008" s="245"/>
      <c r="C4008" s="248"/>
      <c r="D4008" s="249"/>
      <c r="E4008" s="249"/>
      <c r="T4008" s="261"/>
    </row>
    <row r="4009" spans="2:20" x14ac:dyDescent="0.2">
      <c r="B4009" s="245"/>
      <c r="C4009" s="248"/>
      <c r="D4009" s="249"/>
      <c r="E4009" s="249"/>
      <c r="T4009" s="261"/>
    </row>
    <row r="4010" spans="2:20" x14ac:dyDescent="0.2">
      <c r="B4010" s="245"/>
      <c r="C4010" s="248"/>
      <c r="D4010" s="249"/>
      <c r="E4010" s="249"/>
      <c r="T4010" s="261"/>
    </row>
    <row r="4011" spans="2:20" x14ac:dyDescent="0.2">
      <c r="B4011" s="245"/>
      <c r="C4011" s="248"/>
      <c r="D4011" s="249"/>
      <c r="E4011" s="249"/>
      <c r="T4011" s="261"/>
    </row>
    <row r="4012" spans="2:20" x14ac:dyDescent="0.2">
      <c r="B4012" s="245"/>
      <c r="C4012" s="248"/>
      <c r="D4012" s="249"/>
      <c r="E4012" s="249"/>
      <c r="T4012" s="261"/>
    </row>
    <row r="4013" spans="2:20" x14ac:dyDescent="0.2">
      <c r="B4013" s="245"/>
      <c r="C4013" s="248"/>
      <c r="D4013" s="249"/>
      <c r="E4013" s="249"/>
      <c r="T4013" s="261"/>
    </row>
    <row r="4014" spans="2:20" x14ac:dyDescent="0.2">
      <c r="B4014" s="245"/>
      <c r="C4014" s="248"/>
      <c r="D4014" s="249"/>
      <c r="E4014" s="249"/>
      <c r="T4014" s="261"/>
    </row>
    <row r="4015" spans="2:20" x14ac:dyDescent="0.2">
      <c r="B4015" s="245"/>
      <c r="C4015" s="248"/>
      <c r="D4015" s="249"/>
      <c r="E4015" s="249"/>
      <c r="T4015" s="261"/>
    </row>
    <row r="4016" spans="2:20" x14ac:dyDescent="0.2">
      <c r="B4016" s="245"/>
      <c r="C4016" s="248"/>
      <c r="D4016" s="249"/>
      <c r="E4016" s="249"/>
      <c r="T4016" s="261"/>
    </row>
    <row r="4017" spans="2:20" x14ac:dyDescent="0.2">
      <c r="B4017" s="245"/>
      <c r="C4017" s="248"/>
      <c r="D4017" s="249"/>
      <c r="E4017" s="249"/>
      <c r="T4017" s="261"/>
    </row>
    <row r="4018" spans="2:20" x14ac:dyDescent="0.2">
      <c r="B4018" s="245"/>
      <c r="C4018" s="248"/>
      <c r="D4018" s="249"/>
      <c r="E4018" s="249"/>
      <c r="T4018" s="261"/>
    </row>
    <row r="4019" spans="2:20" x14ac:dyDescent="0.2">
      <c r="B4019" s="245"/>
      <c r="C4019" s="248"/>
      <c r="D4019" s="249"/>
      <c r="E4019" s="249"/>
      <c r="T4019" s="261"/>
    </row>
    <row r="4020" spans="2:20" x14ac:dyDescent="0.2">
      <c r="B4020" s="245"/>
      <c r="C4020" s="248"/>
      <c r="D4020" s="249"/>
      <c r="E4020" s="249"/>
      <c r="T4020" s="261"/>
    </row>
    <row r="4021" spans="2:20" x14ac:dyDescent="0.2">
      <c r="B4021" s="245"/>
      <c r="C4021" s="248"/>
      <c r="D4021" s="249"/>
      <c r="E4021" s="249"/>
      <c r="T4021" s="261"/>
    </row>
    <row r="4022" spans="2:20" x14ac:dyDescent="0.2">
      <c r="B4022" s="245"/>
      <c r="C4022" s="248"/>
      <c r="D4022" s="249"/>
      <c r="E4022" s="249"/>
      <c r="T4022" s="261"/>
    </row>
    <row r="4023" spans="2:20" x14ac:dyDescent="0.2">
      <c r="B4023" s="245"/>
      <c r="C4023" s="248"/>
      <c r="D4023" s="249"/>
      <c r="E4023" s="249"/>
      <c r="T4023" s="261"/>
    </row>
    <row r="4024" spans="2:20" x14ac:dyDescent="0.2">
      <c r="B4024" s="245"/>
      <c r="C4024" s="248"/>
      <c r="D4024" s="249"/>
      <c r="E4024" s="249"/>
      <c r="T4024" s="261"/>
    </row>
    <row r="4025" spans="2:20" x14ac:dyDescent="0.2">
      <c r="B4025" s="245"/>
      <c r="C4025" s="248"/>
      <c r="D4025" s="249"/>
      <c r="E4025" s="249"/>
      <c r="T4025" s="261"/>
    </row>
    <row r="4026" spans="2:20" x14ac:dyDescent="0.2">
      <c r="B4026" s="245"/>
      <c r="C4026" s="248"/>
      <c r="D4026" s="249"/>
      <c r="E4026" s="249"/>
      <c r="T4026" s="261"/>
    </row>
    <row r="4027" spans="2:20" x14ac:dyDescent="0.2">
      <c r="B4027" s="245"/>
      <c r="C4027" s="248"/>
      <c r="D4027" s="249"/>
      <c r="E4027" s="249"/>
      <c r="T4027" s="261"/>
    </row>
    <row r="4028" spans="2:20" x14ac:dyDescent="0.2">
      <c r="B4028" s="245"/>
      <c r="C4028" s="248"/>
      <c r="D4028" s="249"/>
      <c r="E4028" s="249"/>
      <c r="T4028" s="261"/>
    </row>
    <row r="4029" spans="2:20" x14ac:dyDescent="0.2">
      <c r="B4029" s="245"/>
      <c r="C4029" s="248"/>
      <c r="D4029" s="249"/>
      <c r="E4029" s="249"/>
      <c r="T4029" s="261"/>
    </row>
    <row r="4030" spans="2:20" x14ac:dyDescent="0.2">
      <c r="B4030" s="245"/>
      <c r="C4030" s="248"/>
      <c r="D4030" s="249"/>
      <c r="E4030" s="249"/>
      <c r="T4030" s="261"/>
    </row>
    <row r="4031" spans="2:20" x14ac:dyDescent="0.2">
      <c r="B4031" s="245"/>
      <c r="C4031" s="248"/>
      <c r="D4031" s="249"/>
      <c r="E4031" s="249"/>
      <c r="T4031" s="261"/>
    </row>
    <row r="4032" spans="2:20" x14ac:dyDescent="0.2">
      <c r="B4032" s="245"/>
      <c r="C4032" s="248"/>
      <c r="D4032" s="249"/>
      <c r="E4032" s="249"/>
      <c r="T4032" s="261"/>
    </row>
    <row r="4033" spans="2:20" x14ac:dyDescent="0.2">
      <c r="B4033" s="245"/>
      <c r="C4033" s="248"/>
      <c r="D4033" s="249"/>
      <c r="E4033" s="249"/>
      <c r="T4033" s="261"/>
    </row>
    <row r="4034" spans="2:20" x14ac:dyDescent="0.2">
      <c r="B4034" s="245"/>
      <c r="C4034" s="248"/>
      <c r="D4034" s="249"/>
      <c r="E4034" s="249"/>
      <c r="T4034" s="261"/>
    </row>
    <row r="4035" spans="2:20" x14ac:dyDescent="0.2">
      <c r="B4035" s="245"/>
      <c r="C4035" s="248"/>
      <c r="D4035" s="249"/>
      <c r="E4035" s="249"/>
      <c r="T4035" s="261"/>
    </row>
    <row r="4036" spans="2:20" x14ac:dyDescent="0.2">
      <c r="B4036" s="245"/>
      <c r="C4036" s="248"/>
      <c r="D4036" s="249"/>
      <c r="E4036" s="249"/>
      <c r="T4036" s="261"/>
    </row>
    <row r="4037" spans="2:20" x14ac:dyDescent="0.2">
      <c r="B4037" s="245"/>
      <c r="C4037" s="248"/>
      <c r="D4037" s="249"/>
      <c r="E4037" s="249"/>
      <c r="T4037" s="261"/>
    </row>
    <row r="4038" spans="2:20" x14ac:dyDescent="0.2">
      <c r="B4038" s="245"/>
      <c r="C4038" s="248"/>
      <c r="D4038" s="249"/>
      <c r="E4038" s="249"/>
      <c r="T4038" s="261"/>
    </row>
    <row r="4039" spans="2:20" x14ac:dyDescent="0.2">
      <c r="B4039" s="245"/>
      <c r="C4039" s="248"/>
      <c r="D4039" s="249"/>
      <c r="E4039" s="249"/>
      <c r="T4039" s="261"/>
    </row>
    <row r="4040" spans="2:20" x14ac:dyDescent="0.2">
      <c r="B4040" s="245"/>
      <c r="C4040" s="248"/>
      <c r="D4040" s="249"/>
      <c r="E4040" s="249"/>
      <c r="T4040" s="261"/>
    </row>
    <row r="4041" spans="2:20" x14ac:dyDescent="0.2">
      <c r="B4041" s="245"/>
      <c r="C4041" s="248"/>
      <c r="D4041" s="249"/>
      <c r="E4041" s="249"/>
      <c r="T4041" s="261"/>
    </row>
    <row r="4042" spans="2:20" x14ac:dyDescent="0.2">
      <c r="B4042" s="245"/>
      <c r="C4042" s="248"/>
      <c r="D4042" s="249"/>
      <c r="E4042" s="249"/>
      <c r="T4042" s="261"/>
    </row>
    <row r="4043" spans="2:20" x14ac:dyDescent="0.2">
      <c r="B4043" s="245"/>
      <c r="C4043" s="248"/>
      <c r="D4043" s="249"/>
      <c r="E4043" s="249"/>
      <c r="T4043" s="261"/>
    </row>
    <row r="4044" spans="2:20" x14ac:dyDescent="0.2">
      <c r="B4044" s="245"/>
      <c r="C4044" s="248"/>
      <c r="D4044" s="249"/>
      <c r="E4044" s="249"/>
      <c r="T4044" s="261"/>
    </row>
    <row r="4045" spans="2:20" x14ac:dyDescent="0.2">
      <c r="B4045" s="245"/>
      <c r="C4045" s="248"/>
      <c r="D4045" s="249"/>
      <c r="E4045" s="249"/>
      <c r="T4045" s="261"/>
    </row>
    <row r="4046" spans="2:20" x14ac:dyDescent="0.2">
      <c r="B4046" s="245"/>
      <c r="C4046" s="248"/>
      <c r="D4046" s="249"/>
      <c r="E4046" s="249"/>
      <c r="T4046" s="261"/>
    </row>
    <row r="4047" spans="2:20" x14ac:dyDescent="0.2">
      <c r="B4047" s="245"/>
      <c r="C4047" s="248"/>
      <c r="D4047" s="249"/>
      <c r="E4047" s="249"/>
      <c r="T4047" s="261"/>
    </row>
    <row r="4048" spans="2:20" x14ac:dyDescent="0.2">
      <c r="B4048" s="245"/>
      <c r="C4048" s="248"/>
      <c r="D4048" s="249"/>
      <c r="E4048" s="249"/>
      <c r="T4048" s="261"/>
    </row>
    <row r="4049" spans="2:20" x14ac:dyDescent="0.2">
      <c r="B4049" s="245"/>
      <c r="C4049" s="248"/>
      <c r="D4049" s="249"/>
      <c r="E4049" s="249"/>
      <c r="T4049" s="261"/>
    </row>
    <row r="4050" spans="2:20" x14ac:dyDescent="0.2">
      <c r="B4050" s="245"/>
      <c r="C4050" s="248"/>
      <c r="D4050" s="249"/>
      <c r="E4050" s="249"/>
      <c r="T4050" s="261"/>
    </row>
    <row r="4051" spans="2:20" x14ac:dyDescent="0.2">
      <c r="B4051" s="245"/>
      <c r="C4051" s="248"/>
      <c r="D4051" s="249"/>
      <c r="E4051" s="249"/>
      <c r="T4051" s="261"/>
    </row>
    <row r="4052" spans="2:20" x14ac:dyDescent="0.2">
      <c r="B4052" s="245"/>
      <c r="C4052" s="248"/>
      <c r="D4052" s="249"/>
      <c r="E4052" s="249"/>
      <c r="T4052" s="261"/>
    </row>
    <row r="4053" spans="2:20" x14ac:dyDescent="0.2">
      <c r="B4053" s="245"/>
      <c r="C4053" s="248"/>
      <c r="D4053" s="249"/>
      <c r="E4053" s="249"/>
      <c r="T4053" s="261"/>
    </row>
    <row r="4054" spans="2:20" x14ac:dyDescent="0.2">
      <c r="B4054" s="245"/>
      <c r="C4054" s="248"/>
      <c r="D4054" s="249"/>
      <c r="E4054" s="249"/>
      <c r="T4054" s="261"/>
    </row>
    <row r="4055" spans="2:20" x14ac:dyDescent="0.2">
      <c r="B4055" s="245"/>
      <c r="C4055" s="248"/>
      <c r="D4055" s="249"/>
      <c r="E4055" s="249"/>
      <c r="T4055" s="261"/>
    </row>
    <row r="4056" spans="2:20" x14ac:dyDescent="0.2">
      <c r="B4056" s="245"/>
      <c r="C4056" s="248"/>
      <c r="D4056" s="249"/>
      <c r="E4056" s="249"/>
      <c r="T4056" s="261"/>
    </row>
    <row r="4057" spans="2:20" x14ac:dyDescent="0.2">
      <c r="B4057" s="245"/>
      <c r="C4057" s="248"/>
      <c r="D4057" s="249"/>
      <c r="E4057" s="249"/>
      <c r="T4057" s="261"/>
    </row>
    <row r="4058" spans="2:20" x14ac:dyDescent="0.2">
      <c r="B4058" s="245"/>
      <c r="C4058" s="248"/>
      <c r="D4058" s="249"/>
      <c r="E4058" s="249"/>
      <c r="T4058" s="261"/>
    </row>
    <row r="4059" spans="2:20" x14ac:dyDescent="0.2">
      <c r="B4059" s="245"/>
      <c r="C4059" s="248"/>
      <c r="D4059" s="249"/>
      <c r="E4059" s="249"/>
      <c r="T4059" s="261"/>
    </row>
    <row r="4060" spans="2:20" x14ac:dyDescent="0.2">
      <c r="B4060" s="245"/>
      <c r="C4060" s="248"/>
      <c r="D4060" s="249"/>
      <c r="E4060" s="249"/>
      <c r="T4060" s="261"/>
    </row>
    <row r="4061" spans="2:20" x14ac:dyDescent="0.2">
      <c r="B4061" s="245"/>
      <c r="C4061" s="248"/>
      <c r="D4061" s="249"/>
      <c r="E4061" s="249"/>
      <c r="T4061" s="261"/>
    </row>
    <row r="4062" spans="2:20" x14ac:dyDescent="0.2">
      <c r="B4062" s="245"/>
      <c r="C4062" s="248"/>
      <c r="D4062" s="249"/>
      <c r="E4062" s="249"/>
      <c r="T4062" s="261"/>
    </row>
    <row r="4063" spans="2:20" x14ac:dyDescent="0.2">
      <c r="B4063" s="245"/>
      <c r="C4063" s="248"/>
      <c r="D4063" s="249"/>
      <c r="E4063" s="249"/>
      <c r="T4063" s="261"/>
    </row>
    <row r="4064" spans="2:20" x14ac:dyDescent="0.2">
      <c r="B4064" s="245"/>
      <c r="C4064" s="248"/>
      <c r="D4064" s="249"/>
      <c r="E4064" s="249"/>
      <c r="T4064" s="261"/>
    </row>
    <row r="4065" spans="2:20" x14ac:dyDescent="0.2">
      <c r="B4065" s="245"/>
      <c r="C4065" s="248"/>
      <c r="D4065" s="249"/>
      <c r="E4065" s="249"/>
      <c r="T4065" s="261"/>
    </row>
    <row r="4066" spans="2:20" x14ac:dyDescent="0.2">
      <c r="B4066" s="245"/>
      <c r="C4066" s="248"/>
      <c r="D4066" s="249"/>
      <c r="E4066" s="249"/>
      <c r="T4066" s="261"/>
    </row>
    <row r="4067" spans="2:20" x14ac:dyDescent="0.2">
      <c r="B4067" s="245"/>
      <c r="C4067" s="248"/>
      <c r="D4067" s="249"/>
      <c r="E4067" s="249"/>
      <c r="T4067" s="261"/>
    </row>
    <row r="4068" spans="2:20" x14ac:dyDescent="0.2">
      <c r="B4068" s="245"/>
      <c r="C4068" s="248"/>
      <c r="D4068" s="249"/>
      <c r="E4068" s="249"/>
      <c r="T4068" s="261"/>
    </row>
    <row r="4069" spans="2:20" x14ac:dyDescent="0.2">
      <c r="B4069" s="245"/>
      <c r="C4069" s="248"/>
      <c r="D4069" s="249"/>
      <c r="E4069" s="249"/>
      <c r="T4069" s="261"/>
    </row>
    <row r="4070" spans="2:20" x14ac:dyDescent="0.2">
      <c r="B4070" s="245"/>
      <c r="C4070" s="248"/>
      <c r="D4070" s="249"/>
      <c r="E4070" s="249"/>
      <c r="T4070" s="261"/>
    </row>
    <row r="4071" spans="2:20" x14ac:dyDescent="0.2">
      <c r="B4071" s="245"/>
      <c r="C4071" s="248"/>
      <c r="D4071" s="249"/>
      <c r="E4071" s="249"/>
      <c r="T4071" s="261"/>
    </row>
    <row r="4072" spans="2:20" x14ac:dyDescent="0.2">
      <c r="B4072" s="245"/>
      <c r="C4072" s="248"/>
      <c r="D4072" s="249"/>
      <c r="E4072" s="249"/>
      <c r="T4072" s="261"/>
    </row>
    <row r="4073" spans="2:20" x14ac:dyDescent="0.2">
      <c r="B4073" s="245"/>
      <c r="C4073" s="248"/>
      <c r="D4073" s="249"/>
      <c r="E4073" s="249"/>
      <c r="T4073" s="261"/>
    </row>
    <row r="4074" spans="2:20" x14ac:dyDescent="0.2">
      <c r="B4074" s="245"/>
      <c r="C4074" s="248"/>
      <c r="D4074" s="249"/>
      <c r="E4074" s="249"/>
      <c r="T4074" s="261"/>
    </row>
    <row r="4075" spans="2:20" x14ac:dyDescent="0.2">
      <c r="B4075" s="245"/>
      <c r="C4075" s="248"/>
      <c r="D4075" s="249"/>
      <c r="E4075" s="249"/>
      <c r="T4075" s="261"/>
    </row>
    <row r="4076" spans="2:20" x14ac:dyDescent="0.2">
      <c r="B4076" s="245"/>
      <c r="C4076" s="248"/>
      <c r="D4076" s="249"/>
      <c r="E4076" s="249"/>
      <c r="T4076" s="261"/>
    </row>
    <row r="4077" spans="2:20" x14ac:dyDescent="0.2">
      <c r="B4077" s="245"/>
      <c r="C4077" s="248"/>
      <c r="D4077" s="249"/>
      <c r="E4077" s="249"/>
      <c r="T4077" s="261"/>
    </row>
    <row r="4078" spans="2:20" x14ac:dyDescent="0.2">
      <c r="B4078" s="245"/>
      <c r="C4078" s="248"/>
      <c r="D4078" s="249"/>
      <c r="E4078" s="249"/>
      <c r="T4078" s="261"/>
    </row>
    <row r="4079" spans="2:20" x14ac:dyDescent="0.2">
      <c r="B4079" s="245"/>
      <c r="C4079" s="248"/>
      <c r="D4079" s="249"/>
      <c r="E4079" s="249"/>
      <c r="T4079" s="261"/>
    </row>
    <row r="4080" spans="2:20" x14ac:dyDescent="0.2">
      <c r="B4080" s="245"/>
      <c r="C4080" s="248"/>
      <c r="D4080" s="249"/>
      <c r="E4080" s="249"/>
      <c r="T4080" s="261"/>
    </row>
    <row r="4081" spans="2:20" x14ac:dyDescent="0.2">
      <c r="B4081" s="245"/>
      <c r="C4081" s="248"/>
      <c r="D4081" s="249"/>
      <c r="E4081" s="249"/>
      <c r="T4081" s="261"/>
    </row>
    <row r="4082" spans="2:20" x14ac:dyDescent="0.2">
      <c r="B4082" s="245"/>
      <c r="C4082" s="248"/>
      <c r="D4082" s="249"/>
      <c r="E4082" s="249"/>
      <c r="T4082" s="261"/>
    </row>
    <row r="4083" spans="2:20" x14ac:dyDescent="0.2">
      <c r="B4083" s="245"/>
      <c r="C4083" s="248"/>
      <c r="D4083" s="249"/>
      <c r="E4083" s="249"/>
      <c r="T4083" s="261"/>
    </row>
    <row r="4084" spans="2:20" x14ac:dyDescent="0.2">
      <c r="B4084" s="245"/>
      <c r="C4084" s="248"/>
      <c r="D4084" s="249"/>
      <c r="E4084" s="249"/>
      <c r="T4084" s="261"/>
    </row>
    <row r="4085" spans="2:20" x14ac:dyDescent="0.2">
      <c r="B4085" s="245"/>
      <c r="C4085" s="248"/>
      <c r="D4085" s="249"/>
      <c r="E4085" s="249"/>
      <c r="T4085" s="261"/>
    </row>
    <row r="4086" spans="2:20" x14ac:dyDescent="0.2">
      <c r="B4086" s="245"/>
      <c r="C4086" s="248"/>
      <c r="D4086" s="249"/>
      <c r="E4086" s="249"/>
      <c r="T4086" s="261"/>
    </row>
    <row r="4087" spans="2:20" x14ac:dyDescent="0.2">
      <c r="B4087" s="245"/>
      <c r="C4087" s="248"/>
      <c r="D4087" s="249"/>
      <c r="E4087" s="249"/>
      <c r="T4087" s="261"/>
    </row>
    <row r="4088" spans="2:20" x14ac:dyDescent="0.2">
      <c r="B4088" s="245"/>
      <c r="C4088" s="248"/>
      <c r="D4088" s="249"/>
      <c r="E4088" s="249"/>
      <c r="T4088" s="261"/>
    </row>
    <row r="4089" spans="2:20" x14ac:dyDescent="0.2">
      <c r="B4089" s="245"/>
      <c r="C4089" s="248"/>
      <c r="D4089" s="249"/>
      <c r="E4089" s="249"/>
      <c r="T4089" s="261"/>
    </row>
    <row r="4090" spans="2:20" x14ac:dyDescent="0.2">
      <c r="B4090" s="245"/>
      <c r="C4090" s="248"/>
      <c r="D4090" s="249"/>
      <c r="E4090" s="249"/>
      <c r="T4090" s="261"/>
    </row>
    <row r="4091" spans="2:20" x14ac:dyDescent="0.2">
      <c r="B4091" s="245"/>
      <c r="C4091" s="248"/>
      <c r="D4091" s="249"/>
      <c r="E4091" s="249"/>
      <c r="T4091" s="261"/>
    </row>
    <row r="4092" spans="2:20" x14ac:dyDescent="0.2">
      <c r="B4092" s="245"/>
      <c r="C4092" s="248"/>
      <c r="D4092" s="249"/>
      <c r="E4092" s="249"/>
      <c r="T4092" s="261"/>
    </row>
    <row r="4093" spans="2:20" x14ac:dyDescent="0.2">
      <c r="B4093" s="245"/>
      <c r="C4093" s="248"/>
      <c r="D4093" s="249"/>
      <c r="E4093" s="249"/>
      <c r="T4093" s="261"/>
    </row>
    <row r="4094" spans="2:20" x14ac:dyDescent="0.2">
      <c r="B4094" s="245"/>
      <c r="C4094" s="248"/>
      <c r="D4094" s="249"/>
      <c r="E4094" s="249"/>
      <c r="T4094" s="261"/>
    </row>
    <row r="4095" spans="2:20" x14ac:dyDescent="0.2">
      <c r="B4095" s="245"/>
      <c r="C4095" s="248"/>
      <c r="D4095" s="249"/>
      <c r="E4095" s="249"/>
      <c r="T4095" s="261"/>
    </row>
    <row r="4096" spans="2:20" x14ac:dyDescent="0.2">
      <c r="B4096" s="245"/>
      <c r="C4096" s="248"/>
      <c r="D4096" s="249"/>
      <c r="E4096" s="249"/>
      <c r="T4096" s="261"/>
    </row>
    <row r="4097" spans="2:20" x14ac:dyDescent="0.2">
      <c r="B4097" s="245"/>
      <c r="C4097" s="248"/>
      <c r="D4097" s="249"/>
      <c r="E4097" s="249"/>
      <c r="T4097" s="261"/>
    </row>
    <row r="4098" spans="2:20" x14ac:dyDescent="0.2">
      <c r="B4098" s="245"/>
      <c r="C4098" s="248"/>
      <c r="D4098" s="249"/>
      <c r="E4098" s="249"/>
      <c r="T4098" s="261"/>
    </row>
    <row r="4099" spans="2:20" x14ac:dyDescent="0.2">
      <c r="B4099" s="245"/>
      <c r="C4099" s="248"/>
      <c r="D4099" s="249"/>
      <c r="E4099" s="249"/>
      <c r="T4099" s="261"/>
    </row>
    <row r="4100" spans="2:20" x14ac:dyDescent="0.2">
      <c r="B4100" s="245"/>
      <c r="C4100" s="248"/>
      <c r="D4100" s="249"/>
      <c r="E4100" s="249"/>
      <c r="T4100" s="261"/>
    </row>
    <row r="4101" spans="2:20" x14ac:dyDescent="0.2">
      <c r="B4101" s="245"/>
      <c r="C4101" s="248"/>
      <c r="D4101" s="249"/>
      <c r="E4101" s="249"/>
      <c r="T4101" s="261"/>
    </row>
    <row r="4102" spans="2:20" x14ac:dyDescent="0.2">
      <c r="B4102" s="245"/>
      <c r="C4102" s="248"/>
      <c r="D4102" s="249"/>
      <c r="E4102" s="249"/>
      <c r="T4102" s="261"/>
    </row>
    <row r="4103" spans="2:20" x14ac:dyDescent="0.2">
      <c r="B4103" s="245"/>
      <c r="C4103" s="248"/>
      <c r="D4103" s="249"/>
      <c r="E4103" s="249"/>
      <c r="T4103" s="261"/>
    </row>
    <row r="4104" spans="2:20" x14ac:dyDescent="0.2">
      <c r="B4104" s="245"/>
      <c r="C4104" s="248"/>
      <c r="D4104" s="249"/>
      <c r="E4104" s="249"/>
      <c r="T4104" s="261"/>
    </row>
    <row r="4105" spans="2:20" x14ac:dyDescent="0.2">
      <c r="B4105" s="245"/>
      <c r="C4105" s="248"/>
      <c r="D4105" s="249"/>
      <c r="E4105" s="249"/>
      <c r="T4105" s="261"/>
    </row>
    <row r="4106" spans="2:20" x14ac:dyDescent="0.2">
      <c r="B4106" s="245"/>
      <c r="C4106" s="248"/>
      <c r="D4106" s="249"/>
      <c r="E4106" s="249"/>
      <c r="T4106" s="261"/>
    </row>
    <row r="4107" spans="2:20" x14ac:dyDescent="0.2">
      <c r="B4107" s="245"/>
      <c r="C4107" s="248"/>
      <c r="D4107" s="249"/>
      <c r="E4107" s="249"/>
      <c r="T4107" s="261"/>
    </row>
    <row r="4108" spans="2:20" x14ac:dyDescent="0.2">
      <c r="B4108" s="245"/>
      <c r="C4108" s="248"/>
      <c r="D4108" s="249"/>
      <c r="E4108" s="249"/>
      <c r="T4108" s="261"/>
    </row>
    <row r="4109" spans="2:20" x14ac:dyDescent="0.2">
      <c r="B4109" s="245"/>
      <c r="C4109" s="248"/>
      <c r="D4109" s="249"/>
      <c r="E4109" s="249"/>
      <c r="T4109" s="261"/>
    </row>
    <row r="4110" spans="2:20" x14ac:dyDescent="0.2">
      <c r="B4110" s="245"/>
      <c r="C4110" s="248"/>
      <c r="D4110" s="249"/>
      <c r="E4110" s="249"/>
      <c r="T4110" s="261"/>
    </row>
    <row r="4111" spans="2:20" x14ac:dyDescent="0.2">
      <c r="B4111" s="245"/>
      <c r="C4111" s="248"/>
      <c r="D4111" s="249"/>
      <c r="E4111" s="249"/>
      <c r="T4111" s="261"/>
    </row>
    <row r="4112" spans="2:20" x14ac:dyDescent="0.2">
      <c r="B4112" s="245"/>
      <c r="C4112" s="248"/>
      <c r="D4112" s="249"/>
      <c r="E4112" s="249"/>
      <c r="T4112" s="261"/>
    </row>
    <row r="4113" spans="2:20" x14ac:dyDescent="0.2">
      <c r="B4113" s="245"/>
      <c r="C4113" s="248"/>
      <c r="D4113" s="249"/>
      <c r="E4113" s="249"/>
      <c r="T4113" s="261"/>
    </row>
    <row r="4114" spans="2:20" x14ac:dyDescent="0.2">
      <c r="B4114" s="245"/>
      <c r="C4114" s="248"/>
      <c r="D4114" s="249"/>
      <c r="E4114" s="249"/>
      <c r="T4114" s="261"/>
    </row>
    <row r="4115" spans="2:20" x14ac:dyDescent="0.2">
      <c r="B4115" s="245"/>
      <c r="C4115" s="248"/>
      <c r="D4115" s="249"/>
      <c r="E4115" s="249"/>
      <c r="T4115" s="261"/>
    </row>
    <row r="4116" spans="2:20" x14ac:dyDescent="0.2">
      <c r="B4116" s="245"/>
      <c r="C4116" s="248"/>
      <c r="D4116" s="249"/>
      <c r="E4116" s="249"/>
      <c r="T4116" s="261"/>
    </row>
    <row r="4117" spans="2:20" x14ac:dyDescent="0.2">
      <c r="B4117" s="245"/>
      <c r="C4117" s="248"/>
      <c r="D4117" s="249"/>
      <c r="E4117" s="249"/>
      <c r="T4117" s="261"/>
    </row>
    <row r="4118" spans="2:20" x14ac:dyDescent="0.2">
      <c r="B4118" s="245"/>
      <c r="C4118" s="248"/>
      <c r="D4118" s="249"/>
      <c r="E4118" s="249"/>
      <c r="T4118" s="261"/>
    </row>
    <row r="4119" spans="2:20" x14ac:dyDescent="0.2">
      <c r="B4119" s="245"/>
      <c r="C4119" s="248"/>
      <c r="D4119" s="249"/>
      <c r="E4119" s="249"/>
      <c r="T4119" s="261"/>
    </row>
    <row r="4120" spans="2:20" x14ac:dyDescent="0.2">
      <c r="B4120" s="245"/>
      <c r="C4120" s="248"/>
      <c r="D4120" s="249"/>
      <c r="E4120" s="249"/>
      <c r="T4120" s="261"/>
    </row>
    <row r="4121" spans="2:20" x14ac:dyDescent="0.2">
      <c r="B4121" s="245"/>
      <c r="C4121" s="248"/>
      <c r="D4121" s="249"/>
      <c r="E4121" s="249"/>
      <c r="T4121" s="261"/>
    </row>
    <row r="4122" spans="2:20" x14ac:dyDescent="0.2">
      <c r="B4122" s="245"/>
      <c r="C4122" s="248"/>
      <c r="D4122" s="249"/>
      <c r="E4122" s="249"/>
      <c r="T4122" s="261"/>
    </row>
    <row r="4123" spans="2:20" x14ac:dyDescent="0.2">
      <c r="B4123" s="245"/>
      <c r="C4123" s="248"/>
      <c r="D4123" s="249"/>
      <c r="E4123" s="249"/>
      <c r="T4123" s="261"/>
    </row>
    <row r="4124" spans="2:20" x14ac:dyDescent="0.2">
      <c r="B4124" s="245"/>
      <c r="C4124" s="248"/>
      <c r="D4124" s="249"/>
      <c r="E4124" s="249"/>
      <c r="T4124" s="261"/>
    </row>
    <row r="4125" spans="2:20" x14ac:dyDescent="0.2">
      <c r="B4125" s="245"/>
      <c r="C4125" s="248"/>
      <c r="D4125" s="249"/>
      <c r="E4125" s="249"/>
      <c r="T4125" s="261"/>
    </row>
    <row r="4126" spans="2:20" x14ac:dyDescent="0.2">
      <c r="B4126" s="245"/>
      <c r="C4126" s="248"/>
      <c r="D4126" s="249"/>
      <c r="E4126" s="249"/>
      <c r="T4126" s="261"/>
    </row>
    <row r="4127" spans="2:20" x14ac:dyDescent="0.2">
      <c r="B4127" s="245"/>
      <c r="C4127" s="248"/>
      <c r="D4127" s="249"/>
      <c r="E4127" s="249"/>
      <c r="T4127" s="261"/>
    </row>
    <row r="4128" spans="2:20" x14ac:dyDescent="0.2">
      <c r="B4128" s="245"/>
      <c r="C4128" s="248"/>
      <c r="D4128" s="249"/>
      <c r="E4128" s="249"/>
      <c r="T4128" s="261"/>
    </row>
    <row r="4129" spans="2:20" x14ac:dyDescent="0.2">
      <c r="B4129" s="245"/>
      <c r="C4129" s="248"/>
      <c r="D4129" s="249"/>
      <c r="E4129" s="249"/>
      <c r="T4129" s="261"/>
    </row>
    <row r="4130" spans="2:20" x14ac:dyDescent="0.2">
      <c r="B4130" s="245"/>
      <c r="C4130" s="248"/>
      <c r="D4130" s="249"/>
      <c r="E4130" s="249"/>
      <c r="T4130" s="261"/>
    </row>
    <row r="4131" spans="2:20" x14ac:dyDescent="0.2">
      <c r="B4131" s="245"/>
      <c r="C4131" s="248"/>
      <c r="D4131" s="249"/>
      <c r="E4131" s="249"/>
      <c r="T4131" s="261"/>
    </row>
    <row r="4132" spans="2:20" x14ac:dyDescent="0.2">
      <c r="B4132" s="245"/>
      <c r="C4132" s="248"/>
      <c r="D4132" s="249"/>
      <c r="E4132" s="249"/>
      <c r="T4132" s="261"/>
    </row>
    <row r="4133" spans="2:20" x14ac:dyDescent="0.2">
      <c r="B4133" s="245"/>
      <c r="C4133" s="248"/>
      <c r="D4133" s="249"/>
      <c r="E4133" s="249"/>
      <c r="T4133" s="261"/>
    </row>
    <row r="4134" spans="2:20" x14ac:dyDescent="0.2">
      <c r="B4134" s="245"/>
      <c r="C4134" s="248"/>
      <c r="D4134" s="249"/>
      <c r="E4134" s="249"/>
      <c r="T4134" s="261"/>
    </row>
    <row r="4135" spans="2:20" x14ac:dyDescent="0.2">
      <c r="B4135" s="245"/>
      <c r="C4135" s="248"/>
      <c r="D4135" s="249"/>
      <c r="E4135" s="249"/>
      <c r="T4135" s="261"/>
    </row>
    <row r="4136" spans="2:20" x14ac:dyDescent="0.2">
      <c r="B4136" s="245"/>
      <c r="C4136" s="248"/>
      <c r="D4136" s="249"/>
      <c r="E4136" s="249"/>
      <c r="T4136" s="261"/>
    </row>
    <row r="4137" spans="2:20" x14ac:dyDescent="0.2">
      <c r="B4137" s="245"/>
      <c r="C4137" s="248"/>
      <c r="D4137" s="249"/>
      <c r="E4137" s="249"/>
      <c r="T4137" s="261"/>
    </row>
    <row r="4138" spans="2:20" x14ac:dyDescent="0.2">
      <c r="B4138" s="245"/>
      <c r="C4138" s="248"/>
      <c r="D4138" s="249"/>
      <c r="E4138" s="249"/>
      <c r="T4138" s="261"/>
    </row>
    <row r="4139" spans="2:20" x14ac:dyDescent="0.2">
      <c r="B4139" s="245"/>
      <c r="C4139" s="248"/>
      <c r="D4139" s="249"/>
      <c r="E4139" s="249"/>
      <c r="T4139" s="261"/>
    </row>
    <row r="4140" spans="2:20" x14ac:dyDescent="0.2">
      <c r="B4140" s="245"/>
      <c r="C4140" s="248"/>
      <c r="D4140" s="249"/>
      <c r="E4140" s="249"/>
      <c r="T4140" s="261"/>
    </row>
    <row r="4141" spans="2:20" x14ac:dyDescent="0.2">
      <c r="B4141" s="245"/>
      <c r="C4141" s="248"/>
      <c r="D4141" s="249"/>
      <c r="E4141" s="249"/>
      <c r="T4141" s="261"/>
    </row>
    <row r="4142" spans="2:20" x14ac:dyDescent="0.2">
      <c r="B4142" s="245"/>
      <c r="C4142" s="248"/>
      <c r="D4142" s="249"/>
      <c r="E4142" s="249"/>
      <c r="T4142" s="261"/>
    </row>
    <row r="4143" spans="2:20" x14ac:dyDescent="0.2">
      <c r="B4143" s="245"/>
      <c r="C4143" s="248"/>
      <c r="D4143" s="249"/>
      <c r="E4143" s="249"/>
      <c r="T4143" s="261"/>
    </row>
    <row r="4144" spans="2:20" x14ac:dyDescent="0.2">
      <c r="B4144" s="245"/>
      <c r="C4144" s="248"/>
      <c r="D4144" s="249"/>
      <c r="E4144" s="249"/>
      <c r="T4144" s="261"/>
    </row>
    <row r="4145" spans="2:20" x14ac:dyDescent="0.2">
      <c r="B4145" s="245"/>
      <c r="C4145" s="248"/>
      <c r="D4145" s="249"/>
      <c r="E4145" s="249"/>
      <c r="T4145" s="261"/>
    </row>
    <row r="4146" spans="2:20" x14ac:dyDescent="0.2">
      <c r="B4146" s="245"/>
      <c r="C4146" s="248"/>
      <c r="D4146" s="249"/>
      <c r="E4146" s="249"/>
      <c r="T4146" s="261"/>
    </row>
    <row r="4147" spans="2:20" x14ac:dyDescent="0.2">
      <c r="B4147" s="245"/>
      <c r="C4147" s="248"/>
      <c r="D4147" s="249"/>
      <c r="E4147" s="249"/>
      <c r="T4147" s="261"/>
    </row>
    <row r="4148" spans="2:20" x14ac:dyDescent="0.2">
      <c r="B4148" s="245"/>
      <c r="C4148" s="248"/>
      <c r="D4148" s="249"/>
      <c r="E4148" s="249"/>
      <c r="T4148" s="261"/>
    </row>
    <row r="4149" spans="2:20" x14ac:dyDescent="0.2">
      <c r="B4149" s="245"/>
      <c r="C4149" s="248"/>
      <c r="D4149" s="249"/>
      <c r="E4149" s="249"/>
      <c r="T4149" s="261"/>
    </row>
    <row r="4150" spans="2:20" x14ac:dyDescent="0.2">
      <c r="B4150" s="245"/>
      <c r="C4150" s="248"/>
      <c r="D4150" s="249"/>
      <c r="E4150" s="249"/>
      <c r="T4150" s="261"/>
    </row>
    <row r="4151" spans="2:20" x14ac:dyDescent="0.2">
      <c r="B4151" s="245"/>
      <c r="C4151" s="248"/>
      <c r="D4151" s="249"/>
      <c r="E4151" s="249"/>
      <c r="T4151" s="261"/>
    </row>
    <row r="4152" spans="2:20" x14ac:dyDescent="0.2">
      <c r="B4152" s="245"/>
      <c r="C4152" s="248"/>
      <c r="D4152" s="249"/>
      <c r="E4152" s="249"/>
      <c r="T4152" s="261"/>
    </row>
    <row r="4153" spans="2:20" x14ac:dyDescent="0.2">
      <c r="B4153" s="245"/>
      <c r="C4153" s="248"/>
      <c r="D4153" s="249"/>
      <c r="E4153" s="249"/>
      <c r="T4153" s="261"/>
    </row>
    <row r="4154" spans="2:20" x14ac:dyDescent="0.2">
      <c r="B4154" s="245"/>
      <c r="C4154" s="248"/>
      <c r="D4154" s="249"/>
      <c r="E4154" s="249"/>
      <c r="T4154" s="261"/>
    </row>
    <row r="4155" spans="2:20" x14ac:dyDescent="0.2">
      <c r="B4155" s="245"/>
      <c r="C4155" s="248"/>
      <c r="D4155" s="249"/>
      <c r="E4155" s="249"/>
      <c r="T4155" s="261"/>
    </row>
    <row r="4156" spans="2:20" x14ac:dyDescent="0.2">
      <c r="B4156" s="245"/>
      <c r="C4156" s="248"/>
      <c r="D4156" s="249"/>
      <c r="E4156" s="249"/>
      <c r="T4156" s="261"/>
    </row>
    <row r="4157" spans="2:20" x14ac:dyDescent="0.2">
      <c r="B4157" s="245"/>
      <c r="C4157" s="248"/>
      <c r="D4157" s="249"/>
      <c r="E4157" s="249"/>
      <c r="T4157" s="261"/>
    </row>
    <row r="4158" spans="2:20" x14ac:dyDescent="0.2">
      <c r="B4158" s="245"/>
      <c r="C4158" s="248"/>
      <c r="D4158" s="249"/>
      <c r="E4158" s="249"/>
      <c r="T4158" s="261"/>
    </row>
    <row r="4159" spans="2:20" x14ac:dyDescent="0.2">
      <c r="B4159" s="245"/>
      <c r="C4159" s="248"/>
      <c r="D4159" s="249"/>
      <c r="E4159" s="249"/>
      <c r="T4159" s="261"/>
    </row>
    <row r="4160" spans="2:20" x14ac:dyDescent="0.2">
      <c r="B4160" s="245"/>
      <c r="C4160" s="248"/>
      <c r="D4160" s="249"/>
      <c r="E4160" s="249"/>
      <c r="T4160" s="261"/>
    </row>
    <row r="4161" spans="2:20" x14ac:dyDescent="0.2">
      <c r="B4161" s="245"/>
      <c r="C4161" s="248"/>
      <c r="D4161" s="249"/>
      <c r="E4161" s="249"/>
      <c r="T4161" s="261"/>
    </row>
    <row r="4162" spans="2:20" x14ac:dyDescent="0.2">
      <c r="B4162" s="245"/>
      <c r="C4162" s="248"/>
      <c r="D4162" s="249"/>
      <c r="E4162" s="249"/>
      <c r="T4162" s="261"/>
    </row>
    <row r="4163" spans="2:20" x14ac:dyDescent="0.2">
      <c r="B4163" s="245"/>
      <c r="C4163" s="248"/>
      <c r="D4163" s="249"/>
      <c r="E4163" s="249"/>
      <c r="T4163" s="261"/>
    </row>
    <row r="4164" spans="2:20" x14ac:dyDescent="0.2">
      <c r="B4164" s="245"/>
      <c r="C4164" s="248"/>
      <c r="D4164" s="249"/>
      <c r="E4164" s="249"/>
      <c r="T4164" s="261"/>
    </row>
    <row r="4165" spans="2:20" x14ac:dyDescent="0.2">
      <c r="B4165" s="245"/>
      <c r="C4165" s="248"/>
      <c r="D4165" s="249"/>
      <c r="E4165" s="249"/>
      <c r="T4165" s="261"/>
    </row>
    <row r="4166" spans="2:20" x14ac:dyDescent="0.2">
      <c r="B4166" s="245"/>
      <c r="C4166" s="248"/>
      <c r="D4166" s="249"/>
      <c r="E4166" s="249"/>
      <c r="T4166" s="261"/>
    </row>
    <row r="4167" spans="2:20" x14ac:dyDescent="0.2">
      <c r="B4167" s="245"/>
      <c r="C4167" s="248"/>
      <c r="D4167" s="249"/>
      <c r="E4167" s="249"/>
      <c r="T4167" s="261"/>
    </row>
    <row r="4168" spans="2:20" x14ac:dyDescent="0.2">
      <c r="B4168" s="245"/>
      <c r="C4168" s="248"/>
      <c r="D4168" s="249"/>
      <c r="E4168" s="249"/>
      <c r="T4168" s="261"/>
    </row>
    <row r="4169" spans="2:20" x14ac:dyDescent="0.2">
      <c r="B4169" s="245"/>
      <c r="C4169" s="248"/>
      <c r="D4169" s="249"/>
      <c r="E4169" s="249"/>
      <c r="T4169" s="261"/>
    </row>
    <row r="4170" spans="2:20" x14ac:dyDescent="0.2">
      <c r="B4170" s="245"/>
      <c r="C4170" s="248"/>
      <c r="D4170" s="249"/>
      <c r="E4170" s="249"/>
      <c r="T4170" s="261"/>
    </row>
    <row r="4171" spans="2:20" x14ac:dyDescent="0.2">
      <c r="B4171" s="245"/>
      <c r="C4171" s="248"/>
      <c r="D4171" s="249"/>
      <c r="E4171" s="249"/>
      <c r="T4171" s="261"/>
    </row>
    <row r="4172" spans="2:20" x14ac:dyDescent="0.2">
      <c r="B4172" s="245"/>
      <c r="C4172" s="248"/>
      <c r="D4172" s="249"/>
      <c r="E4172" s="249"/>
      <c r="T4172" s="261"/>
    </row>
    <row r="4173" spans="2:20" x14ac:dyDescent="0.2">
      <c r="B4173" s="245"/>
      <c r="C4173" s="248"/>
      <c r="D4173" s="249"/>
      <c r="E4173" s="249"/>
      <c r="T4173" s="261"/>
    </row>
    <row r="4174" spans="2:20" x14ac:dyDescent="0.2">
      <c r="B4174" s="245"/>
      <c r="C4174" s="248"/>
      <c r="D4174" s="249"/>
      <c r="E4174" s="249"/>
      <c r="T4174" s="261"/>
    </row>
    <row r="4175" spans="2:20" x14ac:dyDescent="0.2">
      <c r="B4175" s="245"/>
      <c r="C4175" s="248"/>
      <c r="D4175" s="249"/>
      <c r="E4175" s="249"/>
      <c r="T4175" s="261"/>
    </row>
    <row r="4176" spans="2:20" x14ac:dyDescent="0.2">
      <c r="B4176" s="245"/>
      <c r="C4176" s="248"/>
      <c r="D4176" s="249"/>
      <c r="E4176" s="249"/>
      <c r="T4176" s="261"/>
    </row>
    <row r="4177" spans="2:20" x14ac:dyDescent="0.2">
      <c r="B4177" s="245"/>
      <c r="C4177" s="248"/>
      <c r="D4177" s="249"/>
      <c r="E4177" s="249"/>
      <c r="T4177" s="261"/>
    </row>
    <row r="4178" spans="2:20" x14ac:dyDescent="0.2">
      <c r="B4178" s="245"/>
      <c r="C4178" s="248"/>
      <c r="D4178" s="249"/>
      <c r="E4178" s="249"/>
      <c r="T4178" s="261"/>
    </row>
    <row r="4179" spans="2:20" x14ac:dyDescent="0.2">
      <c r="B4179" s="245"/>
      <c r="C4179" s="248"/>
      <c r="D4179" s="249"/>
      <c r="E4179" s="249"/>
      <c r="T4179" s="261"/>
    </row>
    <row r="4180" spans="2:20" x14ac:dyDescent="0.2">
      <c r="B4180" s="245"/>
      <c r="C4180" s="248"/>
      <c r="D4180" s="249"/>
      <c r="E4180" s="249"/>
      <c r="T4180" s="261"/>
    </row>
    <row r="4181" spans="2:20" x14ac:dyDescent="0.2">
      <c r="B4181" s="245"/>
      <c r="C4181" s="248"/>
      <c r="D4181" s="249"/>
      <c r="E4181" s="249"/>
      <c r="T4181" s="261"/>
    </row>
    <row r="4182" spans="2:20" x14ac:dyDescent="0.2">
      <c r="B4182" s="245"/>
      <c r="C4182" s="248"/>
      <c r="D4182" s="249"/>
      <c r="E4182" s="249"/>
      <c r="T4182" s="261"/>
    </row>
    <row r="4183" spans="2:20" x14ac:dyDescent="0.2">
      <c r="B4183" s="245"/>
      <c r="C4183" s="248"/>
      <c r="D4183" s="249"/>
      <c r="E4183" s="249"/>
      <c r="T4183" s="261"/>
    </row>
    <row r="4184" spans="2:20" x14ac:dyDescent="0.2">
      <c r="B4184" s="245"/>
      <c r="C4184" s="248"/>
      <c r="D4184" s="249"/>
      <c r="E4184" s="249"/>
      <c r="T4184" s="261"/>
    </row>
    <row r="4185" spans="2:20" x14ac:dyDescent="0.2">
      <c r="B4185" s="245"/>
      <c r="C4185" s="248"/>
      <c r="D4185" s="249"/>
      <c r="E4185" s="249"/>
      <c r="T4185" s="261"/>
    </row>
    <row r="4186" spans="2:20" x14ac:dyDescent="0.2">
      <c r="B4186" s="245"/>
      <c r="C4186" s="248"/>
      <c r="D4186" s="249"/>
      <c r="E4186" s="249"/>
      <c r="T4186" s="261"/>
    </row>
    <row r="4187" spans="2:20" x14ac:dyDescent="0.2">
      <c r="B4187" s="245"/>
      <c r="C4187" s="248"/>
      <c r="D4187" s="249"/>
      <c r="E4187" s="249"/>
      <c r="T4187" s="261"/>
    </row>
    <row r="4188" spans="2:20" x14ac:dyDescent="0.2">
      <c r="B4188" s="245"/>
      <c r="C4188" s="248"/>
      <c r="D4188" s="249"/>
      <c r="E4188" s="249"/>
      <c r="T4188" s="261"/>
    </row>
    <row r="4189" spans="2:20" x14ac:dyDescent="0.2">
      <c r="B4189" s="245"/>
      <c r="C4189" s="248"/>
      <c r="D4189" s="249"/>
      <c r="E4189" s="249"/>
      <c r="T4189" s="261"/>
    </row>
    <row r="4190" spans="2:20" x14ac:dyDescent="0.2">
      <c r="B4190" s="245"/>
      <c r="C4190" s="248"/>
      <c r="D4190" s="249"/>
      <c r="E4190" s="249"/>
      <c r="T4190" s="261"/>
    </row>
    <row r="4191" spans="2:20" x14ac:dyDescent="0.2">
      <c r="B4191" s="245"/>
      <c r="C4191" s="248"/>
      <c r="D4191" s="249"/>
      <c r="E4191" s="249"/>
      <c r="T4191" s="261"/>
    </row>
    <row r="4192" spans="2:20" x14ac:dyDescent="0.2">
      <c r="B4192" s="245"/>
      <c r="C4192" s="248"/>
      <c r="D4192" s="249"/>
      <c r="E4192" s="249"/>
      <c r="T4192" s="261"/>
    </row>
    <row r="4193" spans="2:20" x14ac:dyDescent="0.2">
      <c r="B4193" s="245"/>
      <c r="C4193" s="248"/>
      <c r="D4193" s="249"/>
      <c r="E4193" s="249"/>
      <c r="T4193" s="261"/>
    </row>
    <row r="4194" spans="2:20" x14ac:dyDescent="0.2">
      <c r="B4194" s="245"/>
      <c r="C4194" s="248"/>
      <c r="D4194" s="249"/>
      <c r="E4194" s="249"/>
      <c r="T4194" s="261"/>
    </row>
    <row r="4195" spans="2:20" x14ac:dyDescent="0.2">
      <c r="B4195" s="245"/>
      <c r="C4195" s="248"/>
      <c r="D4195" s="249"/>
      <c r="E4195" s="249"/>
      <c r="T4195" s="261"/>
    </row>
    <row r="4196" spans="2:20" x14ac:dyDescent="0.2">
      <c r="B4196" s="245"/>
      <c r="C4196" s="248"/>
      <c r="D4196" s="249"/>
      <c r="E4196" s="249"/>
      <c r="T4196" s="261"/>
    </row>
    <row r="4197" spans="2:20" x14ac:dyDescent="0.2">
      <c r="B4197" s="245"/>
      <c r="C4197" s="248"/>
      <c r="D4197" s="249"/>
      <c r="E4197" s="249"/>
      <c r="T4197" s="261"/>
    </row>
    <row r="4198" spans="2:20" x14ac:dyDescent="0.2">
      <c r="B4198" s="245"/>
      <c r="C4198" s="248"/>
      <c r="D4198" s="249"/>
      <c r="E4198" s="249"/>
      <c r="T4198" s="261"/>
    </row>
    <row r="4199" spans="2:20" x14ac:dyDescent="0.2">
      <c r="B4199" s="245"/>
      <c r="C4199" s="248"/>
      <c r="D4199" s="249"/>
      <c r="E4199" s="249"/>
      <c r="T4199" s="261"/>
    </row>
    <row r="4200" spans="2:20" x14ac:dyDescent="0.2">
      <c r="B4200" s="245"/>
      <c r="C4200" s="248"/>
      <c r="D4200" s="249"/>
      <c r="E4200" s="249"/>
      <c r="T4200" s="261"/>
    </row>
    <row r="4201" spans="2:20" x14ac:dyDescent="0.2">
      <c r="B4201" s="245"/>
      <c r="C4201" s="248"/>
      <c r="D4201" s="249"/>
      <c r="E4201" s="249"/>
      <c r="T4201" s="261"/>
    </row>
    <row r="4202" spans="2:20" x14ac:dyDescent="0.2">
      <c r="B4202" s="245"/>
      <c r="C4202" s="248"/>
      <c r="D4202" s="249"/>
      <c r="E4202" s="249"/>
      <c r="T4202" s="261"/>
    </row>
    <row r="4203" spans="2:20" x14ac:dyDescent="0.2">
      <c r="B4203" s="245"/>
      <c r="C4203" s="248"/>
      <c r="D4203" s="249"/>
      <c r="E4203" s="249"/>
      <c r="T4203" s="261"/>
    </row>
    <row r="4204" spans="2:20" x14ac:dyDescent="0.2">
      <c r="B4204" s="245"/>
      <c r="C4204" s="248"/>
      <c r="D4204" s="249"/>
      <c r="E4204" s="249"/>
      <c r="T4204" s="261"/>
    </row>
    <row r="4205" spans="2:20" x14ac:dyDescent="0.2">
      <c r="B4205" s="245"/>
      <c r="C4205" s="248"/>
      <c r="D4205" s="249"/>
      <c r="E4205" s="249"/>
      <c r="T4205" s="261"/>
    </row>
    <row r="4206" spans="2:20" x14ac:dyDescent="0.2">
      <c r="B4206" s="245"/>
      <c r="C4206" s="248"/>
      <c r="D4206" s="249"/>
      <c r="E4206" s="249"/>
      <c r="T4206" s="261"/>
    </row>
    <row r="4207" spans="2:20" x14ac:dyDescent="0.2">
      <c r="B4207" s="245"/>
      <c r="C4207" s="248"/>
      <c r="D4207" s="249"/>
      <c r="E4207" s="249"/>
      <c r="T4207" s="261"/>
    </row>
    <row r="4208" spans="2:20" x14ac:dyDescent="0.2">
      <c r="B4208" s="245"/>
      <c r="C4208" s="248"/>
      <c r="D4208" s="249"/>
      <c r="E4208" s="249"/>
      <c r="T4208" s="261"/>
    </row>
    <row r="4209" spans="2:20" x14ac:dyDescent="0.2">
      <c r="B4209" s="245"/>
      <c r="C4209" s="248"/>
      <c r="D4209" s="249"/>
      <c r="E4209" s="249"/>
      <c r="T4209" s="261"/>
    </row>
    <row r="4210" spans="2:20" x14ac:dyDescent="0.2">
      <c r="B4210" s="245"/>
      <c r="C4210" s="248"/>
      <c r="D4210" s="249"/>
      <c r="E4210" s="249"/>
      <c r="T4210" s="261"/>
    </row>
    <row r="4211" spans="2:20" x14ac:dyDescent="0.2">
      <c r="B4211" s="245"/>
      <c r="C4211" s="248"/>
      <c r="D4211" s="249"/>
      <c r="E4211" s="249"/>
      <c r="T4211" s="261"/>
    </row>
    <row r="4212" spans="2:20" x14ac:dyDescent="0.2">
      <c r="B4212" s="245"/>
      <c r="C4212" s="248"/>
      <c r="D4212" s="249"/>
      <c r="E4212" s="249"/>
      <c r="T4212" s="261"/>
    </row>
    <row r="4213" spans="2:20" x14ac:dyDescent="0.2">
      <c r="B4213" s="245"/>
      <c r="C4213" s="248"/>
      <c r="D4213" s="249"/>
      <c r="E4213" s="249"/>
      <c r="T4213" s="261"/>
    </row>
    <row r="4214" spans="2:20" x14ac:dyDescent="0.2">
      <c r="B4214" s="245"/>
      <c r="C4214" s="248"/>
      <c r="D4214" s="249"/>
      <c r="E4214" s="249"/>
      <c r="T4214" s="261"/>
    </row>
    <row r="4215" spans="2:20" x14ac:dyDescent="0.2">
      <c r="B4215" s="245"/>
      <c r="C4215" s="248"/>
      <c r="D4215" s="249"/>
      <c r="E4215" s="249"/>
      <c r="T4215" s="261"/>
    </row>
    <row r="4216" spans="2:20" x14ac:dyDescent="0.2">
      <c r="B4216" s="245"/>
      <c r="C4216" s="248"/>
      <c r="D4216" s="249"/>
      <c r="E4216" s="249"/>
      <c r="T4216" s="261"/>
    </row>
    <row r="4217" spans="2:20" x14ac:dyDescent="0.2">
      <c r="B4217" s="245"/>
      <c r="C4217" s="248"/>
      <c r="D4217" s="249"/>
      <c r="E4217" s="249"/>
      <c r="T4217" s="261"/>
    </row>
    <row r="4218" spans="2:20" x14ac:dyDescent="0.2">
      <c r="B4218" s="245"/>
      <c r="C4218" s="248"/>
      <c r="D4218" s="249"/>
      <c r="E4218" s="249"/>
      <c r="T4218" s="261"/>
    </row>
    <row r="4219" spans="2:20" x14ac:dyDescent="0.2">
      <c r="B4219" s="245"/>
      <c r="C4219" s="248"/>
      <c r="D4219" s="249"/>
      <c r="E4219" s="249"/>
      <c r="T4219" s="261"/>
    </row>
    <row r="4220" spans="2:20" x14ac:dyDescent="0.2">
      <c r="B4220" s="245"/>
      <c r="C4220" s="248"/>
      <c r="D4220" s="249"/>
      <c r="E4220" s="249"/>
      <c r="T4220" s="261"/>
    </row>
    <row r="4221" spans="2:20" x14ac:dyDescent="0.2">
      <c r="B4221" s="245"/>
      <c r="C4221" s="248"/>
      <c r="D4221" s="249"/>
      <c r="E4221" s="249"/>
      <c r="T4221" s="261"/>
    </row>
    <row r="4222" spans="2:20" x14ac:dyDescent="0.2">
      <c r="B4222" s="245"/>
      <c r="C4222" s="248"/>
      <c r="D4222" s="249"/>
      <c r="E4222" s="249"/>
      <c r="T4222" s="261"/>
    </row>
    <row r="4223" spans="2:20" x14ac:dyDescent="0.2">
      <c r="B4223" s="245"/>
      <c r="C4223" s="248"/>
      <c r="D4223" s="249"/>
      <c r="E4223" s="249"/>
      <c r="T4223" s="261"/>
    </row>
    <row r="4224" spans="2:20" x14ac:dyDescent="0.2">
      <c r="B4224" s="245"/>
      <c r="C4224" s="248"/>
      <c r="D4224" s="249"/>
      <c r="E4224" s="249"/>
      <c r="T4224" s="261"/>
    </row>
    <row r="4225" spans="2:20" x14ac:dyDescent="0.2">
      <c r="B4225" s="245"/>
      <c r="C4225" s="248"/>
      <c r="D4225" s="249"/>
      <c r="E4225" s="249"/>
      <c r="T4225" s="261"/>
    </row>
    <row r="4226" spans="2:20" x14ac:dyDescent="0.2">
      <c r="B4226" s="245"/>
      <c r="C4226" s="248"/>
      <c r="D4226" s="249"/>
      <c r="E4226" s="249"/>
      <c r="T4226" s="261"/>
    </row>
    <row r="4227" spans="2:20" x14ac:dyDescent="0.2">
      <c r="B4227" s="245"/>
      <c r="C4227" s="248"/>
      <c r="D4227" s="249"/>
      <c r="E4227" s="249"/>
      <c r="T4227" s="261"/>
    </row>
    <row r="4228" spans="2:20" x14ac:dyDescent="0.2">
      <c r="B4228" s="245"/>
      <c r="C4228" s="248"/>
      <c r="D4228" s="249"/>
      <c r="E4228" s="249"/>
      <c r="T4228" s="261"/>
    </row>
    <row r="4229" spans="2:20" x14ac:dyDescent="0.2">
      <c r="B4229" s="245"/>
      <c r="C4229" s="248"/>
      <c r="D4229" s="249"/>
      <c r="E4229" s="249"/>
      <c r="T4229" s="261"/>
    </row>
    <row r="4230" spans="2:20" x14ac:dyDescent="0.2">
      <c r="B4230" s="245"/>
      <c r="C4230" s="248"/>
      <c r="D4230" s="249"/>
      <c r="E4230" s="249"/>
      <c r="T4230" s="261"/>
    </row>
    <row r="4231" spans="2:20" x14ac:dyDescent="0.2">
      <c r="B4231" s="245"/>
      <c r="C4231" s="248"/>
      <c r="D4231" s="249"/>
      <c r="E4231" s="249"/>
      <c r="T4231" s="261"/>
    </row>
    <row r="4232" spans="2:20" x14ac:dyDescent="0.2">
      <c r="B4232" s="245"/>
      <c r="C4232" s="248"/>
      <c r="D4232" s="249"/>
      <c r="E4232" s="249"/>
      <c r="T4232" s="261"/>
    </row>
    <row r="4233" spans="2:20" x14ac:dyDescent="0.2">
      <c r="B4233" s="245"/>
      <c r="C4233" s="248"/>
      <c r="D4233" s="249"/>
      <c r="E4233" s="249"/>
      <c r="T4233" s="261"/>
    </row>
    <row r="4234" spans="2:20" x14ac:dyDescent="0.2">
      <c r="B4234" s="245"/>
      <c r="C4234" s="248"/>
      <c r="D4234" s="249"/>
      <c r="E4234" s="249"/>
      <c r="T4234" s="261"/>
    </row>
    <row r="4235" spans="2:20" x14ac:dyDescent="0.2">
      <c r="B4235" s="245"/>
      <c r="C4235" s="248"/>
      <c r="D4235" s="249"/>
      <c r="E4235" s="249"/>
      <c r="T4235" s="261"/>
    </row>
    <row r="4236" spans="2:20" x14ac:dyDescent="0.2">
      <c r="B4236" s="245"/>
      <c r="C4236" s="248"/>
      <c r="D4236" s="249"/>
      <c r="E4236" s="249"/>
      <c r="T4236" s="261"/>
    </row>
    <row r="4237" spans="2:20" x14ac:dyDescent="0.2">
      <c r="B4237" s="245"/>
      <c r="C4237" s="248"/>
      <c r="D4237" s="249"/>
      <c r="E4237" s="249"/>
      <c r="T4237" s="261"/>
    </row>
    <row r="4238" spans="2:20" x14ac:dyDescent="0.2">
      <c r="B4238" s="245"/>
      <c r="C4238" s="248"/>
      <c r="D4238" s="249"/>
      <c r="E4238" s="249"/>
      <c r="T4238" s="261"/>
    </row>
    <row r="4239" spans="2:20" x14ac:dyDescent="0.2">
      <c r="B4239" s="245"/>
      <c r="C4239" s="248"/>
      <c r="D4239" s="249"/>
      <c r="E4239" s="249"/>
      <c r="T4239" s="261"/>
    </row>
    <row r="4240" spans="2:20" x14ac:dyDescent="0.2">
      <c r="B4240" s="245"/>
      <c r="C4240" s="248"/>
      <c r="D4240" s="249"/>
      <c r="E4240" s="249"/>
      <c r="T4240" s="261"/>
    </row>
    <row r="4241" spans="2:20" x14ac:dyDescent="0.2">
      <c r="B4241" s="245"/>
      <c r="C4241" s="248"/>
      <c r="D4241" s="249"/>
      <c r="E4241" s="249"/>
      <c r="T4241" s="261"/>
    </row>
    <row r="4242" spans="2:20" x14ac:dyDescent="0.2">
      <c r="B4242" s="245"/>
      <c r="C4242" s="248"/>
      <c r="D4242" s="249"/>
      <c r="E4242" s="249"/>
      <c r="T4242" s="261"/>
    </row>
    <row r="4243" spans="2:20" x14ac:dyDescent="0.2">
      <c r="B4243" s="245"/>
      <c r="C4243" s="248"/>
      <c r="D4243" s="249"/>
      <c r="E4243" s="249"/>
      <c r="T4243" s="261"/>
    </row>
    <row r="4244" spans="2:20" x14ac:dyDescent="0.2">
      <c r="B4244" s="245"/>
      <c r="C4244" s="248"/>
      <c r="D4244" s="249"/>
      <c r="E4244" s="249"/>
      <c r="T4244" s="261"/>
    </row>
    <row r="4245" spans="2:20" x14ac:dyDescent="0.2">
      <c r="B4245" s="245"/>
      <c r="C4245" s="248"/>
      <c r="D4245" s="249"/>
      <c r="E4245" s="249"/>
      <c r="T4245" s="261"/>
    </row>
    <row r="4246" spans="2:20" x14ac:dyDescent="0.2">
      <c r="B4246" s="245"/>
      <c r="C4246" s="248"/>
      <c r="D4246" s="249"/>
      <c r="E4246" s="249"/>
      <c r="T4246" s="261"/>
    </row>
    <row r="4247" spans="2:20" x14ac:dyDescent="0.2">
      <c r="B4247" s="245"/>
      <c r="C4247" s="248"/>
      <c r="D4247" s="249"/>
      <c r="E4247" s="249"/>
      <c r="T4247" s="261"/>
    </row>
    <row r="4248" spans="2:20" x14ac:dyDescent="0.2">
      <c r="B4248" s="245"/>
      <c r="C4248" s="248"/>
      <c r="D4248" s="249"/>
      <c r="E4248" s="249"/>
      <c r="T4248" s="261"/>
    </row>
    <row r="4249" spans="2:20" x14ac:dyDescent="0.2">
      <c r="B4249" s="245"/>
      <c r="C4249" s="248"/>
      <c r="D4249" s="249"/>
      <c r="E4249" s="249"/>
      <c r="T4249" s="261"/>
    </row>
    <row r="4250" spans="2:20" x14ac:dyDescent="0.2">
      <c r="B4250" s="245"/>
      <c r="C4250" s="248"/>
      <c r="D4250" s="249"/>
      <c r="E4250" s="249"/>
      <c r="T4250" s="261"/>
    </row>
    <row r="4251" spans="2:20" x14ac:dyDescent="0.2">
      <c r="B4251" s="245"/>
      <c r="C4251" s="248"/>
      <c r="D4251" s="249"/>
      <c r="E4251" s="249"/>
      <c r="T4251" s="261"/>
    </row>
    <row r="4252" spans="2:20" x14ac:dyDescent="0.2">
      <c r="B4252" s="245"/>
      <c r="C4252" s="248"/>
      <c r="D4252" s="249"/>
      <c r="E4252" s="249"/>
      <c r="T4252" s="261"/>
    </row>
    <row r="4253" spans="2:20" x14ac:dyDescent="0.2">
      <c r="B4253" s="245"/>
      <c r="C4253" s="248"/>
      <c r="D4253" s="249"/>
      <c r="E4253" s="249"/>
      <c r="T4253" s="261"/>
    </row>
    <row r="4254" spans="2:20" x14ac:dyDescent="0.2">
      <c r="B4254" s="245"/>
      <c r="C4254" s="248"/>
      <c r="D4254" s="249"/>
      <c r="E4254" s="249"/>
      <c r="T4254" s="261"/>
    </row>
    <row r="4255" spans="2:20" x14ac:dyDescent="0.2">
      <c r="B4255" s="245"/>
      <c r="C4255" s="248"/>
      <c r="D4255" s="249"/>
      <c r="E4255" s="249"/>
      <c r="T4255" s="261"/>
    </row>
    <row r="4256" spans="2:20" x14ac:dyDescent="0.2">
      <c r="B4256" s="245"/>
      <c r="C4256" s="248"/>
      <c r="D4256" s="249"/>
      <c r="E4256" s="249"/>
      <c r="T4256" s="261"/>
    </row>
    <row r="4257" spans="2:20" x14ac:dyDescent="0.2">
      <c r="B4257" s="245"/>
      <c r="C4257" s="248"/>
      <c r="D4257" s="249"/>
      <c r="E4257" s="249"/>
      <c r="T4257" s="261"/>
    </row>
    <row r="4258" spans="2:20" x14ac:dyDescent="0.2">
      <c r="B4258" s="245"/>
      <c r="C4258" s="248"/>
      <c r="D4258" s="249"/>
      <c r="E4258" s="249"/>
      <c r="T4258" s="261"/>
    </row>
    <row r="4259" spans="2:20" x14ac:dyDescent="0.2">
      <c r="B4259" s="245"/>
      <c r="C4259" s="248"/>
      <c r="D4259" s="249"/>
      <c r="E4259" s="249"/>
      <c r="T4259" s="261"/>
    </row>
    <row r="4260" spans="2:20" x14ac:dyDescent="0.2">
      <c r="B4260" s="245"/>
      <c r="C4260" s="248"/>
      <c r="D4260" s="249"/>
      <c r="E4260" s="249"/>
      <c r="T4260" s="261"/>
    </row>
    <row r="4261" spans="2:20" x14ac:dyDescent="0.2">
      <c r="B4261" s="245"/>
      <c r="C4261" s="248"/>
      <c r="D4261" s="249"/>
      <c r="E4261" s="249"/>
      <c r="T4261" s="261"/>
    </row>
    <row r="4262" spans="2:20" x14ac:dyDescent="0.2">
      <c r="B4262" s="245"/>
      <c r="C4262" s="248"/>
      <c r="D4262" s="249"/>
      <c r="E4262" s="249"/>
      <c r="T4262" s="261"/>
    </row>
    <row r="4263" spans="2:20" x14ac:dyDescent="0.2">
      <c r="B4263" s="245"/>
      <c r="C4263" s="248"/>
      <c r="D4263" s="249"/>
      <c r="E4263" s="249"/>
      <c r="T4263" s="261"/>
    </row>
    <row r="4264" spans="2:20" x14ac:dyDescent="0.2">
      <c r="B4264" s="245"/>
      <c r="C4264" s="248"/>
      <c r="D4264" s="249"/>
      <c r="E4264" s="249"/>
      <c r="T4264" s="261"/>
    </row>
    <row r="4265" spans="2:20" x14ac:dyDescent="0.2">
      <c r="B4265" s="245"/>
      <c r="C4265" s="248"/>
      <c r="D4265" s="249"/>
      <c r="E4265" s="249"/>
      <c r="T4265" s="261"/>
    </row>
    <row r="4266" spans="2:20" x14ac:dyDescent="0.2">
      <c r="B4266" s="245"/>
      <c r="C4266" s="248"/>
      <c r="D4266" s="249"/>
      <c r="E4266" s="249"/>
      <c r="T4266" s="261"/>
    </row>
    <row r="4267" spans="2:20" x14ac:dyDescent="0.2">
      <c r="B4267" s="245"/>
      <c r="C4267" s="248"/>
      <c r="D4267" s="249"/>
      <c r="E4267" s="249"/>
      <c r="T4267" s="261"/>
    </row>
    <row r="4268" spans="2:20" x14ac:dyDescent="0.2">
      <c r="B4268" s="245"/>
      <c r="C4268" s="248"/>
      <c r="D4268" s="249"/>
      <c r="E4268" s="249"/>
      <c r="T4268" s="261"/>
    </row>
    <row r="4269" spans="2:20" x14ac:dyDescent="0.2">
      <c r="B4269" s="245"/>
      <c r="C4269" s="248"/>
      <c r="D4269" s="249"/>
      <c r="E4269" s="249"/>
      <c r="T4269" s="261"/>
    </row>
    <row r="4270" spans="2:20" x14ac:dyDescent="0.2">
      <c r="B4270" s="245"/>
      <c r="C4270" s="248"/>
      <c r="D4270" s="249"/>
      <c r="E4270" s="249"/>
      <c r="T4270" s="261"/>
    </row>
    <row r="4271" spans="2:20" x14ac:dyDescent="0.2">
      <c r="B4271" s="245"/>
      <c r="C4271" s="248"/>
      <c r="D4271" s="249"/>
      <c r="E4271" s="249"/>
      <c r="T4271" s="261"/>
    </row>
    <row r="4272" spans="2:20" x14ac:dyDescent="0.2">
      <c r="B4272" s="245"/>
      <c r="C4272" s="248"/>
      <c r="D4272" s="249"/>
      <c r="E4272" s="249"/>
      <c r="T4272" s="261"/>
    </row>
    <row r="4273" spans="2:20" x14ac:dyDescent="0.2">
      <c r="B4273" s="245"/>
      <c r="C4273" s="248"/>
      <c r="D4273" s="249"/>
      <c r="E4273" s="249"/>
      <c r="T4273" s="261"/>
    </row>
    <row r="4274" spans="2:20" x14ac:dyDescent="0.2">
      <c r="B4274" s="245"/>
      <c r="C4274" s="248"/>
      <c r="D4274" s="249"/>
      <c r="E4274" s="249"/>
      <c r="T4274" s="261"/>
    </row>
    <row r="4275" spans="2:20" x14ac:dyDescent="0.2">
      <c r="B4275" s="245"/>
      <c r="C4275" s="248"/>
      <c r="D4275" s="249"/>
      <c r="E4275" s="249"/>
      <c r="T4275" s="261"/>
    </row>
    <row r="4276" spans="2:20" x14ac:dyDescent="0.2">
      <c r="B4276" s="245"/>
      <c r="C4276" s="248"/>
      <c r="D4276" s="249"/>
      <c r="E4276" s="249"/>
      <c r="T4276" s="261"/>
    </row>
    <row r="4277" spans="2:20" x14ac:dyDescent="0.2">
      <c r="B4277" s="245"/>
      <c r="C4277" s="248"/>
      <c r="D4277" s="249"/>
      <c r="E4277" s="249"/>
      <c r="T4277" s="261"/>
    </row>
    <row r="4278" spans="2:20" x14ac:dyDescent="0.2">
      <c r="B4278" s="245"/>
      <c r="C4278" s="248"/>
      <c r="D4278" s="249"/>
      <c r="E4278" s="249"/>
      <c r="T4278" s="261"/>
    </row>
    <row r="4279" spans="2:20" x14ac:dyDescent="0.2">
      <c r="B4279" s="245"/>
      <c r="C4279" s="248"/>
      <c r="D4279" s="249"/>
      <c r="E4279" s="249"/>
      <c r="T4279" s="261"/>
    </row>
    <row r="4280" spans="2:20" x14ac:dyDescent="0.2">
      <c r="B4280" s="245"/>
      <c r="C4280" s="248"/>
      <c r="D4280" s="249"/>
      <c r="E4280" s="249"/>
      <c r="T4280" s="261"/>
    </row>
    <row r="4281" spans="2:20" x14ac:dyDescent="0.2">
      <c r="B4281" s="245"/>
      <c r="C4281" s="248"/>
      <c r="D4281" s="249"/>
      <c r="E4281" s="249"/>
      <c r="T4281" s="261"/>
    </row>
    <row r="4282" spans="2:20" x14ac:dyDescent="0.2">
      <c r="B4282" s="245"/>
      <c r="C4282" s="248"/>
      <c r="D4282" s="249"/>
      <c r="E4282" s="249"/>
      <c r="T4282" s="261"/>
    </row>
    <row r="4283" spans="2:20" x14ac:dyDescent="0.2">
      <c r="B4283" s="245"/>
      <c r="C4283" s="248"/>
      <c r="D4283" s="249"/>
      <c r="E4283" s="249"/>
      <c r="T4283" s="261"/>
    </row>
    <row r="4284" spans="2:20" x14ac:dyDescent="0.2">
      <c r="B4284" s="245"/>
      <c r="C4284" s="248"/>
      <c r="D4284" s="249"/>
      <c r="E4284" s="249"/>
      <c r="T4284" s="261"/>
    </row>
    <row r="4285" spans="2:20" x14ac:dyDescent="0.2">
      <c r="B4285" s="245"/>
      <c r="C4285" s="248"/>
      <c r="D4285" s="249"/>
      <c r="E4285" s="249"/>
      <c r="T4285" s="261"/>
    </row>
    <row r="4286" spans="2:20" x14ac:dyDescent="0.2">
      <c r="B4286" s="245"/>
      <c r="C4286" s="248"/>
      <c r="D4286" s="249"/>
      <c r="E4286" s="249"/>
      <c r="T4286" s="261"/>
    </row>
    <row r="4287" spans="2:20" x14ac:dyDescent="0.2">
      <c r="B4287" s="245"/>
      <c r="C4287" s="248"/>
      <c r="D4287" s="249"/>
      <c r="E4287" s="249"/>
      <c r="T4287" s="261"/>
    </row>
    <row r="4288" spans="2:20" x14ac:dyDescent="0.2">
      <c r="B4288" s="245"/>
      <c r="C4288" s="248"/>
      <c r="D4288" s="249"/>
      <c r="E4288" s="249"/>
      <c r="T4288" s="261"/>
    </row>
    <row r="4289" spans="2:20" x14ac:dyDescent="0.2">
      <c r="B4289" s="245"/>
      <c r="C4289" s="248"/>
      <c r="D4289" s="249"/>
      <c r="E4289" s="249"/>
      <c r="T4289" s="261"/>
    </row>
    <row r="4290" spans="2:20" x14ac:dyDescent="0.2">
      <c r="B4290" s="245"/>
      <c r="C4290" s="248"/>
      <c r="D4290" s="249"/>
      <c r="E4290" s="249"/>
      <c r="T4290" s="261"/>
    </row>
    <row r="4291" spans="2:20" x14ac:dyDescent="0.2">
      <c r="B4291" s="245"/>
      <c r="C4291" s="248"/>
      <c r="D4291" s="249"/>
      <c r="E4291" s="249"/>
      <c r="T4291" s="261"/>
    </row>
    <row r="4292" spans="2:20" x14ac:dyDescent="0.2">
      <c r="B4292" s="245"/>
      <c r="C4292" s="248"/>
      <c r="D4292" s="249"/>
      <c r="E4292" s="249"/>
      <c r="T4292" s="261"/>
    </row>
    <row r="4293" spans="2:20" x14ac:dyDescent="0.2">
      <c r="B4293" s="245"/>
      <c r="C4293" s="248"/>
      <c r="D4293" s="249"/>
      <c r="E4293" s="249"/>
      <c r="T4293" s="261"/>
    </row>
    <row r="4294" spans="2:20" x14ac:dyDescent="0.2">
      <c r="B4294" s="245"/>
      <c r="C4294" s="248"/>
      <c r="D4294" s="249"/>
      <c r="E4294" s="249"/>
      <c r="T4294" s="261"/>
    </row>
    <row r="4295" spans="2:20" x14ac:dyDescent="0.2">
      <c r="B4295" s="245"/>
      <c r="C4295" s="248"/>
      <c r="D4295" s="249"/>
      <c r="E4295" s="249"/>
      <c r="T4295" s="261"/>
    </row>
    <row r="4296" spans="2:20" x14ac:dyDescent="0.2">
      <c r="B4296" s="245"/>
      <c r="C4296" s="248"/>
      <c r="D4296" s="249"/>
      <c r="E4296" s="249"/>
      <c r="T4296" s="261"/>
    </row>
    <row r="4297" spans="2:20" x14ac:dyDescent="0.2">
      <c r="B4297" s="245"/>
      <c r="C4297" s="248"/>
      <c r="D4297" s="249"/>
      <c r="E4297" s="249"/>
      <c r="T4297" s="261"/>
    </row>
    <row r="4298" spans="2:20" x14ac:dyDescent="0.2">
      <c r="B4298" s="245"/>
      <c r="C4298" s="248"/>
      <c r="D4298" s="249"/>
      <c r="E4298" s="249"/>
      <c r="T4298" s="261"/>
    </row>
    <row r="4299" spans="2:20" x14ac:dyDescent="0.2">
      <c r="B4299" s="245"/>
      <c r="C4299" s="248"/>
      <c r="D4299" s="249"/>
      <c r="E4299" s="249"/>
      <c r="T4299" s="261"/>
    </row>
    <row r="4300" spans="2:20" x14ac:dyDescent="0.2">
      <c r="B4300" s="245"/>
      <c r="C4300" s="248"/>
      <c r="D4300" s="249"/>
      <c r="E4300" s="249"/>
      <c r="T4300" s="261"/>
    </row>
    <row r="4301" spans="2:20" x14ac:dyDescent="0.2">
      <c r="B4301" s="245"/>
      <c r="C4301" s="248"/>
      <c r="D4301" s="249"/>
      <c r="E4301" s="249"/>
      <c r="T4301" s="261"/>
    </row>
    <row r="4302" spans="2:20" x14ac:dyDescent="0.2">
      <c r="B4302" s="245"/>
      <c r="C4302" s="248"/>
      <c r="D4302" s="249"/>
      <c r="E4302" s="249"/>
      <c r="T4302" s="261"/>
    </row>
    <row r="4303" spans="2:20" x14ac:dyDescent="0.2">
      <c r="B4303" s="245"/>
      <c r="C4303" s="248"/>
      <c r="D4303" s="249"/>
      <c r="E4303" s="249"/>
      <c r="T4303" s="261"/>
    </row>
    <row r="4304" spans="2:20" x14ac:dyDescent="0.2">
      <c r="B4304" s="245"/>
      <c r="C4304" s="248"/>
      <c r="D4304" s="249"/>
      <c r="E4304" s="249"/>
      <c r="T4304" s="261"/>
    </row>
    <row r="4305" spans="2:20" x14ac:dyDescent="0.2">
      <c r="B4305" s="245"/>
      <c r="C4305" s="248"/>
      <c r="D4305" s="249"/>
      <c r="E4305" s="249"/>
      <c r="T4305" s="261"/>
    </row>
    <row r="4306" spans="2:20" x14ac:dyDescent="0.2">
      <c r="B4306" s="245"/>
      <c r="C4306" s="248"/>
      <c r="D4306" s="249"/>
      <c r="E4306" s="249"/>
      <c r="T4306" s="261"/>
    </row>
    <row r="4307" spans="2:20" x14ac:dyDescent="0.2">
      <c r="B4307" s="245"/>
      <c r="C4307" s="248"/>
      <c r="D4307" s="249"/>
      <c r="E4307" s="249"/>
      <c r="T4307" s="261"/>
    </row>
    <row r="4308" spans="2:20" x14ac:dyDescent="0.2">
      <c r="B4308" s="245"/>
      <c r="C4308" s="248"/>
      <c r="D4308" s="249"/>
      <c r="E4308" s="249"/>
      <c r="T4308" s="261"/>
    </row>
    <row r="4309" spans="2:20" x14ac:dyDescent="0.2">
      <c r="B4309" s="245"/>
      <c r="C4309" s="248"/>
      <c r="D4309" s="249"/>
      <c r="E4309" s="249"/>
      <c r="T4309" s="261"/>
    </row>
    <row r="4310" spans="2:20" x14ac:dyDescent="0.2">
      <c r="B4310" s="245"/>
      <c r="C4310" s="248"/>
      <c r="D4310" s="249"/>
      <c r="E4310" s="249"/>
      <c r="T4310" s="261"/>
    </row>
    <row r="4311" spans="2:20" x14ac:dyDescent="0.2">
      <c r="B4311" s="245"/>
      <c r="C4311" s="248"/>
      <c r="D4311" s="249"/>
      <c r="E4311" s="249"/>
      <c r="T4311" s="261"/>
    </row>
    <row r="4312" spans="2:20" x14ac:dyDescent="0.2">
      <c r="B4312" s="245"/>
      <c r="C4312" s="248"/>
      <c r="D4312" s="249"/>
      <c r="E4312" s="249"/>
      <c r="T4312" s="261"/>
    </row>
    <row r="4313" spans="2:20" x14ac:dyDescent="0.2">
      <c r="B4313" s="245"/>
      <c r="C4313" s="248"/>
      <c r="D4313" s="249"/>
      <c r="E4313" s="249"/>
      <c r="T4313" s="261"/>
    </row>
    <row r="4314" spans="2:20" x14ac:dyDescent="0.2">
      <c r="B4314" s="245"/>
      <c r="C4314" s="248"/>
      <c r="D4314" s="249"/>
      <c r="E4314" s="249"/>
      <c r="T4314" s="261"/>
    </row>
    <row r="4315" spans="2:20" x14ac:dyDescent="0.2">
      <c r="B4315" s="245"/>
      <c r="C4315" s="248"/>
      <c r="D4315" s="249"/>
      <c r="E4315" s="249"/>
      <c r="T4315" s="261"/>
    </row>
    <row r="4316" spans="2:20" x14ac:dyDescent="0.2">
      <c r="B4316" s="245"/>
      <c r="C4316" s="248"/>
      <c r="D4316" s="249"/>
      <c r="E4316" s="249"/>
      <c r="T4316" s="261"/>
    </row>
    <row r="4317" spans="2:20" x14ac:dyDescent="0.2">
      <c r="B4317" s="245"/>
      <c r="C4317" s="248"/>
      <c r="D4317" s="249"/>
      <c r="E4317" s="249"/>
      <c r="T4317" s="261"/>
    </row>
    <row r="4318" spans="2:20" x14ac:dyDescent="0.2">
      <c r="B4318" s="245"/>
      <c r="C4318" s="248"/>
      <c r="D4318" s="249"/>
      <c r="E4318" s="249"/>
      <c r="T4318" s="261"/>
    </row>
    <row r="4319" spans="2:20" x14ac:dyDescent="0.2">
      <c r="B4319" s="245"/>
      <c r="C4319" s="248"/>
      <c r="D4319" s="249"/>
      <c r="E4319" s="249"/>
      <c r="T4319" s="261"/>
    </row>
    <row r="4320" spans="2:20" x14ac:dyDescent="0.2">
      <c r="B4320" s="245"/>
      <c r="C4320" s="248"/>
      <c r="D4320" s="249"/>
      <c r="E4320" s="249"/>
      <c r="T4320" s="261"/>
    </row>
    <row r="4321" spans="2:20" x14ac:dyDescent="0.2">
      <c r="B4321" s="245"/>
      <c r="C4321" s="248"/>
      <c r="D4321" s="249"/>
      <c r="E4321" s="249"/>
      <c r="T4321" s="261"/>
    </row>
    <row r="4322" spans="2:20" x14ac:dyDescent="0.2">
      <c r="B4322" s="245"/>
      <c r="C4322" s="248"/>
      <c r="D4322" s="249"/>
      <c r="E4322" s="249"/>
      <c r="T4322" s="261"/>
    </row>
    <row r="4323" spans="2:20" x14ac:dyDescent="0.2">
      <c r="B4323" s="245"/>
      <c r="C4323" s="248"/>
      <c r="D4323" s="249"/>
      <c r="E4323" s="249"/>
      <c r="T4323" s="261"/>
    </row>
    <row r="4324" spans="2:20" x14ac:dyDescent="0.2">
      <c r="B4324" s="245"/>
      <c r="C4324" s="248"/>
      <c r="D4324" s="249"/>
      <c r="E4324" s="249"/>
      <c r="T4324" s="261"/>
    </row>
    <row r="4325" spans="2:20" x14ac:dyDescent="0.2">
      <c r="B4325" s="245"/>
      <c r="C4325" s="248"/>
      <c r="D4325" s="249"/>
      <c r="E4325" s="249"/>
      <c r="T4325" s="261"/>
    </row>
    <row r="4326" spans="2:20" x14ac:dyDescent="0.2">
      <c r="B4326" s="245"/>
      <c r="C4326" s="248"/>
      <c r="D4326" s="249"/>
      <c r="E4326" s="249"/>
      <c r="T4326" s="261"/>
    </row>
    <row r="4327" spans="2:20" x14ac:dyDescent="0.2">
      <c r="B4327" s="245"/>
      <c r="C4327" s="248"/>
      <c r="D4327" s="249"/>
      <c r="E4327" s="249"/>
      <c r="T4327" s="261"/>
    </row>
    <row r="4328" spans="2:20" x14ac:dyDescent="0.2">
      <c r="B4328" s="245"/>
      <c r="C4328" s="248"/>
      <c r="D4328" s="249"/>
      <c r="E4328" s="249"/>
      <c r="T4328" s="261"/>
    </row>
    <row r="4329" spans="2:20" x14ac:dyDescent="0.2">
      <c r="B4329" s="245"/>
      <c r="C4329" s="248"/>
      <c r="D4329" s="249"/>
      <c r="E4329" s="249"/>
      <c r="T4329" s="261"/>
    </row>
    <row r="4330" spans="2:20" x14ac:dyDescent="0.2">
      <c r="B4330" s="245"/>
      <c r="C4330" s="248"/>
      <c r="D4330" s="249"/>
      <c r="E4330" s="249"/>
      <c r="T4330" s="261"/>
    </row>
    <row r="4331" spans="2:20" x14ac:dyDescent="0.2">
      <c r="B4331" s="245"/>
      <c r="C4331" s="248"/>
      <c r="D4331" s="249"/>
      <c r="E4331" s="249"/>
      <c r="T4331" s="261"/>
    </row>
    <row r="4332" spans="2:20" x14ac:dyDescent="0.2">
      <c r="B4332" s="245"/>
      <c r="C4332" s="248"/>
      <c r="D4332" s="249"/>
      <c r="E4332" s="249"/>
      <c r="T4332" s="261"/>
    </row>
    <row r="4333" spans="2:20" x14ac:dyDescent="0.2">
      <c r="B4333" s="245"/>
      <c r="C4333" s="248"/>
      <c r="D4333" s="249"/>
      <c r="E4333" s="249"/>
      <c r="T4333" s="261"/>
    </row>
    <row r="4334" spans="2:20" x14ac:dyDescent="0.2">
      <c r="B4334" s="245"/>
      <c r="C4334" s="248"/>
      <c r="D4334" s="249"/>
      <c r="E4334" s="249"/>
      <c r="T4334" s="261"/>
    </row>
    <row r="4335" spans="2:20" x14ac:dyDescent="0.2">
      <c r="B4335" s="245"/>
      <c r="C4335" s="248"/>
      <c r="D4335" s="249"/>
      <c r="E4335" s="249"/>
      <c r="T4335" s="261"/>
    </row>
    <row r="4336" spans="2:20" x14ac:dyDescent="0.2">
      <c r="B4336" s="245"/>
      <c r="C4336" s="248"/>
      <c r="D4336" s="249"/>
      <c r="E4336" s="249"/>
      <c r="T4336" s="261"/>
    </row>
    <row r="4337" spans="2:20" x14ac:dyDescent="0.2">
      <c r="B4337" s="245"/>
      <c r="C4337" s="248"/>
      <c r="D4337" s="249"/>
      <c r="E4337" s="249"/>
      <c r="T4337" s="261"/>
    </row>
    <row r="4338" spans="2:20" x14ac:dyDescent="0.2">
      <c r="B4338" s="245"/>
      <c r="C4338" s="248"/>
      <c r="D4338" s="249"/>
      <c r="E4338" s="249"/>
      <c r="T4338" s="261"/>
    </row>
    <row r="4339" spans="2:20" x14ac:dyDescent="0.2">
      <c r="B4339" s="245"/>
      <c r="C4339" s="248"/>
      <c r="D4339" s="249"/>
      <c r="E4339" s="249"/>
      <c r="T4339" s="261"/>
    </row>
    <row r="4340" spans="2:20" x14ac:dyDescent="0.2">
      <c r="B4340" s="245"/>
      <c r="C4340" s="248"/>
      <c r="D4340" s="249"/>
      <c r="E4340" s="249"/>
      <c r="T4340" s="261"/>
    </row>
    <row r="4341" spans="2:20" x14ac:dyDescent="0.2">
      <c r="B4341" s="245"/>
      <c r="C4341" s="248"/>
      <c r="D4341" s="249"/>
      <c r="E4341" s="249"/>
      <c r="T4341" s="261"/>
    </row>
    <row r="4342" spans="2:20" x14ac:dyDescent="0.2">
      <c r="B4342" s="245"/>
      <c r="C4342" s="248"/>
      <c r="D4342" s="249"/>
      <c r="E4342" s="249"/>
      <c r="T4342" s="261"/>
    </row>
    <row r="4343" spans="2:20" x14ac:dyDescent="0.2">
      <c r="B4343" s="245"/>
      <c r="C4343" s="248"/>
      <c r="D4343" s="249"/>
      <c r="E4343" s="249"/>
      <c r="T4343" s="261"/>
    </row>
    <row r="4344" spans="2:20" x14ac:dyDescent="0.2">
      <c r="B4344" s="245"/>
      <c r="C4344" s="248"/>
      <c r="D4344" s="249"/>
      <c r="E4344" s="249"/>
      <c r="T4344" s="261"/>
    </row>
    <row r="4345" spans="2:20" x14ac:dyDescent="0.2">
      <c r="B4345" s="245"/>
      <c r="C4345" s="248"/>
      <c r="D4345" s="249"/>
      <c r="E4345" s="249"/>
      <c r="T4345" s="261"/>
    </row>
    <row r="4346" spans="2:20" x14ac:dyDescent="0.2">
      <c r="B4346" s="245"/>
      <c r="C4346" s="248"/>
      <c r="D4346" s="249"/>
      <c r="E4346" s="249"/>
      <c r="T4346" s="261"/>
    </row>
    <row r="4347" spans="2:20" x14ac:dyDescent="0.2">
      <c r="B4347" s="245"/>
      <c r="C4347" s="248"/>
      <c r="D4347" s="249"/>
      <c r="E4347" s="249"/>
      <c r="T4347" s="261"/>
    </row>
    <row r="4348" spans="2:20" x14ac:dyDescent="0.2">
      <c r="B4348" s="245"/>
      <c r="C4348" s="248"/>
      <c r="D4348" s="249"/>
      <c r="E4348" s="249"/>
      <c r="T4348" s="261"/>
    </row>
    <row r="4349" spans="2:20" x14ac:dyDescent="0.2">
      <c r="B4349" s="245"/>
      <c r="C4349" s="248"/>
      <c r="D4349" s="249"/>
      <c r="E4349" s="249"/>
      <c r="T4349" s="261"/>
    </row>
    <row r="4350" spans="2:20" x14ac:dyDescent="0.2">
      <c r="B4350" s="245"/>
      <c r="C4350" s="248"/>
      <c r="D4350" s="249"/>
      <c r="E4350" s="249"/>
      <c r="T4350" s="261"/>
    </row>
    <row r="4351" spans="2:20" x14ac:dyDescent="0.2">
      <c r="B4351" s="245"/>
      <c r="C4351" s="248"/>
      <c r="D4351" s="249"/>
      <c r="E4351" s="249"/>
      <c r="T4351" s="261"/>
    </row>
    <row r="4352" spans="2:20" x14ac:dyDescent="0.2">
      <c r="B4352" s="245"/>
      <c r="C4352" s="248"/>
      <c r="D4352" s="249"/>
      <c r="E4352" s="249"/>
      <c r="T4352" s="261"/>
    </row>
    <row r="4353" spans="2:20" x14ac:dyDescent="0.2">
      <c r="B4353" s="245"/>
      <c r="C4353" s="248"/>
      <c r="D4353" s="249"/>
      <c r="E4353" s="249"/>
      <c r="T4353" s="261"/>
    </row>
    <row r="4354" spans="2:20" x14ac:dyDescent="0.2">
      <c r="B4354" s="245"/>
      <c r="C4354" s="248"/>
      <c r="D4354" s="249"/>
      <c r="E4354" s="249"/>
      <c r="T4354" s="261"/>
    </row>
    <row r="4355" spans="2:20" x14ac:dyDescent="0.2">
      <c r="B4355" s="245"/>
      <c r="C4355" s="248"/>
      <c r="D4355" s="249"/>
      <c r="E4355" s="249"/>
      <c r="T4355" s="261"/>
    </row>
    <row r="4356" spans="2:20" x14ac:dyDescent="0.2">
      <c r="B4356" s="245"/>
      <c r="C4356" s="248"/>
      <c r="D4356" s="249"/>
      <c r="E4356" s="249"/>
      <c r="T4356" s="261"/>
    </row>
    <row r="4357" spans="2:20" x14ac:dyDescent="0.2">
      <c r="B4357" s="245"/>
      <c r="C4357" s="248"/>
      <c r="D4357" s="249"/>
      <c r="E4357" s="249"/>
      <c r="T4357" s="261"/>
    </row>
    <row r="4358" spans="2:20" x14ac:dyDescent="0.2">
      <c r="B4358" s="245"/>
      <c r="C4358" s="248"/>
      <c r="D4358" s="249"/>
      <c r="E4358" s="249"/>
      <c r="T4358" s="261"/>
    </row>
    <row r="4359" spans="2:20" x14ac:dyDescent="0.2">
      <c r="B4359" s="245"/>
      <c r="C4359" s="248"/>
      <c r="D4359" s="249"/>
      <c r="E4359" s="249"/>
      <c r="T4359" s="261"/>
    </row>
    <row r="4360" spans="2:20" x14ac:dyDescent="0.2">
      <c r="B4360" s="245"/>
      <c r="C4360" s="248"/>
      <c r="D4360" s="249"/>
      <c r="E4360" s="249"/>
      <c r="T4360" s="261"/>
    </row>
    <row r="4361" spans="2:20" x14ac:dyDescent="0.2">
      <c r="B4361" s="245"/>
      <c r="C4361" s="248"/>
      <c r="D4361" s="249"/>
      <c r="E4361" s="249"/>
      <c r="T4361" s="261"/>
    </row>
    <row r="4362" spans="2:20" x14ac:dyDescent="0.2">
      <c r="B4362" s="245"/>
      <c r="C4362" s="248"/>
      <c r="D4362" s="249"/>
      <c r="E4362" s="249"/>
      <c r="T4362" s="261"/>
    </row>
    <row r="4363" spans="2:20" x14ac:dyDescent="0.2">
      <c r="B4363" s="245"/>
      <c r="C4363" s="248"/>
      <c r="D4363" s="249"/>
      <c r="E4363" s="249"/>
      <c r="T4363" s="261"/>
    </row>
    <row r="4364" spans="2:20" x14ac:dyDescent="0.2">
      <c r="B4364" s="245"/>
      <c r="C4364" s="248"/>
      <c r="D4364" s="249"/>
      <c r="E4364" s="249"/>
      <c r="T4364" s="261"/>
    </row>
    <row r="4365" spans="2:20" x14ac:dyDescent="0.2">
      <c r="B4365" s="245"/>
      <c r="C4365" s="248"/>
      <c r="D4365" s="249"/>
      <c r="E4365" s="249"/>
      <c r="T4365" s="261"/>
    </row>
    <row r="4366" spans="2:20" x14ac:dyDescent="0.2">
      <c r="B4366" s="245"/>
      <c r="C4366" s="248"/>
      <c r="D4366" s="249"/>
      <c r="E4366" s="249"/>
      <c r="T4366" s="261"/>
    </row>
    <row r="4367" spans="2:20" x14ac:dyDescent="0.2">
      <c r="B4367" s="245"/>
      <c r="C4367" s="248"/>
      <c r="D4367" s="249"/>
      <c r="E4367" s="249"/>
      <c r="T4367" s="261"/>
    </row>
    <row r="4368" spans="2:20" x14ac:dyDescent="0.2">
      <c r="B4368" s="245"/>
      <c r="C4368" s="248"/>
      <c r="D4368" s="249"/>
      <c r="E4368" s="249"/>
      <c r="T4368" s="261"/>
    </row>
    <row r="4369" spans="2:20" x14ac:dyDescent="0.2">
      <c r="B4369" s="245"/>
      <c r="C4369" s="248"/>
      <c r="D4369" s="249"/>
      <c r="E4369" s="249"/>
      <c r="T4369" s="261"/>
    </row>
    <row r="4370" spans="2:20" x14ac:dyDescent="0.2">
      <c r="B4370" s="245"/>
      <c r="C4370" s="248"/>
      <c r="D4370" s="249"/>
      <c r="E4370" s="249"/>
      <c r="T4370" s="261"/>
    </row>
    <row r="4371" spans="2:20" x14ac:dyDescent="0.2">
      <c r="B4371" s="245"/>
      <c r="C4371" s="248"/>
      <c r="D4371" s="249"/>
      <c r="E4371" s="249"/>
      <c r="T4371" s="261"/>
    </row>
    <row r="4372" spans="2:20" x14ac:dyDescent="0.2">
      <c r="B4372" s="245"/>
      <c r="C4372" s="248"/>
      <c r="D4372" s="249"/>
      <c r="E4372" s="249"/>
      <c r="T4372" s="261"/>
    </row>
    <row r="4373" spans="2:20" x14ac:dyDescent="0.2">
      <c r="B4373" s="245"/>
      <c r="C4373" s="248"/>
      <c r="D4373" s="249"/>
      <c r="E4373" s="249"/>
      <c r="T4373" s="261"/>
    </row>
    <row r="4374" spans="2:20" x14ac:dyDescent="0.2">
      <c r="B4374" s="245"/>
      <c r="C4374" s="248"/>
      <c r="D4374" s="249"/>
      <c r="E4374" s="249"/>
      <c r="T4374" s="261"/>
    </row>
    <row r="4375" spans="2:20" x14ac:dyDescent="0.2">
      <c r="B4375" s="245"/>
      <c r="C4375" s="248"/>
      <c r="D4375" s="249"/>
      <c r="E4375" s="249"/>
      <c r="T4375" s="261"/>
    </row>
    <row r="4376" spans="2:20" x14ac:dyDescent="0.2">
      <c r="B4376" s="245"/>
      <c r="C4376" s="248"/>
      <c r="D4376" s="249"/>
      <c r="E4376" s="249"/>
      <c r="T4376" s="261"/>
    </row>
    <row r="4377" spans="2:20" x14ac:dyDescent="0.2">
      <c r="B4377" s="245"/>
      <c r="C4377" s="248"/>
      <c r="D4377" s="249"/>
      <c r="E4377" s="249"/>
      <c r="T4377" s="261"/>
    </row>
    <row r="4378" spans="2:20" x14ac:dyDescent="0.2">
      <c r="B4378" s="245"/>
      <c r="C4378" s="248"/>
      <c r="D4378" s="249"/>
      <c r="E4378" s="249"/>
      <c r="T4378" s="261"/>
    </row>
    <row r="4379" spans="2:20" x14ac:dyDescent="0.2">
      <c r="B4379" s="245"/>
      <c r="C4379" s="248"/>
      <c r="D4379" s="249"/>
      <c r="E4379" s="249"/>
      <c r="T4379" s="261"/>
    </row>
    <row r="4380" spans="2:20" x14ac:dyDescent="0.2">
      <c r="B4380" s="245"/>
      <c r="C4380" s="248"/>
      <c r="D4380" s="249"/>
      <c r="E4380" s="249"/>
      <c r="T4380" s="261"/>
    </row>
    <row r="4381" spans="2:20" x14ac:dyDescent="0.2">
      <c r="B4381" s="245"/>
      <c r="C4381" s="248"/>
      <c r="D4381" s="249"/>
      <c r="E4381" s="249"/>
      <c r="T4381" s="261"/>
    </row>
    <row r="4382" spans="2:20" x14ac:dyDescent="0.2">
      <c r="B4382" s="245"/>
      <c r="C4382" s="248"/>
      <c r="D4382" s="249"/>
      <c r="E4382" s="249"/>
      <c r="T4382" s="261"/>
    </row>
    <row r="4383" spans="2:20" x14ac:dyDescent="0.2">
      <c r="B4383" s="245"/>
      <c r="C4383" s="248"/>
      <c r="D4383" s="249"/>
      <c r="E4383" s="249"/>
      <c r="T4383" s="261"/>
    </row>
    <row r="4384" spans="2:20" x14ac:dyDescent="0.2">
      <c r="B4384" s="245"/>
      <c r="C4384" s="248"/>
      <c r="D4384" s="249"/>
      <c r="E4384" s="249"/>
      <c r="T4384" s="261"/>
    </row>
    <row r="4385" spans="2:20" x14ac:dyDescent="0.2">
      <c r="B4385" s="245"/>
      <c r="C4385" s="248"/>
      <c r="D4385" s="249"/>
      <c r="E4385" s="249"/>
      <c r="T4385" s="261"/>
    </row>
    <row r="4386" spans="2:20" x14ac:dyDescent="0.2">
      <c r="B4386" s="245"/>
      <c r="C4386" s="248"/>
      <c r="D4386" s="249"/>
      <c r="E4386" s="249"/>
      <c r="T4386" s="261"/>
    </row>
    <row r="4387" spans="2:20" x14ac:dyDescent="0.2">
      <c r="B4387" s="245"/>
      <c r="C4387" s="248"/>
      <c r="D4387" s="249"/>
      <c r="E4387" s="249"/>
      <c r="T4387" s="261"/>
    </row>
    <row r="4388" spans="2:20" x14ac:dyDescent="0.2">
      <c r="B4388" s="245"/>
      <c r="C4388" s="248"/>
      <c r="D4388" s="249"/>
      <c r="E4388" s="249"/>
      <c r="T4388" s="261"/>
    </row>
    <row r="4389" spans="2:20" x14ac:dyDescent="0.2">
      <c r="B4389" s="245"/>
      <c r="C4389" s="248"/>
      <c r="D4389" s="249"/>
      <c r="E4389" s="249"/>
      <c r="T4389" s="261"/>
    </row>
    <row r="4390" spans="2:20" x14ac:dyDescent="0.2">
      <c r="B4390" s="245"/>
      <c r="C4390" s="248"/>
      <c r="D4390" s="249"/>
      <c r="E4390" s="249"/>
      <c r="T4390" s="261"/>
    </row>
    <row r="4391" spans="2:20" x14ac:dyDescent="0.2">
      <c r="B4391" s="245"/>
      <c r="C4391" s="248"/>
      <c r="D4391" s="249"/>
      <c r="E4391" s="249"/>
      <c r="T4391" s="261"/>
    </row>
    <row r="4392" spans="2:20" x14ac:dyDescent="0.2">
      <c r="B4392" s="245"/>
      <c r="C4392" s="248"/>
      <c r="D4392" s="249"/>
      <c r="E4392" s="249"/>
      <c r="T4392" s="261"/>
    </row>
    <row r="4393" spans="2:20" x14ac:dyDescent="0.2">
      <c r="B4393" s="245"/>
      <c r="C4393" s="248"/>
      <c r="D4393" s="249"/>
      <c r="E4393" s="249"/>
      <c r="T4393" s="261"/>
    </row>
    <row r="4394" spans="2:20" x14ac:dyDescent="0.2">
      <c r="B4394" s="245"/>
      <c r="C4394" s="248"/>
      <c r="D4394" s="249"/>
      <c r="E4394" s="249"/>
      <c r="T4394" s="261"/>
    </row>
    <row r="4395" spans="2:20" x14ac:dyDescent="0.2">
      <c r="B4395" s="245"/>
      <c r="C4395" s="248"/>
      <c r="D4395" s="249"/>
      <c r="E4395" s="249"/>
      <c r="T4395" s="261"/>
    </row>
    <row r="4396" spans="2:20" x14ac:dyDescent="0.2">
      <c r="B4396" s="245"/>
      <c r="C4396" s="248"/>
      <c r="D4396" s="249"/>
      <c r="E4396" s="249"/>
      <c r="T4396" s="261"/>
    </row>
    <row r="4397" spans="2:20" x14ac:dyDescent="0.2">
      <c r="B4397" s="245"/>
      <c r="C4397" s="248"/>
      <c r="D4397" s="249"/>
      <c r="E4397" s="249"/>
      <c r="T4397" s="261"/>
    </row>
    <row r="4398" spans="2:20" x14ac:dyDescent="0.2">
      <c r="B4398" s="245"/>
      <c r="C4398" s="248"/>
      <c r="D4398" s="249"/>
      <c r="E4398" s="249"/>
      <c r="T4398" s="261"/>
    </row>
    <row r="4399" spans="2:20" x14ac:dyDescent="0.2">
      <c r="B4399" s="245"/>
      <c r="C4399" s="248"/>
      <c r="D4399" s="249"/>
      <c r="E4399" s="249"/>
      <c r="T4399" s="261"/>
    </row>
    <row r="4400" spans="2:20" x14ac:dyDescent="0.2">
      <c r="B4400" s="245"/>
      <c r="C4400" s="248"/>
      <c r="D4400" s="249"/>
      <c r="E4400" s="249"/>
      <c r="T4400" s="261"/>
    </row>
    <row r="4401" spans="2:20" x14ac:dyDescent="0.2">
      <c r="B4401" s="245"/>
      <c r="C4401" s="248"/>
      <c r="D4401" s="249"/>
      <c r="E4401" s="249"/>
      <c r="T4401" s="261"/>
    </row>
    <row r="4402" spans="2:20" x14ac:dyDescent="0.2">
      <c r="B4402" s="245"/>
      <c r="C4402" s="248"/>
      <c r="D4402" s="249"/>
      <c r="E4402" s="249"/>
      <c r="T4402" s="261"/>
    </row>
    <row r="4403" spans="2:20" x14ac:dyDescent="0.2">
      <c r="B4403" s="245"/>
      <c r="C4403" s="248"/>
      <c r="D4403" s="249"/>
      <c r="E4403" s="249"/>
      <c r="T4403" s="261"/>
    </row>
    <row r="4404" spans="2:20" x14ac:dyDescent="0.2">
      <c r="B4404" s="245"/>
      <c r="C4404" s="248"/>
      <c r="D4404" s="249"/>
      <c r="E4404" s="249"/>
      <c r="T4404" s="261"/>
    </row>
    <row r="4405" spans="2:20" x14ac:dyDescent="0.2">
      <c r="B4405" s="245"/>
      <c r="C4405" s="248"/>
      <c r="D4405" s="249"/>
      <c r="E4405" s="249"/>
      <c r="T4405" s="261"/>
    </row>
    <row r="4406" spans="2:20" x14ac:dyDescent="0.2">
      <c r="B4406" s="245"/>
      <c r="C4406" s="248"/>
      <c r="D4406" s="249"/>
      <c r="E4406" s="249"/>
      <c r="T4406" s="261"/>
    </row>
    <row r="4407" spans="2:20" x14ac:dyDescent="0.2">
      <c r="B4407" s="245"/>
      <c r="C4407" s="248"/>
      <c r="D4407" s="249"/>
      <c r="E4407" s="249"/>
      <c r="T4407" s="261"/>
    </row>
    <row r="4408" spans="2:20" x14ac:dyDescent="0.2">
      <c r="B4408" s="245"/>
      <c r="C4408" s="248"/>
      <c r="D4408" s="249"/>
      <c r="E4408" s="249"/>
      <c r="T4408" s="261"/>
    </row>
    <row r="4409" spans="2:20" x14ac:dyDescent="0.2">
      <c r="B4409" s="245"/>
      <c r="C4409" s="248"/>
      <c r="D4409" s="249"/>
      <c r="E4409" s="249"/>
      <c r="T4409" s="261"/>
    </row>
    <row r="4410" spans="2:20" x14ac:dyDescent="0.2">
      <c r="B4410" s="245"/>
      <c r="C4410" s="248"/>
      <c r="D4410" s="249"/>
      <c r="E4410" s="249"/>
      <c r="T4410" s="261"/>
    </row>
    <row r="4411" spans="2:20" x14ac:dyDescent="0.2">
      <c r="B4411" s="245"/>
      <c r="C4411" s="248"/>
      <c r="D4411" s="249"/>
      <c r="E4411" s="249"/>
      <c r="T4411" s="261"/>
    </row>
    <row r="4412" spans="2:20" x14ac:dyDescent="0.2">
      <c r="B4412" s="245"/>
      <c r="C4412" s="248"/>
      <c r="D4412" s="249"/>
      <c r="E4412" s="249"/>
      <c r="T4412" s="261"/>
    </row>
    <row r="4413" spans="2:20" x14ac:dyDescent="0.2">
      <c r="B4413" s="245"/>
      <c r="C4413" s="248"/>
      <c r="D4413" s="249"/>
      <c r="E4413" s="249"/>
      <c r="T4413" s="261"/>
    </row>
    <row r="4414" spans="2:20" x14ac:dyDescent="0.2">
      <c r="B4414" s="245"/>
      <c r="C4414" s="248"/>
      <c r="D4414" s="249"/>
      <c r="E4414" s="249"/>
      <c r="T4414" s="261"/>
    </row>
    <row r="4415" spans="2:20" x14ac:dyDescent="0.2">
      <c r="B4415" s="245"/>
      <c r="C4415" s="248"/>
      <c r="D4415" s="249"/>
      <c r="E4415" s="249"/>
      <c r="T4415" s="261"/>
    </row>
    <row r="4416" spans="2:20" x14ac:dyDescent="0.2">
      <c r="B4416" s="245"/>
      <c r="C4416" s="248"/>
      <c r="D4416" s="249"/>
      <c r="E4416" s="249"/>
      <c r="T4416" s="261"/>
    </row>
    <row r="4417" spans="2:20" x14ac:dyDescent="0.2">
      <c r="B4417" s="245"/>
      <c r="C4417" s="248"/>
      <c r="D4417" s="249"/>
      <c r="E4417" s="249"/>
      <c r="T4417" s="261"/>
    </row>
    <row r="4418" spans="2:20" x14ac:dyDescent="0.2">
      <c r="B4418" s="245"/>
      <c r="C4418" s="248"/>
      <c r="D4418" s="249"/>
      <c r="E4418" s="249"/>
      <c r="T4418" s="261"/>
    </row>
    <row r="4419" spans="2:20" x14ac:dyDescent="0.2">
      <c r="B4419" s="245"/>
      <c r="C4419" s="248"/>
      <c r="D4419" s="249"/>
      <c r="E4419" s="249"/>
      <c r="T4419" s="261"/>
    </row>
    <row r="4420" spans="2:20" x14ac:dyDescent="0.2">
      <c r="B4420" s="245"/>
      <c r="C4420" s="248"/>
      <c r="D4420" s="249"/>
      <c r="E4420" s="249"/>
      <c r="T4420" s="261"/>
    </row>
    <row r="4421" spans="2:20" x14ac:dyDescent="0.2">
      <c r="B4421" s="245"/>
      <c r="C4421" s="248"/>
      <c r="D4421" s="249"/>
      <c r="E4421" s="249"/>
      <c r="T4421" s="261"/>
    </row>
    <row r="4422" spans="2:20" x14ac:dyDescent="0.2">
      <c r="B4422" s="245"/>
      <c r="C4422" s="248"/>
      <c r="D4422" s="249"/>
      <c r="E4422" s="249"/>
      <c r="T4422" s="261"/>
    </row>
    <row r="4423" spans="2:20" x14ac:dyDescent="0.2">
      <c r="B4423" s="245"/>
      <c r="C4423" s="248"/>
      <c r="D4423" s="249"/>
      <c r="E4423" s="249"/>
      <c r="T4423" s="261"/>
    </row>
    <row r="4424" spans="2:20" x14ac:dyDescent="0.2">
      <c r="B4424" s="245"/>
      <c r="C4424" s="248"/>
      <c r="D4424" s="249"/>
      <c r="E4424" s="249"/>
      <c r="T4424" s="261"/>
    </row>
    <row r="4425" spans="2:20" x14ac:dyDescent="0.2">
      <c r="B4425" s="245"/>
      <c r="C4425" s="248"/>
      <c r="D4425" s="249"/>
      <c r="E4425" s="249"/>
      <c r="T4425" s="261"/>
    </row>
    <row r="4426" spans="2:20" x14ac:dyDescent="0.2">
      <c r="B4426" s="245"/>
      <c r="C4426" s="248"/>
      <c r="D4426" s="249"/>
      <c r="E4426" s="249"/>
      <c r="T4426" s="261"/>
    </row>
    <row r="4427" spans="2:20" x14ac:dyDescent="0.2">
      <c r="B4427" s="245"/>
      <c r="C4427" s="248"/>
      <c r="D4427" s="249"/>
      <c r="E4427" s="249"/>
      <c r="T4427" s="261"/>
    </row>
    <row r="4428" spans="2:20" x14ac:dyDescent="0.2">
      <c r="B4428" s="245"/>
      <c r="C4428" s="248"/>
      <c r="D4428" s="249"/>
      <c r="E4428" s="249"/>
      <c r="T4428" s="261"/>
    </row>
    <row r="4429" spans="2:20" x14ac:dyDescent="0.2">
      <c r="B4429" s="245"/>
      <c r="C4429" s="248"/>
      <c r="D4429" s="249"/>
      <c r="E4429" s="249"/>
      <c r="T4429" s="261"/>
    </row>
    <row r="4430" spans="2:20" x14ac:dyDescent="0.2">
      <c r="B4430" s="245"/>
      <c r="C4430" s="248"/>
      <c r="D4430" s="249"/>
      <c r="E4430" s="249"/>
      <c r="T4430" s="261"/>
    </row>
    <row r="4431" spans="2:20" x14ac:dyDescent="0.2">
      <c r="B4431" s="245"/>
      <c r="C4431" s="248"/>
      <c r="D4431" s="249"/>
      <c r="E4431" s="249"/>
      <c r="T4431" s="261"/>
    </row>
    <row r="4432" spans="2:20" x14ac:dyDescent="0.2">
      <c r="B4432" s="245"/>
      <c r="C4432" s="248"/>
      <c r="D4432" s="249"/>
      <c r="E4432" s="249"/>
      <c r="T4432" s="261"/>
    </row>
    <row r="4433" spans="2:20" x14ac:dyDescent="0.2">
      <c r="B4433" s="245"/>
      <c r="C4433" s="248"/>
      <c r="D4433" s="249"/>
      <c r="E4433" s="249"/>
      <c r="T4433" s="261"/>
    </row>
    <row r="4434" spans="2:20" x14ac:dyDescent="0.2">
      <c r="B4434" s="245"/>
      <c r="C4434" s="248"/>
      <c r="D4434" s="249"/>
      <c r="E4434" s="249"/>
      <c r="T4434" s="261"/>
    </row>
    <row r="4435" spans="2:20" x14ac:dyDescent="0.2">
      <c r="B4435" s="245"/>
      <c r="C4435" s="248"/>
      <c r="D4435" s="249"/>
      <c r="E4435" s="249"/>
      <c r="T4435" s="261"/>
    </row>
    <row r="4436" spans="2:20" x14ac:dyDescent="0.2">
      <c r="B4436" s="245"/>
      <c r="C4436" s="248"/>
      <c r="D4436" s="249"/>
      <c r="E4436" s="249"/>
      <c r="T4436" s="261"/>
    </row>
    <row r="4437" spans="2:20" x14ac:dyDescent="0.2">
      <c r="B4437" s="245"/>
      <c r="C4437" s="248"/>
      <c r="D4437" s="249"/>
      <c r="E4437" s="249"/>
      <c r="T4437" s="261"/>
    </row>
    <row r="4438" spans="2:20" x14ac:dyDescent="0.2">
      <c r="B4438" s="245"/>
      <c r="C4438" s="248"/>
      <c r="D4438" s="249"/>
      <c r="E4438" s="249"/>
      <c r="T4438" s="261"/>
    </row>
    <row r="4439" spans="2:20" x14ac:dyDescent="0.2">
      <c r="B4439" s="245"/>
      <c r="C4439" s="248"/>
      <c r="D4439" s="249"/>
      <c r="E4439" s="249"/>
      <c r="T4439" s="261"/>
    </row>
    <row r="4440" spans="2:20" x14ac:dyDescent="0.2">
      <c r="B4440" s="245"/>
      <c r="C4440" s="248"/>
      <c r="D4440" s="249"/>
      <c r="E4440" s="249"/>
      <c r="T4440" s="261"/>
    </row>
    <row r="4441" spans="2:20" x14ac:dyDescent="0.2">
      <c r="B4441" s="245"/>
      <c r="C4441" s="248"/>
      <c r="D4441" s="249"/>
      <c r="E4441" s="249"/>
      <c r="T4441" s="261"/>
    </row>
    <row r="4442" spans="2:20" x14ac:dyDescent="0.2">
      <c r="B4442" s="245"/>
      <c r="C4442" s="248"/>
      <c r="D4442" s="249"/>
      <c r="E4442" s="249"/>
      <c r="T4442" s="261"/>
    </row>
    <row r="4443" spans="2:20" x14ac:dyDescent="0.2">
      <c r="B4443" s="245"/>
      <c r="C4443" s="248"/>
      <c r="D4443" s="249"/>
      <c r="E4443" s="249"/>
      <c r="T4443" s="261"/>
    </row>
    <row r="4444" spans="2:20" x14ac:dyDescent="0.2">
      <c r="B4444" s="245"/>
      <c r="C4444" s="248"/>
      <c r="D4444" s="249"/>
      <c r="E4444" s="249"/>
      <c r="T4444" s="261"/>
    </row>
    <row r="4445" spans="2:20" x14ac:dyDescent="0.2">
      <c r="B4445" s="245"/>
      <c r="C4445" s="248"/>
      <c r="D4445" s="249"/>
      <c r="E4445" s="249"/>
      <c r="T4445" s="261"/>
    </row>
    <row r="4446" spans="2:20" x14ac:dyDescent="0.2">
      <c r="B4446" s="245"/>
      <c r="C4446" s="248"/>
      <c r="D4446" s="249"/>
      <c r="E4446" s="249"/>
      <c r="T4446" s="261"/>
    </row>
    <row r="4447" spans="2:20" x14ac:dyDescent="0.2">
      <c r="B4447" s="245"/>
      <c r="C4447" s="248"/>
      <c r="D4447" s="249"/>
      <c r="E4447" s="249"/>
      <c r="T4447" s="261"/>
    </row>
    <row r="4448" spans="2:20" x14ac:dyDescent="0.2">
      <c r="B4448" s="245"/>
      <c r="C4448" s="248"/>
      <c r="D4448" s="249"/>
      <c r="E4448" s="249"/>
      <c r="T4448" s="261"/>
    </row>
    <row r="4449" spans="2:20" x14ac:dyDescent="0.2">
      <c r="B4449" s="245"/>
      <c r="C4449" s="248"/>
      <c r="D4449" s="249"/>
      <c r="E4449" s="249"/>
      <c r="T4449" s="261"/>
    </row>
    <row r="4450" spans="2:20" x14ac:dyDescent="0.2">
      <c r="B4450" s="245"/>
      <c r="C4450" s="248"/>
      <c r="D4450" s="249"/>
      <c r="E4450" s="249"/>
      <c r="T4450" s="261"/>
    </row>
    <row r="4451" spans="2:20" x14ac:dyDescent="0.2">
      <c r="B4451" s="245"/>
      <c r="C4451" s="248"/>
      <c r="D4451" s="249"/>
      <c r="E4451" s="249"/>
      <c r="T4451" s="261"/>
    </row>
    <row r="4452" spans="2:20" x14ac:dyDescent="0.2">
      <c r="B4452" s="245"/>
      <c r="C4452" s="248"/>
      <c r="D4452" s="249"/>
      <c r="E4452" s="249"/>
      <c r="T4452" s="261"/>
    </row>
    <row r="4453" spans="2:20" x14ac:dyDescent="0.2">
      <c r="B4453" s="245"/>
      <c r="C4453" s="248"/>
      <c r="D4453" s="249"/>
      <c r="E4453" s="249"/>
      <c r="T4453" s="261"/>
    </row>
    <row r="4454" spans="2:20" x14ac:dyDescent="0.2">
      <c r="B4454" s="245"/>
      <c r="C4454" s="248"/>
      <c r="D4454" s="249"/>
      <c r="E4454" s="249"/>
      <c r="T4454" s="261"/>
    </row>
    <row r="4455" spans="2:20" x14ac:dyDescent="0.2">
      <c r="B4455" s="245"/>
      <c r="C4455" s="248"/>
      <c r="D4455" s="249"/>
      <c r="E4455" s="249"/>
      <c r="T4455" s="261"/>
    </row>
    <row r="4456" spans="2:20" x14ac:dyDescent="0.2">
      <c r="B4456" s="245"/>
      <c r="C4456" s="248"/>
      <c r="D4456" s="249"/>
      <c r="E4456" s="249"/>
      <c r="T4456" s="261"/>
    </row>
    <row r="4457" spans="2:20" x14ac:dyDescent="0.2">
      <c r="B4457" s="245"/>
      <c r="C4457" s="248"/>
      <c r="D4457" s="249"/>
      <c r="E4457" s="249"/>
      <c r="T4457" s="261"/>
    </row>
    <row r="4458" spans="2:20" x14ac:dyDescent="0.2">
      <c r="B4458" s="245"/>
      <c r="C4458" s="248"/>
      <c r="D4458" s="249"/>
      <c r="E4458" s="249"/>
      <c r="T4458" s="261"/>
    </row>
    <row r="4459" spans="2:20" x14ac:dyDescent="0.2">
      <c r="B4459" s="245"/>
      <c r="C4459" s="248"/>
      <c r="D4459" s="249"/>
      <c r="E4459" s="249"/>
      <c r="T4459" s="261"/>
    </row>
    <row r="4460" spans="2:20" x14ac:dyDescent="0.2">
      <c r="B4460" s="245"/>
      <c r="C4460" s="248"/>
      <c r="D4460" s="249"/>
      <c r="E4460" s="249"/>
      <c r="T4460" s="261"/>
    </row>
    <row r="4461" spans="2:20" x14ac:dyDescent="0.2">
      <c r="B4461" s="245"/>
      <c r="C4461" s="248"/>
      <c r="D4461" s="249"/>
      <c r="E4461" s="249"/>
      <c r="T4461" s="261"/>
    </row>
    <row r="4462" spans="2:20" x14ac:dyDescent="0.2">
      <c r="B4462" s="245"/>
      <c r="C4462" s="248"/>
      <c r="D4462" s="249"/>
      <c r="E4462" s="249"/>
      <c r="T4462" s="261"/>
    </row>
    <row r="4463" spans="2:20" x14ac:dyDescent="0.2">
      <c r="B4463" s="245"/>
      <c r="C4463" s="248"/>
      <c r="D4463" s="249"/>
      <c r="E4463" s="249"/>
      <c r="T4463" s="261"/>
    </row>
    <row r="4464" spans="2:20" x14ac:dyDescent="0.2">
      <c r="B4464" s="245"/>
      <c r="C4464" s="248"/>
      <c r="D4464" s="249"/>
      <c r="E4464" s="249"/>
      <c r="T4464" s="261"/>
    </row>
    <row r="4465" spans="2:20" x14ac:dyDescent="0.2">
      <c r="B4465" s="245"/>
      <c r="C4465" s="248"/>
      <c r="D4465" s="249"/>
      <c r="E4465" s="249"/>
      <c r="T4465" s="261"/>
    </row>
    <row r="4466" spans="2:20" x14ac:dyDescent="0.2">
      <c r="B4466" s="245"/>
      <c r="C4466" s="248"/>
      <c r="D4466" s="249"/>
      <c r="E4466" s="249"/>
      <c r="T4466" s="261"/>
    </row>
    <row r="4467" spans="2:20" x14ac:dyDescent="0.2">
      <c r="B4467" s="245"/>
      <c r="C4467" s="248"/>
      <c r="D4467" s="249"/>
      <c r="E4467" s="249"/>
      <c r="T4467" s="261"/>
    </row>
    <row r="4468" spans="2:20" x14ac:dyDescent="0.2">
      <c r="B4468" s="245"/>
      <c r="C4468" s="248"/>
      <c r="D4468" s="249"/>
      <c r="E4468" s="249"/>
      <c r="T4468" s="261"/>
    </row>
    <row r="4469" spans="2:20" x14ac:dyDescent="0.2">
      <c r="B4469" s="245"/>
      <c r="C4469" s="248"/>
      <c r="D4469" s="249"/>
      <c r="E4469" s="249"/>
      <c r="T4469" s="261"/>
    </row>
    <row r="4470" spans="2:20" x14ac:dyDescent="0.2">
      <c r="B4470" s="245"/>
      <c r="C4470" s="248"/>
      <c r="D4470" s="249"/>
      <c r="E4470" s="249"/>
      <c r="T4470" s="261"/>
    </row>
    <row r="4471" spans="2:20" x14ac:dyDescent="0.2">
      <c r="B4471" s="245"/>
      <c r="C4471" s="248"/>
      <c r="D4471" s="249"/>
      <c r="E4471" s="249"/>
      <c r="T4471" s="261"/>
    </row>
    <row r="4472" spans="2:20" x14ac:dyDescent="0.2">
      <c r="B4472" s="245"/>
      <c r="C4472" s="248"/>
      <c r="D4472" s="249"/>
      <c r="E4472" s="249"/>
      <c r="T4472" s="261"/>
    </row>
    <row r="4473" spans="2:20" x14ac:dyDescent="0.2">
      <c r="B4473" s="245"/>
      <c r="C4473" s="248"/>
      <c r="D4473" s="249"/>
      <c r="E4473" s="249"/>
      <c r="T4473" s="261"/>
    </row>
    <row r="4474" spans="2:20" x14ac:dyDescent="0.2">
      <c r="B4474" s="245"/>
      <c r="C4474" s="248"/>
      <c r="D4474" s="249"/>
      <c r="E4474" s="249"/>
      <c r="T4474" s="261"/>
    </row>
    <row r="4475" spans="2:20" x14ac:dyDescent="0.2">
      <c r="B4475" s="245"/>
      <c r="C4475" s="248"/>
      <c r="D4475" s="249"/>
      <c r="E4475" s="249"/>
      <c r="T4475" s="261"/>
    </row>
    <row r="4476" spans="2:20" x14ac:dyDescent="0.2">
      <c r="B4476" s="245"/>
      <c r="C4476" s="248"/>
      <c r="D4476" s="249"/>
      <c r="E4476" s="249"/>
      <c r="T4476" s="261"/>
    </row>
    <row r="4477" spans="2:20" x14ac:dyDescent="0.2">
      <c r="B4477" s="245"/>
      <c r="C4477" s="248"/>
      <c r="D4477" s="249"/>
      <c r="E4477" s="249"/>
      <c r="T4477" s="261"/>
    </row>
    <row r="4478" spans="2:20" x14ac:dyDescent="0.2">
      <c r="B4478" s="245"/>
      <c r="C4478" s="248"/>
      <c r="D4478" s="249"/>
      <c r="E4478" s="249"/>
      <c r="T4478" s="261"/>
    </row>
    <row r="4479" spans="2:20" x14ac:dyDescent="0.2">
      <c r="B4479" s="245"/>
      <c r="C4479" s="248"/>
      <c r="D4479" s="249"/>
      <c r="E4479" s="249"/>
      <c r="T4479" s="261"/>
    </row>
    <row r="4480" spans="2:20" x14ac:dyDescent="0.2">
      <c r="B4480" s="245"/>
      <c r="C4480" s="248"/>
      <c r="D4480" s="249"/>
      <c r="E4480" s="249"/>
      <c r="T4480" s="261"/>
    </row>
    <row r="4481" spans="2:20" x14ac:dyDescent="0.2">
      <c r="B4481" s="245"/>
      <c r="C4481" s="248"/>
      <c r="D4481" s="249"/>
      <c r="E4481" s="249"/>
      <c r="T4481" s="261"/>
    </row>
    <row r="4482" spans="2:20" x14ac:dyDescent="0.2">
      <c r="B4482" s="245"/>
      <c r="C4482" s="248"/>
      <c r="D4482" s="249"/>
      <c r="E4482" s="249"/>
      <c r="T4482" s="261"/>
    </row>
    <row r="4483" spans="2:20" x14ac:dyDescent="0.2">
      <c r="B4483" s="245"/>
      <c r="C4483" s="248"/>
      <c r="D4483" s="249"/>
      <c r="E4483" s="249"/>
      <c r="T4483" s="261"/>
    </row>
    <row r="4484" spans="2:20" x14ac:dyDescent="0.2">
      <c r="B4484" s="245"/>
      <c r="C4484" s="248"/>
      <c r="D4484" s="249"/>
      <c r="E4484" s="249"/>
      <c r="T4484" s="261"/>
    </row>
    <row r="4485" spans="2:20" x14ac:dyDescent="0.2">
      <c r="B4485" s="245"/>
      <c r="C4485" s="248"/>
      <c r="D4485" s="249"/>
      <c r="E4485" s="249"/>
      <c r="T4485" s="261"/>
    </row>
    <row r="4486" spans="2:20" x14ac:dyDescent="0.2">
      <c r="B4486" s="245"/>
      <c r="C4486" s="248"/>
      <c r="D4486" s="249"/>
      <c r="E4486" s="249"/>
      <c r="T4486" s="261"/>
    </row>
    <row r="4487" spans="2:20" x14ac:dyDescent="0.2">
      <c r="B4487" s="245"/>
      <c r="C4487" s="248"/>
      <c r="D4487" s="249"/>
      <c r="E4487" s="249"/>
      <c r="T4487" s="261"/>
    </row>
    <row r="4488" spans="2:20" x14ac:dyDescent="0.2">
      <c r="B4488" s="245"/>
      <c r="C4488" s="248"/>
      <c r="D4488" s="249"/>
      <c r="E4488" s="249"/>
      <c r="T4488" s="261"/>
    </row>
    <row r="4489" spans="2:20" x14ac:dyDescent="0.2">
      <c r="B4489" s="245"/>
      <c r="C4489" s="248"/>
      <c r="D4489" s="249"/>
      <c r="E4489" s="249"/>
      <c r="T4489" s="261"/>
    </row>
    <row r="4490" spans="2:20" x14ac:dyDescent="0.2">
      <c r="B4490" s="245"/>
      <c r="C4490" s="248"/>
      <c r="D4490" s="249"/>
      <c r="E4490" s="249"/>
      <c r="T4490" s="261"/>
    </row>
    <row r="4491" spans="2:20" x14ac:dyDescent="0.2">
      <c r="B4491" s="245"/>
      <c r="C4491" s="248"/>
      <c r="D4491" s="249"/>
      <c r="E4491" s="249"/>
      <c r="T4491" s="261"/>
    </row>
    <row r="4492" spans="2:20" x14ac:dyDescent="0.2">
      <c r="B4492" s="245"/>
      <c r="C4492" s="248"/>
      <c r="D4492" s="249"/>
      <c r="E4492" s="249"/>
      <c r="T4492" s="261"/>
    </row>
    <row r="4493" spans="2:20" x14ac:dyDescent="0.2">
      <c r="B4493" s="245"/>
      <c r="C4493" s="248"/>
      <c r="D4493" s="249"/>
      <c r="E4493" s="249"/>
      <c r="T4493" s="261"/>
    </row>
    <row r="4494" spans="2:20" x14ac:dyDescent="0.2">
      <c r="B4494" s="245"/>
      <c r="C4494" s="248"/>
      <c r="D4494" s="249"/>
      <c r="E4494" s="249"/>
      <c r="T4494" s="261"/>
    </row>
    <row r="4495" spans="2:20" x14ac:dyDescent="0.2">
      <c r="B4495" s="245"/>
      <c r="C4495" s="248"/>
      <c r="D4495" s="249"/>
      <c r="E4495" s="249"/>
      <c r="T4495" s="261"/>
    </row>
    <row r="4496" spans="2:20" x14ac:dyDescent="0.2">
      <c r="B4496" s="245"/>
      <c r="C4496" s="248"/>
      <c r="D4496" s="249"/>
      <c r="E4496" s="249"/>
      <c r="T4496" s="261"/>
    </row>
    <row r="4497" spans="2:20" x14ac:dyDescent="0.2">
      <c r="B4497" s="245"/>
      <c r="C4497" s="248"/>
      <c r="D4497" s="249"/>
      <c r="E4497" s="249"/>
      <c r="T4497" s="261"/>
    </row>
    <row r="4498" spans="2:20" x14ac:dyDescent="0.2">
      <c r="B4498" s="245"/>
      <c r="C4498" s="248"/>
      <c r="D4498" s="249"/>
      <c r="E4498" s="249"/>
      <c r="T4498" s="261"/>
    </row>
    <row r="4499" spans="2:20" x14ac:dyDescent="0.2">
      <c r="B4499" s="245"/>
      <c r="C4499" s="248"/>
      <c r="D4499" s="249"/>
      <c r="E4499" s="249"/>
      <c r="T4499" s="261"/>
    </row>
    <row r="4500" spans="2:20" x14ac:dyDescent="0.2">
      <c r="B4500" s="245"/>
      <c r="C4500" s="248"/>
      <c r="D4500" s="249"/>
      <c r="E4500" s="249"/>
      <c r="T4500" s="261"/>
    </row>
    <row r="4501" spans="2:20" x14ac:dyDescent="0.2">
      <c r="B4501" s="245"/>
      <c r="C4501" s="248"/>
      <c r="D4501" s="249"/>
      <c r="E4501" s="249"/>
      <c r="T4501" s="261"/>
    </row>
    <row r="4502" spans="2:20" x14ac:dyDescent="0.2">
      <c r="B4502" s="245"/>
      <c r="C4502" s="248"/>
      <c r="D4502" s="249"/>
      <c r="E4502" s="249"/>
      <c r="T4502" s="261"/>
    </row>
    <row r="4503" spans="2:20" x14ac:dyDescent="0.2">
      <c r="B4503" s="245"/>
      <c r="C4503" s="248"/>
      <c r="D4503" s="249"/>
      <c r="E4503" s="249"/>
      <c r="T4503" s="261"/>
    </row>
    <row r="4504" spans="2:20" x14ac:dyDescent="0.2">
      <c r="B4504" s="245"/>
      <c r="C4504" s="248"/>
      <c r="D4504" s="249"/>
      <c r="E4504" s="249"/>
      <c r="T4504" s="261"/>
    </row>
    <row r="4505" spans="2:20" x14ac:dyDescent="0.2">
      <c r="B4505" s="245"/>
      <c r="C4505" s="248"/>
      <c r="D4505" s="249"/>
      <c r="E4505" s="249"/>
      <c r="T4505" s="261"/>
    </row>
    <row r="4506" spans="2:20" x14ac:dyDescent="0.2">
      <c r="B4506" s="245"/>
      <c r="C4506" s="248"/>
      <c r="D4506" s="249"/>
      <c r="E4506" s="249"/>
      <c r="T4506" s="261"/>
    </row>
    <row r="4507" spans="2:20" x14ac:dyDescent="0.2">
      <c r="B4507" s="245"/>
      <c r="C4507" s="248"/>
      <c r="D4507" s="249"/>
      <c r="E4507" s="249"/>
      <c r="T4507" s="261"/>
    </row>
    <row r="4508" spans="2:20" x14ac:dyDescent="0.2">
      <c r="B4508" s="245"/>
      <c r="C4508" s="248"/>
      <c r="D4508" s="249"/>
      <c r="E4508" s="249"/>
      <c r="T4508" s="261"/>
    </row>
    <row r="4509" spans="2:20" x14ac:dyDescent="0.2">
      <c r="B4509" s="245"/>
      <c r="C4509" s="248"/>
      <c r="D4509" s="249"/>
      <c r="E4509" s="249"/>
      <c r="T4509" s="261"/>
    </row>
    <row r="4510" spans="2:20" x14ac:dyDescent="0.2">
      <c r="B4510" s="245"/>
      <c r="C4510" s="248"/>
      <c r="D4510" s="249"/>
      <c r="E4510" s="249"/>
      <c r="T4510" s="261"/>
    </row>
    <row r="4511" spans="2:20" x14ac:dyDescent="0.2">
      <c r="B4511" s="245"/>
      <c r="C4511" s="248"/>
      <c r="D4511" s="249"/>
      <c r="E4511" s="249"/>
      <c r="T4511" s="261"/>
    </row>
    <row r="4512" spans="2:20" x14ac:dyDescent="0.2">
      <c r="B4512" s="245"/>
      <c r="C4512" s="248"/>
      <c r="D4512" s="249"/>
      <c r="E4512" s="249"/>
      <c r="T4512" s="261"/>
    </row>
    <row r="4513" spans="2:20" x14ac:dyDescent="0.2">
      <c r="B4513" s="245"/>
      <c r="C4513" s="248"/>
      <c r="D4513" s="249"/>
      <c r="E4513" s="249"/>
      <c r="T4513" s="261"/>
    </row>
    <row r="4514" spans="2:20" x14ac:dyDescent="0.2">
      <c r="B4514" s="245"/>
      <c r="C4514" s="248"/>
      <c r="D4514" s="249"/>
      <c r="E4514" s="249"/>
      <c r="T4514" s="261"/>
    </row>
    <row r="4515" spans="2:20" x14ac:dyDescent="0.2">
      <c r="B4515" s="245"/>
      <c r="C4515" s="248"/>
      <c r="D4515" s="249"/>
      <c r="E4515" s="249"/>
      <c r="T4515" s="261"/>
    </row>
    <row r="4516" spans="2:20" x14ac:dyDescent="0.2">
      <c r="B4516" s="245"/>
      <c r="C4516" s="248"/>
      <c r="D4516" s="249"/>
      <c r="E4516" s="249"/>
      <c r="T4516" s="261"/>
    </row>
    <row r="4517" spans="2:20" x14ac:dyDescent="0.2">
      <c r="B4517" s="245"/>
      <c r="C4517" s="248"/>
      <c r="D4517" s="249"/>
      <c r="E4517" s="249"/>
      <c r="T4517" s="261"/>
    </row>
    <row r="4518" spans="2:20" x14ac:dyDescent="0.2">
      <c r="B4518" s="245"/>
      <c r="C4518" s="248"/>
      <c r="D4518" s="249"/>
      <c r="E4518" s="249"/>
      <c r="T4518" s="261"/>
    </row>
    <row r="4519" spans="2:20" x14ac:dyDescent="0.2">
      <c r="B4519" s="245"/>
      <c r="C4519" s="248"/>
      <c r="D4519" s="249"/>
      <c r="E4519" s="249"/>
      <c r="T4519" s="261"/>
    </row>
    <row r="4520" spans="2:20" x14ac:dyDescent="0.2">
      <c r="B4520" s="245"/>
      <c r="C4520" s="248"/>
      <c r="D4520" s="249"/>
      <c r="E4520" s="249"/>
      <c r="T4520" s="261"/>
    </row>
    <row r="4521" spans="2:20" x14ac:dyDescent="0.2">
      <c r="B4521" s="245"/>
      <c r="C4521" s="248"/>
      <c r="D4521" s="249"/>
      <c r="E4521" s="249"/>
      <c r="T4521" s="261"/>
    </row>
    <row r="4522" spans="2:20" x14ac:dyDescent="0.2">
      <c r="B4522" s="245"/>
      <c r="C4522" s="248"/>
      <c r="D4522" s="249"/>
      <c r="E4522" s="249"/>
      <c r="T4522" s="261"/>
    </row>
    <row r="4523" spans="2:20" x14ac:dyDescent="0.2">
      <c r="B4523" s="245"/>
      <c r="C4523" s="248"/>
      <c r="D4523" s="249"/>
      <c r="E4523" s="249"/>
      <c r="T4523" s="261"/>
    </row>
    <row r="4524" spans="2:20" x14ac:dyDescent="0.2">
      <c r="B4524" s="245"/>
      <c r="C4524" s="248"/>
      <c r="D4524" s="249"/>
      <c r="E4524" s="249"/>
      <c r="T4524" s="261"/>
    </row>
    <row r="4525" spans="2:20" x14ac:dyDescent="0.2">
      <c r="B4525" s="245"/>
      <c r="C4525" s="248"/>
      <c r="D4525" s="249"/>
      <c r="E4525" s="249"/>
      <c r="T4525" s="261"/>
    </row>
    <row r="4526" spans="2:20" x14ac:dyDescent="0.2">
      <c r="B4526" s="245"/>
      <c r="C4526" s="248"/>
      <c r="D4526" s="249"/>
      <c r="E4526" s="249"/>
      <c r="T4526" s="261"/>
    </row>
    <row r="4527" spans="2:20" x14ac:dyDescent="0.2">
      <c r="B4527" s="245"/>
      <c r="C4527" s="248"/>
      <c r="D4527" s="249"/>
      <c r="E4527" s="249"/>
      <c r="T4527" s="261"/>
    </row>
    <row r="4528" spans="2:20" x14ac:dyDescent="0.2">
      <c r="B4528" s="245"/>
      <c r="C4528" s="248"/>
      <c r="D4528" s="249"/>
      <c r="E4528" s="249"/>
      <c r="T4528" s="261"/>
    </row>
    <row r="4529" spans="2:20" x14ac:dyDescent="0.2">
      <c r="B4529" s="245"/>
      <c r="C4529" s="248"/>
      <c r="D4529" s="249"/>
      <c r="E4529" s="249"/>
      <c r="T4529" s="261"/>
    </row>
    <row r="4530" spans="2:20" x14ac:dyDescent="0.2">
      <c r="B4530" s="245"/>
      <c r="C4530" s="248"/>
      <c r="D4530" s="249"/>
      <c r="E4530" s="249"/>
      <c r="T4530" s="261"/>
    </row>
    <row r="4531" spans="2:20" x14ac:dyDescent="0.2">
      <c r="B4531" s="245"/>
      <c r="C4531" s="248"/>
      <c r="D4531" s="249"/>
      <c r="E4531" s="249"/>
      <c r="T4531" s="261"/>
    </row>
    <row r="4532" spans="2:20" x14ac:dyDescent="0.2">
      <c r="B4532" s="245"/>
      <c r="C4532" s="248"/>
      <c r="D4532" s="249"/>
      <c r="E4532" s="249"/>
      <c r="T4532" s="261"/>
    </row>
    <row r="4533" spans="2:20" x14ac:dyDescent="0.2">
      <c r="B4533" s="245"/>
      <c r="C4533" s="248"/>
      <c r="D4533" s="249"/>
      <c r="E4533" s="249"/>
      <c r="T4533" s="261"/>
    </row>
    <row r="4534" spans="2:20" x14ac:dyDescent="0.2">
      <c r="B4534" s="245"/>
      <c r="C4534" s="248"/>
      <c r="D4534" s="249"/>
      <c r="E4534" s="249"/>
      <c r="T4534" s="261"/>
    </row>
    <row r="4535" spans="2:20" x14ac:dyDescent="0.2">
      <c r="B4535" s="245"/>
      <c r="C4535" s="248"/>
      <c r="D4535" s="249"/>
      <c r="E4535" s="249"/>
      <c r="T4535" s="261"/>
    </row>
    <row r="4536" spans="2:20" x14ac:dyDescent="0.2">
      <c r="B4536" s="245"/>
      <c r="C4536" s="248"/>
      <c r="D4536" s="249"/>
      <c r="E4536" s="249"/>
      <c r="T4536" s="261"/>
    </row>
    <row r="4537" spans="2:20" x14ac:dyDescent="0.2">
      <c r="B4537" s="245"/>
      <c r="C4537" s="248"/>
      <c r="D4537" s="249"/>
      <c r="E4537" s="249"/>
      <c r="T4537" s="261"/>
    </row>
    <row r="4538" spans="2:20" x14ac:dyDescent="0.2">
      <c r="B4538" s="245"/>
      <c r="C4538" s="248"/>
      <c r="D4538" s="249"/>
      <c r="E4538" s="249"/>
      <c r="T4538" s="261"/>
    </row>
    <row r="4539" spans="2:20" x14ac:dyDescent="0.2">
      <c r="B4539" s="245"/>
      <c r="C4539" s="248"/>
      <c r="D4539" s="249"/>
      <c r="E4539" s="249"/>
      <c r="T4539" s="261"/>
    </row>
    <row r="4540" spans="2:20" x14ac:dyDescent="0.2">
      <c r="B4540" s="245"/>
      <c r="C4540" s="248"/>
      <c r="D4540" s="249"/>
      <c r="E4540" s="249"/>
      <c r="T4540" s="261"/>
    </row>
    <row r="4541" spans="2:20" x14ac:dyDescent="0.2">
      <c r="B4541" s="245"/>
      <c r="C4541" s="248"/>
      <c r="D4541" s="249"/>
      <c r="E4541" s="249"/>
      <c r="T4541" s="261"/>
    </row>
    <row r="4542" spans="2:20" x14ac:dyDescent="0.2">
      <c r="B4542" s="245"/>
      <c r="C4542" s="248"/>
      <c r="D4542" s="249"/>
      <c r="E4542" s="249"/>
      <c r="T4542" s="261"/>
    </row>
    <row r="4543" spans="2:20" x14ac:dyDescent="0.2">
      <c r="B4543" s="245"/>
      <c r="C4543" s="248"/>
      <c r="D4543" s="249"/>
      <c r="E4543" s="249"/>
      <c r="T4543" s="261"/>
    </row>
    <row r="4544" spans="2:20" x14ac:dyDescent="0.2">
      <c r="B4544" s="245"/>
      <c r="C4544" s="248"/>
      <c r="D4544" s="249"/>
      <c r="E4544" s="249"/>
      <c r="T4544" s="261"/>
    </row>
    <row r="4545" spans="2:20" x14ac:dyDescent="0.2">
      <c r="B4545" s="245"/>
      <c r="C4545" s="248"/>
      <c r="D4545" s="249"/>
      <c r="E4545" s="249"/>
      <c r="T4545" s="261"/>
    </row>
    <row r="4546" spans="2:20" x14ac:dyDescent="0.2">
      <c r="B4546" s="245"/>
      <c r="C4546" s="248"/>
      <c r="D4546" s="249"/>
      <c r="E4546" s="249"/>
      <c r="T4546" s="261"/>
    </row>
    <row r="4547" spans="2:20" x14ac:dyDescent="0.2">
      <c r="B4547" s="245"/>
      <c r="C4547" s="248"/>
      <c r="D4547" s="249"/>
      <c r="E4547" s="249"/>
      <c r="T4547" s="261"/>
    </row>
    <row r="4548" spans="2:20" x14ac:dyDescent="0.2">
      <c r="B4548" s="245"/>
      <c r="C4548" s="248"/>
      <c r="D4548" s="249"/>
      <c r="E4548" s="249"/>
      <c r="T4548" s="261"/>
    </row>
    <row r="4549" spans="2:20" x14ac:dyDescent="0.2">
      <c r="B4549" s="245"/>
      <c r="C4549" s="248"/>
      <c r="D4549" s="249"/>
      <c r="E4549" s="249"/>
      <c r="T4549" s="261"/>
    </row>
    <row r="4550" spans="2:20" x14ac:dyDescent="0.2">
      <c r="B4550" s="245"/>
      <c r="C4550" s="248"/>
      <c r="D4550" s="249"/>
      <c r="E4550" s="249"/>
      <c r="T4550" s="261"/>
    </row>
    <row r="4551" spans="2:20" x14ac:dyDescent="0.2">
      <c r="B4551" s="245"/>
      <c r="C4551" s="248"/>
      <c r="D4551" s="249"/>
      <c r="E4551" s="249"/>
      <c r="T4551" s="261"/>
    </row>
    <row r="4552" spans="2:20" x14ac:dyDescent="0.2">
      <c r="B4552" s="245"/>
      <c r="C4552" s="248"/>
      <c r="D4552" s="249"/>
      <c r="E4552" s="249"/>
      <c r="T4552" s="261"/>
    </row>
    <row r="4553" spans="2:20" x14ac:dyDescent="0.2">
      <c r="B4553" s="245"/>
      <c r="C4553" s="248"/>
      <c r="D4553" s="249"/>
      <c r="E4553" s="249"/>
      <c r="T4553" s="261"/>
    </row>
    <row r="4554" spans="2:20" x14ac:dyDescent="0.2">
      <c r="B4554" s="245"/>
      <c r="C4554" s="248"/>
      <c r="D4554" s="249"/>
      <c r="E4554" s="249"/>
      <c r="T4554" s="261"/>
    </row>
    <row r="4555" spans="2:20" x14ac:dyDescent="0.2">
      <c r="B4555" s="245"/>
      <c r="C4555" s="248"/>
      <c r="D4555" s="249"/>
      <c r="E4555" s="249"/>
      <c r="T4555" s="261"/>
    </row>
    <row r="4556" spans="2:20" x14ac:dyDescent="0.2">
      <c r="B4556" s="245"/>
      <c r="C4556" s="248"/>
      <c r="D4556" s="249"/>
      <c r="E4556" s="249"/>
      <c r="T4556" s="261"/>
    </row>
    <row r="4557" spans="2:20" x14ac:dyDescent="0.2">
      <c r="B4557" s="245"/>
      <c r="C4557" s="248"/>
      <c r="D4557" s="249"/>
      <c r="E4557" s="249"/>
      <c r="T4557" s="261"/>
    </row>
    <row r="4558" spans="2:20" x14ac:dyDescent="0.2">
      <c r="B4558" s="245"/>
      <c r="C4558" s="248"/>
      <c r="D4558" s="249"/>
      <c r="E4558" s="249"/>
      <c r="T4558" s="261"/>
    </row>
    <row r="4559" spans="2:20" x14ac:dyDescent="0.2">
      <c r="B4559" s="245"/>
      <c r="C4559" s="248"/>
      <c r="D4559" s="249"/>
      <c r="E4559" s="249"/>
      <c r="T4559" s="261"/>
    </row>
    <row r="4560" spans="2:20" x14ac:dyDescent="0.2">
      <c r="B4560" s="245"/>
      <c r="C4560" s="248"/>
      <c r="D4560" s="249"/>
      <c r="E4560" s="249"/>
      <c r="T4560" s="261"/>
    </row>
    <row r="4561" spans="2:20" x14ac:dyDescent="0.2">
      <c r="B4561" s="245"/>
      <c r="C4561" s="248"/>
      <c r="D4561" s="249"/>
      <c r="E4561" s="249"/>
      <c r="T4561" s="261"/>
    </row>
    <row r="4562" spans="2:20" x14ac:dyDescent="0.2">
      <c r="B4562" s="245"/>
      <c r="C4562" s="248"/>
      <c r="D4562" s="249"/>
      <c r="E4562" s="249"/>
      <c r="T4562" s="261"/>
    </row>
    <row r="4563" spans="2:20" x14ac:dyDescent="0.2">
      <c r="B4563" s="245"/>
      <c r="C4563" s="248"/>
      <c r="D4563" s="249"/>
      <c r="E4563" s="249"/>
      <c r="T4563" s="261"/>
    </row>
    <row r="4564" spans="2:20" x14ac:dyDescent="0.2">
      <c r="B4564" s="245"/>
      <c r="C4564" s="248"/>
      <c r="D4564" s="249"/>
      <c r="E4564" s="249"/>
      <c r="T4564" s="261"/>
    </row>
    <row r="4565" spans="2:20" x14ac:dyDescent="0.2">
      <c r="B4565" s="245"/>
      <c r="C4565" s="248"/>
      <c r="D4565" s="249"/>
      <c r="E4565" s="249"/>
      <c r="T4565" s="261"/>
    </row>
    <row r="4566" spans="2:20" x14ac:dyDescent="0.2">
      <c r="B4566" s="245"/>
      <c r="C4566" s="248"/>
      <c r="D4566" s="249"/>
      <c r="E4566" s="249"/>
      <c r="T4566" s="261"/>
    </row>
    <row r="4567" spans="2:20" x14ac:dyDescent="0.2">
      <c r="B4567" s="245"/>
      <c r="C4567" s="248"/>
      <c r="D4567" s="249"/>
      <c r="E4567" s="249"/>
      <c r="T4567" s="261"/>
    </row>
    <row r="4568" spans="2:20" x14ac:dyDescent="0.2">
      <c r="B4568" s="245"/>
      <c r="C4568" s="248"/>
      <c r="D4568" s="249"/>
      <c r="E4568" s="249"/>
      <c r="T4568" s="261"/>
    </row>
    <row r="4569" spans="2:20" x14ac:dyDescent="0.2">
      <c r="B4569" s="245"/>
      <c r="C4569" s="248"/>
      <c r="D4569" s="249"/>
      <c r="E4569" s="249"/>
      <c r="T4569" s="261"/>
    </row>
    <row r="4570" spans="2:20" x14ac:dyDescent="0.2">
      <c r="B4570" s="245"/>
      <c r="C4570" s="248"/>
      <c r="D4570" s="249"/>
      <c r="E4570" s="249"/>
      <c r="T4570" s="261"/>
    </row>
    <row r="4571" spans="2:20" x14ac:dyDescent="0.2">
      <c r="B4571" s="245"/>
      <c r="C4571" s="248"/>
      <c r="D4571" s="249"/>
      <c r="E4571" s="249"/>
      <c r="T4571" s="261"/>
    </row>
    <row r="4572" spans="2:20" x14ac:dyDescent="0.2">
      <c r="B4572" s="245"/>
      <c r="C4572" s="248"/>
      <c r="D4572" s="249"/>
      <c r="E4572" s="249"/>
      <c r="T4572" s="261"/>
    </row>
    <row r="4573" spans="2:20" x14ac:dyDescent="0.2">
      <c r="B4573" s="245"/>
      <c r="C4573" s="248"/>
      <c r="D4573" s="249"/>
      <c r="E4573" s="249"/>
      <c r="T4573" s="261"/>
    </row>
    <row r="4574" spans="2:20" x14ac:dyDescent="0.2">
      <c r="B4574" s="245"/>
      <c r="C4574" s="248"/>
      <c r="D4574" s="249"/>
      <c r="E4574" s="249"/>
      <c r="T4574" s="261"/>
    </row>
    <row r="4575" spans="2:20" x14ac:dyDescent="0.2">
      <c r="B4575" s="245"/>
      <c r="C4575" s="248"/>
      <c r="D4575" s="249"/>
      <c r="E4575" s="249"/>
      <c r="T4575" s="261"/>
    </row>
    <row r="4576" spans="2:20" x14ac:dyDescent="0.2">
      <c r="B4576" s="245"/>
      <c r="C4576" s="248"/>
      <c r="D4576" s="249"/>
      <c r="E4576" s="249"/>
      <c r="T4576" s="261"/>
    </row>
    <row r="4577" spans="2:20" x14ac:dyDescent="0.2">
      <c r="B4577" s="245"/>
      <c r="C4577" s="248"/>
      <c r="D4577" s="249"/>
      <c r="E4577" s="249"/>
      <c r="T4577" s="261"/>
    </row>
    <row r="4578" spans="2:20" x14ac:dyDescent="0.2">
      <c r="B4578" s="245"/>
      <c r="C4578" s="248"/>
      <c r="D4578" s="249"/>
      <c r="E4578" s="249"/>
      <c r="T4578" s="261"/>
    </row>
    <row r="4579" spans="2:20" x14ac:dyDescent="0.2">
      <c r="B4579" s="245"/>
      <c r="C4579" s="248"/>
      <c r="D4579" s="249"/>
      <c r="E4579" s="249"/>
      <c r="T4579" s="261"/>
    </row>
    <row r="4580" spans="2:20" x14ac:dyDescent="0.2">
      <c r="B4580" s="245"/>
      <c r="C4580" s="248"/>
      <c r="D4580" s="249"/>
      <c r="E4580" s="249"/>
      <c r="T4580" s="261"/>
    </row>
    <row r="4581" spans="2:20" x14ac:dyDescent="0.2">
      <c r="B4581" s="245"/>
      <c r="C4581" s="248"/>
      <c r="D4581" s="249"/>
      <c r="E4581" s="249"/>
      <c r="T4581" s="261"/>
    </row>
    <row r="4582" spans="2:20" x14ac:dyDescent="0.2">
      <c r="B4582" s="245"/>
      <c r="C4582" s="248"/>
      <c r="D4582" s="249"/>
      <c r="E4582" s="249"/>
      <c r="T4582" s="261"/>
    </row>
    <row r="4583" spans="2:20" x14ac:dyDescent="0.2">
      <c r="B4583" s="245"/>
      <c r="C4583" s="248"/>
      <c r="D4583" s="249"/>
      <c r="E4583" s="249"/>
      <c r="T4583" s="261"/>
    </row>
    <row r="4584" spans="2:20" x14ac:dyDescent="0.2">
      <c r="B4584" s="245"/>
      <c r="C4584" s="248"/>
      <c r="D4584" s="249"/>
      <c r="E4584" s="249"/>
      <c r="T4584" s="261"/>
    </row>
    <row r="4585" spans="2:20" x14ac:dyDescent="0.2">
      <c r="B4585" s="245"/>
      <c r="C4585" s="248"/>
      <c r="D4585" s="249"/>
      <c r="E4585" s="249"/>
      <c r="T4585" s="261"/>
    </row>
    <row r="4586" spans="2:20" x14ac:dyDescent="0.2">
      <c r="B4586" s="245"/>
      <c r="C4586" s="248"/>
      <c r="D4586" s="249"/>
      <c r="E4586" s="249"/>
      <c r="T4586" s="261"/>
    </row>
    <row r="4587" spans="2:20" x14ac:dyDescent="0.2">
      <c r="B4587" s="245"/>
      <c r="C4587" s="248"/>
      <c r="D4587" s="249"/>
      <c r="E4587" s="249"/>
      <c r="T4587" s="261"/>
    </row>
    <row r="4588" spans="2:20" x14ac:dyDescent="0.2">
      <c r="B4588" s="245"/>
      <c r="C4588" s="248"/>
      <c r="D4588" s="249"/>
      <c r="E4588" s="249"/>
      <c r="T4588" s="261"/>
    </row>
    <row r="4589" spans="2:20" x14ac:dyDescent="0.2">
      <c r="B4589" s="245"/>
      <c r="C4589" s="248"/>
      <c r="D4589" s="249"/>
      <c r="E4589" s="249"/>
      <c r="T4589" s="261"/>
    </row>
    <row r="4590" spans="2:20" x14ac:dyDescent="0.2">
      <c r="B4590" s="245"/>
      <c r="C4590" s="248"/>
      <c r="D4590" s="249"/>
      <c r="E4590" s="249"/>
      <c r="T4590" s="261"/>
    </row>
    <row r="4591" spans="2:20" x14ac:dyDescent="0.2">
      <c r="B4591" s="245"/>
      <c r="C4591" s="248"/>
      <c r="D4591" s="249"/>
      <c r="E4591" s="249"/>
      <c r="T4591" s="261"/>
    </row>
    <row r="4592" spans="2:20" x14ac:dyDescent="0.2">
      <c r="B4592" s="245"/>
      <c r="C4592" s="248"/>
      <c r="D4592" s="249"/>
      <c r="E4592" s="249"/>
      <c r="T4592" s="261"/>
    </row>
    <row r="4593" spans="2:20" x14ac:dyDescent="0.2">
      <c r="B4593" s="245"/>
      <c r="C4593" s="248"/>
      <c r="D4593" s="249"/>
      <c r="E4593" s="249"/>
      <c r="T4593" s="261"/>
    </row>
    <row r="4594" spans="2:20" x14ac:dyDescent="0.2">
      <c r="B4594" s="245"/>
      <c r="C4594" s="248"/>
      <c r="D4594" s="249"/>
      <c r="E4594" s="249"/>
      <c r="T4594" s="261"/>
    </row>
    <row r="4595" spans="2:20" x14ac:dyDescent="0.2">
      <c r="B4595" s="245"/>
      <c r="C4595" s="248"/>
      <c r="D4595" s="249"/>
      <c r="E4595" s="249"/>
      <c r="T4595" s="261"/>
    </row>
    <row r="4596" spans="2:20" x14ac:dyDescent="0.2">
      <c r="B4596" s="245"/>
      <c r="C4596" s="248"/>
      <c r="D4596" s="249"/>
      <c r="E4596" s="249"/>
      <c r="T4596" s="261"/>
    </row>
    <row r="4597" spans="2:20" x14ac:dyDescent="0.2">
      <c r="B4597" s="245"/>
      <c r="C4597" s="248"/>
      <c r="D4597" s="249"/>
      <c r="E4597" s="249"/>
      <c r="T4597" s="261"/>
    </row>
    <row r="4598" spans="2:20" x14ac:dyDescent="0.2">
      <c r="B4598" s="245"/>
      <c r="C4598" s="248"/>
      <c r="D4598" s="249"/>
      <c r="E4598" s="249"/>
      <c r="T4598" s="261"/>
    </row>
    <row r="4599" spans="2:20" x14ac:dyDescent="0.2">
      <c r="B4599" s="245"/>
      <c r="C4599" s="248"/>
      <c r="D4599" s="249"/>
      <c r="E4599" s="249"/>
      <c r="T4599" s="261"/>
    </row>
    <row r="4600" spans="2:20" x14ac:dyDescent="0.2">
      <c r="B4600" s="245"/>
      <c r="C4600" s="248"/>
      <c r="D4600" s="249"/>
      <c r="E4600" s="249"/>
      <c r="T4600" s="261"/>
    </row>
    <row r="4601" spans="2:20" x14ac:dyDescent="0.2">
      <c r="B4601" s="245"/>
      <c r="C4601" s="248"/>
      <c r="D4601" s="249"/>
      <c r="E4601" s="249"/>
      <c r="T4601" s="261"/>
    </row>
    <row r="4602" spans="2:20" x14ac:dyDescent="0.2">
      <c r="B4602" s="245"/>
      <c r="C4602" s="248"/>
      <c r="D4602" s="249"/>
      <c r="E4602" s="249"/>
      <c r="T4602" s="261"/>
    </row>
    <row r="4603" spans="2:20" x14ac:dyDescent="0.2">
      <c r="B4603" s="245"/>
      <c r="C4603" s="248"/>
      <c r="D4603" s="249"/>
      <c r="E4603" s="249"/>
      <c r="T4603" s="261"/>
    </row>
    <row r="4604" spans="2:20" x14ac:dyDescent="0.2">
      <c r="B4604" s="245"/>
      <c r="C4604" s="248"/>
      <c r="D4604" s="249"/>
      <c r="E4604" s="249"/>
      <c r="T4604" s="261"/>
    </row>
    <row r="4605" spans="2:20" x14ac:dyDescent="0.2">
      <c r="B4605" s="245"/>
      <c r="C4605" s="248"/>
      <c r="D4605" s="249"/>
      <c r="E4605" s="249"/>
      <c r="T4605" s="261"/>
    </row>
    <row r="4606" spans="2:20" x14ac:dyDescent="0.2">
      <c r="B4606" s="245"/>
      <c r="C4606" s="248"/>
      <c r="D4606" s="249"/>
      <c r="E4606" s="249"/>
      <c r="T4606" s="261"/>
    </row>
    <row r="4607" spans="2:20" x14ac:dyDescent="0.2">
      <c r="B4607" s="245"/>
      <c r="C4607" s="248"/>
      <c r="D4607" s="249"/>
      <c r="E4607" s="249"/>
      <c r="T4607" s="261"/>
    </row>
    <row r="4608" spans="2:20" x14ac:dyDescent="0.2">
      <c r="B4608" s="245"/>
      <c r="C4608" s="248"/>
      <c r="D4608" s="249"/>
      <c r="E4608" s="249"/>
      <c r="T4608" s="261"/>
    </row>
    <row r="4609" spans="2:20" x14ac:dyDescent="0.2">
      <c r="B4609" s="245"/>
      <c r="C4609" s="248"/>
      <c r="D4609" s="249"/>
      <c r="E4609" s="249"/>
      <c r="T4609" s="261"/>
    </row>
    <row r="4610" spans="2:20" x14ac:dyDescent="0.2">
      <c r="B4610" s="245"/>
      <c r="C4610" s="248"/>
      <c r="D4610" s="249"/>
      <c r="E4610" s="249"/>
      <c r="T4610" s="261"/>
    </row>
    <row r="4611" spans="2:20" x14ac:dyDescent="0.2">
      <c r="B4611" s="245"/>
      <c r="C4611" s="248"/>
      <c r="D4611" s="249"/>
      <c r="E4611" s="249"/>
      <c r="T4611" s="261"/>
    </row>
    <row r="4612" spans="2:20" x14ac:dyDescent="0.2">
      <c r="B4612" s="245"/>
      <c r="C4612" s="248"/>
      <c r="D4612" s="249"/>
      <c r="E4612" s="249"/>
      <c r="T4612" s="261"/>
    </row>
    <row r="4613" spans="2:20" x14ac:dyDescent="0.2">
      <c r="B4613" s="245"/>
      <c r="C4613" s="248"/>
      <c r="D4613" s="249"/>
      <c r="E4613" s="249"/>
      <c r="T4613" s="261"/>
    </row>
    <row r="4614" spans="2:20" x14ac:dyDescent="0.2">
      <c r="B4614" s="245"/>
      <c r="C4614" s="248"/>
      <c r="D4614" s="249"/>
      <c r="E4614" s="249"/>
      <c r="T4614" s="261"/>
    </row>
    <row r="4615" spans="2:20" x14ac:dyDescent="0.2">
      <c r="B4615" s="245"/>
      <c r="C4615" s="248"/>
      <c r="D4615" s="249"/>
      <c r="E4615" s="249"/>
      <c r="T4615" s="261"/>
    </row>
    <row r="4616" spans="2:20" x14ac:dyDescent="0.2">
      <c r="B4616" s="245"/>
      <c r="C4616" s="248"/>
      <c r="D4616" s="249"/>
      <c r="E4616" s="249"/>
      <c r="T4616" s="261"/>
    </row>
    <row r="4617" spans="2:20" x14ac:dyDescent="0.2">
      <c r="B4617" s="245"/>
      <c r="C4617" s="248"/>
      <c r="D4617" s="249"/>
      <c r="E4617" s="249"/>
      <c r="T4617" s="261"/>
    </row>
    <row r="4618" spans="2:20" x14ac:dyDescent="0.2">
      <c r="B4618" s="245"/>
      <c r="C4618" s="248"/>
      <c r="D4618" s="249"/>
      <c r="E4618" s="249"/>
      <c r="T4618" s="261"/>
    </row>
    <row r="4619" spans="2:20" x14ac:dyDescent="0.2">
      <c r="B4619" s="245"/>
      <c r="C4619" s="248"/>
      <c r="D4619" s="249"/>
      <c r="E4619" s="249"/>
      <c r="T4619" s="261"/>
    </row>
    <row r="4620" spans="2:20" x14ac:dyDescent="0.2">
      <c r="B4620" s="245"/>
      <c r="C4620" s="248"/>
      <c r="D4620" s="249"/>
      <c r="E4620" s="249"/>
      <c r="T4620" s="261"/>
    </row>
    <row r="4621" spans="2:20" x14ac:dyDescent="0.2">
      <c r="B4621" s="245"/>
      <c r="C4621" s="248"/>
      <c r="D4621" s="249"/>
      <c r="E4621" s="249"/>
      <c r="T4621" s="261"/>
    </row>
    <row r="4622" spans="2:20" x14ac:dyDescent="0.2">
      <c r="B4622" s="245"/>
      <c r="C4622" s="248"/>
      <c r="D4622" s="249"/>
      <c r="E4622" s="249"/>
      <c r="T4622" s="261"/>
    </row>
    <row r="4623" spans="2:20" x14ac:dyDescent="0.2">
      <c r="B4623" s="245"/>
      <c r="C4623" s="248"/>
      <c r="D4623" s="249"/>
      <c r="E4623" s="249"/>
      <c r="T4623" s="261"/>
    </row>
    <row r="4624" spans="2:20" x14ac:dyDescent="0.2">
      <c r="B4624" s="245"/>
      <c r="C4624" s="248"/>
      <c r="D4624" s="249"/>
      <c r="E4624" s="249"/>
      <c r="T4624" s="261"/>
    </row>
    <row r="4625" spans="2:20" x14ac:dyDescent="0.2">
      <c r="B4625" s="245"/>
      <c r="C4625" s="248"/>
      <c r="D4625" s="249"/>
      <c r="E4625" s="249"/>
      <c r="T4625" s="261"/>
    </row>
    <row r="4626" spans="2:20" x14ac:dyDescent="0.2">
      <c r="B4626" s="245"/>
      <c r="C4626" s="248"/>
      <c r="D4626" s="249"/>
      <c r="E4626" s="249"/>
      <c r="T4626" s="261"/>
    </row>
    <row r="4627" spans="2:20" x14ac:dyDescent="0.2">
      <c r="B4627" s="245"/>
      <c r="C4627" s="248"/>
      <c r="D4627" s="249"/>
      <c r="E4627" s="249"/>
      <c r="T4627" s="261"/>
    </row>
    <row r="4628" spans="2:20" x14ac:dyDescent="0.2">
      <c r="B4628" s="245"/>
      <c r="C4628" s="248"/>
      <c r="D4628" s="249"/>
      <c r="E4628" s="249"/>
      <c r="T4628" s="261"/>
    </row>
    <row r="4629" spans="2:20" x14ac:dyDescent="0.2">
      <c r="B4629" s="245"/>
      <c r="C4629" s="248"/>
      <c r="D4629" s="249"/>
      <c r="E4629" s="249"/>
      <c r="T4629" s="261"/>
    </row>
    <row r="4630" spans="2:20" x14ac:dyDescent="0.2">
      <c r="B4630" s="245"/>
      <c r="C4630" s="248"/>
      <c r="D4630" s="249"/>
      <c r="E4630" s="249"/>
      <c r="T4630" s="261"/>
    </row>
    <row r="4631" spans="2:20" x14ac:dyDescent="0.2">
      <c r="B4631" s="245"/>
      <c r="C4631" s="248"/>
      <c r="D4631" s="249"/>
      <c r="E4631" s="249"/>
      <c r="T4631" s="261"/>
    </row>
    <row r="4632" spans="2:20" x14ac:dyDescent="0.2">
      <c r="B4632" s="245"/>
      <c r="C4632" s="248"/>
      <c r="D4632" s="249"/>
      <c r="E4632" s="249"/>
      <c r="T4632" s="261"/>
    </row>
    <row r="4633" spans="2:20" x14ac:dyDescent="0.2">
      <c r="B4633" s="245"/>
      <c r="C4633" s="248"/>
      <c r="D4633" s="249"/>
      <c r="E4633" s="249"/>
      <c r="T4633" s="261"/>
    </row>
    <row r="4634" spans="2:20" x14ac:dyDescent="0.2">
      <c r="B4634" s="245"/>
      <c r="C4634" s="248"/>
      <c r="D4634" s="249"/>
      <c r="E4634" s="249"/>
      <c r="T4634" s="261"/>
    </row>
    <row r="4635" spans="2:20" x14ac:dyDescent="0.2">
      <c r="B4635" s="245"/>
      <c r="C4635" s="248"/>
      <c r="D4635" s="249"/>
      <c r="E4635" s="249"/>
      <c r="T4635" s="261"/>
    </row>
    <row r="4636" spans="2:20" x14ac:dyDescent="0.2">
      <c r="B4636" s="245"/>
      <c r="C4636" s="248"/>
      <c r="D4636" s="249"/>
      <c r="E4636" s="249"/>
      <c r="T4636" s="261"/>
    </row>
    <row r="4637" spans="2:20" x14ac:dyDescent="0.2">
      <c r="B4637" s="245"/>
      <c r="C4637" s="248"/>
      <c r="D4637" s="249"/>
      <c r="E4637" s="249"/>
      <c r="T4637" s="261"/>
    </row>
    <row r="4638" spans="2:20" x14ac:dyDescent="0.2">
      <c r="B4638" s="245"/>
      <c r="C4638" s="248"/>
      <c r="D4638" s="249"/>
      <c r="E4638" s="249"/>
      <c r="T4638" s="261"/>
    </row>
    <row r="4639" spans="2:20" x14ac:dyDescent="0.2">
      <c r="B4639" s="245"/>
      <c r="C4639" s="248"/>
      <c r="D4639" s="249"/>
      <c r="E4639" s="249"/>
      <c r="T4639" s="261"/>
    </row>
    <row r="4640" spans="2:20" x14ac:dyDescent="0.2">
      <c r="B4640" s="245"/>
      <c r="C4640" s="248"/>
      <c r="D4640" s="249"/>
      <c r="E4640" s="249"/>
      <c r="T4640" s="261"/>
    </row>
    <row r="4641" spans="2:20" x14ac:dyDescent="0.2">
      <c r="B4641" s="245"/>
      <c r="C4641" s="248"/>
      <c r="D4641" s="249"/>
      <c r="E4641" s="249"/>
      <c r="T4641" s="261"/>
    </row>
    <row r="4642" spans="2:20" x14ac:dyDescent="0.2">
      <c r="B4642" s="245"/>
      <c r="C4642" s="248"/>
      <c r="D4642" s="249"/>
      <c r="E4642" s="249"/>
      <c r="T4642" s="261"/>
    </row>
    <row r="4643" spans="2:20" x14ac:dyDescent="0.2">
      <c r="B4643" s="245"/>
      <c r="C4643" s="248"/>
      <c r="D4643" s="249"/>
      <c r="E4643" s="249"/>
      <c r="T4643" s="261"/>
    </row>
    <row r="4644" spans="2:20" x14ac:dyDescent="0.2">
      <c r="B4644" s="245"/>
      <c r="C4644" s="248"/>
      <c r="D4644" s="249"/>
      <c r="E4644" s="249"/>
      <c r="T4644" s="261"/>
    </row>
    <row r="4645" spans="2:20" x14ac:dyDescent="0.2">
      <c r="B4645" s="245"/>
      <c r="C4645" s="248"/>
      <c r="D4645" s="249"/>
      <c r="E4645" s="249"/>
      <c r="T4645" s="261"/>
    </row>
    <row r="4646" spans="2:20" x14ac:dyDescent="0.2">
      <c r="B4646" s="245"/>
      <c r="C4646" s="248"/>
      <c r="D4646" s="249"/>
      <c r="E4646" s="249"/>
      <c r="T4646" s="261"/>
    </row>
    <row r="4647" spans="2:20" x14ac:dyDescent="0.2">
      <c r="B4647" s="245"/>
      <c r="C4647" s="248"/>
      <c r="D4647" s="249"/>
      <c r="E4647" s="249"/>
      <c r="T4647" s="261"/>
    </row>
    <row r="4648" spans="2:20" x14ac:dyDescent="0.2">
      <c r="B4648" s="245"/>
      <c r="C4648" s="248"/>
      <c r="D4648" s="249"/>
      <c r="E4648" s="249"/>
      <c r="T4648" s="261"/>
    </row>
    <row r="4649" spans="2:20" x14ac:dyDescent="0.2">
      <c r="B4649" s="245"/>
      <c r="C4649" s="248"/>
      <c r="D4649" s="249"/>
      <c r="E4649" s="249"/>
      <c r="T4649" s="261"/>
    </row>
    <row r="4650" spans="2:20" x14ac:dyDescent="0.2">
      <c r="B4650" s="245"/>
      <c r="C4650" s="248"/>
      <c r="D4650" s="249"/>
      <c r="E4650" s="249"/>
      <c r="T4650" s="261"/>
    </row>
    <row r="4651" spans="2:20" x14ac:dyDescent="0.2">
      <c r="B4651" s="245"/>
      <c r="C4651" s="248"/>
      <c r="D4651" s="249"/>
      <c r="E4651" s="249"/>
      <c r="T4651" s="261"/>
    </row>
    <row r="4652" spans="2:20" x14ac:dyDescent="0.2">
      <c r="B4652" s="245"/>
      <c r="C4652" s="248"/>
      <c r="D4652" s="249"/>
      <c r="E4652" s="249"/>
      <c r="T4652" s="261"/>
    </row>
    <row r="4653" spans="2:20" x14ac:dyDescent="0.2">
      <c r="B4653" s="245"/>
      <c r="C4653" s="248"/>
      <c r="D4653" s="249"/>
      <c r="E4653" s="249"/>
      <c r="T4653" s="261"/>
    </row>
    <row r="4654" spans="2:20" x14ac:dyDescent="0.2">
      <c r="B4654" s="245"/>
      <c r="C4654" s="248"/>
      <c r="D4654" s="249"/>
      <c r="E4654" s="249"/>
      <c r="T4654" s="261"/>
    </row>
    <row r="4655" spans="2:20" x14ac:dyDescent="0.2">
      <c r="B4655" s="245"/>
      <c r="C4655" s="248"/>
      <c r="D4655" s="249"/>
      <c r="E4655" s="249"/>
      <c r="T4655" s="261"/>
    </row>
    <row r="4656" spans="2:20" x14ac:dyDescent="0.2">
      <c r="B4656" s="245"/>
      <c r="C4656" s="248"/>
      <c r="D4656" s="249"/>
      <c r="E4656" s="249"/>
      <c r="T4656" s="261"/>
    </row>
    <row r="4657" spans="2:20" x14ac:dyDescent="0.2">
      <c r="B4657" s="245"/>
      <c r="C4657" s="248"/>
      <c r="D4657" s="249"/>
      <c r="E4657" s="249"/>
      <c r="T4657" s="261"/>
    </row>
    <row r="4658" spans="2:20" x14ac:dyDescent="0.2">
      <c r="B4658" s="245"/>
      <c r="C4658" s="248"/>
      <c r="D4658" s="249"/>
      <c r="E4658" s="249"/>
      <c r="T4658" s="261"/>
    </row>
    <row r="4659" spans="2:20" x14ac:dyDescent="0.2">
      <c r="B4659" s="245"/>
      <c r="C4659" s="248"/>
      <c r="D4659" s="249"/>
      <c r="E4659" s="249"/>
      <c r="T4659" s="261"/>
    </row>
    <row r="4660" spans="2:20" x14ac:dyDescent="0.2">
      <c r="B4660" s="245"/>
      <c r="C4660" s="248"/>
      <c r="D4660" s="249"/>
      <c r="E4660" s="249"/>
      <c r="T4660" s="261"/>
    </row>
    <row r="4661" spans="2:20" x14ac:dyDescent="0.2">
      <c r="B4661" s="245"/>
      <c r="C4661" s="248"/>
      <c r="D4661" s="249"/>
      <c r="E4661" s="249"/>
      <c r="T4661" s="261"/>
    </row>
    <row r="4662" spans="2:20" x14ac:dyDescent="0.2">
      <c r="B4662" s="245"/>
      <c r="C4662" s="248"/>
      <c r="D4662" s="249"/>
      <c r="E4662" s="249"/>
      <c r="T4662" s="261"/>
    </row>
    <row r="4663" spans="2:20" x14ac:dyDescent="0.2">
      <c r="B4663" s="245"/>
      <c r="C4663" s="248"/>
      <c r="D4663" s="249"/>
      <c r="E4663" s="249"/>
      <c r="T4663" s="261"/>
    </row>
    <row r="4664" spans="2:20" x14ac:dyDescent="0.2">
      <c r="B4664" s="245"/>
      <c r="C4664" s="248"/>
      <c r="D4664" s="249"/>
      <c r="E4664" s="249"/>
      <c r="T4664" s="261"/>
    </row>
    <row r="4665" spans="2:20" x14ac:dyDescent="0.2">
      <c r="B4665" s="245"/>
      <c r="C4665" s="248"/>
      <c r="D4665" s="249"/>
      <c r="E4665" s="249"/>
      <c r="T4665" s="261"/>
    </row>
    <row r="4666" spans="2:20" x14ac:dyDescent="0.2">
      <c r="B4666" s="245"/>
      <c r="C4666" s="248"/>
      <c r="D4666" s="249"/>
      <c r="E4666" s="249"/>
      <c r="T4666" s="261"/>
    </row>
    <row r="4667" spans="2:20" x14ac:dyDescent="0.2">
      <c r="B4667" s="245"/>
      <c r="C4667" s="248"/>
      <c r="D4667" s="249"/>
      <c r="E4667" s="249"/>
      <c r="T4667" s="261"/>
    </row>
    <row r="4668" spans="2:20" x14ac:dyDescent="0.2">
      <c r="B4668" s="245"/>
      <c r="C4668" s="248"/>
      <c r="D4668" s="249"/>
      <c r="E4668" s="249"/>
      <c r="T4668" s="261"/>
    </row>
    <row r="4669" spans="2:20" x14ac:dyDescent="0.2">
      <c r="B4669" s="245"/>
      <c r="C4669" s="248"/>
      <c r="D4669" s="249"/>
      <c r="E4669" s="249"/>
      <c r="T4669" s="261"/>
    </row>
    <row r="4670" spans="2:20" x14ac:dyDescent="0.2">
      <c r="B4670" s="245"/>
      <c r="C4670" s="248"/>
      <c r="D4670" s="249"/>
      <c r="E4670" s="249"/>
      <c r="T4670" s="261"/>
    </row>
    <row r="4671" spans="2:20" x14ac:dyDescent="0.2">
      <c r="B4671" s="245"/>
      <c r="C4671" s="248"/>
      <c r="D4671" s="249"/>
      <c r="E4671" s="249"/>
      <c r="T4671" s="261"/>
    </row>
    <row r="4672" spans="2:20" x14ac:dyDescent="0.2">
      <c r="B4672" s="245"/>
      <c r="C4672" s="248"/>
      <c r="D4672" s="249"/>
      <c r="E4672" s="249"/>
      <c r="T4672" s="261"/>
    </row>
    <row r="4673" spans="2:20" x14ac:dyDescent="0.2">
      <c r="B4673" s="245"/>
      <c r="C4673" s="248"/>
      <c r="D4673" s="249"/>
      <c r="E4673" s="249"/>
      <c r="T4673" s="261"/>
    </row>
    <row r="4674" spans="2:20" x14ac:dyDescent="0.2">
      <c r="B4674" s="245"/>
      <c r="C4674" s="248"/>
      <c r="D4674" s="249"/>
      <c r="E4674" s="249"/>
      <c r="T4674" s="261"/>
    </row>
    <row r="4675" spans="2:20" x14ac:dyDescent="0.2">
      <c r="B4675" s="245"/>
      <c r="C4675" s="248"/>
      <c r="D4675" s="249"/>
      <c r="E4675" s="249"/>
      <c r="T4675" s="261"/>
    </row>
    <row r="4676" spans="2:20" x14ac:dyDescent="0.2">
      <c r="B4676" s="245"/>
      <c r="C4676" s="248"/>
      <c r="D4676" s="249"/>
      <c r="E4676" s="249"/>
      <c r="T4676" s="261"/>
    </row>
    <row r="4677" spans="2:20" x14ac:dyDescent="0.2">
      <c r="B4677" s="245"/>
      <c r="C4677" s="248"/>
      <c r="D4677" s="249"/>
      <c r="E4677" s="249"/>
      <c r="T4677" s="261"/>
    </row>
    <row r="4678" spans="2:20" x14ac:dyDescent="0.2">
      <c r="B4678" s="245"/>
      <c r="C4678" s="248"/>
      <c r="D4678" s="249"/>
      <c r="E4678" s="249"/>
      <c r="T4678" s="261"/>
    </row>
    <row r="4679" spans="2:20" x14ac:dyDescent="0.2">
      <c r="B4679" s="245"/>
      <c r="C4679" s="248"/>
      <c r="D4679" s="249"/>
      <c r="E4679" s="249"/>
      <c r="T4679" s="261"/>
    </row>
    <row r="4680" spans="2:20" x14ac:dyDescent="0.2">
      <c r="B4680" s="245"/>
      <c r="C4680" s="248"/>
      <c r="D4680" s="249"/>
      <c r="E4680" s="249"/>
      <c r="T4680" s="261"/>
    </row>
    <row r="4681" spans="2:20" x14ac:dyDescent="0.2">
      <c r="B4681" s="245"/>
      <c r="C4681" s="248"/>
      <c r="D4681" s="249"/>
      <c r="E4681" s="249"/>
      <c r="T4681" s="261"/>
    </row>
    <row r="4682" spans="2:20" x14ac:dyDescent="0.2">
      <c r="B4682" s="245"/>
      <c r="C4682" s="248"/>
      <c r="D4682" s="249"/>
      <c r="E4682" s="249"/>
      <c r="T4682" s="261"/>
    </row>
    <row r="4683" spans="2:20" x14ac:dyDescent="0.2">
      <c r="B4683" s="245"/>
      <c r="C4683" s="248"/>
      <c r="D4683" s="249"/>
      <c r="E4683" s="249"/>
      <c r="T4683" s="261"/>
    </row>
    <row r="4684" spans="2:20" x14ac:dyDescent="0.2">
      <c r="B4684" s="245"/>
      <c r="C4684" s="248"/>
      <c r="D4684" s="249"/>
      <c r="E4684" s="249"/>
      <c r="T4684" s="261"/>
    </row>
    <row r="4685" spans="2:20" x14ac:dyDescent="0.2">
      <c r="B4685" s="245"/>
      <c r="C4685" s="248"/>
      <c r="D4685" s="249"/>
      <c r="E4685" s="249"/>
      <c r="T4685" s="261"/>
    </row>
    <row r="4686" spans="2:20" x14ac:dyDescent="0.2">
      <c r="B4686" s="245"/>
      <c r="C4686" s="248"/>
      <c r="D4686" s="249"/>
      <c r="E4686" s="249"/>
      <c r="T4686" s="261"/>
    </row>
    <row r="4687" spans="2:20" x14ac:dyDescent="0.2">
      <c r="B4687" s="245"/>
      <c r="C4687" s="248"/>
      <c r="D4687" s="249"/>
      <c r="E4687" s="249"/>
      <c r="T4687" s="261"/>
    </row>
    <row r="4688" spans="2:20" x14ac:dyDescent="0.2">
      <c r="B4688" s="245"/>
      <c r="C4688" s="248"/>
      <c r="D4688" s="249"/>
      <c r="E4688" s="249"/>
      <c r="T4688" s="261"/>
    </row>
    <row r="4689" spans="2:20" x14ac:dyDescent="0.2">
      <c r="B4689" s="245"/>
      <c r="C4689" s="248"/>
      <c r="D4689" s="249"/>
      <c r="E4689" s="249"/>
      <c r="T4689" s="261"/>
    </row>
    <row r="4690" spans="2:20" x14ac:dyDescent="0.2">
      <c r="B4690" s="245"/>
      <c r="C4690" s="248"/>
      <c r="D4690" s="249"/>
      <c r="E4690" s="249"/>
      <c r="T4690" s="261"/>
    </row>
    <row r="4691" spans="2:20" x14ac:dyDescent="0.2">
      <c r="B4691" s="245"/>
      <c r="C4691" s="248"/>
      <c r="D4691" s="249"/>
      <c r="E4691" s="249"/>
      <c r="T4691" s="261"/>
    </row>
    <row r="4692" spans="2:20" x14ac:dyDescent="0.2">
      <c r="B4692" s="245"/>
      <c r="C4692" s="248"/>
      <c r="D4692" s="249"/>
      <c r="E4692" s="249"/>
      <c r="T4692" s="261"/>
    </row>
    <row r="4693" spans="2:20" x14ac:dyDescent="0.2">
      <c r="B4693" s="245"/>
      <c r="C4693" s="248"/>
      <c r="D4693" s="249"/>
      <c r="E4693" s="249"/>
      <c r="T4693" s="261"/>
    </row>
    <row r="4694" spans="2:20" x14ac:dyDescent="0.2">
      <c r="B4694" s="245"/>
      <c r="C4694" s="248"/>
      <c r="D4694" s="249"/>
      <c r="E4694" s="249"/>
      <c r="T4694" s="261"/>
    </row>
    <row r="4695" spans="2:20" x14ac:dyDescent="0.2">
      <c r="B4695" s="245"/>
      <c r="C4695" s="248"/>
      <c r="D4695" s="249"/>
      <c r="E4695" s="249"/>
      <c r="T4695" s="261"/>
    </row>
    <row r="4696" spans="2:20" x14ac:dyDescent="0.2">
      <c r="B4696" s="245"/>
      <c r="C4696" s="248"/>
      <c r="D4696" s="249"/>
      <c r="E4696" s="249"/>
      <c r="T4696" s="261"/>
    </row>
    <row r="4697" spans="2:20" x14ac:dyDescent="0.2">
      <c r="B4697" s="245"/>
      <c r="C4697" s="248"/>
      <c r="D4697" s="249"/>
      <c r="E4697" s="249"/>
      <c r="T4697" s="261"/>
    </row>
    <row r="4698" spans="2:20" x14ac:dyDescent="0.2">
      <c r="B4698" s="245"/>
      <c r="C4698" s="248"/>
      <c r="D4698" s="249"/>
      <c r="E4698" s="249"/>
      <c r="T4698" s="261"/>
    </row>
    <row r="4699" spans="2:20" x14ac:dyDescent="0.2">
      <c r="B4699" s="245"/>
      <c r="C4699" s="248"/>
      <c r="D4699" s="249"/>
      <c r="E4699" s="249"/>
      <c r="T4699" s="261"/>
    </row>
    <row r="4700" spans="2:20" x14ac:dyDescent="0.2">
      <c r="B4700" s="245"/>
      <c r="C4700" s="248"/>
      <c r="D4700" s="249"/>
      <c r="E4700" s="249"/>
      <c r="T4700" s="261"/>
    </row>
    <row r="4701" spans="2:20" x14ac:dyDescent="0.2">
      <c r="B4701" s="245"/>
      <c r="C4701" s="248"/>
      <c r="D4701" s="249"/>
      <c r="E4701" s="249"/>
      <c r="T4701" s="261"/>
    </row>
    <row r="4702" spans="2:20" x14ac:dyDescent="0.2">
      <c r="B4702" s="245"/>
      <c r="C4702" s="248"/>
      <c r="D4702" s="249"/>
      <c r="E4702" s="249"/>
      <c r="T4702" s="261"/>
    </row>
    <row r="4703" spans="2:20" x14ac:dyDescent="0.2">
      <c r="B4703" s="245"/>
      <c r="C4703" s="248"/>
      <c r="D4703" s="249"/>
      <c r="E4703" s="249"/>
      <c r="T4703" s="261"/>
    </row>
    <row r="4704" spans="2:20" x14ac:dyDescent="0.2">
      <c r="B4704" s="245"/>
      <c r="C4704" s="248"/>
      <c r="D4704" s="249"/>
      <c r="E4704" s="249"/>
      <c r="T4704" s="261"/>
    </row>
    <row r="4705" spans="2:20" x14ac:dyDescent="0.2">
      <c r="B4705" s="245"/>
      <c r="C4705" s="248"/>
      <c r="D4705" s="249"/>
      <c r="E4705" s="249"/>
      <c r="T4705" s="261"/>
    </row>
    <row r="4706" spans="2:20" x14ac:dyDescent="0.2">
      <c r="B4706" s="245"/>
      <c r="C4706" s="248"/>
      <c r="D4706" s="249"/>
      <c r="E4706" s="249"/>
      <c r="T4706" s="261"/>
    </row>
    <row r="4707" spans="2:20" x14ac:dyDescent="0.2">
      <c r="B4707" s="245"/>
      <c r="C4707" s="248"/>
      <c r="D4707" s="249"/>
      <c r="E4707" s="249"/>
      <c r="T4707" s="261"/>
    </row>
    <row r="4708" spans="2:20" x14ac:dyDescent="0.2">
      <c r="B4708" s="245"/>
      <c r="C4708" s="248"/>
      <c r="D4708" s="249"/>
      <c r="E4708" s="249"/>
      <c r="T4708" s="261"/>
    </row>
    <row r="4709" spans="2:20" x14ac:dyDescent="0.2">
      <c r="B4709" s="245"/>
      <c r="C4709" s="248"/>
      <c r="D4709" s="249"/>
      <c r="E4709" s="249"/>
      <c r="T4709" s="261"/>
    </row>
    <row r="4710" spans="2:20" x14ac:dyDescent="0.2">
      <c r="B4710" s="245"/>
      <c r="C4710" s="248"/>
      <c r="D4710" s="249"/>
      <c r="E4710" s="249"/>
      <c r="T4710" s="261"/>
    </row>
    <row r="4711" spans="2:20" x14ac:dyDescent="0.2">
      <c r="B4711" s="245"/>
      <c r="C4711" s="248"/>
      <c r="D4711" s="249"/>
      <c r="E4711" s="249"/>
      <c r="T4711" s="261"/>
    </row>
    <row r="4712" spans="2:20" x14ac:dyDescent="0.2">
      <c r="B4712" s="245"/>
      <c r="C4712" s="248"/>
      <c r="D4712" s="249"/>
      <c r="E4712" s="249"/>
      <c r="T4712" s="261"/>
    </row>
    <row r="4713" spans="2:20" x14ac:dyDescent="0.2">
      <c r="B4713" s="245"/>
      <c r="C4713" s="248"/>
      <c r="D4713" s="249"/>
      <c r="E4713" s="249"/>
      <c r="T4713" s="261"/>
    </row>
    <row r="4714" spans="2:20" x14ac:dyDescent="0.2">
      <c r="B4714" s="245"/>
      <c r="C4714" s="248"/>
      <c r="D4714" s="249"/>
      <c r="E4714" s="249"/>
      <c r="T4714" s="261"/>
    </row>
    <row r="4715" spans="2:20" x14ac:dyDescent="0.2">
      <c r="B4715" s="245"/>
      <c r="C4715" s="248"/>
      <c r="D4715" s="249"/>
      <c r="E4715" s="249"/>
      <c r="T4715" s="261"/>
    </row>
    <row r="4716" spans="2:20" x14ac:dyDescent="0.2">
      <c r="B4716" s="245"/>
      <c r="C4716" s="248"/>
      <c r="D4716" s="249"/>
      <c r="E4716" s="249"/>
      <c r="T4716" s="261"/>
    </row>
    <row r="4717" spans="2:20" x14ac:dyDescent="0.2">
      <c r="B4717" s="245"/>
      <c r="C4717" s="248"/>
      <c r="D4717" s="249"/>
      <c r="E4717" s="249"/>
      <c r="T4717" s="261"/>
    </row>
    <row r="4718" spans="2:20" x14ac:dyDescent="0.2">
      <c r="B4718" s="245"/>
      <c r="C4718" s="248"/>
      <c r="D4718" s="249"/>
      <c r="E4718" s="249"/>
      <c r="T4718" s="261"/>
    </row>
    <row r="4719" spans="2:20" x14ac:dyDescent="0.2">
      <c r="B4719" s="245"/>
      <c r="C4719" s="248"/>
      <c r="D4719" s="249"/>
      <c r="E4719" s="249"/>
      <c r="T4719" s="261"/>
    </row>
    <row r="4720" spans="2:20" x14ac:dyDescent="0.2">
      <c r="B4720" s="245"/>
      <c r="C4720" s="248"/>
      <c r="D4720" s="249"/>
      <c r="E4720" s="249"/>
      <c r="T4720" s="261"/>
    </row>
    <row r="4721" spans="2:20" x14ac:dyDescent="0.2">
      <c r="B4721" s="245"/>
      <c r="C4721" s="248"/>
      <c r="D4721" s="249"/>
      <c r="E4721" s="249"/>
      <c r="T4721" s="261"/>
    </row>
    <row r="4722" spans="2:20" x14ac:dyDescent="0.2">
      <c r="B4722" s="245"/>
      <c r="C4722" s="248"/>
      <c r="D4722" s="249"/>
      <c r="E4722" s="249"/>
      <c r="T4722" s="261"/>
    </row>
    <row r="4723" spans="2:20" x14ac:dyDescent="0.2">
      <c r="B4723" s="245"/>
      <c r="C4723" s="248"/>
      <c r="D4723" s="249"/>
      <c r="E4723" s="249"/>
      <c r="T4723" s="261"/>
    </row>
    <row r="4724" spans="2:20" x14ac:dyDescent="0.2">
      <c r="B4724" s="245"/>
      <c r="C4724" s="248"/>
      <c r="D4724" s="249"/>
      <c r="E4724" s="249"/>
      <c r="T4724" s="261"/>
    </row>
    <row r="4725" spans="2:20" x14ac:dyDescent="0.2">
      <c r="B4725" s="245"/>
      <c r="C4725" s="248"/>
      <c r="D4725" s="249"/>
      <c r="E4725" s="249"/>
      <c r="T4725" s="261"/>
    </row>
    <row r="4726" spans="2:20" x14ac:dyDescent="0.2">
      <c r="B4726" s="245"/>
      <c r="C4726" s="248"/>
      <c r="D4726" s="249"/>
      <c r="E4726" s="249"/>
      <c r="T4726" s="261"/>
    </row>
    <row r="4727" spans="2:20" x14ac:dyDescent="0.2">
      <c r="B4727" s="245"/>
      <c r="C4727" s="248"/>
      <c r="D4727" s="249"/>
      <c r="E4727" s="249"/>
      <c r="T4727" s="261"/>
    </row>
    <row r="4728" spans="2:20" x14ac:dyDescent="0.2">
      <c r="B4728" s="245"/>
      <c r="C4728" s="248"/>
      <c r="D4728" s="249"/>
      <c r="E4728" s="249"/>
      <c r="T4728" s="261"/>
    </row>
    <row r="4729" spans="2:20" x14ac:dyDescent="0.2">
      <c r="B4729" s="245"/>
      <c r="C4729" s="248"/>
      <c r="D4729" s="249"/>
      <c r="E4729" s="249"/>
      <c r="T4729" s="261"/>
    </row>
    <row r="4730" spans="2:20" x14ac:dyDescent="0.2">
      <c r="B4730" s="245"/>
      <c r="C4730" s="248"/>
      <c r="D4730" s="249"/>
      <c r="E4730" s="249"/>
      <c r="T4730" s="261"/>
    </row>
    <row r="4731" spans="2:20" x14ac:dyDescent="0.2">
      <c r="B4731" s="245"/>
      <c r="C4731" s="248"/>
      <c r="D4731" s="249"/>
      <c r="E4731" s="249"/>
      <c r="T4731" s="261"/>
    </row>
    <row r="4732" spans="2:20" x14ac:dyDescent="0.2">
      <c r="B4732" s="245"/>
      <c r="C4732" s="248"/>
      <c r="D4732" s="249"/>
      <c r="E4732" s="249"/>
      <c r="T4732" s="261"/>
    </row>
    <row r="4733" spans="2:20" x14ac:dyDescent="0.2">
      <c r="B4733" s="245"/>
      <c r="C4733" s="248"/>
      <c r="D4733" s="249"/>
      <c r="E4733" s="249"/>
      <c r="T4733" s="261"/>
    </row>
    <row r="4734" spans="2:20" x14ac:dyDescent="0.2">
      <c r="B4734" s="245"/>
      <c r="C4734" s="248"/>
      <c r="D4734" s="249"/>
      <c r="E4734" s="249"/>
      <c r="T4734" s="261"/>
    </row>
    <row r="4735" spans="2:20" x14ac:dyDescent="0.2">
      <c r="B4735" s="245"/>
      <c r="C4735" s="248"/>
      <c r="D4735" s="249"/>
      <c r="E4735" s="249"/>
      <c r="T4735" s="261"/>
    </row>
    <row r="4736" spans="2:20" x14ac:dyDescent="0.2">
      <c r="B4736" s="245"/>
      <c r="C4736" s="248"/>
      <c r="D4736" s="249"/>
      <c r="E4736" s="249"/>
      <c r="T4736" s="261"/>
    </row>
    <row r="4737" spans="2:20" x14ac:dyDescent="0.2">
      <c r="B4737" s="245"/>
      <c r="C4737" s="248"/>
      <c r="D4737" s="249"/>
      <c r="E4737" s="249"/>
      <c r="T4737" s="261"/>
    </row>
    <row r="4738" spans="2:20" x14ac:dyDescent="0.2">
      <c r="B4738" s="245"/>
      <c r="C4738" s="248"/>
      <c r="D4738" s="249"/>
      <c r="E4738" s="249"/>
      <c r="T4738" s="261"/>
    </row>
    <row r="4739" spans="2:20" x14ac:dyDescent="0.2">
      <c r="B4739" s="245"/>
      <c r="C4739" s="248"/>
      <c r="D4739" s="249"/>
      <c r="E4739" s="249"/>
      <c r="T4739" s="261"/>
    </row>
    <row r="4740" spans="2:20" x14ac:dyDescent="0.2">
      <c r="B4740" s="245"/>
      <c r="C4740" s="248"/>
      <c r="D4740" s="249"/>
      <c r="E4740" s="249"/>
      <c r="T4740" s="261"/>
    </row>
    <row r="4741" spans="2:20" x14ac:dyDescent="0.2">
      <c r="B4741" s="245"/>
      <c r="C4741" s="248"/>
      <c r="D4741" s="249"/>
      <c r="E4741" s="249"/>
      <c r="T4741" s="261"/>
    </row>
    <row r="4742" spans="2:20" x14ac:dyDescent="0.2">
      <c r="B4742" s="245"/>
      <c r="C4742" s="248"/>
      <c r="D4742" s="249"/>
      <c r="E4742" s="249"/>
      <c r="T4742" s="261"/>
    </row>
    <row r="4743" spans="2:20" x14ac:dyDescent="0.2">
      <c r="B4743" s="245"/>
      <c r="C4743" s="248"/>
      <c r="D4743" s="249"/>
      <c r="E4743" s="249"/>
      <c r="T4743" s="261"/>
    </row>
    <row r="4744" spans="2:20" x14ac:dyDescent="0.2">
      <c r="B4744" s="245"/>
      <c r="C4744" s="248"/>
      <c r="D4744" s="249"/>
      <c r="E4744" s="249"/>
      <c r="T4744" s="261"/>
    </row>
    <row r="4745" spans="2:20" x14ac:dyDescent="0.2">
      <c r="B4745" s="245"/>
      <c r="C4745" s="248"/>
      <c r="D4745" s="249"/>
      <c r="E4745" s="249"/>
      <c r="T4745" s="261"/>
    </row>
    <row r="4746" spans="2:20" x14ac:dyDescent="0.2">
      <c r="B4746" s="245"/>
      <c r="C4746" s="248"/>
      <c r="D4746" s="249"/>
      <c r="E4746" s="249"/>
      <c r="T4746" s="261"/>
    </row>
    <row r="4747" spans="2:20" x14ac:dyDescent="0.2">
      <c r="B4747" s="245"/>
      <c r="C4747" s="248"/>
      <c r="D4747" s="249"/>
      <c r="E4747" s="249"/>
      <c r="T4747" s="261"/>
    </row>
    <row r="4748" spans="2:20" x14ac:dyDescent="0.2">
      <c r="B4748" s="245"/>
      <c r="C4748" s="248"/>
      <c r="D4748" s="249"/>
      <c r="E4748" s="249"/>
      <c r="T4748" s="261"/>
    </row>
    <row r="4749" spans="2:20" x14ac:dyDescent="0.2">
      <c r="B4749" s="245"/>
      <c r="C4749" s="248"/>
      <c r="D4749" s="249"/>
      <c r="E4749" s="249"/>
      <c r="T4749" s="261"/>
    </row>
    <row r="4750" spans="2:20" x14ac:dyDescent="0.2">
      <c r="B4750" s="245"/>
      <c r="C4750" s="248"/>
      <c r="D4750" s="249"/>
      <c r="E4750" s="249"/>
      <c r="T4750" s="261"/>
    </row>
    <row r="4751" spans="2:20" x14ac:dyDescent="0.2">
      <c r="B4751" s="245"/>
      <c r="C4751" s="248"/>
      <c r="D4751" s="249"/>
      <c r="E4751" s="249"/>
      <c r="T4751" s="261"/>
    </row>
    <row r="4752" spans="2:20" x14ac:dyDescent="0.2">
      <c r="B4752" s="245"/>
      <c r="C4752" s="248"/>
      <c r="D4752" s="249"/>
      <c r="E4752" s="249"/>
      <c r="T4752" s="261"/>
    </row>
    <row r="4753" spans="2:20" x14ac:dyDescent="0.2">
      <c r="B4753" s="245"/>
      <c r="C4753" s="248"/>
      <c r="D4753" s="249"/>
      <c r="E4753" s="249"/>
      <c r="T4753" s="261"/>
    </row>
    <row r="4754" spans="2:20" x14ac:dyDescent="0.2">
      <c r="B4754" s="245"/>
      <c r="C4754" s="248"/>
      <c r="D4754" s="249"/>
      <c r="E4754" s="249"/>
      <c r="T4754" s="261"/>
    </row>
    <row r="4755" spans="2:20" x14ac:dyDescent="0.2">
      <c r="B4755" s="245"/>
      <c r="C4755" s="248"/>
      <c r="D4755" s="249"/>
      <c r="E4755" s="249"/>
      <c r="T4755" s="261"/>
    </row>
    <row r="4756" spans="2:20" x14ac:dyDescent="0.2">
      <c r="B4756" s="245"/>
      <c r="C4756" s="248"/>
      <c r="D4756" s="249"/>
      <c r="E4756" s="249"/>
      <c r="T4756" s="261"/>
    </row>
    <row r="4757" spans="2:20" x14ac:dyDescent="0.2">
      <c r="B4757" s="245"/>
      <c r="C4757" s="248"/>
      <c r="D4757" s="249"/>
      <c r="E4757" s="249"/>
      <c r="T4757" s="261"/>
    </row>
    <row r="4758" spans="2:20" x14ac:dyDescent="0.2">
      <c r="B4758" s="245"/>
      <c r="C4758" s="248"/>
      <c r="D4758" s="249"/>
      <c r="E4758" s="249"/>
      <c r="T4758" s="261"/>
    </row>
    <row r="4759" spans="2:20" x14ac:dyDescent="0.2">
      <c r="B4759" s="245"/>
      <c r="C4759" s="248"/>
      <c r="D4759" s="249"/>
      <c r="E4759" s="249"/>
      <c r="T4759" s="261"/>
    </row>
    <row r="4760" spans="2:20" x14ac:dyDescent="0.2">
      <c r="B4760" s="245"/>
      <c r="C4760" s="248"/>
      <c r="D4760" s="249"/>
      <c r="E4760" s="249"/>
      <c r="T4760" s="261"/>
    </row>
    <row r="4761" spans="2:20" x14ac:dyDescent="0.2">
      <c r="B4761" s="245"/>
      <c r="C4761" s="248"/>
      <c r="D4761" s="249"/>
      <c r="E4761" s="249"/>
      <c r="T4761" s="261"/>
    </row>
    <row r="4762" spans="2:20" x14ac:dyDescent="0.2">
      <c r="B4762" s="245"/>
      <c r="C4762" s="248"/>
      <c r="D4762" s="249"/>
      <c r="E4762" s="249"/>
      <c r="T4762" s="261"/>
    </row>
    <row r="4763" spans="2:20" x14ac:dyDescent="0.2">
      <c r="B4763" s="245"/>
      <c r="C4763" s="248"/>
      <c r="D4763" s="249"/>
      <c r="E4763" s="249"/>
      <c r="T4763" s="261"/>
    </row>
    <row r="4764" spans="2:20" x14ac:dyDescent="0.2">
      <c r="B4764" s="245"/>
      <c r="C4764" s="248"/>
      <c r="D4764" s="249"/>
      <c r="E4764" s="249"/>
      <c r="T4764" s="261"/>
    </row>
    <row r="4765" spans="2:20" x14ac:dyDescent="0.2">
      <c r="B4765" s="245"/>
      <c r="C4765" s="248"/>
      <c r="D4765" s="249"/>
      <c r="E4765" s="249"/>
      <c r="T4765" s="261"/>
    </row>
    <row r="4766" spans="2:20" x14ac:dyDescent="0.2">
      <c r="B4766" s="245"/>
      <c r="C4766" s="248"/>
      <c r="D4766" s="249"/>
      <c r="E4766" s="249"/>
      <c r="T4766" s="261"/>
    </row>
    <row r="4767" spans="2:20" x14ac:dyDescent="0.2">
      <c r="B4767" s="245"/>
      <c r="C4767" s="248"/>
      <c r="D4767" s="249"/>
      <c r="E4767" s="249"/>
      <c r="T4767" s="261"/>
    </row>
    <row r="4768" spans="2:20" x14ac:dyDescent="0.2">
      <c r="B4768" s="245"/>
      <c r="C4768" s="248"/>
      <c r="D4768" s="249"/>
      <c r="E4768" s="249"/>
      <c r="T4768" s="261"/>
    </row>
    <row r="4769" spans="2:20" x14ac:dyDescent="0.2">
      <c r="B4769" s="245"/>
      <c r="C4769" s="248"/>
      <c r="D4769" s="249"/>
      <c r="E4769" s="249"/>
      <c r="T4769" s="261"/>
    </row>
    <row r="4770" spans="2:20" x14ac:dyDescent="0.2">
      <c r="B4770" s="245"/>
      <c r="C4770" s="248"/>
      <c r="D4770" s="249"/>
      <c r="E4770" s="249"/>
      <c r="T4770" s="261"/>
    </row>
    <row r="4771" spans="2:20" x14ac:dyDescent="0.2">
      <c r="B4771" s="245"/>
      <c r="C4771" s="248"/>
      <c r="D4771" s="249"/>
      <c r="E4771" s="249"/>
      <c r="T4771" s="261"/>
    </row>
    <row r="4772" spans="2:20" x14ac:dyDescent="0.2">
      <c r="B4772" s="245"/>
      <c r="C4772" s="248"/>
      <c r="D4772" s="249"/>
      <c r="E4772" s="249"/>
      <c r="T4772" s="261"/>
    </row>
    <row r="4773" spans="2:20" x14ac:dyDescent="0.2">
      <c r="B4773" s="245"/>
      <c r="C4773" s="248"/>
      <c r="D4773" s="249"/>
      <c r="E4773" s="249"/>
      <c r="T4773" s="261"/>
    </row>
    <row r="4774" spans="2:20" x14ac:dyDescent="0.2">
      <c r="B4774" s="245"/>
      <c r="C4774" s="248"/>
      <c r="D4774" s="249"/>
      <c r="E4774" s="249"/>
      <c r="T4774" s="261"/>
    </row>
    <row r="4775" spans="2:20" x14ac:dyDescent="0.2">
      <c r="B4775" s="245"/>
      <c r="C4775" s="248"/>
      <c r="D4775" s="249"/>
      <c r="E4775" s="249"/>
      <c r="T4775" s="261"/>
    </row>
    <row r="4776" spans="2:20" x14ac:dyDescent="0.2">
      <c r="B4776" s="245"/>
      <c r="C4776" s="248"/>
      <c r="D4776" s="249"/>
      <c r="E4776" s="249"/>
      <c r="T4776" s="261"/>
    </row>
    <row r="4777" spans="2:20" x14ac:dyDescent="0.2">
      <c r="B4777" s="245"/>
      <c r="C4777" s="248"/>
      <c r="D4777" s="249"/>
      <c r="E4777" s="249"/>
      <c r="T4777" s="261"/>
    </row>
    <row r="4778" spans="2:20" x14ac:dyDescent="0.2">
      <c r="B4778" s="245"/>
      <c r="C4778" s="248"/>
      <c r="D4778" s="249"/>
      <c r="E4778" s="249"/>
      <c r="T4778" s="261"/>
    </row>
    <row r="4779" spans="2:20" x14ac:dyDescent="0.2">
      <c r="B4779" s="245"/>
      <c r="C4779" s="248"/>
      <c r="D4779" s="249"/>
      <c r="E4779" s="249"/>
      <c r="T4779" s="261"/>
    </row>
    <row r="4780" spans="2:20" x14ac:dyDescent="0.2">
      <c r="B4780" s="245"/>
      <c r="C4780" s="248"/>
      <c r="D4780" s="249"/>
      <c r="E4780" s="249"/>
      <c r="T4780" s="261"/>
    </row>
    <row r="4781" spans="2:20" x14ac:dyDescent="0.2">
      <c r="B4781" s="245"/>
      <c r="C4781" s="248"/>
      <c r="D4781" s="249"/>
      <c r="E4781" s="249"/>
      <c r="T4781" s="261"/>
    </row>
    <row r="4782" spans="2:20" x14ac:dyDescent="0.2">
      <c r="B4782" s="245"/>
      <c r="C4782" s="248"/>
      <c r="D4782" s="249"/>
      <c r="E4782" s="249"/>
      <c r="T4782" s="261"/>
    </row>
    <row r="4783" spans="2:20" x14ac:dyDescent="0.2">
      <c r="B4783" s="245"/>
      <c r="C4783" s="248"/>
      <c r="D4783" s="249"/>
      <c r="E4783" s="249"/>
      <c r="T4783" s="261"/>
    </row>
    <row r="4784" spans="2:20" x14ac:dyDescent="0.2">
      <c r="B4784" s="245"/>
      <c r="C4784" s="248"/>
      <c r="D4784" s="249"/>
      <c r="E4784" s="249"/>
      <c r="T4784" s="261"/>
    </row>
    <row r="4785" spans="2:20" x14ac:dyDescent="0.2">
      <c r="B4785" s="245"/>
      <c r="C4785" s="248"/>
      <c r="D4785" s="249"/>
      <c r="E4785" s="249"/>
      <c r="T4785" s="261"/>
    </row>
    <row r="4786" spans="2:20" x14ac:dyDescent="0.2">
      <c r="B4786" s="245"/>
      <c r="C4786" s="248"/>
      <c r="D4786" s="249"/>
      <c r="E4786" s="249"/>
      <c r="T4786" s="261"/>
    </row>
    <row r="4787" spans="2:20" x14ac:dyDescent="0.2">
      <c r="B4787" s="245"/>
      <c r="C4787" s="248"/>
      <c r="D4787" s="249"/>
      <c r="E4787" s="249"/>
      <c r="T4787" s="261"/>
    </row>
    <row r="4788" spans="2:20" x14ac:dyDescent="0.2">
      <c r="B4788" s="245"/>
      <c r="C4788" s="248"/>
      <c r="D4788" s="249"/>
      <c r="E4788" s="249"/>
      <c r="T4788" s="261"/>
    </row>
    <row r="4789" spans="2:20" x14ac:dyDescent="0.2">
      <c r="B4789" s="245"/>
      <c r="C4789" s="248"/>
      <c r="D4789" s="249"/>
      <c r="E4789" s="249"/>
      <c r="T4789" s="261"/>
    </row>
    <row r="4790" spans="2:20" x14ac:dyDescent="0.2">
      <c r="B4790" s="245"/>
      <c r="C4790" s="248"/>
      <c r="D4790" s="249"/>
      <c r="E4790" s="249"/>
      <c r="T4790" s="261"/>
    </row>
    <row r="4791" spans="2:20" x14ac:dyDescent="0.2">
      <c r="B4791" s="245"/>
      <c r="C4791" s="248"/>
      <c r="D4791" s="249"/>
      <c r="E4791" s="249"/>
      <c r="T4791" s="261"/>
    </row>
    <row r="4792" spans="2:20" x14ac:dyDescent="0.2">
      <c r="B4792" s="245"/>
      <c r="C4792" s="248"/>
      <c r="D4792" s="249"/>
      <c r="E4792" s="249"/>
      <c r="T4792" s="261"/>
    </row>
    <row r="4793" spans="2:20" x14ac:dyDescent="0.2">
      <c r="B4793" s="245"/>
      <c r="C4793" s="248"/>
      <c r="D4793" s="249"/>
      <c r="E4793" s="249"/>
      <c r="T4793" s="261"/>
    </row>
    <row r="4794" spans="2:20" x14ac:dyDescent="0.2">
      <c r="B4794" s="245"/>
      <c r="C4794" s="248"/>
      <c r="D4794" s="249"/>
      <c r="E4794" s="249"/>
      <c r="T4794" s="261"/>
    </row>
    <row r="4795" spans="2:20" x14ac:dyDescent="0.2">
      <c r="B4795" s="245"/>
      <c r="C4795" s="248"/>
      <c r="D4795" s="249"/>
      <c r="E4795" s="249"/>
      <c r="T4795" s="261"/>
    </row>
    <row r="4796" spans="2:20" x14ac:dyDescent="0.2">
      <c r="B4796" s="245"/>
      <c r="C4796" s="248"/>
      <c r="D4796" s="249"/>
      <c r="E4796" s="249"/>
      <c r="T4796" s="261"/>
    </row>
    <row r="4797" spans="2:20" x14ac:dyDescent="0.2">
      <c r="B4797" s="245"/>
      <c r="C4797" s="248"/>
      <c r="D4797" s="249"/>
      <c r="E4797" s="249"/>
      <c r="T4797" s="261"/>
    </row>
    <row r="4798" spans="2:20" x14ac:dyDescent="0.2">
      <c r="B4798" s="245"/>
      <c r="C4798" s="248"/>
      <c r="D4798" s="249"/>
      <c r="E4798" s="249"/>
      <c r="T4798" s="261"/>
    </row>
    <row r="4799" spans="2:20" x14ac:dyDescent="0.2">
      <c r="B4799" s="245"/>
      <c r="C4799" s="248"/>
      <c r="D4799" s="249"/>
      <c r="E4799" s="249"/>
      <c r="T4799" s="261"/>
    </row>
    <row r="4800" spans="2:20" x14ac:dyDescent="0.2">
      <c r="B4800" s="245"/>
      <c r="C4800" s="248"/>
      <c r="D4800" s="249"/>
      <c r="E4800" s="249"/>
      <c r="T4800" s="261"/>
    </row>
    <row r="4801" spans="2:20" x14ac:dyDescent="0.2">
      <c r="B4801" s="245"/>
      <c r="C4801" s="248"/>
      <c r="D4801" s="249"/>
      <c r="E4801" s="249"/>
      <c r="T4801" s="261"/>
    </row>
    <row r="4802" spans="2:20" x14ac:dyDescent="0.2">
      <c r="B4802" s="245"/>
      <c r="C4802" s="248"/>
      <c r="D4802" s="249"/>
      <c r="E4802" s="249"/>
      <c r="T4802" s="261"/>
    </row>
    <row r="4803" spans="2:20" x14ac:dyDescent="0.2">
      <c r="B4803" s="245"/>
      <c r="C4803" s="248"/>
      <c r="D4803" s="249"/>
      <c r="E4803" s="249"/>
      <c r="T4803" s="261"/>
    </row>
    <row r="4804" spans="2:20" x14ac:dyDescent="0.2">
      <c r="B4804" s="245"/>
      <c r="C4804" s="248"/>
      <c r="D4804" s="249"/>
      <c r="E4804" s="249"/>
      <c r="T4804" s="261"/>
    </row>
    <row r="4805" spans="2:20" x14ac:dyDescent="0.2">
      <c r="B4805" s="245"/>
      <c r="C4805" s="248"/>
      <c r="D4805" s="249"/>
      <c r="E4805" s="249"/>
      <c r="T4805" s="261"/>
    </row>
    <row r="4806" spans="2:20" x14ac:dyDescent="0.2">
      <c r="B4806" s="245"/>
      <c r="C4806" s="248"/>
      <c r="D4806" s="249"/>
      <c r="E4806" s="249"/>
      <c r="T4806" s="261"/>
    </row>
    <row r="4807" spans="2:20" x14ac:dyDescent="0.2">
      <c r="B4807" s="245"/>
      <c r="C4807" s="248"/>
      <c r="D4807" s="249"/>
      <c r="E4807" s="249"/>
      <c r="T4807" s="261"/>
    </row>
    <row r="4808" spans="2:20" x14ac:dyDescent="0.2">
      <c r="B4808" s="245"/>
      <c r="C4808" s="248"/>
      <c r="D4808" s="249"/>
      <c r="E4808" s="249"/>
      <c r="T4808" s="261"/>
    </row>
    <row r="4809" spans="2:20" x14ac:dyDescent="0.2">
      <c r="B4809" s="245"/>
      <c r="C4809" s="248"/>
      <c r="D4809" s="249"/>
      <c r="E4809" s="249"/>
      <c r="T4809" s="261"/>
    </row>
    <row r="4810" spans="2:20" x14ac:dyDescent="0.2">
      <c r="B4810" s="245"/>
      <c r="C4810" s="248"/>
      <c r="D4810" s="249"/>
      <c r="E4810" s="249"/>
      <c r="T4810" s="261"/>
    </row>
    <row r="4811" spans="2:20" x14ac:dyDescent="0.2">
      <c r="B4811" s="245"/>
      <c r="C4811" s="248"/>
      <c r="D4811" s="249"/>
      <c r="E4811" s="249"/>
      <c r="T4811" s="261"/>
    </row>
    <row r="4812" spans="2:20" x14ac:dyDescent="0.2">
      <c r="B4812" s="245"/>
      <c r="C4812" s="248"/>
      <c r="D4812" s="249"/>
      <c r="E4812" s="249"/>
      <c r="T4812" s="261"/>
    </row>
    <row r="4813" spans="2:20" x14ac:dyDescent="0.2">
      <c r="B4813" s="245"/>
      <c r="C4813" s="248"/>
      <c r="D4813" s="249"/>
      <c r="E4813" s="249"/>
      <c r="T4813" s="261"/>
    </row>
    <row r="4814" spans="2:20" x14ac:dyDescent="0.2">
      <c r="B4814" s="245"/>
      <c r="C4814" s="248"/>
      <c r="D4814" s="249"/>
      <c r="E4814" s="249"/>
      <c r="T4814" s="261"/>
    </row>
    <row r="4815" spans="2:20" x14ac:dyDescent="0.2">
      <c r="B4815" s="245"/>
      <c r="C4815" s="248"/>
      <c r="D4815" s="249"/>
      <c r="E4815" s="249"/>
      <c r="T4815" s="261"/>
    </row>
    <row r="4816" spans="2:20" x14ac:dyDescent="0.2">
      <c r="B4816" s="245"/>
      <c r="C4816" s="248"/>
      <c r="D4816" s="249"/>
      <c r="E4816" s="249"/>
      <c r="T4816" s="261"/>
    </row>
    <row r="4817" spans="2:20" x14ac:dyDescent="0.2">
      <c r="B4817" s="245"/>
      <c r="C4817" s="248"/>
      <c r="D4817" s="249"/>
      <c r="E4817" s="249"/>
      <c r="T4817" s="261"/>
    </row>
    <row r="4818" spans="2:20" x14ac:dyDescent="0.2">
      <c r="B4818" s="245"/>
      <c r="C4818" s="248"/>
      <c r="D4818" s="249"/>
      <c r="E4818" s="249"/>
      <c r="T4818" s="261"/>
    </row>
    <row r="4819" spans="2:20" x14ac:dyDescent="0.2">
      <c r="B4819" s="245"/>
      <c r="C4819" s="248"/>
      <c r="D4819" s="249"/>
      <c r="E4819" s="249"/>
      <c r="T4819" s="261"/>
    </row>
    <row r="4820" spans="2:20" x14ac:dyDescent="0.2">
      <c r="B4820" s="245"/>
      <c r="C4820" s="248"/>
      <c r="D4820" s="249"/>
      <c r="E4820" s="249"/>
      <c r="T4820" s="261"/>
    </row>
    <row r="4821" spans="2:20" x14ac:dyDescent="0.2">
      <c r="B4821" s="245"/>
      <c r="C4821" s="248"/>
      <c r="D4821" s="249"/>
      <c r="E4821" s="249"/>
      <c r="T4821" s="261"/>
    </row>
    <row r="4822" spans="2:20" x14ac:dyDescent="0.2">
      <c r="B4822" s="245"/>
      <c r="C4822" s="248"/>
      <c r="D4822" s="249"/>
      <c r="E4822" s="249"/>
      <c r="T4822" s="261"/>
    </row>
    <row r="4823" spans="2:20" x14ac:dyDescent="0.2">
      <c r="B4823" s="245"/>
      <c r="C4823" s="248"/>
      <c r="D4823" s="249"/>
      <c r="E4823" s="249"/>
      <c r="T4823" s="261"/>
    </row>
    <row r="4824" spans="2:20" x14ac:dyDescent="0.2">
      <c r="B4824" s="245"/>
      <c r="C4824" s="248"/>
      <c r="D4824" s="249"/>
      <c r="E4824" s="249"/>
      <c r="T4824" s="261"/>
    </row>
    <row r="4825" spans="2:20" x14ac:dyDescent="0.2">
      <c r="B4825" s="245"/>
      <c r="C4825" s="248"/>
      <c r="D4825" s="249"/>
      <c r="E4825" s="249"/>
      <c r="T4825" s="261"/>
    </row>
    <row r="4826" spans="2:20" x14ac:dyDescent="0.2">
      <c r="B4826" s="245"/>
      <c r="C4826" s="248"/>
      <c r="D4826" s="249"/>
      <c r="E4826" s="249"/>
      <c r="T4826" s="261"/>
    </row>
    <row r="4827" spans="2:20" x14ac:dyDescent="0.2">
      <c r="B4827" s="245"/>
      <c r="C4827" s="248"/>
      <c r="D4827" s="249"/>
      <c r="E4827" s="249"/>
      <c r="T4827" s="261"/>
    </row>
    <row r="4828" spans="2:20" x14ac:dyDescent="0.2">
      <c r="B4828" s="245"/>
      <c r="C4828" s="248"/>
      <c r="D4828" s="249"/>
      <c r="E4828" s="249"/>
      <c r="T4828" s="261"/>
    </row>
    <row r="4829" spans="2:20" x14ac:dyDescent="0.2">
      <c r="B4829" s="245"/>
      <c r="C4829" s="248"/>
      <c r="D4829" s="249"/>
      <c r="E4829" s="249"/>
      <c r="T4829" s="261"/>
    </row>
    <row r="4830" spans="2:20" x14ac:dyDescent="0.2">
      <c r="B4830" s="245"/>
      <c r="C4830" s="248"/>
      <c r="D4830" s="249"/>
      <c r="E4830" s="249"/>
      <c r="T4830" s="261"/>
    </row>
    <row r="4831" spans="2:20" x14ac:dyDescent="0.2">
      <c r="B4831" s="245"/>
      <c r="C4831" s="248"/>
      <c r="D4831" s="249"/>
      <c r="E4831" s="249"/>
      <c r="T4831" s="261"/>
    </row>
    <row r="4832" spans="2:20" x14ac:dyDescent="0.2">
      <c r="B4832" s="245"/>
      <c r="C4832" s="248"/>
      <c r="D4832" s="249"/>
      <c r="E4832" s="249"/>
      <c r="T4832" s="261"/>
    </row>
    <row r="4833" spans="2:20" x14ac:dyDescent="0.2">
      <c r="B4833" s="245"/>
      <c r="C4833" s="248"/>
      <c r="D4833" s="249"/>
      <c r="E4833" s="249"/>
      <c r="T4833" s="261"/>
    </row>
    <row r="4834" spans="2:20" x14ac:dyDescent="0.2">
      <c r="B4834" s="245"/>
      <c r="C4834" s="248"/>
      <c r="D4834" s="249"/>
      <c r="E4834" s="249"/>
      <c r="T4834" s="261"/>
    </row>
    <row r="4835" spans="2:20" x14ac:dyDescent="0.2">
      <c r="B4835" s="245"/>
      <c r="C4835" s="248"/>
      <c r="D4835" s="249"/>
      <c r="E4835" s="249"/>
      <c r="T4835" s="261"/>
    </row>
    <row r="4836" spans="2:20" x14ac:dyDescent="0.2">
      <c r="B4836" s="245"/>
      <c r="C4836" s="248"/>
      <c r="D4836" s="249"/>
      <c r="E4836" s="249"/>
      <c r="T4836" s="261"/>
    </row>
    <row r="4837" spans="2:20" x14ac:dyDescent="0.2">
      <c r="B4837" s="245"/>
      <c r="C4837" s="248"/>
      <c r="D4837" s="249"/>
      <c r="E4837" s="249"/>
      <c r="T4837" s="261"/>
    </row>
    <row r="4838" spans="2:20" x14ac:dyDescent="0.2">
      <c r="B4838" s="245"/>
      <c r="C4838" s="248"/>
      <c r="D4838" s="249"/>
      <c r="E4838" s="249"/>
      <c r="T4838" s="261"/>
    </row>
    <row r="4839" spans="2:20" x14ac:dyDescent="0.2">
      <c r="B4839" s="245"/>
      <c r="C4839" s="248"/>
      <c r="D4839" s="249"/>
      <c r="E4839" s="249"/>
      <c r="T4839" s="261"/>
    </row>
    <row r="4840" spans="2:20" x14ac:dyDescent="0.2">
      <c r="B4840" s="245"/>
      <c r="C4840" s="248"/>
      <c r="D4840" s="249"/>
      <c r="E4840" s="249"/>
      <c r="T4840" s="261"/>
    </row>
    <row r="4841" spans="2:20" x14ac:dyDescent="0.2">
      <c r="B4841" s="245"/>
      <c r="C4841" s="248"/>
      <c r="D4841" s="249"/>
      <c r="E4841" s="249"/>
      <c r="T4841" s="261"/>
    </row>
    <row r="4842" spans="2:20" x14ac:dyDescent="0.2">
      <c r="B4842" s="245"/>
      <c r="C4842" s="248"/>
      <c r="D4842" s="249"/>
      <c r="E4842" s="249"/>
      <c r="T4842" s="261"/>
    </row>
    <row r="4843" spans="2:20" x14ac:dyDescent="0.2">
      <c r="B4843" s="245"/>
      <c r="C4843" s="248"/>
      <c r="D4843" s="249"/>
      <c r="E4843" s="249"/>
      <c r="T4843" s="261"/>
    </row>
    <row r="4844" spans="2:20" x14ac:dyDescent="0.2">
      <c r="B4844" s="245"/>
      <c r="C4844" s="248"/>
      <c r="D4844" s="249"/>
      <c r="E4844" s="249"/>
      <c r="T4844" s="261"/>
    </row>
    <row r="4845" spans="2:20" x14ac:dyDescent="0.2">
      <c r="B4845" s="245"/>
      <c r="C4845" s="248"/>
      <c r="D4845" s="249"/>
      <c r="E4845" s="249"/>
      <c r="T4845" s="261"/>
    </row>
    <row r="4846" spans="2:20" x14ac:dyDescent="0.2">
      <c r="B4846" s="245"/>
      <c r="C4846" s="248"/>
      <c r="D4846" s="249"/>
      <c r="E4846" s="249"/>
      <c r="T4846" s="261"/>
    </row>
    <row r="4847" spans="2:20" x14ac:dyDescent="0.2">
      <c r="B4847" s="245"/>
      <c r="C4847" s="248"/>
      <c r="D4847" s="249"/>
      <c r="E4847" s="249"/>
      <c r="T4847" s="261"/>
    </row>
    <row r="4848" spans="2:20" x14ac:dyDescent="0.2">
      <c r="B4848" s="245"/>
      <c r="C4848" s="248"/>
      <c r="D4848" s="249"/>
      <c r="E4848" s="249"/>
      <c r="T4848" s="261"/>
    </row>
    <row r="4849" spans="2:20" x14ac:dyDescent="0.2">
      <c r="B4849" s="245"/>
      <c r="C4849" s="248"/>
      <c r="D4849" s="249"/>
      <c r="E4849" s="249"/>
      <c r="T4849" s="261"/>
    </row>
    <row r="4850" spans="2:20" x14ac:dyDescent="0.2">
      <c r="B4850" s="245"/>
      <c r="C4850" s="248"/>
      <c r="D4850" s="249"/>
      <c r="E4850" s="249"/>
      <c r="T4850" s="261"/>
    </row>
    <row r="4851" spans="2:20" x14ac:dyDescent="0.2">
      <c r="B4851" s="245"/>
      <c r="C4851" s="248"/>
      <c r="D4851" s="249"/>
      <c r="E4851" s="249"/>
      <c r="T4851" s="261"/>
    </row>
    <row r="4852" spans="2:20" x14ac:dyDescent="0.2">
      <c r="B4852" s="245"/>
      <c r="C4852" s="248"/>
      <c r="D4852" s="249"/>
      <c r="E4852" s="249"/>
      <c r="T4852" s="261"/>
    </row>
    <row r="4853" spans="2:20" x14ac:dyDescent="0.2">
      <c r="B4853" s="245"/>
      <c r="C4853" s="248"/>
      <c r="D4853" s="249"/>
      <c r="E4853" s="249"/>
      <c r="T4853" s="261"/>
    </row>
    <row r="4854" spans="2:20" x14ac:dyDescent="0.2">
      <c r="B4854" s="245"/>
      <c r="C4854" s="248"/>
      <c r="D4854" s="249"/>
      <c r="E4854" s="249"/>
      <c r="T4854" s="261"/>
    </row>
    <row r="4855" spans="2:20" x14ac:dyDescent="0.2">
      <c r="B4855" s="245"/>
      <c r="C4855" s="248"/>
      <c r="D4855" s="249"/>
      <c r="E4855" s="249"/>
      <c r="T4855" s="261"/>
    </row>
    <row r="4856" spans="2:20" x14ac:dyDescent="0.2">
      <c r="B4856" s="245"/>
      <c r="C4856" s="248"/>
      <c r="D4856" s="249"/>
      <c r="E4856" s="249"/>
      <c r="T4856" s="261"/>
    </row>
    <row r="4857" spans="2:20" x14ac:dyDescent="0.2">
      <c r="B4857" s="245"/>
      <c r="C4857" s="248"/>
      <c r="D4857" s="249"/>
      <c r="E4857" s="249"/>
      <c r="T4857" s="261"/>
    </row>
    <row r="4858" spans="2:20" x14ac:dyDescent="0.2">
      <c r="B4858" s="245"/>
      <c r="C4858" s="248"/>
      <c r="D4858" s="249"/>
      <c r="E4858" s="249"/>
      <c r="T4858" s="261"/>
    </row>
    <row r="4859" spans="2:20" x14ac:dyDescent="0.2">
      <c r="B4859" s="245"/>
      <c r="C4859" s="248"/>
      <c r="D4859" s="249"/>
      <c r="E4859" s="249"/>
      <c r="T4859" s="261"/>
    </row>
    <row r="4860" spans="2:20" x14ac:dyDescent="0.2">
      <c r="B4860" s="245"/>
      <c r="C4860" s="248"/>
      <c r="D4860" s="249"/>
      <c r="E4860" s="249"/>
      <c r="T4860" s="261"/>
    </row>
    <row r="4861" spans="2:20" x14ac:dyDescent="0.2">
      <c r="B4861" s="245"/>
      <c r="C4861" s="248"/>
      <c r="D4861" s="249"/>
      <c r="E4861" s="249"/>
      <c r="T4861" s="261"/>
    </row>
    <row r="4862" spans="2:20" x14ac:dyDescent="0.2">
      <c r="B4862" s="245"/>
      <c r="C4862" s="248"/>
      <c r="D4862" s="249"/>
      <c r="E4862" s="249"/>
      <c r="T4862" s="261"/>
    </row>
    <row r="4863" spans="2:20" x14ac:dyDescent="0.2">
      <c r="B4863" s="245"/>
      <c r="C4863" s="248"/>
      <c r="D4863" s="249"/>
      <c r="E4863" s="249"/>
      <c r="T4863" s="261"/>
    </row>
    <row r="4864" spans="2:20" x14ac:dyDescent="0.2">
      <c r="B4864" s="245"/>
      <c r="C4864" s="248"/>
      <c r="D4864" s="249"/>
      <c r="E4864" s="249"/>
      <c r="T4864" s="261"/>
    </row>
    <row r="4865" spans="2:20" x14ac:dyDescent="0.2">
      <c r="B4865" s="245"/>
      <c r="C4865" s="248"/>
      <c r="D4865" s="249"/>
      <c r="E4865" s="249"/>
      <c r="T4865" s="261"/>
    </row>
    <row r="4866" spans="2:20" x14ac:dyDescent="0.2">
      <c r="B4866" s="245"/>
      <c r="C4866" s="248"/>
      <c r="D4866" s="249"/>
      <c r="E4866" s="249"/>
      <c r="T4866" s="261"/>
    </row>
    <row r="4867" spans="2:20" x14ac:dyDescent="0.2">
      <c r="B4867" s="245"/>
      <c r="C4867" s="248"/>
      <c r="D4867" s="249"/>
      <c r="E4867" s="249"/>
      <c r="T4867" s="261"/>
    </row>
    <row r="4868" spans="2:20" x14ac:dyDescent="0.2">
      <c r="B4868" s="245"/>
      <c r="C4868" s="248"/>
      <c r="D4868" s="249"/>
      <c r="E4868" s="249"/>
      <c r="T4868" s="261"/>
    </row>
    <row r="4869" spans="2:20" x14ac:dyDescent="0.2">
      <c r="B4869" s="245"/>
      <c r="C4869" s="248"/>
      <c r="D4869" s="249"/>
      <c r="E4869" s="249"/>
      <c r="T4869" s="261"/>
    </row>
    <row r="4870" spans="2:20" x14ac:dyDescent="0.2">
      <c r="B4870" s="245"/>
      <c r="C4870" s="248"/>
      <c r="D4870" s="249"/>
      <c r="E4870" s="249"/>
      <c r="T4870" s="261"/>
    </row>
    <row r="4871" spans="2:20" x14ac:dyDescent="0.2">
      <c r="B4871" s="245"/>
      <c r="C4871" s="248"/>
      <c r="D4871" s="249"/>
      <c r="E4871" s="249"/>
      <c r="T4871" s="261"/>
    </row>
    <row r="4872" spans="2:20" x14ac:dyDescent="0.2">
      <c r="B4872" s="245"/>
      <c r="C4872" s="248"/>
      <c r="D4872" s="249"/>
      <c r="E4872" s="249"/>
      <c r="T4872" s="261"/>
    </row>
    <row r="4873" spans="2:20" x14ac:dyDescent="0.2">
      <c r="B4873" s="245"/>
      <c r="C4873" s="248"/>
      <c r="D4873" s="249"/>
      <c r="E4873" s="249"/>
      <c r="T4873" s="261"/>
    </row>
    <row r="4874" spans="2:20" x14ac:dyDescent="0.2">
      <c r="B4874" s="245"/>
      <c r="C4874" s="248"/>
      <c r="D4874" s="249"/>
      <c r="E4874" s="249"/>
      <c r="T4874" s="261"/>
    </row>
    <row r="4875" spans="2:20" x14ac:dyDescent="0.2">
      <c r="B4875" s="245"/>
      <c r="C4875" s="248"/>
      <c r="D4875" s="249"/>
      <c r="E4875" s="249"/>
      <c r="T4875" s="261"/>
    </row>
    <row r="4876" spans="2:20" x14ac:dyDescent="0.2">
      <c r="B4876" s="245"/>
      <c r="C4876" s="248"/>
      <c r="D4876" s="249"/>
      <c r="E4876" s="249"/>
      <c r="T4876" s="261"/>
    </row>
    <row r="4877" spans="2:20" x14ac:dyDescent="0.2">
      <c r="B4877" s="245"/>
      <c r="C4877" s="248"/>
      <c r="D4877" s="249"/>
      <c r="E4877" s="249"/>
      <c r="T4877" s="261"/>
    </row>
    <row r="4878" spans="2:20" x14ac:dyDescent="0.2">
      <c r="B4878" s="245"/>
      <c r="C4878" s="248"/>
      <c r="D4878" s="249"/>
      <c r="E4878" s="249"/>
      <c r="T4878" s="261"/>
    </row>
    <row r="4879" spans="2:20" x14ac:dyDescent="0.2">
      <c r="B4879" s="245"/>
      <c r="C4879" s="248"/>
      <c r="D4879" s="249"/>
      <c r="E4879" s="249"/>
      <c r="T4879" s="261"/>
    </row>
    <row r="4880" spans="2:20" x14ac:dyDescent="0.2">
      <c r="B4880" s="245"/>
      <c r="C4880" s="248"/>
      <c r="D4880" s="249"/>
      <c r="E4880" s="249"/>
      <c r="T4880" s="261"/>
    </row>
    <row r="4881" spans="2:20" x14ac:dyDescent="0.2">
      <c r="B4881" s="245"/>
      <c r="C4881" s="248"/>
      <c r="D4881" s="249"/>
      <c r="E4881" s="249"/>
      <c r="T4881" s="261"/>
    </row>
    <row r="4882" spans="2:20" x14ac:dyDescent="0.2">
      <c r="B4882" s="245"/>
      <c r="C4882" s="248"/>
      <c r="D4882" s="249"/>
      <c r="E4882" s="249"/>
      <c r="T4882" s="261"/>
    </row>
    <row r="4883" spans="2:20" x14ac:dyDescent="0.2">
      <c r="B4883" s="245"/>
      <c r="C4883" s="248"/>
      <c r="D4883" s="249"/>
      <c r="E4883" s="249"/>
      <c r="T4883" s="261"/>
    </row>
    <row r="4884" spans="2:20" x14ac:dyDescent="0.2">
      <c r="B4884" s="245"/>
      <c r="C4884" s="248"/>
      <c r="D4884" s="249"/>
      <c r="E4884" s="249"/>
      <c r="T4884" s="261"/>
    </row>
    <row r="4885" spans="2:20" x14ac:dyDescent="0.2">
      <c r="B4885" s="245"/>
      <c r="C4885" s="248"/>
      <c r="D4885" s="249"/>
      <c r="E4885" s="249"/>
      <c r="T4885" s="261"/>
    </row>
    <row r="4886" spans="2:20" x14ac:dyDescent="0.2">
      <c r="B4886" s="245"/>
      <c r="C4886" s="248"/>
      <c r="D4886" s="249"/>
      <c r="E4886" s="249"/>
      <c r="T4886" s="261"/>
    </row>
    <row r="4887" spans="2:20" x14ac:dyDescent="0.2">
      <c r="B4887" s="245"/>
      <c r="C4887" s="248"/>
      <c r="D4887" s="249"/>
      <c r="E4887" s="249"/>
      <c r="T4887" s="261"/>
    </row>
    <row r="4888" spans="2:20" x14ac:dyDescent="0.2">
      <c r="B4888" s="245"/>
      <c r="C4888" s="248"/>
      <c r="D4888" s="249"/>
      <c r="E4888" s="249"/>
      <c r="T4888" s="261"/>
    </row>
    <row r="4889" spans="2:20" x14ac:dyDescent="0.2">
      <c r="B4889" s="245"/>
      <c r="C4889" s="248"/>
      <c r="D4889" s="249"/>
      <c r="E4889" s="249"/>
      <c r="T4889" s="261"/>
    </row>
    <row r="4890" spans="2:20" x14ac:dyDescent="0.2">
      <c r="B4890" s="245"/>
      <c r="C4890" s="248"/>
      <c r="D4890" s="249"/>
      <c r="E4890" s="249"/>
      <c r="T4890" s="261"/>
    </row>
    <row r="4891" spans="2:20" x14ac:dyDescent="0.2">
      <c r="B4891" s="245"/>
      <c r="C4891" s="248"/>
      <c r="D4891" s="249"/>
      <c r="E4891" s="249"/>
      <c r="T4891" s="261"/>
    </row>
    <row r="4892" spans="2:20" x14ac:dyDescent="0.2">
      <c r="B4892" s="245"/>
      <c r="C4892" s="248"/>
      <c r="D4892" s="249"/>
      <c r="E4892" s="249"/>
      <c r="T4892" s="261"/>
    </row>
    <row r="4893" spans="2:20" x14ac:dyDescent="0.2">
      <c r="B4893" s="245"/>
      <c r="C4893" s="248"/>
      <c r="D4893" s="249"/>
      <c r="E4893" s="249"/>
      <c r="T4893" s="261"/>
    </row>
    <row r="4894" spans="2:20" x14ac:dyDescent="0.2">
      <c r="B4894" s="245"/>
      <c r="C4894" s="248"/>
      <c r="D4894" s="249"/>
      <c r="E4894" s="249"/>
      <c r="T4894" s="261"/>
    </row>
    <row r="4895" spans="2:20" x14ac:dyDescent="0.2">
      <c r="B4895" s="245"/>
      <c r="C4895" s="248"/>
      <c r="D4895" s="249"/>
      <c r="E4895" s="249"/>
      <c r="T4895" s="261"/>
    </row>
    <row r="4896" spans="2:20" x14ac:dyDescent="0.2">
      <c r="B4896" s="245"/>
      <c r="C4896" s="248"/>
      <c r="D4896" s="249"/>
      <c r="E4896" s="249"/>
      <c r="T4896" s="261"/>
    </row>
    <row r="4897" spans="2:20" x14ac:dyDescent="0.2">
      <c r="B4897" s="245"/>
      <c r="C4897" s="248"/>
      <c r="D4897" s="249"/>
      <c r="E4897" s="249"/>
      <c r="T4897" s="261"/>
    </row>
    <row r="4898" spans="2:20" x14ac:dyDescent="0.2">
      <c r="B4898" s="245"/>
      <c r="C4898" s="248"/>
      <c r="D4898" s="249"/>
      <c r="E4898" s="249"/>
      <c r="T4898" s="261"/>
    </row>
    <row r="4899" spans="2:20" x14ac:dyDescent="0.2">
      <c r="B4899" s="245"/>
      <c r="C4899" s="248"/>
      <c r="D4899" s="249"/>
      <c r="E4899" s="249"/>
      <c r="T4899" s="261"/>
    </row>
    <row r="4900" spans="2:20" x14ac:dyDescent="0.2">
      <c r="B4900" s="245"/>
      <c r="C4900" s="248"/>
      <c r="D4900" s="249"/>
      <c r="E4900" s="249"/>
      <c r="T4900" s="261"/>
    </row>
    <row r="4901" spans="2:20" x14ac:dyDescent="0.2">
      <c r="B4901" s="245"/>
      <c r="C4901" s="248"/>
      <c r="D4901" s="249"/>
      <c r="E4901" s="249"/>
      <c r="T4901" s="261"/>
    </row>
    <row r="4902" spans="2:20" x14ac:dyDescent="0.2">
      <c r="B4902" s="245"/>
      <c r="C4902" s="248"/>
      <c r="D4902" s="249"/>
      <c r="E4902" s="249"/>
      <c r="T4902" s="261"/>
    </row>
    <row r="4903" spans="2:20" x14ac:dyDescent="0.2">
      <c r="B4903" s="245"/>
      <c r="C4903" s="248"/>
      <c r="D4903" s="249"/>
      <c r="E4903" s="249"/>
      <c r="T4903" s="261"/>
    </row>
    <row r="4904" spans="2:20" x14ac:dyDescent="0.2">
      <c r="B4904" s="245"/>
      <c r="C4904" s="248"/>
      <c r="D4904" s="249"/>
      <c r="E4904" s="249"/>
      <c r="T4904" s="261"/>
    </row>
    <row r="4905" spans="2:20" x14ac:dyDescent="0.2">
      <c r="B4905" s="245"/>
      <c r="C4905" s="248"/>
      <c r="D4905" s="249"/>
      <c r="E4905" s="249"/>
      <c r="T4905" s="261"/>
    </row>
    <row r="4906" spans="2:20" x14ac:dyDescent="0.2">
      <c r="B4906" s="245"/>
      <c r="C4906" s="248"/>
      <c r="D4906" s="249"/>
      <c r="E4906" s="249"/>
      <c r="T4906" s="261"/>
    </row>
    <row r="4907" spans="2:20" x14ac:dyDescent="0.2">
      <c r="B4907" s="245"/>
      <c r="C4907" s="248"/>
      <c r="D4907" s="249"/>
      <c r="E4907" s="249"/>
      <c r="T4907" s="261"/>
    </row>
    <row r="4908" spans="2:20" x14ac:dyDescent="0.2">
      <c r="B4908" s="245"/>
      <c r="C4908" s="248"/>
      <c r="D4908" s="249"/>
      <c r="E4908" s="249"/>
      <c r="T4908" s="261"/>
    </row>
    <row r="4909" spans="2:20" x14ac:dyDescent="0.2">
      <c r="B4909" s="245"/>
      <c r="C4909" s="248"/>
      <c r="D4909" s="249"/>
      <c r="E4909" s="249"/>
      <c r="T4909" s="261"/>
    </row>
    <row r="4910" spans="2:20" x14ac:dyDescent="0.2">
      <c r="B4910" s="245"/>
      <c r="C4910" s="248"/>
      <c r="D4910" s="249"/>
      <c r="E4910" s="249"/>
      <c r="T4910" s="261"/>
    </row>
    <row r="4911" spans="2:20" x14ac:dyDescent="0.2">
      <c r="B4911" s="245"/>
      <c r="C4911" s="248"/>
      <c r="D4911" s="249"/>
      <c r="E4911" s="249"/>
      <c r="T4911" s="261"/>
    </row>
    <row r="4912" spans="2:20" x14ac:dyDescent="0.2">
      <c r="B4912" s="245"/>
      <c r="C4912" s="248"/>
      <c r="D4912" s="249"/>
      <c r="E4912" s="249"/>
      <c r="T4912" s="261"/>
    </row>
    <row r="4913" spans="2:20" x14ac:dyDescent="0.2">
      <c r="B4913" s="245"/>
      <c r="C4913" s="248"/>
      <c r="D4913" s="249"/>
      <c r="E4913" s="249"/>
      <c r="T4913" s="261"/>
    </row>
    <row r="4914" spans="2:20" x14ac:dyDescent="0.2">
      <c r="B4914" s="245"/>
      <c r="C4914" s="248"/>
      <c r="D4914" s="249"/>
      <c r="E4914" s="249"/>
      <c r="T4914" s="261"/>
    </row>
    <row r="4915" spans="2:20" x14ac:dyDescent="0.2">
      <c r="B4915" s="245"/>
      <c r="C4915" s="248"/>
      <c r="D4915" s="249"/>
      <c r="E4915" s="249"/>
      <c r="T4915" s="261"/>
    </row>
    <row r="4916" spans="2:20" x14ac:dyDescent="0.2">
      <c r="B4916" s="245"/>
      <c r="C4916" s="248"/>
      <c r="D4916" s="249"/>
      <c r="E4916" s="249"/>
      <c r="T4916" s="261"/>
    </row>
    <row r="4917" spans="2:20" x14ac:dyDescent="0.2">
      <c r="B4917" s="245"/>
      <c r="C4917" s="248"/>
      <c r="D4917" s="249"/>
      <c r="E4917" s="249"/>
      <c r="T4917" s="261"/>
    </row>
    <row r="4918" spans="2:20" x14ac:dyDescent="0.2">
      <c r="B4918" s="245"/>
      <c r="C4918" s="248"/>
      <c r="D4918" s="249"/>
      <c r="E4918" s="249"/>
      <c r="T4918" s="261"/>
    </row>
    <row r="4919" spans="2:20" x14ac:dyDescent="0.2">
      <c r="B4919" s="245"/>
      <c r="C4919" s="248"/>
      <c r="D4919" s="249"/>
      <c r="E4919" s="249"/>
      <c r="T4919" s="261"/>
    </row>
    <row r="4920" spans="2:20" x14ac:dyDescent="0.2">
      <c r="B4920" s="245"/>
      <c r="C4920" s="248"/>
      <c r="D4920" s="249"/>
      <c r="E4920" s="249"/>
      <c r="T4920" s="261"/>
    </row>
    <row r="4921" spans="2:20" x14ac:dyDescent="0.2">
      <c r="B4921" s="245"/>
      <c r="C4921" s="248"/>
      <c r="D4921" s="249"/>
      <c r="E4921" s="249"/>
      <c r="T4921" s="261"/>
    </row>
    <row r="4922" spans="2:20" x14ac:dyDescent="0.2">
      <c r="B4922" s="245"/>
      <c r="C4922" s="248"/>
      <c r="D4922" s="249"/>
      <c r="E4922" s="249"/>
      <c r="T4922" s="261"/>
    </row>
    <row r="4923" spans="2:20" x14ac:dyDescent="0.2">
      <c r="B4923" s="245"/>
      <c r="C4923" s="248"/>
      <c r="D4923" s="249"/>
      <c r="E4923" s="249"/>
      <c r="T4923" s="261"/>
    </row>
    <row r="4924" spans="2:20" x14ac:dyDescent="0.2">
      <c r="B4924" s="245"/>
      <c r="C4924" s="248"/>
      <c r="D4924" s="249"/>
      <c r="E4924" s="249"/>
      <c r="T4924" s="261"/>
    </row>
    <row r="4925" spans="2:20" x14ac:dyDescent="0.2">
      <c r="B4925" s="245"/>
      <c r="C4925" s="248"/>
      <c r="D4925" s="249"/>
      <c r="E4925" s="249"/>
      <c r="T4925" s="261"/>
    </row>
    <row r="4926" spans="2:20" x14ac:dyDescent="0.2">
      <c r="B4926" s="245"/>
      <c r="C4926" s="248"/>
      <c r="D4926" s="249"/>
      <c r="E4926" s="249"/>
      <c r="T4926" s="261"/>
    </row>
    <row r="4927" spans="2:20" x14ac:dyDescent="0.2">
      <c r="B4927" s="245"/>
      <c r="C4927" s="248"/>
      <c r="D4927" s="249"/>
      <c r="E4927" s="249"/>
      <c r="T4927" s="261"/>
    </row>
    <row r="4928" spans="2:20" x14ac:dyDescent="0.2">
      <c r="B4928" s="245"/>
      <c r="C4928" s="248"/>
      <c r="D4928" s="249"/>
      <c r="E4928" s="249"/>
      <c r="T4928" s="261"/>
    </row>
    <row r="4929" spans="2:20" x14ac:dyDescent="0.2">
      <c r="B4929" s="245"/>
      <c r="C4929" s="248"/>
      <c r="D4929" s="249"/>
      <c r="E4929" s="249"/>
      <c r="T4929" s="261"/>
    </row>
    <row r="4930" spans="2:20" x14ac:dyDescent="0.2">
      <c r="B4930" s="245"/>
      <c r="C4930" s="248"/>
      <c r="D4930" s="249"/>
      <c r="E4930" s="249"/>
      <c r="T4930" s="261"/>
    </row>
    <row r="4931" spans="2:20" x14ac:dyDescent="0.2">
      <c r="B4931" s="245"/>
      <c r="C4931" s="248"/>
      <c r="D4931" s="249"/>
      <c r="E4931" s="249"/>
      <c r="T4931" s="261"/>
    </row>
    <row r="4932" spans="2:20" x14ac:dyDescent="0.2">
      <c r="B4932" s="245"/>
      <c r="C4932" s="248"/>
      <c r="D4932" s="249"/>
      <c r="E4932" s="249"/>
      <c r="T4932" s="261"/>
    </row>
    <row r="4933" spans="2:20" x14ac:dyDescent="0.2">
      <c r="B4933" s="245"/>
      <c r="C4933" s="248"/>
      <c r="D4933" s="249"/>
      <c r="E4933" s="249"/>
      <c r="T4933" s="261"/>
    </row>
    <row r="4934" spans="2:20" x14ac:dyDescent="0.2">
      <c r="B4934" s="245"/>
      <c r="C4934" s="248"/>
      <c r="D4934" s="249"/>
      <c r="E4934" s="249"/>
      <c r="T4934" s="261"/>
    </row>
    <row r="4935" spans="2:20" x14ac:dyDescent="0.2">
      <c r="B4935" s="245"/>
      <c r="C4935" s="248"/>
      <c r="D4935" s="249"/>
      <c r="E4935" s="249"/>
      <c r="T4935" s="261"/>
    </row>
    <row r="4936" spans="2:20" x14ac:dyDescent="0.2">
      <c r="B4936" s="245"/>
      <c r="C4936" s="248"/>
      <c r="D4936" s="249"/>
      <c r="E4936" s="249"/>
      <c r="T4936" s="261"/>
    </row>
    <row r="4937" spans="2:20" x14ac:dyDescent="0.2">
      <c r="B4937" s="245"/>
      <c r="C4937" s="248"/>
      <c r="D4937" s="249"/>
      <c r="E4937" s="249"/>
      <c r="T4937" s="261"/>
    </row>
    <row r="4938" spans="2:20" x14ac:dyDescent="0.2">
      <c r="B4938" s="245"/>
      <c r="C4938" s="248"/>
      <c r="D4938" s="249"/>
      <c r="E4938" s="249"/>
      <c r="T4938" s="261"/>
    </row>
    <row r="4939" spans="2:20" x14ac:dyDescent="0.2">
      <c r="B4939" s="245"/>
      <c r="C4939" s="248"/>
      <c r="D4939" s="249"/>
      <c r="E4939" s="249"/>
      <c r="T4939" s="261"/>
    </row>
    <row r="4940" spans="2:20" x14ac:dyDescent="0.2">
      <c r="B4940" s="245"/>
      <c r="C4940" s="248"/>
      <c r="D4940" s="249"/>
      <c r="E4940" s="249"/>
      <c r="T4940" s="261"/>
    </row>
    <row r="4941" spans="2:20" x14ac:dyDescent="0.2">
      <c r="B4941" s="245"/>
      <c r="C4941" s="248"/>
      <c r="D4941" s="249"/>
      <c r="E4941" s="249"/>
      <c r="T4941" s="261"/>
    </row>
    <row r="4942" spans="2:20" x14ac:dyDescent="0.2">
      <c r="B4942" s="245"/>
      <c r="C4942" s="248"/>
      <c r="D4942" s="249"/>
      <c r="E4942" s="249"/>
      <c r="T4942" s="261"/>
    </row>
    <row r="4943" spans="2:20" x14ac:dyDescent="0.2">
      <c r="B4943" s="245"/>
      <c r="C4943" s="248"/>
      <c r="D4943" s="249"/>
      <c r="E4943" s="249"/>
      <c r="T4943" s="261"/>
    </row>
    <row r="4944" spans="2:20" x14ac:dyDescent="0.2">
      <c r="B4944" s="245"/>
      <c r="C4944" s="248"/>
      <c r="D4944" s="249"/>
      <c r="E4944" s="249"/>
      <c r="T4944" s="261"/>
    </row>
    <row r="4945" spans="2:20" x14ac:dyDescent="0.2">
      <c r="B4945" s="245"/>
      <c r="C4945" s="248"/>
      <c r="D4945" s="249"/>
      <c r="E4945" s="249"/>
      <c r="T4945" s="261"/>
    </row>
    <row r="4946" spans="2:20" x14ac:dyDescent="0.2">
      <c r="B4946" s="245"/>
      <c r="C4946" s="248"/>
      <c r="D4946" s="249"/>
      <c r="E4946" s="249"/>
      <c r="T4946" s="261"/>
    </row>
    <row r="4947" spans="2:20" x14ac:dyDescent="0.2">
      <c r="B4947" s="245"/>
      <c r="C4947" s="248"/>
      <c r="D4947" s="249"/>
      <c r="E4947" s="249"/>
      <c r="T4947" s="261"/>
    </row>
    <row r="4948" spans="2:20" x14ac:dyDescent="0.2">
      <c r="B4948" s="245"/>
      <c r="C4948" s="248"/>
      <c r="D4948" s="249"/>
      <c r="E4948" s="249"/>
      <c r="T4948" s="261"/>
    </row>
    <row r="4949" spans="2:20" x14ac:dyDescent="0.2">
      <c r="B4949" s="245"/>
      <c r="C4949" s="248"/>
      <c r="D4949" s="249"/>
      <c r="E4949" s="249"/>
      <c r="T4949" s="261"/>
    </row>
    <row r="4950" spans="2:20" x14ac:dyDescent="0.2">
      <c r="B4950" s="245"/>
      <c r="C4950" s="248"/>
      <c r="D4950" s="249"/>
      <c r="E4950" s="249"/>
      <c r="T4950" s="261"/>
    </row>
    <row r="4951" spans="2:20" x14ac:dyDescent="0.2">
      <c r="B4951" s="245"/>
      <c r="C4951" s="248"/>
      <c r="D4951" s="249"/>
      <c r="E4951" s="249"/>
      <c r="T4951" s="261"/>
    </row>
    <row r="4952" spans="2:20" x14ac:dyDescent="0.2">
      <c r="B4952" s="245"/>
      <c r="C4952" s="248"/>
      <c r="D4952" s="249"/>
      <c r="E4952" s="249"/>
      <c r="T4952" s="261"/>
    </row>
    <row r="4953" spans="2:20" x14ac:dyDescent="0.2">
      <c r="B4953" s="245"/>
      <c r="C4953" s="248"/>
      <c r="D4953" s="249"/>
      <c r="E4953" s="249"/>
      <c r="T4953" s="261"/>
    </row>
    <row r="4954" spans="2:20" x14ac:dyDescent="0.2">
      <c r="B4954" s="245"/>
      <c r="C4954" s="248"/>
      <c r="D4954" s="249"/>
      <c r="E4954" s="249"/>
      <c r="T4954" s="261"/>
    </row>
    <row r="4955" spans="2:20" x14ac:dyDescent="0.2">
      <c r="B4955" s="245"/>
      <c r="C4955" s="248"/>
      <c r="D4955" s="249"/>
      <c r="E4955" s="249"/>
      <c r="T4955" s="261"/>
    </row>
    <row r="4956" spans="2:20" x14ac:dyDescent="0.2">
      <c r="B4956" s="245"/>
      <c r="C4956" s="248"/>
      <c r="D4956" s="249"/>
      <c r="E4956" s="249"/>
      <c r="T4956" s="261"/>
    </row>
    <row r="4957" spans="2:20" x14ac:dyDescent="0.2">
      <c r="B4957" s="245"/>
      <c r="C4957" s="248"/>
      <c r="D4957" s="249"/>
      <c r="E4957" s="249"/>
      <c r="T4957" s="261"/>
    </row>
    <row r="4958" spans="2:20" x14ac:dyDescent="0.2">
      <c r="B4958" s="245"/>
      <c r="C4958" s="248"/>
      <c r="D4958" s="249"/>
      <c r="E4958" s="249"/>
      <c r="T4958" s="261"/>
    </row>
    <row r="4959" spans="2:20" x14ac:dyDescent="0.2">
      <c r="B4959" s="245"/>
      <c r="C4959" s="248"/>
      <c r="D4959" s="249"/>
      <c r="E4959" s="249"/>
      <c r="T4959" s="261"/>
    </row>
    <row r="4960" spans="2:20" x14ac:dyDescent="0.2">
      <c r="B4960" s="245"/>
      <c r="C4960" s="248"/>
      <c r="D4960" s="249"/>
      <c r="E4960" s="249"/>
      <c r="T4960" s="261"/>
    </row>
    <row r="4961" spans="2:20" x14ac:dyDescent="0.2">
      <c r="B4961" s="245"/>
      <c r="C4961" s="248"/>
      <c r="D4961" s="249"/>
      <c r="E4961" s="249"/>
      <c r="T4961" s="261"/>
    </row>
    <row r="4962" spans="2:20" x14ac:dyDescent="0.2">
      <c r="B4962" s="245"/>
      <c r="C4962" s="248"/>
      <c r="D4962" s="249"/>
      <c r="E4962" s="249"/>
      <c r="T4962" s="261"/>
    </row>
    <row r="4963" spans="2:20" x14ac:dyDescent="0.2">
      <c r="B4963" s="245"/>
      <c r="C4963" s="248"/>
      <c r="D4963" s="249"/>
      <c r="E4963" s="249"/>
      <c r="T4963" s="261"/>
    </row>
    <row r="4964" spans="2:20" x14ac:dyDescent="0.2">
      <c r="B4964" s="245"/>
      <c r="C4964" s="248"/>
      <c r="D4964" s="249"/>
      <c r="E4964" s="249"/>
      <c r="T4964" s="261"/>
    </row>
    <row r="4965" spans="2:20" x14ac:dyDescent="0.2">
      <c r="B4965" s="245"/>
      <c r="C4965" s="248"/>
      <c r="D4965" s="249"/>
      <c r="E4965" s="249"/>
      <c r="T4965" s="261"/>
    </row>
    <row r="4966" spans="2:20" x14ac:dyDescent="0.2">
      <c r="B4966" s="245"/>
      <c r="C4966" s="248"/>
      <c r="D4966" s="249"/>
      <c r="E4966" s="249"/>
      <c r="T4966" s="261"/>
    </row>
    <row r="4967" spans="2:20" x14ac:dyDescent="0.2">
      <c r="B4967" s="245"/>
      <c r="C4967" s="248"/>
      <c r="D4967" s="249"/>
      <c r="E4967" s="249"/>
      <c r="T4967" s="261"/>
    </row>
    <row r="4968" spans="2:20" x14ac:dyDescent="0.2">
      <c r="B4968" s="245"/>
      <c r="C4968" s="248"/>
      <c r="D4968" s="249"/>
      <c r="E4968" s="249"/>
      <c r="T4968" s="261"/>
    </row>
    <row r="4969" spans="2:20" x14ac:dyDescent="0.2">
      <c r="B4969" s="245"/>
      <c r="C4969" s="248"/>
      <c r="D4969" s="249"/>
      <c r="E4969" s="249"/>
      <c r="T4969" s="261"/>
    </row>
    <row r="4970" spans="2:20" x14ac:dyDescent="0.2">
      <c r="B4970" s="245"/>
      <c r="C4970" s="248"/>
      <c r="D4970" s="249"/>
      <c r="E4970" s="249"/>
      <c r="T4970" s="261"/>
    </row>
    <row r="4971" spans="2:20" x14ac:dyDescent="0.2">
      <c r="B4971" s="245"/>
      <c r="C4971" s="248"/>
      <c r="D4971" s="249"/>
      <c r="E4971" s="249"/>
      <c r="T4971" s="261"/>
    </row>
    <row r="4972" spans="2:20" x14ac:dyDescent="0.2">
      <c r="B4972" s="245"/>
      <c r="C4972" s="248"/>
      <c r="D4972" s="249"/>
      <c r="E4972" s="249"/>
      <c r="T4972" s="261"/>
    </row>
    <row r="4973" spans="2:20" x14ac:dyDescent="0.2">
      <c r="B4973" s="245"/>
      <c r="C4973" s="248"/>
      <c r="D4973" s="249"/>
      <c r="E4973" s="249"/>
      <c r="T4973" s="261"/>
    </row>
    <row r="4974" spans="2:20" x14ac:dyDescent="0.2">
      <c r="B4974" s="245"/>
      <c r="C4974" s="248"/>
      <c r="D4974" s="249"/>
      <c r="E4974" s="249"/>
      <c r="T4974" s="261"/>
    </row>
    <row r="4975" spans="2:20" x14ac:dyDescent="0.2">
      <c r="B4975" s="245"/>
      <c r="C4975" s="248"/>
      <c r="D4975" s="249"/>
      <c r="E4975" s="249"/>
      <c r="T4975" s="261"/>
    </row>
    <row r="4976" spans="2:20" x14ac:dyDescent="0.2">
      <c r="B4976" s="245"/>
      <c r="C4976" s="248"/>
      <c r="D4976" s="249"/>
      <c r="E4976" s="249"/>
      <c r="T4976" s="261"/>
    </row>
    <row r="4977" spans="2:20" x14ac:dyDescent="0.2">
      <c r="B4977" s="245"/>
      <c r="C4977" s="248"/>
      <c r="D4977" s="249"/>
      <c r="E4977" s="249"/>
      <c r="T4977" s="261"/>
    </row>
    <row r="4978" spans="2:20" x14ac:dyDescent="0.2">
      <c r="B4978" s="245"/>
      <c r="C4978" s="248"/>
      <c r="D4978" s="249"/>
      <c r="E4978" s="249"/>
      <c r="T4978" s="261"/>
    </row>
    <row r="4979" spans="2:20" x14ac:dyDescent="0.2">
      <c r="B4979" s="245"/>
      <c r="C4979" s="248"/>
      <c r="D4979" s="249"/>
      <c r="E4979" s="249"/>
      <c r="T4979" s="261"/>
    </row>
    <row r="4980" spans="2:20" x14ac:dyDescent="0.2">
      <c r="B4980" s="245"/>
      <c r="C4980" s="248"/>
      <c r="D4980" s="249"/>
      <c r="E4980" s="249"/>
      <c r="T4980" s="261"/>
    </row>
    <row r="4981" spans="2:20" x14ac:dyDescent="0.2">
      <c r="B4981" s="245"/>
      <c r="C4981" s="248"/>
      <c r="D4981" s="249"/>
      <c r="E4981" s="249"/>
      <c r="T4981" s="261"/>
    </row>
    <row r="4982" spans="2:20" x14ac:dyDescent="0.2">
      <c r="B4982" s="245"/>
      <c r="C4982" s="248"/>
      <c r="D4982" s="249"/>
      <c r="E4982" s="249"/>
      <c r="T4982" s="261"/>
    </row>
    <row r="4983" spans="2:20" x14ac:dyDescent="0.2">
      <c r="B4983" s="245"/>
      <c r="C4983" s="248"/>
      <c r="D4983" s="249"/>
      <c r="E4983" s="249"/>
      <c r="T4983" s="261"/>
    </row>
    <row r="4984" spans="2:20" x14ac:dyDescent="0.2">
      <c r="B4984" s="245"/>
      <c r="C4984" s="248"/>
      <c r="D4984" s="249"/>
      <c r="E4984" s="249"/>
      <c r="T4984" s="261"/>
    </row>
    <row r="4985" spans="2:20" x14ac:dyDescent="0.2">
      <c r="B4985" s="245"/>
      <c r="C4985" s="248"/>
      <c r="D4985" s="249"/>
      <c r="E4985" s="249"/>
      <c r="T4985" s="261"/>
    </row>
    <row r="4986" spans="2:20" x14ac:dyDescent="0.2">
      <c r="B4986" s="245"/>
      <c r="C4986" s="248"/>
      <c r="D4986" s="249"/>
      <c r="E4986" s="249"/>
      <c r="T4986" s="261"/>
    </row>
    <row r="4987" spans="2:20" x14ac:dyDescent="0.2">
      <c r="B4987" s="245"/>
      <c r="C4987" s="248"/>
      <c r="D4987" s="249"/>
      <c r="E4987" s="249"/>
      <c r="T4987" s="261"/>
    </row>
    <row r="4988" spans="2:20" x14ac:dyDescent="0.2">
      <c r="B4988" s="245"/>
      <c r="C4988" s="248"/>
      <c r="D4988" s="249"/>
      <c r="E4988" s="249"/>
      <c r="T4988" s="261"/>
    </row>
    <row r="4989" spans="2:20" x14ac:dyDescent="0.2">
      <c r="B4989" s="245"/>
      <c r="C4989" s="248"/>
      <c r="D4989" s="249"/>
      <c r="E4989" s="249"/>
      <c r="T4989" s="261"/>
    </row>
    <row r="4990" spans="2:20" x14ac:dyDescent="0.2">
      <c r="B4990" s="245"/>
      <c r="C4990" s="248"/>
      <c r="D4990" s="249"/>
      <c r="E4990" s="249"/>
      <c r="T4990" s="261"/>
    </row>
    <row r="4991" spans="2:20" x14ac:dyDescent="0.2">
      <c r="B4991" s="245"/>
      <c r="C4991" s="248"/>
      <c r="D4991" s="249"/>
      <c r="E4991" s="249"/>
      <c r="T4991" s="261"/>
    </row>
    <row r="4992" spans="2:20" x14ac:dyDescent="0.2">
      <c r="B4992" s="245"/>
      <c r="C4992" s="248"/>
      <c r="D4992" s="249"/>
      <c r="E4992" s="249"/>
      <c r="T4992" s="261"/>
    </row>
    <row r="4993" spans="2:20" x14ac:dyDescent="0.2">
      <c r="B4993" s="245"/>
      <c r="C4993" s="248"/>
      <c r="D4993" s="249"/>
      <c r="E4993" s="249"/>
      <c r="T4993" s="261"/>
    </row>
    <row r="4994" spans="2:20" x14ac:dyDescent="0.2">
      <c r="B4994" s="245"/>
      <c r="C4994" s="248"/>
      <c r="D4994" s="249"/>
      <c r="E4994" s="249"/>
      <c r="T4994" s="261"/>
    </row>
    <row r="4995" spans="2:20" x14ac:dyDescent="0.2">
      <c r="B4995" s="245"/>
      <c r="C4995" s="248"/>
      <c r="D4995" s="249"/>
      <c r="E4995" s="249"/>
      <c r="T4995" s="261"/>
    </row>
    <row r="4996" spans="2:20" x14ac:dyDescent="0.2">
      <c r="B4996" s="245"/>
      <c r="C4996" s="248"/>
      <c r="D4996" s="249"/>
      <c r="E4996" s="249"/>
      <c r="T4996" s="261"/>
    </row>
    <row r="4997" spans="2:20" x14ac:dyDescent="0.2">
      <c r="B4997" s="245"/>
      <c r="C4997" s="248"/>
      <c r="D4997" s="249"/>
      <c r="E4997" s="249"/>
      <c r="T4997" s="261"/>
    </row>
    <row r="4998" spans="2:20" x14ac:dyDescent="0.2">
      <c r="B4998" s="245"/>
      <c r="C4998" s="248"/>
      <c r="D4998" s="249"/>
      <c r="E4998" s="249"/>
      <c r="T4998" s="261"/>
    </row>
    <row r="4999" spans="2:20" x14ac:dyDescent="0.2">
      <c r="B4999" s="245"/>
      <c r="C4999" s="248"/>
      <c r="D4999" s="249"/>
      <c r="E4999" s="249"/>
      <c r="T4999" s="261"/>
    </row>
    <row r="5000" spans="2:20" x14ac:dyDescent="0.2">
      <c r="B5000" s="245"/>
      <c r="C5000" s="248"/>
      <c r="D5000" s="249"/>
      <c r="E5000" s="249"/>
      <c r="T5000" s="261"/>
    </row>
    <row r="5001" spans="2:20" x14ac:dyDescent="0.2">
      <c r="B5001" s="245"/>
      <c r="C5001" s="248"/>
      <c r="D5001" s="249"/>
      <c r="E5001" s="249"/>
      <c r="T5001" s="261"/>
    </row>
    <row r="5002" spans="2:20" x14ac:dyDescent="0.2">
      <c r="B5002" s="245"/>
      <c r="C5002" s="248"/>
      <c r="D5002" s="249"/>
      <c r="E5002" s="249"/>
      <c r="T5002" s="261"/>
    </row>
    <row r="5003" spans="2:20" x14ac:dyDescent="0.2">
      <c r="B5003" s="245"/>
      <c r="C5003" s="248"/>
      <c r="D5003" s="249"/>
      <c r="E5003" s="249"/>
      <c r="T5003" s="261"/>
    </row>
    <row r="5004" spans="2:20" x14ac:dyDescent="0.2">
      <c r="B5004" s="245"/>
      <c r="C5004" s="248"/>
      <c r="D5004" s="249"/>
      <c r="E5004" s="249"/>
      <c r="T5004" s="261"/>
    </row>
    <row r="5005" spans="2:20" x14ac:dyDescent="0.2">
      <c r="B5005" s="245"/>
      <c r="C5005" s="248"/>
      <c r="D5005" s="249"/>
      <c r="E5005" s="249"/>
      <c r="T5005" s="261"/>
    </row>
    <row r="5006" spans="2:20" x14ac:dyDescent="0.2">
      <c r="B5006" s="245"/>
      <c r="C5006" s="248"/>
      <c r="D5006" s="249"/>
      <c r="E5006" s="249"/>
      <c r="T5006" s="261"/>
    </row>
    <row r="5007" spans="2:20" x14ac:dyDescent="0.2">
      <c r="B5007" s="245"/>
      <c r="C5007" s="248"/>
      <c r="D5007" s="249"/>
      <c r="E5007" s="249"/>
      <c r="T5007" s="261"/>
    </row>
    <row r="5008" spans="2:20" x14ac:dyDescent="0.2">
      <c r="B5008" s="245"/>
      <c r="C5008" s="248"/>
      <c r="D5008" s="249"/>
      <c r="E5008" s="249"/>
      <c r="T5008" s="261"/>
    </row>
    <row r="5009" spans="2:20" x14ac:dyDescent="0.2">
      <c r="B5009" s="245"/>
      <c r="C5009" s="248"/>
      <c r="D5009" s="249"/>
      <c r="E5009" s="249"/>
      <c r="T5009" s="261"/>
    </row>
    <row r="5010" spans="2:20" x14ac:dyDescent="0.2">
      <c r="B5010" s="245"/>
      <c r="C5010" s="248"/>
      <c r="D5010" s="249"/>
      <c r="E5010" s="249"/>
      <c r="T5010" s="261"/>
    </row>
    <row r="5011" spans="2:20" x14ac:dyDescent="0.2">
      <c r="B5011" s="245"/>
      <c r="C5011" s="248"/>
      <c r="D5011" s="249"/>
      <c r="E5011" s="249"/>
      <c r="T5011" s="261"/>
    </row>
    <row r="5012" spans="2:20" x14ac:dyDescent="0.2">
      <c r="B5012" s="245"/>
      <c r="C5012" s="248"/>
      <c r="D5012" s="249"/>
      <c r="E5012" s="249"/>
      <c r="T5012" s="261"/>
    </row>
    <row r="5013" spans="2:20" x14ac:dyDescent="0.2">
      <c r="B5013" s="245"/>
      <c r="C5013" s="248"/>
      <c r="D5013" s="249"/>
      <c r="E5013" s="249"/>
      <c r="T5013" s="261"/>
    </row>
    <row r="5014" spans="2:20" x14ac:dyDescent="0.2">
      <c r="B5014" s="245"/>
      <c r="C5014" s="248"/>
      <c r="D5014" s="249"/>
      <c r="E5014" s="249"/>
      <c r="T5014" s="261"/>
    </row>
    <row r="5015" spans="2:20" x14ac:dyDescent="0.2">
      <c r="B5015" s="245"/>
      <c r="C5015" s="248"/>
      <c r="D5015" s="249"/>
      <c r="E5015" s="249"/>
      <c r="T5015" s="261"/>
    </row>
    <row r="5016" spans="2:20" x14ac:dyDescent="0.2">
      <c r="B5016" s="245"/>
      <c r="C5016" s="248"/>
      <c r="D5016" s="249"/>
      <c r="E5016" s="249"/>
      <c r="T5016" s="261"/>
    </row>
    <row r="5017" spans="2:20" x14ac:dyDescent="0.2">
      <c r="B5017" s="245"/>
      <c r="C5017" s="248"/>
      <c r="D5017" s="249"/>
      <c r="E5017" s="249"/>
      <c r="T5017" s="261"/>
    </row>
    <row r="5018" spans="2:20" x14ac:dyDescent="0.2">
      <c r="B5018" s="245"/>
      <c r="C5018" s="248"/>
      <c r="D5018" s="249"/>
      <c r="E5018" s="249"/>
      <c r="T5018" s="261"/>
    </row>
    <row r="5019" spans="2:20" x14ac:dyDescent="0.2">
      <c r="B5019" s="245"/>
      <c r="C5019" s="248"/>
      <c r="D5019" s="249"/>
      <c r="E5019" s="249"/>
      <c r="T5019" s="261"/>
    </row>
    <row r="5020" spans="2:20" x14ac:dyDescent="0.2">
      <c r="B5020" s="245"/>
      <c r="C5020" s="248"/>
      <c r="D5020" s="249"/>
      <c r="E5020" s="249"/>
      <c r="T5020" s="261"/>
    </row>
    <row r="5021" spans="2:20" x14ac:dyDescent="0.2">
      <c r="B5021" s="245"/>
      <c r="C5021" s="248"/>
      <c r="D5021" s="249"/>
      <c r="E5021" s="249"/>
      <c r="T5021" s="261"/>
    </row>
    <row r="5022" spans="2:20" x14ac:dyDescent="0.2">
      <c r="B5022" s="245"/>
      <c r="C5022" s="248"/>
      <c r="D5022" s="249"/>
      <c r="E5022" s="249"/>
      <c r="T5022" s="261"/>
    </row>
    <row r="5023" spans="2:20" x14ac:dyDescent="0.2">
      <c r="B5023" s="245"/>
      <c r="C5023" s="248"/>
      <c r="D5023" s="249"/>
      <c r="E5023" s="249"/>
      <c r="T5023" s="261"/>
    </row>
    <row r="5024" spans="2:20" x14ac:dyDescent="0.2">
      <c r="B5024" s="245"/>
      <c r="C5024" s="248"/>
      <c r="D5024" s="249"/>
      <c r="E5024" s="249"/>
      <c r="T5024" s="261"/>
    </row>
    <row r="5025" spans="2:20" x14ac:dyDescent="0.2">
      <c r="B5025" s="245"/>
      <c r="C5025" s="248"/>
      <c r="D5025" s="249"/>
      <c r="E5025" s="249"/>
      <c r="T5025" s="261"/>
    </row>
    <row r="5026" spans="2:20" x14ac:dyDescent="0.2">
      <c r="B5026" s="245"/>
      <c r="C5026" s="248"/>
      <c r="D5026" s="249"/>
      <c r="E5026" s="249"/>
      <c r="T5026" s="261"/>
    </row>
    <row r="5027" spans="2:20" x14ac:dyDescent="0.2">
      <c r="B5027" s="245"/>
      <c r="C5027" s="248"/>
      <c r="D5027" s="249"/>
      <c r="E5027" s="249"/>
      <c r="T5027" s="261"/>
    </row>
    <row r="5028" spans="2:20" x14ac:dyDescent="0.2">
      <c r="B5028" s="245"/>
      <c r="C5028" s="248"/>
      <c r="D5028" s="249"/>
      <c r="E5028" s="249"/>
      <c r="T5028" s="261"/>
    </row>
    <row r="5029" spans="2:20" x14ac:dyDescent="0.2">
      <c r="B5029" s="245"/>
      <c r="C5029" s="248"/>
      <c r="D5029" s="249"/>
      <c r="E5029" s="249"/>
      <c r="T5029" s="261"/>
    </row>
    <row r="5030" spans="2:20" x14ac:dyDescent="0.2">
      <c r="B5030" s="245"/>
      <c r="C5030" s="248"/>
      <c r="D5030" s="249"/>
      <c r="E5030" s="249"/>
      <c r="T5030" s="261"/>
    </row>
    <row r="5031" spans="2:20" x14ac:dyDescent="0.2">
      <c r="B5031" s="245"/>
      <c r="C5031" s="248"/>
      <c r="D5031" s="249"/>
      <c r="E5031" s="249"/>
      <c r="T5031" s="261"/>
    </row>
    <row r="5032" spans="2:20" x14ac:dyDescent="0.2">
      <c r="B5032" s="245"/>
      <c r="C5032" s="248"/>
      <c r="D5032" s="249"/>
      <c r="E5032" s="249"/>
      <c r="T5032" s="261"/>
    </row>
    <row r="5033" spans="2:20" x14ac:dyDescent="0.2">
      <c r="B5033" s="245"/>
      <c r="C5033" s="248"/>
      <c r="D5033" s="249"/>
      <c r="E5033" s="249"/>
      <c r="T5033" s="261"/>
    </row>
    <row r="5034" spans="2:20" x14ac:dyDescent="0.2">
      <c r="B5034" s="245"/>
      <c r="C5034" s="248"/>
      <c r="D5034" s="249"/>
      <c r="E5034" s="249"/>
      <c r="T5034" s="261"/>
    </row>
    <row r="5035" spans="2:20" x14ac:dyDescent="0.2">
      <c r="B5035" s="245"/>
      <c r="C5035" s="248"/>
      <c r="D5035" s="249"/>
      <c r="E5035" s="249"/>
      <c r="T5035" s="261"/>
    </row>
    <row r="5036" spans="2:20" x14ac:dyDescent="0.2">
      <c r="B5036" s="245"/>
      <c r="C5036" s="248"/>
      <c r="D5036" s="249"/>
      <c r="E5036" s="249"/>
      <c r="T5036" s="261"/>
    </row>
    <row r="5037" spans="2:20" x14ac:dyDescent="0.2">
      <c r="B5037" s="245"/>
      <c r="C5037" s="248"/>
      <c r="D5037" s="249"/>
      <c r="E5037" s="249"/>
      <c r="T5037" s="261"/>
    </row>
    <row r="5038" spans="2:20" x14ac:dyDescent="0.2">
      <c r="B5038" s="245"/>
      <c r="C5038" s="248"/>
      <c r="D5038" s="249"/>
      <c r="E5038" s="249"/>
      <c r="T5038" s="261"/>
    </row>
    <row r="5039" spans="2:20" x14ac:dyDescent="0.2">
      <c r="B5039" s="245"/>
      <c r="C5039" s="248"/>
      <c r="D5039" s="249"/>
      <c r="E5039" s="249"/>
      <c r="T5039" s="261"/>
    </row>
    <row r="5040" spans="2:20" x14ac:dyDescent="0.2">
      <c r="B5040" s="245"/>
      <c r="C5040" s="248"/>
      <c r="D5040" s="249"/>
      <c r="E5040" s="249"/>
      <c r="T5040" s="261"/>
    </row>
    <row r="5041" spans="2:20" x14ac:dyDescent="0.2">
      <c r="B5041" s="245"/>
      <c r="C5041" s="248"/>
      <c r="D5041" s="249"/>
      <c r="E5041" s="249"/>
      <c r="T5041" s="261"/>
    </row>
    <row r="5042" spans="2:20" x14ac:dyDescent="0.2">
      <c r="B5042" s="245"/>
      <c r="C5042" s="248"/>
      <c r="D5042" s="249"/>
      <c r="E5042" s="249"/>
      <c r="T5042" s="261"/>
    </row>
    <row r="5043" spans="2:20" x14ac:dyDescent="0.2">
      <c r="B5043" s="245"/>
      <c r="C5043" s="248"/>
      <c r="D5043" s="249"/>
      <c r="E5043" s="249"/>
      <c r="T5043" s="261"/>
    </row>
    <row r="5044" spans="2:20" x14ac:dyDescent="0.2">
      <c r="B5044" s="245"/>
      <c r="C5044" s="248"/>
      <c r="D5044" s="249"/>
      <c r="E5044" s="249"/>
      <c r="T5044" s="261"/>
    </row>
    <row r="5045" spans="2:20" x14ac:dyDescent="0.2">
      <c r="B5045" s="245"/>
      <c r="C5045" s="248"/>
      <c r="D5045" s="249"/>
      <c r="E5045" s="249"/>
      <c r="T5045" s="261"/>
    </row>
    <row r="5046" spans="2:20" x14ac:dyDescent="0.2">
      <c r="B5046" s="245"/>
      <c r="C5046" s="248"/>
      <c r="D5046" s="249"/>
      <c r="E5046" s="249"/>
      <c r="T5046" s="261"/>
    </row>
    <row r="5047" spans="2:20" x14ac:dyDescent="0.2">
      <c r="B5047" s="245"/>
      <c r="C5047" s="248"/>
      <c r="D5047" s="249"/>
      <c r="E5047" s="249"/>
      <c r="T5047" s="261"/>
    </row>
    <row r="5048" spans="2:20" x14ac:dyDescent="0.2">
      <c r="B5048" s="245"/>
      <c r="C5048" s="248"/>
      <c r="D5048" s="249"/>
      <c r="E5048" s="249"/>
      <c r="T5048" s="261"/>
    </row>
    <row r="5049" spans="2:20" x14ac:dyDescent="0.2">
      <c r="B5049" s="245"/>
      <c r="C5049" s="248"/>
      <c r="D5049" s="249"/>
      <c r="E5049" s="249"/>
      <c r="T5049" s="261"/>
    </row>
    <row r="5050" spans="2:20" x14ac:dyDescent="0.2">
      <c r="B5050" s="245"/>
      <c r="C5050" s="248"/>
      <c r="D5050" s="249"/>
      <c r="E5050" s="249"/>
      <c r="T5050" s="261"/>
    </row>
    <row r="5051" spans="2:20" x14ac:dyDescent="0.2">
      <c r="B5051" s="245"/>
      <c r="C5051" s="248"/>
      <c r="D5051" s="249"/>
      <c r="E5051" s="249"/>
      <c r="T5051" s="261"/>
    </row>
    <row r="5052" spans="2:20" x14ac:dyDescent="0.2">
      <c r="B5052" s="245"/>
      <c r="C5052" s="248"/>
      <c r="D5052" s="249"/>
      <c r="E5052" s="249"/>
      <c r="T5052" s="261"/>
    </row>
    <row r="5053" spans="2:20" x14ac:dyDescent="0.2">
      <c r="B5053" s="245"/>
      <c r="C5053" s="248"/>
      <c r="D5053" s="249"/>
      <c r="E5053" s="249"/>
      <c r="T5053" s="261"/>
    </row>
    <row r="5054" spans="2:20" x14ac:dyDescent="0.2">
      <c r="B5054" s="245"/>
      <c r="C5054" s="248"/>
      <c r="D5054" s="249"/>
      <c r="E5054" s="249"/>
      <c r="T5054" s="261"/>
    </row>
    <row r="5055" spans="2:20" x14ac:dyDescent="0.2">
      <c r="B5055" s="245"/>
      <c r="C5055" s="248"/>
      <c r="D5055" s="249"/>
      <c r="E5055" s="249"/>
      <c r="T5055" s="261"/>
    </row>
    <row r="5056" spans="2:20" x14ac:dyDescent="0.2">
      <c r="B5056" s="245"/>
      <c r="C5056" s="248"/>
      <c r="D5056" s="249"/>
      <c r="E5056" s="249"/>
      <c r="T5056" s="261"/>
    </row>
    <row r="5057" spans="2:20" x14ac:dyDescent="0.2">
      <c r="B5057" s="245"/>
      <c r="C5057" s="248"/>
      <c r="D5057" s="249"/>
      <c r="E5057" s="249"/>
      <c r="T5057" s="261"/>
    </row>
    <row r="5058" spans="2:20" x14ac:dyDescent="0.2">
      <c r="B5058" s="245"/>
      <c r="C5058" s="248"/>
      <c r="D5058" s="249"/>
      <c r="E5058" s="249"/>
      <c r="T5058" s="261"/>
    </row>
    <row r="5059" spans="2:20" x14ac:dyDescent="0.2">
      <c r="B5059" s="245"/>
      <c r="C5059" s="248"/>
      <c r="D5059" s="249"/>
      <c r="E5059" s="249"/>
      <c r="T5059" s="261"/>
    </row>
    <row r="5060" spans="2:20" x14ac:dyDescent="0.2">
      <c r="B5060" s="245"/>
      <c r="C5060" s="248"/>
      <c r="D5060" s="249"/>
      <c r="E5060" s="249"/>
      <c r="T5060" s="261"/>
    </row>
    <row r="5061" spans="2:20" x14ac:dyDescent="0.2">
      <c r="B5061" s="245"/>
      <c r="C5061" s="248"/>
      <c r="D5061" s="249"/>
      <c r="E5061" s="249"/>
      <c r="T5061" s="261"/>
    </row>
    <row r="5062" spans="2:20" x14ac:dyDescent="0.2">
      <c r="B5062" s="245"/>
      <c r="C5062" s="248"/>
      <c r="D5062" s="249"/>
      <c r="E5062" s="249"/>
      <c r="T5062" s="261"/>
    </row>
    <row r="5063" spans="2:20" x14ac:dyDescent="0.2">
      <c r="B5063" s="245"/>
      <c r="C5063" s="248"/>
      <c r="D5063" s="249"/>
      <c r="E5063" s="249"/>
      <c r="T5063" s="261"/>
    </row>
    <row r="5064" spans="2:20" x14ac:dyDescent="0.2">
      <c r="B5064" s="245"/>
      <c r="C5064" s="248"/>
      <c r="D5064" s="249"/>
      <c r="E5064" s="249"/>
      <c r="T5064" s="261"/>
    </row>
    <row r="5065" spans="2:20" x14ac:dyDescent="0.2">
      <c r="B5065" s="245"/>
      <c r="C5065" s="248"/>
      <c r="D5065" s="249"/>
      <c r="E5065" s="249"/>
      <c r="T5065" s="261"/>
    </row>
    <row r="5066" spans="2:20" x14ac:dyDescent="0.2">
      <c r="B5066" s="245"/>
      <c r="C5066" s="248"/>
      <c r="D5066" s="249"/>
      <c r="E5066" s="249"/>
      <c r="T5066" s="261"/>
    </row>
    <row r="5067" spans="2:20" x14ac:dyDescent="0.2">
      <c r="B5067" s="245"/>
      <c r="C5067" s="248"/>
      <c r="D5067" s="249"/>
      <c r="E5067" s="249"/>
      <c r="T5067" s="261"/>
    </row>
    <row r="5068" spans="2:20" x14ac:dyDescent="0.2">
      <c r="B5068" s="245"/>
      <c r="C5068" s="248"/>
      <c r="D5068" s="249"/>
      <c r="E5068" s="249"/>
      <c r="T5068" s="261"/>
    </row>
    <row r="5069" spans="2:20" x14ac:dyDescent="0.2">
      <c r="B5069" s="245"/>
      <c r="C5069" s="248"/>
      <c r="D5069" s="249"/>
      <c r="E5069" s="249"/>
      <c r="T5069" s="261"/>
    </row>
    <row r="5070" spans="2:20" x14ac:dyDescent="0.2">
      <c r="B5070" s="245"/>
      <c r="C5070" s="248"/>
      <c r="D5070" s="249"/>
      <c r="E5070" s="249"/>
      <c r="T5070" s="261"/>
    </row>
    <row r="5071" spans="2:20" x14ac:dyDescent="0.2">
      <c r="B5071" s="245"/>
      <c r="C5071" s="248"/>
      <c r="D5071" s="249"/>
      <c r="E5071" s="249"/>
      <c r="T5071" s="261"/>
    </row>
    <row r="5072" spans="2:20" x14ac:dyDescent="0.2">
      <c r="B5072" s="245"/>
      <c r="C5072" s="248"/>
      <c r="D5072" s="249"/>
      <c r="E5072" s="249"/>
      <c r="T5072" s="261"/>
    </row>
    <row r="5073" spans="2:20" x14ac:dyDescent="0.2">
      <c r="B5073" s="245"/>
      <c r="C5073" s="248"/>
      <c r="D5073" s="249"/>
      <c r="E5073" s="249"/>
      <c r="T5073" s="261"/>
    </row>
    <row r="5074" spans="2:20" x14ac:dyDescent="0.2">
      <c r="B5074" s="245"/>
      <c r="C5074" s="248"/>
      <c r="D5074" s="249"/>
      <c r="E5074" s="249"/>
      <c r="T5074" s="261"/>
    </row>
    <row r="5075" spans="2:20" x14ac:dyDescent="0.2">
      <c r="B5075" s="245"/>
      <c r="C5075" s="248"/>
      <c r="D5075" s="249"/>
      <c r="E5075" s="249"/>
      <c r="T5075" s="261"/>
    </row>
    <row r="5076" spans="2:20" x14ac:dyDescent="0.2">
      <c r="B5076" s="245"/>
      <c r="C5076" s="248"/>
      <c r="D5076" s="249"/>
      <c r="E5076" s="249"/>
      <c r="T5076" s="261"/>
    </row>
    <row r="5077" spans="2:20" x14ac:dyDescent="0.2">
      <c r="B5077" s="245"/>
      <c r="C5077" s="248"/>
      <c r="D5077" s="249"/>
      <c r="E5077" s="249"/>
      <c r="T5077" s="261"/>
    </row>
    <row r="5078" spans="2:20" x14ac:dyDescent="0.2">
      <c r="B5078" s="245"/>
      <c r="C5078" s="248"/>
      <c r="D5078" s="249"/>
      <c r="E5078" s="249"/>
      <c r="T5078" s="261"/>
    </row>
    <row r="5079" spans="2:20" x14ac:dyDescent="0.2">
      <c r="B5079" s="245"/>
      <c r="C5079" s="248"/>
      <c r="D5079" s="249"/>
      <c r="E5079" s="249"/>
      <c r="T5079" s="261"/>
    </row>
    <row r="5080" spans="2:20" x14ac:dyDescent="0.2">
      <c r="B5080" s="245"/>
      <c r="C5080" s="248"/>
      <c r="D5080" s="249"/>
      <c r="E5080" s="249"/>
      <c r="T5080" s="261"/>
    </row>
    <row r="5081" spans="2:20" x14ac:dyDescent="0.2">
      <c r="B5081" s="245"/>
      <c r="C5081" s="248"/>
      <c r="D5081" s="249"/>
      <c r="E5081" s="249"/>
      <c r="T5081" s="261"/>
    </row>
    <row r="5082" spans="2:20" x14ac:dyDescent="0.2">
      <c r="B5082" s="245"/>
      <c r="C5082" s="248"/>
      <c r="D5082" s="249"/>
      <c r="E5082" s="249"/>
      <c r="T5082" s="261"/>
    </row>
    <row r="5083" spans="2:20" x14ac:dyDescent="0.2">
      <c r="B5083" s="245"/>
      <c r="C5083" s="248"/>
      <c r="D5083" s="249"/>
      <c r="E5083" s="249"/>
      <c r="T5083" s="261"/>
    </row>
    <row r="5084" spans="2:20" x14ac:dyDescent="0.2">
      <c r="B5084" s="245"/>
      <c r="C5084" s="248"/>
      <c r="D5084" s="249"/>
      <c r="E5084" s="249"/>
      <c r="T5084" s="261"/>
    </row>
    <row r="5085" spans="2:20" x14ac:dyDescent="0.2">
      <c r="B5085" s="245"/>
      <c r="C5085" s="248"/>
      <c r="D5085" s="249"/>
      <c r="E5085" s="249"/>
      <c r="T5085" s="261"/>
    </row>
    <row r="5086" spans="2:20" x14ac:dyDescent="0.2">
      <c r="B5086" s="245"/>
      <c r="C5086" s="248"/>
      <c r="D5086" s="249"/>
      <c r="E5086" s="249"/>
      <c r="T5086" s="261"/>
    </row>
    <row r="5087" spans="2:20" x14ac:dyDescent="0.2">
      <c r="B5087" s="245"/>
      <c r="C5087" s="248"/>
      <c r="D5087" s="249"/>
      <c r="E5087" s="249"/>
      <c r="T5087" s="261"/>
    </row>
    <row r="5088" spans="2:20" x14ac:dyDescent="0.2">
      <c r="B5088" s="245"/>
      <c r="C5088" s="248"/>
      <c r="D5088" s="249"/>
      <c r="E5088" s="249"/>
      <c r="T5088" s="261"/>
    </row>
    <row r="5089" spans="2:20" x14ac:dyDescent="0.2">
      <c r="B5089" s="245"/>
      <c r="C5089" s="248"/>
      <c r="D5089" s="249"/>
      <c r="E5089" s="249"/>
      <c r="T5089" s="261"/>
    </row>
    <row r="5090" spans="2:20" x14ac:dyDescent="0.2">
      <c r="B5090" s="245"/>
      <c r="C5090" s="248"/>
      <c r="D5090" s="249"/>
      <c r="E5090" s="249"/>
      <c r="T5090" s="261"/>
    </row>
    <row r="5091" spans="2:20" x14ac:dyDescent="0.2">
      <c r="B5091" s="245"/>
      <c r="C5091" s="248"/>
      <c r="D5091" s="249"/>
      <c r="E5091" s="249"/>
      <c r="T5091" s="261"/>
    </row>
    <row r="5092" spans="2:20" x14ac:dyDescent="0.2">
      <c r="B5092" s="245"/>
      <c r="C5092" s="248"/>
      <c r="D5092" s="249"/>
      <c r="E5092" s="249"/>
      <c r="T5092" s="261"/>
    </row>
    <row r="5093" spans="2:20" x14ac:dyDescent="0.2">
      <c r="B5093" s="245"/>
      <c r="C5093" s="248"/>
      <c r="D5093" s="249"/>
      <c r="E5093" s="249"/>
      <c r="T5093" s="261"/>
    </row>
    <row r="5094" spans="2:20" x14ac:dyDescent="0.2">
      <c r="B5094" s="245"/>
      <c r="C5094" s="248"/>
      <c r="D5094" s="249"/>
      <c r="E5094" s="249"/>
      <c r="T5094" s="261"/>
    </row>
    <row r="5095" spans="2:20" x14ac:dyDescent="0.2">
      <c r="B5095" s="245"/>
      <c r="C5095" s="248"/>
      <c r="D5095" s="249"/>
      <c r="E5095" s="249"/>
      <c r="T5095" s="261"/>
    </row>
    <row r="5096" spans="2:20" x14ac:dyDescent="0.2">
      <c r="B5096" s="245"/>
      <c r="C5096" s="248"/>
      <c r="D5096" s="249"/>
      <c r="E5096" s="249"/>
      <c r="T5096" s="261"/>
    </row>
    <row r="5097" spans="2:20" x14ac:dyDescent="0.2">
      <c r="B5097" s="245"/>
      <c r="C5097" s="248"/>
      <c r="D5097" s="249"/>
      <c r="E5097" s="249"/>
      <c r="T5097" s="261"/>
    </row>
    <row r="5098" spans="2:20" x14ac:dyDescent="0.2">
      <c r="B5098" s="245"/>
      <c r="C5098" s="248"/>
      <c r="D5098" s="249"/>
      <c r="E5098" s="249"/>
      <c r="T5098" s="261"/>
    </row>
    <row r="5099" spans="2:20" x14ac:dyDescent="0.2">
      <c r="B5099" s="245"/>
      <c r="C5099" s="248"/>
      <c r="D5099" s="249"/>
      <c r="E5099" s="249"/>
      <c r="T5099" s="261"/>
    </row>
    <row r="5100" spans="2:20" x14ac:dyDescent="0.2">
      <c r="B5100" s="245"/>
      <c r="C5100" s="248"/>
      <c r="D5100" s="249"/>
      <c r="E5100" s="249"/>
      <c r="T5100" s="261"/>
    </row>
    <row r="5101" spans="2:20" x14ac:dyDescent="0.2">
      <c r="B5101" s="245"/>
      <c r="C5101" s="248"/>
      <c r="D5101" s="249"/>
      <c r="E5101" s="249"/>
      <c r="T5101" s="261"/>
    </row>
    <row r="5102" spans="2:20" x14ac:dyDescent="0.2">
      <c r="B5102" s="245"/>
      <c r="C5102" s="248"/>
      <c r="D5102" s="249"/>
      <c r="E5102" s="249"/>
      <c r="T5102" s="261"/>
    </row>
    <row r="5103" spans="2:20" x14ac:dyDescent="0.2">
      <c r="B5103" s="245"/>
      <c r="C5103" s="248"/>
      <c r="D5103" s="249"/>
      <c r="E5103" s="249"/>
      <c r="T5103" s="261"/>
    </row>
    <row r="5104" spans="2:20" x14ac:dyDescent="0.2">
      <c r="B5104" s="245"/>
      <c r="C5104" s="248"/>
      <c r="D5104" s="249"/>
      <c r="E5104" s="249"/>
      <c r="T5104" s="261"/>
    </row>
    <row r="5105" spans="2:20" x14ac:dyDescent="0.2">
      <c r="B5105" s="245"/>
      <c r="C5105" s="248"/>
      <c r="D5105" s="249"/>
      <c r="E5105" s="249"/>
      <c r="T5105" s="261"/>
    </row>
    <row r="5106" spans="2:20" x14ac:dyDescent="0.2">
      <c r="B5106" s="245"/>
      <c r="C5106" s="248"/>
      <c r="D5106" s="249"/>
      <c r="E5106" s="249"/>
      <c r="T5106" s="261"/>
    </row>
    <row r="5107" spans="2:20" x14ac:dyDescent="0.2">
      <c r="B5107" s="245"/>
      <c r="C5107" s="248"/>
      <c r="D5107" s="249"/>
      <c r="E5107" s="249"/>
      <c r="T5107" s="261"/>
    </row>
    <row r="5108" spans="2:20" x14ac:dyDescent="0.2">
      <c r="B5108" s="245"/>
      <c r="C5108" s="248"/>
      <c r="D5108" s="249"/>
      <c r="E5108" s="249"/>
      <c r="T5108" s="261"/>
    </row>
    <row r="5109" spans="2:20" x14ac:dyDescent="0.2">
      <c r="B5109" s="245"/>
      <c r="C5109" s="248"/>
      <c r="D5109" s="249"/>
      <c r="E5109" s="249"/>
      <c r="T5109" s="261"/>
    </row>
    <row r="5110" spans="2:20" x14ac:dyDescent="0.2">
      <c r="B5110" s="245"/>
      <c r="C5110" s="248"/>
      <c r="D5110" s="249"/>
      <c r="E5110" s="249"/>
      <c r="T5110" s="261"/>
    </row>
    <row r="5111" spans="2:20" x14ac:dyDescent="0.2">
      <c r="B5111" s="245"/>
      <c r="C5111" s="248"/>
      <c r="D5111" s="249"/>
      <c r="E5111" s="249"/>
      <c r="T5111" s="261"/>
    </row>
    <row r="5112" spans="2:20" x14ac:dyDescent="0.2">
      <c r="B5112" s="245"/>
      <c r="C5112" s="248"/>
      <c r="D5112" s="249"/>
      <c r="E5112" s="249"/>
      <c r="T5112" s="261"/>
    </row>
    <row r="5113" spans="2:20" x14ac:dyDescent="0.2">
      <c r="B5113" s="245"/>
      <c r="C5113" s="248"/>
      <c r="D5113" s="249"/>
      <c r="E5113" s="249"/>
      <c r="T5113" s="261"/>
    </row>
    <row r="5114" spans="2:20" x14ac:dyDescent="0.2">
      <c r="B5114" s="245"/>
      <c r="C5114" s="248"/>
      <c r="D5114" s="249"/>
      <c r="E5114" s="249"/>
      <c r="T5114" s="261"/>
    </row>
    <row r="5115" spans="2:20" x14ac:dyDescent="0.2">
      <c r="B5115" s="245"/>
      <c r="C5115" s="248"/>
      <c r="D5115" s="249"/>
      <c r="E5115" s="249"/>
      <c r="T5115" s="261"/>
    </row>
    <row r="5116" spans="2:20" x14ac:dyDescent="0.2">
      <c r="B5116" s="245"/>
      <c r="C5116" s="248"/>
      <c r="D5116" s="249"/>
      <c r="E5116" s="249"/>
      <c r="T5116" s="261"/>
    </row>
    <row r="5117" spans="2:20" x14ac:dyDescent="0.2">
      <c r="B5117" s="245"/>
      <c r="C5117" s="248"/>
      <c r="D5117" s="249"/>
      <c r="E5117" s="249"/>
      <c r="T5117" s="261"/>
    </row>
    <row r="5118" spans="2:20" x14ac:dyDescent="0.2">
      <c r="B5118" s="245"/>
      <c r="C5118" s="248"/>
      <c r="D5118" s="249"/>
      <c r="E5118" s="249"/>
      <c r="T5118" s="261"/>
    </row>
    <row r="5119" spans="2:20" x14ac:dyDescent="0.2">
      <c r="B5119" s="245"/>
      <c r="C5119" s="248"/>
      <c r="D5119" s="249"/>
      <c r="E5119" s="249"/>
      <c r="T5119" s="261"/>
    </row>
    <row r="5120" spans="2:20" x14ac:dyDescent="0.2">
      <c r="B5120" s="245"/>
      <c r="C5120" s="248"/>
      <c r="D5120" s="249"/>
      <c r="E5120" s="249"/>
      <c r="T5120" s="261"/>
    </row>
    <row r="5121" spans="2:20" x14ac:dyDescent="0.2">
      <c r="B5121" s="245"/>
      <c r="C5121" s="248"/>
      <c r="D5121" s="249"/>
      <c r="E5121" s="249"/>
      <c r="T5121" s="261"/>
    </row>
    <row r="5122" spans="2:20" x14ac:dyDescent="0.2">
      <c r="B5122" s="245"/>
      <c r="C5122" s="248"/>
      <c r="D5122" s="249"/>
      <c r="E5122" s="249"/>
      <c r="T5122" s="261"/>
    </row>
    <row r="5123" spans="2:20" x14ac:dyDescent="0.2">
      <c r="B5123" s="245"/>
      <c r="C5123" s="248"/>
      <c r="D5123" s="249"/>
      <c r="E5123" s="249"/>
      <c r="T5123" s="261"/>
    </row>
    <row r="5124" spans="2:20" x14ac:dyDescent="0.2">
      <c r="B5124" s="245"/>
      <c r="C5124" s="248"/>
      <c r="D5124" s="249"/>
      <c r="E5124" s="249"/>
      <c r="T5124" s="261"/>
    </row>
    <row r="5125" spans="2:20" x14ac:dyDescent="0.2">
      <c r="B5125" s="245"/>
      <c r="C5125" s="248"/>
      <c r="D5125" s="249"/>
      <c r="E5125" s="249"/>
      <c r="T5125" s="261"/>
    </row>
    <row r="5126" spans="2:20" x14ac:dyDescent="0.2">
      <c r="B5126" s="245"/>
      <c r="C5126" s="248"/>
      <c r="D5126" s="249"/>
      <c r="E5126" s="249"/>
      <c r="T5126" s="261"/>
    </row>
    <row r="5127" spans="2:20" x14ac:dyDescent="0.2">
      <c r="B5127" s="245"/>
      <c r="C5127" s="248"/>
      <c r="D5127" s="249"/>
      <c r="E5127" s="249"/>
      <c r="T5127" s="261"/>
    </row>
    <row r="5128" spans="2:20" x14ac:dyDescent="0.2">
      <c r="B5128" s="245"/>
      <c r="C5128" s="248"/>
      <c r="D5128" s="249"/>
      <c r="E5128" s="249"/>
      <c r="T5128" s="261"/>
    </row>
    <row r="5129" spans="2:20" x14ac:dyDescent="0.2">
      <c r="B5129" s="245"/>
      <c r="C5129" s="248"/>
      <c r="D5129" s="249"/>
      <c r="E5129" s="249"/>
      <c r="T5129" s="261"/>
    </row>
    <row r="5130" spans="2:20" x14ac:dyDescent="0.2">
      <c r="B5130" s="245"/>
      <c r="C5130" s="248"/>
      <c r="D5130" s="249"/>
      <c r="E5130" s="249"/>
      <c r="T5130" s="261"/>
    </row>
    <row r="5131" spans="2:20" x14ac:dyDescent="0.2">
      <c r="B5131" s="245"/>
      <c r="C5131" s="248"/>
      <c r="D5131" s="249"/>
      <c r="E5131" s="249"/>
      <c r="T5131" s="261"/>
    </row>
    <row r="5132" spans="2:20" x14ac:dyDescent="0.2">
      <c r="B5132" s="245"/>
      <c r="C5132" s="248"/>
      <c r="D5132" s="249"/>
      <c r="E5132" s="249"/>
      <c r="T5132" s="261"/>
    </row>
    <row r="5133" spans="2:20" x14ac:dyDescent="0.2">
      <c r="B5133" s="245"/>
      <c r="C5133" s="248"/>
      <c r="D5133" s="249"/>
      <c r="E5133" s="249"/>
      <c r="T5133" s="261"/>
    </row>
    <row r="5134" spans="2:20" x14ac:dyDescent="0.2">
      <c r="B5134" s="245"/>
      <c r="C5134" s="248"/>
      <c r="D5134" s="249"/>
      <c r="E5134" s="249"/>
      <c r="T5134" s="261"/>
    </row>
    <row r="5135" spans="2:20" x14ac:dyDescent="0.2">
      <c r="B5135" s="245"/>
      <c r="C5135" s="248"/>
      <c r="D5135" s="249"/>
      <c r="E5135" s="249"/>
      <c r="T5135" s="261"/>
    </row>
    <row r="5136" spans="2:20" x14ac:dyDescent="0.2">
      <c r="B5136" s="245"/>
      <c r="C5136" s="248"/>
      <c r="D5136" s="249"/>
      <c r="E5136" s="249"/>
      <c r="T5136" s="261"/>
    </row>
    <row r="5137" spans="2:20" x14ac:dyDescent="0.2">
      <c r="B5137" s="245"/>
      <c r="C5137" s="248"/>
      <c r="D5137" s="249"/>
      <c r="E5137" s="249"/>
      <c r="T5137" s="261"/>
    </row>
    <row r="5138" spans="2:20" x14ac:dyDescent="0.2">
      <c r="B5138" s="245"/>
      <c r="C5138" s="248"/>
      <c r="D5138" s="249"/>
      <c r="E5138" s="249"/>
      <c r="T5138" s="261"/>
    </row>
    <row r="5139" spans="2:20" x14ac:dyDescent="0.2">
      <c r="B5139" s="245"/>
      <c r="C5139" s="248"/>
      <c r="D5139" s="249"/>
      <c r="E5139" s="249"/>
      <c r="T5139" s="261"/>
    </row>
    <row r="5140" spans="2:20" x14ac:dyDescent="0.2">
      <c r="B5140" s="245"/>
      <c r="C5140" s="248"/>
      <c r="D5140" s="249"/>
      <c r="E5140" s="249"/>
      <c r="T5140" s="261"/>
    </row>
    <row r="5141" spans="2:20" x14ac:dyDescent="0.2">
      <c r="B5141" s="245"/>
      <c r="C5141" s="248"/>
      <c r="D5141" s="249"/>
      <c r="E5141" s="249"/>
      <c r="T5141" s="261"/>
    </row>
    <row r="5142" spans="2:20" x14ac:dyDescent="0.2">
      <c r="B5142" s="245"/>
      <c r="C5142" s="248"/>
      <c r="D5142" s="249"/>
      <c r="E5142" s="249"/>
      <c r="T5142" s="261"/>
    </row>
    <row r="5143" spans="2:20" x14ac:dyDescent="0.2">
      <c r="B5143" s="245"/>
      <c r="C5143" s="248"/>
      <c r="D5143" s="249"/>
      <c r="E5143" s="249"/>
      <c r="T5143" s="261"/>
    </row>
    <row r="5144" spans="2:20" x14ac:dyDescent="0.2">
      <c r="B5144" s="245"/>
      <c r="C5144" s="248"/>
      <c r="D5144" s="249"/>
      <c r="E5144" s="249"/>
      <c r="T5144" s="261"/>
    </row>
    <row r="5145" spans="2:20" x14ac:dyDescent="0.2">
      <c r="B5145" s="245"/>
      <c r="C5145" s="248"/>
      <c r="D5145" s="249"/>
      <c r="E5145" s="249"/>
      <c r="T5145" s="261"/>
    </row>
    <row r="5146" spans="2:20" x14ac:dyDescent="0.2">
      <c r="B5146" s="245"/>
      <c r="C5146" s="248"/>
      <c r="D5146" s="249"/>
      <c r="E5146" s="249"/>
      <c r="T5146" s="261"/>
    </row>
    <row r="5147" spans="2:20" x14ac:dyDescent="0.2">
      <c r="B5147" s="245"/>
      <c r="C5147" s="248"/>
      <c r="D5147" s="249"/>
      <c r="E5147" s="249"/>
      <c r="T5147" s="261"/>
    </row>
    <row r="5148" spans="2:20" x14ac:dyDescent="0.2">
      <c r="B5148" s="245"/>
      <c r="C5148" s="248"/>
      <c r="D5148" s="249"/>
      <c r="E5148" s="249"/>
      <c r="T5148" s="261"/>
    </row>
    <row r="5149" spans="2:20" x14ac:dyDescent="0.2">
      <c r="B5149" s="245"/>
      <c r="C5149" s="248"/>
      <c r="D5149" s="249"/>
      <c r="E5149" s="249"/>
      <c r="T5149" s="261"/>
    </row>
    <row r="5150" spans="2:20" x14ac:dyDescent="0.2">
      <c r="B5150" s="245"/>
      <c r="C5150" s="248"/>
      <c r="D5150" s="249"/>
      <c r="E5150" s="249"/>
      <c r="T5150" s="261"/>
    </row>
    <row r="5151" spans="2:20" x14ac:dyDescent="0.2">
      <c r="B5151" s="245"/>
      <c r="C5151" s="248"/>
      <c r="D5151" s="249"/>
      <c r="E5151" s="249"/>
      <c r="T5151" s="261"/>
    </row>
    <row r="5152" spans="2:20" x14ac:dyDescent="0.2">
      <c r="B5152" s="245"/>
      <c r="C5152" s="248"/>
      <c r="D5152" s="249"/>
      <c r="E5152" s="249"/>
      <c r="T5152" s="261"/>
    </row>
    <row r="5153" spans="2:20" x14ac:dyDescent="0.2">
      <c r="B5153" s="245"/>
      <c r="C5153" s="248"/>
      <c r="D5153" s="249"/>
      <c r="E5153" s="249"/>
      <c r="T5153" s="261"/>
    </row>
    <row r="5154" spans="2:20" x14ac:dyDescent="0.2">
      <c r="B5154" s="245"/>
      <c r="C5154" s="248"/>
      <c r="D5154" s="249"/>
      <c r="E5154" s="249"/>
      <c r="T5154" s="261"/>
    </row>
    <row r="5155" spans="2:20" x14ac:dyDescent="0.2">
      <c r="B5155" s="245"/>
      <c r="C5155" s="248"/>
      <c r="D5155" s="249"/>
      <c r="E5155" s="249"/>
      <c r="T5155" s="261"/>
    </row>
    <row r="5156" spans="2:20" x14ac:dyDescent="0.2">
      <c r="B5156" s="245"/>
      <c r="C5156" s="248"/>
      <c r="D5156" s="249"/>
      <c r="E5156" s="249"/>
      <c r="T5156" s="261"/>
    </row>
    <row r="5157" spans="2:20" x14ac:dyDescent="0.2">
      <c r="B5157" s="245"/>
      <c r="C5157" s="248"/>
      <c r="D5157" s="249"/>
      <c r="E5157" s="249"/>
      <c r="T5157" s="261"/>
    </row>
    <row r="5158" spans="2:20" x14ac:dyDescent="0.2">
      <c r="B5158" s="245"/>
      <c r="C5158" s="248"/>
      <c r="D5158" s="249"/>
      <c r="E5158" s="249"/>
      <c r="T5158" s="261"/>
    </row>
    <row r="5159" spans="2:20" x14ac:dyDescent="0.2">
      <c r="B5159" s="245"/>
      <c r="C5159" s="248"/>
      <c r="D5159" s="249"/>
      <c r="E5159" s="249"/>
      <c r="T5159" s="261"/>
    </row>
    <row r="5160" spans="2:20" x14ac:dyDescent="0.2">
      <c r="B5160" s="245"/>
      <c r="C5160" s="248"/>
      <c r="D5160" s="249"/>
      <c r="E5160" s="249"/>
      <c r="T5160" s="261"/>
    </row>
    <row r="5161" spans="2:20" x14ac:dyDescent="0.2">
      <c r="B5161" s="245"/>
      <c r="C5161" s="248"/>
      <c r="D5161" s="249"/>
      <c r="E5161" s="249"/>
      <c r="T5161" s="261"/>
    </row>
    <row r="5162" spans="2:20" x14ac:dyDescent="0.2">
      <c r="B5162" s="245"/>
      <c r="C5162" s="248"/>
      <c r="D5162" s="249"/>
      <c r="E5162" s="249"/>
      <c r="T5162" s="261"/>
    </row>
    <row r="5163" spans="2:20" x14ac:dyDescent="0.2">
      <c r="B5163" s="245"/>
      <c r="C5163" s="248"/>
      <c r="D5163" s="249"/>
      <c r="E5163" s="249"/>
      <c r="T5163" s="261"/>
    </row>
    <row r="5164" spans="2:20" x14ac:dyDescent="0.2">
      <c r="B5164" s="245"/>
      <c r="C5164" s="248"/>
      <c r="D5164" s="249"/>
      <c r="E5164" s="249"/>
      <c r="T5164" s="261"/>
    </row>
    <row r="5165" spans="2:20" x14ac:dyDescent="0.2">
      <c r="B5165" s="245"/>
      <c r="C5165" s="248"/>
      <c r="D5165" s="249"/>
      <c r="E5165" s="249"/>
      <c r="T5165" s="261"/>
    </row>
    <row r="5166" spans="2:20" x14ac:dyDescent="0.2">
      <c r="B5166" s="245"/>
      <c r="C5166" s="248"/>
      <c r="D5166" s="249"/>
      <c r="E5166" s="249"/>
      <c r="T5166" s="261"/>
    </row>
    <row r="5167" spans="2:20" x14ac:dyDescent="0.2">
      <c r="B5167" s="245"/>
      <c r="C5167" s="248"/>
      <c r="D5167" s="249"/>
      <c r="E5167" s="249"/>
      <c r="T5167" s="261"/>
    </row>
    <row r="5168" spans="2:20" x14ac:dyDescent="0.2">
      <c r="B5168" s="245"/>
      <c r="C5168" s="248"/>
      <c r="D5168" s="249"/>
      <c r="E5168" s="249"/>
      <c r="T5168" s="261"/>
    </row>
    <row r="5169" spans="2:20" x14ac:dyDescent="0.2">
      <c r="B5169" s="245"/>
      <c r="C5169" s="248"/>
      <c r="D5169" s="249"/>
      <c r="E5169" s="249"/>
      <c r="T5169" s="261"/>
    </row>
    <row r="5170" spans="2:20" x14ac:dyDescent="0.2">
      <c r="B5170" s="245"/>
      <c r="C5170" s="248"/>
      <c r="D5170" s="249"/>
      <c r="E5170" s="249"/>
      <c r="T5170" s="261"/>
    </row>
    <row r="5171" spans="2:20" x14ac:dyDescent="0.2">
      <c r="B5171" s="245"/>
      <c r="C5171" s="248"/>
      <c r="D5171" s="249"/>
      <c r="E5171" s="249"/>
      <c r="T5171" s="261"/>
    </row>
    <row r="5172" spans="2:20" x14ac:dyDescent="0.2">
      <c r="B5172" s="245"/>
      <c r="C5172" s="248"/>
      <c r="D5172" s="249"/>
      <c r="E5172" s="249"/>
      <c r="T5172" s="261"/>
    </row>
    <row r="5173" spans="2:20" x14ac:dyDescent="0.2">
      <c r="B5173" s="245"/>
      <c r="C5173" s="248"/>
      <c r="D5173" s="249"/>
      <c r="E5173" s="249"/>
      <c r="T5173" s="261"/>
    </row>
    <row r="5174" spans="2:20" x14ac:dyDescent="0.2">
      <c r="B5174" s="245"/>
      <c r="C5174" s="248"/>
      <c r="D5174" s="249"/>
      <c r="E5174" s="249"/>
      <c r="T5174" s="261"/>
    </row>
    <row r="5175" spans="2:20" x14ac:dyDescent="0.2">
      <c r="B5175" s="245"/>
      <c r="C5175" s="248"/>
      <c r="D5175" s="249"/>
      <c r="E5175" s="249"/>
      <c r="T5175" s="261"/>
    </row>
    <row r="5176" spans="2:20" x14ac:dyDescent="0.2">
      <c r="B5176" s="245"/>
      <c r="C5176" s="248"/>
      <c r="D5176" s="249"/>
      <c r="E5176" s="249"/>
      <c r="T5176" s="261"/>
    </row>
    <row r="5177" spans="2:20" x14ac:dyDescent="0.2">
      <c r="B5177" s="245"/>
      <c r="C5177" s="248"/>
      <c r="D5177" s="249"/>
      <c r="E5177" s="249"/>
      <c r="T5177" s="261"/>
    </row>
    <row r="5178" spans="2:20" x14ac:dyDescent="0.2">
      <c r="B5178" s="245"/>
      <c r="C5178" s="248"/>
      <c r="D5178" s="249"/>
      <c r="E5178" s="249"/>
      <c r="T5178" s="261"/>
    </row>
    <row r="5179" spans="2:20" x14ac:dyDescent="0.2">
      <c r="B5179" s="245"/>
      <c r="C5179" s="248"/>
      <c r="D5179" s="249"/>
      <c r="E5179" s="249"/>
      <c r="T5179" s="261"/>
    </row>
    <row r="5180" spans="2:20" x14ac:dyDescent="0.2">
      <c r="B5180" s="245"/>
      <c r="C5180" s="248"/>
      <c r="D5180" s="249"/>
      <c r="E5180" s="249"/>
      <c r="T5180" s="261"/>
    </row>
    <row r="5181" spans="2:20" x14ac:dyDescent="0.2">
      <c r="B5181" s="245"/>
      <c r="C5181" s="248"/>
      <c r="D5181" s="249"/>
      <c r="E5181" s="249"/>
      <c r="T5181" s="261"/>
    </row>
    <row r="5182" spans="2:20" x14ac:dyDescent="0.2">
      <c r="B5182" s="245"/>
      <c r="C5182" s="248"/>
      <c r="D5182" s="249"/>
      <c r="E5182" s="249"/>
      <c r="T5182" s="261"/>
    </row>
    <row r="5183" spans="2:20" x14ac:dyDescent="0.2">
      <c r="B5183" s="245"/>
      <c r="C5183" s="248"/>
      <c r="D5183" s="249"/>
      <c r="E5183" s="249"/>
      <c r="T5183" s="261"/>
    </row>
    <row r="5184" spans="2:20" x14ac:dyDescent="0.2">
      <c r="B5184" s="245"/>
      <c r="C5184" s="248"/>
      <c r="D5184" s="249"/>
      <c r="E5184" s="249"/>
      <c r="T5184" s="261"/>
    </row>
    <row r="5185" spans="2:20" x14ac:dyDescent="0.2">
      <c r="B5185" s="245"/>
      <c r="C5185" s="248"/>
      <c r="D5185" s="249"/>
      <c r="E5185" s="249"/>
      <c r="T5185" s="261"/>
    </row>
    <row r="5186" spans="2:20" x14ac:dyDescent="0.2">
      <c r="B5186" s="245"/>
      <c r="C5186" s="248"/>
      <c r="D5186" s="249"/>
      <c r="E5186" s="249"/>
      <c r="T5186" s="261"/>
    </row>
    <row r="5187" spans="2:20" x14ac:dyDescent="0.2">
      <c r="B5187" s="245"/>
      <c r="C5187" s="248"/>
      <c r="D5187" s="249"/>
      <c r="E5187" s="249"/>
      <c r="T5187" s="261"/>
    </row>
    <row r="5188" spans="2:20" x14ac:dyDescent="0.2">
      <c r="B5188" s="245"/>
      <c r="C5188" s="248"/>
      <c r="D5188" s="249"/>
      <c r="E5188" s="249"/>
      <c r="T5188" s="261"/>
    </row>
    <row r="5189" spans="2:20" x14ac:dyDescent="0.2">
      <c r="B5189" s="245"/>
      <c r="C5189" s="248"/>
      <c r="D5189" s="249"/>
      <c r="E5189" s="249"/>
      <c r="T5189" s="261"/>
    </row>
    <row r="5190" spans="2:20" x14ac:dyDescent="0.2">
      <c r="B5190" s="245"/>
      <c r="C5190" s="248"/>
      <c r="D5190" s="249"/>
      <c r="E5190" s="249"/>
      <c r="T5190" s="261"/>
    </row>
    <row r="5191" spans="2:20" x14ac:dyDescent="0.2">
      <c r="B5191" s="245"/>
      <c r="C5191" s="248"/>
      <c r="D5191" s="249"/>
      <c r="E5191" s="249"/>
      <c r="T5191" s="261"/>
    </row>
    <row r="5192" spans="2:20" x14ac:dyDescent="0.2">
      <c r="B5192" s="245"/>
      <c r="C5192" s="248"/>
      <c r="D5192" s="249"/>
      <c r="E5192" s="249"/>
      <c r="T5192" s="261"/>
    </row>
    <row r="5193" spans="2:20" x14ac:dyDescent="0.2">
      <c r="B5193" s="245"/>
      <c r="C5193" s="248"/>
      <c r="D5193" s="249"/>
      <c r="E5193" s="249"/>
      <c r="T5193" s="261"/>
    </row>
    <row r="5194" spans="2:20" x14ac:dyDescent="0.2">
      <c r="B5194" s="245"/>
      <c r="C5194" s="248"/>
      <c r="D5194" s="249"/>
      <c r="E5194" s="249"/>
      <c r="T5194" s="261"/>
    </row>
    <row r="5195" spans="2:20" x14ac:dyDescent="0.2">
      <c r="B5195" s="245"/>
      <c r="C5195" s="248"/>
      <c r="D5195" s="249"/>
      <c r="E5195" s="249"/>
      <c r="T5195" s="261"/>
    </row>
    <row r="5196" spans="2:20" x14ac:dyDescent="0.2">
      <c r="B5196" s="245"/>
      <c r="C5196" s="248"/>
      <c r="D5196" s="249"/>
      <c r="E5196" s="249"/>
      <c r="T5196" s="261"/>
    </row>
    <row r="5197" spans="2:20" x14ac:dyDescent="0.2">
      <c r="B5197" s="245"/>
      <c r="C5197" s="248"/>
      <c r="D5197" s="249"/>
      <c r="E5197" s="249"/>
      <c r="T5197" s="261"/>
    </row>
    <row r="5198" spans="2:20" x14ac:dyDescent="0.2">
      <c r="B5198" s="245"/>
      <c r="C5198" s="248"/>
      <c r="D5198" s="249"/>
      <c r="E5198" s="249"/>
      <c r="T5198" s="261"/>
    </row>
    <row r="5199" spans="2:20" x14ac:dyDescent="0.2">
      <c r="B5199" s="245"/>
      <c r="C5199" s="248"/>
      <c r="D5199" s="249"/>
      <c r="E5199" s="249"/>
      <c r="T5199" s="261"/>
    </row>
    <row r="5200" spans="2:20" x14ac:dyDescent="0.2">
      <c r="B5200" s="245"/>
      <c r="C5200" s="248"/>
      <c r="D5200" s="249"/>
      <c r="E5200" s="249"/>
      <c r="T5200" s="261"/>
    </row>
    <row r="5201" spans="2:20" x14ac:dyDescent="0.2">
      <c r="B5201" s="245"/>
      <c r="C5201" s="248"/>
      <c r="D5201" s="249"/>
      <c r="E5201" s="249"/>
      <c r="T5201" s="261"/>
    </row>
    <row r="5202" spans="2:20" x14ac:dyDescent="0.2">
      <c r="B5202" s="245"/>
      <c r="C5202" s="248"/>
      <c r="D5202" s="249"/>
      <c r="E5202" s="249"/>
      <c r="T5202" s="261"/>
    </row>
    <row r="5203" spans="2:20" x14ac:dyDescent="0.2">
      <c r="B5203" s="245"/>
      <c r="C5203" s="248"/>
      <c r="D5203" s="249"/>
      <c r="E5203" s="249"/>
      <c r="T5203" s="261"/>
    </row>
    <row r="5204" spans="2:20" x14ac:dyDescent="0.2">
      <c r="B5204" s="245"/>
      <c r="C5204" s="248"/>
      <c r="D5204" s="249"/>
      <c r="E5204" s="249"/>
      <c r="T5204" s="261"/>
    </row>
    <row r="5205" spans="2:20" x14ac:dyDescent="0.2">
      <c r="B5205" s="245"/>
      <c r="C5205" s="248"/>
      <c r="D5205" s="249"/>
      <c r="E5205" s="249"/>
      <c r="T5205" s="261"/>
    </row>
    <row r="5206" spans="2:20" x14ac:dyDescent="0.2">
      <c r="B5206" s="245"/>
      <c r="C5206" s="248"/>
      <c r="D5206" s="249"/>
      <c r="E5206" s="249"/>
      <c r="T5206" s="261"/>
    </row>
    <row r="5207" spans="2:20" x14ac:dyDescent="0.2">
      <c r="B5207" s="245"/>
      <c r="C5207" s="248"/>
      <c r="D5207" s="249"/>
      <c r="E5207" s="249"/>
      <c r="T5207" s="261"/>
    </row>
    <row r="5208" spans="2:20" x14ac:dyDescent="0.2">
      <c r="B5208" s="245"/>
      <c r="C5208" s="248"/>
      <c r="D5208" s="249"/>
      <c r="E5208" s="249"/>
      <c r="T5208" s="261"/>
    </row>
    <row r="5209" spans="2:20" x14ac:dyDescent="0.2">
      <c r="B5209" s="245"/>
      <c r="C5209" s="248"/>
      <c r="D5209" s="249"/>
      <c r="E5209" s="249"/>
      <c r="T5209" s="261"/>
    </row>
    <row r="5210" spans="2:20" x14ac:dyDescent="0.2">
      <c r="B5210" s="245"/>
      <c r="C5210" s="248"/>
      <c r="D5210" s="249"/>
      <c r="E5210" s="249"/>
      <c r="T5210" s="261"/>
    </row>
    <row r="5211" spans="2:20" x14ac:dyDescent="0.2">
      <c r="B5211" s="245"/>
      <c r="C5211" s="248"/>
      <c r="D5211" s="249"/>
      <c r="E5211" s="249"/>
      <c r="T5211" s="261"/>
    </row>
    <row r="5212" spans="2:20" x14ac:dyDescent="0.2">
      <c r="B5212" s="245"/>
      <c r="C5212" s="248"/>
      <c r="D5212" s="249"/>
      <c r="E5212" s="249"/>
      <c r="T5212" s="261"/>
    </row>
    <row r="5213" spans="2:20" x14ac:dyDescent="0.2">
      <c r="B5213" s="245"/>
      <c r="C5213" s="248"/>
      <c r="D5213" s="249"/>
      <c r="E5213" s="249"/>
      <c r="T5213" s="261"/>
    </row>
    <row r="5214" spans="2:20" x14ac:dyDescent="0.2">
      <c r="B5214" s="245"/>
      <c r="C5214" s="248"/>
      <c r="D5214" s="249"/>
      <c r="E5214" s="249"/>
      <c r="T5214" s="261"/>
    </row>
    <row r="5215" spans="2:20" x14ac:dyDescent="0.2">
      <c r="B5215" s="245"/>
      <c r="C5215" s="248"/>
      <c r="D5215" s="249"/>
      <c r="E5215" s="249"/>
      <c r="T5215" s="261"/>
    </row>
    <row r="5216" spans="2:20" x14ac:dyDescent="0.2">
      <c r="B5216" s="245"/>
      <c r="C5216" s="248"/>
      <c r="D5216" s="249"/>
      <c r="E5216" s="249"/>
      <c r="T5216" s="261"/>
    </row>
    <row r="5217" spans="2:20" x14ac:dyDescent="0.2">
      <c r="B5217" s="245"/>
      <c r="C5217" s="248"/>
      <c r="D5217" s="249"/>
      <c r="E5217" s="249"/>
      <c r="T5217" s="261"/>
    </row>
    <row r="5218" spans="2:20" x14ac:dyDescent="0.2">
      <c r="B5218" s="245"/>
      <c r="C5218" s="248"/>
      <c r="D5218" s="249"/>
      <c r="E5218" s="249"/>
      <c r="T5218" s="261"/>
    </row>
    <row r="5219" spans="2:20" x14ac:dyDescent="0.2">
      <c r="B5219" s="245"/>
      <c r="C5219" s="248"/>
      <c r="D5219" s="249"/>
      <c r="E5219" s="249"/>
      <c r="T5219" s="261"/>
    </row>
    <row r="5220" spans="2:20" x14ac:dyDescent="0.2">
      <c r="B5220" s="245"/>
      <c r="C5220" s="248"/>
      <c r="D5220" s="249"/>
      <c r="E5220" s="249"/>
      <c r="T5220" s="261"/>
    </row>
    <row r="5221" spans="2:20" x14ac:dyDescent="0.2">
      <c r="B5221" s="245"/>
      <c r="C5221" s="248"/>
      <c r="D5221" s="249"/>
      <c r="E5221" s="249"/>
      <c r="T5221" s="261"/>
    </row>
    <row r="5222" spans="2:20" x14ac:dyDescent="0.2">
      <c r="B5222" s="245"/>
      <c r="C5222" s="248"/>
      <c r="D5222" s="249"/>
      <c r="E5222" s="249"/>
      <c r="T5222" s="261"/>
    </row>
    <row r="5223" spans="2:20" x14ac:dyDescent="0.2">
      <c r="B5223" s="245"/>
      <c r="C5223" s="248"/>
      <c r="D5223" s="249"/>
      <c r="E5223" s="249"/>
      <c r="T5223" s="261"/>
    </row>
    <row r="5224" spans="2:20" x14ac:dyDescent="0.2">
      <c r="B5224" s="245"/>
      <c r="C5224" s="248"/>
      <c r="D5224" s="249"/>
      <c r="E5224" s="249"/>
      <c r="T5224" s="261"/>
    </row>
    <row r="5225" spans="2:20" x14ac:dyDescent="0.2">
      <c r="B5225" s="245"/>
      <c r="C5225" s="248"/>
      <c r="D5225" s="249"/>
      <c r="E5225" s="249"/>
      <c r="T5225" s="261"/>
    </row>
    <row r="5226" spans="2:20" x14ac:dyDescent="0.2">
      <c r="B5226" s="245"/>
      <c r="C5226" s="248"/>
      <c r="D5226" s="249"/>
      <c r="E5226" s="249"/>
      <c r="T5226" s="261"/>
    </row>
    <row r="5227" spans="2:20" x14ac:dyDescent="0.2">
      <c r="B5227" s="245"/>
      <c r="C5227" s="248"/>
      <c r="D5227" s="249"/>
      <c r="E5227" s="249"/>
      <c r="T5227" s="261"/>
    </row>
    <row r="5228" spans="2:20" x14ac:dyDescent="0.2">
      <c r="B5228" s="245"/>
      <c r="C5228" s="248"/>
      <c r="D5228" s="249"/>
      <c r="E5228" s="249"/>
      <c r="T5228" s="261"/>
    </row>
    <row r="5229" spans="2:20" x14ac:dyDescent="0.2">
      <c r="B5229" s="245"/>
      <c r="C5229" s="248"/>
      <c r="D5229" s="249"/>
      <c r="E5229" s="249"/>
      <c r="T5229" s="261"/>
    </row>
    <row r="5230" spans="2:20" x14ac:dyDescent="0.2">
      <c r="B5230" s="245"/>
      <c r="C5230" s="248"/>
      <c r="D5230" s="249"/>
      <c r="E5230" s="249"/>
      <c r="T5230" s="261"/>
    </row>
    <row r="5231" spans="2:20" x14ac:dyDescent="0.2">
      <c r="B5231" s="245"/>
      <c r="C5231" s="248"/>
      <c r="D5231" s="249"/>
      <c r="E5231" s="249"/>
      <c r="T5231" s="261"/>
    </row>
    <row r="5232" spans="2:20" x14ac:dyDescent="0.2">
      <c r="B5232" s="245"/>
      <c r="C5232" s="248"/>
      <c r="D5232" s="249"/>
      <c r="E5232" s="249"/>
      <c r="T5232" s="261"/>
    </row>
    <row r="5233" spans="2:20" x14ac:dyDescent="0.2">
      <c r="B5233" s="245"/>
      <c r="C5233" s="248"/>
      <c r="D5233" s="249"/>
      <c r="E5233" s="249"/>
      <c r="T5233" s="261"/>
    </row>
    <row r="5234" spans="2:20" x14ac:dyDescent="0.2">
      <c r="B5234" s="245"/>
      <c r="C5234" s="248"/>
      <c r="D5234" s="249"/>
      <c r="E5234" s="249"/>
      <c r="T5234" s="261"/>
    </row>
    <row r="5235" spans="2:20" x14ac:dyDescent="0.2">
      <c r="B5235" s="245"/>
      <c r="C5235" s="248"/>
      <c r="D5235" s="249"/>
      <c r="E5235" s="249"/>
      <c r="T5235" s="261"/>
    </row>
    <row r="5236" spans="2:20" x14ac:dyDescent="0.2">
      <c r="B5236" s="245"/>
      <c r="C5236" s="248"/>
      <c r="D5236" s="249"/>
      <c r="E5236" s="249"/>
      <c r="T5236" s="261"/>
    </row>
    <row r="5237" spans="2:20" x14ac:dyDescent="0.2">
      <c r="B5237" s="245"/>
      <c r="C5237" s="248"/>
      <c r="D5237" s="249"/>
      <c r="E5237" s="249"/>
      <c r="T5237" s="261"/>
    </row>
    <row r="5238" spans="2:20" x14ac:dyDescent="0.2">
      <c r="B5238" s="245"/>
      <c r="C5238" s="248"/>
      <c r="D5238" s="249"/>
      <c r="E5238" s="249"/>
      <c r="T5238" s="261"/>
    </row>
    <row r="5239" spans="2:20" x14ac:dyDescent="0.2">
      <c r="B5239" s="245"/>
      <c r="C5239" s="248"/>
      <c r="D5239" s="249"/>
      <c r="E5239" s="249"/>
      <c r="T5239" s="261"/>
    </row>
    <row r="5240" spans="2:20" x14ac:dyDescent="0.2">
      <c r="B5240" s="245"/>
      <c r="C5240" s="248"/>
      <c r="D5240" s="249"/>
      <c r="E5240" s="249"/>
      <c r="T5240" s="261"/>
    </row>
    <row r="5241" spans="2:20" x14ac:dyDescent="0.2">
      <c r="B5241" s="245"/>
      <c r="C5241" s="248"/>
      <c r="D5241" s="249"/>
      <c r="E5241" s="249"/>
      <c r="T5241" s="261"/>
    </row>
    <row r="5242" spans="2:20" x14ac:dyDescent="0.2">
      <c r="B5242" s="245"/>
      <c r="C5242" s="248"/>
      <c r="D5242" s="249"/>
      <c r="E5242" s="249"/>
      <c r="T5242" s="261"/>
    </row>
    <row r="5243" spans="2:20" x14ac:dyDescent="0.2">
      <c r="B5243" s="245"/>
      <c r="C5243" s="248"/>
      <c r="D5243" s="249"/>
      <c r="E5243" s="249"/>
      <c r="T5243" s="261"/>
    </row>
    <row r="5244" spans="2:20" x14ac:dyDescent="0.2">
      <c r="B5244" s="245"/>
      <c r="C5244" s="248"/>
      <c r="D5244" s="249"/>
      <c r="E5244" s="249"/>
      <c r="T5244" s="261"/>
    </row>
    <row r="5245" spans="2:20" x14ac:dyDescent="0.2">
      <c r="B5245" s="245"/>
      <c r="C5245" s="248"/>
      <c r="D5245" s="249"/>
      <c r="E5245" s="249"/>
      <c r="T5245" s="261"/>
    </row>
    <row r="5246" spans="2:20" x14ac:dyDescent="0.2">
      <c r="B5246" s="245"/>
      <c r="C5246" s="248"/>
      <c r="D5246" s="249"/>
      <c r="E5246" s="249"/>
      <c r="T5246" s="261"/>
    </row>
    <row r="5247" spans="2:20" x14ac:dyDescent="0.2">
      <c r="B5247" s="245"/>
      <c r="C5247" s="248"/>
      <c r="D5247" s="249"/>
      <c r="E5247" s="249"/>
      <c r="T5247" s="261"/>
    </row>
    <row r="5248" spans="2:20" x14ac:dyDescent="0.2">
      <c r="B5248" s="245"/>
      <c r="C5248" s="248"/>
      <c r="D5248" s="249"/>
      <c r="E5248" s="249"/>
      <c r="T5248" s="261"/>
    </row>
    <row r="5249" spans="2:20" x14ac:dyDescent="0.2">
      <c r="B5249" s="245"/>
      <c r="C5249" s="248"/>
      <c r="D5249" s="249"/>
      <c r="E5249" s="249"/>
      <c r="T5249" s="261"/>
    </row>
    <row r="5250" spans="2:20" x14ac:dyDescent="0.2">
      <c r="B5250" s="245"/>
      <c r="C5250" s="248"/>
      <c r="D5250" s="249"/>
      <c r="E5250" s="249"/>
      <c r="T5250" s="261"/>
    </row>
    <row r="5251" spans="2:20" x14ac:dyDescent="0.2">
      <c r="B5251" s="245"/>
      <c r="C5251" s="248"/>
      <c r="D5251" s="249"/>
      <c r="E5251" s="249"/>
      <c r="T5251" s="261"/>
    </row>
    <row r="5252" spans="2:20" x14ac:dyDescent="0.2">
      <c r="B5252" s="245"/>
      <c r="C5252" s="248"/>
      <c r="D5252" s="249"/>
      <c r="E5252" s="249"/>
      <c r="T5252" s="261"/>
    </row>
    <row r="5253" spans="2:20" x14ac:dyDescent="0.2">
      <c r="B5253" s="245"/>
      <c r="C5253" s="248"/>
      <c r="D5253" s="249"/>
      <c r="E5253" s="249"/>
      <c r="T5253" s="261"/>
    </row>
    <row r="5254" spans="2:20" x14ac:dyDescent="0.2">
      <c r="B5254" s="245"/>
      <c r="C5254" s="248"/>
      <c r="D5254" s="249"/>
      <c r="E5254" s="249"/>
      <c r="T5254" s="261"/>
    </row>
    <row r="5255" spans="2:20" x14ac:dyDescent="0.2">
      <c r="B5255" s="245"/>
      <c r="C5255" s="248"/>
      <c r="D5255" s="249"/>
      <c r="E5255" s="249"/>
      <c r="T5255" s="261"/>
    </row>
    <row r="5256" spans="2:20" x14ac:dyDescent="0.2">
      <c r="B5256" s="245"/>
      <c r="C5256" s="248"/>
      <c r="D5256" s="249"/>
      <c r="E5256" s="249"/>
      <c r="T5256" s="261"/>
    </row>
    <row r="5257" spans="2:20" x14ac:dyDescent="0.2">
      <c r="B5257" s="245"/>
      <c r="C5257" s="248"/>
      <c r="D5257" s="249"/>
      <c r="E5257" s="249"/>
      <c r="T5257" s="261"/>
    </row>
    <row r="5258" spans="2:20" x14ac:dyDescent="0.2">
      <c r="B5258" s="245"/>
      <c r="C5258" s="248"/>
      <c r="D5258" s="249"/>
      <c r="E5258" s="249"/>
      <c r="T5258" s="261"/>
    </row>
    <row r="5259" spans="2:20" x14ac:dyDescent="0.2">
      <c r="B5259" s="245"/>
      <c r="C5259" s="248"/>
      <c r="D5259" s="249"/>
      <c r="E5259" s="249"/>
      <c r="T5259" s="261"/>
    </row>
    <row r="5260" spans="2:20" x14ac:dyDescent="0.2">
      <c r="B5260" s="245"/>
      <c r="C5260" s="248"/>
      <c r="D5260" s="249"/>
      <c r="E5260" s="249"/>
      <c r="T5260" s="261"/>
    </row>
    <row r="5261" spans="2:20" x14ac:dyDescent="0.2">
      <c r="B5261" s="245"/>
      <c r="C5261" s="248"/>
      <c r="D5261" s="249"/>
      <c r="E5261" s="249"/>
      <c r="T5261" s="261"/>
    </row>
    <row r="5262" spans="2:20" x14ac:dyDescent="0.2">
      <c r="B5262" s="245"/>
      <c r="C5262" s="248"/>
      <c r="D5262" s="249"/>
      <c r="E5262" s="249"/>
      <c r="T5262" s="261"/>
    </row>
    <row r="5263" spans="2:20" x14ac:dyDescent="0.2">
      <c r="B5263" s="245"/>
      <c r="C5263" s="248"/>
      <c r="D5263" s="249"/>
      <c r="E5263" s="249"/>
      <c r="T5263" s="261"/>
    </row>
    <row r="5264" spans="2:20" x14ac:dyDescent="0.2">
      <c r="B5264" s="245"/>
      <c r="C5264" s="248"/>
      <c r="D5264" s="249"/>
      <c r="E5264" s="249"/>
      <c r="T5264" s="261"/>
    </row>
    <row r="5265" spans="2:20" x14ac:dyDescent="0.2">
      <c r="B5265" s="245"/>
      <c r="C5265" s="248"/>
      <c r="D5265" s="249"/>
      <c r="E5265" s="249"/>
      <c r="T5265" s="261"/>
    </row>
    <row r="5266" spans="2:20" x14ac:dyDescent="0.2">
      <c r="B5266" s="245"/>
      <c r="C5266" s="248"/>
      <c r="D5266" s="249"/>
      <c r="E5266" s="249"/>
      <c r="T5266" s="261"/>
    </row>
    <row r="5267" spans="2:20" x14ac:dyDescent="0.2">
      <c r="B5267" s="245"/>
      <c r="C5267" s="248"/>
      <c r="D5267" s="249"/>
      <c r="E5267" s="249"/>
      <c r="T5267" s="261"/>
    </row>
    <row r="5268" spans="2:20" x14ac:dyDescent="0.2">
      <c r="B5268" s="245"/>
      <c r="C5268" s="248"/>
      <c r="D5268" s="249"/>
      <c r="E5268" s="249"/>
      <c r="T5268" s="261"/>
    </row>
    <row r="5269" spans="2:20" x14ac:dyDescent="0.2">
      <c r="B5269" s="245"/>
      <c r="C5269" s="248"/>
      <c r="D5269" s="249"/>
      <c r="E5269" s="249"/>
      <c r="T5269" s="261"/>
    </row>
    <row r="5270" spans="2:20" x14ac:dyDescent="0.2">
      <c r="B5270" s="245"/>
      <c r="C5270" s="248"/>
      <c r="D5270" s="249"/>
      <c r="E5270" s="249"/>
      <c r="T5270" s="261"/>
    </row>
    <row r="5271" spans="2:20" x14ac:dyDescent="0.2">
      <c r="B5271" s="245"/>
      <c r="C5271" s="248"/>
      <c r="D5271" s="249"/>
      <c r="E5271" s="249"/>
      <c r="T5271" s="261"/>
    </row>
    <row r="5272" spans="2:20" x14ac:dyDescent="0.2">
      <c r="B5272" s="245"/>
      <c r="C5272" s="248"/>
      <c r="D5272" s="249"/>
      <c r="E5272" s="249"/>
      <c r="T5272" s="261"/>
    </row>
    <row r="5273" spans="2:20" x14ac:dyDescent="0.2">
      <c r="B5273" s="245"/>
      <c r="C5273" s="248"/>
      <c r="D5273" s="249"/>
      <c r="E5273" s="249"/>
      <c r="T5273" s="261"/>
    </row>
    <row r="5274" spans="2:20" x14ac:dyDescent="0.2">
      <c r="B5274" s="245"/>
      <c r="C5274" s="248"/>
      <c r="D5274" s="249"/>
      <c r="E5274" s="249"/>
      <c r="T5274" s="261"/>
    </row>
    <row r="5275" spans="2:20" x14ac:dyDescent="0.2">
      <c r="B5275" s="245"/>
      <c r="C5275" s="248"/>
      <c r="D5275" s="249"/>
      <c r="E5275" s="249"/>
      <c r="T5275" s="261"/>
    </row>
    <row r="5276" spans="2:20" x14ac:dyDescent="0.2">
      <c r="B5276" s="245"/>
      <c r="C5276" s="248"/>
      <c r="D5276" s="249"/>
      <c r="E5276" s="249"/>
      <c r="T5276" s="261"/>
    </row>
    <row r="5277" spans="2:20" x14ac:dyDescent="0.2">
      <c r="B5277" s="245"/>
      <c r="C5277" s="248"/>
      <c r="D5277" s="249"/>
      <c r="E5277" s="249"/>
      <c r="T5277" s="261"/>
    </row>
    <row r="5278" spans="2:20" x14ac:dyDescent="0.2">
      <c r="B5278" s="245"/>
      <c r="C5278" s="248"/>
      <c r="D5278" s="249"/>
      <c r="E5278" s="249"/>
      <c r="T5278" s="261"/>
    </row>
    <row r="5279" spans="2:20" x14ac:dyDescent="0.2">
      <c r="B5279" s="245"/>
      <c r="C5279" s="248"/>
      <c r="D5279" s="249"/>
      <c r="E5279" s="249"/>
      <c r="T5279" s="261"/>
    </row>
    <row r="5280" spans="2:20" x14ac:dyDescent="0.2">
      <c r="B5280" s="245"/>
      <c r="C5280" s="248"/>
      <c r="D5280" s="249"/>
      <c r="E5280" s="249"/>
      <c r="T5280" s="261"/>
    </row>
    <row r="5281" spans="2:20" x14ac:dyDescent="0.2">
      <c r="B5281" s="245"/>
      <c r="C5281" s="248"/>
      <c r="D5281" s="249"/>
      <c r="E5281" s="249"/>
      <c r="T5281" s="261"/>
    </row>
    <row r="5282" spans="2:20" x14ac:dyDescent="0.2">
      <c r="B5282" s="245"/>
      <c r="C5282" s="248"/>
      <c r="D5282" s="249"/>
      <c r="E5282" s="249"/>
      <c r="T5282" s="261"/>
    </row>
    <row r="5283" spans="2:20" x14ac:dyDescent="0.2">
      <c r="B5283" s="245"/>
      <c r="C5283" s="248"/>
      <c r="D5283" s="249"/>
      <c r="E5283" s="249"/>
      <c r="T5283" s="261"/>
    </row>
    <row r="5284" spans="2:20" x14ac:dyDescent="0.2">
      <c r="B5284" s="245"/>
      <c r="C5284" s="248"/>
      <c r="D5284" s="249"/>
      <c r="E5284" s="249"/>
      <c r="T5284" s="261"/>
    </row>
    <row r="5285" spans="2:20" x14ac:dyDescent="0.2">
      <c r="B5285" s="245"/>
      <c r="C5285" s="248"/>
      <c r="D5285" s="249"/>
      <c r="E5285" s="249"/>
      <c r="T5285" s="261"/>
    </row>
    <row r="5286" spans="2:20" x14ac:dyDescent="0.2">
      <c r="B5286" s="245"/>
      <c r="C5286" s="248"/>
      <c r="D5286" s="249"/>
      <c r="E5286" s="249"/>
      <c r="T5286" s="261"/>
    </row>
    <row r="5287" spans="2:20" x14ac:dyDescent="0.2">
      <c r="B5287" s="245"/>
      <c r="C5287" s="248"/>
      <c r="D5287" s="249"/>
      <c r="E5287" s="249"/>
      <c r="T5287" s="261"/>
    </row>
    <row r="5288" spans="2:20" x14ac:dyDescent="0.2">
      <c r="B5288" s="245"/>
      <c r="C5288" s="248"/>
      <c r="D5288" s="249"/>
      <c r="E5288" s="249"/>
      <c r="T5288" s="261"/>
    </row>
    <row r="5289" spans="2:20" x14ac:dyDescent="0.2">
      <c r="B5289" s="245"/>
      <c r="C5289" s="248"/>
      <c r="D5289" s="249"/>
      <c r="E5289" s="249"/>
      <c r="T5289" s="261"/>
    </row>
    <row r="5290" spans="2:20" x14ac:dyDescent="0.2">
      <c r="B5290" s="245"/>
      <c r="C5290" s="248"/>
      <c r="D5290" s="249"/>
      <c r="E5290" s="249"/>
      <c r="T5290" s="261"/>
    </row>
    <row r="5291" spans="2:20" x14ac:dyDescent="0.2">
      <c r="B5291" s="245"/>
      <c r="C5291" s="248"/>
      <c r="D5291" s="249"/>
      <c r="E5291" s="249"/>
      <c r="T5291" s="261"/>
    </row>
    <row r="5292" spans="2:20" x14ac:dyDescent="0.2">
      <c r="B5292" s="245"/>
      <c r="C5292" s="248"/>
      <c r="D5292" s="249"/>
      <c r="E5292" s="249"/>
      <c r="T5292" s="261"/>
    </row>
    <row r="5293" spans="2:20" x14ac:dyDescent="0.2">
      <c r="B5293" s="245"/>
      <c r="C5293" s="248"/>
      <c r="D5293" s="249"/>
      <c r="E5293" s="249"/>
      <c r="T5293" s="261"/>
    </row>
    <row r="5294" spans="2:20" x14ac:dyDescent="0.2">
      <c r="B5294" s="245"/>
      <c r="C5294" s="248"/>
      <c r="D5294" s="249"/>
      <c r="E5294" s="249"/>
      <c r="T5294" s="261"/>
    </row>
    <row r="5295" spans="2:20" x14ac:dyDescent="0.2">
      <c r="B5295" s="245"/>
      <c r="C5295" s="248"/>
      <c r="D5295" s="249"/>
      <c r="E5295" s="249"/>
      <c r="T5295" s="261"/>
    </row>
    <row r="5296" spans="2:20" x14ac:dyDescent="0.2">
      <c r="B5296" s="245"/>
      <c r="C5296" s="248"/>
      <c r="D5296" s="249"/>
      <c r="E5296" s="249"/>
      <c r="T5296" s="261"/>
    </row>
    <row r="5297" spans="2:20" x14ac:dyDescent="0.2">
      <c r="B5297" s="245"/>
      <c r="C5297" s="248"/>
      <c r="D5297" s="249"/>
      <c r="E5297" s="249"/>
      <c r="T5297" s="261"/>
    </row>
    <row r="5298" spans="2:20" x14ac:dyDescent="0.2">
      <c r="B5298" s="245"/>
      <c r="C5298" s="248"/>
      <c r="D5298" s="249"/>
      <c r="E5298" s="249"/>
      <c r="T5298" s="261"/>
    </row>
    <row r="5299" spans="2:20" x14ac:dyDescent="0.2">
      <c r="B5299" s="245"/>
      <c r="C5299" s="248"/>
      <c r="D5299" s="249"/>
      <c r="E5299" s="249"/>
      <c r="T5299" s="261"/>
    </row>
    <row r="5300" spans="2:20" x14ac:dyDescent="0.2">
      <c r="B5300" s="245"/>
      <c r="C5300" s="248"/>
      <c r="D5300" s="249"/>
      <c r="E5300" s="249"/>
      <c r="T5300" s="261"/>
    </row>
    <row r="5301" spans="2:20" x14ac:dyDescent="0.2">
      <c r="B5301" s="245"/>
      <c r="C5301" s="248"/>
      <c r="D5301" s="249"/>
      <c r="E5301" s="249"/>
      <c r="T5301" s="261"/>
    </row>
    <row r="5302" spans="2:20" x14ac:dyDescent="0.2">
      <c r="B5302" s="245"/>
      <c r="C5302" s="248"/>
      <c r="D5302" s="249"/>
      <c r="E5302" s="249"/>
      <c r="T5302" s="261"/>
    </row>
    <row r="5303" spans="2:20" x14ac:dyDescent="0.2">
      <c r="B5303" s="245"/>
      <c r="C5303" s="248"/>
      <c r="D5303" s="249"/>
      <c r="E5303" s="249"/>
      <c r="T5303" s="261"/>
    </row>
    <row r="5304" spans="2:20" x14ac:dyDescent="0.2">
      <c r="B5304" s="245"/>
      <c r="C5304" s="248"/>
      <c r="D5304" s="249"/>
      <c r="E5304" s="249"/>
      <c r="T5304" s="261"/>
    </row>
    <row r="5305" spans="2:20" x14ac:dyDescent="0.2">
      <c r="B5305" s="245"/>
      <c r="C5305" s="248"/>
      <c r="D5305" s="249"/>
      <c r="E5305" s="249"/>
      <c r="T5305" s="261"/>
    </row>
    <row r="5306" spans="2:20" x14ac:dyDescent="0.2">
      <c r="B5306" s="245"/>
      <c r="C5306" s="248"/>
      <c r="D5306" s="249"/>
      <c r="E5306" s="249"/>
      <c r="T5306" s="261"/>
    </row>
    <row r="5307" spans="2:20" x14ac:dyDescent="0.2">
      <c r="B5307" s="245"/>
      <c r="C5307" s="248"/>
      <c r="D5307" s="249"/>
      <c r="E5307" s="249"/>
      <c r="T5307" s="261"/>
    </row>
    <row r="5308" spans="2:20" x14ac:dyDescent="0.2">
      <c r="B5308" s="245"/>
      <c r="C5308" s="248"/>
      <c r="D5308" s="249"/>
      <c r="E5308" s="249"/>
      <c r="T5308" s="261"/>
    </row>
    <row r="5309" spans="2:20" x14ac:dyDescent="0.2">
      <c r="B5309" s="245"/>
      <c r="C5309" s="248"/>
      <c r="D5309" s="249"/>
      <c r="E5309" s="249"/>
      <c r="T5309" s="261"/>
    </row>
    <row r="5310" spans="2:20" x14ac:dyDescent="0.2">
      <c r="B5310" s="245"/>
      <c r="C5310" s="248"/>
      <c r="D5310" s="249"/>
      <c r="E5310" s="249"/>
      <c r="T5310" s="261"/>
    </row>
    <row r="5311" spans="2:20" x14ac:dyDescent="0.2">
      <c r="B5311" s="245"/>
      <c r="C5311" s="248"/>
      <c r="D5311" s="249"/>
      <c r="E5311" s="249"/>
      <c r="T5311" s="261"/>
    </row>
    <row r="5312" spans="2:20" x14ac:dyDescent="0.2">
      <c r="B5312" s="245"/>
      <c r="C5312" s="248"/>
      <c r="D5312" s="249"/>
      <c r="E5312" s="249"/>
      <c r="T5312" s="261"/>
    </row>
    <row r="5313" spans="2:20" x14ac:dyDescent="0.2">
      <c r="B5313" s="245"/>
      <c r="C5313" s="248"/>
      <c r="D5313" s="249"/>
      <c r="E5313" s="249"/>
      <c r="T5313" s="261"/>
    </row>
    <row r="5314" spans="2:20" x14ac:dyDescent="0.2">
      <c r="B5314" s="245"/>
      <c r="C5314" s="248"/>
      <c r="D5314" s="249"/>
      <c r="E5314" s="249"/>
      <c r="T5314" s="261"/>
    </row>
    <row r="5315" spans="2:20" x14ac:dyDescent="0.2">
      <c r="B5315" s="245"/>
      <c r="C5315" s="248"/>
      <c r="D5315" s="249"/>
      <c r="E5315" s="249"/>
      <c r="T5315" s="261"/>
    </row>
    <row r="5316" spans="2:20" x14ac:dyDescent="0.2">
      <c r="B5316" s="245"/>
      <c r="C5316" s="248"/>
      <c r="D5316" s="249"/>
      <c r="E5316" s="249"/>
      <c r="T5316" s="261"/>
    </row>
    <row r="5317" spans="2:20" x14ac:dyDescent="0.2">
      <c r="B5317" s="245"/>
      <c r="C5317" s="248"/>
      <c r="D5317" s="249"/>
      <c r="E5317" s="249"/>
      <c r="T5317" s="261"/>
    </row>
    <row r="5318" spans="2:20" x14ac:dyDescent="0.2">
      <c r="B5318" s="245"/>
      <c r="C5318" s="248"/>
      <c r="D5318" s="249"/>
      <c r="E5318" s="249"/>
      <c r="T5318" s="261"/>
    </row>
    <row r="5319" spans="2:20" x14ac:dyDescent="0.2">
      <c r="B5319" s="245"/>
      <c r="C5319" s="248"/>
      <c r="D5319" s="249"/>
      <c r="E5319" s="249"/>
      <c r="T5319" s="261"/>
    </row>
    <row r="5320" spans="2:20" x14ac:dyDescent="0.2">
      <c r="B5320" s="245"/>
      <c r="C5320" s="248"/>
      <c r="D5320" s="249"/>
      <c r="E5320" s="249"/>
      <c r="T5320" s="261"/>
    </row>
    <row r="5321" spans="2:20" x14ac:dyDescent="0.2">
      <c r="B5321" s="245"/>
      <c r="C5321" s="248"/>
      <c r="D5321" s="249"/>
      <c r="E5321" s="249"/>
      <c r="T5321" s="261"/>
    </row>
    <row r="5322" spans="2:20" x14ac:dyDescent="0.2">
      <c r="B5322" s="245"/>
      <c r="C5322" s="248"/>
      <c r="D5322" s="249"/>
      <c r="E5322" s="249"/>
      <c r="T5322" s="261"/>
    </row>
    <row r="5323" spans="2:20" x14ac:dyDescent="0.2">
      <c r="B5323" s="245"/>
      <c r="C5323" s="248"/>
      <c r="D5323" s="249"/>
      <c r="E5323" s="249"/>
      <c r="T5323" s="261"/>
    </row>
    <row r="5324" spans="2:20" x14ac:dyDescent="0.2">
      <c r="B5324" s="245"/>
      <c r="C5324" s="248"/>
      <c r="D5324" s="249"/>
      <c r="E5324" s="249"/>
      <c r="T5324" s="261"/>
    </row>
    <row r="5325" spans="2:20" x14ac:dyDescent="0.2">
      <c r="B5325" s="245"/>
      <c r="C5325" s="248"/>
      <c r="D5325" s="249"/>
      <c r="E5325" s="249"/>
      <c r="T5325" s="261"/>
    </row>
    <row r="5326" spans="2:20" x14ac:dyDescent="0.2">
      <c r="B5326" s="245"/>
      <c r="C5326" s="248"/>
      <c r="D5326" s="249"/>
      <c r="E5326" s="249"/>
      <c r="T5326" s="261"/>
    </row>
    <row r="5327" spans="2:20" x14ac:dyDescent="0.2">
      <c r="B5327" s="245"/>
      <c r="C5327" s="248"/>
      <c r="D5327" s="249"/>
      <c r="E5327" s="249"/>
      <c r="T5327" s="261"/>
    </row>
    <row r="5328" spans="2:20" x14ac:dyDescent="0.2">
      <c r="B5328" s="245"/>
      <c r="C5328" s="248"/>
      <c r="D5328" s="249"/>
      <c r="E5328" s="249"/>
      <c r="T5328" s="261"/>
    </row>
    <row r="5329" spans="2:20" x14ac:dyDescent="0.2">
      <c r="B5329" s="245"/>
      <c r="C5329" s="248"/>
      <c r="D5329" s="249"/>
      <c r="E5329" s="249"/>
      <c r="T5329" s="261"/>
    </row>
    <row r="5330" spans="2:20" x14ac:dyDescent="0.2">
      <c r="B5330" s="245"/>
      <c r="C5330" s="248"/>
      <c r="D5330" s="249"/>
      <c r="E5330" s="249"/>
      <c r="T5330" s="261"/>
    </row>
    <row r="5331" spans="2:20" x14ac:dyDescent="0.2">
      <c r="B5331" s="245"/>
      <c r="C5331" s="248"/>
      <c r="D5331" s="249"/>
      <c r="E5331" s="249"/>
      <c r="T5331" s="261"/>
    </row>
    <row r="5332" spans="2:20" x14ac:dyDescent="0.2">
      <c r="B5332" s="245"/>
      <c r="C5332" s="248"/>
      <c r="D5332" s="249"/>
      <c r="E5332" s="249"/>
      <c r="T5332" s="261"/>
    </row>
    <row r="5333" spans="2:20" x14ac:dyDescent="0.2">
      <c r="B5333" s="245"/>
      <c r="C5333" s="248"/>
      <c r="D5333" s="249"/>
      <c r="E5333" s="249"/>
      <c r="T5333" s="261"/>
    </row>
    <row r="5334" spans="2:20" x14ac:dyDescent="0.2">
      <c r="B5334" s="245"/>
      <c r="C5334" s="248"/>
      <c r="D5334" s="249"/>
      <c r="E5334" s="249"/>
      <c r="T5334" s="261"/>
    </row>
    <row r="5335" spans="2:20" x14ac:dyDescent="0.2">
      <c r="B5335" s="245"/>
      <c r="C5335" s="248"/>
      <c r="D5335" s="249"/>
      <c r="E5335" s="249"/>
      <c r="T5335" s="261"/>
    </row>
    <row r="5336" spans="2:20" x14ac:dyDescent="0.2">
      <c r="B5336" s="245"/>
      <c r="C5336" s="248"/>
      <c r="D5336" s="249"/>
      <c r="E5336" s="249"/>
      <c r="T5336" s="261"/>
    </row>
    <row r="5337" spans="2:20" x14ac:dyDescent="0.2">
      <c r="B5337" s="245"/>
      <c r="C5337" s="248"/>
      <c r="D5337" s="249"/>
      <c r="E5337" s="249"/>
      <c r="T5337" s="261"/>
    </row>
    <row r="5338" spans="2:20" x14ac:dyDescent="0.2">
      <c r="B5338" s="245"/>
      <c r="C5338" s="248"/>
      <c r="D5338" s="249"/>
      <c r="E5338" s="249"/>
      <c r="T5338" s="261"/>
    </row>
    <row r="5339" spans="2:20" x14ac:dyDescent="0.2">
      <c r="B5339" s="245"/>
      <c r="C5339" s="248"/>
      <c r="D5339" s="249"/>
      <c r="E5339" s="249"/>
      <c r="T5339" s="261"/>
    </row>
    <row r="5340" spans="2:20" x14ac:dyDescent="0.2">
      <c r="B5340" s="245"/>
      <c r="C5340" s="248"/>
      <c r="D5340" s="249"/>
      <c r="E5340" s="249"/>
      <c r="T5340" s="261"/>
    </row>
    <row r="5341" spans="2:20" x14ac:dyDescent="0.2">
      <c r="B5341" s="245"/>
      <c r="C5341" s="248"/>
      <c r="D5341" s="249"/>
      <c r="E5341" s="249"/>
      <c r="T5341" s="261"/>
    </row>
    <row r="5342" spans="2:20" x14ac:dyDescent="0.2">
      <c r="B5342" s="245"/>
      <c r="C5342" s="248"/>
      <c r="D5342" s="249"/>
      <c r="E5342" s="249"/>
      <c r="T5342" s="261"/>
    </row>
    <row r="5343" spans="2:20" x14ac:dyDescent="0.2">
      <c r="B5343" s="245"/>
      <c r="C5343" s="248"/>
      <c r="D5343" s="249"/>
      <c r="E5343" s="249"/>
      <c r="T5343" s="261"/>
    </row>
    <row r="5344" spans="2:20" x14ac:dyDescent="0.2">
      <c r="B5344" s="245"/>
      <c r="C5344" s="248"/>
      <c r="D5344" s="249"/>
      <c r="E5344" s="249"/>
      <c r="T5344" s="261"/>
    </row>
    <row r="5345" spans="2:20" x14ac:dyDescent="0.2">
      <c r="B5345" s="245"/>
      <c r="C5345" s="248"/>
      <c r="D5345" s="249"/>
      <c r="E5345" s="249"/>
      <c r="T5345" s="261"/>
    </row>
    <row r="5346" spans="2:20" x14ac:dyDescent="0.2">
      <c r="B5346" s="245"/>
      <c r="C5346" s="248"/>
      <c r="D5346" s="249"/>
      <c r="E5346" s="249"/>
      <c r="T5346" s="261"/>
    </row>
    <row r="5347" spans="2:20" x14ac:dyDescent="0.2">
      <c r="B5347" s="245"/>
      <c r="C5347" s="248"/>
      <c r="D5347" s="249"/>
      <c r="E5347" s="249"/>
      <c r="T5347" s="261"/>
    </row>
    <row r="5348" spans="2:20" x14ac:dyDescent="0.2">
      <c r="B5348" s="245"/>
      <c r="C5348" s="248"/>
      <c r="D5348" s="249"/>
      <c r="E5348" s="249"/>
      <c r="T5348" s="261"/>
    </row>
    <row r="5349" spans="2:20" x14ac:dyDescent="0.2">
      <c r="B5349" s="245"/>
      <c r="C5349" s="248"/>
      <c r="D5349" s="249"/>
      <c r="E5349" s="249"/>
      <c r="T5349" s="261"/>
    </row>
    <row r="5350" spans="2:20" x14ac:dyDescent="0.2">
      <c r="B5350" s="245"/>
      <c r="C5350" s="248"/>
      <c r="D5350" s="249"/>
      <c r="E5350" s="249"/>
      <c r="T5350" s="261"/>
    </row>
    <row r="5351" spans="2:20" x14ac:dyDescent="0.2">
      <c r="B5351" s="245"/>
      <c r="C5351" s="248"/>
      <c r="D5351" s="249"/>
      <c r="E5351" s="249"/>
      <c r="T5351" s="261"/>
    </row>
    <row r="5352" spans="2:20" x14ac:dyDescent="0.2">
      <c r="B5352" s="245"/>
      <c r="C5352" s="248"/>
      <c r="D5352" s="249"/>
      <c r="E5352" s="249"/>
      <c r="T5352" s="261"/>
    </row>
    <row r="5353" spans="2:20" x14ac:dyDescent="0.2">
      <c r="B5353" s="245"/>
      <c r="C5353" s="248"/>
      <c r="D5353" s="249"/>
      <c r="E5353" s="249"/>
      <c r="T5353" s="261"/>
    </row>
    <row r="5354" spans="2:20" x14ac:dyDescent="0.2">
      <c r="B5354" s="245"/>
      <c r="C5354" s="248"/>
      <c r="D5354" s="249"/>
      <c r="E5354" s="249"/>
      <c r="T5354" s="261"/>
    </row>
    <row r="5355" spans="2:20" x14ac:dyDescent="0.2">
      <c r="B5355" s="245"/>
      <c r="C5355" s="248"/>
      <c r="D5355" s="249"/>
      <c r="E5355" s="249"/>
      <c r="T5355" s="261"/>
    </row>
    <row r="5356" spans="2:20" x14ac:dyDescent="0.2">
      <c r="B5356" s="245"/>
      <c r="C5356" s="248"/>
      <c r="D5356" s="249"/>
      <c r="E5356" s="249"/>
      <c r="T5356" s="261"/>
    </row>
    <row r="5357" spans="2:20" x14ac:dyDescent="0.2">
      <c r="B5357" s="245"/>
      <c r="C5357" s="248"/>
      <c r="D5357" s="249"/>
      <c r="E5357" s="249"/>
      <c r="T5357" s="261"/>
    </row>
    <row r="5358" spans="2:20" x14ac:dyDescent="0.2">
      <c r="B5358" s="245"/>
      <c r="C5358" s="248"/>
      <c r="D5358" s="249"/>
      <c r="E5358" s="249"/>
      <c r="T5358" s="261"/>
    </row>
    <row r="5359" spans="2:20" x14ac:dyDescent="0.2">
      <c r="B5359" s="245"/>
      <c r="C5359" s="248"/>
      <c r="D5359" s="249"/>
      <c r="E5359" s="249"/>
      <c r="T5359" s="261"/>
    </row>
    <row r="5360" spans="2:20" x14ac:dyDescent="0.2">
      <c r="B5360" s="245"/>
      <c r="C5360" s="248"/>
      <c r="D5360" s="249"/>
      <c r="E5360" s="249"/>
      <c r="T5360" s="261"/>
    </row>
    <row r="5361" spans="2:20" x14ac:dyDescent="0.2">
      <c r="B5361" s="245"/>
      <c r="C5361" s="248"/>
      <c r="D5361" s="249"/>
      <c r="E5361" s="249"/>
      <c r="T5361" s="261"/>
    </row>
    <row r="5362" spans="2:20" x14ac:dyDescent="0.2">
      <c r="B5362" s="245"/>
      <c r="C5362" s="248"/>
      <c r="D5362" s="249"/>
      <c r="E5362" s="249"/>
      <c r="T5362" s="261"/>
    </row>
    <row r="5363" spans="2:20" x14ac:dyDescent="0.2">
      <c r="B5363" s="245"/>
      <c r="C5363" s="248"/>
      <c r="D5363" s="249"/>
      <c r="E5363" s="249"/>
      <c r="T5363" s="261"/>
    </row>
    <row r="5364" spans="2:20" x14ac:dyDescent="0.2">
      <c r="B5364" s="245"/>
      <c r="C5364" s="248"/>
      <c r="D5364" s="249"/>
      <c r="E5364" s="249"/>
      <c r="T5364" s="261"/>
    </row>
    <row r="5365" spans="2:20" x14ac:dyDescent="0.2">
      <c r="B5365" s="245"/>
      <c r="C5365" s="248"/>
      <c r="D5365" s="249"/>
      <c r="E5365" s="249"/>
      <c r="T5365" s="261"/>
    </row>
    <row r="5366" spans="2:20" x14ac:dyDescent="0.2">
      <c r="B5366" s="245"/>
      <c r="C5366" s="248"/>
      <c r="D5366" s="249"/>
      <c r="E5366" s="249"/>
      <c r="T5366" s="261"/>
    </row>
    <row r="5367" spans="2:20" x14ac:dyDescent="0.2">
      <c r="B5367" s="245"/>
      <c r="C5367" s="248"/>
      <c r="D5367" s="249"/>
      <c r="E5367" s="249"/>
      <c r="T5367" s="261"/>
    </row>
    <row r="5368" spans="2:20" x14ac:dyDescent="0.2">
      <c r="B5368" s="245"/>
      <c r="C5368" s="248"/>
      <c r="D5368" s="249"/>
      <c r="E5368" s="249"/>
      <c r="T5368" s="261"/>
    </row>
    <row r="5369" spans="2:20" x14ac:dyDescent="0.2">
      <c r="B5369" s="245"/>
      <c r="C5369" s="248"/>
      <c r="D5369" s="249"/>
      <c r="E5369" s="249"/>
      <c r="T5369" s="261"/>
    </row>
    <row r="5370" spans="2:20" x14ac:dyDescent="0.2">
      <c r="B5370" s="245"/>
      <c r="C5370" s="248"/>
      <c r="D5370" s="249"/>
      <c r="E5370" s="249"/>
      <c r="T5370" s="261"/>
    </row>
    <row r="5371" spans="2:20" x14ac:dyDescent="0.2">
      <c r="B5371" s="245"/>
      <c r="C5371" s="248"/>
      <c r="D5371" s="249"/>
      <c r="E5371" s="249"/>
      <c r="T5371" s="261"/>
    </row>
    <row r="5372" spans="2:20" x14ac:dyDescent="0.2">
      <c r="B5372" s="245"/>
      <c r="C5372" s="248"/>
      <c r="D5372" s="249"/>
      <c r="E5372" s="249"/>
      <c r="T5372" s="261"/>
    </row>
    <row r="5373" spans="2:20" x14ac:dyDescent="0.2">
      <c r="B5373" s="245"/>
      <c r="C5373" s="248"/>
      <c r="D5373" s="249"/>
      <c r="E5373" s="249"/>
      <c r="T5373" s="261"/>
    </row>
    <row r="5374" spans="2:20" x14ac:dyDescent="0.2">
      <c r="B5374" s="245"/>
      <c r="C5374" s="248"/>
      <c r="D5374" s="249"/>
      <c r="E5374" s="249"/>
      <c r="T5374" s="261"/>
    </row>
    <row r="5375" spans="2:20" x14ac:dyDescent="0.2">
      <c r="B5375" s="245"/>
      <c r="C5375" s="248"/>
      <c r="D5375" s="249"/>
      <c r="E5375" s="249"/>
      <c r="T5375" s="261"/>
    </row>
    <row r="5376" spans="2:20" x14ac:dyDescent="0.2">
      <c r="B5376" s="245"/>
      <c r="C5376" s="248"/>
      <c r="D5376" s="249"/>
      <c r="E5376" s="249"/>
      <c r="T5376" s="261"/>
    </row>
    <row r="5377" spans="2:20" x14ac:dyDescent="0.2">
      <c r="B5377" s="245"/>
      <c r="C5377" s="248"/>
      <c r="D5377" s="249"/>
      <c r="E5377" s="249"/>
      <c r="T5377" s="261"/>
    </row>
    <row r="5378" spans="2:20" x14ac:dyDescent="0.2">
      <c r="B5378" s="245"/>
      <c r="C5378" s="248"/>
      <c r="D5378" s="249"/>
      <c r="E5378" s="249"/>
      <c r="T5378" s="261"/>
    </row>
    <row r="5379" spans="2:20" x14ac:dyDescent="0.2">
      <c r="B5379" s="245"/>
      <c r="C5379" s="248"/>
      <c r="D5379" s="249"/>
      <c r="E5379" s="249"/>
      <c r="T5379" s="261"/>
    </row>
    <row r="5380" spans="2:20" x14ac:dyDescent="0.2">
      <c r="B5380" s="245"/>
      <c r="C5380" s="248"/>
      <c r="D5380" s="249"/>
      <c r="E5380" s="249"/>
      <c r="T5380" s="261"/>
    </row>
    <row r="5381" spans="2:20" x14ac:dyDescent="0.2">
      <c r="B5381" s="245"/>
      <c r="C5381" s="248"/>
      <c r="D5381" s="249"/>
      <c r="E5381" s="249"/>
      <c r="T5381" s="261"/>
    </row>
    <row r="5382" spans="2:20" x14ac:dyDescent="0.2">
      <c r="B5382" s="245"/>
      <c r="C5382" s="248"/>
      <c r="D5382" s="249"/>
      <c r="E5382" s="249"/>
      <c r="T5382" s="261"/>
    </row>
    <row r="5383" spans="2:20" x14ac:dyDescent="0.2">
      <c r="B5383" s="245"/>
      <c r="C5383" s="248"/>
      <c r="D5383" s="249"/>
      <c r="E5383" s="249"/>
      <c r="T5383" s="261"/>
    </row>
    <row r="5384" spans="2:20" x14ac:dyDescent="0.2">
      <c r="B5384" s="245"/>
      <c r="C5384" s="248"/>
      <c r="D5384" s="249"/>
      <c r="E5384" s="249"/>
      <c r="T5384" s="261"/>
    </row>
    <row r="5385" spans="2:20" x14ac:dyDescent="0.2">
      <c r="B5385" s="245"/>
      <c r="C5385" s="248"/>
      <c r="D5385" s="249"/>
      <c r="E5385" s="249"/>
      <c r="T5385" s="261"/>
    </row>
    <row r="5386" spans="2:20" x14ac:dyDescent="0.2">
      <c r="B5386" s="245"/>
      <c r="C5386" s="248"/>
      <c r="D5386" s="249"/>
      <c r="E5386" s="249"/>
      <c r="T5386" s="261"/>
    </row>
    <row r="5387" spans="2:20" x14ac:dyDescent="0.2">
      <c r="B5387" s="245"/>
      <c r="C5387" s="248"/>
      <c r="D5387" s="249"/>
      <c r="E5387" s="249"/>
      <c r="T5387" s="261"/>
    </row>
    <row r="5388" spans="2:20" x14ac:dyDescent="0.2">
      <c r="B5388" s="245"/>
      <c r="C5388" s="248"/>
      <c r="D5388" s="249"/>
      <c r="E5388" s="249"/>
      <c r="T5388" s="261"/>
    </row>
    <row r="5389" spans="2:20" x14ac:dyDescent="0.2">
      <c r="B5389" s="245"/>
      <c r="C5389" s="248"/>
      <c r="D5389" s="249"/>
      <c r="E5389" s="249"/>
      <c r="T5389" s="261"/>
    </row>
    <row r="5390" spans="2:20" x14ac:dyDescent="0.2">
      <c r="B5390" s="245"/>
      <c r="C5390" s="248"/>
      <c r="D5390" s="249"/>
      <c r="E5390" s="249"/>
      <c r="T5390" s="261"/>
    </row>
    <row r="5391" spans="2:20" x14ac:dyDescent="0.2">
      <c r="B5391" s="245"/>
      <c r="C5391" s="248"/>
      <c r="D5391" s="249"/>
      <c r="E5391" s="249"/>
      <c r="T5391" s="261"/>
    </row>
    <row r="5392" spans="2:20" x14ac:dyDescent="0.2">
      <c r="B5392" s="245"/>
      <c r="C5392" s="248"/>
      <c r="D5392" s="249"/>
      <c r="E5392" s="249"/>
      <c r="T5392" s="261"/>
    </row>
    <row r="5393" spans="2:20" x14ac:dyDescent="0.2">
      <c r="B5393" s="245"/>
      <c r="C5393" s="248"/>
      <c r="D5393" s="249"/>
      <c r="E5393" s="249"/>
      <c r="T5393" s="261"/>
    </row>
    <row r="5394" spans="2:20" x14ac:dyDescent="0.2">
      <c r="B5394" s="245"/>
      <c r="C5394" s="248"/>
      <c r="D5394" s="249"/>
      <c r="E5394" s="249"/>
      <c r="T5394" s="261"/>
    </row>
    <row r="5395" spans="2:20" x14ac:dyDescent="0.2">
      <c r="B5395" s="245"/>
      <c r="C5395" s="248"/>
      <c r="D5395" s="249"/>
      <c r="E5395" s="249"/>
      <c r="T5395" s="261"/>
    </row>
    <row r="5396" spans="2:20" x14ac:dyDescent="0.2">
      <c r="B5396" s="245"/>
      <c r="C5396" s="248"/>
      <c r="D5396" s="249"/>
      <c r="E5396" s="249"/>
      <c r="T5396" s="261"/>
    </row>
    <row r="5397" spans="2:20" x14ac:dyDescent="0.2">
      <c r="B5397" s="245"/>
      <c r="C5397" s="248"/>
      <c r="D5397" s="249"/>
      <c r="E5397" s="249"/>
      <c r="T5397" s="261"/>
    </row>
    <row r="5398" spans="2:20" x14ac:dyDescent="0.2">
      <c r="B5398" s="245"/>
      <c r="C5398" s="248"/>
      <c r="D5398" s="249"/>
      <c r="E5398" s="249"/>
      <c r="T5398" s="261"/>
    </row>
    <row r="5399" spans="2:20" x14ac:dyDescent="0.2">
      <c r="B5399" s="245"/>
      <c r="C5399" s="248"/>
      <c r="D5399" s="249"/>
      <c r="E5399" s="249"/>
      <c r="T5399" s="261"/>
    </row>
    <row r="5400" spans="2:20" x14ac:dyDescent="0.2">
      <c r="B5400" s="245"/>
      <c r="C5400" s="248"/>
      <c r="D5400" s="249"/>
      <c r="E5400" s="249"/>
      <c r="T5400" s="261"/>
    </row>
    <row r="5401" spans="2:20" x14ac:dyDescent="0.2">
      <c r="B5401" s="245"/>
      <c r="C5401" s="248"/>
      <c r="D5401" s="249"/>
      <c r="E5401" s="249"/>
      <c r="T5401" s="261"/>
    </row>
    <row r="5402" spans="2:20" x14ac:dyDescent="0.2">
      <c r="B5402" s="245"/>
      <c r="C5402" s="248"/>
      <c r="D5402" s="249"/>
      <c r="E5402" s="249"/>
      <c r="T5402" s="261"/>
    </row>
    <row r="5403" spans="2:20" x14ac:dyDescent="0.2">
      <c r="B5403" s="245"/>
      <c r="C5403" s="248"/>
      <c r="D5403" s="249"/>
      <c r="E5403" s="249"/>
      <c r="T5403" s="261"/>
    </row>
    <row r="5404" spans="2:20" x14ac:dyDescent="0.2">
      <c r="B5404" s="245"/>
      <c r="C5404" s="248"/>
      <c r="D5404" s="249"/>
      <c r="E5404" s="249"/>
      <c r="T5404" s="261"/>
    </row>
    <row r="5405" spans="2:20" x14ac:dyDescent="0.2">
      <c r="B5405" s="245"/>
      <c r="C5405" s="248"/>
      <c r="D5405" s="249"/>
      <c r="E5405" s="249"/>
      <c r="T5405" s="261"/>
    </row>
    <row r="5406" spans="2:20" x14ac:dyDescent="0.2">
      <c r="B5406" s="245"/>
      <c r="C5406" s="248"/>
      <c r="D5406" s="249"/>
      <c r="E5406" s="249"/>
      <c r="T5406" s="261"/>
    </row>
    <row r="5407" spans="2:20" x14ac:dyDescent="0.2">
      <c r="B5407" s="245"/>
      <c r="C5407" s="248"/>
      <c r="D5407" s="249"/>
      <c r="E5407" s="249"/>
      <c r="T5407" s="261"/>
    </row>
    <row r="5408" spans="2:20" x14ac:dyDescent="0.2">
      <c r="B5408" s="245"/>
      <c r="C5408" s="248"/>
      <c r="D5408" s="249"/>
      <c r="E5408" s="249"/>
      <c r="T5408" s="261"/>
    </row>
    <row r="5409" spans="2:20" x14ac:dyDescent="0.2">
      <c r="B5409" s="245"/>
      <c r="C5409" s="248"/>
      <c r="D5409" s="249"/>
      <c r="E5409" s="249"/>
      <c r="T5409" s="261"/>
    </row>
    <row r="5410" spans="2:20" x14ac:dyDescent="0.2">
      <c r="B5410" s="245"/>
      <c r="C5410" s="248"/>
      <c r="D5410" s="249"/>
      <c r="E5410" s="249"/>
      <c r="T5410" s="261"/>
    </row>
    <row r="5411" spans="2:20" x14ac:dyDescent="0.2">
      <c r="B5411" s="245"/>
      <c r="C5411" s="248"/>
      <c r="D5411" s="249"/>
      <c r="E5411" s="249"/>
      <c r="T5411" s="261"/>
    </row>
    <row r="5412" spans="2:20" x14ac:dyDescent="0.2">
      <c r="B5412" s="245"/>
      <c r="C5412" s="248"/>
      <c r="D5412" s="249"/>
      <c r="E5412" s="249"/>
      <c r="T5412" s="261"/>
    </row>
    <row r="5413" spans="2:20" x14ac:dyDescent="0.2">
      <c r="B5413" s="245"/>
      <c r="C5413" s="248"/>
      <c r="D5413" s="249"/>
      <c r="E5413" s="249"/>
      <c r="T5413" s="261"/>
    </row>
    <row r="5414" spans="2:20" x14ac:dyDescent="0.2">
      <c r="B5414" s="245"/>
      <c r="C5414" s="248"/>
      <c r="D5414" s="249"/>
      <c r="E5414" s="249"/>
      <c r="T5414" s="261"/>
    </row>
    <row r="5415" spans="2:20" x14ac:dyDescent="0.2">
      <c r="B5415" s="245"/>
      <c r="C5415" s="248"/>
      <c r="D5415" s="249"/>
      <c r="E5415" s="249"/>
      <c r="T5415" s="261"/>
    </row>
    <row r="5416" spans="2:20" x14ac:dyDescent="0.2">
      <c r="B5416" s="245"/>
      <c r="C5416" s="248"/>
      <c r="D5416" s="249"/>
      <c r="E5416" s="249"/>
      <c r="T5416" s="261"/>
    </row>
    <row r="5417" spans="2:20" x14ac:dyDescent="0.2">
      <c r="B5417" s="245"/>
      <c r="C5417" s="248"/>
      <c r="D5417" s="249"/>
      <c r="E5417" s="249"/>
      <c r="T5417" s="261"/>
    </row>
    <row r="5418" spans="2:20" x14ac:dyDescent="0.2">
      <c r="B5418" s="245"/>
      <c r="C5418" s="248"/>
      <c r="D5418" s="249"/>
      <c r="E5418" s="249"/>
      <c r="T5418" s="261"/>
    </row>
    <row r="5419" spans="2:20" x14ac:dyDescent="0.2">
      <c r="B5419" s="245"/>
      <c r="C5419" s="248"/>
      <c r="D5419" s="249"/>
      <c r="E5419" s="249"/>
      <c r="T5419" s="261"/>
    </row>
    <row r="5420" spans="2:20" x14ac:dyDescent="0.2">
      <c r="B5420" s="245"/>
      <c r="C5420" s="248"/>
      <c r="D5420" s="249"/>
      <c r="E5420" s="249"/>
      <c r="T5420" s="261"/>
    </row>
    <row r="5421" spans="2:20" x14ac:dyDescent="0.2">
      <c r="B5421" s="245"/>
      <c r="C5421" s="248"/>
      <c r="D5421" s="249"/>
      <c r="E5421" s="249"/>
      <c r="T5421" s="261"/>
    </row>
    <row r="5422" spans="2:20" x14ac:dyDescent="0.2">
      <c r="B5422" s="245"/>
      <c r="C5422" s="248"/>
      <c r="D5422" s="249"/>
      <c r="E5422" s="249"/>
      <c r="T5422" s="261"/>
    </row>
    <row r="5423" spans="2:20" x14ac:dyDescent="0.2">
      <c r="B5423" s="245"/>
      <c r="C5423" s="248"/>
      <c r="D5423" s="249"/>
      <c r="E5423" s="249"/>
      <c r="T5423" s="261"/>
    </row>
    <row r="5424" spans="2:20" x14ac:dyDescent="0.2">
      <c r="B5424" s="245"/>
      <c r="C5424" s="248"/>
      <c r="D5424" s="249"/>
      <c r="E5424" s="249"/>
      <c r="T5424" s="261"/>
    </row>
    <row r="5425" spans="2:20" x14ac:dyDescent="0.2">
      <c r="B5425" s="245"/>
      <c r="C5425" s="248"/>
      <c r="D5425" s="249"/>
      <c r="E5425" s="249"/>
      <c r="T5425" s="261"/>
    </row>
    <row r="5426" spans="2:20" x14ac:dyDescent="0.2">
      <c r="B5426" s="245"/>
      <c r="C5426" s="248"/>
      <c r="D5426" s="249"/>
      <c r="E5426" s="249"/>
      <c r="T5426" s="261"/>
    </row>
    <row r="5427" spans="2:20" x14ac:dyDescent="0.2">
      <c r="B5427" s="245"/>
      <c r="C5427" s="248"/>
      <c r="D5427" s="249"/>
      <c r="E5427" s="249"/>
      <c r="T5427" s="261"/>
    </row>
    <row r="5428" spans="2:20" x14ac:dyDescent="0.2">
      <c r="B5428" s="245"/>
      <c r="C5428" s="248"/>
      <c r="D5428" s="249"/>
      <c r="E5428" s="249"/>
      <c r="T5428" s="261"/>
    </row>
    <row r="5429" spans="2:20" x14ac:dyDescent="0.2">
      <c r="B5429" s="245"/>
      <c r="C5429" s="248"/>
      <c r="D5429" s="249"/>
      <c r="E5429" s="249"/>
      <c r="T5429" s="261"/>
    </row>
    <row r="5430" spans="2:20" x14ac:dyDescent="0.2">
      <c r="B5430" s="245"/>
      <c r="C5430" s="248"/>
      <c r="D5430" s="249"/>
      <c r="E5430" s="249"/>
      <c r="T5430" s="261"/>
    </row>
    <row r="5431" spans="2:20" x14ac:dyDescent="0.2">
      <c r="B5431" s="245"/>
      <c r="C5431" s="248"/>
      <c r="D5431" s="249"/>
      <c r="E5431" s="249"/>
      <c r="T5431" s="261"/>
    </row>
    <row r="5432" spans="2:20" x14ac:dyDescent="0.2">
      <c r="B5432" s="245"/>
      <c r="C5432" s="248"/>
      <c r="D5432" s="249"/>
      <c r="E5432" s="249"/>
      <c r="T5432" s="261"/>
    </row>
    <row r="5433" spans="2:20" x14ac:dyDescent="0.2">
      <c r="B5433" s="245"/>
      <c r="C5433" s="248"/>
      <c r="D5433" s="249"/>
      <c r="E5433" s="249"/>
      <c r="T5433" s="261"/>
    </row>
    <row r="5434" spans="2:20" x14ac:dyDescent="0.2">
      <c r="B5434" s="245"/>
      <c r="C5434" s="248"/>
      <c r="D5434" s="249"/>
      <c r="E5434" s="249"/>
      <c r="T5434" s="261"/>
    </row>
    <row r="5435" spans="2:20" x14ac:dyDescent="0.2">
      <c r="B5435" s="245"/>
      <c r="C5435" s="248"/>
      <c r="D5435" s="249"/>
      <c r="E5435" s="249"/>
      <c r="T5435" s="261"/>
    </row>
    <row r="5436" spans="2:20" x14ac:dyDescent="0.2">
      <c r="B5436" s="245"/>
      <c r="C5436" s="248"/>
      <c r="D5436" s="249"/>
      <c r="E5436" s="249"/>
      <c r="T5436" s="261"/>
    </row>
    <row r="5437" spans="2:20" x14ac:dyDescent="0.2">
      <c r="B5437" s="245"/>
      <c r="C5437" s="248"/>
      <c r="D5437" s="249"/>
      <c r="E5437" s="249"/>
      <c r="T5437" s="261"/>
    </row>
    <row r="5438" spans="2:20" x14ac:dyDescent="0.2">
      <c r="B5438" s="245"/>
      <c r="C5438" s="248"/>
      <c r="D5438" s="249"/>
      <c r="E5438" s="249"/>
      <c r="T5438" s="261"/>
    </row>
    <row r="5439" spans="2:20" x14ac:dyDescent="0.2">
      <c r="B5439" s="245"/>
      <c r="C5439" s="248"/>
      <c r="D5439" s="249"/>
      <c r="E5439" s="249"/>
      <c r="T5439" s="261"/>
    </row>
    <row r="5440" spans="2:20" x14ac:dyDescent="0.2">
      <c r="B5440" s="245"/>
      <c r="C5440" s="248"/>
      <c r="D5440" s="249"/>
      <c r="E5440" s="249"/>
      <c r="T5440" s="261"/>
    </row>
    <row r="5441" spans="2:20" x14ac:dyDescent="0.2">
      <c r="B5441" s="245"/>
      <c r="C5441" s="248"/>
      <c r="D5441" s="249"/>
      <c r="E5441" s="249"/>
      <c r="T5441" s="261"/>
    </row>
    <row r="5442" spans="2:20" x14ac:dyDescent="0.2">
      <c r="B5442" s="245"/>
      <c r="C5442" s="248"/>
      <c r="D5442" s="249"/>
      <c r="E5442" s="249"/>
      <c r="T5442" s="261"/>
    </row>
    <row r="5443" spans="2:20" x14ac:dyDescent="0.2">
      <c r="B5443" s="245"/>
      <c r="C5443" s="248"/>
      <c r="D5443" s="249"/>
      <c r="E5443" s="249"/>
      <c r="T5443" s="261"/>
    </row>
    <row r="5444" spans="2:20" x14ac:dyDescent="0.2">
      <c r="B5444" s="245"/>
      <c r="C5444" s="248"/>
      <c r="D5444" s="249"/>
      <c r="E5444" s="249"/>
      <c r="T5444" s="261"/>
    </row>
    <row r="5445" spans="2:20" x14ac:dyDescent="0.2">
      <c r="B5445" s="245"/>
      <c r="C5445" s="248"/>
      <c r="D5445" s="249"/>
      <c r="E5445" s="249"/>
      <c r="T5445" s="261"/>
    </row>
    <row r="5446" spans="2:20" x14ac:dyDescent="0.2">
      <c r="B5446" s="245"/>
      <c r="C5446" s="248"/>
      <c r="D5446" s="249"/>
      <c r="E5446" s="249"/>
      <c r="T5446" s="261"/>
    </row>
    <row r="5447" spans="2:20" x14ac:dyDescent="0.2">
      <c r="B5447" s="245"/>
      <c r="C5447" s="248"/>
      <c r="D5447" s="249"/>
      <c r="E5447" s="249"/>
      <c r="T5447" s="261"/>
    </row>
    <row r="5448" spans="2:20" x14ac:dyDescent="0.2">
      <c r="B5448" s="245"/>
      <c r="C5448" s="248"/>
      <c r="D5448" s="249"/>
      <c r="E5448" s="249"/>
      <c r="T5448" s="261"/>
    </row>
    <row r="5449" spans="2:20" x14ac:dyDescent="0.2">
      <c r="B5449" s="245"/>
      <c r="C5449" s="248"/>
      <c r="D5449" s="249"/>
      <c r="E5449" s="249"/>
      <c r="T5449" s="261"/>
    </row>
    <row r="5450" spans="2:20" x14ac:dyDescent="0.2">
      <c r="B5450" s="245"/>
      <c r="C5450" s="248"/>
      <c r="D5450" s="249"/>
      <c r="E5450" s="249"/>
      <c r="T5450" s="261"/>
    </row>
    <row r="5451" spans="2:20" x14ac:dyDescent="0.2">
      <c r="B5451" s="245"/>
      <c r="C5451" s="248"/>
      <c r="D5451" s="249"/>
      <c r="E5451" s="249"/>
      <c r="T5451" s="261"/>
    </row>
    <row r="5452" spans="2:20" x14ac:dyDescent="0.2">
      <c r="B5452" s="245"/>
      <c r="C5452" s="248"/>
      <c r="D5452" s="249"/>
      <c r="E5452" s="249"/>
      <c r="T5452" s="261"/>
    </row>
    <row r="5453" spans="2:20" x14ac:dyDescent="0.2">
      <c r="B5453" s="245"/>
      <c r="C5453" s="248"/>
      <c r="D5453" s="249"/>
      <c r="E5453" s="249"/>
      <c r="T5453" s="261"/>
    </row>
    <row r="5454" spans="2:20" x14ac:dyDescent="0.2">
      <c r="B5454" s="245"/>
      <c r="C5454" s="248"/>
      <c r="D5454" s="249"/>
      <c r="E5454" s="249"/>
      <c r="T5454" s="261"/>
    </row>
    <row r="5455" spans="2:20" x14ac:dyDescent="0.2">
      <c r="B5455" s="245"/>
      <c r="C5455" s="248"/>
      <c r="D5455" s="249"/>
      <c r="E5455" s="249"/>
      <c r="T5455" s="261"/>
    </row>
    <row r="5456" spans="2:20" x14ac:dyDescent="0.2">
      <c r="B5456" s="245"/>
      <c r="C5456" s="248"/>
      <c r="D5456" s="249"/>
      <c r="E5456" s="249"/>
      <c r="T5456" s="261"/>
    </row>
    <row r="5457" spans="2:20" x14ac:dyDescent="0.2">
      <c r="B5457" s="245"/>
      <c r="C5457" s="248"/>
      <c r="D5457" s="249"/>
      <c r="E5457" s="249"/>
      <c r="T5457" s="261"/>
    </row>
    <row r="5458" spans="2:20" x14ac:dyDescent="0.2">
      <c r="B5458" s="245"/>
      <c r="C5458" s="248"/>
      <c r="D5458" s="249"/>
      <c r="E5458" s="249"/>
      <c r="T5458" s="261"/>
    </row>
    <row r="5459" spans="2:20" x14ac:dyDescent="0.2">
      <c r="B5459" s="245"/>
      <c r="C5459" s="248"/>
      <c r="D5459" s="249"/>
      <c r="E5459" s="249"/>
      <c r="T5459" s="261"/>
    </row>
    <row r="5460" spans="2:20" x14ac:dyDescent="0.2">
      <c r="B5460" s="245"/>
      <c r="C5460" s="248"/>
      <c r="D5460" s="249"/>
      <c r="E5460" s="249"/>
      <c r="T5460" s="261"/>
    </row>
    <row r="5461" spans="2:20" x14ac:dyDescent="0.2">
      <c r="B5461" s="245"/>
      <c r="C5461" s="248"/>
      <c r="D5461" s="249"/>
      <c r="E5461" s="249"/>
      <c r="T5461" s="261"/>
    </row>
    <row r="5462" spans="2:20" x14ac:dyDescent="0.2">
      <c r="B5462" s="245"/>
      <c r="C5462" s="248"/>
      <c r="D5462" s="249"/>
      <c r="E5462" s="249"/>
      <c r="T5462" s="261"/>
    </row>
    <row r="5463" spans="2:20" x14ac:dyDescent="0.2">
      <c r="B5463" s="245"/>
      <c r="C5463" s="248"/>
      <c r="D5463" s="249"/>
      <c r="E5463" s="249"/>
      <c r="T5463" s="261"/>
    </row>
    <row r="5464" spans="2:20" x14ac:dyDescent="0.2">
      <c r="B5464" s="245"/>
      <c r="C5464" s="248"/>
      <c r="D5464" s="249"/>
      <c r="E5464" s="249"/>
      <c r="T5464" s="261"/>
    </row>
    <row r="5465" spans="2:20" x14ac:dyDescent="0.2">
      <c r="B5465" s="245"/>
      <c r="C5465" s="248"/>
      <c r="D5465" s="249"/>
      <c r="E5465" s="249"/>
      <c r="T5465" s="261"/>
    </row>
    <row r="5466" spans="2:20" x14ac:dyDescent="0.2">
      <c r="B5466" s="245"/>
      <c r="C5466" s="248"/>
      <c r="D5466" s="249"/>
      <c r="E5466" s="249"/>
      <c r="T5466" s="261"/>
    </row>
    <row r="5467" spans="2:20" x14ac:dyDescent="0.2">
      <c r="B5467" s="245"/>
      <c r="C5467" s="248"/>
      <c r="D5467" s="249"/>
      <c r="E5467" s="249"/>
      <c r="T5467" s="261"/>
    </row>
    <row r="5468" spans="2:20" x14ac:dyDescent="0.2">
      <c r="B5468" s="245"/>
      <c r="C5468" s="248"/>
      <c r="D5468" s="249"/>
      <c r="E5468" s="249"/>
      <c r="T5468" s="261"/>
    </row>
    <row r="5469" spans="2:20" x14ac:dyDescent="0.2">
      <c r="B5469" s="245"/>
      <c r="C5469" s="248"/>
      <c r="D5469" s="249"/>
      <c r="E5469" s="249"/>
      <c r="T5469" s="261"/>
    </row>
    <row r="5470" spans="2:20" x14ac:dyDescent="0.2">
      <c r="B5470" s="245"/>
      <c r="C5470" s="248"/>
      <c r="D5470" s="249"/>
      <c r="E5470" s="249"/>
      <c r="T5470" s="261"/>
    </row>
    <row r="5471" spans="2:20" x14ac:dyDescent="0.2">
      <c r="B5471" s="245"/>
      <c r="C5471" s="248"/>
      <c r="D5471" s="249"/>
      <c r="E5471" s="249"/>
      <c r="T5471" s="261"/>
    </row>
    <row r="5472" spans="2:20" x14ac:dyDescent="0.2">
      <c r="B5472" s="245"/>
      <c r="C5472" s="248"/>
      <c r="D5472" s="249"/>
      <c r="E5472" s="249"/>
      <c r="T5472" s="261"/>
    </row>
    <row r="5473" spans="2:20" x14ac:dyDescent="0.2">
      <c r="B5473" s="245"/>
      <c r="C5473" s="248"/>
      <c r="D5473" s="249"/>
      <c r="E5473" s="249"/>
      <c r="T5473" s="261"/>
    </row>
    <row r="5474" spans="2:20" x14ac:dyDescent="0.2">
      <c r="B5474" s="245"/>
      <c r="C5474" s="248"/>
      <c r="D5474" s="249"/>
      <c r="E5474" s="249"/>
      <c r="T5474" s="261"/>
    </row>
    <row r="5475" spans="2:20" x14ac:dyDescent="0.2">
      <c r="B5475" s="245"/>
      <c r="C5475" s="248"/>
      <c r="D5475" s="249"/>
      <c r="E5475" s="249"/>
      <c r="T5475" s="261"/>
    </row>
    <row r="5476" spans="2:20" x14ac:dyDescent="0.2">
      <c r="B5476" s="245"/>
      <c r="C5476" s="248"/>
      <c r="D5476" s="249"/>
      <c r="E5476" s="249"/>
      <c r="T5476" s="261"/>
    </row>
    <row r="5477" spans="2:20" x14ac:dyDescent="0.2">
      <c r="B5477" s="245"/>
      <c r="C5477" s="248"/>
      <c r="D5477" s="249"/>
      <c r="E5477" s="249"/>
      <c r="T5477" s="261"/>
    </row>
    <row r="5478" spans="2:20" x14ac:dyDescent="0.2">
      <c r="B5478" s="245"/>
      <c r="C5478" s="248"/>
      <c r="D5478" s="249"/>
      <c r="E5478" s="249"/>
      <c r="T5478" s="261"/>
    </row>
    <row r="5479" spans="2:20" x14ac:dyDescent="0.2">
      <c r="B5479" s="245"/>
      <c r="C5479" s="248"/>
      <c r="D5479" s="249"/>
      <c r="E5479" s="249"/>
      <c r="T5479" s="261"/>
    </row>
    <row r="5480" spans="2:20" x14ac:dyDescent="0.2">
      <c r="B5480" s="245"/>
      <c r="C5480" s="248"/>
      <c r="D5480" s="249"/>
      <c r="E5480" s="249"/>
      <c r="T5480" s="261"/>
    </row>
    <row r="5481" spans="2:20" x14ac:dyDescent="0.2">
      <c r="B5481" s="245"/>
      <c r="C5481" s="248"/>
      <c r="D5481" s="249"/>
      <c r="E5481" s="249"/>
      <c r="T5481" s="261"/>
    </row>
    <row r="5482" spans="2:20" x14ac:dyDescent="0.2">
      <c r="B5482" s="245"/>
      <c r="C5482" s="248"/>
      <c r="D5482" s="249"/>
      <c r="E5482" s="249"/>
      <c r="T5482" s="261"/>
    </row>
    <row r="5483" spans="2:20" x14ac:dyDescent="0.2">
      <c r="B5483" s="245"/>
      <c r="C5483" s="248"/>
      <c r="D5483" s="249"/>
      <c r="E5483" s="249"/>
      <c r="T5483" s="261"/>
    </row>
    <row r="5484" spans="2:20" x14ac:dyDescent="0.2">
      <c r="B5484" s="245"/>
      <c r="C5484" s="248"/>
      <c r="D5484" s="249"/>
      <c r="E5484" s="249"/>
      <c r="T5484" s="261"/>
    </row>
    <row r="5485" spans="2:20" x14ac:dyDescent="0.2">
      <c r="B5485" s="245"/>
      <c r="C5485" s="248"/>
      <c r="D5485" s="249"/>
      <c r="E5485" s="249"/>
      <c r="T5485" s="261"/>
    </row>
    <row r="5486" spans="2:20" x14ac:dyDescent="0.2">
      <c r="B5486" s="245"/>
      <c r="C5486" s="248"/>
      <c r="D5486" s="249"/>
      <c r="E5486" s="249"/>
      <c r="T5486" s="261"/>
    </row>
    <row r="5487" spans="2:20" x14ac:dyDescent="0.2">
      <c r="B5487" s="245"/>
      <c r="C5487" s="248"/>
      <c r="D5487" s="249"/>
      <c r="E5487" s="249"/>
      <c r="T5487" s="261"/>
    </row>
    <row r="5488" spans="2:20" x14ac:dyDescent="0.2">
      <c r="B5488" s="245"/>
      <c r="C5488" s="248"/>
      <c r="D5488" s="249"/>
      <c r="E5488" s="249"/>
      <c r="T5488" s="261"/>
    </row>
    <row r="5489" spans="2:20" x14ac:dyDescent="0.2">
      <c r="B5489" s="245"/>
      <c r="C5489" s="248"/>
      <c r="D5489" s="249"/>
      <c r="E5489" s="249"/>
      <c r="T5489" s="261"/>
    </row>
    <row r="5490" spans="2:20" x14ac:dyDescent="0.2">
      <c r="B5490" s="245"/>
      <c r="C5490" s="248"/>
      <c r="D5490" s="249"/>
      <c r="E5490" s="249"/>
      <c r="T5490" s="261"/>
    </row>
    <row r="5491" spans="2:20" x14ac:dyDescent="0.2">
      <c r="B5491" s="245"/>
      <c r="C5491" s="248"/>
      <c r="D5491" s="249"/>
      <c r="E5491" s="249"/>
      <c r="T5491" s="261"/>
    </row>
    <row r="5492" spans="2:20" x14ac:dyDescent="0.2">
      <c r="B5492" s="245"/>
      <c r="C5492" s="248"/>
      <c r="D5492" s="249"/>
      <c r="E5492" s="249"/>
      <c r="T5492" s="261"/>
    </row>
    <row r="5493" spans="2:20" x14ac:dyDescent="0.2">
      <c r="B5493" s="245"/>
      <c r="C5493" s="248"/>
      <c r="D5493" s="249"/>
      <c r="E5493" s="249"/>
      <c r="T5493" s="261"/>
    </row>
    <row r="5494" spans="2:20" x14ac:dyDescent="0.2">
      <c r="B5494" s="245"/>
      <c r="C5494" s="248"/>
      <c r="D5494" s="249"/>
      <c r="E5494" s="249"/>
      <c r="T5494" s="261"/>
    </row>
    <row r="5495" spans="2:20" x14ac:dyDescent="0.2">
      <c r="B5495" s="245"/>
      <c r="C5495" s="248"/>
      <c r="D5495" s="249"/>
      <c r="E5495" s="249"/>
      <c r="T5495" s="261"/>
    </row>
    <row r="5496" spans="2:20" x14ac:dyDescent="0.2">
      <c r="B5496" s="245"/>
      <c r="C5496" s="248"/>
      <c r="D5496" s="249"/>
      <c r="E5496" s="249"/>
      <c r="T5496" s="261"/>
    </row>
    <row r="5497" spans="2:20" x14ac:dyDescent="0.2">
      <c r="B5497" s="245"/>
      <c r="C5497" s="248"/>
      <c r="D5497" s="249"/>
      <c r="E5497" s="249"/>
      <c r="T5497" s="261"/>
    </row>
    <row r="5498" spans="2:20" x14ac:dyDescent="0.2">
      <c r="B5498" s="245"/>
      <c r="C5498" s="248"/>
      <c r="D5498" s="249"/>
      <c r="E5498" s="249"/>
      <c r="T5498" s="261"/>
    </row>
    <row r="5499" spans="2:20" x14ac:dyDescent="0.2">
      <c r="B5499" s="245"/>
      <c r="C5499" s="248"/>
      <c r="D5499" s="249"/>
      <c r="E5499" s="249"/>
      <c r="T5499" s="261"/>
    </row>
    <row r="5500" spans="2:20" x14ac:dyDescent="0.2">
      <c r="B5500" s="245"/>
      <c r="C5500" s="248"/>
      <c r="D5500" s="249"/>
      <c r="E5500" s="249"/>
      <c r="T5500" s="261"/>
    </row>
    <row r="5501" spans="2:20" x14ac:dyDescent="0.2">
      <c r="B5501" s="245"/>
      <c r="C5501" s="248"/>
      <c r="D5501" s="249"/>
      <c r="E5501" s="249"/>
      <c r="T5501" s="261"/>
    </row>
    <row r="5502" spans="2:20" x14ac:dyDescent="0.2">
      <c r="B5502" s="245"/>
      <c r="C5502" s="248"/>
      <c r="D5502" s="249"/>
      <c r="E5502" s="249"/>
      <c r="T5502" s="261"/>
    </row>
    <row r="5503" spans="2:20" x14ac:dyDescent="0.2">
      <c r="B5503" s="245"/>
      <c r="C5503" s="248"/>
      <c r="D5503" s="249"/>
      <c r="E5503" s="249"/>
      <c r="T5503" s="261"/>
    </row>
    <row r="5504" spans="2:20" x14ac:dyDescent="0.2">
      <c r="B5504" s="245"/>
      <c r="C5504" s="248"/>
      <c r="D5504" s="249"/>
      <c r="E5504" s="249"/>
      <c r="T5504" s="261"/>
    </row>
    <row r="5505" spans="2:20" x14ac:dyDescent="0.2">
      <c r="B5505" s="245"/>
      <c r="C5505" s="248"/>
      <c r="D5505" s="249"/>
      <c r="E5505" s="249"/>
      <c r="T5505" s="261"/>
    </row>
    <row r="5506" spans="2:20" x14ac:dyDescent="0.2">
      <c r="B5506" s="245"/>
      <c r="C5506" s="248"/>
      <c r="D5506" s="249"/>
      <c r="E5506" s="249"/>
      <c r="T5506" s="261"/>
    </row>
    <row r="5507" spans="2:20" x14ac:dyDescent="0.2">
      <c r="B5507" s="245"/>
      <c r="C5507" s="248"/>
      <c r="D5507" s="249"/>
      <c r="E5507" s="249"/>
      <c r="T5507" s="261"/>
    </row>
    <row r="5508" spans="2:20" x14ac:dyDescent="0.2">
      <c r="B5508" s="245"/>
      <c r="C5508" s="248"/>
      <c r="D5508" s="249"/>
      <c r="E5508" s="249"/>
      <c r="T5508" s="261"/>
    </row>
    <row r="5509" spans="2:20" x14ac:dyDescent="0.2">
      <c r="B5509" s="245"/>
      <c r="C5509" s="248"/>
      <c r="D5509" s="249"/>
      <c r="E5509" s="249"/>
      <c r="T5509" s="261"/>
    </row>
    <row r="5510" spans="2:20" x14ac:dyDescent="0.2">
      <c r="B5510" s="245"/>
      <c r="C5510" s="248"/>
      <c r="D5510" s="249"/>
      <c r="E5510" s="249"/>
      <c r="T5510" s="261"/>
    </row>
    <row r="5511" spans="2:20" x14ac:dyDescent="0.2">
      <c r="B5511" s="245"/>
      <c r="C5511" s="248"/>
      <c r="D5511" s="249"/>
      <c r="E5511" s="249"/>
      <c r="T5511" s="261"/>
    </row>
    <row r="5512" spans="2:20" x14ac:dyDescent="0.2">
      <c r="B5512" s="245"/>
      <c r="C5512" s="248"/>
      <c r="D5512" s="249"/>
      <c r="E5512" s="249"/>
      <c r="T5512" s="261"/>
    </row>
    <row r="5513" spans="2:20" x14ac:dyDescent="0.2">
      <c r="B5513" s="245"/>
      <c r="C5513" s="248"/>
      <c r="D5513" s="249"/>
      <c r="E5513" s="249"/>
      <c r="T5513" s="261"/>
    </row>
    <row r="5514" spans="2:20" x14ac:dyDescent="0.2">
      <c r="B5514" s="245"/>
      <c r="C5514" s="248"/>
      <c r="D5514" s="249"/>
      <c r="E5514" s="249"/>
      <c r="T5514" s="261"/>
    </row>
    <row r="5515" spans="2:20" x14ac:dyDescent="0.2">
      <c r="B5515" s="245"/>
      <c r="C5515" s="248"/>
      <c r="D5515" s="249"/>
      <c r="E5515" s="249"/>
      <c r="T5515" s="261"/>
    </row>
    <row r="5516" spans="2:20" x14ac:dyDescent="0.2">
      <c r="B5516" s="245"/>
      <c r="C5516" s="248"/>
      <c r="D5516" s="249"/>
      <c r="E5516" s="249"/>
      <c r="T5516" s="261"/>
    </row>
    <row r="5517" spans="2:20" x14ac:dyDescent="0.2">
      <c r="B5517" s="245"/>
      <c r="C5517" s="248"/>
      <c r="D5517" s="249"/>
      <c r="E5517" s="249"/>
      <c r="T5517" s="261"/>
    </row>
    <row r="5518" spans="2:20" x14ac:dyDescent="0.2">
      <c r="B5518" s="245"/>
      <c r="C5518" s="248"/>
      <c r="D5518" s="249"/>
      <c r="E5518" s="249"/>
      <c r="T5518" s="261"/>
    </row>
    <row r="5519" spans="2:20" x14ac:dyDescent="0.2">
      <c r="B5519" s="245"/>
      <c r="C5519" s="248"/>
      <c r="D5519" s="249"/>
      <c r="E5519" s="249"/>
      <c r="T5519" s="261"/>
    </row>
    <row r="5520" spans="2:20" x14ac:dyDescent="0.2">
      <c r="B5520" s="245"/>
      <c r="C5520" s="248"/>
      <c r="D5520" s="249"/>
      <c r="E5520" s="249"/>
      <c r="T5520" s="261"/>
    </row>
    <row r="5521" spans="2:20" x14ac:dyDescent="0.2">
      <c r="B5521" s="245"/>
      <c r="C5521" s="248"/>
      <c r="D5521" s="249"/>
      <c r="E5521" s="249"/>
      <c r="T5521" s="261"/>
    </row>
    <row r="5522" spans="2:20" x14ac:dyDescent="0.2">
      <c r="B5522" s="245"/>
      <c r="C5522" s="248"/>
      <c r="D5522" s="249"/>
      <c r="E5522" s="249"/>
      <c r="T5522" s="261"/>
    </row>
    <row r="5523" spans="2:20" x14ac:dyDescent="0.2">
      <c r="B5523" s="245"/>
      <c r="C5523" s="248"/>
      <c r="D5523" s="249"/>
      <c r="E5523" s="249"/>
      <c r="T5523" s="261"/>
    </row>
    <row r="5524" spans="2:20" x14ac:dyDescent="0.2">
      <c r="B5524" s="245"/>
      <c r="C5524" s="248"/>
      <c r="D5524" s="249"/>
      <c r="E5524" s="249"/>
      <c r="T5524" s="261"/>
    </row>
    <row r="5525" spans="2:20" x14ac:dyDescent="0.2">
      <c r="B5525" s="245"/>
      <c r="C5525" s="248"/>
      <c r="D5525" s="249"/>
      <c r="E5525" s="249"/>
      <c r="T5525" s="261"/>
    </row>
    <row r="5526" spans="2:20" x14ac:dyDescent="0.2">
      <c r="B5526" s="245"/>
      <c r="C5526" s="248"/>
      <c r="D5526" s="249"/>
      <c r="E5526" s="249"/>
      <c r="T5526" s="261"/>
    </row>
    <row r="5527" spans="2:20" x14ac:dyDescent="0.2">
      <c r="B5527" s="245"/>
      <c r="C5527" s="248"/>
      <c r="D5527" s="249"/>
      <c r="E5527" s="249"/>
      <c r="T5527" s="261"/>
    </row>
    <row r="5528" spans="2:20" x14ac:dyDescent="0.2">
      <c r="B5528" s="245"/>
      <c r="C5528" s="248"/>
      <c r="D5528" s="249"/>
      <c r="E5528" s="249"/>
      <c r="T5528" s="261"/>
    </row>
    <row r="5529" spans="2:20" x14ac:dyDescent="0.2">
      <c r="B5529" s="245"/>
      <c r="C5529" s="248"/>
      <c r="D5529" s="249"/>
      <c r="E5529" s="249"/>
      <c r="T5529" s="261"/>
    </row>
    <row r="5530" spans="2:20" x14ac:dyDescent="0.2">
      <c r="B5530" s="245"/>
      <c r="C5530" s="248"/>
      <c r="D5530" s="249"/>
      <c r="E5530" s="249"/>
      <c r="T5530" s="261"/>
    </row>
    <row r="5531" spans="2:20" x14ac:dyDescent="0.2">
      <c r="B5531" s="245"/>
      <c r="C5531" s="248"/>
      <c r="D5531" s="249"/>
      <c r="E5531" s="249"/>
      <c r="T5531" s="261"/>
    </row>
    <row r="5532" spans="2:20" x14ac:dyDescent="0.2">
      <c r="B5532" s="245"/>
      <c r="C5532" s="248"/>
      <c r="D5532" s="249"/>
      <c r="E5532" s="249"/>
      <c r="T5532" s="261"/>
    </row>
    <row r="5533" spans="2:20" x14ac:dyDescent="0.2">
      <c r="B5533" s="245"/>
      <c r="C5533" s="248"/>
      <c r="D5533" s="249"/>
      <c r="E5533" s="249"/>
      <c r="T5533" s="261"/>
    </row>
    <row r="5534" spans="2:20" x14ac:dyDescent="0.2">
      <c r="B5534" s="245"/>
      <c r="C5534" s="248"/>
      <c r="D5534" s="249"/>
      <c r="E5534" s="249"/>
      <c r="T5534" s="261"/>
    </row>
    <row r="5535" spans="2:20" x14ac:dyDescent="0.2">
      <c r="B5535" s="245"/>
      <c r="C5535" s="248"/>
      <c r="D5535" s="249"/>
      <c r="E5535" s="249"/>
      <c r="T5535" s="261"/>
    </row>
    <row r="5536" spans="2:20" x14ac:dyDescent="0.2">
      <c r="B5536" s="245"/>
      <c r="C5536" s="248"/>
      <c r="D5536" s="249"/>
      <c r="E5536" s="249"/>
      <c r="T5536" s="261"/>
    </row>
    <row r="5537" spans="2:20" x14ac:dyDescent="0.2">
      <c r="B5537" s="245"/>
      <c r="C5537" s="248"/>
      <c r="D5537" s="249"/>
      <c r="E5537" s="249"/>
      <c r="T5537" s="261"/>
    </row>
    <row r="5538" spans="2:20" x14ac:dyDescent="0.2">
      <c r="B5538" s="245"/>
      <c r="C5538" s="248"/>
      <c r="D5538" s="249"/>
      <c r="E5538" s="249"/>
      <c r="T5538" s="261"/>
    </row>
    <row r="5539" spans="2:20" x14ac:dyDescent="0.2">
      <c r="B5539" s="245"/>
      <c r="C5539" s="248"/>
      <c r="D5539" s="249"/>
      <c r="E5539" s="249"/>
      <c r="T5539" s="261"/>
    </row>
    <row r="5540" spans="2:20" x14ac:dyDescent="0.2">
      <c r="B5540" s="245"/>
      <c r="C5540" s="248"/>
      <c r="D5540" s="249"/>
      <c r="E5540" s="249"/>
      <c r="T5540" s="261"/>
    </row>
    <row r="5541" spans="2:20" x14ac:dyDescent="0.2">
      <c r="B5541" s="245"/>
      <c r="C5541" s="248"/>
      <c r="D5541" s="249"/>
      <c r="E5541" s="249"/>
      <c r="T5541" s="261"/>
    </row>
    <row r="5542" spans="2:20" x14ac:dyDescent="0.2">
      <c r="B5542" s="245"/>
      <c r="C5542" s="248"/>
      <c r="D5542" s="249"/>
      <c r="E5542" s="249"/>
      <c r="T5542" s="261"/>
    </row>
    <row r="5543" spans="2:20" x14ac:dyDescent="0.2">
      <c r="B5543" s="245"/>
      <c r="C5543" s="248"/>
      <c r="D5543" s="249"/>
      <c r="E5543" s="249"/>
      <c r="T5543" s="261"/>
    </row>
    <row r="5544" spans="2:20" x14ac:dyDescent="0.2">
      <c r="B5544" s="245"/>
      <c r="C5544" s="248"/>
      <c r="D5544" s="249"/>
      <c r="E5544" s="249"/>
      <c r="T5544" s="261"/>
    </row>
    <row r="5545" spans="2:20" x14ac:dyDescent="0.2">
      <c r="B5545" s="245"/>
      <c r="C5545" s="248"/>
      <c r="D5545" s="249"/>
      <c r="E5545" s="249"/>
      <c r="T5545" s="261"/>
    </row>
    <row r="5546" spans="2:20" x14ac:dyDescent="0.2">
      <c r="B5546" s="245"/>
      <c r="C5546" s="248"/>
      <c r="D5546" s="249"/>
      <c r="E5546" s="249"/>
      <c r="T5546" s="261"/>
    </row>
    <row r="5547" spans="2:20" x14ac:dyDescent="0.2">
      <c r="B5547" s="245"/>
      <c r="C5547" s="248"/>
      <c r="D5547" s="249"/>
      <c r="E5547" s="249"/>
      <c r="T5547" s="261"/>
    </row>
    <row r="5548" spans="2:20" x14ac:dyDescent="0.2">
      <c r="B5548" s="245"/>
      <c r="C5548" s="248"/>
      <c r="D5548" s="249"/>
      <c r="E5548" s="249"/>
      <c r="T5548" s="261"/>
    </row>
    <row r="5549" spans="2:20" x14ac:dyDescent="0.2">
      <c r="B5549" s="245"/>
      <c r="C5549" s="248"/>
      <c r="D5549" s="249"/>
      <c r="E5549" s="249"/>
      <c r="T5549" s="261"/>
    </row>
    <row r="5550" spans="2:20" x14ac:dyDescent="0.2">
      <c r="B5550" s="245"/>
      <c r="C5550" s="248"/>
      <c r="D5550" s="249"/>
      <c r="E5550" s="249"/>
      <c r="T5550" s="261"/>
    </row>
    <row r="5551" spans="2:20" x14ac:dyDescent="0.2">
      <c r="B5551" s="245"/>
      <c r="C5551" s="248"/>
      <c r="D5551" s="249"/>
      <c r="E5551" s="249"/>
      <c r="T5551" s="261"/>
    </row>
    <row r="5552" spans="2:20" x14ac:dyDescent="0.2">
      <c r="B5552" s="245"/>
      <c r="C5552" s="248"/>
      <c r="D5552" s="249"/>
      <c r="E5552" s="249"/>
      <c r="T5552" s="261"/>
    </row>
    <row r="5553" spans="2:20" x14ac:dyDescent="0.2">
      <c r="B5553" s="245"/>
      <c r="C5553" s="248"/>
      <c r="D5553" s="249"/>
      <c r="E5553" s="249"/>
      <c r="T5553" s="261"/>
    </row>
    <row r="5554" spans="2:20" x14ac:dyDescent="0.2">
      <c r="B5554" s="245"/>
      <c r="C5554" s="248"/>
      <c r="D5554" s="249"/>
      <c r="E5554" s="249"/>
      <c r="T5554" s="261"/>
    </row>
    <row r="5555" spans="2:20" x14ac:dyDescent="0.2">
      <c r="B5555" s="245"/>
      <c r="C5555" s="248"/>
      <c r="D5555" s="249"/>
      <c r="E5555" s="249"/>
      <c r="T5555" s="261"/>
    </row>
    <row r="5556" spans="2:20" x14ac:dyDescent="0.2">
      <c r="B5556" s="245"/>
      <c r="C5556" s="248"/>
      <c r="D5556" s="249"/>
      <c r="E5556" s="249"/>
      <c r="T5556" s="261"/>
    </row>
    <row r="5557" spans="2:20" x14ac:dyDescent="0.2">
      <c r="B5557" s="245"/>
      <c r="C5557" s="248"/>
      <c r="D5557" s="249"/>
      <c r="E5557" s="249"/>
      <c r="T5557" s="261"/>
    </row>
    <row r="5558" spans="2:20" x14ac:dyDescent="0.2">
      <c r="B5558" s="245"/>
      <c r="C5558" s="248"/>
      <c r="D5558" s="249"/>
      <c r="E5558" s="249"/>
      <c r="T5558" s="261"/>
    </row>
    <row r="5559" spans="2:20" x14ac:dyDescent="0.2">
      <c r="B5559" s="245"/>
      <c r="C5559" s="248"/>
      <c r="D5559" s="249"/>
      <c r="E5559" s="249"/>
      <c r="T5559" s="261"/>
    </row>
    <row r="5560" spans="2:20" x14ac:dyDescent="0.2">
      <c r="B5560" s="245"/>
      <c r="C5560" s="248"/>
      <c r="D5560" s="249"/>
      <c r="E5560" s="249"/>
      <c r="T5560" s="261"/>
    </row>
    <row r="5561" spans="2:20" x14ac:dyDescent="0.2">
      <c r="B5561" s="245"/>
      <c r="C5561" s="248"/>
      <c r="D5561" s="249"/>
      <c r="E5561" s="249"/>
      <c r="T5561" s="261"/>
    </row>
    <row r="5562" spans="2:20" x14ac:dyDescent="0.2">
      <c r="B5562" s="245"/>
      <c r="C5562" s="248"/>
      <c r="D5562" s="249"/>
      <c r="E5562" s="249"/>
      <c r="T5562" s="261"/>
    </row>
    <row r="5563" spans="2:20" x14ac:dyDescent="0.2">
      <c r="B5563" s="245"/>
      <c r="C5563" s="248"/>
      <c r="D5563" s="249"/>
      <c r="E5563" s="249"/>
      <c r="T5563" s="261"/>
    </row>
    <row r="5564" spans="2:20" x14ac:dyDescent="0.2">
      <c r="B5564" s="245"/>
      <c r="C5564" s="248"/>
      <c r="D5564" s="249"/>
      <c r="E5564" s="249"/>
      <c r="T5564" s="261"/>
    </row>
    <row r="5565" spans="2:20" x14ac:dyDescent="0.2">
      <c r="B5565" s="245"/>
      <c r="C5565" s="248"/>
      <c r="D5565" s="249"/>
      <c r="E5565" s="249"/>
      <c r="T5565" s="261"/>
    </row>
    <row r="5566" spans="2:20" x14ac:dyDescent="0.2">
      <c r="B5566" s="245"/>
      <c r="C5566" s="248"/>
      <c r="D5566" s="249"/>
      <c r="E5566" s="249"/>
      <c r="T5566" s="261"/>
    </row>
    <row r="5567" spans="2:20" x14ac:dyDescent="0.2">
      <c r="B5567" s="245"/>
      <c r="C5567" s="248"/>
      <c r="D5567" s="249"/>
      <c r="E5567" s="249"/>
      <c r="T5567" s="261"/>
    </row>
    <row r="5568" spans="2:20" x14ac:dyDescent="0.2">
      <c r="B5568" s="245"/>
      <c r="C5568" s="248"/>
      <c r="D5568" s="249"/>
      <c r="E5568" s="249"/>
      <c r="T5568" s="261"/>
    </row>
    <row r="5569" spans="2:20" x14ac:dyDescent="0.2">
      <c r="B5569" s="245"/>
      <c r="C5569" s="248"/>
      <c r="D5569" s="249"/>
      <c r="E5569" s="249"/>
      <c r="T5569" s="261"/>
    </row>
    <row r="5570" spans="2:20" x14ac:dyDescent="0.2">
      <c r="B5570" s="245"/>
      <c r="C5570" s="248"/>
      <c r="D5570" s="249"/>
      <c r="E5570" s="249"/>
      <c r="T5570" s="261"/>
    </row>
    <row r="5571" spans="2:20" x14ac:dyDescent="0.2">
      <c r="B5571" s="245"/>
      <c r="C5571" s="248"/>
      <c r="D5571" s="249"/>
      <c r="E5571" s="249"/>
      <c r="T5571" s="261"/>
    </row>
    <row r="5572" spans="2:20" x14ac:dyDescent="0.2">
      <c r="B5572" s="245"/>
      <c r="C5572" s="248"/>
      <c r="D5572" s="249"/>
      <c r="E5572" s="249"/>
      <c r="T5572" s="261"/>
    </row>
    <row r="5573" spans="2:20" x14ac:dyDescent="0.2">
      <c r="B5573" s="245"/>
      <c r="C5573" s="248"/>
      <c r="D5573" s="249"/>
      <c r="E5573" s="249"/>
      <c r="T5573" s="261"/>
    </row>
    <row r="5574" spans="2:20" x14ac:dyDescent="0.2">
      <c r="B5574" s="245"/>
      <c r="C5574" s="248"/>
      <c r="D5574" s="249"/>
      <c r="E5574" s="249"/>
      <c r="T5574" s="261"/>
    </row>
    <row r="5575" spans="2:20" x14ac:dyDescent="0.2">
      <c r="B5575" s="245"/>
      <c r="C5575" s="248"/>
      <c r="D5575" s="249"/>
      <c r="E5575" s="249"/>
      <c r="T5575" s="261"/>
    </row>
    <row r="5576" spans="2:20" x14ac:dyDescent="0.2">
      <c r="B5576" s="245"/>
      <c r="C5576" s="248"/>
      <c r="D5576" s="249"/>
      <c r="E5576" s="249"/>
      <c r="T5576" s="261"/>
    </row>
    <row r="5577" spans="2:20" x14ac:dyDescent="0.2">
      <c r="B5577" s="245"/>
      <c r="C5577" s="248"/>
      <c r="D5577" s="249"/>
      <c r="E5577" s="249"/>
      <c r="T5577" s="261"/>
    </row>
    <row r="5578" spans="2:20" x14ac:dyDescent="0.2">
      <c r="B5578" s="245"/>
      <c r="C5578" s="248"/>
      <c r="D5578" s="249"/>
      <c r="E5578" s="249"/>
      <c r="T5578" s="261"/>
    </row>
    <row r="5579" spans="2:20" x14ac:dyDescent="0.2">
      <c r="B5579" s="245"/>
      <c r="C5579" s="248"/>
      <c r="D5579" s="249"/>
      <c r="E5579" s="249"/>
      <c r="T5579" s="261"/>
    </row>
    <row r="5580" spans="2:20" x14ac:dyDescent="0.2">
      <c r="B5580" s="245"/>
      <c r="C5580" s="248"/>
      <c r="D5580" s="249"/>
      <c r="E5580" s="249"/>
      <c r="T5580" s="261"/>
    </row>
    <row r="5581" spans="2:20" x14ac:dyDescent="0.2">
      <c r="B5581" s="245"/>
      <c r="C5581" s="248"/>
      <c r="D5581" s="249"/>
      <c r="E5581" s="249"/>
      <c r="T5581" s="261"/>
    </row>
    <row r="5582" spans="2:20" x14ac:dyDescent="0.2">
      <c r="B5582" s="245"/>
      <c r="C5582" s="248"/>
      <c r="D5582" s="249"/>
      <c r="E5582" s="249"/>
      <c r="T5582" s="261"/>
    </row>
    <row r="5583" spans="2:20" x14ac:dyDescent="0.2">
      <c r="B5583" s="245"/>
      <c r="C5583" s="248"/>
      <c r="D5583" s="249"/>
      <c r="E5583" s="249"/>
      <c r="T5583" s="261"/>
    </row>
    <row r="5584" spans="2:20" x14ac:dyDescent="0.2">
      <c r="B5584" s="245"/>
      <c r="C5584" s="248"/>
      <c r="D5584" s="249"/>
      <c r="E5584" s="249"/>
      <c r="T5584" s="261"/>
    </row>
    <row r="5585" spans="2:20" x14ac:dyDescent="0.2">
      <c r="B5585" s="245"/>
      <c r="C5585" s="248"/>
      <c r="D5585" s="249"/>
      <c r="E5585" s="249"/>
      <c r="T5585" s="261"/>
    </row>
    <row r="5586" spans="2:20" x14ac:dyDescent="0.2">
      <c r="B5586" s="245"/>
      <c r="C5586" s="248"/>
      <c r="D5586" s="249"/>
      <c r="E5586" s="249"/>
      <c r="T5586" s="261"/>
    </row>
    <row r="5587" spans="2:20" x14ac:dyDescent="0.2">
      <c r="B5587" s="245"/>
      <c r="C5587" s="248"/>
      <c r="D5587" s="249"/>
      <c r="E5587" s="249"/>
      <c r="T5587" s="261"/>
    </row>
    <row r="5588" spans="2:20" x14ac:dyDescent="0.2">
      <c r="B5588" s="245"/>
      <c r="C5588" s="248"/>
      <c r="D5588" s="249"/>
      <c r="E5588" s="249"/>
      <c r="T5588" s="261"/>
    </row>
    <row r="5589" spans="2:20" x14ac:dyDescent="0.2">
      <c r="B5589" s="245"/>
      <c r="C5589" s="248"/>
      <c r="D5589" s="249"/>
      <c r="E5589" s="249"/>
      <c r="T5589" s="261"/>
    </row>
    <row r="5590" spans="2:20" x14ac:dyDescent="0.2">
      <c r="B5590" s="245"/>
      <c r="C5590" s="248"/>
      <c r="D5590" s="249"/>
      <c r="E5590" s="249"/>
      <c r="T5590" s="261"/>
    </row>
    <row r="5591" spans="2:20" x14ac:dyDescent="0.2">
      <c r="B5591" s="245"/>
      <c r="C5591" s="248"/>
      <c r="D5591" s="249"/>
      <c r="E5591" s="249"/>
      <c r="T5591" s="261"/>
    </row>
    <row r="5592" spans="2:20" x14ac:dyDescent="0.2">
      <c r="B5592" s="245"/>
      <c r="C5592" s="248"/>
      <c r="D5592" s="249"/>
      <c r="E5592" s="249"/>
      <c r="T5592" s="261"/>
    </row>
    <row r="5593" spans="2:20" x14ac:dyDescent="0.2">
      <c r="B5593" s="245"/>
      <c r="C5593" s="248"/>
      <c r="D5593" s="249"/>
      <c r="E5593" s="249"/>
      <c r="T5593" s="261"/>
    </row>
    <row r="5594" spans="2:20" x14ac:dyDescent="0.2">
      <c r="B5594" s="245"/>
      <c r="C5594" s="248"/>
      <c r="D5594" s="249"/>
      <c r="E5594" s="249"/>
      <c r="T5594" s="261"/>
    </row>
    <row r="5595" spans="2:20" x14ac:dyDescent="0.2">
      <c r="B5595" s="245"/>
      <c r="C5595" s="248"/>
      <c r="D5595" s="249"/>
      <c r="E5595" s="249"/>
      <c r="T5595" s="261"/>
    </row>
    <row r="5596" spans="2:20" x14ac:dyDescent="0.2">
      <c r="B5596" s="245"/>
      <c r="C5596" s="248"/>
      <c r="D5596" s="249"/>
      <c r="E5596" s="249"/>
      <c r="T5596" s="261"/>
    </row>
    <row r="5597" spans="2:20" x14ac:dyDescent="0.2">
      <c r="B5597" s="245"/>
      <c r="C5597" s="248"/>
      <c r="D5597" s="249"/>
      <c r="E5597" s="249"/>
      <c r="T5597" s="261"/>
    </row>
    <row r="5598" spans="2:20" x14ac:dyDescent="0.2">
      <c r="B5598" s="245"/>
      <c r="C5598" s="248"/>
      <c r="D5598" s="249"/>
      <c r="E5598" s="249"/>
      <c r="T5598" s="261"/>
    </row>
    <row r="5599" spans="2:20" x14ac:dyDescent="0.2">
      <c r="B5599" s="245"/>
      <c r="C5599" s="248"/>
      <c r="D5599" s="249"/>
      <c r="E5599" s="249"/>
      <c r="T5599" s="261"/>
    </row>
    <row r="5600" spans="2:20" x14ac:dyDescent="0.2">
      <c r="B5600" s="245"/>
      <c r="C5600" s="248"/>
      <c r="D5600" s="249"/>
      <c r="E5600" s="249"/>
      <c r="T5600" s="261"/>
    </row>
    <row r="5601" spans="2:20" x14ac:dyDescent="0.2">
      <c r="B5601" s="245"/>
      <c r="C5601" s="248"/>
      <c r="D5601" s="249"/>
      <c r="E5601" s="249"/>
      <c r="T5601" s="261"/>
    </row>
    <row r="5602" spans="2:20" x14ac:dyDescent="0.2">
      <c r="B5602" s="245"/>
      <c r="C5602" s="248"/>
      <c r="D5602" s="249"/>
      <c r="E5602" s="249"/>
      <c r="T5602" s="261"/>
    </row>
    <row r="5603" spans="2:20" x14ac:dyDescent="0.2">
      <c r="B5603" s="245"/>
      <c r="C5603" s="248"/>
      <c r="D5603" s="249"/>
      <c r="E5603" s="249"/>
      <c r="T5603" s="261"/>
    </row>
    <row r="5604" spans="2:20" x14ac:dyDescent="0.2">
      <c r="B5604" s="245"/>
      <c r="C5604" s="248"/>
      <c r="D5604" s="249"/>
      <c r="E5604" s="249"/>
      <c r="T5604" s="261"/>
    </row>
    <row r="5605" spans="2:20" x14ac:dyDescent="0.2">
      <c r="B5605" s="245"/>
      <c r="C5605" s="248"/>
      <c r="D5605" s="249"/>
      <c r="E5605" s="249"/>
      <c r="T5605" s="261"/>
    </row>
    <row r="5606" spans="2:20" x14ac:dyDescent="0.2">
      <c r="B5606" s="245"/>
      <c r="C5606" s="248"/>
      <c r="D5606" s="249"/>
      <c r="E5606" s="249"/>
      <c r="T5606" s="261"/>
    </row>
    <row r="5607" spans="2:20" x14ac:dyDescent="0.2">
      <c r="B5607" s="245"/>
      <c r="C5607" s="248"/>
      <c r="D5607" s="249"/>
      <c r="E5607" s="249"/>
      <c r="T5607" s="261"/>
    </row>
    <row r="5608" spans="2:20" x14ac:dyDescent="0.2">
      <c r="B5608" s="245"/>
      <c r="C5608" s="248"/>
      <c r="D5608" s="249"/>
      <c r="E5608" s="249"/>
      <c r="T5608" s="261"/>
    </row>
    <row r="5609" spans="2:20" x14ac:dyDescent="0.2">
      <c r="B5609" s="245"/>
      <c r="C5609" s="248"/>
      <c r="D5609" s="249"/>
      <c r="E5609" s="249"/>
      <c r="T5609" s="261"/>
    </row>
    <row r="5610" spans="2:20" x14ac:dyDescent="0.2">
      <c r="B5610" s="245"/>
      <c r="C5610" s="248"/>
      <c r="D5610" s="249"/>
      <c r="E5610" s="249"/>
      <c r="T5610" s="261"/>
    </row>
    <row r="5611" spans="2:20" x14ac:dyDescent="0.2">
      <c r="B5611" s="245"/>
      <c r="C5611" s="248"/>
      <c r="D5611" s="249"/>
      <c r="E5611" s="249"/>
      <c r="T5611" s="261"/>
    </row>
    <row r="5612" spans="2:20" x14ac:dyDescent="0.2">
      <c r="B5612" s="245"/>
      <c r="C5612" s="248"/>
      <c r="D5612" s="249"/>
      <c r="E5612" s="249"/>
      <c r="T5612" s="261"/>
    </row>
    <row r="5613" spans="2:20" x14ac:dyDescent="0.2">
      <c r="B5613" s="245"/>
      <c r="C5613" s="248"/>
      <c r="D5613" s="249"/>
      <c r="E5613" s="249"/>
      <c r="T5613" s="261"/>
    </row>
    <row r="5614" spans="2:20" x14ac:dyDescent="0.2">
      <c r="B5614" s="245"/>
      <c r="C5614" s="248"/>
      <c r="D5614" s="249"/>
      <c r="E5614" s="249"/>
      <c r="T5614" s="261"/>
    </row>
    <row r="5615" spans="2:20" x14ac:dyDescent="0.2">
      <c r="B5615" s="245"/>
      <c r="C5615" s="248"/>
      <c r="D5615" s="249"/>
      <c r="E5615" s="249"/>
      <c r="T5615" s="261"/>
    </row>
    <row r="5616" spans="2:20" x14ac:dyDescent="0.2">
      <c r="B5616" s="245"/>
      <c r="C5616" s="248"/>
      <c r="D5616" s="249"/>
      <c r="E5616" s="249"/>
      <c r="T5616" s="261"/>
    </row>
    <row r="5617" spans="2:20" x14ac:dyDescent="0.2">
      <c r="B5617" s="245"/>
      <c r="C5617" s="248"/>
      <c r="D5617" s="249"/>
      <c r="E5617" s="249"/>
      <c r="T5617" s="261"/>
    </row>
    <row r="5618" spans="2:20" x14ac:dyDescent="0.2">
      <c r="B5618" s="245"/>
      <c r="C5618" s="248"/>
      <c r="D5618" s="249"/>
      <c r="E5618" s="249"/>
      <c r="T5618" s="261"/>
    </row>
    <row r="5619" spans="2:20" x14ac:dyDescent="0.2">
      <c r="B5619" s="245"/>
      <c r="C5619" s="248"/>
      <c r="D5619" s="249"/>
      <c r="E5619" s="249"/>
      <c r="T5619" s="261"/>
    </row>
    <row r="5620" spans="2:20" x14ac:dyDescent="0.2">
      <c r="B5620" s="245"/>
      <c r="C5620" s="248"/>
      <c r="D5620" s="249"/>
      <c r="E5620" s="249"/>
      <c r="T5620" s="261"/>
    </row>
    <row r="5621" spans="2:20" x14ac:dyDescent="0.2">
      <c r="B5621" s="245"/>
      <c r="C5621" s="248"/>
      <c r="D5621" s="249"/>
      <c r="E5621" s="249"/>
      <c r="T5621" s="261"/>
    </row>
    <row r="5622" spans="2:20" x14ac:dyDescent="0.2">
      <c r="B5622" s="245"/>
      <c r="C5622" s="248"/>
      <c r="D5622" s="249"/>
      <c r="E5622" s="249"/>
      <c r="T5622" s="261"/>
    </row>
    <row r="5623" spans="2:20" x14ac:dyDescent="0.2">
      <c r="B5623" s="245"/>
      <c r="C5623" s="248"/>
      <c r="D5623" s="249"/>
      <c r="E5623" s="249"/>
      <c r="T5623" s="261"/>
    </row>
    <row r="5624" spans="2:20" x14ac:dyDescent="0.2">
      <c r="B5624" s="245"/>
      <c r="C5624" s="248"/>
      <c r="D5624" s="249"/>
      <c r="E5624" s="249"/>
      <c r="T5624" s="261"/>
    </row>
    <row r="5625" spans="2:20" x14ac:dyDescent="0.2">
      <c r="B5625" s="245"/>
      <c r="C5625" s="248"/>
      <c r="D5625" s="249"/>
      <c r="E5625" s="249"/>
      <c r="T5625" s="261"/>
    </row>
    <row r="5626" spans="2:20" x14ac:dyDescent="0.2">
      <c r="B5626" s="245"/>
      <c r="C5626" s="248"/>
      <c r="D5626" s="249"/>
      <c r="E5626" s="249"/>
      <c r="T5626" s="261"/>
    </row>
    <row r="5627" spans="2:20" x14ac:dyDescent="0.2">
      <c r="B5627" s="245"/>
      <c r="C5627" s="248"/>
      <c r="D5627" s="249"/>
      <c r="E5627" s="249"/>
      <c r="T5627" s="261"/>
    </row>
    <row r="5628" spans="2:20" x14ac:dyDescent="0.2">
      <c r="B5628" s="245"/>
      <c r="C5628" s="248"/>
      <c r="D5628" s="249"/>
      <c r="E5628" s="249"/>
      <c r="T5628" s="261"/>
    </row>
    <row r="5629" spans="2:20" x14ac:dyDescent="0.2">
      <c r="B5629" s="245"/>
      <c r="C5629" s="248"/>
      <c r="D5629" s="249"/>
      <c r="E5629" s="249"/>
      <c r="T5629" s="261"/>
    </row>
    <row r="5630" spans="2:20" x14ac:dyDescent="0.2">
      <c r="B5630" s="245"/>
      <c r="C5630" s="248"/>
      <c r="D5630" s="249"/>
      <c r="E5630" s="249"/>
      <c r="T5630" s="261"/>
    </row>
    <row r="5631" spans="2:20" x14ac:dyDescent="0.2">
      <c r="B5631" s="245"/>
      <c r="C5631" s="248"/>
      <c r="D5631" s="249"/>
      <c r="E5631" s="249"/>
      <c r="T5631" s="261"/>
    </row>
    <row r="5632" spans="2:20" x14ac:dyDescent="0.2">
      <c r="B5632" s="245"/>
      <c r="C5632" s="248"/>
      <c r="D5632" s="249"/>
      <c r="E5632" s="249"/>
      <c r="T5632" s="261"/>
    </row>
    <row r="5633" spans="2:20" x14ac:dyDescent="0.2">
      <c r="B5633" s="245"/>
      <c r="C5633" s="248"/>
      <c r="D5633" s="249"/>
      <c r="E5633" s="249"/>
      <c r="T5633" s="261"/>
    </row>
    <row r="5634" spans="2:20" x14ac:dyDescent="0.2">
      <c r="B5634" s="245"/>
      <c r="C5634" s="248"/>
      <c r="D5634" s="249"/>
      <c r="E5634" s="249"/>
      <c r="T5634" s="261"/>
    </row>
    <row r="5635" spans="2:20" x14ac:dyDescent="0.2">
      <c r="B5635" s="245"/>
      <c r="C5635" s="248"/>
      <c r="D5635" s="249"/>
      <c r="E5635" s="249"/>
      <c r="T5635" s="261"/>
    </row>
    <row r="5636" spans="2:20" x14ac:dyDescent="0.2">
      <c r="B5636" s="245"/>
      <c r="C5636" s="248"/>
      <c r="D5636" s="249"/>
      <c r="E5636" s="249"/>
      <c r="T5636" s="261"/>
    </row>
    <row r="5637" spans="2:20" x14ac:dyDescent="0.2">
      <c r="B5637" s="245"/>
      <c r="C5637" s="248"/>
      <c r="D5637" s="249"/>
      <c r="E5637" s="249"/>
      <c r="T5637" s="261"/>
    </row>
    <row r="5638" spans="2:20" x14ac:dyDescent="0.2">
      <c r="B5638" s="245"/>
      <c r="C5638" s="248"/>
      <c r="D5638" s="249"/>
      <c r="E5638" s="249"/>
      <c r="T5638" s="261"/>
    </row>
    <row r="5639" spans="2:20" x14ac:dyDescent="0.2">
      <c r="B5639" s="245"/>
      <c r="C5639" s="248"/>
      <c r="D5639" s="249"/>
      <c r="E5639" s="249"/>
      <c r="T5639" s="261"/>
    </row>
    <row r="5640" spans="2:20" x14ac:dyDescent="0.2">
      <c r="B5640" s="245"/>
      <c r="C5640" s="248"/>
      <c r="D5640" s="249"/>
      <c r="E5640" s="249"/>
      <c r="T5640" s="261"/>
    </row>
    <row r="5641" spans="2:20" x14ac:dyDescent="0.2">
      <c r="B5641" s="245"/>
      <c r="C5641" s="248"/>
      <c r="D5641" s="249"/>
      <c r="E5641" s="249"/>
      <c r="T5641" s="261"/>
    </row>
    <row r="5642" spans="2:20" x14ac:dyDescent="0.2">
      <c r="B5642" s="245"/>
      <c r="C5642" s="248"/>
      <c r="D5642" s="249"/>
      <c r="E5642" s="249"/>
      <c r="T5642" s="261"/>
    </row>
    <row r="5643" spans="2:20" x14ac:dyDescent="0.2">
      <c r="B5643" s="245"/>
      <c r="C5643" s="248"/>
      <c r="D5643" s="249"/>
      <c r="E5643" s="249"/>
      <c r="T5643" s="261"/>
    </row>
    <row r="5644" spans="2:20" x14ac:dyDescent="0.2">
      <c r="B5644" s="245"/>
      <c r="C5644" s="248"/>
      <c r="D5644" s="249"/>
      <c r="E5644" s="249"/>
      <c r="T5644" s="261"/>
    </row>
    <row r="5645" spans="2:20" x14ac:dyDescent="0.2">
      <c r="B5645" s="245"/>
      <c r="C5645" s="248"/>
      <c r="D5645" s="249"/>
      <c r="E5645" s="249"/>
      <c r="T5645" s="261"/>
    </row>
    <row r="5646" spans="2:20" x14ac:dyDescent="0.2">
      <c r="B5646" s="245"/>
      <c r="C5646" s="248"/>
      <c r="D5646" s="249"/>
      <c r="E5646" s="249"/>
      <c r="T5646" s="261"/>
    </row>
    <row r="5647" spans="2:20" x14ac:dyDescent="0.2">
      <c r="B5647" s="245"/>
      <c r="C5647" s="248"/>
      <c r="D5647" s="249"/>
      <c r="E5647" s="249"/>
      <c r="T5647" s="261"/>
    </row>
    <row r="5648" spans="2:20" x14ac:dyDescent="0.2">
      <c r="B5648" s="245"/>
      <c r="C5648" s="248"/>
      <c r="D5648" s="249"/>
      <c r="E5648" s="249"/>
      <c r="T5648" s="261"/>
    </row>
    <row r="5649" spans="2:20" x14ac:dyDescent="0.2">
      <c r="B5649" s="245"/>
      <c r="C5649" s="248"/>
      <c r="D5649" s="249"/>
      <c r="E5649" s="249"/>
      <c r="T5649" s="261"/>
    </row>
    <row r="5650" spans="2:20" x14ac:dyDescent="0.2">
      <c r="B5650" s="245"/>
      <c r="C5650" s="248"/>
      <c r="D5650" s="249"/>
      <c r="E5650" s="249"/>
      <c r="T5650" s="261"/>
    </row>
    <row r="5651" spans="2:20" x14ac:dyDescent="0.2">
      <c r="B5651" s="245"/>
      <c r="C5651" s="248"/>
      <c r="D5651" s="249"/>
      <c r="E5651" s="249"/>
      <c r="T5651" s="261"/>
    </row>
    <row r="5652" spans="2:20" x14ac:dyDescent="0.2">
      <c r="B5652" s="245"/>
      <c r="C5652" s="248"/>
      <c r="D5652" s="249"/>
      <c r="E5652" s="249"/>
      <c r="T5652" s="261"/>
    </row>
    <row r="5653" spans="2:20" x14ac:dyDescent="0.2">
      <c r="B5653" s="245"/>
      <c r="C5653" s="248"/>
      <c r="D5653" s="249"/>
      <c r="E5653" s="249"/>
      <c r="T5653" s="261"/>
    </row>
    <row r="5654" spans="2:20" x14ac:dyDescent="0.2">
      <c r="B5654" s="245"/>
      <c r="C5654" s="248"/>
      <c r="D5654" s="249"/>
      <c r="E5654" s="249"/>
      <c r="T5654" s="261"/>
    </row>
    <row r="5655" spans="2:20" x14ac:dyDescent="0.2">
      <c r="B5655" s="245"/>
      <c r="C5655" s="248"/>
      <c r="D5655" s="249"/>
      <c r="E5655" s="249"/>
      <c r="T5655" s="261"/>
    </row>
    <row r="5656" spans="2:20" x14ac:dyDescent="0.2">
      <c r="B5656" s="245"/>
      <c r="C5656" s="248"/>
      <c r="D5656" s="249"/>
      <c r="E5656" s="249"/>
      <c r="T5656" s="261"/>
    </row>
    <row r="5657" spans="2:20" x14ac:dyDescent="0.2">
      <c r="B5657" s="245"/>
      <c r="C5657" s="248"/>
      <c r="D5657" s="249"/>
      <c r="E5657" s="249"/>
      <c r="T5657" s="261"/>
    </row>
    <row r="5658" spans="2:20" x14ac:dyDescent="0.2">
      <c r="B5658" s="245"/>
      <c r="C5658" s="248"/>
      <c r="D5658" s="249"/>
      <c r="E5658" s="249"/>
      <c r="T5658" s="261"/>
    </row>
    <row r="5659" spans="2:20" x14ac:dyDescent="0.2">
      <c r="B5659" s="245"/>
      <c r="C5659" s="248"/>
      <c r="D5659" s="249"/>
      <c r="E5659" s="249"/>
      <c r="T5659" s="261"/>
    </row>
    <row r="5660" spans="2:20" x14ac:dyDescent="0.2">
      <c r="B5660" s="245"/>
      <c r="C5660" s="248"/>
      <c r="D5660" s="249"/>
      <c r="E5660" s="249"/>
      <c r="T5660" s="261"/>
    </row>
    <row r="5661" spans="2:20" x14ac:dyDescent="0.2">
      <c r="B5661" s="245"/>
      <c r="C5661" s="248"/>
      <c r="D5661" s="249"/>
      <c r="E5661" s="249"/>
      <c r="T5661" s="261"/>
    </row>
    <row r="5662" spans="2:20" x14ac:dyDescent="0.2">
      <c r="B5662" s="245"/>
      <c r="C5662" s="248"/>
      <c r="D5662" s="249"/>
      <c r="E5662" s="249"/>
      <c r="T5662" s="261"/>
    </row>
    <row r="5663" spans="2:20" x14ac:dyDescent="0.2">
      <c r="B5663" s="245"/>
      <c r="C5663" s="248"/>
      <c r="D5663" s="249"/>
      <c r="E5663" s="249"/>
      <c r="T5663" s="261"/>
    </row>
    <row r="5664" spans="2:20" x14ac:dyDescent="0.2">
      <c r="B5664" s="245"/>
      <c r="C5664" s="248"/>
      <c r="D5664" s="249"/>
      <c r="E5664" s="249"/>
      <c r="T5664" s="261"/>
    </row>
    <row r="5665" spans="2:20" x14ac:dyDescent="0.2">
      <c r="B5665" s="245"/>
      <c r="C5665" s="248"/>
      <c r="D5665" s="249"/>
      <c r="E5665" s="249"/>
      <c r="T5665" s="261"/>
    </row>
    <row r="5666" spans="2:20" x14ac:dyDescent="0.2">
      <c r="B5666" s="245"/>
      <c r="C5666" s="248"/>
      <c r="D5666" s="249"/>
      <c r="E5666" s="249"/>
      <c r="T5666" s="261"/>
    </row>
    <row r="5667" spans="2:20" x14ac:dyDescent="0.2">
      <c r="B5667" s="245"/>
      <c r="C5667" s="248"/>
      <c r="D5667" s="249"/>
      <c r="E5667" s="249"/>
      <c r="T5667" s="261"/>
    </row>
    <row r="5668" spans="2:20" x14ac:dyDescent="0.2">
      <c r="B5668" s="245"/>
      <c r="C5668" s="248"/>
      <c r="D5668" s="249"/>
      <c r="E5668" s="249"/>
      <c r="T5668" s="261"/>
    </row>
    <row r="5669" spans="2:20" x14ac:dyDescent="0.2">
      <c r="B5669" s="245"/>
      <c r="C5669" s="248"/>
      <c r="D5669" s="249"/>
      <c r="E5669" s="249"/>
      <c r="T5669" s="261"/>
    </row>
    <row r="5670" spans="2:20" x14ac:dyDescent="0.2">
      <c r="B5670" s="245"/>
      <c r="C5670" s="248"/>
      <c r="D5670" s="249"/>
      <c r="E5670" s="249"/>
      <c r="T5670" s="261"/>
    </row>
    <row r="5671" spans="2:20" x14ac:dyDescent="0.2">
      <c r="B5671" s="245"/>
      <c r="C5671" s="248"/>
      <c r="D5671" s="249"/>
      <c r="E5671" s="249"/>
      <c r="T5671" s="261"/>
    </row>
    <row r="5672" spans="2:20" x14ac:dyDescent="0.2">
      <c r="B5672" s="245"/>
      <c r="C5672" s="248"/>
      <c r="D5672" s="249"/>
      <c r="E5672" s="249"/>
      <c r="T5672" s="261"/>
    </row>
    <row r="5673" spans="2:20" x14ac:dyDescent="0.2">
      <c r="B5673" s="245"/>
      <c r="C5673" s="248"/>
      <c r="D5673" s="249"/>
      <c r="E5673" s="249"/>
      <c r="T5673" s="261"/>
    </row>
    <row r="5674" spans="2:20" x14ac:dyDescent="0.2">
      <c r="B5674" s="245"/>
      <c r="C5674" s="248"/>
      <c r="D5674" s="249"/>
      <c r="E5674" s="249"/>
      <c r="T5674" s="261"/>
    </row>
    <row r="5675" spans="2:20" x14ac:dyDescent="0.2">
      <c r="B5675" s="245"/>
      <c r="C5675" s="248"/>
      <c r="D5675" s="249"/>
      <c r="E5675" s="249"/>
      <c r="T5675" s="261"/>
    </row>
    <row r="5676" spans="2:20" x14ac:dyDescent="0.2">
      <c r="B5676" s="245"/>
      <c r="C5676" s="248"/>
      <c r="D5676" s="249"/>
      <c r="E5676" s="249"/>
      <c r="T5676" s="261"/>
    </row>
    <row r="5677" spans="2:20" x14ac:dyDescent="0.2">
      <c r="B5677" s="245"/>
      <c r="C5677" s="248"/>
      <c r="D5677" s="249"/>
      <c r="E5677" s="249"/>
      <c r="T5677" s="261"/>
    </row>
    <row r="5678" spans="2:20" x14ac:dyDescent="0.2">
      <c r="B5678" s="245"/>
      <c r="C5678" s="248"/>
      <c r="D5678" s="249"/>
      <c r="E5678" s="249"/>
      <c r="T5678" s="261"/>
    </row>
    <row r="5679" spans="2:20" x14ac:dyDescent="0.2">
      <c r="B5679" s="245"/>
      <c r="C5679" s="248"/>
      <c r="D5679" s="249"/>
      <c r="E5679" s="249"/>
      <c r="T5679" s="261"/>
    </row>
    <row r="5680" spans="2:20" x14ac:dyDescent="0.2">
      <c r="B5680" s="245"/>
      <c r="C5680" s="248"/>
      <c r="D5680" s="249"/>
      <c r="E5680" s="249"/>
      <c r="T5680" s="261"/>
    </row>
    <row r="5681" spans="2:20" x14ac:dyDescent="0.2">
      <c r="B5681" s="245"/>
      <c r="C5681" s="248"/>
      <c r="D5681" s="249"/>
      <c r="E5681" s="249"/>
      <c r="T5681" s="261"/>
    </row>
    <row r="5682" spans="2:20" x14ac:dyDescent="0.2">
      <c r="B5682" s="245"/>
      <c r="C5682" s="248"/>
      <c r="D5682" s="249"/>
      <c r="E5682" s="249"/>
      <c r="T5682" s="261"/>
    </row>
    <row r="5683" spans="2:20" x14ac:dyDescent="0.2">
      <c r="B5683" s="245"/>
      <c r="C5683" s="248"/>
      <c r="D5683" s="249"/>
      <c r="E5683" s="249"/>
      <c r="T5683" s="261"/>
    </row>
    <row r="5684" spans="2:20" x14ac:dyDescent="0.2">
      <c r="B5684" s="245"/>
      <c r="C5684" s="248"/>
      <c r="D5684" s="249"/>
      <c r="E5684" s="249"/>
      <c r="T5684" s="261"/>
    </row>
    <row r="5685" spans="2:20" x14ac:dyDescent="0.2">
      <c r="B5685" s="245"/>
      <c r="C5685" s="248"/>
      <c r="D5685" s="249"/>
      <c r="E5685" s="249"/>
      <c r="T5685" s="261"/>
    </row>
    <row r="5686" spans="2:20" x14ac:dyDescent="0.2">
      <c r="B5686" s="245"/>
      <c r="C5686" s="248"/>
      <c r="D5686" s="249"/>
      <c r="E5686" s="249"/>
      <c r="T5686" s="261"/>
    </row>
    <row r="5687" spans="2:20" x14ac:dyDescent="0.2">
      <c r="B5687" s="245"/>
      <c r="C5687" s="248"/>
      <c r="D5687" s="249"/>
      <c r="E5687" s="249"/>
      <c r="T5687" s="261"/>
    </row>
    <row r="5688" spans="2:20" x14ac:dyDescent="0.2">
      <c r="B5688" s="245"/>
      <c r="C5688" s="248"/>
      <c r="D5688" s="249"/>
      <c r="E5688" s="249"/>
      <c r="T5688" s="261"/>
    </row>
    <row r="5689" spans="2:20" x14ac:dyDescent="0.2">
      <c r="B5689" s="245"/>
      <c r="C5689" s="248"/>
      <c r="D5689" s="249"/>
      <c r="E5689" s="249"/>
      <c r="T5689" s="261"/>
    </row>
    <row r="5690" spans="2:20" x14ac:dyDescent="0.2">
      <c r="B5690" s="245"/>
      <c r="C5690" s="248"/>
      <c r="D5690" s="249"/>
      <c r="E5690" s="249"/>
      <c r="T5690" s="261"/>
    </row>
    <row r="5691" spans="2:20" x14ac:dyDescent="0.2">
      <c r="B5691" s="245"/>
      <c r="C5691" s="248"/>
      <c r="D5691" s="249"/>
      <c r="E5691" s="249"/>
      <c r="T5691" s="261"/>
    </row>
    <row r="5692" spans="2:20" x14ac:dyDescent="0.2">
      <c r="B5692" s="245"/>
      <c r="C5692" s="248"/>
      <c r="D5692" s="249"/>
      <c r="E5692" s="249"/>
      <c r="T5692" s="261"/>
    </row>
    <row r="5693" spans="2:20" x14ac:dyDescent="0.2">
      <c r="B5693" s="245"/>
      <c r="C5693" s="248"/>
      <c r="D5693" s="249"/>
      <c r="E5693" s="249"/>
      <c r="T5693" s="261"/>
    </row>
    <row r="5694" spans="2:20" x14ac:dyDescent="0.2">
      <c r="B5694" s="245"/>
      <c r="C5694" s="248"/>
      <c r="D5694" s="249"/>
      <c r="E5694" s="249"/>
      <c r="T5694" s="261"/>
    </row>
    <row r="5695" spans="2:20" x14ac:dyDescent="0.2">
      <c r="B5695" s="245"/>
      <c r="C5695" s="248"/>
      <c r="D5695" s="249"/>
      <c r="E5695" s="249"/>
      <c r="T5695" s="261"/>
    </row>
    <row r="5696" spans="2:20" x14ac:dyDescent="0.2">
      <c r="B5696" s="245"/>
      <c r="C5696" s="248"/>
      <c r="D5696" s="249"/>
      <c r="E5696" s="249"/>
      <c r="T5696" s="261"/>
    </row>
    <row r="5697" spans="2:20" x14ac:dyDescent="0.2">
      <c r="B5697" s="245"/>
      <c r="C5697" s="248"/>
      <c r="D5697" s="249"/>
      <c r="E5697" s="249"/>
      <c r="T5697" s="261"/>
    </row>
    <row r="5698" spans="2:20" x14ac:dyDescent="0.2">
      <c r="B5698" s="245"/>
      <c r="C5698" s="248"/>
      <c r="D5698" s="249"/>
      <c r="E5698" s="249"/>
      <c r="T5698" s="261"/>
    </row>
    <row r="5699" spans="2:20" x14ac:dyDescent="0.2">
      <c r="B5699" s="245"/>
      <c r="C5699" s="248"/>
      <c r="D5699" s="249"/>
      <c r="E5699" s="249"/>
      <c r="T5699" s="261"/>
    </row>
    <row r="5700" spans="2:20" x14ac:dyDescent="0.2">
      <c r="B5700" s="245"/>
      <c r="C5700" s="248"/>
      <c r="D5700" s="249"/>
      <c r="E5700" s="249"/>
      <c r="T5700" s="261"/>
    </row>
    <row r="5701" spans="2:20" x14ac:dyDescent="0.2">
      <c r="B5701" s="245"/>
      <c r="C5701" s="248"/>
      <c r="D5701" s="249"/>
      <c r="E5701" s="249"/>
      <c r="T5701" s="261"/>
    </row>
    <row r="5702" spans="2:20" x14ac:dyDescent="0.2">
      <c r="B5702" s="245"/>
      <c r="C5702" s="248"/>
      <c r="D5702" s="249"/>
      <c r="E5702" s="249"/>
      <c r="T5702" s="261"/>
    </row>
    <row r="5703" spans="2:20" x14ac:dyDescent="0.2">
      <c r="B5703" s="245"/>
      <c r="C5703" s="248"/>
      <c r="D5703" s="249"/>
      <c r="E5703" s="249"/>
      <c r="T5703" s="261"/>
    </row>
    <row r="5704" spans="2:20" x14ac:dyDescent="0.2">
      <c r="B5704" s="245"/>
      <c r="C5704" s="248"/>
      <c r="D5704" s="249"/>
      <c r="E5704" s="249"/>
      <c r="T5704" s="261"/>
    </row>
    <row r="5705" spans="2:20" x14ac:dyDescent="0.2">
      <c r="B5705" s="245"/>
      <c r="C5705" s="248"/>
      <c r="D5705" s="249"/>
      <c r="E5705" s="249"/>
      <c r="T5705" s="261"/>
    </row>
    <row r="5706" spans="2:20" x14ac:dyDescent="0.2">
      <c r="B5706" s="245"/>
      <c r="C5706" s="248"/>
      <c r="D5706" s="249"/>
      <c r="E5706" s="249"/>
      <c r="T5706" s="261"/>
    </row>
    <row r="5707" spans="2:20" x14ac:dyDescent="0.2">
      <c r="B5707" s="245"/>
      <c r="C5707" s="248"/>
      <c r="D5707" s="249"/>
      <c r="E5707" s="249"/>
      <c r="T5707" s="261"/>
    </row>
    <row r="5708" spans="2:20" x14ac:dyDescent="0.2">
      <c r="B5708" s="245"/>
      <c r="C5708" s="248"/>
      <c r="D5708" s="249"/>
      <c r="E5708" s="249"/>
      <c r="T5708" s="261"/>
    </row>
    <row r="5709" spans="2:20" x14ac:dyDescent="0.2">
      <c r="B5709" s="245"/>
      <c r="C5709" s="248"/>
      <c r="D5709" s="249"/>
      <c r="E5709" s="249"/>
      <c r="T5709" s="261"/>
    </row>
    <row r="5710" spans="2:20" x14ac:dyDescent="0.2">
      <c r="B5710" s="245"/>
      <c r="C5710" s="248"/>
      <c r="D5710" s="249"/>
      <c r="E5710" s="249"/>
      <c r="T5710" s="261"/>
    </row>
    <row r="5711" spans="2:20" x14ac:dyDescent="0.2">
      <c r="B5711" s="245"/>
      <c r="C5711" s="248"/>
      <c r="D5711" s="249"/>
      <c r="E5711" s="249"/>
      <c r="T5711" s="261"/>
    </row>
    <row r="5712" spans="2:20" x14ac:dyDescent="0.2">
      <c r="B5712" s="245"/>
      <c r="C5712" s="248"/>
      <c r="D5712" s="249"/>
      <c r="E5712" s="249"/>
      <c r="T5712" s="261"/>
    </row>
    <row r="5713" spans="2:20" x14ac:dyDescent="0.2">
      <c r="B5713" s="245"/>
      <c r="C5713" s="248"/>
      <c r="D5713" s="249"/>
      <c r="E5713" s="249"/>
      <c r="T5713" s="261"/>
    </row>
    <row r="5714" spans="2:20" x14ac:dyDescent="0.2">
      <c r="B5714" s="245"/>
      <c r="C5714" s="248"/>
      <c r="D5714" s="249"/>
      <c r="E5714" s="249"/>
      <c r="T5714" s="261"/>
    </row>
    <row r="5715" spans="2:20" x14ac:dyDescent="0.2">
      <c r="B5715" s="245"/>
      <c r="C5715" s="248"/>
      <c r="D5715" s="249"/>
      <c r="E5715" s="249"/>
      <c r="T5715" s="261"/>
    </row>
    <row r="5716" spans="2:20" x14ac:dyDescent="0.2">
      <c r="B5716" s="245"/>
      <c r="C5716" s="248"/>
      <c r="D5716" s="249"/>
      <c r="E5716" s="249"/>
      <c r="T5716" s="261"/>
    </row>
    <row r="5717" spans="2:20" x14ac:dyDescent="0.2">
      <c r="B5717" s="245"/>
      <c r="C5717" s="248"/>
      <c r="D5717" s="249"/>
      <c r="E5717" s="249"/>
      <c r="T5717" s="261"/>
    </row>
    <row r="5718" spans="2:20" x14ac:dyDescent="0.2">
      <c r="B5718" s="245"/>
      <c r="C5718" s="248"/>
      <c r="D5718" s="249"/>
      <c r="E5718" s="249"/>
      <c r="T5718" s="261"/>
    </row>
    <row r="5719" spans="2:20" x14ac:dyDescent="0.2">
      <c r="B5719" s="245"/>
      <c r="C5719" s="248"/>
      <c r="D5719" s="249"/>
      <c r="E5719" s="249"/>
      <c r="T5719" s="261"/>
    </row>
    <row r="5720" spans="2:20" x14ac:dyDescent="0.2">
      <c r="B5720" s="245"/>
      <c r="C5720" s="248"/>
      <c r="D5720" s="249"/>
      <c r="E5720" s="249"/>
      <c r="T5720" s="261"/>
    </row>
    <row r="5721" spans="2:20" x14ac:dyDescent="0.2">
      <c r="B5721" s="245"/>
      <c r="C5721" s="248"/>
      <c r="D5721" s="249"/>
      <c r="E5721" s="249"/>
      <c r="T5721" s="261"/>
    </row>
    <row r="5722" spans="2:20" x14ac:dyDescent="0.2">
      <c r="B5722" s="245"/>
      <c r="C5722" s="248"/>
      <c r="D5722" s="249"/>
      <c r="E5722" s="249"/>
      <c r="T5722" s="261"/>
    </row>
    <row r="5723" spans="2:20" x14ac:dyDescent="0.2">
      <c r="B5723" s="245"/>
      <c r="C5723" s="248"/>
      <c r="D5723" s="249"/>
      <c r="E5723" s="249"/>
      <c r="T5723" s="261"/>
    </row>
    <row r="5724" spans="2:20" x14ac:dyDescent="0.2">
      <c r="B5724" s="245"/>
      <c r="C5724" s="248"/>
      <c r="D5724" s="249"/>
      <c r="E5724" s="249"/>
      <c r="T5724" s="261"/>
    </row>
    <row r="5725" spans="2:20" x14ac:dyDescent="0.2">
      <c r="B5725" s="245"/>
      <c r="C5725" s="248"/>
      <c r="D5725" s="249"/>
      <c r="E5725" s="249"/>
      <c r="T5725" s="261"/>
    </row>
    <row r="5726" spans="2:20" x14ac:dyDescent="0.2">
      <c r="B5726" s="245"/>
      <c r="C5726" s="248"/>
      <c r="D5726" s="249"/>
      <c r="E5726" s="249"/>
      <c r="T5726" s="261"/>
    </row>
    <row r="5727" spans="2:20" x14ac:dyDescent="0.2">
      <c r="B5727" s="245"/>
      <c r="C5727" s="248"/>
      <c r="D5727" s="249"/>
      <c r="E5727" s="249"/>
      <c r="T5727" s="261"/>
    </row>
    <row r="5728" spans="2:20" x14ac:dyDescent="0.2">
      <c r="B5728" s="245"/>
      <c r="C5728" s="248"/>
      <c r="D5728" s="249"/>
      <c r="E5728" s="249"/>
      <c r="T5728" s="261"/>
    </row>
    <row r="5729" spans="2:20" x14ac:dyDescent="0.2">
      <c r="B5729" s="245"/>
      <c r="C5729" s="248"/>
      <c r="D5729" s="249"/>
      <c r="E5729" s="249"/>
      <c r="T5729" s="261"/>
    </row>
    <row r="5730" spans="2:20" x14ac:dyDescent="0.2">
      <c r="B5730" s="245"/>
      <c r="C5730" s="248"/>
      <c r="D5730" s="249"/>
      <c r="E5730" s="249"/>
      <c r="T5730" s="261"/>
    </row>
    <row r="5731" spans="2:20" x14ac:dyDescent="0.2">
      <c r="B5731" s="245"/>
      <c r="C5731" s="248"/>
      <c r="D5731" s="249"/>
      <c r="E5731" s="249"/>
      <c r="T5731" s="261"/>
    </row>
    <row r="5732" spans="2:20" x14ac:dyDescent="0.2">
      <c r="B5732" s="245"/>
      <c r="C5732" s="248"/>
      <c r="D5732" s="249"/>
      <c r="E5732" s="249"/>
      <c r="T5732" s="261"/>
    </row>
    <row r="5733" spans="2:20" x14ac:dyDescent="0.2">
      <c r="B5733" s="245"/>
      <c r="C5733" s="248"/>
      <c r="D5733" s="249"/>
      <c r="E5733" s="249"/>
      <c r="T5733" s="261"/>
    </row>
    <row r="5734" spans="2:20" x14ac:dyDescent="0.2">
      <c r="B5734" s="245"/>
      <c r="C5734" s="248"/>
      <c r="D5734" s="249"/>
      <c r="E5734" s="249"/>
      <c r="T5734" s="261"/>
    </row>
    <row r="5735" spans="2:20" x14ac:dyDescent="0.2">
      <c r="B5735" s="245"/>
      <c r="C5735" s="248"/>
      <c r="D5735" s="249"/>
      <c r="E5735" s="249"/>
      <c r="T5735" s="261"/>
    </row>
    <row r="5736" spans="2:20" x14ac:dyDescent="0.2">
      <c r="B5736" s="245"/>
      <c r="C5736" s="248"/>
      <c r="D5736" s="249"/>
      <c r="E5736" s="249"/>
      <c r="T5736" s="261"/>
    </row>
    <row r="5737" spans="2:20" x14ac:dyDescent="0.2">
      <c r="B5737" s="245"/>
      <c r="C5737" s="248"/>
      <c r="D5737" s="249"/>
      <c r="E5737" s="249"/>
      <c r="T5737" s="261"/>
    </row>
    <row r="5738" spans="2:20" x14ac:dyDescent="0.2">
      <c r="B5738" s="245"/>
      <c r="C5738" s="248"/>
      <c r="D5738" s="249"/>
      <c r="E5738" s="249"/>
      <c r="T5738" s="261"/>
    </row>
    <row r="5739" spans="2:20" x14ac:dyDescent="0.2">
      <c r="B5739" s="245"/>
      <c r="C5739" s="248"/>
      <c r="D5739" s="249"/>
      <c r="E5739" s="249"/>
      <c r="T5739" s="261"/>
    </row>
    <row r="5740" spans="2:20" x14ac:dyDescent="0.2">
      <c r="B5740" s="245"/>
      <c r="C5740" s="248"/>
      <c r="D5740" s="249"/>
      <c r="E5740" s="249"/>
      <c r="T5740" s="261"/>
    </row>
    <row r="5741" spans="2:20" x14ac:dyDescent="0.2">
      <c r="B5741" s="245"/>
      <c r="C5741" s="248"/>
      <c r="D5741" s="249"/>
      <c r="E5741" s="249"/>
      <c r="T5741" s="261"/>
    </row>
    <row r="5742" spans="2:20" x14ac:dyDescent="0.2">
      <c r="B5742" s="245"/>
      <c r="C5742" s="248"/>
      <c r="D5742" s="249"/>
      <c r="E5742" s="249"/>
      <c r="T5742" s="261"/>
    </row>
    <row r="5743" spans="2:20" x14ac:dyDescent="0.2">
      <c r="B5743" s="245"/>
      <c r="C5743" s="248"/>
      <c r="D5743" s="249"/>
      <c r="E5743" s="249"/>
      <c r="T5743" s="261"/>
    </row>
    <row r="5744" spans="2:20" x14ac:dyDescent="0.2">
      <c r="B5744" s="245"/>
      <c r="C5744" s="248"/>
      <c r="D5744" s="249"/>
      <c r="E5744" s="249"/>
      <c r="T5744" s="261"/>
    </row>
    <row r="5745" spans="2:20" x14ac:dyDescent="0.2">
      <c r="B5745" s="245"/>
      <c r="C5745" s="248"/>
      <c r="D5745" s="249"/>
      <c r="E5745" s="249"/>
      <c r="T5745" s="261"/>
    </row>
    <row r="5746" spans="2:20" x14ac:dyDescent="0.2">
      <c r="B5746" s="245"/>
      <c r="C5746" s="248"/>
      <c r="D5746" s="249"/>
      <c r="E5746" s="249"/>
      <c r="T5746" s="261"/>
    </row>
    <row r="5747" spans="2:20" x14ac:dyDescent="0.2">
      <c r="B5747" s="245"/>
      <c r="C5747" s="248"/>
      <c r="D5747" s="249"/>
      <c r="E5747" s="249"/>
      <c r="T5747" s="261"/>
    </row>
    <row r="5748" spans="2:20" x14ac:dyDescent="0.2">
      <c r="B5748" s="245"/>
      <c r="C5748" s="248"/>
      <c r="D5748" s="249"/>
      <c r="E5748" s="249"/>
      <c r="T5748" s="261"/>
    </row>
    <row r="5749" spans="2:20" x14ac:dyDescent="0.2">
      <c r="B5749" s="245"/>
      <c r="C5749" s="248"/>
      <c r="D5749" s="249"/>
      <c r="E5749" s="249"/>
      <c r="T5749" s="261"/>
    </row>
    <row r="5750" spans="2:20" x14ac:dyDescent="0.2">
      <c r="B5750" s="245"/>
      <c r="C5750" s="248"/>
      <c r="D5750" s="249"/>
      <c r="E5750" s="249"/>
      <c r="T5750" s="261"/>
    </row>
    <row r="5751" spans="2:20" x14ac:dyDescent="0.2">
      <c r="B5751" s="245"/>
      <c r="C5751" s="248"/>
      <c r="D5751" s="249"/>
      <c r="E5751" s="249"/>
      <c r="T5751" s="261"/>
    </row>
    <row r="5752" spans="2:20" x14ac:dyDescent="0.2">
      <c r="B5752" s="245"/>
      <c r="C5752" s="248"/>
      <c r="D5752" s="249"/>
      <c r="E5752" s="249"/>
      <c r="T5752" s="261"/>
    </row>
    <row r="5753" spans="2:20" x14ac:dyDescent="0.2">
      <c r="B5753" s="245"/>
      <c r="C5753" s="248"/>
      <c r="D5753" s="249"/>
      <c r="E5753" s="249"/>
      <c r="T5753" s="261"/>
    </row>
    <row r="5754" spans="2:20" x14ac:dyDescent="0.2">
      <c r="B5754" s="245"/>
      <c r="C5754" s="248"/>
      <c r="D5754" s="249"/>
      <c r="E5754" s="249"/>
      <c r="T5754" s="261"/>
    </row>
    <row r="5755" spans="2:20" x14ac:dyDescent="0.2">
      <c r="B5755" s="245"/>
      <c r="C5755" s="248"/>
      <c r="D5755" s="249"/>
      <c r="E5755" s="249"/>
      <c r="T5755" s="261"/>
    </row>
    <row r="5756" spans="2:20" x14ac:dyDescent="0.2">
      <c r="B5756" s="245"/>
      <c r="C5756" s="248"/>
      <c r="D5756" s="249"/>
      <c r="E5756" s="249"/>
      <c r="T5756" s="261"/>
    </row>
    <row r="5757" spans="2:20" x14ac:dyDescent="0.2">
      <c r="B5757" s="245"/>
      <c r="C5757" s="248"/>
      <c r="D5757" s="249"/>
      <c r="E5757" s="249"/>
      <c r="T5757" s="261"/>
    </row>
    <row r="5758" spans="2:20" x14ac:dyDescent="0.2">
      <c r="B5758" s="245"/>
      <c r="C5758" s="248"/>
      <c r="D5758" s="249"/>
      <c r="E5758" s="249"/>
      <c r="T5758" s="261"/>
    </row>
    <row r="5759" spans="2:20" x14ac:dyDescent="0.2">
      <c r="B5759" s="245"/>
      <c r="C5759" s="248"/>
      <c r="D5759" s="249"/>
      <c r="E5759" s="249"/>
      <c r="T5759" s="261"/>
    </row>
    <row r="5760" spans="2:20" x14ac:dyDescent="0.2">
      <c r="B5760" s="245"/>
      <c r="C5760" s="248"/>
      <c r="D5760" s="249"/>
      <c r="E5760" s="249"/>
      <c r="T5760" s="261"/>
    </row>
    <row r="5761" spans="2:20" x14ac:dyDescent="0.2">
      <c r="B5761" s="245"/>
      <c r="C5761" s="248"/>
      <c r="D5761" s="249"/>
      <c r="E5761" s="249"/>
      <c r="T5761" s="261"/>
    </row>
    <row r="5762" spans="2:20" x14ac:dyDescent="0.2">
      <c r="B5762" s="245"/>
      <c r="C5762" s="248"/>
      <c r="D5762" s="249"/>
      <c r="E5762" s="249"/>
      <c r="T5762" s="261"/>
    </row>
    <row r="5763" spans="2:20" x14ac:dyDescent="0.2">
      <c r="B5763" s="245"/>
      <c r="C5763" s="248"/>
      <c r="D5763" s="249"/>
      <c r="E5763" s="249"/>
      <c r="T5763" s="261"/>
    </row>
    <row r="5764" spans="2:20" x14ac:dyDescent="0.2">
      <c r="B5764" s="245"/>
      <c r="C5764" s="248"/>
      <c r="D5764" s="249"/>
      <c r="E5764" s="249"/>
      <c r="T5764" s="261"/>
    </row>
    <row r="5765" spans="2:20" x14ac:dyDescent="0.2">
      <c r="B5765" s="245"/>
      <c r="C5765" s="248"/>
      <c r="D5765" s="249"/>
      <c r="E5765" s="249"/>
      <c r="T5765" s="261"/>
    </row>
    <row r="5766" spans="2:20" x14ac:dyDescent="0.2">
      <c r="B5766" s="245"/>
      <c r="C5766" s="248"/>
      <c r="D5766" s="249"/>
      <c r="E5766" s="249"/>
      <c r="T5766" s="261"/>
    </row>
    <row r="5767" spans="2:20" x14ac:dyDescent="0.2">
      <c r="B5767" s="245"/>
      <c r="C5767" s="248"/>
      <c r="D5767" s="249"/>
      <c r="E5767" s="249"/>
      <c r="T5767" s="261"/>
    </row>
    <row r="5768" spans="2:20" x14ac:dyDescent="0.2">
      <c r="B5768" s="245"/>
      <c r="C5768" s="248"/>
      <c r="D5768" s="249"/>
      <c r="E5768" s="249"/>
      <c r="T5768" s="261"/>
    </row>
    <row r="5769" spans="2:20" x14ac:dyDescent="0.2">
      <c r="B5769" s="245"/>
      <c r="C5769" s="248"/>
      <c r="D5769" s="249"/>
      <c r="E5769" s="249"/>
      <c r="T5769" s="261"/>
    </row>
    <row r="5770" spans="2:20" x14ac:dyDescent="0.2">
      <c r="B5770" s="245"/>
      <c r="C5770" s="248"/>
      <c r="D5770" s="249"/>
      <c r="E5770" s="249"/>
      <c r="T5770" s="261"/>
    </row>
    <row r="5771" spans="2:20" x14ac:dyDescent="0.2">
      <c r="B5771" s="245"/>
      <c r="C5771" s="248"/>
      <c r="D5771" s="249"/>
      <c r="E5771" s="249"/>
      <c r="T5771" s="261"/>
    </row>
    <row r="5772" spans="2:20" x14ac:dyDescent="0.2">
      <c r="B5772" s="245"/>
      <c r="C5772" s="248"/>
      <c r="D5772" s="249"/>
      <c r="E5772" s="249"/>
      <c r="T5772" s="261"/>
    </row>
    <row r="5773" spans="2:20" x14ac:dyDescent="0.2">
      <c r="B5773" s="245"/>
      <c r="C5773" s="248"/>
      <c r="D5773" s="249"/>
      <c r="E5773" s="249"/>
      <c r="T5773" s="261"/>
    </row>
    <row r="5774" spans="2:20" x14ac:dyDescent="0.2">
      <c r="B5774" s="245"/>
      <c r="C5774" s="248"/>
      <c r="D5774" s="249"/>
      <c r="E5774" s="249"/>
      <c r="T5774" s="261"/>
    </row>
    <row r="5775" spans="2:20" x14ac:dyDescent="0.2">
      <c r="B5775" s="245"/>
      <c r="C5775" s="248"/>
      <c r="D5775" s="249"/>
      <c r="E5775" s="249"/>
      <c r="T5775" s="261"/>
    </row>
    <row r="5776" spans="2:20" x14ac:dyDescent="0.2">
      <c r="B5776" s="245"/>
      <c r="C5776" s="248"/>
      <c r="D5776" s="249"/>
      <c r="E5776" s="249"/>
      <c r="T5776" s="261"/>
    </row>
    <row r="5777" spans="2:20" x14ac:dyDescent="0.2">
      <c r="B5777" s="245"/>
      <c r="C5777" s="248"/>
      <c r="D5777" s="249"/>
      <c r="E5777" s="249"/>
      <c r="T5777" s="261"/>
    </row>
    <row r="5778" spans="2:20" x14ac:dyDescent="0.2">
      <c r="B5778" s="245"/>
      <c r="C5778" s="248"/>
      <c r="D5778" s="249"/>
      <c r="E5778" s="249"/>
      <c r="T5778" s="261"/>
    </row>
    <row r="5779" spans="2:20" x14ac:dyDescent="0.2">
      <c r="B5779" s="245"/>
      <c r="C5779" s="248"/>
      <c r="D5779" s="249"/>
      <c r="E5779" s="249"/>
      <c r="T5779" s="261"/>
    </row>
    <row r="5780" spans="2:20" x14ac:dyDescent="0.2">
      <c r="B5780" s="245"/>
      <c r="C5780" s="248"/>
      <c r="D5780" s="249"/>
      <c r="E5780" s="249"/>
      <c r="T5780" s="261"/>
    </row>
    <row r="5781" spans="2:20" x14ac:dyDescent="0.2">
      <c r="B5781" s="245"/>
      <c r="C5781" s="248"/>
      <c r="D5781" s="249"/>
      <c r="E5781" s="249"/>
      <c r="T5781" s="261"/>
    </row>
    <row r="5782" spans="2:20" x14ac:dyDescent="0.2">
      <c r="B5782" s="245"/>
      <c r="C5782" s="248"/>
      <c r="D5782" s="249"/>
      <c r="E5782" s="249"/>
      <c r="T5782" s="261"/>
    </row>
    <row r="5783" spans="2:20" x14ac:dyDescent="0.2">
      <c r="B5783" s="245"/>
      <c r="C5783" s="248"/>
      <c r="D5783" s="249"/>
      <c r="E5783" s="249"/>
      <c r="T5783" s="261"/>
    </row>
    <row r="5784" spans="2:20" x14ac:dyDescent="0.2">
      <c r="B5784" s="245"/>
      <c r="C5784" s="248"/>
      <c r="D5784" s="249"/>
      <c r="E5784" s="249"/>
      <c r="T5784" s="261"/>
    </row>
    <row r="5785" spans="2:20" x14ac:dyDescent="0.2">
      <c r="B5785" s="245"/>
      <c r="C5785" s="248"/>
      <c r="D5785" s="249"/>
      <c r="E5785" s="249"/>
      <c r="T5785" s="261"/>
    </row>
    <row r="5786" spans="2:20" x14ac:dyDescent="0.2">
      <c r="B5786" s="245"/>
      <c r="C5786" s="248"/>
      <c r="D5786" s="249"/>
      <c r="E5786" s="249"/>
      <c r="T5786" s="261"/>
    </row>
    <row r="5787" spans="2:20" x14ac:dyDescent="0.2">
      <c r="B5787" s="245"/>
      <c r="C5787" s="248"/>
      <c r="D5787" s="249"/>
      <c r="E5787" s="249"/>
      <c r="T5787" s="261"/>
    </row>
    <row r="5788" spans="2:20" x14ac:dyDescent="0.2">
      <c r="B5788" s="245"/>
      <c r="C5788" s="248"/>
      <c r="D5788" s="249"/>
      <c r="E5788" s="249"/>
      <c r="T5788" s="261"/>
    </row>
    <row r="5789" spans="2:20" x14ac:dyDescent="0.2">
      <c r="B5789" s="245"/>
      <c r="C5789" s="248"/>
      <c r="D5789" s="249"/>
      <c r="E5789" s="249"/>
      <c r="T5789" s="261"/>
    </row>
    <row r="5790" spans="2:20" x14ac:dyDescent="0.2">
      <c r="B5790" s="245"/>
      <c r="C5790" s="248"/>
      <c r="D5790" s="249"/>
      <c r="E5790" s="249"/>
      <c r="T5790" s="261"/>
    </row>
    <row r="5791" spans="2:20" x14ac:dyDescent="0.2">
      <c r="B5791" s="245"/>
      <c r="C5791" s="248"/>
      <c r="D5791" s="249"/>
      <c r="E5791" s="249"/>
      <c r="T5791" s="261"/>
    </row>
    <row r="5792" spans="2:20" x14ac:dyDescent="0.2">
      <c r="B5792" s="245"/>
      <c r="C5792" s="248"/>
      <c r="D5792" s="249"/>
      <c r="E5792" s="249"/>
      <c r="T5792" s="261"/>
    </row>
    <row r="5793" spans="2:20" x14ac:dyDescent="0.2">
      <c r="B5793" s="245"/>
      <c r="C5793" s="248"/>
      <c r="D5793" s="249"/>
      <c r="E5793" s="249"/>
      <c r="T5793" s="261"/>
    </row>
    <row r="5794" spans="2:20" x14ac:dyDescent="0.2">
      <c r="B5794" s="245"/>
      <c r="C5794" s="248"/>
      <c r="D5794" s="249"/>
      <c r="E5794" s="249"/>
      <c r="T5794" s="261"/>
    </row>
    <row r="5795" spans="2:20" x14ac:dyDescent="0.2">
      <c r="B5795" s="245"/>
      <c r="C5795" s="248"/>
      <c r="D5795" s="249"/>
      <c r="E5795" s="249"/>
      <c r="T5795" s="261"/>
    </row>
    <row r="5796" spans="2:20" x14ac:dyDescent="0.2">
      <c r="B5796" s="245"/>
      <c r="C5796" s="248"/>
      <c r="D5796" s="249"/>
      <c r="E5796" s="249"/>
      <c r="T5796" s="261"/>
    </row>
    <row r="5797" spans="2:20" x14ac:dyDescent="0.2">
      <c r="B5797" s="245"/>
      <c r="C5797" s="248"/>
      <c r="D5797" s="249"/>
      <c r="E5797" s="249"/>
      <c r="T5797" s="261"/>
    </row>
    <row r="5798" spans="2:20" x14ac:dyDescent="0.2">
      <c r="B5798" s="245"/>
      <c r="C5798" s="248"/>
      <c r="D5798" s="249"/>
      <c r="E5798" s="249"/>
      <c r="T5798" s="261"/>
    </row>
    <row r="5799" spans="2:20" x14ac:dyDescent="0.2">
      <c r="B5799" s="245"/>
      <c r="C5799" s="248"/>
      <c r="D5799" s="249"/>
      <c r="E5799" s="249"/>
      <c r="T5799" s="261"/>
    </row>
    <row r="5800" spans="2:20" x14ac:dyDescent="0.2">
      <c r="B5800" s="245"/>
      <c r="C5800" s="248"/>
      <c r="D5800" s="249"/>
      <c r="E5800" s="249"/>
      <c r="T5800" s="261"/>
    </row>
    <row r="5801" spans="2:20" x14ac:dyDescent="0.2">
      <c r="B5801" s="245"/>
      <c r="C5801" s="248"/>
      <c r="D5801" s="249"/>
      <c r="E5801" s="249"/>
      <c r="T5801" s="261"/>
    </row>
    <row r="5802" spans="2:20" x14ac:dyDescent="0.2">
      <c r="B5802" s="245"/>
      <c r="C5802" s="248"/>
      <c r="D5802" s="249"/>
      <c r="E5802" s="249"/>
      <c r="T5802" s="261"/>
    </row>
    <row r="5803" spans="2:20" x14ac:dyDescent="0.2">
      <c r="B5803" s="245"/>
      <c r="C5803" s="248"/>
      <c r="D5803" s="249"/>
      <c r="E5803" s="249"/>
      <c r="T5803" s="261"/>
    </row>
    <row r="5804" spans="2:20" x14ac:dyDescent="0.2">
      <c r="B5804" s="245"/>
      <c r="C5804" s="248"/>
      <c r="D5804" s="249"/>
      <c r="E5804" s="249"/>
      <c r="T5804" s="261"/>
    </row>
    <row r="5805" spans="2:20" x14ac:dyDescent="0.2">
      <c r="B5805" s="245"/>
      <c r="C5805" s="248"/>
      <c r="D5805" s="249"/>
      <c r="E5805" s="249"/>
      <c r="T5805" s="261"/>
    </row>
    <row r="5806" spans="2:20" x14ac:dyDescent="0.2">
      <c r="B5806" s="245"/>
      <c r="C5806" s="248"/>
      <c r="D5806" s="249"/>
      <c r="E5806" s="249"/>
      <c r="T5806" s="261"/>
    </row>
    <row r="5807" spans="2:20" x14ac:dyDescent="0.2">
      <c r="B5807" s="245"/>
      <c r="C5807" s="248"/>
      <c r="D5807" s="249"/>
      <c r="E5807" s="249"/>
      <c r="T5807" s="261"/>
    </row>
    <row r="5808" spans="2:20" x14ac:dyDescent="0.2">
      <c r="B5808" s="245"/>
      <c r="C5808" s="248"/>
      <c r="D5808" s="249"/>
      <c r="E5808" s="249"/>
      <c r="T5808" s="261"/>
    </row>
    <row r="5809" spans="2:20" x14ac:dyDescent="0.2">
      <c r="B5809" s="245"/>
      <c r="C5809" s="248"/>
      <c r="D5809" s="249"/>
      <c r="E5809" s="249"/>
      <c r="T5809" s="261"/>
    </row>
    <row r="5810" spans="2:20" x14ac:dyDescent="0.2">
      <c r="B5810" s="245"/>
      <c r="C5810" s="248"/>
      <c r="D5810" s="249"/>
      <c r="E5810" s="249"/>
      <c r="T5810" s="261"/>
    </row>
    <row r="5811" spans="2:20" x14ac:dyDescent="0.2">
      <c r="B5811" s="245"/>
      <c r="C5811" s="248"/>
      <c r="D5811" s="249"/>
      <c r="E5811" s="249"/>
      <c r="T5811" s="261"/>
    </row>
    <row r="5812" spans="2:20" x14ac:dyDescent="0.2">
      <c r="B5812" s="245"/>
      <c r="C5812" s="248"/>
      <c r="D5812" s="249"/>
      <c r="E5812" s="249"/>
      <c r="T5812" s="261"/>
    </row>
    <row r="5813" spans="2:20" x14ac:dyDescent="0.2">
      <c r="B5813" s="245"/>
      <c r="C5813" s="248"/>
      <c r="D5813" s="249"/>
      <c r="E5813" s="249"/>
      <c r="T5813" s="261"/>
    </row>
    <row r="5814" spans="2:20" x14ac:dyDescent="0.2">
      <c r="B5814" s="245"/>
      <c r="C5814" s="248"/>
      <c r="D5814" s="249"/>
      <c r="E5814" s="249"/>
      <c r="T5814" s="261"/>
    </row>
    <row r="5815" spans="2:20" x14ac:dyDescent="0.2">
      <c r="B5815" s="245"/>
      <c r="C5815" s="248"/>
      <c r="D5815" s="249"/>
      <c r="E5815" s="249"/>
      <c r="T5815" s="261"/>
    </row>
    <row r="5816" spans="2:20" x14ac:dyDescent="0.2">
      <c r="B5816" s="245"/>
      <c r="C5816" s="248"/>
      <c r="D5816" s="249"/>
      <c r="E5816" s="249"/>
      <c r="T5816" s="261"/>
    </row>
    <row r="5817" spans="2:20" x14ac:dyDescent="0.2">
      <c r="B5817" s="245"/>
      <c r="C5817" s="248"/>
      <c r="D5817" s="249"/>
      <c r="E5817" s="249"/>
      <c r="T5817" s="261"/>
    </row>
    <row r="5818" spans="2:20" x14ac:dyDescent="0.2">
      <c r="B5818" s="245"/>
      <c r="C5818" s="248"/>
      <c r="D5818" s="249"/>
      <c r="E5818" s="249"/>
      <c r="T5818" s="261"/>
    </row>
    <row r="5819" spans="2:20" x14ac:dyDescent="0.2">
      <c r="B5819" s="245"/>
      <c r="C5819" s="248"/>
      <c r="D5819" s="249"/>
      <c r="E5819" s="249"/>
      <c r="T5819" s="261"/>
    </row>
    <row r="5820" spans="2:20" x14ac:dyDescent="0.2">
      <c r="B5820" s="245"/>
      <c r="C5820" s="248"/>
      <c r="D5820" s="249"/>
      <c r="E5820" s="249"/>
      <c r="T5820" s="261"/>
    </row>
    <row r="5821" spans="2:20" x14ac:dyDescent="0.2">
      <c r="B5821" s="245"/>
      <c r="C5821" s="248"/>
      <c r="D5821" s="249"/>
      <c r="E5821" s="249"/>
      <c r="T5821" s="261"/>
    </row>
    <row r="5822" spans="2:20" x14ac:dyDescent="0.2">
      <c r="B5822" s="245"/>
      <c r="C5822" s="248"/>
      <c r="D5822" s="249"/>
      <c r="E5822" s="249"/>
      <c r="T5822" s="261"/>
    </row>
    <row r="5823" spans="2:20" x14ac:dyDescent="0.2">
      <c r="B5823" s="245"/>
      <c r="C5823" s="248"/>
      <c r="D5823" s="249"/>
      <c r="E5823" s="249"/>
      <c r="T5823" s="261"/>
    </row>
    <row r="5824" spans="2:20" x14ac:dyDescent="0.2">
      <c r="B5824" s="245"/>
      <c r="C5824" s="248"/>
      <c r="D5824" s="249"/>
      <c r="E5824" s="249"/>
      <c r="T5824" s="261"/>
    </row>
    <row r="5825" spans="2:20" x14ac:dyDescent="0.2">
      <c r="B5825" s="245"/>
      <c r="C5825" s="248"/>
      <c r="D5825" s="249"/>
      <c r="E5825" s="249"/>
      <c r="T5825" s="261"/>
    </row>
    <row r="5826" spans="2:20" x14ac:dyDescent="0.2">
      <c r="B5826" s="245"/>
      <c r="C5826" s="248"/>
      <c r="D5826" s="249"/>
      <c r="E5826" s="249"/>
      <c r="T5826" s="261"/>
    </row>
    <row r="5827" spans="2:20" x14ac:dyDescent="0.2">
      <c r="B5827" s="245"/>
      <c r="C5827" s="248"/>
      <c r="D5827" s="249"/>
      <c r="E5827" s="249"/>
      <c r="T5827" s="261"/>
    </row>
    <row r="5828" spans="2:20" x14ac:dyDescent="0.2">
      <c r="B5828" s="245"/>
      <c r="C5828" s="248"/>
      <c r="D5828" s="249"/>
      <c r="E5828" s="249"/>
      <c r="T5828" s="261"/>
    </row>
    <row r="5829" spans="2:20" x14ac:dyDescent="0.2">
      <c r="B5829" s="245"/>
      <c r="C5829" s="248"/>
      <c r="D5829" s="249"/>
      <c r="E5829" s="249"/>
      <c r="T5829" s="261"/>
    </row>
    <row r="5830" spans="2:20" x14ac:dyDescent="0.2">
      <c r="B5830" s="245"/>
      <c r="C5830" s="248"/>
      <c r="D5830" s="249"/>
      <c r="E5830" s="249"/>
      <c r="T5830" s="261"/>
    </row>
    <row r="5831" spans="2:20" x14ac:dyDescent="0.2">
      <c r="B5831" s="245"/>
      <c r="C5831" s="248"/>
      <c r="D5831" s="249"/>
      <c r="E5831" s="249"/>
      <c r="T5831" s="261"/>
    </row>
    <row r="5832" spans="2:20" x14ac:dyDescent="0.2">
      <c r="B5832" s="245"/>
      <c r="C5832" s="248"/>
      <c r="D5832" s="249"/>
      <c r="E5832" s="249"/>
      <c r="T5832" s="261"/>
    </row>
    <row r="5833" spans="2:20" x14ac:dyDescent="0.2">
      <c r="B5833" s="245"/>
      <c r="C5833" s="248"/>
      <c r="D5833" s="249"/>
      <c r="E5833" s="249"/>
      <c r="T5833" s="261"/>
    </row>
    <row r="5834" spans="2:20" x14ac:dyDescent="0.2">
      <c r="B5834" s="245"/>
      <c r="C5834" s="248"/>
      <c r="D5834" s="249"/>
      <c r="E5834" s="249"/>
      <c r="T5834" s="261"/>
    </row>
    <row r="5835" spans="2:20" x14ac:dyDescent="0.2">
      <c r="B5835" s="245"/>
      <c r="C5835" s="248"/>
      <c r="D5835" s="249"/>
      <c r="E5835" s="249"/>
      <c r="T5835" s="261"/>
    </row>
    <row r="5836" spans="2:20" x14ac:dyDescent="0.2">
      <c r="B5836" s="245"/>
      <c r="C5836" s="248"/>
      <c r="D5836" s="249"/>
      <c r="E5836" s="249"/>
      <c r="T5836" s="261"/>
    </row>
    <row r="5837" spans="2:20" x14ac:dyDescent="0.2">
      <c r="B5837" s="245"/>
      <c r="C5837" s="248"/>
      <c r="D5837" s="249"/>
      <c r="E5837" s="249"/>
      <c r="T5837" s="261"/>
    </row>
    <row r="5838" spans="2:20" x14ac:dyDescent="0.2">
      <c r="B5838" s="245"/>
      <c r="C5838" s="248"/>
      <c r="D5838" s="249"/>
      <c r="E5838" s="249"/>
      <c r="T5838" s="261"/>
    </row>
    <row r="5839" spans="2:20" x14ac:dyDescent="0.2">
      <c r="B5839" s="245"/>
      <c r="C5839" s="248"/>
      <c r="D5839" s="249"/>
      <c r="E5839" s="249"/>
      <c r="T5839" s="261"/>
    </row>
    <row r="5840" spans="2:20" x14ac:dyDescent="0.2">
      <c r="B5840" s="245"/>
      <c r="C5840" s="248"/>
      <c r="D5840" s="249"/>
      <c r="E5840" s="249"/>
      <c r="T5840" s="261"/>
    </row>
    <row r="5841" spans="2:20" x14ac:dyDescent="0.2">
      <c r="B5841" s="245"/>
      <c r="C5841" s="248"/>
      <c r="D5841" s="249"/>
      <c r="E5841" s="249"/>
      <c r="T5841" s="261"/>
    </row>
    <row r="5842" spans="2:20" x14ac:dyDescent="0.2">
      <c r="B5842" s="245"/>
      <c r="C5842" s="248"/>
      <c r="D5842" s="249"/>
      <c r="E5842" s="249"/>
      <c r="T5842" s="261"/>
    </row>
    <row r="5843" spans="2:20" x14ac:dyDescent="0.2">
      <c r="B5843" s="245"/>
      <c r="C5843" s="248"/>
      <c r="D5843" s="249"/>
      <c r="E5843" s="249"/>
      <c r="T5843" s="261"/>
    </row>
    <row r="5844" spans="2:20" x14ac:dyDescent="0.2">
      <c r="B5844" s="245"/>
      <c r="C5844" s="248"/>
      <c r="D5844" s="249"/>
      <c r="E5844" s="249"/>
      <c r="T5844" s="261"/>
    </row>
    <row r="5845" spans="2:20" x14ac:dyDescent="0.2">
      <c r="B5845" s="245"/>
      <c r="C5845" s="248"/>
      <c r="D5845" s="249"/>
      <c r="E5845" s="249"/>
      <c r="T5845" s="261"/>
    </row>
    <row r="5846" spans="2:20" x14ac:dyDescent="0.2">
      <c r="B5846" s="245"/>
      <c r="C5846" s="248"/>
      <c r="D5846" s="249"/>
      <c r="E5846" s="249"/>
      <c r="T5846" s="261"/>
    </row>
    <row r="5847" spans="2:20" x14ac:dyDescent="0.2">
      <c r="B5847" s="245"/>
      <c r="C5847" s="248"/>
      <c r="D5847" s="249"/>
      <c r="E5847" s="249"/>
      <c r="T5847" s="261"/>
    </row>
    <row r="5848" spans="2:20" x14ac:dyDescent="0.2">
      <c r="B5848" s="245"/>
      <c r="C5848" s="248"/>
      <c r="D5848" s="249"/>
      <c r="E5848" s="249"/>
      <c r="T5848" s="261"/>
    </row>
    <row r="5849" spans="2:20" x14ac:dyDescent="0.2">
      <c r="B5849" s="245"/>
      <c r="C5849" s="248"/>
      <c r="D5849" s="249"/>
      <c r="E5849" s="249"/>
      <c r="T5849" s="261"/>
    </row>
    <row r="5850" spans="2:20" x14ac:dyDescent="0.2">
      <c r="B5850" s="245"/>
      <c r="C5850" s="248"/>
      <c r="D5850" s="249"/>
      <c r="E5850" s="249"/>
      <c r="T5850" s="261"/>
    </row>
    <row r="5851" spans="2:20" x14ac:dyDescent="0.2">
      <c r="B5851" s="245"/>
      <c r="C5851" s="248"/>
      <c r="D5851" s="249"/>
      <c r="E5851" s="249"/>
      <c r="T5851" s="261"/>
    </row>
    <row r="5852" spans="2:20" x14ac:dyDescent="0.2">
      <c r="B5852" s="245"/>
      <c r="C5852" s="248"/>
      <c r="D5852" s="249"/>
      <c r="E5852" s="249"/>
      <c r="T5852" s="261"/>
    </row>
    <row r="5853" spans="2:20" x14ac:dyDescent="0.2">
      <c r="B5853" s="245"/>
      <c r="C5853" s="248"/>
      <c r="D5853" s="249"/>
      <c r="E5853" s="249"/>
      <c r="T5853" s="261"/>
    </row>
    <row r="5854" spans="2:20" x14ac:dyDescent="0.2">
      <c r="B5854" s="245"/>
      <c r="C5854" s="248"/>
      <c r="D5854" s="249"/>
      <c r="E5854" s="249"/>
      <c r="T5854" s="261"/>
    </row>
    <row r="5855" spans="2:20" x14ac:dyDescent="0.2">
      <c r="B5855" s="245"/>
      <c r="C5855" s="248"/>
      <c r="D5855" s="249"/>
      <c r="E5855" s="249"/>
      <c r="T5855" s="261"/>
    </row>
    <row r="5856" spans="2:20" x14ac:dyDescent="0.2">
      <c r="B5856" s="245"/>
      <c r="C5856" s="248"/>
      <c r="D5856" s="249"/>
      <c r="E5856" s="249"/>
      <c r="T5856" s="261"/>
    </row>
    <row r="5857" spans="2:20" x14ac:dyDescent="0.2">
      <c r="B5857" s="245"/>
      <c r="C5857" s="248"/>
      <c r="D5857" s="249"/>
      <c r="E5857" s="249"/>
      <c r="T5857" s="261"/>
    </row>
    <row r="5858" spans="2:20" x14ac:dyDescent="0.2">
      <c r="B5858" s="245"/>
      <c r="C5858" s="248"/>
      <c r="D5858" s="249"/>
      <c r="E5858" s="249"/>
      <c r="T5858" s="261"/>
    </row>
    <row r="5859" spans="2:20" x14ac:dyDescent="0.2">
      <c r="B5859" s="245"/>
      <c r="C5859" s="248"/>
      <c r="D5859" s="249"/>
      <c r="E5859" s="249"/>
      <c r="T5859" s="261"/>
    </row>
    <row r="5860" spans="2:20" x14ac:dyDescent="0.2">
      <c r="B5860" s="245"/>
      <c r="C5860" s="248"/>
      <c r="D5860" s="249"/>
      <c r="E5860" s="249"/>
      <c r="T5860" s="261"/>
    </row>
    <row r="5861" spans="2:20" x14ac:dyDescent="0.2">
      <c r="B5861" s="245"/>
      <c r="C5861" s="248"/>
      <c r="D5861" s="249"/>
      <c r="E5861" s="249"/>
      <c r="T5861" s="261"/>
    </row>
    <row r="5862" spans="2:20" x14ac:dyDescent="0.2">
      <c r="B5862" s="245"/>
      <c r="C5862" s="248"/>
      <c r="D5862" s="249"/>
      <c r="E5862" s="249"/>
      <c r="T5862" s="261"/>
    </row>
    <row r="5863" spans="2:20" x14ac:dyDescent="0.2">
      <c r="B5863" s="245"/>
      <c r="C5863" s="248"/>
      <c r="D5863" s="249"/>
      <c r="E5863" s="249"/>
      <c r="T5863" s="261"/>
    </row>
    <row r="5864" spans="2:20" x14ac:dyDescent="0.2">
      <c r="B5864" s="245"/>
      <c r="C5864" s="248"/>
      <c r="D5864" s="249"/>
      <c r="E5864" s="249"/>
      <c r="T5864" s="261"/>
    </row>
    <row r="5865" spans="2:20" x14ac:dyDescent="0.2">
      <c r="B5865" s="245"/>
      <c r="C5865" s="248"/>
      <c r="D5865" s="249"/>
      <c r="E5865" s="249"/>
      <c r="T5865" s="261"/>
    </row>
    <row r="5866" spans="2:20" x14ac:dyDescent="0.2">
      <c r="B5866" s="245"/>
      <c r="C5866" s="248"/>
      <c r="D5866" s="249"/>
      <c r="E5866" s="249"/>
      <c r="T5866" s="261"/>
    </row>
    <row r="5867" spans="2:20" x14ac:dyDescent="0.2">
      <c r="B5867" s="245"/>
      <c r="C5867" s="248"/>
      <c r="D5867" s="249"/>
      <c r="E5867" s="249"/>
      <c r="T5867" s="261"/>
    </row>
    <row r="5868" spans="2:20" x14ac:dyDescent="0.2">
      <c r="B5868" s="245"/>
      <c r="C5868" s="248"/>
      <c r="D5868" s="249"/>
      <c r="E5868" s="249"/>
      <c r="T5868" s="261"/>
    </row>
    <row r="5869" spans="2:20" x14ac:dyDescent="0.2">
      <c r="B5869" s="245"/>
      <c r="C5869" s="248"/>
      <c r="D5869" s="249"/>
      <c r="E5869" s="249"/>
      <c r="T5869" s="261"/>
    </row>
    <row r="5870" spans="2:20" x14ac:dyDescent="0.2">
      <c r="B5870" s="245"/>
      <c r="C5870" s="248"/>
      <c r="D5870" s="249"/>
      <c r="E5870" s="249"/>
      <c r="T5870" s="261"/>
    </row>
    <row r="5871" spans="2:20" x14ac:dyDescent="0.2">
      <c r="B5871" s="245"/>
      <c r="C5871" s="248"/>
      <c r="D5871" s="249"/>
      <c r="E5871" s="249"/>
      <c r="T5871" s="261"/>
    </row>
    <row r="5872" spans="2:20" x14ac:dyDescent="0.2">
      <c r="B5872" s="245"/>
      <c r="C5872" s="248"/>
      <c r="D5872" s="249"/>
      <c r="E5872" s="249"/>
      <c r="T5872" s="261"/>
    </row>
    <row r="5873" spans="2:20" x14ac:dyDescent="0.2">
      <c r="B5873" s="245"/>
      <c r="C5873" s="248"/>
      <c r="D5873" s="249"/>
      <c r="E5873" s="249"/>
      <c r="T5873" s="261"/>
    </row>
    <row r="5874" spans="2:20" x14ac:dyDescent="0.2">
      <c r="B5874" s="245"/>
      <c r="C5874" s="248"/>
      <c r="D5874" s="249"/>
      <c r="E5874" s="249"/>
      <c r="T5874" s="261"/>
    </row>
    <row r="5875" spans="2:20" x14ac:dyDescent="0.2">
      <c r="B5875" s="245"/>
      <c r="C5875" s="248"/>
      <c r="D5875" s="249"/>
      <c r="E5875" s="249"/>
      <c r="T5875" s="261"/>
    </row>
    <row r="5876" spans="2:20" x14ac:dyDescent="0.2">
      <c r="B5876" s="245"/>
      <c r="C5876" s="248"/>
      <c r="D5876" s="249"/>
      <c r="E5876" s="249"/>
      <c r="T5876" s="261"/>
    </row>
    <row r="5877" spans="2:20" x14ac:dyDescent="0.2">
      <c r="B5877" s="245"/>
      <c r="C5877" s="248"/>
      <c r="D5877" s="249"/>
      <c r="E5877" s="249"/>
      <c r="T5877" s="261"/>
    </row>
    <row r="5878" spans="2:20" x14ac:dyDescent="0.2">
      <c r="B5878" s="245"/>
      <c r="C5878" s="248"/>
      <c r="D5878" s="249"/>
      <c r="E5878" s="249"/>
      <c r="T5878" s="261"/>
    </row>
    <row r="5879" spans="2:20" x14ac:dyDescent="0.2">
      <c r="B5879" s="245"/>
      <c r="C5879" s="248"/>
      <c r="D5879" s="249"/>
      <c r="E5879" s="249"/>
      <c r="T5879" s="261"/>
    </row>
    <row r="5880" spans="2:20" x14ac:dyDescent="0.2">
      <c r="B5880" s="245"/>
      <c r="C5880" s="248"/>
      <c r="D5880" s="249"/>
      <c r="E5880" s="249"/>
      <c r="T5880" s="261"/>
    </row>
    <row r="5881" spans="2:20" x14ac:dyDescent="0.2">
      <c r="B5881" s="245"/>
      <c r="C5881" s="248"/>
      <c r="D5881" s="249"/>
      <c r="E5881" s="249"/>
      <c r="T5881" s="261"/>
    </row>
    <row r="5882" spans="2:20" x14ac:dyDescent="0.2">
      <c r="B5882" s="245"/>
      <c r="C5882" s="248"/>
      <c r="D5882" s="249"/>
      <c r="E5882" s="249"/>
      <c r="T5882" s="261"/>
    </row>
    <row r="5883" spans="2:20" x14ac:dyDescent="0.2">
      <c r="B5883" s="245"/>
      <c r="C5883" s="248"/>
      <c r="D5883" s="249"/>
      <c r="E5883" s="249"/>
      <c r="T5883" s="261"/>
    </row>
    <row r="5884" spans="2:20" x14ac:dyDescent="0.2">
      <c r="B5884" s="245"/>
      <c r="C5884" s="248"/>
      <c r="D5884" s="249"/>
      <c r="E5884" s="249"/>
      <c r="T5884" s="261"/>
    </row>
    <row r="5885" spans="2:20" x14ac:dyDescent="0.2">
      <c r="B5885" s="245"/>
      <c r="C5885" s="248"/>
      <c r="D5885" s="249"/>
      <c r="E5885" s="249"/>
      <c r="T5885" s="261"/>
    </row>
    <row r="5886" spans="2:20" x14ac:dyDescent="0.2">
      <c r="B5886" s="245"/>
      <c r="C5886" s="248"/>
      <c r="D5886" s="249"/>
      <c r="E5886" s="249"/>
      <c r="T5886" s="261"/>
    </row>
    <row r="5887" spans="2:20" x14ac:dyDescent="0.2">
      <c r="B5887" s="245"/>
      <c r="C5887" s="248"/>
      <c r="D5887" s="249"/>
      <c r="E5887" s="249"/>
      <c r="T5887" s="261"/>
    </row>
    <row r="5888" spans="2:20" x14ac:dyDescent="0.2">
      <c r="B5888" s="245"/>
      <c r="C5888" s="248"/>
      <c r="D5888" s="249"/>
      <c r="E5888" s="249"/>
      <c r="T5888" s="261"/>
    </row>
    <row r="5889" spans="2:20" x14ac:dyDescent="0.2">
      <c r="B5889" s="245"/>
      <c r="C5889" s="248"/>
      <c r="D5889" s="249"/>
      <c r="E5889" s="249"/>
      <c r="T5889" s="261"/>
    </row>
    <row r="5890" spans="2:20" x14ac:dyDescent="0.2">
      <c r="B5890" s="245"/>
      <c r="C5890" s="248"/>
      <c r="D5890" s="249"/>
      <c r="E5890" s="249"/>
      <c r="T5890" s="261"/>
    </row>
    <row r="5891" spans="2:20" x14ac:dyDescent="0.2">
      <c r="B5891" s="245"/>
      <c r="C5891" s="248"/>
      <c r="D5891" s="249"/>
      <c r="E5891" s="249"/>
      <c r="T5891" s="261"/>
    </row>
    <row r="5892" spans="2:20" x14ac:dyDescent="0.2">
      <c r="B5892" s="245"/>
      <c r="C5892" s="248"/>
      <c r="D5892" s="249"/>
      <c r="E5892" s="249"/>
      <c r="T5892" s="261"/>
    </row>
    <row r="5893" spans="2:20" x14ac:dyDescent="0.2">
      <c r="B5893" s="245"/>
      <c r="C5893" s="248"/>
      <c r="D5893" s="249"/>
      <c r="E5893" s="249"/>
      <c r="T5893" s="261"/>
    </row>
    <row r="5894" spans="2:20" x14ac:dyDescent="0.2">
      <c r="B5894" s="245"/>
      <c r="C5894" s="248"/>
      <c r="D5894" s="249"/>
      <c r="E5894" s="249"/>
      <c r="T5894" s="261"/>
    </row>
    <row r="5895" spans="2:20" x14ac:dyDescent="0.2">
      <c r="B5895" s="245"/>
      <c r="C5895" s="248"/>
      <c r="D5895" s="249"/>
      <c r="E5895" s="249"/>
      <c r="T5895" s="261"/>
    </row>
    <row r="5896" spans="2:20" x14ac:dyDescent="0.2">
      <c r="B5896" s="245"/>
      <c r="C5896" s="248"/>
      <c r="D5896" s="249"/>
      <c r="E5896" s="249"/>
      <c r="T5896" s="261"/>
    </row>
    <row r="5897" spans="2:20" x14ac:dyDescent="0.2">
      <c r="B5897" s="245"/>
      <c r="C5897" s="248"/>
      <c r="D5897" s="249"/>
      <c r="E5897" s="249"/>
      <c r="T5897" s="261"/>
    </row>
    <row r="5898" spans="2:20" x14ac:dyDescent="0.2">
      <c r="B5898" s="245"/>
      <c r="C5898" s="248"/>
      <c r="D5898" s="249"/>
      <c r="E5898" s="249"/>
      <c r="T5898" s="261"/>
    </row>
    <row r="5899" spans="2:20" x14ac:dyDescent="0.2">
      <c r="B5899" s="245"/>
      <c r="C5899" s="248"/>
      <c r="D5899" s="249"/>
      <c r="E5899" s="249"/>
      <c r="T5899" s="261"/>
    </row>
    <row r="5900" spans="2:20" x14ac:dyDescent="0.2">
      <c r="B5900" s="245"/>
      <c r="C5900" s="248"/>
      <c r="D5900" s="249"/>
      <c r="E5900" s="249"/>
      <c r="T5900" s="261"/>
    </row>
    <row r="5901" spans="2:20" x14ac:dyDescent="0.2">
      <c r="B5901" s="245"/>
      <c r="C5901" s="248"/>
      <c r="D5901" s="249"/>
      <c r="E5901" s="249"/>
      <c r="T5901" s="261"/>
    </row>
    <row r="5902" spans="2:20" x14ac:dyDescent="0.2">
      <c r="B5902" s="245"/>
      <c r="C5902" s="248"/>
      <c r="D5902" s="249"/>
      <c r="E5902" s="249"/>
      <c r="T5902" s="261"/>
    </row>
    <row r="5903" spans="2:20" x14ac:dyDescent="0.2">
      <c r="B5903" s="245"/>
      <c r="C5903" s="248"/>
      <c r="D5903" s="249"/>
      <c r="E5903" s="249"/>
      <c r="T5903" s="261"/>
    </row>
    <row r="5904" spans="2:20" x14ac:dyDescent="0.2">
      <c r="B5904" s="245"/>
      <c r="C5904" s="248"/>
      <c r="D5904" s="249"/>
      <c r="E5904" s="249"/>
      <c r="T5904" s="261"/>
    </row>
    <row r="5905" spans="2:20" x14ac:dyDescent="0.2">
      <c r="B5905" s="245"/>
      <c r="C5905" s="248"/>
      <c r="D5905" s="249"/>
      <c r="E5905" s="249"/>
      <c r="T5905" s="261"/>
    </row>
    <row r="5906" spans="2:20" x14ac:dyDescent="0.2">
      <c r="B5906" s="245"/>
      <c r="C5906" s="248"/>
      <c r="D5906" s="249"/>
      <c r="E5906" s="249"/>
      <c r="T5906" s="261"/>
    </row>
    <row r="5907" spans="2:20" x14ac:dyDescent="0.2">
      <c r="B5907" s="245"/>
      <c r="C5907" s="248"/>
      <c r="D5907" s="249"/>
      <c r="E5907" s="249"/>
      <c r="T5907" s="261"/>
    </row>
    <row r="5908" spans="2:20" x14ac:dyDescent="0.2">
      <c r="B5908" s="245"/>
      <c r="C5908" s="248"/>
      <c r="D5908" s="249"/>
      <c r="E5908" s="249"/>
      <c r="T5908" s="261"/>
    </row>
    <row r="5909" spans="2:20" x14ac:dyDescent="0.2">
      <c r="B5909" s="245"/>
      <c r="C5909" s="248"/>
      <c r="D5909" s="249"/>
      <c r="E5909" s="249"/>
      <c r="T5909" s="261"/>
    </row>
    <row r="5910" spans="2:20" x14ac:dyDescent="0.2">
      <c r="B5910" s="245"/>
      <c r="C5910" s="248"/>
      <c r="D5910" s="249"/>
      <c r="E5910" s="249"/>
      <c r="T5910" s="261"/>
    </row>
    <row r="5911" spans="2:20" x14ac:dyDescent="0.2">
      <c r="B5911" s="245"/>
      <c r="C5911" s="248"/>
      <c r="D5911" s="249"/>
      <c r="E5911" s="249"/>
      <c r="T5911" s="261"/>
    </row>
    <row r="5912" spans="2:20" x14ac:dyDescent="0.2">
      <c r="B5912" s="245"/>
      <c r="C5912" s="248"/>
      <c r="D5912" s="249"/>
      <c r="E5912" s="249"/>
      <c r="T5912" s="261"/>
    </row>
    <row r="5913" spans="2:20" x14ac:dyDescent="0.2">
      <c r="B5913" s="245"/>
      <c r="C5913" s="248"/>
      <c r="D5913" s="249"/>
      <c r="E5913" s="249"/>
      <c r="T5913" s="261"/>
    </row>
    <row r="5914" spans="2:20" x14ac:dyDescent="0.2">
      <c r="B5914" s="245"/>
      <c r="C5914" s="248"/>
      <c r="D5914" s="249"/>
      <c r="E5914" s="249"/>
      <c r="T5914" s="261"/>
    </row>
    <row r="5915" spans="2:20" x14ac:dyDescent="0.2">
      <c r="B5915" s="245"/>
      <c r="C5915" s="248"/>
      <c r="D5915" s="249"/>
      <c r="E5915" s="249"/>
      <c r="T5915" s="261"/>
    </row>
    <row r="5916" spans="2:20" x14ac:dyDescent="0.2">
      <c r="B5916" s="245"/>
      <c r="C5916" s="248"/>
      <c r="D5916" s="249"/>
      <c r="E5916" s="249"/>
      <c r="T5916" s="261"/>
    </row>
    <row r="5917" spans="2:20" x14ac:dyDescent="0.2">
      <c r="B5917" s="245"/>
      <c r="C5917" s="248"/>
      <c r="D5917" s="249"/>
      <c r="E5917" s="249"/>
      <c r="T5917" s="261"/>
    </row>
    <row r="5918" spans="2:20" x14ac:dyDescent="0.2">
      <c r="B5918" s="245"/>
      <c r="C5918" s="248"/>
      <c r="D5918" s="249"/>
      <c r="E5918" s="249"/>
      <c r="T5918" s="261"/>
    </row>
    <row r="5919" spans="2:20" x14ac:dyDescent="0.2">
      <c r="B5919" s="245"/>
      <c r="C5919" s="248"/>
      <c r="D5919" s="249"/>
      <c r="E5919" s="249"/>
      <c r="T5919" s="261"/>
    </row>
    <row r="5920" spans="2:20" x14ac:dyDescent="0.2">
      <c r="B5920" s="245"/>
      <c r="C5920" s="248"/>
      <c r="D5920" s="249"/>
      <c r="E5920" s="249"/>
      <c r="T5920" s="261"/>
    </row>
    <row r="5921" spans="2:20" x14ac:dyDescent="0.2">
      <c r="B5921" s="245"/>
      <c r="C5921" s="248"/>
      <c r="D5921" s="249"/>
      <c r="E5921" s="249"/>
      <c r="T5921" s="261"/>
    </row>
    <row r="5922" spans="2:20" x14ac:dyDescent="0.2">
      <c r="B5922" s="245"/>
      <c r="C5922" s="248"/>
      <c r="D5922" s="249"/>
      <c r="E5922" s="249"/>
      <c r="T5922" s="261"/>
    </row>
    <row r="5923" spans="2:20" x14ac:dyDescent="0.2">
      <c r="B5923" s="245"/>
      <c r="C5923" s="248"/>
      <c r="D5923" s="249"/>
      <c r="E5923" s="249"/>
      <c r="T5923" s="261"/>
    </row>
    <row r="5924" spans="2:20" x14ac:dyDescent="0.2">
      <c r="B5924" s="245"/>
      <c r="C5924" s="248"/>
      <c r="D5924" s="249"/>
      <c r="E5924" s="249"/>
      <c r="T5924" s="261"/>
    </row>
    <row r="5925" spans="2:20" x14ac:dyDescent="0.2">
      <c r="B5925" s="245"/>
      <c r="C5925" s="248"/>
      <c r="D5925" s="249"/>
      <c r="E5925" s="249"/>
      <c r="T5925" s="261"/>
    </row>
    <row r="5926" spans="2:20" x14ac:dyDescent="0.2">
      <c r="B5926" s="245"/>
      <c r="C5926" s="248"/>
      <c r="D5926" s="249"/>
      <c r="E5926" s="249"/>
      <c r="T5926" s="261"/>
    </row>
    <row r="5927" spans="2:20" x14ac:dyDescent="0.2">
      <c r="B5927" s="245"/>
      <c r="C5927" s="248"/>
      <c r="D5927" s="249"/>
      <c r="E5927" s="249"/>
      <c r="T5927" s="261"/>
    </row>
    <row r="5928" spans="2:20" x14ac:dyDescent="0.2">
      <c r="B5928" s="245"/>
      <c r="C5928" s="248"/>
      <c r="D5928" s="249"/>
      <c r="E5928" s="249"/>
      <c r="T5928" s="261"/>
    </row>
    <row r="5929" spans="2:20" x14ac:dyDescent="0.2">
      <c r="B5929" s="245"/>
      <c r="C5929" s="248"/>
      <c r="D5929" s="249"/>
      <c r="E5929" s="249"/>
      <c r="T5929" s="261"/>
    </row>
    <row r="5930" spans="2:20" x14ac:dyDescent="0.2">
      <c r="B5930" s="245"/>
      <c r="C5930" s="248"/>
      <c r="D5930" s="249"/>
      <c r="E5930" s="249"/>
      <c r="T5930" s="261"/>
    </row>
    <row r="5931" spans="2:20" x14ac:dyDescent="0.2">
      <c r="B5931" s="245"/>
      <c r="C5931" s="248"/>
      <c r="D5931" s="249"/>
      <c r="E5931" s="249"/>
      <c r="T5931" s="261"/>
    </row>
    <row r="5932" spans="2:20" x14ac:dyDescent="0.2">
      <c r="B5932" s="245"/>
      <c r="C5932" s="248"/>
      <c r="D5932" s="249"/>
      <c r="E5932" s="249"/>
      <c r="T5932" s="261"/>
    </row>
    <row r="5933" spans="2:20" x14ac:dyDescent="0.2">
      <c r="B5933" s="245"/>
      <c r="C5933" s="248"/>
      <c r="D5933" s="249"/>
      <c r="E5933" s="249"/>
      <c r="T5933" s="261"/>
    </row>
    <row r="5934" spans="2:20" x14ac:dyDescent="0.2">
      <c r="B5934" s="245"/>
      <c r="C5934" s="248"/>
      <c r="D5934" s="249"/>
      <c r="E5934" s="249"/>
      <c r="T5934" s="261"/>
    </row>
    <row r="5935" spans="2:20" x14ac:dyDescent="0.2">
      <c r="B5935" s="245"/>
      <c r="C5935" s="248"/>
      <c r="D5935" s="249"/>
      <c r="E5935" s="249"/>
      <c r="T5935" s="261"/>
    </row>
    <row r="5936" spans="2:20" x14ac:dyDescent="0.2">
      <c r="B5936" s="245"/>
      <c r="C5936" s="248"/>
      <c r="D5936" s="249"/>
      <c r="E5936" s="249"/>
      <c r="T5936" s="261"/>
    </row>
    <row r="5937" spans="2:20" x14ac:dyDescent="0.2">
      <c r="B5937" s="245"/>
      <c r="C5937" s="248"/>
      <c r="D5937" s="249"/>
      <c r="E5937" s="249"/>
      <c r="T5937" s="261"/>
    </row>
    <row r="5938" spans="2:20" x14ac:dyDescent="0.2">
      <c r="B5938" s="245"/>
      <c r="C5938" s="248"/>
      <c r="D5938" s="249"/>
      <c r="E5938" s="249"/>
      <c r="T5938" s="261"/>
    </row>
    <row r="5939" spans="2:20" x14ac:dyDescent="0.2">
      <c r="B5939" s="245"/>
      <c r="C5939" s="248"/>
      <c r="D5939" s="249"/>
      <c r="E5939" s="249"/>
      <c r="T5939" s="261"/>
    </row>
    <row r="5940" spans="2:20" x14ac:dyDescent="0.2">
      <c r="B5940" s="245"/>
      <c r="C5940" s="248"/>
      <c r="D5940" s="249"/>
      <c r="E5940" s="249"/>
      <c r="T5940" s="261"/>
    </row>
    <row r="5941" spans="2:20" x14ac:dyDescent="0.2">
      <c r="B5941" s="245"/>
      <c r="C5941" s="248"/>
      <c r="D5941" s="249"/>
      <c r="E5941" s="249"/>
      <c r="T5941" s="261"/>
    </row>
    <row r="5942" spans="2:20" x14ac:dyDescent="0.2">
      <c r="B5942" s="245"/>
      <c r="C5942" s="248"/>
      <c r="D5942" s="249"/>
      <c r="E5942" s="249"/>
      <c r="T5942" s="261"/>
    </row>
    <row r="5943" spans="2:20" x14ac:dyDescent="0.2">
      <c r="B5943" s="245"/>
      <c r="C5943" s="248"/>
      <c r="D5943" s="249"/>
      <c r="E5943" s="249"/>
      <c r="T5943" s="261"/>
    </row>
    <row r="5944" spans="2:20" x14ac:dyDescent="0.2">
      <c r="B5944" s="245"/>
      <c r="C5944" s="248"/>
      <c r="D5944" s="249"/>
      <c r="E5944" s="249"/>
      <c r="T5944" s="261"/>
    </row>
    <row r="5945" spans="2:20" x14ac:dyDescent="0.2">
      <c r="B5945" s="245"/>
      <c r="C5945" s="248"/>
      <c r="D5945" s="249"/>
      <c r="E5945" s="249"/>
      <c r="T5945" s="261"/>
    </row>
    <row r="5946" spans="2:20" x14ac:dyDescent="0.2">
      <c r="B5946" s="245"/>
      <c r="C5946" s="248"/>
      <c r="D5946" s="249"/>
      <c r="E5946" s="249"/>
      <c r="T5946" s="261"/>
    </row>
    <row r="5947" spans="2:20" x14ac:dyDescent="0.2">
      <c r="B5947" s="245"/>
      <c r="C5947" s="248"/>
      <c r="D5947" s="249"/>
      <c r="E5947" s="249"/>
      <c r="T5947" s="261"/>
    </row>
    <row r="5948" spans="2:20" x14ac:dyDescent="0.2">
      <c r="B5948" s="245"/>
      <c r="C5948" s="248"/>
      <c r="D5948" s="249"/>
      <c r="E5948" s="249"/>
      <c r="T5948" s="261"/>
    </row>
    <row r="5949" spans="2:20" x14ac:dyDescent="0.2">
      <c r="B5949" s="245"/>
      <c r="C5949" s="248"/>
      <c r="D5949" s="249"/>
      <c r="E5949" s="249"/>
      <c r="T5949" s="261"/>
    </row>
    <row r="5950" spans="2:20" x14ac:dyDescent="0.2">
      <c r="B5950" s="245"/>
      <c r="C5950" s="248"/>
      <c r="D5950" s="249"/>
      <c r="E5950" s="249"/>
      <c r="T5950" s="261"/>
    </row>
    <row r="5951" spans="2:20" x14ac:dyDescent="0.2">
      <c r="B5951" s="245"/>
      <c r="C5951" s="248"/>
      <c r="D5951" s="249"/>
      <c r="E5951" s="249"/>
      <c r="T5951" s="261"/>
    </row>
    <row r="5952" spans="2:20" x14ac:dyDescent="0.2">
      <c r="B5952" s="245"/>
      <c r="C5952" s="248"/>
      <c r="D5952" s="249"/>
      <c r="E5952" s="249"/>
      <c r="T5952" s="261"/>
    </row>
    <row r="5953" spans="2:20" x14ac:dyDescent="0.2">
      <c r="B5953" s="245"/>
      <c r="C5953" s="248"/>
      <c r="D5953" s="249"/>
      <c r="E5953" s="249"/>
      <c r="T5953" s="261"/>
    </row>
    <row r="5954" spans="2:20" x14ac:dyDescent="0.2">
      <c r="B5954" s="245"/>
      <c r="C5954" s="248"/>
      <c r="D5954" s="249"/>
      <c r="E5954" s="249"/>
      <c r="T5954" s="261"/>
    </row>
    <row r="5955" spans="2:20" x14ac:dyDescent="0.2">
      <c r="B5955" s="245"/>
      <c r="C5955" s="248"/>
      <c r="D5955" s="249"/>
      <c r="E5955" s="249"/>
      <c r="T5955" s="261"/>
    </row>
    <row r="5956" spans="2:20" x14ac:dyDescent="0.2">
      <c r="B5956" s="245"/>
      <c r="C5956" s="248"/>
      <c r="D5956" s="249"/>
      <c r="E5956" s="249"/>
      <c r="T5956" s="261"/>
    </row>
    <row r="5957" spans="2:20" x14ac:dyDescent="0.2">
      <c r="B5957" s="245"/>
      <c r="C5957" s="248"/>
      <c r="D5957" s="249"/>
      <c r="E5957" s="249"/>
      <c r="T5957" s="261"/>
    </row>
    <row r="5958" spans="2:20" x14ac:dyDescent="0.2">
      <c r="B5958" s="245"/>
      <c r="C5958" s="248"/>
      <c r="D5958" s="249"/>
      <c r="E5958" s="249"/>
      <c r="T5958" s="261"/>
    </row>
    <row r="5959" spans="2:20" x14ac:dyDescent="0.2">
      <c r="B5959" s="245"/>
      <c r="C5959" s="248"/>
      <c r="D5959" s="249"/>
      <c r="E5959" s="249"/>
      <c r="T5959" s="261"/>
    </row>
    <row r="5960" spans="2:20" x14ac:dyDescent="0.2">
      <c r="B5960" s="245"/>
      <c r="C5960" s="248"/>
      <c r="D5960" s="249"/>
      <c r="E5960" s="249"/>
      <c r="T5960" s="261"/>
    </row>
    <row r="5961" spans="2:20" x14ac:dyDescent="0.2">
      <c r="B5961" s="245"/>
      <c r="C5961" s="248"/>
      <c r="D5961" s="249"/>
      <c r="E5961" s="249"/>
      <c r="T5961" s="261"/>
    </row>
    <row r="5962" spans="2:20" x14ac:dyDescent="0.2">
      <c r="B5962" s="245"/>
      <c r="C5962" s="248"/>
      <c r="D5962" s="249"/>
      <c r="E5962" s="249"/>
      <c r="T5962" s="261"/>
    </row>
    <row r="5963" spans="2:20" x14ac:dyDescent="0.2">
      <c r="B5963" s="245"/>
      <c r="C5963" s="248"/>
      <c r="D5963" s="249"/>
      <c r="E5963" s="249"/>
      <c r="T5963" s="261"/>
    </row>
    <row r="5964" spans="2:20" x14ac:dyDescent="0.2">
      <c r="B5964" s="245"/>
      <c r="C5964" s="248"/>
      <c r="D5964" s="249"/>
      <c r="E5964" s="249"/>
      <c r="T5964" s="261"/>
    </row>
    <row r="5965" spans="2:20" x14ac:dyDescent="0.2">
      <c r="B5965" s="245"/>
      <c r="C5965" s="248"/>
      <c r="D5965" s="249"/>
      <c r="E5965" s="249"/>
      <c r="T5965" s="261"/>
    </row>
    <row r="5966" spans="2:20" x14ac:dyDescent="0.2">
      <c r="B5966" s="245"/>
      <c r="C5966" s="248"/>
      <c r="D5966" s="249"/>
      <c r="E5966" s="249"/>
      <c r="T5966" s="261"/>
    </row>
    <row r="5967" spans="2:20" x14ac:dyDescent="0.2">
      <c r="B5967" s="245"/>
      <c r="C5967" s="248"/>
      <c r="D5967" s="249"/>
      <c r="E5967" s="249"/>
      <c r="T5967" s="261"/>
    </row>
    <row r="5968" spans="2:20" x14ac:dyDescent="0.2">
      <c r="B5968" s="245"/>
      <c r="C5968" s="248"/>
      <c r="D5968" s="249"/>
      <c r="E5968" s="249"/>
      <c r="T5968" s="261"/>
    </row>
    <row r="5969" spans="2:20" x14ac:dyDescent="0.2">
      <c r="B5969" s="245"/>
      <c r="C5969" s="248"/>
      <c r="D5969" s="249"/>
      <c r="E5969" s="249"/>
      <c r="T5969" s="261"/>
    </row>
    <row r="5970" spans="2:20" x14ac:dyDescent="0.2">
      <c r="B5970" s="245"/>
      <c r="C5970" s="248"/>
      <c r="D5970" s="249"/>
      <c r="E5970" s="249"/>
      <c r="T5970" s="261"/>
    </row>
    <row r="5971" spans="2:20" x14ac:dyDescent="0.2">
      <c r="B5971" s="245"/>
      <c r="C5971" s="248"/>
      <c r="D5971" s="249"/>
      <c r="E5971" s="249"/>
      <c r="T5971" s="261"/>
    </row>
    <row r="5972" spans="2:20" x14ac:dyDescent="0.2">
      <c r="B5972" s="245"/>
      <c r="C5972" s="248"/>
      <c r="D5972" s="249"/>
      <c r="E5972" s="249"/>
      <c r="T5972" s="261"/>
    </row>
    <row r="5973" spans="2:20" x14ac:dyDescent="0.2">
      <c r="B5973" s="245"/>
      <c r="C5973" s="248"/>
      <c r="D5973" s="249"/>
      <c r="E5973" s="249"/>
      <c r="T5973" s="261"/>
    </row>
    <row r="5974" spans="2:20" x14ac:dyDescent="0.2">
      <c r="B5974" s="245"/>
      <c r="C5974" s="248"/>
      <c r="D5974" s="249"/>
      <c r="E5974" s="249"/>
      <c r="T5974" s="261"/>
    </row>
    <row r="5975" spans="2:20" x14ac:dyDescent="0.2">
      <c r="B5975" s="245"/>
      <c r="C5975" s="248"/>
      <c r="D5975" s="249"/>
      <c r="E5975" s="249"/>
      <c r="T5975" s="261"/>
    </row>
    <row r="5976" spans="2:20" x14ac:dyDescent="0.2">
      <c r="B5976" s="245"/>
      <c r="C5976" s="248"/>
      <c r="D5976" s="249"/>
      <c r="E5976" s="249"/>
      <c r="T5976" s="261"/>
    </row>
    <row r="5977" spans="2:20" x14ac:dyDescent="0.2">
      <c r="B5977" s="245"/>
      <c r="C5977" s="248"/>
      <c r="D5977" s="249"/>
      <c r="E5977" s="249"/>
      <c r="T5977" s="261"/>
    </row>
    <row r="5978" spans="2:20" x14ac:dyDescent="0.2">
      <c r="B5978" s="245"/>
      <c r="C5978" s="248"/>
      <c r="D5978" s="249"/>
      <c r="E5978" s="249"/>
      <c r="T5978" s="261"/>
    </row>
    <row r="5979" spans="2:20" x14ac:dyDescent="0.2">
      <c r="B5979" s="245"/>
      <c r="C5979" s="248"/>
      <c r="D5979" s="249"/>
      <c r="E5979" s="249"/>
      <c r="T5979" s="261"/>
    </row>
    <row r="5980" spans="2:20" x14ac:dyDescent="0.2">
      <c r="B5980" s="245"/>
      <c r="C5980" s="248"/>
      <c r="D5980" s="249"/>
      <c r="E5980" s="249"/>
      <c r="T5980" s="261"/>
    </row>
    <row r="5981" spans="2:20" x14ac:dyDescent="0.2">
      <c r="B5981" s="245"/>
      <c r="C5981" s="248"/>
      <c r="D5981" s="249"/>
      <c r="E5981" s="249"/>
      <c r="T5981" s="261"/>
    </row>
    <row r="5982" spans="2:20" x14ac:dyDescent="0.2">
      <c r="B5982" s="245"/>
      <c r="C5982" s="248"/>
      <c r="D5982" s="249"/>
      <c r="E5982" s="249"/>
      <c r="T5982" s="261"/>
    </row>
    <row r="5983" spans="2:20" x14ac:dyDescent="0.2">
      <c r="B5983" s="245"/>
      <c r="C5983" s="248"/>
      <c r="D5983" s="249"/>
      <c r="E5983" s="249"/>
      <c r="T5983" s="261"/>
    </row>
    <row r="5984" spans="2:20" x14ac:dyDescent="0.2">
      <c r="B5984" s="245"/>
      <c r="C5984" s="248"/>
      <c r="D5984" s="249"/>
      <c r="E5984" s="249"/>
      <c r="T5984" s="261"/>
    </row>
    <row r="5985" spans="2:20" x14ac:dyDescent="0.2">
      <c r="B5985" s="245"/>
      <c r="C5985" s="248"/>
      <c r="D5985" s="249"/>
      <c r="E5985" s="249"/>
      <c r="T5985" s="261"/>
    </row>
    <row r="5986" spans="2:20" x14ac:dyDescent="0.2">
      <c r="B5986" s="245"/>
      <c r="C5986" s="248"/>
      <c r="D5986" s="249"/>
      <c r="E5986" s="249"/>
      <c r="T5986" s="261"/>
    </row>
    <row r="5987" spans="2:20" x14ac:dyDescent="0.2">
      <c r="B5987" s="245"/>
      <c r="C5987" s="248"/>
      <c r="D5987" s="249"/>
      <c r="E5987" s="249"/>
      <c r="T5987" s="261"/>
    </row>
    <row r="5988" spans="2:20" x14ac:dyDescent="0.2">
      <c r="B5988" s="245"/>
      <c r="C5988" s="248"/>
      <c r="D5988" s="249"/>
      <c r="E5988" s="249"/>
      <c r="T5988" s="261"/>
    </row>
    <row r="5989" spans="2:20" x14ac:dyDescent="0.2">
      <c r="B5989" s="245"/>
      <c r="C5989" s="248"/>
      <c r="D5989" s="249"/>
      <c r="E5989" s="249"/>
      <c r="T5989" s="261"/>
    </row>
    <row r="5990" spans="2:20" x14ac:dyDescent="0.2">
      <c r="B5990" s="245"/>
      <c r="C5990" s="248"/>
      <c r="D5990" s="249"/>
      <c r="E5990" s="249"/>
      <c r="T5990" s="261"/>
    </row>
    <row r="5991" spans="2:20" x14ac:dyDescent="0.2">
      <c r="B5991" s="245"/>
      <c r="C5991" s="248"/>
      <c r="D5991" s="249"/>
      <c r="E5991" s="249"/>
      <c r="T5991" s="261"/>
    </row>
    <row r="5992" spans="2:20" x14ac:dyDescent="0.2">
      <c r="B5992" s="245"/>
      <c r="C5992" s="248"/>
      <c r="D5992" s="249"/>
      <c r="E5992" s="249"/>
      <c r="T5992" s="261"/>
    </row>
    <row r="5993" spans="2:20" x14ac:dyDescent="0.2">
      <c r="B5993" s="245"/>
      <c r="C5993" s="248"/>
      <c r="D5993" s="249"/>
      <c r="E5993" s="249"/>
      <c r="T5993" s="261"/>
    </row>
    <row r="5994" spans="2:20" x14ac:dyDescent="0.2">
      <c r="B5994" s="245"/>
      <c r="C5994" s="248"/>
      <c r="D5994" s="249"/>
      <c r="E5994" s="249"/>
      <c r="T5994" s="261"/>
    </row>
    <row r="5995" spans="2:20" x14ac:dyDescent="0.2">
      <c r="B5995" s="245"/>
      <c r="C5995" s="248"/>
      <c r="D5995" s="249"/>
      <c r="E5995" s="249"/>
      <c r="T5995" s="261"/>
    </row>
    <row r="5996" spans="2:20" x14ac:dyDescent="0.2">
      <c r="B5996" s="245"/>
      <c r="C5996" s="248"/>
      <c r="D5996" s="249"/>
      <c r="E5996" s="249"/>
      <c r="T5996" s="261"/>
    </row>
    <row r="5997" spans="2:20" x14ac:dyDescent="0.2">
      <c r="B5997" s="245"/>
      <c r="C5997" s="248"/>
      <c r="D5997" s="249"/>
      <c r="E5997" s="249"/>
      <c r="T5997" s="261"/>
    </row>
    <row r="5998" spans="2:20" x14ac:dyDescent="0.2">
      <c r="B5998" s="245"/>
      <c r="C5998" s="248"/>
      <c r="D5998" s="249"/>
      <c r="E5998" s="249"/>
      <c r="T5998" s="261"/>
    </row>
    <row r="5999" spans="2:20" x14ac:dyDescent="0.2">
      <c r="B5999" s="245"/>
      <c r="C5999" s="248"/>
      <c r="D5999" s="249"/>
      <c r="E5999" s="249"/>
      <c r="T5999" s="261"/>
    </row>
    <row r="6000" spans="2:20" x14ac:dyDescent="0.2">
      <c r="B6000" s="245"/>
      <c r="C6000" s="248"/>
      <c r="D6000" s="249"/>
      <c r="E6000" s="249"/>
      <c r="T6000" s="261"/>
    </row>
    <row r="6001" spans="2:20" x14ac:dyDescent="0.2">
      <c r="B6001" s="245"/>
      <c r="C6001" s="248"/>
      <c r="D6001" s="249"/>
      <c r="E6001" s="249"/>
      <c r="T6001" s="261"/>
    </row>
    <row r="6002" spans="2:20" x14ac:dyDescent="0.2">
      <c r="B6002" s="245"/>
      <c r="C6002" s="248"/>
      <c r="D6002" s="249"/>
      <c r="E6002" s="249"/>
      <c r="T6002" s="261"/>
    </row>
    <row r="6003" spans="2:20" x14ac:dyDescent="0.2">
      <c r="B6003" s="245"/>
      <c r="C6003" s="248"/>
      <c r="D6003" s="249"/>
      <c r="E6003" s="249"/>
      <c r="T6003" s="261"/>
    </row>
    <row r="6004" spans="2:20" x14ac:dyDescent="0.2">
      <c r="B6004" s="245"/>
      <c r="C6004" s="248"/>
      <c r="D6004" s="249"/>
      <c r="E6004" s="249"/>
      <c r="T6004" s="261"/>
    </row>
    <row r="6005" spans="2:20" x14ac:dyDescent="0.2">
      <c r="B6005" s="245"/>
      <c r="C6005" s="248"/>
      <c r="D6005" s="249"/>
      <c r="E6005" s="249"/>
      <c r="T6005" s="261"/>
    </row>
    <row r="6006" spans="2:20" x14ac:dyDescent="0.2">
      <c r="B6006" s="245"/>
      <c r="C6006" s="248"/>
      <c r="D6006" s="249"/>
      <c r="E6006" s="249"/>
      <c r="T6006" s="261"/>
    </row>
    <row r="6007" spans="2:20" x14ac:dyDescent="0.2">
      <c r="B6007" s="245"/>
      <c r="C6007" s="248"/>
      <c r="D6007" s="249"/>
      <c r="E6007" s="249"/>
      <c r="T6007" s="261"/>
    </row>
    <row r="6008" spans="2:20" x14ac:dyDescent="0.2">
      <c r="B6008" s="245"/>
      <c r="C6008" s="248"/>
      <c r="D6008" s="249"/>
      <c r="E6008" s="249"/>
      <c r="T6008" s="261"/>
    </row>
    <row r="6009" spans="2:20" x14ac:dyDescent="0.2">
      <c r="B6009" s="245"/>
      <c r="C6009" s="248"/>
      <c r="D6009" s="249"/>
      <c r="E6009" s="249"/>
      <c r="T6009" s="261"/>
    </row>
    <row r="6010" spans="2:20" x14ac:dyDescent="0.2">
      <c r="B6010" s="245"/>
      <c r="C6010" s="248"/>
      <c r="D6010" s="249"/>
      <c r="E6010" s="249"/>
      <c r="T6010" s="261"/>
    </row>
    <row r="6011" spans="2:20" x14ac:dyDescent="0.2">
      <c r="B6011" s="245"/>
      <c r="C6011" s="248"/>
      <c r="D6011" s="249"/>
      <c r="E6011" s="249"/>
      <c r="T6011" s="261"/>
    </row>
    <row r="6012" spans="2:20" x14ac:dyDescent="0.2">
      <c r="B6012" s="245"/>
      <c r="C6012" s="248"/>
      <c r="D6012" s="249"/>
      <c r="E6012" s="249"/>
      <c r="T6012" s="261"/>
    </row>
    <row r="6013" spans="2:20" x14ac:dyDescent="0.2">
      <c r="B6013" s="245"/>
      <c r="C6013" s="248"/>
      <c r="D6013" s="249"/>
      <c r="E6013" s="249"/>
      <c r="T6013" s="261"/>
    </row>
    <row r="6014" spans="2:20" x14ac:dyDescent="0.2">
      <c r="B6014" s="245"/>
      <c r="C6014" s="248"/>
      <c r="D6014" s="249"/>
      <c r="E6014" s="249"/>
      <c r="T6014" s="261"/>
    </row>
    <row r="6015" spans="2:20" x14ac:dyDescent="0.2">
      <c r="B6015" s="245"/>
      <c r="C6015" s="248"/>
      <c r="D6015" s="249"/>
      <c r="E6015" s="249"/>
      <c r="T6015" s="261"/>
    </row>
    <row r="6016" spans="2:20" x14ac:dyDescent="0.2">
      <c r="B6016" s="245"/>
      <c r="C6016" s="248"/>
      <c r="D6016" s="249"/>
      <c r="E6016" s="249"/>
      <c r="T6016" s="261"/>
    </row>
    <row r="6017" spans="2:20" x14ac:dyDescent="0.2">
      <c r="B6017" s="245"/>
      <c r="C6017" s="248"/>
      <c r="D6017" s="249"/>
      <c r="E6017" s="249"/>
      <c r="T6017" s="261"/>
    </row>
    <row r="6018" spans="2:20" x14ac:dyDescent="0.2">
      <c r="B6018" s="245"/>
      <c r="C6018" s="248"/>
      <c r="D6018" s="249"/>
      <c r="E6018" s="249"/>
      <c r="T6018" s="261"/>
    </row>
    <row r="6019" spans="2:20" x14ac:dyDescent="0.2">
      <c r="B6019" s="245"/>
      <c r="C6019" s="248"/>
      <c r="D6019" s="249"/>
      <c r="E6019" s="249"/>
      <c r="T6019" s="261"/>
    </row>
    <row r="6020" spans="2:20" x14ac:dyDescent="0.2">
      <c r="B6020" s="245"/>
      <c r="C6020" s="248"/>
      <c r="D6020" s="249"/>
      <c r="E6020" s="249"/>
      <c r="T6020" s="261"/>
    </row>
    <row r="6021" spans="2:20" x14ac:dyDescent="0.2">
      <c r="B6021" s="245"/>
      <c r="C6021" s="248"/>
      <c r="D6021" s="249"/>
      <c r="E6021" s="249"/>
      <c r="T6021" s="261"/>
    </row>
    <row r="6022" spans="2:20" x14ac:dyDescent="0.2">
      <c r="B6022" s="245"/>
      <c r="C6022" s="248"/>
      <c r="D6022" s="249"/>
      <c r="E6022" s="249"/>
      <c r="T6022" s="261"/>
    </row>
    <row r="6023" spans="2:20" x14ac:dyDescent="0.2">
      <c r="B6023" s="245"/>
      <c r="C6023" s="248"/>
      <c r="D6023" s="249"/>
      <c r="E6023" s="249"/>
      <c r="T6023" s="261"/>
    </row>
    <row r="6024" spans="2:20" x14ac:dyDescent="0.2">
      <c r="B6024" s="245"/>
      <c r="C6024" s="248"/>
      <c r="D6024" s="249"/>
      <c r="E6024" s="249"/>
      <c r="T6024" s="261"/>
    </row>
    <row r="6025" spans="2:20" x14ac:dyDescent="0.2">
      <c r="B6025" s="245"/>
      <c r="C6025" s="248"/>
      <c r="D6025" s="249"/>
      <c r="E6025" s="249"/>
      <c r="T6025" s="261"/>
    </row>
    <row r="6026" spans="2:20" x14ac:dyDescent="0.2">
      <c r="B6026" s="245"/>
      <c r="C6026" s="248"/>
      <c r="D6026" s="249"/>
      <c r="E6026" s="249"/>
      <c r="T6026" s="261"/>
    </row>
    <row r="6027" spans="2:20" x14ac:dyDescent="0.2">
      <c r="B6027" s="245"/>
      <c r="C6027" s="248"/>
      <c r="D6027" s="249"/>
      <c r="E6027" s="249"/>
      <c r="T6027" s="261"/>
    </row>
    <row r="6028" spans="2:20" x14ac:dyDescent="0.2">
      <c r="B6028" s="245"/>
      <c r="C6028" s="248"/>
      <c r="D6028" s="249"/>
      <c r="E6028" s="249"/>
      <c r="T6028" s="261"/>
    </row>
    <row r="6029" spans="2:20" x14ac:dyDescent="0.2">
      <c r="B6029" s="245"/>
      <c r="C6029" s="248"/>
      <c r="D6029" s="249"/>
      <c r="E6029" s="249"/>
      <c r="T6029" s="261"/>
    </row>
    <row r="6030" spans="2:20" x14ac:dyDescent="0.2">
      <c r="B6030" s="245"/>
      <c r="C6030" s="248"/>
      <c r="D6030" s="249"/>
      <c r="E6030" s="249"/>
      <c r="T6030" s="261"/>
    </row>
    <row r="6031" spans="2:20" x14ac:dyDescent="0.2">
      <c r="B6031" s="245"/>
      <c r="C6031" s="248"/>
      <c r="D6031" s="249"/>
      <c r="E6031" s="249"/>
      <c r="T6031" s="261"/>
    </row>
    <row r="6032" spans="2:20" x14ac:dyDescent="0.2">
      <c r="B6032" s="245"/>
      <c r="C6032" s="248"/>
      <c r="D6032" s="249"/>
      <c r="E6032" s="249"/>
      <c r="T6032" s="261"/>
    </row>
    <row r="6033" spans="2:20" x14ac:dyDescent="0.2">
      <c r="B6033" s="245"/>
      <c r="C6033" s="248"/>
      <c r="D6033" s="249"/>
      <c r="E6033" s="249"/>
      <c r="T6033" s="261"/>
    </row>
    <row r="6034" spans="2:20" x14ac:dyDescent="0.2">
      <c r="B6034" s="245"/>
      <c r="C6034" s="248"/>
      <c r="D6034" s="249"/>
      <c r="E6034" s="249"/>
      <c r="T6034" s="261"/>
    </row>
    <row r="6035" spans="2:20" x14ac:dyDescent="0.2">
      <c r="B6035" s="245"/>
      <c r="C6035" s="248"/>
      <c r="D6035" s="249"/>
      <c r="E6035" s="249"/>
      <c r="T6035" s="261"/>
    </row>
    <row r="6036" spans="2:20" x14ac:dyDescent="0.2">
      <c r="B6036" s="245"/>
      <c r="C6036" s="248"/>
      <c r="D6036" s="249"/>
      <c r="E6036" s="249"/>
      <c r="T6036" s="261"/>
    </row>
    <row r="6037" spans="2:20" x14ac:dyDescent="0.2">
      <c r="B6037" s="245"/>
      <c r="C6037" s="248"/>
      <c r="D6037" s="249"/>
      <c r="E6037" s="249"/>
      <c r="T6037" s="261"/>
    </row>
    <row r="6038" spans="2:20" x14ac:dyDescent="0.2">
      <c r="B6038" s="245"/>
      <c r="C6038" s="248"/>
      <c r="D6038" s="249"/>
      <c r="E6038" s="249"/>
      <c r="T6038" s="261"/>
    </row>
    <row r="6039" spans="2:20" x14ac:dyDescent="0.2">
      <c r="B6039" s="245"/>
      <c r="C6039" s="248"/>
      <c r="D6039" s="249"/>
      <c r="E6039" s="249"/>
      <c r="T6039" s="261"/>
    </row>
    <row r="6040" spans="2:20" x14ac:dyDescent="0.2">
      <c r="B6040" s="245"/>
      <c r="C6040" s="248"/>
      <c r="D6040" s="249"/>
      <c r="E6040" s="249"/>
      <c r="T6040" s="261"/>
    </row>
    <row r="6041" spans="2:20" x14ac:dyDescent="0.2">
      <c r="B6041" s="245"/>
      <c r="C6041" s="248"/>
      <c r="D6041" s="249"/>
      <c r="E6041" s="249"/>
      <c r="T6041" s="261"/>
    </row>
    <row r="6042" spans="2:20" x14ac:dyDescent="0.2">
      <c r="B6042" s="245"/>
      <c r="C6042" s="248"/>
      <c r="D6042" s="249"/>
      <c r="E6042" s="249"/>
      <c r="T6042" s="261"/>
    </row>
    <row r="6043" spans="2:20" x14ac:dyDescent="0.2">
      <c r="B6043" s="245"/>
      <c r="C6043" s="248"/>
      <c r="D6043" s="249"/>
      <c r="E6043" s="249"/>
      <c r="T6043" s="261"/>
    </row>
    <row r="6044" spans="2:20" x14ac:dyDescent="0.2">
      <c r="B6044" s="245"/>
      <c r="C6044" s="248"/>
      <c r="D6044" s="249"/>
      <c r="E6044" s="249"/>
      <c r="T6044" s="261"/>
    </row>
    <row r="6045" spans="2:20" x14ac:dyDescent="0.2">
      <c r="B6045" s="245"/>
      <c r="C6045" s="248"/>
      <c r="D6045" s="249"/>
      <c r="E6045" s="249"/>
      <c r="T6045" s="261"/>
    </row>
    <row r="6046" spans="2:20" x14ac:dyDescent="0.2">
      <c r="B6046" s="245"/>
      <c r="C6046" s="248"/>
      <c r="D6046" s="249"/>
      <c r="E6046" s="249"/>
      <c r="T6046" s="261"/>
    </row>
    <row r="6047" spans="2:20" x14ac:dyDescent="0.2">
      <c r="B6047" s="245"/>
      <c r="C6047" s="248"/>
      <c r="D6047" s="249"/>
      <c r="E6047" s="249"/>
      <c r="T6047" s="261"/>
    </row>
    <row r="6048" spans="2:20" x14ac:dyDescent="0.2">
      <c r="B6048" s="245"/>
      <c r="C6048" s="248"/>
      <c r="D6048" s="249"/>
      <c r="E6048" s="249"/>
      <c r="T6048" s="261"/>
    </row>
    <row r="6049" spans="2:20" x14ac:dyDescent="0.2">
      <c r="B6049" s="245"/>
      <c r="C6049" s="248"/>
      <c r="D6049" s="249"/>
      <c r="E6049" s="249"/>
      <c r="T6049" s="261"/>
    </row>
    <row r="6050" spans="2:20" x14ac:dyDescent="0.2">
      <c r="B6050" s="245"/>
      <c r="C6050" s="248"/>
      <c r="D6050" s="249"/>
      <c r="E6050" s="249"/>
      <c r="T6050" s="261"/>
    </row>
    <row r="6051" spans="2:20" x14ac:dyDescent="0.2">
      <c r="B6051" s="245"/>
      <c r="C6051" s="248"/>
      <c r="D6051" s="249"/>
      <c r="E6051" s="249"/>
      <c r="T6051" s="261"/>
    </row>
    <row r="6052" spans="2:20" x14ac:dyDescent="0.2">
      <c r="B6052" s="245"/>
      <c r="C6052" s="248"/>
      <c r="D6052" s="249"/>
      <c r="E6052" s="249"/>
      <c r="T6052" s="261"/>
    </row>
    <row r="6053" spans="2:20" x14ac:dyDescent="0.2">
      <c r="B6053" s="245"/>
      <c r="C6053" s="248"/>
      <c r="D6053" s="249"/>
      <c r="E6053" s="249"/>
      <c r="T6053" s="261"/>
    </row>
    <row r="6054" spans="2:20" x14ac:dyDescent="0.2">
      <c r="B6054" s="245"/>
      <c r="C6054" s="248"/>
      <c r="D6054" s="249"/>
      <c r="E6054" s="249"/>
      <c r="T6054" s="261"/>
    </row>
    <row r="6055" spans="2:20" x14ac:dyDescent="0.2">
      <c r="B6055" s="245"/>
      <c r="C6055" s="248"/>
      <c r="D6055" s="249"/>
      <c r="E6055" s="249"/>
      <c r="T6055" s="261"/>
    </row>
    <row r="6056" spans="2:20" x14ac:dyDescent="0.2">
      <c r="B6056" s="245"/>
      <c r="C6056" s="248"/>
      <c r="D6056" s="249"/>
      <c r="E6056" s="249"/>
      <c r="T6056" s="261"/>
    </row>
    <row r="6057" spans="2:20" x14ac:dyDescent="0.2">
      <c r="B6057" s="245"/>
      <c r="C6057" s="248"/>
      <c r="D6057" s="249"/>
      <c r="E6057" s="249"/>
      <c r="T6057" s="261"/>
    </row>
    <row r="6058" spans="2:20" x14ac:dyDescent="0.2">
      <c r="B6058" s="245"/>
      <c r="C6058" s="248"/>
      <c r="D6058" s="249"/>
      <c r="E6058" s="249"/>
      <c r="T6058" s="261"/>
    </row>
    <row r="6059" spans="2:20" x14ac:dyDescent="0.2">
      <c r="B6059" s="245"/>
      <c r="C6059" s="248"/>
      <c r="D6059" s="249"/>
      <c r="E6059" s="249"/>
      <c r="T6059" s="261"/>
    </row>
    <row r="6060" spans="2:20" x14ac:dyDescent="0.2">
      <c r="B6060" s="245"/>
      <c r="C6060" s="248"/>
      <c r="D6060" s="249"/>
      <c r="E6060" s="249"/>
      <c r="T6060" s="261"/>
    </row>
    <row r="6061" spans="2:20" x14ac:dyDescent="0.2">
      <c r="B6061" s="245"/>
      <c r="C6061" s="248"/>
      <c r="D6061" s="249"/>
      <c r="E6061" s="249"/>
      <c r="T6061" s="261"/>
    </row>
    <row r="6062" spans="2:20" x14ac:dyDescent="0.2">
      <c r="B6062" s="245"/>
      <c r="C6062" s="248"/>
      <c r="D6062" s="249"/>
      <c r="E6062" s="249"/>
      <c r="T6062" s="261"/>
    </row>
    <row r="6063" spans="2:20" x14ac:dyDescent="0.2">
      <c r="B6063" s="245"/>
      <c r="C6063" s="248"/>
      <c r="D6063" s="249"/>
      <c r="E6063" s="249"/>
      <c r="T6063" s="261"/>
    </row>
    <row r="6064" spans="2:20" x14ac:dyDescent="0.2">
      <c r="B6064" s="245"/>
      <c r="C6064" s="248"/>
      <c r="D6064" s="249"/>
      <c r="E6064" s="249"/>
      <c r="T6064" s="261"/>
    </row>
    <row r="6065" spans="2:20" x14ac:dyDescent="0.2">
      <c r="B6065" s="245"/>
      <c r="C6065" s="248"/>
      <c r="D6065" s="249"/>
      <c r="E6065" s="249"/>
      <c r="T6065" s="261"/>
    </row>
    <row r="6066" spans="2:20" x14ac:dyDescent="0.2">
      <c r="B6066" s="245"/>
      <c r="C6066" s="248"/>
      <c r="D6066" s="249"/>
      <c r="E6066" s="249"/>
      <c r="T6066" s="261"/>
    </row>
    <row r="6067" spans="2:20" x14ac:dyDescent="0.2">
      <c r="B6067" s="245"/>
      <c r="C6067" s="248"/>
      <c r="D6067" s="249"/>
      <c r="E6067" s="249"/>
      <c r="T6067" s="261"/>
    </row>
    <row r="6068" spans="2:20" x14ac:dyDescent="0.2">
      <c r="B6068" s="245"/>
      <c r="C6068" s="248"/>
      <c r="D6068" s="249"/>
      <c r="E6068" s="249"/>
      <c r="T6068" s="261"/>
    </row>
    <row r="6069" spans="2:20" x14ac:dyDescent="0.2">
      <c r="B6069" s="245"/>
      <c r="C6069" s="248"/>
      <c r="D6069" s="249"/>
      <c r="E6069" s="249"/>
      <c r="T6069" s="261"/>
    </row>
    <row r="6070" spans="2:20" x14ac:dyDescent="0.2">
      <c r="B6070" s="245"/>
      <c r="C6070" s="248"/>
      <c r="D6070" s="249"/>
      <c r="E6070" s="249"/>
      <c r="T6070" s="261"/>
    </row>
    <row r="6071" spans="2:20" x14ac:dyDescent="0.2">
      <c r="B6071" s="245"/>
      <c r="C6071" s="248"/>
      <c r="D6071" s="249"/>
      <c r="E6071" s="249"/>
      <c r="T6071" s="261"/>
    </row>
    <row r="6072" spans="2:20" x14ac:dyDescent="0.2">
      <c r="B6072" s="245"/>
      <c r="C6072" s="248"/>
      <c r="D6072" s="249"/>
      <c r="E6072" s="249"/>
      <c r="T6072" s="261"/>
    </row>
    <row r="6073" spans="2:20" x14ac:dyDescent="0.2">
      <c r="B6073" s="245"/>
      <c r="C6073" s="248"/>
      <c r="D6073" s="249"/>
      <c r="E6073" s="249"/>
      <c r="T6073" s="261"/>
    </row>
    <row r="6074" spans="2:20" x14ac:dyDescent="0.2">
      <c r="B6074" s="245"/>
      <c r="C6074" s="248"/>
      <c r="D6074" s="249"/>
      <c r="E6074" s="249"/>
      <c r="T6074" s="261"/>
    </row>
    <row r="6075" spans="2:20" x14ac:dyDescent="0.2">
      <c r="B6075" s="245"/>
      <c r="C6075" s="248"/>
      <c r="D6075" s="249"/>
      <c r="E6075" s="249"/>
      <c r="T6075" s="261"/>
    </row>
    <row r="6076" spans="2:20" x14ac:dyDescent="0.2">
      <c r="B6076" s="245"/>
      <c r="C6076" s="248"/>
      <c r="D6076" s="249"/>
      <c r="E6076" s="249"/>
      <c r="T6076" s="261"/>
    </row>
    <row r="6077" spans="2:20" x14ac:dyDescent="0.2">
      <c r="B6077" s="245"/>
      <c r="C6077" s="248"/>
      <c r="D6077" s="249"/>
      <c r="E6077" s="249"/>
      <c r="T6077" s="261"/>
    </row>
    <row r="6078" spans="2:20" x14ac:dyDescent="0.2">
      <c r="B6078" s="245"/>
      <c r="C6078" s="248"/>
      <c r="D6078" s="249"/>
      <c r="E6078" s="249"/>
      <c r="T6078" s="261"/>
    </row>
    <row r="6079" spans="2:20" x14ac:dyDescent="0.2">
      <c r="B6079" s="245"/>
      <c r="C6079" s="248"/>
      <c r="D6079" s="249"/>
      <c r="E6079" s="249"/>
      <c r="T6079" s="261"/>
    </row>
    <row r="6080" spans="2:20" x14ac:dyDescent="0.2">
      <c r="B6080" s="245"/>
      <c r="C6080" s="248"/>
      <c r="D6080" s="249"/>
      <c r="E6080" s="249"/>
      <c r="T6080" s="261"/>
    </row>
    <row r="6081" spans="2:20" x14ac:dyDescent="0.2">
      <c r="B6081" s="245"/>
      <c r="C6081" s="248"/>
      <c r="D6081" s="249"/>
      <c r="E6081" s="249"/>
      <c r="T6081" s="261"/>
    </row>
    <row r="6082" spans="2:20" x14ac:dyDescent="0.2">
      <c r="B6082" s="245"/>
      <c r="C6082" s="248"/>
      <c r="D6082" s="249"/>
      <c r="E6082" s="249"/>
      <c r="T6082" s="261"/>
    </row>
    <row r="6083" spans="2:20" x14ac:dyDescent="0.2">
      <c r="B6083" s="245"/>
      <c r="C6083" s="248"/>
      <c r="D6083" s="249"/>
      <c r="E6083" s="249"/>
      <c r="T6083" s="261"/>
    </row>
    <row r="6084" spans="2:20" x14ac:dyDescent="0.2">
      <c r="B6084" s="245"/>
      <c r="C6084" s="248"/>
      <c r="D6084" s="249"/>
      <c r="E6084" s="249"/>
      <c r="T6084" s="261"/>
    </row>
    <row r="6085" spans="2:20" x14ac:dyDescent="0.2">
      <c r="B6085" s="245"/>
      <c r="C6085" s="248"/>
      <c r="D6085" s="249"/>
      <c r="E6085" s="249"/>
      <c r="T6085" s="261"/>
    </row>
    <row r="6086" spans="2:20" x14ac:dyDescent="0.2">
      <c r="B6086" s="245"/>
      <c r="C6086" s="248"/>
      <c r="D6086" s="249"/>
      <c r="E6086" s="249"/>
      <c r="T6086" s="261"/>
    </row>
    <row r="6087" spans="2:20" x14ac:dyDescent="0.2">
      <c r="B6087" s="245"/>
      <c r="C6087" s="248"/>
      <c r="D6087" s="249"/>
      <c r="E6087" s="249"/>
      <c r="T6087" s="261"/>
    </row>
    <row r="6088" spans="2:20" x14ac:dyDescent="0.2">
      <c r="B6088" s="245"/>
      <c r="C6088" s="248"/>
      <c r="D6088" s="249"/>
      <c r="E6088" s="249"/>
      <c r="T6088" s="261"/>
    </row>
    <row r="6089" spans="2:20" x14ac:dyDescent="0.2">
      <c r="B6089" s="245"/>
      <c r="C6089" s="248"/>
      <c r="D6089" s="249"/>
      <c r="E6089" s="249"/>
      <c r="T6089" s="261"/>
    </row>
    <row r="6090" spans="2:20" x14ac:dyDescent="0.2">
      <c r="B6090" s="245"/>
      <c r="C6090" s="248"/>
      <c r="D6090" s="249"/>
      <c r="E6090" s="249"/>
      <c r="T6090" s="261"/>
    </row>
    <row r="6091" spans="2:20" x14ac:dyDescent="0.2">
      <c r="B6091" s="245"/>
      <c r="C6091" s="248"/>
      <c r="D6091" s="249"/>
      <c r="E6091" s="249"/>
      <c r="T6091" s="261"/>
    </row>
    <row r="6092" spans="2:20" x14ac:dyDescent="0.2">
      <c r="B6092" s="245"/>
      <c r="C6092" s="248"/>
      <c r="D6092" s="249"/>
      <c r="E6092" s="249"/>
      <c r="T6092" s="261"/>
    </row>
    <row r="6093" spans="2:20" x14ac:dyDescent="0.2">
      <c r="B6093" s="245"/>
      <c r="C6093" s="248"/>
      <c r="D6093" s="249"/>
      <c r="E6093" s="249"/>
      <c r="T6093" s="261"/>
    </row>
    <row r="6094" spans="2:20" x14ac:dyDescent="0.2">
      <c r="B6094" s="245"/>
      <c r="C6094" s="248"/>
      <c r="D6094" s="249"/>
      <c r="E6094" s="249"/>
      <c r="T6094" s="261"/>
    </row>
    <row r="6095" spans="2:20" x14ac:dyDescent="0.2">
      <c r="B6095" s="245"/>
      <c r="C6095" s="248"/>
      <c r="D6095" s="249"/>
      <c r="E6095" s="249"/>
      <c r="T6095" s="261"/>
    </row>
    <row r="6096" spans="2:20" x14ac:dyDescent="0.2">
      <c r="B6096" s="245"/>
      <c r="C6096" s="248"/>
      <c r="D6096" s="249"/>
      <c r="E6096" s="249"/>
      <c r="T6096" s="261"/>
    </row>
    <row r="6097" spans="2:20" x14ac:dyDescent="0.2">
      <c r="B6097" s="245"/>
      <c r="C6097" s="248"/>
      <c r="D6097" s="249"/>
      <c r="E6097" s="249"/>
      <c r="T6097" s="261"/>
    </row>
    <row r="6098" spans="2:20" x14ac:dyDescent="0.2">
      <c r="B6098" s="245"/>
      <c r="C6098" s="248"/>
      <c r="D6098" s="249"/>
      <c r="E6098" s="249"/>
      <c r="T6098" s="261"/>
    </row>
    <row r="6099" spans="2:20" x14ac:dyDescent="0.2">
      <c r="B6099" s="245"/>
      <c r="C6099" s="248"/>
      <c r="D6099" s="249"/>
      <c r="E6099" s="249"/>
      <c r="T6099" s="261"/>
    </row>
    <row r="6100" spans="2:20" x14ac:dyDescent="0.2">
      <c r="B6100" s="245"/>
      <c r="C6100" s="248"/>
      <c r="D6100" s="249"/>
      <c r="E6100" s="249"/>
      <c r="T6100" s="261"/>
    </row>
    <row r="6101" spans="2:20" x14ac:dyDescent="0.2">
      <c r="B6101" s="245"/>
      <c r="C6101" s="248"/>
      <c r="D6101" s="249"/>
      <c r="E6101" s="249"/>
      <c r="T6101" s="261"/>
    </row>
    <row r="6102" spans="2:20" x14ac:dyDescent="0.2">
      <c r="B6102" s="245"/>
      <c r="C6102" s="248"/>
      <c r="D6102" s="249"/>
      <c r="E6102" s="249"/>
      <c r="T6102" s="261"/>
    </row>
    <row r="6103" spans="2:20" x14ac:dyDescent="0.2">
      <c r="B6103" s="245"/>
      <c r="C6103" s="248"/>
      <c r="D6103" s="249"/>
      <c r="E6103" s="249"/>
      <c r="T6103" s="261"/>
    </row>
    <row r="6104" spans="2:20" x14ac:dyDescent="0.2">
      <c r="B6104" s="245"/>
      <c r="C6104" s="248"/>
      <c r="D6104" s="249"/>
      <c r="E6104" s="249"/>
      <c r="T6104" s="261"/>
    </row>
    <row r="6105" spans="2:20" x14ac:dyDescent="0.2">
      <c r="B6105" s="245"/>
      <c r="C6105" s="248"/>
      <c r="D6105" s="249"/>
      <c r="E6105" s="249"/>
      <c r="T6105" s="261"/>
    </row>
    <row r="6106" spans="2:20" x14ac:dyDescent="0.2">
      <c r="B6106" s="245"/>
      <c r="C6106" s="248"/>
      <c r="D6106" s="249"/>
      <c r="E6106" s="249"/>
      <c r="T6106" s="261"/>
    </row>
    <row r="6107" spans="2:20" x14ac:dyDescent="0.2">
      <c r="B6107" s="245"/>
      <c r="C6107" s="248"/>
      <c r="D6107" s="249"/>
      <c r="E6107" s="249"/>
      <c r="T6107" s="261"/>
    </row>
    <row r="6108" spans="2:20" x14ac:dyDescent="0.2">
      <c r="B6108" s="245"/>
      <c r="C6108" s="248"/>
      <c r="D6108" s="249"/>
      <c r="E6108" s="249"/>
      <c r="T6108" s="261"/>
    </row>
    <row r="6109" spans="2:20" x14ac:dyDescent="0.2">
      <c r="B6109" s="245"/>
      <c r="C6109" s="248"/>
      <c r="D6109" s="249"/>
      <c r="E6109" s="249"/>
      <c r="T6109" s="261"/>
    </row>
    <row r="6110" spans="2:20" x14ac:dyDescent="0.2">
      <c r="B6110" s="245"/>
      <c r="C6110" s="248"/>
      <c r="D6110" s="249"/>
      <c r="E6110" s="249"/>
      <c r="T6110" s="261"/>
    </row>
    <row r="6111" spans="2:20" x14ac:dyDescent="0.2">
      <c r="B6111" s="245"/>
      <c r="C6111" s="248"/>
      <c r="D6111" s="249"/>
      <c r="E6111" s="249"/>
      <c r="T6111" s="261"/>
    </row>
    <row r="6112" spans="2:20" x14ac:dyDescent="0.2">
      <c r="B6112" s="245"/>
      <c r="C6112" s="248"/>
      <c r="D6112" s="249"/>
      <c r="E6112" s="249"/>
      <c r="T6112" s="261"/>
    </row>
    <row r="6113" spans="2:20" x14ac:dyDescent="0.2">
      <c r="B6113" s="245"/>
      <c r="C6113" s="248"/>
      <c r="D6113" s="249"/>
      <c r="E6113" s="249"/>
      <c r="T6113" s="261"/>
    </row>
    <row r="6114" spans="2:20" x14ac:dyDescent="0.2">
      <c r="B6114" s="245"/>
      <c r="C6114" s="248"/>
      <c r="D6114" s="249"/>
      <c r="E6114" s="249"/>
      <c r="T6114" s="261"/>
    </row>
    <row r="6115" spans="2:20" x14ac:dyDescent="0.2">
      <c r="B6115" s="245"/>
      <c r="C6115" s="248"/>
      <c r="D6115" s="249"/>
      <c r="E6115" s="249"/>
      <c r="T6115" s="261"/>
    </row>
    <row r="6116" spans="2:20" x14ac:dyDescent="0.2">
      <c r="B6116" s="245"/>
      <c r="C6116" s="248"/>
      <c r="D6116" s="249"/>
      <c r="E6116" s="249"/>
      <c r="T6116" s="261"/>
    </row>
    <row r="6117" spans="2:20" x14ac:dyDescent="0.2">
      <c r="B6117" s="245"/>
      <c r="C6117" s="248"/>
      <c r="D6117" s="249"/>
      <c r="E6117" s="249"/>
      <c r="T6117" s="261"/>
    </row>
    <row r="6118" spans="2:20" x14ac:dyDescent="0.2">
      <c r="B6118" s="245"/>
      <c r="C6118" s="248"/>
      <c r="D6118" s="249"/>
      <c r="E6118" s="249"/>
      <c r="T6118" s="261"/>
    </row>
    <row r="6119" spans="2:20" x14ac:dyDescent="0.2">
      <c r="B6119" s="245"/>
      <c r="C6119" s="248"/>
      <c r="D6119" s="249"/>
      <c r="E6119" s="249"/>
      <c r="T6119" s="261"/>
    </row>
    <row r="6120" spans="2:20" x14ac:dyDescent="0.2">
      <c r="B6120" s="245"/>
      <c r="C6120" s="248"/>
      <c r="D6120" s="249"/>
      <c r="E6120" s="249"/>
      <c r="T6120" s="261"/>
    </row>
    <row r="6121" spans="2:20" x14ac:dyDescent="0.2">
      <c r="B6121" s="245"/>
      <c r="C6121" s="248"/>
      <c r="D6121" s="249"/>
      <c r="E6121" s="249"/>
      <c r="T6121" s="261"/>
    </row>
    <row r="6122" spans="2:20" x14ac:dyDescent="0.2">
      <c r="B6122" s="245"/>
      <c r="C6122" s="248"/>
      <c r="D6122" s="249"/>
      <c r="E6122" s="249"/>
      <c r="T6122" s="261"/>
    </row>
    <row r="6123" spans="2:20" x14ac:dyDescent="0.2">
      <c r="B6123" s="245"/>
      <c r="C6123" s="248"/>
      <c r="D6123" s="249"/>
      <c r="E6123" s="249"/>
      <c r="T6123" s="261"/>
    </row>
    <row r="6124" spans="2:20" x14ac:dyDescent="0.2">
      <c r="B6124" s="245"/>
      <c r="C6124" s="248"/>
      <c r="D6124" s="249"/>
      <c r="E6124" s="249"/>
      <c r="T6124" s="261"/>
    </row>
    <row r="6125" spans="2:20" x14ac:dyDescent="0.2">
      <c r="B6125" s="245"/>
      <c r="C6125" s="248"/>
      <c r="D6125" s="249"/>
      <c r="E6125" s="249"/>
      <c r="T6125" s="261"/>
    </row>
    <row r="6126" spans="2:20" x14ac:dyDescent="0.2">
      <c r="B6126" s="245"/>
      <c r="C6126" s="248"/>
      <c r="D6126" s="249"/>
      <c r="E6126" s="249"/>
      <c r="T6126" s="261"/>
    </row>
    <row r="6127" spans="2:20" x14ac:dyDescent="0.2">
      <c r="B6127" s="245"/>
      <c r="C6127" s="248"/>
      <c r="D6127" s="249"/>
      <c r="E6127" s="249"/>
      <c r="T6127" s="261"/>
    </row>
    <row r="6128" spans="2:20" x14ac:dyDescent="0.2">
      <c r="B6128" s="245"/>
      <c r="C6128" s="248"/>
      <c r="D6128" s="249"/>
      <c r="E6128" s="249"/>
      <c r="T6128" s="261"/>
    </row>
    <row r="6129" spans="2:20" x14ac:dyDescent="0.2">
      <c r="B6129" s="245"/>
      <c r="C6129" s="248"/>
      <c r="D6129" s="249"/>
      <c r="E6129" s="249"/>
      <c r="T6129" s="261"/>
    </row>
    <row r="6130" spans="2:20" x14ac:dyDescent="0.2">
      <c r="B6130" s="245"/>
      <c r="C6130" s="248"/>
      <c r="D6130" s="249"/>
      <c r="E6130" s="249"/>
      <c r="T6130" s="261"/>
    </row>
    <row r="6131" spans="2:20" x14ac:dyDescent="0.2">
      <c r="B6131" s="245"/>
      <c r="C6131" s="248"/>
      <c r="D6131" s="249"/>
      <c r="E6131" s="249"/>
      <c r="T6131" s="261"/>
    </row>
    <row r="6132" spans="2:20" x14ac:dyDescent="0.2">
      <c r="B6132" s="245"/>
      <c r="C6132" s="248"/>
      <c r="D6132" s="249"/>
      <c r="E6132" s="249"/>
      <c r="T6132" s="261"/>
    </row>
    <row r="6133" spans="2:20" x14ac:dyDescent="0.2">
      <c r="B6133" s="245"/>
      <c r="C6133" s="248"/>
      <c r="D6133" s="249"/>
      <c r="E6133" s="249"/>
      <c r="T6133" s="261"/>
    </row>
    <row r="6134" spans="2:20" x14ac:dyDescent="0.2">
      <c r="B6134" s="245"/>
      <c r="C6134" s="248"/>
      <c r="D6134" s="249"/>
      <c r="E6134" s="249"/>
      <c r="T6134" s="261"/>
    </row>
    <row r="6135" spans="2:20" x14ac:dyDescent="0.2">
      <c r="B6135" s="245"/>
      <c r="C6135" s="248"/>
      <c r="D6135" s="249"/>
      <c r="E6135" s="249"/>
      <c r="T6135" s="261"/>
    </row>
    <row r="6136" spans="2:20" x14ac:dyDescent="0.2">
      <c r="B6136" s="245"/>
      <c r="C6136" s="248"/>
      <c r="D6136" s="249"/>
      <c r="E6136" s="249"/>
      <c r="T6136" s="261"/>
    </row>
    <row r="6137" spans="2:20" x14ac:dyDescent="0.2">
      <c r="B6137" s="245"/>
      <c r="C6137" s="248"/>
      <c r="D6137" s="249"/>
      <c r="E6137" s="249"/>
      <c r="T6137" s="261"/>
    </row>
    <row r="6138" spans="2:20" x14ac:dyDescent="0.2">
      <c r="B6138" s="245"/>
      <c r="C6138" s="248"/>
      <c r="D6138" s="249"/>
      <c r="E6138" s="249"/>
      <c r="T6138" s="261"/>
    </row>
    <row r="6139" spans="2:20" x14ac:dyDescent="0.2">
      <c r="B6139" s="245"/>
      <c r="C6139" s="248"/>
      <c r="D6139" s="249"/>
      <c r="E6139" s="249"/>
      <c r="T6139" s="261"/>
    </row>
    <row r="6140" spans="2:20" x14ac:dyDescent="0.2">
      <c r="B6140" s="245"/>
      <c r="C6140" s="248"/>
      <c r="D6140" s="249"/>
      <c r="E6140" s="249"/>
      <c r="T6140" s="261"/>
    </row>
    <row r="6141" spans="2:20" x14ac:dyDescent="0.2">
      <c r="B6141" s="245"/>
      <c r="C6141" s="248"/>
      <c r="D6141" s="249"/>
      <c r="E6141" s="249"/>
      <c r="T6141" s="261"/>
    </row>
    <row r="6142" spans="2:20" x14ac:dyDescent="0.2">
      <c r="B6142" s="245"/>
      <c r="C6142" s="248"/>
      <c r="D6142" s="249"/>
      <c r="E6142" s="249"/>
      <c r="T6142" s="261"/>
    </row>
    <row r="6143" spans="2:20" x14ac:dyDescent="0.2">
      <c r="B6143" s="245"/>
      <c r="C6143" s="248"/>
      <c r="D6143" s="249"/>
      <c r="E6143" s="249"/>
      <c r="T6143" s="261"/>
    </row>
    <row r="6144" spans="2:20" x14ac:dyDescent="0.2">
      <c r="B6144" s="245"/>
      <c r="C6144" s="248"/>
      <c r="D6144" s="249"/>
      <c r="E6144" s="249"/>
      <c r="T6144" s="261"/>
    </row>
    <row r="6145" spans="2:20" x14ac:dyDescent="0.2">
      <c r="B6145" s="245"/>
      <c r="C6145" s="248"/>
      <c r="D6145" s="249"/>
      <c r="E6145" s="249"/>
      <c r="T6145" s="261"/>
    </row>
    <row r="6146" spans="2:20" x14ac:dyDescent="0.2">
      <c r="B6146" s="245"/>
      <c r="C6146" s="248"/>
      <c r="D6146" s="249"/>
      <c r="E6146" s="249"/>
      <c r="T6146" s="261"/>
    </row>
    <row r="6147" spans="2:20" x14ac:dyDescent="0.2">
      <c r="B6147" s="245"/>
      <c r="C6147" s="248"/>
      <c r="D6147" s="249"/>
      <c r="E6147" s="249"/>
      <c r="T6147" s="261"/>
    </row>
    <row r="6148" spans="2:20" x14ac:dyDescent="0.2">
      <c r="B6148" s="245"/>
      <c r="C6148" s="248"/>
      <c r="D6148" s="249"/>
      <c r="E6148" s="249"/>
      <c r="T6148" s="261"/>
    </row>
    <row r="6149" spans="2:20" x14ac:dyDescent="0.2">
      <c r="B6149" s="245"/>
      <c r="C6149" s="248"/>
      <c r="D6149" s="249"/>
      <c r="E6149" s="249"/>
      <c r="T6149" s="261"/>
    </row>
    <row r="6150" spans="2:20" x14ac:dyDescent="0.2">
      <c r="B6150" s="245"/>
      <c r="C6150" s="248"/>
      <c r="D6150" s="249"/>
      <c r="E6150" s="249"/>
      <c r="T6150" s="261"/>
    </row>
    <row r="6151" spans="2:20" x14ac:dyDescent="0.2">
      <c r="B6151" s="245"/>
      <c r="C6151" s="248"/>
      <c r="D6151" s="249"/>
      <c r="E6151" s="249"/>
      <c r="T6151" s="261"/>
    </row>
    <row r="6152" spans="2:20" x14ac:dyDescent="0.2">
      <c r="B6152" s="245"/>
      <c r="C6152" s="248"/>
      <c r="D6152" s="249"/>
      <c r="E6152" s="249"/>
      <c r="T6152" s="261"/>
    </row>
    <row r="6153" spans="2:20" x14ac:dyDescent="0.2">
      <c r="B6153" s="245"/>
      <c r="C6153" s="248"/>
      <c r="D6153" s="249"/>
      <c r="E6153" s="249"/>
      <c r="T6153" s="261"/>
    </row>
    <row r="6154" spans="2:20" x14ac:dyDescent="0.2">
      <c r="B6154" s="245"/>
      <c r="C6154" s="248"/>
      <c r="D6154" s="249"/>
      <c r="E6154" s="249"/>
      <c r="T6154" s="261"/>
    </row>
    <row r="6155" spans="2:20" x14ac:dyDescent="0.2">
      <c r="B6155" s="245"/>
      <c r="C6155" s="248"/>
      <c r="D6155" s="249"/>
      <c r="E6155" s="249"/>
      <c r="T6155" s="261"/>
    </row>
    <row r="6156" spans="2:20" x14ac:dyDescent="0.2">
      <c r="B6156" s="245"/>
      <c r="C6156" s="248"/>
      <c r="D6156" s="249"/>
      <c r="E6156" s="249"/>
      <c r="T6156" s="261"/>
    </row>
    <row r="6157" spans="2:20" x14ac:dyDescent="0.2">
      <c r="B6157" s="245"/>
      <c r="C6157" s="248"/>
      <c r="D6157" s="249"/>
      <c r="E6157" s="249"/>
      <c r="T6157" s="261"/>
    </row>
    <row r="6158" spans="2:20" x14ac:dyDescent="0.2">
      <c r="B6158" s="245"/>
      <c r="C6158" s="248"/>
      <c r="D6158" s="249"/>
      <c r="E6158" s="249"/>
      <c r="T6158" s="261"/>
    </row>
    <row r="6159" spans="2:20" x14ac:dyDescent="0.2">
      <c r="B6159" s="245"/>
      <c r="C6159" s="248"/>
      <c r="D6159" s="249"/>
      <c r="E6159" s="249"/>
      <c r="T6159" s="261"/>
    </row>
    <row r="6160" spans="2:20" x14ac:dyDescent="0.2">
      <c r="B6160" s="245"/>
      <c r="C6160" s="248"/>
      <c r="D6160" s="249"/>
      <c r="E6160" s="249"/>
      <c r="T6160" s="261"/>
    </row>
    <row r="6161" spans="2:20" x14ac:dyDescent="0.2">
      <c r="B6161" s="245"/>
      <c r="C6161" s="248"/>
      <c r="D6161" s="249"/>
      <c r="E6161" s="249"/>
      <c r="T6161" s="261"/>
    </row>
    <row r="6162" spans="2:20" x14ac:dyDescent="0.2">
      <c r="B6162" s="245"/>
      <c r="C6162" s="248"/>
      <c r="D6162" s="249"/>
      <c r="E6162" s="249"/>
      <c r="T6162" s="261"/>
    </row>
    <row r="6163" spans="2:20" x14ac:dyDescent="0.2">
      <c r="B6163" s="245"/>
      <c r="C6163" s="248"/>
      <c r="D6163" s="249"/>
      <c r="E6163" s="249"/>
      <c r="T6163" s="261"/>
    </row>
    <row r="6164" spans="2:20" x14ac:dyDescent="0.2">
      <c r="B6164" s="245"/>
      <c r="C6164" s="248"/>
      <c r="D6164" s="249"/>
      <c r="E6164" s="249"/>
      <c r="T6164" s="261"/>
    </row>
    <row r="6165" spans="2:20" x14ac:dyDescent="0.2">
      <c r="B6165" s="245"/>
      <c r="C6165" s="248"/>
      <c r="D6165" s="249"/>
      <c r="E6165" s="249"/>
      <c r="T6165" s="261"/>
    </row>
    <row r="6166" spans="2:20" x14ac:dyDescent="0.2">
      <c r="B6166" s="245"/>
      <c r="C6166" s="248"/>
      <c r="D6166" s="249"/>
      <c r="E6166" s="249"/>
      <c r="T6166" s="261"/>
    </row>
    <row r="6167" spans="2:20" x14ac:dyDescent="0.2">
      <c r="B6167" s="245"/>
      <c r="C6167" s="248"/>
      <c r="D6167" s="249"/>
      <c r="E6167" s="249"/>
      <c r="T6167" s="261"/>
    </row>
    <row r="6168" spans="2:20" x14ac:dyDescent="0.2">
      <c r="B6168" s="245"/>
      <c r="C6168" s="248"/>
      <c r="D6168" s="249"/>
      <c r="E6168" s="249"/>
      <c r="T6168" s="261"/>
    </row>
    <row r="6169" spans="2:20" x14ac:dyDescent="0.2">
      <c r="B6169" s="245"/>
      <c r="C6169" s="248"/>
      <c r="D6169" s="249"/>
      <c r="E6169" s="249"/>
      <c r="T6169" s="261"/>
    </row>
    <row r="6170" spans="2:20" x14ac:dyDescent="0.2">
      <c r="B6170" s="245"/>
      <c r="C6170" s="248"/>
      <c r="D6170" s="249"/>
      <c r="E6170" s="249"/>
      <c r="T6170" s="261"/>
    </row>
    <row r="6171" spans="2:20" x14ac:dyDescent="0.2">
      <c r="B6171" s="245"/>
      <c r="C6171" s="248"/>
      <c r="D6171" s="249"/>
      <c r="E6171" s="249"/>
      <c r="T6171" s="261"/>
    </row>
    <row r="6172" spans="2:20" x14ac:dyDescent="0.2">
      <c r="B6172" s="245"/>
      <c r="C6172" s="248"/>
      <c r="D6172" s="249"/>
      <c r="E6172" s="249"/>
      <c r="T6172" s="261"/>
    </row>
    <row r="6173" spans="2:20" x14ac:dyDescent="0.2">
      <c r="B6173" s="245"/>
      <c r="C6173" s="248"/>
      <c r="D6173" s="249"/>
      <c r="E6173" s="249"/>
      <c r="T6173" s="261"/>
    </row>
    <row r="6174" spans="2:20" x14ac:dyDescent="0.2">
      <c r="B6174" s="245"/>
      <c r="C6174" s="248"/>
      <c r="D6174" s="249"/>
      <c r="E6174" s="249"/>
      <c r="T6174" s="261"/>
    </row>
    <row r="6175" spans="2:20" x14ac:dyDescent="0.2">
      <c r="B6175" s="245"/>
      <c r="C6175" s="248"/>
      <c r="D6175" s="249"/>
      <c r="E6175" s="249"/>
      <c r="T6175" s="261"/>
    </row>
    <row r="6176" spans="2:20" x14ac:dyDescent="0.2">
      <c r="B6176" s="245"/>
      <c r="C6176" s="248"/>
      <c r="D6176" s="249"/>
      <c r="E6176" s="249"/>
      <c r="T6176" s="261"/>
    </row>
    <row r="6177" spans="2:20" x14ac:dyDescent="0.2">
      <c r="B6177" s="245"/>
      <c r="C6177" s="248"/>
      <c r="D6177" s="249"/>
      <c r="E6177" s="249"/>
      <c r="T6177" s="261"/>
    </row>
    <row r="6178" spans="2:20" x14ac:dyDescent="0.2">
      <c r="B6178" s="245"/>
      <c r="C6178" s="248"/>
      <c r="D6178" s="249"/>
      <c r="E6178" s="249"/>
      <c r="T6178" s="261"/>
    </row>
    <row r="6179" spans="2:20" x14ac:dyDescent="0.2">
      <c r="B6179" s="245"/>
      <c r="C6179" s="248"/>
      <c r="D6179" s="249"/>
      <c r="E6179" s="249"/>
      <c r="T6179" s="261"/>
    </row>
    <row r="6180" spans="2:20" x14ac:dyDescent="0.2">
      <c r="B6180" s="245"/>
      <c r="C6180" s="248"/>
      <c r="D6180" s="249"/>
      <c r="E6180" s="249"/>
      <c r="T6180" s="261"/>
    </row>
    <row r="6181" spans="2:20" x14ac:dyDescent="0.2">
      <c r="B6181" s="245"/>
      <c r="C6181" s="248"/>
      <c r="D6181" s="249"/>
      <c r="E6181" s="249"/>
      <c r="T6181" s="261"/>
    </row>
    <row r="6182" spans="2:20" x14ac:dyDescent="0.2">
      <c r="B6182" s="245"/>
      <c r="C6182" s="248"/>
      <c r="D6182" s="249"/>
      <c r="E6182" s="249"/>
      <c r="T6182" s="261"/>
    </row>
    <row r="6183" spans="2:20" x14ac:dyDescent="0.2">
      <c r="B6183" s="245"/>
      <c r="C6183" s="248"/>
      <c r="D6183" s="249"/>
      <c r="E6183" s="249"/>
      <c r="T6183" s="261"/>
    </row>
    <row r="6184" spans="2:20" x14ac:dyDescent="0.2">
      <c r="B6184" s="245"/>
      <c r="C6184" s="248"/>
      <c r="D6184" s="249"/>
      <c r="E6184" s="249"/>
      <c r="T6184" s="261"/>
    </row>
    <row r="6185" spans="2:20" x14ac:dyDescent="0.2">
      <c r="B6185" s="245"/>
      <c r="C6185" s="248"/>
      <c r="D6185" s="249"/>
      <c r="E6185" s="249"/>
      <c r="T6185" s="261"/>
    </row>
    <row r="6186" spans="2:20" x14ac:dyDescent="0.2">
      <c r="B6186" s="245"/>
      <c r="C6186" s="248"/>
      <c r="D6186" s="249"/>
      <c r="E6186" s="249"/>
      <c r="T6186" s="261"/>
    </row>
    <row r="6187" spans="2:20" x14ac:dyDescent="0.2">
      <c r="B6187" s="245"/>
      <c r="C6187" s="248"/>
      <c r="D6187" s="249"/>
      <c r="E6187" s="249"/>
      <c r="T6187" s="261"/>
    </row>
    <row r="6188" spans="2:20" x14ac:dyDescent="0.2">
      <c r="B6188" s="245"/>
      <c r="C6188" s="248"/>
      <c r="D6188" s="249"/>
      <c r="E6188" s="249"/>
      <c r="T6188" s="261"/>
    </row>
    <row r="6189" spans="2:20" x14ac:dyDescent="0.2">
      <c r="B6189" s="245"/>
      <c r="C6189" s="248"/>
      <c r="D6189" s="249"/>
      <c r="E6189" s="249"/>
      <c r="T6189" s="261"/>
    </row>
    <row r="6190" spans="2:20" x14ac:dyDescent="0.2">
      <c r="B6190" s="245"/>
      <c r="C6190" s="248"/>
      <c r="D6190" s="249"/>
      <c r="E6190" s="249"/>
      <c r="T6190" s="261"/>
    </row>
    <row r="6191" spans="2:20" x14ac:dyDescent="0.2">
      <c r="B6191" s="245"/>
      <c r="C6191" s="248"/>
      <c r="D6191" s="249"/>
      <c r="E6191" s="249"/>
      <c r="T6191" s="261"/>
    </row>
    <row r="6192" spans="2:20" x14ac:dyDescent="0.2">
      <c r="B6192" s="245"/>
      <c r="C6192" s="248"/>
      <c r="D6192" s="249"/>
      <c r="E6192" s="249"/>
      <c r="T6192" s="261"/>
    </row>
    <row r="6193" spans="2:20" x14ac:dyDescent="0.2">
      <c r="B6193" s="245"/>
      <c r="C6193" s="248"/>
      <c r="D6193" s="249"/>
      <c r="E6193" s="249"/>
      <c r="T6193" s="261"/>
    </row>
    <row r="6194" spans="2:20" x14ac:dyDescent="0.2">
      <c r="B6194" s="245"/>
      <c r="C6194" s="248"/>
      <c r="D6194" s="249"/>
      <c r="E6194" s="249"/>
      <c r="T6194" s="261"/>
    </row>
    <row r="6195" spans="2:20" x14ac:dyDescent="0.2">
      <c r="B6195" s="245"/>
      <c r="C6195" s="248"/>
      <c r="D6195" s="249"/>
      <c r="E6195" s="249"/>
      <c r="T6195" s="261"/>
    </row>
    <row r="6196" spans="2:20" x14ac:dyDescent="0.2">
      <c r="B6196" s="245"/>
      <c r="C6196" s="248"/>
      <c r="D6196" s="249"/>
      <c r="E6196" s="249"/>
      <c r="T6196" s="261"/>
    </row>
    <row r="6197" spans="2:20" x14ac:dyDescent="0.2">
      <c r="B6197" s="245"/>
      <c r="C6197" s="248"/>
      <c r="D6197" s="249"/>
      <c r="E6197" s="249"/>
      <c r="T6197" s="261"/>
    </row>
    <row r="6198" spans="2:20" x14ac:dyDescent="0.2">
      <c r="B6198" s="245"/>
      <c r="C6198" s="248"/>
      <c r="D6198" s="249"/>
      <c r="E6198" s="249"/>
      <c r="T6198" s="261"/>
    </row>
    <row r="6199" spans="2:20" x14ac:dyDescent="0.2">
      <c r="B6199" s="245"/>
      <c r="C6199" s="248"/>
      <c r="D6199" s="249"/>
      <c r="E6199" s="249"/>
      <c r="T6199" s="261"/>
    </row>
    <row r="6200" spans="2:20" x14ac:dyDescent="0.2">
      <c r="B6200" s="245"/>
      <c r="C6200" s="248"/>
      <c r="D6200" s="249"/>
      <c r="E6200" s="249"/>
      <c r="T6200" s="261"/>
    </row>
    <row r="6201" spans="2:20" x14ac:dyDescent="0.2">
      <c r="B6201" s="245"/>
      <c r="C6201" s="248"/>
      <c r="D6201" s="249"/>
      <c r="E6201" s="249"/>
      <c r="T6201" s="261"/>
    </row>
    <row r="6202" spans="2:20" x14ac:dyDescent="0.2">
      <c r="B6202" s="245"/>
      <c r="C6202" s="248"/>
      <c r="D6202" s="249"/>
      <c r="E6202" s="249"/>
      <c r="T6202" s="261"/>
    </row>
    <row r="6203" spans="2:20" x14ac:dyDescent="0.2">
      <c r="B6203" s="245"/>
      <c r="C6203" s="248"/>
      <c r="D6203" s="249"/>
      <c r="E6203" s="249"/>
      <c r="T6203" s="261"/>
    </row>
    <row r="6204" spans="2:20" x14ac:dyDescent="0.2">
      <c r="B6204" s="245"/>
      <c r="C6204" s="248"/>
      <c r="D6204" s="249"/>
      <c r="E6204" s="249"/>
      <c r="T6204" s="261"/>
    </row>
    <row r="6205" spans="2:20" x14ac:dyDescent="0.2">
      <c r="B6205" s="245"/>
      <c r="C6205" s="248"/>
      <c r="D6205" s="249"/>
      <c r="E6205" s="249"/>
      <c r="T6205" s="261"/>
    </row>
    <row r="6206" spans="2:20" x14ac:dyDescent="0.2">
      <c r="B6206" s="245"/>
      <c r="C6206" s="248"/>
      <c r="D6206" s="249"/>
      <c r="E6206" s="249"/>
      <c r="T6206" s="261"/>
    </row>
    <row r="6207" spans="2:20" x14ac:dyDescent="0.2">
      <c r="B6207" s="245"/>
      <c r="C6207" s="248"/>
      <c r="D6207" s="249"/>
      <c r="E6207" s="249"/>
      <c r="T6207" s="261"/>
    </row>
    <row r="6208" spans="2:20" x14ac:dyDescent="0.2">
      <c r="B6208" s="245"/>
      <c r="C6208" s="248"/>
      <c r="D6208" s="249"/>
      <c r="E6208" s="249"/>
      <c r="T6208" s="261"/>
    </row>
    <row r="6209" spans="2:20" x14ac:dyDescent="0.2">
      <c r="B6209" s="245"/>
      <c r="C6209" s="248"/>
      <c r="D6209" s="249"/>
      <c r="E6209" s="249"/>
      <c r="T6209" s="261"/>
    </row>
    <row r="6210" spans="2:20" x14ac:dyDescent="0.2">
      <c r="B6210" s="245"/>
      <c r="C6210" s="248"/>
      <c r="D6210" s="249"/>
      <c r="E6210" s="249"/>
      <c r="T6210" s="261"/>
    </row>
    <row r="6211" spans="2:20" x14ac:dyDescent="0.2">
      <c r="B6211" s="245"/>
      <c r="C6211" s="248"/>
      <c r="D6211" s="249"/>
      <c r="E6211" s="249"/>
      <c r="T6211" s="261"/>
    </row>
    <row r="6212" spans="2:20" x14ac:dyDescent="0.2">
      <c r="B6212" s="245"/>
      <c r="C6212" s="248"/>
      <c r="D6212" s="249"/>
      <c r="E6212" s="249"/>
      <c r="T6212" s="261"/>
    </row>
    <row r="6213" spans="2:20" x14ac:dyDescent="0.2">
      <c r="B6213" s="245"/>
      <c r="C6213" s="248"/>
      <c r="D6213" s="249"/>
      <c r="E6213" s="249"/>
      <c r="T6213" s="261"/>
    </row>
    <row r="6214" spans="2:20" x14ac:dyDescent="0.2">
      <c r="B6214" s="245"/>
      <c r="C6214" s="248"/>
      <c r="D6214" s="249"/>
      <c r="E6214" s="249"/>
      <c r="T6214" s="261"/>
    </row>
    <row r="6215" spans="2:20" x14ac:dyDescent="0.2">
      <c r="B6215" s="245"/>
      <c r="C6215" s="248"/>
      <c r="D6215" s="249"/>
      <c r="E6215" s="249"/>
      <c r="T6215" s="261"/>
    </row>
    <row r="6216" spans="2:20" x14ac:dyDescent="0.2">
      <c r="B6216" s="245"/>
      <c r="C6216" s="248"/>
      <c r="D6216" s="249"/>
      <c r="E6216" s="249"/>
      <c r="T6216" s="261"/>
    </row>
    <row r="6217" spans="2:20" x14ac:dyDescent="0.2">
      <c r="B6217" s="245"/>
      <c r="C6217" s="248"/>
      <c r="D6217" s="249"/>
      <c r="E6217" s="249"/>
      <c r="T6217" s="261"/>
    </row>
    <row r="6218" spans="2:20" x14ac:dyDescent="0.2">
      <c r="B6218" s="245"/>
      <c r="C6218" s="248"/>
      <c r="D6218" s="249"/>
      <c r="E6218" s="249"/>
      <c r="T6218" s="261"/>
    </row>
    <row r="6219" spans="2:20" x14ac:dyDescent="0.2">
      <c r="B6219" s="245"/>
      <c r="C6219" s="248"/>
      <c r="D6219" s="249"/>
      <c r="E6219" s="249"/>
      <c r="T6219" s="261"/>
    </row>
    <row r="6220" spans="2:20" x14ac:dyDescent="0.2">
      <c r="B6220" s="245"/>
      <c r="C6220" s="248"/>
      <c r="D6220" s="249"/>
      <c r="E6220" s="249"/>
      <c r="T6220" s="261"/>
    </row>
    <row r="6221" spans="2:20" x14ac:dyDescent="0.2">
      <c r="B6221" s="245"/>
      <c r="C6221" s="248"/>
      <c r="D6221" s="249"/>
      <c r="E6221" s="249"/>
      <c r="T6221" s="261"/>
    </row>
    <row r="6222" spans="2:20" x14ac:dyDescent="0.2">
      <c r="B6222" s="245"/>
      <c r="C6222" s="248"/>
      <c r="D6222" s="249"/>
      <c r="E6222" s="249"/>
      <c r="T6222" s="261"/>
    </row>
    <row r="6223" spans="2:20" x14ac:dyDescent="0.2">
      <c r="B6223" s="245"/>
      <c r="C6223" s="248"/>
      <c r="D6223" s="249"/>
      <c r="E6223" s="249"/>
      <c r="T6223" s="261"/>
    </row>
    <row r="6224" spans="2:20" x14ac:dyDescent="0.2">
      <c r="B6224" s="245"/>
      <c r="C6224" s="248"/>
      <c r="D6224" s="249"/>
      <c r="E6224" s="249"/>
      <c r="T6224" s="261"/>
    </row>
    <row r="6225" spans="2:20" x14ac:dyDescent="0.2">
      <c r="B6225" s="245"/>
      <c r="C6225" s="248"/>
      <c r="D6225" s="249"/>
      <c r="E6225" s="249"/>
      <c r="T6225" s="261"/>
    </row>
    <row r="6226" spans="2:20" x14ac:dyDescent="0.2">
      <c r="B6226" s="245"/>
      <c r="C6226" s="248"/>
      <c r="D6226" s="249"/>
      <c r="E6226" s="249"/>
      <c r="T6226" s="261"/>
    </row>
    <row r="6227" spans="2:20" x14ac:dyDescent="0.2">
      <c r="B6227" s="245"/>
      <c r="C6227" s="248"/>
      <c r="D6227" s="249"/>
      <c r="E6227" s="249"/>
      <c r="T6227" s="261"/>
    </row>
    <row r="6228" spans="2:20" x14ac:dyDescent="0.2">
      <c r="B6228" s="245"/>
      <c r="C6228" s="248"/>
      <c r="D6228" s="249"/>
      <c r="E6228" s="249"/>
      <c r="T6228" s="261"/>
    </row>
    <row r="6229" spans="2:20" x14ac:dyDescent="0.2">
      <c r="B6229" s="245"/>
      <c r="C6229" s="248"/>
      <c r="D6229" s="249"/>
      <c r="E6229" s="249"/>
      <c r="T6229" s="261"/>
    </row>
    <row r="6230" spans="2:20" x14ac:dyDescent="0.2">
      <c r="B6230" s="245"/>
      <c r="C6230" s="248"/>
      <c r="D6230" s="249"/>
      <c r="E6230" s="249"/>
      <c r="T6230" s="261"/>
    </row>
    <row r="6231" spans="2:20" x14ac:dyDescent="0.2">
      <c r="B6231" s="245"/>
      <c r="C6231" s="248"/>
      <c r="D6231" s="249"/>
      <c r="E6231" s="249"/>
      <c r="T6231" s="261"/>
    </row>
    <row r="6232" spans="2:20" x14ac:dyDescent="0.2">
      <c r="B6232" s="245"/>
      <c r="C6232" s="248"/>
      <c r="D6232" s="249"/>
      <c r="E6232" s="249"/>
      <c r="T6232" s="261"/>
    </row>
    <row r="6233" spans="2:20" x14ac:dyDescent="0.2">
      <c r="B6233" s="245"/>
      <c r="C6233" s="248"/>
      <c r="D6233" s="249"/>
      <c r="E6233" s="249"/>
      <c r="T6233" s="261"/>
    </row>
    <row r="6234" spans="2:20" x14ac:dyDescent="0.2">
      <c r="B6234" s="245"/>
      <c r="C6234" s="248"/>
      <c r="D6234" s="249"/>
      <c r="E6234" s="249"/>
      <c r="T6234" s="261"/>
    </row>
    <row r="6235" spans="2:20" x14ac:dyDescent="0.2">
      <c r="B6235" s="245"/>
      <c r="C6235" s="248"/>
      <c r="D6235" s="249"/>
      <c r="E6235" s="249"/>
      <c r="T6235" s="261"/>
    </row>
    <row r="6236" spans="2:20" x14ac:dyDescent="0.2">
      <c r="B6236" s="245"/>
      <c r="C6236" s="248"/>
      <c r="D6236" s="249"/>
      <c r="E6236" s="249"/>
      <c r="T6236" s="261"/>
    </row>
    <row r="6237" spans="2:20" x14ac:dyDescent="0.2">
      <c r="B6237" s="245"/>
      <c r="C6237" s="248"/>
      <c r="D6237" s="249"/>
      <c r="E6237" s="249"/>
      <c r="T6237" s="261"/>
    </row>
    <row r="6238" spans="2:20" x14ac:dyDescent="0.2">
      <c r="B6238" s="245"/>
      <c r="C6238" s="248"/>
      <c r="D6238" s="249"/>
      <c r="E6238" s="249"/>
      <c r="T6238" s="261"/>
    </row>
    <row r="6239" spans="2:20" x14ac:dyDescent="0.2">
      <c r="B6239" s="245"/>
      <c r="C6239" s="248"/>
      <c r="D6239" s="249"/>
      <c r="E6239" s="249"/>
      <c r="T6239" s="261"/>
    </row>
    <row r="6240" spans="2:20" x14ac:dyDescent="0.2">
      <c r="B6240" s="245"/>
      <c r="C6240" s="248"/>
      <c r="D6240" s="249"/>
      <c r="E6240" s="249"/>
      <c r="T6240" s="261"/>
    </row>
    <row r="6241" spans="2:20" x14ac:dyDescent="0.2">
      <c r="B6241" s="245"/>
      <c r="C6241" s="248"/>
      <c r="D6241" s="249"/>
      <c r="E6241" s="249"/>
      <c r="T6241" s="261"/>
    </row>
    <row r="6242" spans="2:20" x14ac:dyDescent="0.2">
      <c r="B6242" s="245"/>
      <c r="C6242" s="248"/>
      <c r="D6242" s="249"/>
      <c r="E6242" s="249"/>
      <c r="T6242" s="261"/>
    </row>
    <row r="6243" spans="2:20" x14ac:dyDescent="0.2">
      <c r="B6243" s="245"/>
      <c r="C6243" s="248"/>
      <c r="D6243" s="249"/>
      <c r="E6243" s="249"/>
      <c r="T6243" s="261"/>
    </row>
    <row r="6244" spans="2:20" x14ac:dyDescent="0.2">
      <c r="B6244" s="245"/>
      <c r="C6244" s="248"/>
      <c r="D6244" s="249"/>
      <c r="E6244" s="249"/>
      <c r="T6244" s="261"/>
    </row>
    <row r="6245" spans="2:20" x14ac:dyDescent="0.2">
      <c r="B6245" s="245"/>
      <c r="C6245" s="248"/>
      <c r="D6245" s="249"/>
      <c r="E6245" s="249"/>
      <c r="T6245" s="261"/>
    </row>
    <row r="6246" spans="2:20" x14ac:dyDescent="0.2">
      <c r="B6246" s="245"/>
      <c r="C6246" s="248"/>
      <c r="D6246" s="249"/>
      <c r="E6246" s="249"/>
      <c r="T6246" s="261"/>
    </row>
    <row r="6247" spans="2:20" x14ac:dyDescent="0.2">
      <c r="B6247" s="245"/>
      <c r="C6247" s="248"/>
      <c r="D6247" s="249"/>
      <c r="E6247" s="249"/>
      <c r="T6247" s="261"/>
    </row>
    <row r="6248" spans="2:20" x14ac:dyDescent="0.2">
      <c r="B6248" s="245"/>
      <c r="C6248" s="248"/>
      <c r="D6248" s="249"/>
      <c r="E6248" s="249"/>
      <c r="T6248" s="261"/>
    </row>
    <row r="6249" spans="2:20" x14ac:dyDescent="0.2">
      <c r="B6249" s="245"/>
      <c r="C6249" s="248"/>
      <c r="D6249" s="249"/>
      <c r="E6249" s="249"/>
      <c r="T6249" s="261"/>
    </row>
    <row r="6250" spans="2:20" x14ac:dyDescent="0.2">
      <c r="B6250" s="245"/>
      <c r="C6250" s="248"/>
      <c r="D6250" s="249"/>
      <c r="E6250" s="249"/>
      <c r="T6250" s="261"/>
    </row>
    <row r="6251" spans="2:20" x14ac:dyDescent="0.2">
      <c r="B6251" s="245"/>
      <c r="C6251" s="248"/>
      <c r="D6251" s="249"/>
      <c r="E6251" s="249"/>
      <c r="T6251" s="261"/>
    </row>
    <row r="6252" spans="2:20" x14ac:dyDescent="0.2">
      <c r="B6252" s="245"/>
      <c r="C6252" s="248"/>
      <c r="D6252" s="249"/>
      <c r="E6252" s="249"/>
      <c r="T6252" s="261"/>
    </row>
    <row r="6253" spans="2:20" x14ac:dyDescent="0.2">
      <c r="B6253" s="245"/>
      <c r="C6253" s="248"/>
      <c r="D6253" s="249"/>
      <c r="E6253" s="249"/>
      <c r="T6253" s="261"/>
    </row>
    <row r="6254" spans="2:20" x14ac:dyDescent="0.2">
      <c r="B6254" s="245"/>
      <c r="C6254" s="248"/>
      <c r="D6254" s="249"/>
      <c r="E6254" s="249"/>
      <c r="T6254" s="261"/>
    </row>
    <row r="6255" spans="2:20" x14ac:dyDescent="0.2">
      <c r="B6255" s="245"/>
      <c r="C6255" s="248"/>
      <c r="D6255" s="249"/>
      <c r="E6255" s="249"/>
      <c r="T6255" s="261"/>
    </row>
    <row r="6256" spans="2:20" x14ac:dyDescent="0.2">
      <c r="B6256" s="245"/>
      <c r="C6256" s="248"/>
      <c r="D6256" s="249"/>
      <c r="E6256" s="249"/>
      <c r="T6256" s="261"/>
    </row>
    <row r="6257" spans="2:20" x14ac:dyDescent="0.2">
      <c r="B6257" s="245"/>
      <c r="C6257" s="248"/>
      <c r="D6257" s="249"/>
      <c r="E6257" s="249"/>
      <c r="T6257" s="261"/>
    </row>
    <row r="6258" spans="2:20" x14ac:dyDescent="0.2">
      <c r="B6258" s="245"/>
      <c r="C6258" s="248"/>
      <c r="D6258" s="249"/>
      <c r="E6258" s="249"/>
      <c r="T6258" s="261"/>
    </row>
    <row r="6259" spans="2:20" x14ac:dyDescent="0.2">
      <c r="B6259" s="245"/>
      <c r="C6259" s="248"/>
      <c r="D6259" s="249"/>
      <c r="E6259" s="249"/>
      <c r="T6259" s="261"/>
    </row>
    <row r="6260" spans="2:20" x14ac:dyDescent="0.2">
      <c r="B6260" s="245"/>
      <c r="C6260" s="248"/>
      <c r="D6260" s="249"/>
      <c r="E6260" s="249"/>
      <c r="T6260" s="261"/>
    </row>
    <row r="6261" spans="2:20" x14ac:dyDescent="0.2">
      <c r="B6261" s="245"/>
      <c r="C6261" s="248"/>
      <c r="D6261" s="249"/>
      <c r="E6261" s="249"/>
      <c r="T6261" s="261"/>
    </row>
    <row r="6262" spans="2:20" x14ac:dyDescent="0.2">
      <c r="B6262" s="245"/>
      <c r="C6262" s="248"/>
      <c r="D6262" s="249"/>
      <c r="E6262" s="249"/>
      <c r="T6262" s="261"/>
    </row>
    <row r="6263" spans="2:20" x14ac:dyDescent="0.2">
      <c r="B6263" s="245"/>
      <c r="C6263" s="248"/>
      <c r="D6263" s="249"/>
      <c r="E6263" s="249"/>
      <c r="T6263" s="261"/>
    </row>
    <row r="6264" spans="2:20" x14ac:dyDescent="0.2">
      <c r="B6264" s="245"/>
      <c r="C6264" s="248"/>
      <c r="D6264" s="249"/>
      <c r="E6264" s="249"/>
      <c r="T6264" s="261"/>
    </row>
    <row r="6265" spans="2:20" x14ac:dyDescent="0.2">
      <c r="B6265" s="245"/>
      <c r="C6265" s="248"/>
      <c r="D6265" s="249"/>
      <c r="E6265" s="249"/>
      <c r="T6265" s="261"/>
    </row>
    <row r="6266" spans="2:20" x14ac:dyDescent="0.2">
      <c r="B6266" s="245"/>
      <c r="C6266" s="248"/>
      <c r="D6266" s="249"/>
      <c r="E6266" s="249"/>
      <c r="T6266" s="261"/>
    </row>
    <row r="6267" spans="2:20" x14ac:dyDescent="0.2">
      <c r="B6267" s="245"/>
      <c r="C6267" s="248"/>
      <c r="D6267" s="249"/>
      <c r="E6267" s="249"/>
      <c r="T6267" s="261"/>
    </row>
    <row r="6268" spans="2:20" x14ac:dyDescent="0.2">
      <c r="B6268" s="245"/>
      <c r="C6268" s="248"/>
      <c r="D6268" s="249"/>
      <c r="E6268" s="249"/>
      <c r="T6268" s="261"/>
    </row>
    <row r="6269" spans="2:20" x14ac:dyDescent="0.2">
      <c r="B6269" s="245"/>
      <c r="C6269" s="248"/>
      <c r="D6269" s="249"/>
      <c r="E6269" s="249"/>
      <c r="T6269" s="261"/>
    </row>
    <row r="6270" spans="2:20" x14ac:dyDescent="0.2">
      <c r="B6270" s="245"/>
      <c r="C6270" s="248"/>
      <c r="D6270" s="249"/>
      <c r="E6270" s="249"/>
      <c r="T6270" s="261"/>
    </row>
    <row r="6271" spans="2:20" x14ac:dyDescent="0.2">
      <c r="B6271" s="245"/>
      <c r="C6271" s="248"/>
      <c r="D6271" s="249"/>
      <c r="E6271" s="249"/>
      <c r="T6271" s="261"/>
    </row>
    <row r="6272" spans="2:20" x14ac:dyDescent="0.2">
      <c r="B6272" s="245"/>
      <c r="C6272" s="248"/>
      <c r="D6272" s="249"/>
      <c r="E6272" s="249"/>
      <c r="T6272" s="261"/>
    </row>
    <row r="6273" spans="2:20" x14ac:dyDescent="0.2">
      <c r="B6273" s="245"/>
      <c r="C6273" s="248"/>
      <c r="D6273" s="249"/>
      <c r="E6273" s="249"/>
      <c r="T6273" s="261"/>
    </row>
    <row r="6274" spans="2:20" x14ac:dyDescent="0.2">
      <c r="B6274" s="245"/>
      <c r="C6274" s="248"/>
      <c r="D6274" s="249"/>
      <c r="E6274" s="249"/>
      <c r="T6274" s="261"/>
    </row>
    <row r="6275" spans="2:20" x14ac:dyDescent="0.2">
      <c r="B6275" s="245"/>
      <c r="C6275" s="248"/>
      <c r="D6275" s="249"/>
      <c r="E6275" s="249"/>
      <c r="T6275" s="261"/>
    </row>
    <row r="6276" spans="2:20" x14ac:dyDescent="0.2">
      <c r="B6276" s="245"/>
      <c r="C6276" s="248"/>
      <c r="D6276" s="249"/>
      <c r="E6276" s="249"/>
      <c r="T6276" s="261"/>
    </row>
    <row r="6277" spans="2:20" x14ac:dyDescent="0.2">
      <c r="B6277" s="245"/>
      <c r="C6277" s="248"/>
      <c r="D6277" s="249"/>
      <c r="E6277" s="249"/>
      <c r="T6277" s="261"/>
    </row>
    <row r="6278" spans="2:20" x14ac:dyDescent="0.2">
      <c r="B6278" s="245"/>
      <c r="C6278" s="248"/>
      <c r="D6278" s="249"/>
      <c r="E6278" s="249"/>
      <c r="T6278" s="261"/>
    </row>
    <row r="6279" spans="2:20" x14ac:dyDescent="0.2">
      <c r="B6279" s="245"/>
      <c r="C6279" s="248"/>
      <c r="D6279" s="249"/>
      <c r="E6279" s="249"/>
      <c r="T6279" s="261"/>
    </row>
    <row r="6280" spans="2:20" x14ac:dyDescent="0.2">
      <c r="B6280" s="245"/>
      <c r="C6280" s="248"/>
      <c r="D6280" s="249"/>
      <c r="E6280" s="249"/>
      <c r="T6280" s="261"/>
    </row>
    <row r="6281" spans="2:20" x14ac:dyDescent="0.2">
      <c r="B6281" s="245"/>
      <c r="C6281" s="248"/>
      <c r="D6281" s="249"/>
      <c r="E6281" s="249"/>
      <c r="T6281" s="261"/>
    </row>
    <row r="6282" spans="2:20" x14ac:dyDescent="0.2">
      <c r="B6282" s="245"/>
      <c r="C6282" s="248"/>
      <c r="D6282" s="249"/>
      <c r="E6282" s="249"/>
      <c r="T6282" s="261"/>
    </row>
    <row r="6283" spans="2:20" x14ac:dyDescent="0.2">
      <c r="B6283" s="245"/>
      <c r="C6283" s="248"/>
      <c r="D6283" s="249"/>
      <c r="E6283" s="249"/>
      <c r="T6283" s="261"/>
    </row>
    <row r="6284" spans="2:20" x14ac:dyDescent="0.2">
      <c r="B6284" s="245"/>
      <c r="C6284" s="248"/>
      <c r="D6284" s="249"/>
      <c r="E6284" s="249"/>
      <c r="T6284" s="261"/>
    </row>
    <row r="6285" spans="2:20" x14ac:dyDescent="0.2">
      <c r="B6285" s="245"/>
      <c r="C6285" s="248"/>
      <c r="D6285" s="249"/>
      <c r="E6285" s="249"/>
      <c r="T6285" s="261"/>
    </row>
    <row r="6286" spans="2:20" x14ac:dyDescent="0.2">
      <c r="B6286" s="245"/>
      <c r="C6286" s="248"/>
      <c r="D6286" s="249"/>
      <c r="E6286" s="249"/>
      <c r="T6286" s="261"/>
    </row>
    <row r="6287" spans="2:20" x14ac:dyDescent="0.2">
      <c r="B6287" s="245"/>
      <c r="C6287" s="248"/>
      <c r="D6287" s="249"/>
      <c r="E6287" s="249"/>
      <c r="T6287" s="261"/>
    </row>
    <row r="6288" spans="2:20" x14ac:dyDescent="0.2">
      <c r="B6288" s="245"/>
      <c r="C6288" s="248"/>
      <c r="D6288" s="249"/>
      <c r="E6288" s="249"/>
      <c r="T6288" s="261"/>
    </row>
    <row r="6289" spans="2:20" x14ac:dyDescent="0.2">
      <c r="B6289" s="245"/>
      <c r="C6289" s="248"/>
      <c r="D6289" s="249"/>
      <c r="E6289" s="249"/>
      <c r="T6289" s="261"/>
    </row>
    <row r="6290" spans="2:20" x14ac:dyDescent="0.2">
      <c r="B6290" s="245"/>
      <c r="C6290" s="248"/>
      <c r="D6290" s="249"/>
      <c r="E6290" s="249"/>
      <c r="T6290" s="261"/>
    </row>
    <row r="6291" spans="2:20" x14ac:dyDescent="0.2">
      <c r="B6291" s="245"/>
      <c r="C6291" s="248"/>
      <c r="D6291" s="249"/>
      <c r="E6291" s="249"/>
      <c r="T6291" s="261"/>
    </row>
    <row r="6292" spans="2:20" x14ac:dyDescent="0.2">
      <c r="B6292" s="245"/>
      <c r="C6292" s="248"/>
      <c r="D6292" s="249"/>
      <c r="E6292" s="249"/>
      <c r="T6292" s="261"/>
    </row>
    <row r="6293" spans="2:20" x14ac:dyDescent="0.2">
      <c r="B6293" s="245"/>
      <c r="C6293" s="248"/>
      <c r="D6293" s="249"/>
      <c r="E6293" s="249"/>
      <c r="T6293" s="261"/>
    </row>
    <row r="6294" spans="2:20" x14ac:dyDescent="0.2">
      <c r="B6294" s="245"/>
      <c r="C6294" s="248"/>
      <c r="D6294" s="249"/>
      <c r="E6294" s="249"/>
      <c r="T6294" s="261"/>
    </row>
    <row r="6295" spans="2:20" x14ac:dyDescent="0.2">
      <c r="B6295" s="245"/>
      <c r="C6295" s="248"/>
      <c r="D6295" s="249"/>
      <c r="E6295" s="249"/>
      <c r="T6295" s="261"/>
    </row>
    <row r="6296" spans="2:20" x14ac:dyDescent="0.2">
      <c r="B6296" s="245"/>
      <c r="C6296" s="248"/>
      <c r="D6296" s="249"/>
      <c r="E6296" s="249"/>
      <c r="T6296" s="261"/>
    </row>
    <row r="6297" spans="2:20" x14ac:dyDescent="0.2">
      <c r="B6297" s="245"/>
      <c r="C6297" s="248"/>
      <c r="D6297" s="249"/>
      <c r="E6297" s="249"/>
      <c r="T6297" s="261"/>
    </row>
    <row r="6298" spans="2:20" x14ac:dyDescent="0.2">
      <c r="B6298" s="245"/>
      <c r="C6298" s="248"/>
      <c r="D6298" s="249"/>
      <c r="E6298" s="249"/>
      <c r="T6298" s="261"/>
    </row>
    <row r="6299" spans="2:20" x14ac:dyDescent="0.2">
      <c r="B6299" s="245"/>
      <c r="C6299" s="248"/>
      <c r="D6299" s="249"/>
      <c r="E6299" s="249"/>
      <c r="T6299" s="261"/>
    </row>
    <row r="6300" spans="2:20" x14ac:dyDescent="0.2">
      <c r="B6300" s="245"/>
      <c r="C6300" s="248"/>
      <c r="D6300" s="249"/>
      <c r="E6300" s="249"/>
      <c r="T6300" s="261"/>
    </row>
    <row r="6301" spans="2:20" x14ac:dyDescent="0.2">
      <c r="B6301" s="245"/>
      <c r="C6301" s="248"/>
      <c r="D6301" s="249"/>
      <c r="E6301" s="249"/>
      <c r="T6301" s="261"/>
    </row>
    <row r="6302" spans="2:20" x14ac:dyDescent="0.2">
      <c r="B6302" s="245"/>
      <c r="C6302" s="248"/>
      <c r="D6302" s="249"/>
      <c r="E6302" s="249"/>
      <c r="T6302" s="261"/>
    </row>
    <row r="6303" spans="2:20" x14ac:dyDescent="0.2">
      <c r="B6303" s="245"/>
      <c r="C6303" s="248"/>
      <c r="D6303" s="249"/>
      <c r="E6303" s="249"/>
      <c r="T6303" s="261"/>
    </row>
    <row r="6304" spans="2:20" x14ac:dyDescent="0.2">
      <c r="B6304" s="245"/>
      <c r="C6304" s="248"/>
      <c r="D6304" s="249"/>
      <c r="E6304" s="249"/>
      <c r="T6304" s="261"/>
    </row>
    <row r="6305" spans="2:20" x14ac:dyDescent="0.2">
      <c r="B6305" s="245"/>
      <c r="C6305" s="248"/>
      <c r="D6305" s="249"/>
      <c r="E6305" s="249"/>
      <c r="T6305" s="261"/>
    </row>
    <row r="6306" spans="2:20" x14ac:dyDescent="0.2">
      <c r="B6306" s="245"/>
      <c r="C6306" s="248"/>
      <c r="D6306" s="249"/>
      <c r="E6306" s="249"/>
      <c r="T6306" s="261"/>
    </row>
    <row r="6307" spans="2:20" x14ac:dyDescent="0.2">
      <c r="B6307" s="245"/>
      <c r="C6307" s="248"/>
      <c r="D6307" s="249"/>
      <c r="E6307" s="249"/>
      <c r="T6307" s="261"/>
    </row>
    <row r="6308" spans="2:20" x14ac:dyDescent="0.2">
      <c r="B6308" s="245"/>
      <c r="C6308" s="248"/>
      <c r="D6308" s="249"/>
      <c r="E6308" s="249"/>
      <c r="T6308" s="261"/>
    </row>
    <row r="6309" spans="2:20" x14ac:dyDescent="0.2">
      <c r="B6309" s="245"/>
      <c r="C6309" s="248"/>
      <c r="D6309" s="249"/>
      <c r="E6309" s="249"/>
      <c r="T6309" s="261"/>
    </row>
    <row r="6310" spans="2:20" x14ac:dyDescent="0.2">
      <c r="B6310" s="245"/>
      <c r="C6310" s="248"/>
      <c r="D6310" s="249"/>
      <c r="E6310" s="249"/>
      <c r="T6310" s="261"/>
    </row>
    <row r="6311" spans="2:20" x14ac:dyDescent="0.2">
      <c r="B6311" s="245"/>
      <c r="C6311" s="248"/>
      <c r="D6311" s="249"/>
      <c r="E6311" s="249"/>
      <c r="T6311" s="261"/>
    </row>
    <row r="6312" spans="2:20" x14ac:dyDescent="0.2">
      <c r="B6312" s="245"/>
      <c r="C6312" s="248"/>
      <c r="D6312" s="249"/>
      <c r="E6312" s="249"/>
      <c r="T6312" s="261"/>
    </row>
    <row r="6313" spans="2:20" x14ac:dyDescent="0.2">
      <c r="B6313" s="245"/>
      <c r="C6313" s="248"/>
      <c r="D6313" s="249"/>
      <c r="E6313" s="249"/>
      <c r="T6313" s="261"/>
    </row>
    <row r="6314" spans="2:20" x14ac:dyDescent="0.2">
      <c r="B6314" s="245"/>
      <c r="C6314" s="248"/>
      <c r="D6314" s="249"/>
      <c r="E6314" s="249"/>
      <c r="T6314" s="261"/>
    </row>
    <row r="6315" spans="2:20" x14ac:dyDescent="0.2">
      <c r="B6315" s="245"/>
      <c r="C6315" s="248"/>
      <c r="D6315" s="249"/>
      <c r="E6315" s="249"/>
      <c r="T6315" s="261"/>
    </row>
    <row r="6316" spans="2:20" x14ac:dyDescent="0.2">
      <c r="B6316" s="245"/>
      <c r="C6316" s="248"/>
      <c r="D6316" s="249"/>
      <c r="E6316" s="249"/>
      <c r="T6316" s="261"/>
    </row>
    <row r="6317" spans="2:20" x14ac:dyDescent="0.2">
      <c r="B6317" s="245"/>
      <c r="C6317" s="248"/>
      <c r="D6317" s="249"/>
      <c r="E6317" s="249"/>
      <c r="T6317" s="261"/>
    </row>
    <row r="6318" spans="2:20" x14ac:dyDescent="0.2">
      <c r="B6318" s="245"/>
      <c r="C6318" s="248"/>
      <c r="D6318" s="249"/>
      <c r="E6318" s="249"/>
      <c r="T6318" s="261"/>
    </row>
    <row r="6319" spans="2:20" x14ac:dyDescent="0.2">
      <c r="B6319" s="245"/>
      <c r="C6319" s="248"/>
      <c r="D6319" s="249"/>
      <c r="E6319" s="249"/>
      <c r="T6319" s="261"/>
    </row>
    <row r="6320" spans="2:20" x14ac:dyDescent="0.2">
      <c r="B6320" s="245"/>
      <c r="C6320" s="248"/>
      <c r="D6320" s="249"/>
      <c r="E6320" s="249"/>
      <c r="T6320" s="261"/>
    </row>
    <row r="6321" spans="2:20" x14ac:dyDescent="0.2">
      <c r="B6321" s="245"/>
      <c r="C6321" s="248"/>
      <c r="D6321" s="249"/>
      <c r="E6321" s="249"/>
      <c r="T6321" s="261"/>
    </row>
    <row r="6322" spans="2:20" x14ac:dyDescent="0.2">
      <c r="B6322" s="245"/>
      <c r="C6322" s="248"/>
      <c r="D6322" s="249"/>
      <c r="E6322" s="249"/>
      <c r="T6322" s="261"/>
    </row>
    <row r="6323" spans="2:20" x14ac:dyDescent="0.2">
      <c r="B6323" s="245"/>
      <c r="C6323" s="248"/>
      <c r="D6323" s="249"/>
      <c r="E6323" s="249"/>
      <c r="T6323" s="261"/>
    </row>
    <row r="6324" spans="2:20" x14ac:dyDescent="0.2">
      <c r="B6324" s="245"/>
      <c r="C6324" s="248"/>
      <c r="D6324" s="249"/>
      <c r="E6324" s="249"/>
      <c r="T6324" s="261"/>
    </row>
    <row r="6325" spans="2:20" x14ac:dyDescent="0.2">
      <c r="B6325" s="245"/>
      <c r="C6325" s="248"/>
      <c r="D6325" s="249"/>
      <c r="E6325" s="249"/>
      <c r="T6325" s="261"/>
    </row>
    <row r="6326" spans="2:20" x14ac:dyDescent="0.2">
      <c r="B6326" s="245"/>
      <c r="C6326" s="248"/>
      <c r="D6326" s="249"/>
      <c r="E6326" s="249"/>
      <c r="T6326" s="261"/>
    </row>
    <row r="6327" spans="2:20" x14ac:dyDescent="0.2">
      <c r="B6327" s="245"/>
      <c r="C6327" s="248"/>
      <c r="D6327" s="249"/>
      <c r="E6327" s="249"/>
      <c r="T6327" s="261"/>
    </row>
    <row r="6328" spans="2:20" x14ac:dyDescent="0.2">
      <c r="B6328" s="245"/>
      <c r="C6328" s="248"/>
      <c r="D6328" s="249"/>
      <c r="E6328" s="249"/>
      <c r="T6328" s="261"/>
    </row>
    <row r="6329" spans="2:20" x14ac:dyDescent="0.2">
      <c r="B6329" s="245"/>
      <c r="C6329" s="248"/>
      <c r="D6329" s="249"/>
      <c r="E6329" s="249"/>
      <c r="T6329" s="261"/>
    </row>
    <row r="6330" spans="2:20" x14ac:dyDescent="0.2">
      <c r="B6330" s="245"/>
      <c r="C6330" s="248"/>
      <c r="D6330" s="249"/>
      <c r="E6330" s="249"/>
      <c r="T6330" s="261"/>
    </row>
    <row r="6331" spans="2:20" x14ac:dyDescent="0.2">
      <c r="B6331" s="245"/>
      <c r="C6331" s="248"/>
      <c r="D6331" s="249"/>
      <c r="E6331" s="249"/>
      <c r="T6331" s="261"/>
    </row>
    <row r="6332" spans="2:20" x14ac:dyDescent="0.2">
      <c r="B6332" s="245"/>
      <c r="C6332" s="248"/>
      <c r="D6332" s="249"/>
      <c r="E6332" s="249"/>
      <c r="T6332" s="261"/>
    </row>
    <row r="6333" spans="2:20" x14ac:dyDescent="0.2">
      <c r="B6333" s="245"/>
      <c r="C6333" s="248"/>
      <c r="D6333" s="249"/>
      <c r="E6333" s="249"/>
      <c r="T6333" s="261"/>
    </row>
    <row r="6334" spans="2:20" x14ac:dyDescent="0.2">
      <c r="B6334" s="245"/>
      <c r="C6334" s="248"/>
      <c r="D6334" s="249"/>
      <c r="E6334" s="249"/>
      <c r="T6334" s="261"/>
    </row>
    <row r="6335" spans="2:20" x14ac:dyDescent="0.2">
      <c r="B6335" s="245"/>
      <c r="C6335" s="248"/>
      <c r="D6335" s="249"/>
      <c r="E6335" s="249"/>
      <c r="T6335" s="261"/>
    </row>
    <row r="6336" spans="2:20" x14ac:dyDescent="0.2">
      <c r="B6336" s="245"/>
      <c r="C6336" s="248"/>
      <c r="D6336" s="249"/>
      <c r="E6336" s="249"/>
      <c r="T6336" s="261"/>
    </row>
    <row r="6337" spans="2:20" x14ac:dyDescent="0.2">
      <c r="B6337" s="245"/>
      <c r="C6337" s="248"/>
      <c r="D6337" s="249"/>
      <c r="E6337" s="249"/>
      <c r="T6337" s="261"/>
    </row>
    <row r="6338" spans="2:20" x14ac:dyDescent="0.2">
      <c r="B6338" s="245"/>
      <c r="C6338" s="248"/>
      <c r="D6338" s="249"/>
      <c r="E6338" s="249"/>
      <c r="T6338" s="261"/>
    </row>
    <row r="6339" spans="2:20" x14ac:dyDescent="0.2">
      <c r="B6339" s="245"/>
      <c r="C6339" s="248"/>
      <c r="D6339" s="249"/>
      <c r="E6339" s="249"/>
      <c r="T6339" s="261"/>
    </row>
    <row r="6340" spans="2:20" x14ac:dyDescent="0.2">
      <c r="B6340" s="245"/>
      <c r="C6340" s="248"/>
      <c r="D6340" s="249"/>
      <c r="E6340" s="249"/>
      <c r="T6340" s="261"/>
    </row>
    <row r="6341" spans="2:20" x14ac:dyDescent="0.2">
      <c r="B6341" s="245"/>
      <c r="C6341" s="248"/>
      <c r="D6341" s="249"/>
      <c r="E6341" s="249"/>
      <c r="T6341" s="261"/>
    </row>
    <row r="6342" spans="2:20" x14ac:dyDescent="0.2">
      <c r="B6342" s="245"/>
      <c r="C6342" s="248"/>
      <c r="D6342" s="249"/>
      <c r="E6342" s="249"/>
      <c r="T6342" s="261"/>
    </row>
    <row r="6343" spans="2:20" x14ac:dyDescent="0.2">
      <c r="B6343" s="245"/>
      <c r="C6343" s="248"/>
      <c r="D6343" s="249"/>
      <c r="E6343" s="249"/>
      <c r="T6343" s="261"/>
    </row>
    <row r="6344" spans="2:20" x14ac:dyDescent="0.2">
      <c r="B6344" s="245"/>
      <c r="C6344" s="248"/>
      <c r="D6344" s="249"/>
      <c r="E6344" s="249"/>
      <c r="T6344" s="261"/>
    </row>
    <row r="6345" spans="2:20" x14ac:dyDescent="0.2">
      <c r="B6345" s="245"/>
      <c r="C6345" s="248"/>
      <c r="D6345" s="249"/>
      <c r="E6345" s="249"/>
      <c r="T6345" s="261"/>
    </row>
    <row r="6346" spans="2:20" x14ac:dyDescent="0.2">
      <c r="B6346" s="245"/>
      <c r="C6346" s="248"/>
      <c r="D6346" s="249"/>
      <c r="E6346" s="249"/>
      <c r="T6346" s="261"/>
    </row>
    <row r="6347" spans="2:20" x14ac:dyDescent="0.2">
      <c r="B6347" s="245"/>
      <c r="C6347" s="248"/>
      <c r="D6347" s="249"/>
      <c r="E6347" s="249"/>
      <c r="T6347" s="261"/>
    </row>
    <row r="6348" spans="2:20" x14ac:dyDescent="0.2">
      <c r="B6348" s="245"/>
      <c r="C6348" s="248"/>
      <c r="D6348" s="249"/>
      <c r="E6348" s="249"/>
      <c r="T6348" s="261"/>
    </row>
    <row r="6349" spans="2:20" x14ac:dyDescent="0.2">
      <c r="B6349" s="245"/>
      <c r="C6349" s="248"/>
      <c r="D6349" s="249"/>
      <c r="E6349" s="249"/>
      <c r="T6349" s="261"/>
    </row>
    <row r="6350" spans="2:20" x14ac:dyDescent="0.2">
      <c r="B6350" s="245"/>
      <c r="C6350" s="248"/>
      <c r="D6350" s="249"/>
      <c r="E6350" s="249"/>
      <c r="T6350" s="261"/>
    </row>
    <row r="6351" spans="2:20" x14ac:dyDescent="0.2">
      <c r="B6351" s="245"/>
      <c r="C6351" s="248"/>
      <c r="D6351" s="249"/>
      <c r="E6351" s="249"/>
      <c r="T6351" s="261"/>
    </row>
    <row r="6352" spans="2:20" x14ac:dyDescent="0.2">
      <c r="B6352" s="245"/>
      <c r="C6352" s="248"/>
      <c r="D6352" s="249"/>
      <c r="E6352" s="249"/>
      <c r="T6352" s="261"/>
    </row>
    <row r="6353" spans="2:20" x14ac:dyDescent="0.2">
      <c r="B6353" s="245"/>
      <c r="C6353" s="248"/>
      <c r="D6353" s="249"/>
      <c r="E6353" s="249"/>
      <c r="T6353" s="261"/>
    </row>
    <row r="6354" spans="2:20" x14ac:dyDescent="0.2">
      <c r="B6354" s="245"/>
      <c r="C6354" s="248"/>
      <c r="D6354" s="249"/>
      <c r="E6354" s="249"/>
      <c r="T6354" s="261"/>
    </row>
    <row r="6355" spans="2:20" x14ac:dyDescent="0.2">
      <c r="B6355" s="245"/>
      <c r="C6355" s="248"/>
      <c r="D6355" s="249"/>
      <c r="E6355" s="249"/>
      <c r="T6355" s="261"/>
    </row>
    <row r="6356" spans="2:20" x14ac:dyDescent="0.2">
      <c r="B6356" s="245"/>
      <c r="C6356" s="248"/>
      <c r="D6356" s="249"/>
      <c r="E6356" s="249"/>
      <c r="T6356" s="261"/>
    </row>
    <row r="6357" spans="2:20" x14ac:dyDescent="0.2">
      <c r="B6357" s="245"/>
      <c r="C6357" s="248"/>
      <c r="D6357" s="249"/>
      <c r="E6357" s="249"/>
      <c r="T6357" s="261"/>
    </row>
    <row r="6358" spans="2:20" x14ac:dyDescent="0.2">
      <c r="B6358" s="245"/>
      <c r="C6358" s="248"/>
      <c r="D6358" s="249"/>
      <c r="E6358" s="249"/>
      <c r="T6358" s="261"/>
    </row>
    <row r="6359" spans="2:20" x14ac:dyDescent="0.2">
      <c r="B6359" s="245"/>
      <c r="C6359" s="248"/>
      <c r="D6359" s="249"/>
      <c r="E6359" s="249"/>
      <c r="T6359" s="261"/>
    </row>
    <row r="6360" spans="2:20" x14ac:dyDescent="0.2">
      <c r="B6360" s="245"/>
      <c r="C6360" s="248"/>
      <c r="D6360" s="249"/>
      <c r="E6360" s="249"/>
      <c r="T6360" s="261"/>
    </row>
    <row r="6361" spans="2:20" x14ac:dyDescent="0.2">
      <c r="B6361" s="245"/>
      <c r="C6361" s="248"/>
      <c r="D6361" s="249"/>
      <c r="E6361" s="249"/>
      <c r="T6361" s="261"/>
    </row>
    <row r="6362" spans="2:20" x14ac:dyDescent="0.2">
      <c r="B6362" s="245"/>
      <c r="C6362" s="248"/>
      <c r="D6362" s="249"/>
      <c r="E6362" s="249"/>
      <c r="T6362" s="261"/>
    </row>
    <row r="6363" spans="2:20" x14ac:dyDescent="0.2">
      <c r="B6363" s="245"/>
      <c r="C6363" s="248"/>
      <c r="D6363" s="249"/>
      <c r="E6363" s="249"/>
      <c r="T6363" s="261"/>
    </row>
    <row r="6364" spans="2:20" x14ac:dyDescent="0.2">
      <c r="B6364" s="245"/>
      <c r="C6364" s="248"/>
      <c r="D6364" s="249"/>
      <c r="E6364" s="249"/>
      <c r="T6364" s="261"/>
    </row>
    <row r="6365" spans="2:20" x14ac:dyDescent="0.2">
      <c r="B6365" s="245"/>
      <c r="C6365" s="248"/>
      <c r="D6365" s="249"/>
      <c r="E6365" s="249"/>
      <c r="T6365" s="261"/>
    </row>
    <row r="6366" spans="2:20" x14ac:dyDescent="0.2">
      <c r="B6366" s="245"/>
      <c r="C6366" s="248"/>
      <c r="D6366" s="249"/>
      <c r="E6366" s="249"/>
      <c r="T6366" s="261"/>
    </row>
    <row r="6367" spans="2:20" x14ac:dyDescent="0.2">
      <c r="B6367" s="245"/>
      <c r="C6367" s="248"/>
      <c r="D6367" s="249"/>
      <c r="E6367" s="249"/>
      <c r="T6367" s="261"/>
    </row>
    <row r="6368" spans="2:20" x14ac:dyDescent="0.2">
      <c r="B6368" s="245"/>
      <c r="C6368" s="248"/>
      <c r="D6368" s="249"/>
      <c r="E6368" s="249"/>
      <c r="T6368" s="261"/>
    </row>
    <row r="6369" spans="2:20" x14ac:dyDescent="0.2">
      <c r="B6369" s="245"/>
      <c r="C6369" s="248"/>
      <c r="D6369" s="249"/>
      <c r="E6369" s="249"/>
      <c r="T6369" s="261"/>
    </row>
    <row r="6370" spans="2:20" x14ac:dyDescent="0.2">
      <c r="B6370" s="245"/>
      <c r="C6370" s="248"/>
      <c r="D6370" s="249"/>
      <c r="E6370" s="249"/>
      <c r="T6370" s="261"/>
    </row>
    <row r="6371" spans="2:20" x14ac:dyDescent="0.2">
      <c r="B6371" s="245"/>
      <c r="C6371" s="248"/>
      <c r="D6371" s="249"/>
      <c r="E6371" s="249"/>
      <c r="T6371" s="261"/>
    </row>
    <row r="6372" spans="2:20" x14ac:dyDescent="0.2">
      <c r="B6372" s="245"/>
      <c r="C6372" s="248"/>
      <c r="D6372" s="249"/>
      <c r="E6372" s="249"/>
      <c r="T6372" s="261"/>
    </row>
    <row r="6373" spans="2:20" x14ac:dyDescent="0.2">
      <c r="B6373" s="245"/>
      <c r="C6373" s="248"/>
      <c r="D6373" s="249"/>
      <c r="E6373" s="249"/>
      <c r="T6373" s="261"/>
    </row>
    <row r="6374" spans="2:20" x14ac:dyDescent="0.2">
      <c r="B6374" s="245"/>
      <c r="C6374" s="248"/>
      <c r="D6374" s="249"/>
      <c r="E6374" s="249"/>
      <c r="T6374" s="261"/>
    </row>
    <row r="6375" spans="2:20" x14ac:dyDescent="0.2">
      <c r="B6375" s="245"/>
      <c r="C6375" s="248"/>
      <c r="D6375" s="249"/>
      <c r="E6375" s="249"/>
      <c r="T6375" s="261"/>
    </row>
    <row r="6376" spans="2:20" x14ac:dyDescent="0.2">
      <c r="B6376" s="245"/>
      <c r="C6376" s="248"/>
      <c r="D6376" s="249"/>
      <c r="E6376" s="249"/>
      <c r="T6376" s="261"/>
    </row>
    <row r="6377" spans="2:20" x14ac:dyDescent="0.2">
      <c r="B6377" s="245"/>
      <c r="C6377" s="248"/>
      <c r="D6377" s="249"/>
      <c r="E6377" s="249"/>
      <c r="T6377" s="261"/>
    </row>
    <row r="6378" spans="2:20" x14ac:dyDescent="0.2">
      <c r="B6378" s="245"/>
      <c r="C6378" s="248"/>
      <c r="D6378" s="249"/>
      <c r="E6378" s="249"/>
      <c r="T6378" s="261"/>
    </row>
    <row r="6379" spans="2:20" x14ac:dyDescent="0.2">
      <c r="B6379" s="245"/>
      <c r="C6379" s="248"/>
      <c r="D6379" s="249"/>
      <c r="E6379" s="249"/>
      <c r="T6379" s="261"/>
    </row>
    <row r="6380" spans="2:20" x14ac:dyDescent="0.2">
      <c r="B6380" s="245"/>
      <c r="C6380" s="248"/>
      <c r="D6380" s="249"/>
      <c r="E6380" s="249"/>
      <c r="T6380" s="261"/>
    </row>
    <row r="6381" spans="2:20" x14ac:dyDescent="0.2">
      <c r="B6381" s="245"/>
      <c r="C6381" s="248"/>
      <c r="D6381" s="249"/>
      <c r="E6381" s="249"/>
      <c r="T6381" s="261"/>
    </row>
    <row r="6382" spans="2:20" x14ac:dyDescent="0.2">
      <c r="B6382" s="245"/>
      <c r="C6382" s="248"/>
      <c r="D6382" s="249"/>
      <c r="E6382" s="249"/>
      <c r="T6382" s="261"/>
    </row>
    <row r="6383" spans="2:20" x14ac:dyDescent="0.2">
      <c r="B6383" s="245"/>
      <c r="C6383" s="248"/>
      <c r="D6383" s="249"/>
      <c r="E6383" s="249"/>
      <c r="T6383" s="261"/>
    </row>
    <row r="6384" spans="2:20" x14ac:dyDescent="0.2">
      <c r="B6384" s="245"/>
      <c r="C6384" s="248"/>
      <c r="D6384" s="249"/>
      <c r="E6384" s="249"/>
      <c r="T6384" s="261"/>
    </row>
    <row r="6385" spans="2:20" x14ac:dyDescent="0.2">
      <c r="B6385" s="245"/>
      <c r="C6385" s="248"/>
      <c r="D6385" s="249"/>
      <c r="E6385" s="249"/>
      <c r="T6385" s="261"/>
    </row>
    <row r="6386" spans="2:20" x14ac:dyDescent="0.2">
      <c r="B6386" s="245"/>
      <c r="C6386" s="248"/>
      <c r="D6386" s="249"/>
      <c r="E6386" s="249"/>
      <c r="T6386" s="261"/>
    </row>
    <row r="6387" spans="2:20" x14ac:dyDescent="0.2">
      <c r="B6387" s="245"/>
      <c r="C6387" s="248"/>
      <c r="D6387" s="249"/>
      <c r="E6387" s="249"/>
      <c r="T6387" s="261"/>
    </row>
    <row r="6388" spans="2:20" x14ac:dyDescent="0.2">
      <c r="B6388" s="245"/>
      <c r="C6388" s="248"/>
      <c r="D6388" s="249"/>
      <c r="E6388" s="249"/>
      <c r="T6388" s="261"/>
    </row>
    <row r="6389" spans="2:20" x14ac:dyDescent="0.2">
      <c r="B6389" s="245"/>
      <c r="C6389" s="248"/>
      <c r="D6389" s="249"/>
      <c r="E6389" s="249"/>
      <c r="T6389" s="261"/>
    </row>
    <row r="6390" spans="2:20" x14ac:dyDescent="0.2">
      <c r="B6390" s="245"/>
      <c r="C6390" s="248"/>
      <c r="D6390" s="249"/>
      <c r="E6390" s="249"/>
      <c r="T6390" s="261"/>
    </row>
    <row r="6391" spans="2:20" x14ac:dyDescent="0.2">
      <c r="B6391" s="245"/>
      <c r="C6391" s="248"/>
      <c r="D6391" s="249"/>
      <c r="E6391" s="249"/>
      <c r="T6391" s="261"/>
    </row>
    <row r="6392" spans="2:20" x14ac:dyDescent="0.2">
      <c r="B6392" s="245"/>
      <c r="C6392" s="248"/>
      <c r="D6392" s="249"/>
      <c r="E6392" s="249"/>
      <c r="T6392" s="261"/>
    </row>
    <row r="6393" spans="2:20" x14ac:dyDescent="0.2">
      <c r="B6393" s="245"/>
      <c r="C6393" s="248"/>
      <c r="D6393" s="249"/>
      <c r="E6393" s="249"/>
      <c r="T6393" s="261"/>
    </row>
    <row r="6394" spans="2:20" x14ac:dyDescent="0.2">
      <c r="B6394" s="245"/>
      <c r="C6394" s="248"/>
      <c r="D6394" s="249"/>
      <c r="E6394" s="249"/>
      <c r="T6394" s="261"/>
    </row>
    <row r="6395" spans="2:20" x14ac:dyDescent="0.2">
      <c r="B6395" s="245"/>
      <c r="C6395" s="248"/>
      <c r="D6395" s="249"/>
      <c r="E6395" s="249"/>
      <c r="T6395" s="261"/>
    </row>
    <row r="6396" spans="2:20" x14ac:dyDescent="0.2">
      <c r="B6396" s="245"/>
      <c r="C6396" s="248"/>
      <c r="D6396" s="249"/>
      <c r="E6396" s="249"/>
      <c r="T6396" s="261"/>
    </row>
    <row r="6397" spans="2:20" x14ac:dyDescent="0.2">
      <c r="B6397" s="245"/>
      <c r="C6397" s="248"/>
      <c r="D6397" s="249"/>
      <c r="E6397" s="249"/>
      <c r="T6397" s="261"/>
    </row>
    <row r="6398" spans="2:20" x14ac:dyDescent="0.2">
      <c r="B6398" s="245"/>
      <c r="C6398" s="248"/>
      <c r="D6398" s="249"/>
      <c r="E6398" s="249"/>
      <c r="T6398" s="261"/>
    </row>
    <row r="6399" spans="2:20" x14ac:dyDescent="0.2">
      <c r="B6399" s="245"/>
      <c r="C6399" s="248"/>
      <c r="D6399" s="249"/>
      <c r="E6399" s="249"/>
      <c r="T6399" s="261"/>
    </row>
    <row r="6400" spans="2:20" x14ac:dyDescent="0.2">
      <c r="B6400" s="245"/>
      <c r="C6400" s="248"/>
      <c r="D6400" s="249"/>
      <c r="E6400" s="249"/>
      <c r="T6400" s="261"/>
    </row>
    <row r="6401" spans="2:20" x14ac:dyDescent="0.2">
      <c r="B6401" s="245"/>
      <c r="C6401" s="248"/>
      <c r="D6401" s="249"/>
      <c r="E6401" s="249"/>
      <c r="T6401" s="261"/>
    </row>
    <row r="6402" spans="2:20" x14ac:dyDescent="0.2">
      <c r="B6402" s="245"/>
      <c r="C6402" s="248"/>
      <c r="D6402" s="249"/>
      <c r="E6402" s="249"/>
      <c r="T6402" s="261"/>
    </row>
    <row r="6403" spans="2:20" x14ac:dyDescent="0.2">
      <c r="B6403" s="245"/>
      <c r="C6403" s="248"/>
      <c r="D6403" s="249"/>
      <c r="E6403" s="249"/>
      <c r="T6403" s="261"/>
    </row>
    <row r="6404" spans="2:20" x14ac:dyDescent="0.2">
      <c r="B6404" s="245"/>
      <c r="C6404" s="248"/>
      <c r="D6404" s="249"/>
      <c r="E6404" s="249"/>
      <c r="T6404" s="261"/>
    </row>
    <row r="6405" spans="2:20" x14ac:dyDescent="0.2">
      <c r="B6405" s="245"/>
      <c r="C6405" s="248"/>
      <c r="D6405" s="249"/>
      <c r="E6405" s="249"/>
      <c r="T6405" s="261"/>
    </row>
    <row r="6406" spans="2:20" x14ac:dyDescent="0.2">
      <c r="B6406" s="245"/>
      <c r="C6406" s="248"/>
      <c r="D6406" s="249"/>
      <c r="E6406" s="249"/>
      <c r="T6406" s="261"/>
    </row>
    <row r="6407" spans="2:20" x14ac:dyDescent="0.2">
      <c r="B6407" s="245"/>
      <c r="C6407" s="248"/>
      <c r="D6407" s="249"/>
      <c r="E6407" s="249"/>
      <c r="T6407" s="261"/>
    </row>
    <row r="6408" spans="2:20" x14ac:dyDescent="0.2">
      <c r="B6408" s="245"/>
      <c r="C6408" s="248"/>
      <c r="D6408" s="249"/>
      <c r="E6408" s="249"/>
      <c r="T6408" s="261"/>
    </row>
    <row r="6409" spans="2:20" x14ac:dyDescent="0.2">
      <c r="B6409" s="245"/>
      <c r="C6409" s="248"/>
      <c r="D6409" s="249"/>
      <c r="E6409" s="249"/>
      <c r="T6409" s="261"/>
    </row>
    <row r="6410" spans="2:20" x14ac:dyDescent="0.2">
      <c r="B6410" s="245"/>
      <c r="C6410" s="248"/>
      <c r="D6410" s="249"/>
      <c r="E6410" s="249"/>
      <c r="T6410" s="261"/>
    </row>
    <row r="6411" spans="2:20" x14ac:dyDescent="0.2">
      <c r="B6411" s="245"/>
      <c r="C6411" s="248"/>
      <c r="D6411" s="249"/>
      <c r="E6411" s="249"/>
      <c r="T6411" s="261"/>
    </row>
    <row r="6412" spans="2:20" x14ac:dyDescent="0.2">
      <c r="B6412" s="245"/>
      <c r="C6412" s="248"/>
      <c r="D6412" s="249"/>
      <c r="E6412" s="249"/>
      <c r="T6412" s="261"/>
    </row>
    <row r="6413" spans="2:20" x14ac:dyDescent="0.2">
      <c r="B6413" s="245"/>
      <c r="C6413" s="248"/>
      <c r="D6413" s="249"/>
      <c r="E6413" s="249"/>
      <c r="T6413" s="261"/>
    </row>
    <row r="6414" spans="2:20" x14ac:dyDescent="0.2">
      <c r="B6414" s="245"/>
      <c r="C6414" s="248"/>
      <c r="D6414" s="249"/>
      <c r="E6414" s="249"/>
      <c r="T6414" s="261"/>
    </row>
    <row r="6415" spans="2:20" x14ac:dyDescent="0.2">
      <c r="B6415" s="245"/>
      <c r="C6415" s="248"/>
      <c r="D6415" s="249"/>
      <c r="E6415" s="249"/>
      <c r="T6415" s="261"/>
    </row>
    <row r="6416" spans="2:20" x14ac:dyDescent="0.2">
      <c r="B6416" s="245"/>
      <c r="C6416" s="248"/>
      <c r="D6416" s="249"/>
      <c r="E6416" s="249"/>
      <c r="T6416" s="261"/>
    </row>
    <row r="6417" spans="2:20" x14ac:dyDescent="0.2">
      <c r="B6417" s="245"/>
      <c r="C6417" s="248"/>
      <c r="D6417" s="249"/>
      <c r="E6417" s="249"/>
      <c r="T6417" s="261"/>
    </row>
    <row r="6418" spans="2:20" x14ac:dyDescent="0.2">
      <c r="B6418" s="245"/>
      <c r="C6418" s="248"/>
      <c r="D6418" s="249"/>
      <c r="E6418" s="249"/>
      <c r="T6418" s="261"/>
    </row>
    <row r="6419" spans="2:20" x14ac:dyDescent="0.2">
      <c r="B6419" s="245"/>
      <c r="C6419" s="248"/>
      <c r="D6419" s="249"/>
      <c r="E6419" s="249"/>
      <c r="T6419" s="261"/>
    </row>
    <row r="6420" spans="2:20" x14ac:dyDescent="0.2">
      <c r="B6420" s="245"/>
      <c r="C6420" s="248"/>
      <c r="D6420" s="249"/>
      <c r="E6420" s="249"/>
      <c r="T6420" s="261"/>
    </row>
    <row r="6421" spans="2:20" x14ac:dyDescent="0.2">
      <c r="B6421" s="245"/>
      <c r="C6421" s="248"/>
      <c r="D6421" s="249"/>
      <c r="E6421" s="249"/>
      <c r="T6421" s="261"/>
    </row>
    <row r="6422" spans="2:20" x14ac:dyDescent="0.2">
      <c r="B6422" s="245"/>
      <c r="C6422" s="248"/>
      <c r="D6422" s="249"/>
      <c r="E6422" s="249"/>
      <c r="T6422" s="261"/>
    </row>
    <row r="6423" spans="2:20" x14ac:dyDescent="0.2">
      <c r="B6423" s="245"/>
      <c r="C6423" s="248"/>
      <c r="D6423" s="249"/>
      <c r="E6423" s="249"/>
      <c r="T6423" s="261"/>
    </row>
    <row r="6424" spans="2:20" x14ac:dyDescent="0.2">
      <c r="B6424" s="245"/>
      <c r="C6424" s="248"/>
      <c r="D6424" s="249"/>
      <c r="E6424" s="249"/>
      <c r="T6424" s="261"/>
    </row>
    <row r="6425" spans="2:20" x14ac:dyDescent="0.2">
      <c r="B6425" s="245"/>
      <c r="C6425" s="248"/>
      <c r="D6425" s="249"/>
      <c r="E6425" s="249"/>
      <c r="T6425" s="261"/>
    </row>
    <row r="6426" spans="2:20" x14ac:dyDescent="0.2">
      <c r="B6426" s="245"/>
      <c r="C6426" s="248"/>
      <c r="D6426" s="249"/>
      <c r="E6426" s="249"/>
      <c r="T6426" s="261"/>
    </row>
    <row r="6427" spans="2:20" x14ac:dyDescent="0.2">
      <c r="B6427" s="245"/>
      <c r="C6427" s="248"/>
      <c r="D6427" s="249"/>
      <c r="E6427" s="249"/>
      <c r="T6427" s="261"/>
    </row>
    <row r="6428" spans="2:20" x14ac:dyDescent="0.2">
      <c r="B6428" s="245"/>
      <c r="C6428" s="248"/>
      <c r="D6428" s="249"/>
      <c r="E6428" s="249"/>
      <c r="T6428" s="261"/>
    </row>
    <row r="6429" spans="2:20" x14ac:dyDescent="0.2">
      <c r="B6429" s="245"/>
      <c r="C6429" s="248"/>
      <c r="D6429" s="249"/>
      <c r="E6429" s="249"/>
      <c r="T6429" s="261"/>
    </row>
    <row r="6430" spans="2:20" x14ac:dyDescent="0.2">
      <c r="B6430" s="245"/>
      <c r="C6430" s="248"/>
      <c r="D6430" s="249"/>
      <c r="E6430" s="249"/>
      <c r="T6430" s="261"/>
    </row>
    <row r="6431" spans="2:20" x14ac:dyDescent="0.2">
      <c r="B6431" s="245"/>
      <c r="C6431" s="248"/>
      <c r="D6431" s="249"/>
      <c r="E6431" s="249"/>
      <c r="T6431" s="261"/>
    </row>
    <row r="6432" spans="2:20" x14ac:dyDescent="0.2">
      <c r="B6432" s="245"/>
      <c r="C6432" s="248"/>
      <c r="D6432" s="249"/>
      <c r="E6432" s="249"/>
      <c r="T6432" s="261"/>
    </row>
    <row r="6433" spans="2:20" x14ac:dyDescent="0.2">
      <c r="B6433" s="245"/>
      <c r="C6433" s="248"/>
      <c r="D6433" s="249"/>
      <c r="E6433" s="249"/>
      <c r="T6433" s="261"/>
    </row>
    <row r="6434" spans="2:20" x14ac:dyDescent="0.2">
      <c r="B6434" s="245"/>
      <c r="C6434" s="248"/>
      <c r="D6434" s="249"/>
      <c r="E6434" s="249"/>
      <c r="T6434" s="261"/>
    </row>
    <row r="6435" spans="2:20" x14ac:dyDescent="0.2">
      <c r="B6435" s="245"/>
      <c r="C6435" s="248"/>
      <c r="D6435" s="249"/>
      <c r="E6435" s="249"/>
      <c r="T6435" s="261"/>
    </row>
    <row r="6436" spans="2:20" x14ac:dyDescent="0.2">
      <c r="B6436" s="245"/>
      <c r="C6436" s="248"/>
      <c r="D6436" s="249"/>
      <c r="E6436" s="249"/>
      <c r="T6436" s="261"/>
    </row>
    <row r="6437" spans="2:20" x14ac:dyDescent="0.2">
      <c r="B6437" s="245"/>
      <c r="C6437" s="248"/>
      <c r="D6437" s="249"/>
      <c r="E6437" s="249"/>
      <c r="T6437" s="261"/>
    </row>
    <row r="6438" spans="2:20" x14ac:dyDescent="0.2">
      <c r="B6438" s="245"/>
      <c r="C6438" s="248"/>
      <c r="D6438" s="249"/>
      <c r="E6438" s="249"/>
      <c r="T6438" s="261"/>
    </row>
    <row r="6439" spans="2:20" x14ac:dyDescent="0.2">
      <c r="B6439" s="245"/>
      <c r="C6439" s="248"/>
      <c r="D6439" s="249"/>
      <c r="E6439" s="249"/>
      <c r="T6439" s="261"/>
    </row>
    <row r="6440" spans="2:20" x14ac:dyDescent="0.2">
      <c r="B6440" s="245"/>
      <c r="C6440" s="248"/>
      <c r="D6440" s="249"/>
      <c r="E6440" s="249"/>
      <c r="T6440" s="261"/>
    </row>
    <row r="6441" spans="2:20" x14ac:dyDescent="0.2">
      <c r="B6441" s="245"/>
      <c r="C6441" s="248"/>
      <c r="D6441" s="249"/>
      <c r="E6441" s="249"/>
      <c r="T6441" s="261"/>
    </row>
    <row r="6442" spans="2:20" x14ac:dyDescent="0.2">
      <c r="B6442" s="245"/>
      <c r="C6442" s="248"/>
      <c r="D6442" s="249"/>
      <c r="E6442" s="249"/>
      <c r="T6442" s="261"/>
    </row>
    <row r="6443" spans="2:20" x14ac:dyDescent="0.2">
      <c r="B6443" s="245"/>
      <c r="C6443" s="248"/>
      <c r="D6443" s="249"/>
      <c r="E6443" s="249"/>
      <c r="T6443" s="261"/>
    </row>
    <row r="6444" spans="2:20" x14ac:dyDescent="0.2">
      <c r="B6444" s="245"/>
      <c r="C6444" s="248"/>
      <c r="D6444" s="249"/>
      <c r="E6444" s="249"/>
      <c r="T6444" s="261"/>
    </row>
    <row r="6445" spans="2:20" x14ac:dyDescent="0.2">
      <c r="B6445" s="245"/>
      <c r="C6445" s="248"/>
      <c r="D6445" s="249"/>
      <c r="E6445" s="249"/>
      <c r="T6445" s="261"/>
    </row>
    <row r="6446" spans="2:20" x14ac:dyDescent="0.2">
      <c r="B6446" s="245"/>
      <c r="C6446" s="248"/>
      <c r="D6446" s="249"/>
      <c r="E6446" s="249"/>
      <c r="T6446" s="261"/>
    </row>
    <row r="6447" spans="2:20" x14ac:dyDescent="0.2">
      <c r="B6447" s="245"/>
      <c r="C6447" s="248"/>
      <c r="D6447" s="249"/>
      <c r="E6447" s="249"/>
      <c r="T6447" s="261"/>
    </row>
    <row r="6448" spans="2:20" x14ac:dyDescent="0.2">
      <c r="B6448" s="245"/>
      <c r="C6448" s="248"/>
      <c r="D6448" s="249"/>
      <c r="E6448" s="249"/>
      <c r="T6448" s="261"/>
    </row>
    <row r="6449" spans="2:20" x14ac:dyDescent="0.2">
      <c r="B6449" s="245"/>
      <c r="C6449" s="248"/>
      <c r="D6449" s="249"/>
      <c r="E6449" s="249"/>
      <c r="T6449" s="261"/>
    </row>
    <row r="6450" spans="2:20" x14ac:dyDescent="0.2">
      <c r="B6450" s="245"/>
      <c r="C6450" s="248"/>
      <c r="D6450" s="249"/>
      <c r="E6450" s="249"/>
      <c r="T6450" s="261"/>
    </row>
    <row r="6451" spans="2:20" x14ac:dyDescent="0.2">
      <c r="B6451" s="245"/>
      <c r="C6451" s="248"/>
      <c r="D6451" s="249"/>
      <c r="E6451" s="249"/>
      <c r="T6451" s="261"/>
    </row>
    <row r="6452" spans="2:20" x14ac:dyDescent="0.2">
      <c r="B6452" s="245"/>
      <c r="C6452" s="248"/>
      <c r="D6452" s="249"/>
      <c r="E6452" s="249"/>
      <c r="T6452" s="261"/>
    </row>
    <row r="6453" spans="2:20" x14ac:dyDescent="0.2">
      <c r="B6453" s="245"/>
      <c r="C6453" s="248"/>
      <c r="D6453" s="249"/>
      <c r="E6453" s="249"/>
      <c r="T6453" s="261"/>
    </row>
    <row r="6454" spans="2:20" x14ac:dyDescent="0.2">
      <c r="B6454" s="245"/>
      <c r="C6454" s="248"/>
      <c r="D6454" s="249"/>
      <c r="E6454" s="249"/>
      <c r="T6454" s="261"/>
    </row>
    <row r="6455" spans="2:20" x14ac:dyDescent="0.2">
      <c r="B6455" s="245"/>
      <c r="C6455" s="248"/>
      <c r="D6455" s="249"/>
      <c r="E6455" s="249"/>
      <c r="T6455" s="261"/>
    </row>
    <row r="6456" spans="2:20" x14ac:dyDescent="0.2">
      <c r="B6456" s="245"/>
      <c r="C6456" s="248"/>
      <c r="D6456" s="249"/>
      <c r="E6456" s="249"/>
      <c r="T6456" s="261"/>
    </row>
    <row r="6457" spans="2:20" x14ac:dyDescent="0.2">
      <c r="B6457" s="245"/>
      <c r="C6457" s="248"/>
      <c r="D6457" s="249"/>
      <c r="E6457" s="249"/>
      <c r="T6457" s="261"/>
    </row>
    <row r="6458" spans="2:20" x14ac:dyDescent="0.2">
      <c r="B6458" s="245"/>
      <c r="C6458" s="248"/>
      <c r="D6458" s="249"/>
      <c r="E6458" s="249"/>
      <c r="T6458" s="261"/>
    </row>
    <row r="6459" spans="2:20" x14ac:dyDescent="0.2">
      <c r="B6459" s="245"/>
      <c r="C6459" s="248"/>
      <c r="D6459" s="249"/>
      <c r="E6459" s="249"/>
      <c r="T6459" s="261"/>
    </row>
    <row r="6460" spans="2:20" x14ac:dyDescent="0.2">
      <c r="B6460" s="245"/>
      <c r="C6460" s="248"/>
      <c r="D6460" s="249"/>
      <c r="E6460" s="249"/>
      <c r="T6460" s="261"/>
    </row>
    <row r="6461" spans="2:20" x14ac:dyDescent="0.2">
      <c r="B6461" s="245"/>
      <c r="C6461" s="248"/>
      <c r="D6461" s="249"/>
      <c r="E6461" s="249"/>
      <c r="T6461" s="261"/>
    </row>
    <row r="6462" spans="2:20" x14ac:dyDescent="0.2">
      <c r="B6462" s="245"/>
      <c r="C6462" s="248"/>
      <c r="D6462" s="249"/>
      <c r="E6462" s="249"/>
      <c r="T6462" s="261"/>
    </row>
    <row r="6463" spans="2:20" x14ac:dyDescent="0.2">
      <c r="B6463" s="245"/>
      <c r="C6463" s="248"/>
      <c r="D6463" s="249"/>
      <c r="E6463" s="249"/>
      <c r="T6463" s="261"/>
    </row>
    <row r="6464" spans="2:20" x14ac:dyDescent="0.2">
      <c r="B6464" s="245"/>
      <c r="C6464" s="248"/>
      <c r="D6464" s="249"/>
      <c r="E6464" s="249"/>
      <c r="T6464" s="261"/>
    </row>
    <row r="6465" spans="2:20" x14ac:dyDescent="0.2">
      <c r="B6465" s="245"/>
      <c r="C6465" s="248"/>
      <c r="D6465" s="249"/>
      <c r="E6465" s="249"/>
      <c r="T6465" s="261"/>
    </row>
    <row r="6466" spans="2:20" x14ac:dyDescent="0.2">
      <c r="B6466" s="245"/>
      <c r="C6466" s="248"/>
      <c r="D6466" s="249"/>
      <c r="E6466" s="249"/>
      <c r="T6466" s="261"/>
    </row>
    <row r="6467" spans="2:20" x14ac:dyDescent="0.2">
      <c r="B6467" s="245"/>
      <c r="C6467" s="248"/>
      <c r="D6467" s="249"/>
      <c r="E6467" s="249"/>
      <c r="T6467" s="261"/>
    </row>
    <row r="6468" spans="2:20" x14ac:dyDescent="0.2">
      <c r="B6468" s="245"/>
      <c r="C6468" s="248"/>
      <c r="D6468" s="249"/>
      <c r="E6468" s="249"/>
      <c r="T6468" s="261"/>
    </row>
    <row r="6469" spans="2:20" x14ac:dyDescent="0.2">
      <c r="B6469" s="245"/>
      <c r="C6469" s="248"/>
      <c r="D6469" s="249"/>
      <c r="E6469" s="249"/>
      <c r="T6469" s="261"/>
    </row>
    <row r="6470" spans="2:20" x14ac:dyDescent="0.2">
      <c r="B6470" s="245"/>
      <c r="C6470" s="248"/>
      <c r="D6470" s="249"/>
      <c r="E6470" s="249"/>
      <c r="T6470" s="261"/>
    </row>
    <row r="6471" spans="2:20" x14ac:dyDescent="0.2">
      <c r="B6471" s="245"/>
      <c r="C6471" s="248"/>
      <c r="D6471" s="249"/>
      <c r="E6471" s="249"/>
      <c r="T6471" s="261"/>
    </row>
    <row r="6472" spans="2:20" x14ac:dyDescent="0.2">
      <c r="B6472" s="245"/>
      <c r="C6472" s="248"/>
      <c r="D6472" s="249"/>
      <c r="E6472" s="249"/>
      <c r="T6472" s="261"/>
    </row>
    <row r="6473" spans="2:20" x14ac:dyDescent="0.2">
      <c r="B6473" s="245"/>
      <c r="C6473" s="248"/>
      <c r="D6473" s="249"/>
      <c r="E6473" s="249"/>
      <c r="T6473" s="261"/>
    </row>
    <row r="6474" spans="2:20" x14ac:dyDescent="0.2">
      <c r="B6474" s="245"/>
      <c r="C6474" s="248"/>
      <c r="D6474" s="249"/>
      <c r="E6474" s="249"/>
      <c r="T6474" s="261"/>
    </row>
    <row r="6475" spans="2:20" x14ac:dyDescent="0.2">
      <c r="B6475" s="245"/>
      <c r="C6475" s="248"/>
      <c r="D6475" s="249"/>
      <c r="E6475" s="249"/>
      <c r="T6475" s="261"/>
    </row>
    <row r="6476" spans="2:20" x14ac:dyDescent="0.2">
      <c r="B6476" s="245"/>
      <c r="C6476" s="248"/>
      <c r="D6476" s="249"/>
      <c r="E6476" s="249"/>
      <c r="T6476" s="261"/>
    </row>
    <row r="6477" spans="2:20" x14ac:dyDescent="0.2">
      <c r="B6477" s="245"/>
      <c r="C6477" s="248"/>
      <c r="D6477" s="249"/>
      <c r="E6477" s="249"/>
      <c r="T6477" s="261"/>
    </row>
    <row r="6478" spans="2:20" x14ac:dyDescent="0.2">
      <c r="B6478" s="245"/>
      <c r="C6478" s="248"/>
      <c r="D6478" s="249"/>
      <c r="E6478" s="249"/>
      <c r="T6478" s="261"/>
    </row>
    <row r="6479" spans="2:20" x14ac:dyDescent="0.2">
      <c r="B6479" s="245"/>
      <c r="C6479" s="248"/>
      <c r="D6479" s="249"/>
      <c r="E6479" s="249"/>
      <c r="T6479" s="261"/>
    </row>
    <row r="6480" spans="2:20" x14ac:dyDescent="0.2">
      <c r="B6480" s="245"/>
      <c r="C6480" s="248"/>
      <c r="D6480" s="249"/>
      <c r="E6480" s="249"/>
      <c r="T6480" s="261"/>
    </row>
    <row r="6481" spans="2:20" x14ac:dyDescent="0.2">
      <c r="B6481" s="245"/>
      <c r="C6481" s="248"/>
      <c r="D6481" s="249"/>
      <c r="E6481" s="249"/>
      <c r="T6481" s="261"/>
    </row>
    <row r="6482" spans="2:20" x14ac:dyDescent="0.2">
      <c r="B6482" s="245"/>
      <c r="C6482" s="248"/>
      <c r="D6482" s="249"/>
      <c r="E6482" s="249"/>
      <c r="T6482" s="261"/>
    </row>
    <row r="6483" spans="2:20" x14ac:dyDescent="0.2">
      <c r="B6483" s="245"/>
      <c r="C6483" s="248"/>
      <c r="D6483" s="249"/>
      <c r="E6483" s="249"/>
      <c r="T6483" s="261"/>
    </row>
    <row r="6484" spans="2:20" x14ac:dyDescent="0.2">
      <c r="B6484" s="245"/>
      <c r="C6484" s="248"/>
      <c r="D6484" s="249"/>
      <c r="E6484" s="249"/>
      <c r="T6484" s="261"/>
    </row>
    <row r="6485" spans="2:20" x14ac:dyDescent="0.2">
      <c r="B6485" s="245"/>
      <c r="C6485" s="248"/>
      <c r="D6485" s="249"/>
      <c r="E6485" s="249"/>
      <c r="T6485" s="261"/>
    </row>
    <row r="6486" spans="2:20" x14ac:dyDescent="0.2">
      <c r="B6486" s="245"/>
      <c r="C6486" s="248"/>
      <c r="D6486" s="249"/>
      <c r="E6486" s="249"/>
      <c r="T6486" s="261"/>
    </row>
    <row r="6487" spans="2:20" x14ac:dyDescent="0.2">
      <c r="B6487" s="245"/>
      <c r="C6487" s="248"/>
      <c r="D6487" s="249"/>
      <c r="E6487" s="249"/>
      <c r="T6487" s="261"/>
    </row>
    <row r="6488" spans="2:20" x14ac:dyDescent="0.2">
      <c r="B6488" s="245"/>
      <c r="C6488" s="248"/>
      <c r="D6488" s="249"/>
      <c r="E6488" s="249"/>
      <c r="T6488" s="261"/>
    </row>
    <row r="6489" spans="2:20" x14ac:dyDescent="0.2">
      <c r="B6489" s="245"/>
      <c r="C6489" s="248"/>
      <c r="D6489" s="249"/>
      <c r="E6489" s="249"/>
      <c r="T6489" s="261"/>
    </row>
    <row r="6490" spans="2:20" x14ac:dyDescent="0.2">
      <c r="B6490" s="245"/>
      <c r="C6490" s="248"/>
      <c r="D6490" s="249"/>
      <c r="E6490" s="249"/>
      <c r="T6490" s="261"/>
    </row>
    <row r="6491" spans="2:20" x14ac:dyDescent="0.2">
      <c r="B6491" s="245"/>
      <c r="C6491" s="248"/>
      <c r="D6491" s="249"/>
      <c r="E6491" s="249"/>
      <c r="T6491" s="261"/>
    </row>
    <row r="6492" spans="2:20" x14ac:dyDescent="0.2">
      <c r="B6492" s="245"/>
      <c r="C6492" s="248"/>
      <c r="D6492" s="249"/>
      <c r="E6492" s="249"/>
      <c r="T6492" s="261"/>
    </row>
    <row r="6493" spans="2:20" x14ac:dyDescent="0.2">
      <c r="B6493" s="245"/>
      <c r="C6493" s="248"/>
      <c r="D6493" s="249"/>
      <c r="E6493" s="249"/>
      <c r="T6493" s="261"/>
    </row>
    <row r="6494" spans="2:20" x14ac:dyDescent="0.2">
      <c r="B6494" s="245"/>
      <c r="C6494" s="248"/>
      <c r="D6494" s="249"/>
      <c r="E6494" s="249"/>
      <c r="T6494" s="261"/>
    </row>
    <row r="6495" spans="2:20" x14ac:dyDescent="0.2">
      <c r="B6495" s="245"/>
      <c r="C6495" s="248"/>
      <c r="D6495" s="249"/>
      <c r="E6495" s="249"/>
      <c r="T6495" s="261"/>
    </row>
    <row r="6496" spans="2:20" x14ac:dyDescent="0.2">
      <c r="B6496" s="245"/>
      <c r="C6496" s="248"/>
      <c r="D6496" s="249"/>
      <c r="E6496" s="249"/>
      <c r="T6496" s="261"/>
    </row>
    <row r="6497" spans="2:20" x14ac:dyDescent="0.2">
      <c r="B6497" s="245"/>
      <c r="C6497" s="248"/>
      <c r="D6497" s="249"/>
      <c r="E6497" s="249"/>
      <c r="T6497" s="261"/>
    </row>
    <row r="6498" spans="2:20" x14ac:dyDescent="0.2">
      <c r="B6498" s="245"/>
      <c r="C6498" s="248"/>
      <c r="D6498" s="249"/>
      <c r="E6498" s="249"/>
      <c r="T6498" s="261"/>
    </row>
    <row r="6499" spans="2:20" x14ac:dyDescent="0.2">
      <c r="B6499" s="245"/>
      <c r="C6499" s="248"/>
      <c r="D6499" s="249"/>
      <c r="E6499" s="249"/>
      <c r="T6499" s="261"/>
    </row>
    <row r="6500" spans="2:20" x14ac:dyDescent="0.2">
      <c r="B6500" s="245"/>
      <c r="C6500" s="248"/>
      <c r="D6500" s="249"/>
      <c r="E6500" s="249"/>
      <c r="T6500" s="261"/>
    </row>
    <row r="6501" spans="2:20" x14ac:dyDescent="0.2">
      <c r="B6501" s="245"/>
      <c r="C6501" s="248"/>
      <c r="D6501" s="249"/>
      <c r="E6501" s="249"/>
      <c r="T6501" s="261"/>
    </row>
    <row r="6502" spans="2:20" x14ac:dyDescent="0.2">
      <c r="B6502" s="245"/>
      <c r="C6502" s="248"/>
      <c r="D6502" s="249"/>
      <c r="E6502" s="249"/>
      <c r="T6502" s="261"/>
    </row>
    <row r="6503" spans="2:20" x14ac:dyDescent="0.2">
      <c r="B6503" s="245"/>
      <c r="C6503" s="248"/>
      <c r="D6503" s="249"/>
      <c r="E6503" s="249"/>
      <c r="T6503" s="261"/>
    </row>
    <row r="6504" spans="2:20" x14ac:dyDescent="0.2">
      <c r="B6504" s="245"/>
      <c r="C6504" s="248"/>
      <c r="D6504" s="249"/>
      <c r="E6504" s="249"/>
      <c r="T6504" s="261"/>
    </row>
    <row r="6505" spans="2:20" x14ac:dyDescent="0.2">
      <c r="B6505" s="245"/>
      <c r="C6505" s="248"/>
      <c r="D6505" s="249"/>
      <c r="E6505" s="249"/>
      <c r="T6505" s="261"/>
    </row>
    <row r="6506" spans="2:20" x14ac:dyDescent="0.2">
      <c r="B6506" s="245"/>
      <c r="C6506" s="248"/>
      <c r="D6506" s="249"/>
      <c r="E6506" s="249"/>
      <c r="T6506" s="261"/>
    </row>
    <row r="6507" spans="2:20" x14ac:dyDescent="0.2">
      <c r="B6507" s="245"/>
      <c r="C6507" s="248"/>
      <c r="D6507" s="249"/>
      <c r="E6507" s="249"/>
      <c r="T6507" s="261"/>
    </row>
    <row r="6508" spans="2:20" x14ac:dyDescent="0.2">
      <c r="B6508" s="245"/>
      <c r="C6508" s="248"/>
      <c r="D6508" s="249"/>
      <c r="E6508" s="249"/>
      <c r="T6508" s="261"/>
    </row>
    <row r="6509" spans="2:20" x14ac:dyDescent="0.2">
      <c r="B6509" s="245"/>
      <c r="C6509" s="248"/>
      <c r="D6509" s="249"/>
      <c r="E6509" s="249"/>
      <c r="T6509" s="261"/>
    </row>
    <row r="6510" spans="2:20" x14ac:dyDescent="0.2">
      <c r="B6510" s="245"/>
      <c r="C6510" s="248"/>
      <c r="D6510" s="249"/>
      <c r="E6510" s="249"/>
      <c r="T6510" s="261"/>
    </row>
    <row r="6511" spans="2:20" x14ac:dyDescent="0.2">
      <c r="B6511" s="245"/>
      <c r="C6511" s="248"/>
      <c r="D6511" s="249"/>
      <c r="E6511" s="249"/>
      <c r="T6511" s="261"/>
    </row>
    <row r="6512" spans="2:20" x14ac:dyDescent="0.2">
      <c r="B6512" s="245"/>
      <c r="C6512" s="248"/>
      <c r="D6512" s="249"/>
      <c r="E6512" s="249"/>
      <c r="T6512" s="261"/>
    </row>
    <row r="6513" spans="2:20" x14ac:dyDescent="0.2">
      <c r="B6513" s="245"/>
      <c r="C6513" s="248"/>
      <c r="D6513" s="249"/>
      <c r="E6513" s="249"/>
      <c r="T6513" s="261"/>
    </row>
    <row r="6514" spans="2:20" x14ac:dyDescent="0.2">
      <c r="B6514" s="245"/>
      <c r="C6514" s="248"/>
      <c r="D6514" s="249"/>
      <c r="E6514" s="249"/>
      <c r="T6514" s="261"/>
    </row>
    <row r="6515" spans="2:20" x14ac:dyDescent="0.2">
      <c r="B6515" s="245"/>
      <c r="C6515" s="248"/>
      <c r="D6515" s="249"/>
      <c r="E6515" s="249"/>
      <c r="T6515" s="261"/>
    </row>
    <row r="6516" spans="2:20" x14ac:dyDescent="0.2">
      <c r="B6516" s="245"/>
      <c r="C6516" s="248"/>
      <c r="D6516" s="249"/>
      <c r="E6516" s="249"/>
      <c r="T6516" s="261"/>
    </row>
    <row r="6517" spans="2:20" x14ac:dyDescent="0.2">
      <c r="B6517" s="245"/>
      <c r="C6517" s="248"/>
      <c r="D6517" s="249"/>
      <c r="E6517" s="249"/>
      <c r="T6517" s="261"/>
    </row>
    <row r="6518" spans="2:20" x14ac:dyDescent="0.2">
      <c r="B6518" s="245"/>
      <c r="C6518" s="248"/>
      <c r="D6518" s="249"/>
      <c r="E6518" s="249"/>
      <c r="T6518" s="261"/>
    </row>
    <row r="6519" spans="2:20" x14ac:dyDescent="0.2">
      <c r="B6519" s="245"/>
      <c r="C6519" s="248"/>
      <c r="D6519" s="249"/>
      <c r="E6519" s="249"/>
      <c r="T6519" s="261"/>
    </row>
    <row r="6520" spans="2:20" x14ac:dyDescent="0.2">
      <c r="B6520" s="245"/>
      <c r="C6520" s="248"/>
      <c r="D6520" s="249"/>
      <c r="E6520" s="249"/>
      <c r="T6520" s="261"/>
    </row>
    <row r="6521" spans="2:20" x14ac:dyDescent="0.2">
      <c r="B6521" s="245"/>
      <c r="C6521" s="248"/>
      <c r="D6521" s="249"/>
      <c r="E6521" s="249"/>
      <c r="T6521" s="261"/>
    </row>
    <row r="6522" spans="2:20" x14ac:dyDescent="0.2">
      <c r="B6522" s="245"/>
      <c r="C6522" s="248"/>
      <c r="D6522" s="249"/>
      <c r="E6522" s="249"/>
      <c r="T6522" s="261"/>
    </row>
    <row r="6523" spans="2:20" x14ac:dyDescent="0.2">
      <c r="B6523" s="245"/>
      <c r="C6523" s="248"/>
      <c r="D6523" s="249"/>
      <c r="E6523" s="249"/>
      <c r="T6523" s="261"/>
    </row>
    <row r="6524" spans="2:20" x14ac:dyDescent="0.2">
      <c r="B6524" s="245"/>
      <c r="C6524" s="248"/>
      <c r="D6524" s="249"/>
      <c r="E6524" s="249"/>
      <c r="T6524" s="261"/>
    </row>
    <row r="6525" spans="2:20" x14ac:dyDescent="0.2">
      <c r="B6525" s="245"/>
      <c r="C6525" s="248"/>
      <c r="D6525" s="249"/>
      <c r="E6525" s="249"/>
      <c r="T6525" s="261"/>
    </row>
    <row r="6526" spans="2:20" x14ac:dyDescent="0.2">
      <c r="B6526" s="245"/>
      <c r="C6526" s="248"/>
      <c r="D6526" s="249"/>
      <c r="E6526" s="249"/>
      <c r="T6526" s="261"/>
    </row>
    <row r="6527" spans="2:20" x14ac:dyDescent="0.2">
      <c r="B6527" s="245"/>
      <c r="C6527" s="248"/>
      <c r="D6527" s="249"/>
      <c r="E6527" s="249"/>
      <c r="T6527" s="261"/>
    </row>
    <row r="6528" spans="2:20" x14ac:dyDescent="0.2">
      <c r="B6528" s="245"/>
      <c r="C6528" s="248"/>
      <c r="D6528" s="249"/>
      <c r="E6528" s="249"/>
      <c r="T6528" s="261"/>
    </row>
    <row r="6529" spans="2:20" x14ac:dyDescent="0.2">
      <c r="B6529" s="245"/>
      <c r="C6529" s="248"/>
      <c r="D6529" s="249"/>
      <c r="E6529" s="249"/>
      <c r="T6529" s="261"/>
    </row>
    <row r="6530" spans="2:20" x14ac:dyDescent="0.2">
      <c r="B6530" s="245"/>
      <c r="C6530" s="248"/>
      <c r="D6530" s="249"/>
      <c r="E6530" s="249"/>
      <c r="T6530" s="261"/>
    </row>
    <row r="6531" spans="2:20" x14ac:dyDescent="0.2">
      <c r="B6531" s="245"/>
      <c r="C6531" s="248"/>
      <c r="D6531" s="249"/>
      <c r="E6531" s="249"/>
      <c r="T6531" s="261"/>
    </row>
    <row r="6532" spans="2:20" x14ac:dyDescent="0.2">
      <c r="B6532" s="245"/>
      <c r="C6532" s="248"/>
      <c r="D6532" s="249"/>
      <c r="E6532" s="249"/>
      <c r="T6532" s="261"/>
    </row>
    <row r="6533" spans="2:20" x14ac:dyDescent="0.2">
      <c r="B6533" s="245"/>
      <c r="C6533" s="248"/>
      <c r="D6533" s="249"/>
      <c r="E6533" s="249"/>
      <c r="T6533" s="261"/>
    </row>
    <row r="6534" spans="2:20" x14ac:dyDescent="0.2">
      <c r="B6534" s="245"/>
      <c r="C6534" s="248"/>
      <c r="D6534" s="249"/>
      <c r="E6534" s="249"/>
      <c r="T6534" s="261"/>
    </row>
    <row r="6535" spans="2:20" x14ac:dyDescent="0.2">
      <c r="B6535" s="245"/>
      <c r="C6535" s="248"/>
      <c r="D6535" s="249"/>
      <c r="E6535" s="249"/>
      <c r="T6535" s="261"/>
    </row>
    <row r="6536" spans="2:20" x14ac:dyDescent="0.2">
      <c r="B6536" s="245"/>
      <c r="C6536" s="248"/>
      <c r="D6536" s="249"/>
      <c r="E6536" s="249"/>
      <c r="T6536" s="261"/>
    </row>
    <row r="6537" spans="2:20" x14ac:dyDescent="0.2">
      <c r="B6537" s="245"/>
      <c r="C6537" s="248"/>
      <c r="D6537" s="249"/>
      <c r="E6537" s="249"/>
      <c r="T6537" s="261"/>
    </row>
    <row r="6538" spans="2:20" x14ac:dyDescent="0.2">
      <c r="B6538" s="245"/>
      <c r="C6538" s="248"/>
      <c r="D6538" s="249"/>
      <c r="E6538" s="249"/>
      <c r="T6538" s="261"/>
    </row>
    <row r="6539" spans="2:20" x14ac:dyDescent="0.2">
      <c r="B6539" s="245"/>
      <c r="C6539" s="248"/>
      <c r="D6539" s="249"/>
      <c r="E6539" s="249"/>
      <c r="T6539" s="261"/>
    </row>
    <row r="6540" spans="2:20" x14ac:dyDescent="0.2">
      <c r="B6540" s="245"/>
      <c r="C6540" s="248"/>
      <c r="D6540" s="249"/>
      <c r="E6540" s="249"/>
      <c r="T6540" s="261"/>
    </row>
    <row r="6541" spans="2:20" x14ac:dyDescent="0.2">
      <c r="B6541" s="245"/>
      <c r="C6541" s="248"/>
      <c r="D6541" s="249"/>
      <c r="E6541" s="249"/>
      <c r="T6541" s="261"/>
    </row>
    <row r="6542" spans="2:20" x14ac:dyDescent="0.2">
      <c r="B6542" s="245"/>
      <c r="C6542" s="248"/>
      <c r="D6542" s="249"/>
      <c r="E6542" s="249"/>
      <c r="T6542" s="261"/>
    </row>
    <row r="6543" spans="2:20" x14ac:dyDescent="0.2">
      <c r="B6543" s="245"/>
      <c r="C6543" s="248"/>
      <c r="D6543" s="249"/>
      <c r="E6543" s="249"/>
      <c r="T6543" s="261"/>
    </row>
    <row r="6544" spans="2:20" x14ac:dyDescent="0.2">
      <c r="B6544" s="245"/>
      <c r="C6544" s="248"/>
      <c r="D6544" s="249"/>
      <c r="E6544" s="249"/>
      <c r="T6544" s="261"/>
    </row>
    <row r="6545" spans="2:20" x14ac:dyDescent="0.2">
      <c r="B6545" s="245"/>
      <c r="C6545" s="248"/>
      <c r="D6545" s="249"/>
      <c r="E6545" s="249"/>
      <c r="T6545" s="261"/>
    </row>
    <row r="6546" spans="2:20" x14ac:dyDescent="0.2">
      <c r="B6546" s="245"/>
      <c r="C6546" s="248"/>
      <c r="D6546" s="249"/>
      <c r="E6546" s="249"/>
      <c r="T6546" s="261"/>
    </row>
    <row r="6547" spans="2:20" x14ac:dyDescent="0.2">
      <c r="B6547" s="245"/>
      <c r="C6547" s="248"/>
      <c r="D6547" s="249"/>
      <c r="E6547" s="249"/>
      <c r="T6547" s="261"/>
    </row>
    <row r="6548" spans="2:20" x14ac:dyDescent="0.2">
      <c r="B6548" s="245"/>
      <c r="C6548" s="248"/>
      <c r="D6548" s="249"/>
      <c r="E6548" s="249"/>
      <c r="T6548" s="261"/>
    </row>
    <row r="6549" spans="2:20" x14ac:dyDescent="0.2">
      <c r="B6549" s="245"/>
      <c r="C6549" s="248"/>
      <c r="D6549" s="249"/>
      <c r="E6549" s="249"/>
      <c r="T6549" s="261"/>
    </row>
    <row r="6550" spans="2:20" x14ac:dyDescent="0.2">
      <c r="B6550" s="245"/>
      <c r="C6550" s="248"/>
      <c r="D6550" s="249"/>
      <c r="E6550" s="249"/>
      <c r="T6550" s="261"/>
    </row>
    <row r="6551" spans="2:20" x14ac:dyDescent="0.2">
      <c r="B6551" s="245"/>
      <c r="C6551" s="248"/>
      <c r="D6551" s="249"/>
      <c r="E6551" s="249"/>
      <c r="T6551" s="261"/>
    </row>
    <row r="6552" spans="2:20" x14ac:dyDescent="0.2">
      <c r="B6552" s="245"/>
      <c r="C6552" s="248"/>
      <c r="D6552" s="249"/>
      <c r="E6552" s="249"/>
      <c r="T6552" s="261"/>
    </row>
    <row r="6553" spans="2:20" x14ac:dyDescent="0.2">
      <c r="B6553" s="245"/>
      <c r="C6553" s="248"/>
      <c r="D6553" s="249"/>
      <c r="E6553" s="249"/>
      <c r="T6553" s="261"/>
    </row>
    <row r="6554" spans="2:20" x14ac:dyDescent="0.2">
      <c r="B6554" s="245"/>
      <c r="C6554" s="248"/>
      <c r="D6554" s="249"/>
      <c r="E6554" s="249"/>
      <c r="T6554" s="261"/>
    </row>
    <row r="6555" spans="2:20" x14ac:dyDescent="0.2">
      <c r="B6555" s="245"/>
      <c r="C6555" s="248"/>
      <c r="D6555" s="249"/>
      <c r="E6555" s="249"/>
      <c r="T6555" s="261"/>
    </row>
    <row r="6556" spans="2:20" x14ac:dyDescent="0.2">
      <c r="B6556" s="245"/>
      <c r="C6556" s="248"/>
      <c r="D6556" s="249"/>
      <c r="E6556" s="249"/>
      <c r="T6556" s="261"/>
    </row>
    <row r="6557" spans="2:20" x14ac:dyDescent="0.2">
      <c r="B6557" s="245"/>
      <c r="C6557" s="248"/>
      <c r="D6557" s="249"/>
      <c r="E6557" s="249"/>
      <c r="T6557" s="261"/>
    </row>
    <row r="6558" spans="2:20" x14ac:dyDescent="0.2">
      <c r="B6558" s="245"/>
      <c r="C6558" s="248"/>
      <c r="D6558" s="249"/>
      <c r="E6558" s="249"/>
      <c r="T6558" s="261"/>
    </row>
    <row r="6559" spans="2:20" x14ac:dyDescent="0.2">
      <c r="B6559" s="245"/>
      <c r="C6559" s="248"/>
      <c r="D6559" s="249"/>
      <c r="E6559" s="249"/>
      <c r="T6559" s="261"/>
    </row>
    <row r="6560" spans="2:20" x14ac:dyDescent="0.2">
      <c r="B6560" s="245"/>
      <c r="C6560" s="248"/>
      <c r="D6560" s="249"/>
      <c r="E6560" s="249"/>
      <c r="T6560" s="261"/>
    </row>
    <row r="6561" spans="2:20" x14ac:dyDescent="0.2">
      <c r="B6561" s="245"/>
      <c r="C6561" s="248"/>
      <c r="D6561" s="249"/>
      <c r="E6561" s="249"/>
      <c r="T6561" s="261"/>
    </row>
    <row r="6562" spans="2:20" x14ac:dyDescent="0.2">
      <c r="B6562" s="245"/>
      <c r="C6562" s="248"/>
      <c r="D6562" s="249"/>
      <c r="E6562" s="249"/>
      <c r="T6562" s="261"/>
    </row>
    <row r="6563" spans="2:20" x14ac:dyDescent="0.2">
      <c r="B6563" s="245"/>
      <c r="C6563" s="248"/>
      <c r="D6563" s="249"/>
      <c r="E6563" s="249"/>
      <c r="T6563" s="261"/>
    </row>
    <row r="6564" spans="2:20" x14ac:dyDescent="0.2">
      <c r="B6564" s="245"/>
      <c r="C6564" s="248"/>
      <c r="D6564" s="249"/>
      <c r="E6564" s="249"/>
      <c r="T6564" s="261"/>
    </row>
    <row r="6565" spans="2:20" x14ac:dyDescent="0.2">
      <c r="B6565" s="245"/>
      <c r="C6565" s="248"/>
      <c r="D6565" s="249"/>
      <c r="E6565" s="249"/>
      <c r="T6565" s="261"/>
    </row>
    <row r="6566" spans="2:20" x14ac:dyDescent="0.2">
      <c r="B6566" s="245"/>
      <c r="C6566" s="248"/>
      <c r="D6566" s="249"/>
      <c r="E6566" s="249"/>
      <c r="T6566" s="261"/>
    </row>
    <row r="6567" spans="2:20" x14ac:dyDescent="0.2">
      <c r="B6567" s="245"/>
      <c r="C6567" s="248"/>
      <c r="D6567" s="249"/>
      <c r="E6567" s="249"/>
      <c r="T6567" s="261"/>
    </row>
    <row r="6568" spans="2:20" x14ac:dyDescent="0.2">
      <c r="B6568" s="245"/>
      <c r="C6568" s="248"/>
      <c r="D6568" s="249"/>
      <c r="E6568" s="249"/>
      <c r="T6568" s="261"/>
    </row>
    <row r="6569" spans="2:20" x14ac:dyDescent="0.2">
      <c r="B6569" s="245"/>
      <c r="C6569" s="248"/>
      <c r="D6569" s="249"/>
      <c r="E6569" s="249"/>
      <c r="T6569" s="261"/>
    </row>
    <row r="6570" spans="2:20" x14ac:dyDescent="0.2">
      <c r="B6570" s="245"/>
      <c r="C6570" s="248"/>
      <c r="D6570" s="249"/>
      <c r="E6570" s="249"/>
      <c r="T6570" s="261"/>
    </row>
    <row r="6571" spans="2:20" x14ac:dyDescent="0.2">
      <c r="B6571" s="245"/>
      <c r="C6571" s="248"/>
      <c r="D6571" s="249"/>
      <c r="E6571" s="249"/>
      <c r="T6571" s="261"/>
    </row>
    <row r="6572" spans="2:20" x14ac:dyDescent="0.2">
      <c r="B6572" s="245"/>
      <c r="C6572" s="248"/>
      <c r="D6572" s="249"/>
      <c r="E6572" s="249"/>
      <c r="T6572" s="261"/>
    </row>
    <row r="6573" spans="2:20" x14ac:dyDescent="0.2">
      <c r="B6573" s="245"/>
      <c r="C6573" s="248"/>
      <c r="D6573" s="249"/>
      <c r="E6573" s="249"/>
      <c r="T6573" s="261"/>
    </row>
    <row r="6574" spans="2:20" x14ac:dyDescent="0.2">
      <c r="B6574" s="245"/>
      <c r="C6574" s="248"/>
      <c r="D6574" s="249"/>
      <c r="E6574" s="249"/>
      <c r="T6574" s="261"/>
    </row>
    <row r="6575" spans="2:20" x14ac:dyDescent="0.2">
      <c r="B6575" s="245"/>
      <c r="C6575" s="248"/>
      <c r="D6575" s="249"/>
      <c r="E6575" s="249"/>
      <c r="T6575" s="261"/>
    </row>
    <row r="6576" spans="2:20" x14ac:dyDescent="0.2">
      <c r="B6576" s="245"/>
      <c r="C6576" s="248"/>
      <c r="D6576" s="249"/>
      <c r="E6576" s="249"/>
      <c r="T6576" s="261"/>
    </row>
    <row r="6577" spans="2:20" x14ac:dyDescent="0.2">
      <c r="B6577" s="245"/>
      <c r="C6577" s="248"/>
      <c r="D6577" s="249"/>
      <c r="E6577" s="249"/>
      <c r="T6577" s="261"/>
    </row>
    <row r="6578" spans="2:20" x14ac:dyDescent="0.2">
      <c r="B6578" s="245"/>
      <c r="C6578" s="248"/>
      <c r="D6578" s="249"/>
      <c r="E6578" s="249"/>
      <c r="T6578" s="261"/>
    </row>
    <row r="6579" spans="2:20" x14ac:dyDescent="0.2">
      <c r="B6579" s="245"/>
      <c r="C6579" s="248"/>
      <c r="D6579" s="249"/>
      <c r="E6579" s="249"/>
      <c r="T6579" s="261"/>
    </row>
    <row r="6580" spans="2:20" x14ac:dyDescent="0.2">
      <c r="B6580" s="245"/>
      <c r="C6580" s="248"/>
      <c r="D6580" s="249"/>
      <c r="E6580" s="249"/>
      <c r="T6580" s="261"/>
    </row>
    <row r="6581" spans="2:20" x14ac:dyDescent="0.2">
      <c r="B6581" s="245"/>
      <c r="C6581" s="248"/>
      <c r="D6581" s="249"/>
      <c r="E6581" s="249"/>
      <c r="T6581" s="261"/>
    </row>
    <row r="6582" spans="2:20" x14ac:dyDescent="0.2">
      <c r="B6582" s="245"/>
      <c r="C6582" s="248"/>
      <c r="D6582" s="249"/>
      <c r="E6582" s="249"/>
      <c r="T6582" s="261"/>
    </row>
    <row r="6583" spans="2:20" x14ac:dyDescent="0.2">
      <c r="B6583" s="245"/>
      <c r="C6583" s="248"/>
      <c r="D6583" s="249"/>
      <c r="E6583" s="249"/>
      <c r="T6583" s="261"/>
    </row>
    <row r="6584" spans="2:20" x14ac:dyDescent="0.2">
      <c r="B6584" s="245"/>
      <c r="C6584" s="248"/>
      <c r="D6584" s="249"/>
      <c r="E6584" s="249"/>
      <c r="T6584" s="261"/>
    </row>
    <row r="6585" spans="2:20" x14ac:dyDescent="0.2">
      <c r="B6585" s="245"/>
      <c r="C6585" s="248"/>
      <c r="D6585" s="249"/>
      <c r="E6585" s="249"/>
      <c r="T6585" s="261"/>
    </row>
    <row r="6586" spans="2:20" x14ac:dyDescent="0.2">
      <c r="B6586" s="245"/>
      <c r="C6586" s="248"/>
      <c r="D6586" s="249"/>
      <c r="E6586" s="249"/>
      <c r="T6586" s="261"/>
    </row>
    <row r="6587" spans="2:20" x14ac:dyDescent="0.2">
      <c r="B6587" s="245"/>
      <c r="C6587" s="248"/>
      <c r="D6587" s="249"/>
      <c r="E6587" s="249"/>
      <c r="T6587" s="261"/>
    </row>
    <row r="6588" spans="2:20" x14ac:dyDescent="0.2">
      <c r="B6588" s="245"/>
      <c r="C6588" s="248"/>
      <c r="D6588" s="249"/>
      <c r="E6588" s="249"/>
      <c r="T6588" s="261"/>
    </row>
    <row r="6589" spans="2:20" x14ac:dyDescent="0.2">
      <c r="B6589" s="245"/>
      <c r="C6589" s="248"/>
      <c r="D6589" s="249"/>
      <c r="E6589" s="249"/>
      <c r="T6589" s="261"/>
    </row>
    <row r="6590" spans="2:20" x14ac:dyDescent="0.2">
      <c r="B6590" s="245"/>
      <c r="C6590" s="248"/>
      <c r="D6590" s="249"/>
      <c r="E6590" s="249"/>
      <c r="T6590" s="261"/>
    </row>
    <row r="6591" spans="2:20" x14ac:dyDescent="0.2">
      <c r="B6591" s="245"/>
      <c r="C6591" s="248"/>
      <c r="D6591" s="249"/>
      <c r="E6591" s="249"/>
      <c r="T6591" s="261"/>
    </row>
    <row r="6592" spans="2:20" x14ac:dyDescent="0.2">
      <c r="B6592" s="245"/>
      <c r="C6592" s="248"/>
      <c r="D6592" s="249"/>
      <c r="E6592" s="249"/>
      <c r="T6592" s="261"/>
    </row>
    <row r="6593" spans="2:20" x14ac:dyDescent="0.2">
      <c r="B6593" s="245"/>
      <c r="C6593" s="248"/>
      <c r="D6593" s="249"/>
      <c r="E6593" s="249"/>
      <c r="T6593" s="261"/>
    </row>
    <row r="6594" spans="2:20" x14ac:dyDescent="0.2">
      <c r="B6594" s="245"/>
      <c r="C6594" s="248"/>
      <c r="D6594" s="249"/>
      <c r="E6594" s="249"/>
      <c r="T6594" s="261"/>
    </row>
    <row r="6595" spans="2:20" x14ac:dyDescent="0.2">
      <c r="B6595" s="245"/>
      <c r="C6595" s="248"/>
      <c r="D6595" s="249"/>
      <c r="E6595" s="249"/>
      <c r="T6595" s="261"/>
    </row>
    <row r="6596" spans="2:20" x14ac:dyDescent="0.2">
      <c r="B6596" s="245"/>
      <c r="C6596" s="248"/>
      <c r="D6596" s="249"/>
      <c r="E6596" s="249"/>
      <c r="T6596" s="261"/>
    </row>
    <row r="6597" spans="2:20" x14ac:dyDescent="0.2">
      <c r="B6597" s="245"/>
      <c r="C6597" s="248"/>
      <c r="D6597" s="249"/>
      <c r="E6597" s="249"/>
      <c r="T6597" s="261"/>
    </row>
    <row r="6598" spans="2:20" x14ac:dyDescent="0.2">
      <c r="B6598" s="245"/>
      <c r="C6598" s="248"/>
      <c r="D6598" s="249"/>
      <c r="E6598" s="249"/>
      <c r="T6598" s="261"/>
    </row>
    <row r="6599" spans="2:20" x14ac:dyDescent="0.2">
      <c r="B6599" s="245"/>
      <c r="C6599" s="248"/>
      <c r="D6599" s="249"/>
      <c r="E6599" s="249"/>
      <c r="T6599" s="261"/>
    </row>
    <row r="6600" spans="2:20" x14ac:dyDescent="0.2">
      <c r="B6600" s="245"/>
      <c r="C6600" s="248"/>
      <c r="D6600" s="249"/>
      <c r="E6600" s="249"/>
      <c r="T6600" s="261"/>
    </row>
    <row r="6601" spans="2:20" x14ac:dyDescent="0.2">
      <c r="B6601" s="245"/>
      <c r="C6601" s="248"/>
      <c r="D6601" s="249"/>
      <c r="E6601" s="249"/>
      <c r="T6601" s="261"/>
    </row>
    <row r="6602" spans="2:20" x14ac:dyDescent="0.2">
      <c r="B6602" s="245"/>
      <c r="C6602" s="248"/>
      <c r="D6602" s="249"/>
      <c r="E6602" s="249"/>
      <c r="T6602" s="261"/>
    </row>
    <row r="6603" spans="2:20" x14ac:dyDescent="0.2">
      <c r="B6603" s="245"/>
      <c r="C6603" s="248"/>
      <c r="D6603" s="249"/>
      <c r="E6603" s="249"/>
      <c r="T6603" s="261"/>
    </row>
    <row r="6604" spans="2:20" x14ac:dyDescent="0.2">
      <c r="B6604" s="245"/>
      <c r="C6604" s="248"/>
      <c r="D6604" s="249"/>
      <c r="E6604" s="249"/>
      <c r="T6604" s="261"/>
    </row>
    <row r="6605" spans="2:20" x14ac:dyDescent="0.2">
      <c r="B6605" s="245"/>
      <c r="C6605" s="248"/>
      <c r="D6605" s="249"/>
      <c r="E6605" s="249"/>
      <c r="T6605" s="261"/>
    </row>
    <row r="6606" spans="2:20" x14ac:dyDescent="0.2">
      <c r="B6606" s="245"/>
      <c r="C6606" s="248"/>
      <c r="D6606" s="249"/>
      <c r="E6606" s="249"/>
      <c r="T6606" s="261"/>
    </row>
    <row r="6607" spans="2:20" x14ac:dyDescent="0.2">
      <c r="B6607" s="245"/>
      <c r="C6607" s="248"/>
      <c r="D6607" s="249"/>
      <c r="E6607" s="249"/>
      <c r="T6607" s="261"/>
    </row>
    <row r="6608" spans="2:20" x14ac:dyDescent="0.2">
      <c r="B6608" s="245"/>
      <c r="C6608" s="248"/>
      <c r="D6608" s="249"/>
      <c r="E6608" s="249"/>
      <c r="T6608" s="261"/>
    </row>
    <row r="6609" spans="2:20" x14ac:dyDescent="0.2">
      <c r="B6609" s="245"/>
      <c r="C6609" s="248"/>
      <c r="D6609" s="249"/>
      <c r="E6609" s="249"/>
      <c r="T6609" s="261"/>
    </row>
    <row r="6610" spans="2:20" x14ac:dyDescent="0.2">
      <c r="B6610" s="245"/>
      <c r="C6610" s="248"/>
      <c r="D6610" s="249"/>
      <c r="E6610" s="249"/>
      <c r="T6610" s="261"/>
    </row>
    <row r="6611" spans="2:20" x14ac:dyDescent="0.2">
      <c r="B6611" s="245"/>
      <c r="C6611" s="248"/>
      <c r="D6611" s="249"/>
      <c r="E6611" s="249"/>
      <c r="T6611" s="261"/>
    </row>
    <row r="6612" spans="2:20" x14ac:dyDescent="0.2">
      <c r="B6612" s="245"/>
      <c r="C6612" s="248"/>
      <c r="D6612" s="249"/>
      <c r="E6612" s="249"/>
      <c r="T6612" s="261"/>
    </row>
    <row r="6613" spans="2:20" x14ac:dyDescent="0.2">
      <c r="B6613" s="245"/>
      <c r="C6613" s="248"/>
      <c r="D6613" s="249"/>
      <c r="E6613" s="249"/>
      <c r="T6613" s="261"/>
    </row>
    <row r="6614" spans="2:20" x14ac:dyDescent="0.2">
      <c r="B6614" s="245"/>
      <c r="C6614" s="248"/>
      <c r="D6614" s="249"/>
      <c r="E6614" s="249"/>
      <c r="T6614" s="261"/>
    </row>
    <row r="6615" spans="2:20" x14ac:dyDescent="0.2">
      <c r="B6615" s="245"/>
      <c r="C6615" s="248"/>
      <c r="D6615" s="249"/>
      <c r="E6615" s="249"/>
      <c r="T6615" s="261"/>
    </row>
    <row r="6616" spans="2:20" x14ac:dyDescent="0.2">
      <c r="B6616" s="245"/>
      <c r="C6616" s="248"/>
      <c r="D6616" s="249"/>
      <c r="E6616" s="249"/>
      <c r="T6616" s="261"/>
    </row>
    <row r="6617" spans="2:20" x14ac:dyDescent="0.2">
      <c r="B6617" s="245"/>
      <c r="C6617" s="248"/>
      <c r="D6617" s="249"/>
      <c r="E6617" s="249"/>
      <c r="T6617" s="261"/>
    </row>
    <row r="6618" spans="2:20" x14ac:dyDescent="0.2">
      <c r="B6618" s="245"/>
      <c r="C6618" s="248"/>
      <c r="D6618" s="249"/>
      <c r="E6618" s="249"/>
      <c r="T6618" s="261"/>
    </row>
    <row r="6619" spans="2:20" x14ac:dyDescent="0.2">
      <c r="B6619" s="245"/>
      <c r="C6619" s="248"/>
      <c r="D6619" s="249"/>
      <c r="E6619" s="249"/>
      <c r="T6619" s="261"/>
    </row>
    <row r="6620" spans="2:20" x14ac:dyDescent="0.2">
      <c r="B6620" s="245"/>
      <c r="C6620" s="248"/>
      <c r="D6620" s="249"/>
      <c r="E6620" s="249"/>
      <c r="T6620" s="261"/>
    </row>
    <row r="6621" spans="2:20" x14ac:dyDescent="0.2">
      <c r="B6621" s="245"/>
      <c r="C6621" s="248"/>
      <c r="D6621" s="249"/>
      <c r="E6621" s="249"/>
      <c r="T6621" s="261"/>
    </row>
    <row r="6622" spans="2:20" x14ac:dyDescent="0.2">
      <c r="B6622" s="245"/>
      <c r="C6622" s="248"/>
      <c r="D6622" s="249"/>
      <c r="E6622" s="249"/>
      <c r="T6622" s="261"/>
    </row>
    <row r="6623" spans="2:20" x14ac:dyDescent="0.2">
      <c r="B6623" s="245"/>
      <c r="C6623" s="248"/>
      <c r="D6623" s="249"/>
      <c r="E6623" s="249"/>
      <c r="T6623" s="261"/>
    </row>
    <row r="6624" spans="2:20" x14ac:dyDescent="0.2">
      <c r="B6624" s="245"/>
      <c r="C6624" s="248"/>
      <c r="D6624" s="249"/>
      <c r="E6624" s="249"/>
      <c r="T6624" s="261"/>
    </row>
    <row r="6625" spans="2:20" x14ac:dyDescent="0.2">
      <c r="B6625" s="245"/>
      <c r="C6625" s="248"/>
      <c r="D6625" s="249"/>
      <c r="E6625" s="249"/>
      <c r="T6625" s="261"/>
    </row>
    <row r="6626" spans="2:20" x14ac:dyDescent="0.2">
      <c r="B6626" s="245"/>
      <c r="C6626" s="248"/>
      <c r="D6626" s="249"/>
      <c r="E6626" s="249"/>
      <c r="T6626" s="261"/>
    </row>
    <row r="6627" spans="2:20" x14ac:dyDescent="0.2">
      <c r="B6627" s="245"/>
      <c r="C6627" s="248"/>
      <c r="D6627" s="249"/>
      <c r="E6627" s="249"/>
      <c r="T6627" s="261"/>
    </row>
    <row r="6628" spans="2:20" x14ac:dyDescent="0.2">
      <c r="B6628" s="245"/>
      <c r="C6628" s="248"/>
      <c r="D6628" s="249"/>
      <c r="E6628" s="249"/>
      <c r="T6628" s="261"/>
    </row>
    <row r="6629" spans="2:20" x14ac:dyDescent="0.2">
      <c r="B6629" s="245"/>
      <c r="C6629" s="248"/>
      <c r="D6629" s="249"/>
      <c r="E6629" s="249"/>
      <c r="T6629" s="261"/>
    </row>
    <row r="6630" spans="2:20" x14ac:dyDescent="0.2">
      <c r="B6630" s="245"/>
      <c r="C6630" s="248"/>
      <c r="D6630" s="249"/>
      <c r="E6630" s="249"/>
      <c r="T6630" s="261"/>
    </row>
    <row r="6631" spans="2:20" x14ac:dyDescent="0.2">
      <c r="B6631" s="245"/>
      <c r="C6631" s="248"/>
      <c r="D6631" s="249"/>
      <c r="E6631" s="249"/>
      <c r="T6631" s="261"/>
    </row>
    <row r="6632" spans="2:20" x14ac:dyDescent="0.2">
      <c r="B6632" s="245"/>
      <c r="C6632" s="248"/>
      <c r="D6632" s="249"/>
      <c r="E6632" s="249"/>
      <c r="T6632" s="261"/>
    </row>
    <row r="6633" spans="2:20" x14ac:dyDescent="0.2">
      <c r="B6633" s="245"/>
      <c r="C6633" s="248"/>
      <c r="D6633" s="249"/>
      <c r="E6633" s="249"/>
      <c r="T6633" s="261"/>
    </row>
    <row r="6634" spans="2:20" x14ac:dyDescent="0.2">
      <c r="B6634" s="245"/>
      <c r="C6634" s="248"/>
      <c r="D6634" s="249"/>
      <c r="E6634" s="249"/>
      <c r="T6634" s="261"/>
    </row>
    <row r="6635" spans="2:20" x14ac:dyDescent="0.2">
      <c r="B6635" s="245"/>
      <c r="C6635" s="248"/>
      <c r="D6635" s="249"/>
      <c r="E6635" s="249"/>
      <c r="T6635" s="261"/>
    </row>
    <row r="6636" spans="2:20" x14ac:dyDescent="0.2">
      <c r="B6636" s="245"/>
      <c r="C6636" s="248"/>
      <c r="D6636" s="249"/>
      <c r="E6636" s="249"/>
      <c r="T6636" s="261"/>
    </row>
    <row r="6637" spans="2:20" x14ac:dyDescent="0.2">
      <c r="B6637" s="245"/>
      <c r="C6637" s="248"/>
      <c r="D6637" s="249"/>
      <c r="E6637" s="249"/>
      <c r="T6637" s="261"/>
    </row>
    <row r="6638" spans="2:20" x14ac:dyDescent="0.2">
      <c r="B6638" s="245"/>
      <c r="C6638" s="248"/>
      <c r="D6638" s="249"/>
      <c r="E6638" s="249"/>
      <c r="T6638" s="261"/>
    </row>
    <row r="6639" spans="2:20" x14ac:dyDescent="0.2">
      <c r="B6639" s="245"/>
      <c r="C6639" s="248"/>
      <c r="D6639" s="249"/>
      <c r="E6639" s="249"/>
      <c r="T6639" s="261"/>
    </row>
    <row r="6640" spans="2:20" x14ac:dyDescent="0.2">
      <c r="B6640" s="245"/>
      <c r="C6640" s="248"/>
      <c r="D6640" s="249"/>
      <c r="E6640" s="249"/>
      <c r="T6640" s="261"/>
    </row>
    <row r="6641" spans="2:20" x14ac:dyDescent="0.2">
      <c r="B6641" s="245"/>
      <c r="C6641" s="248"/>
      <c r="D6641" s="249"/>
      <c r="E6641" s="249"/>
      <c r="T6641" s="261"/>
    </row>
    <row r="6642" spans="2:20" x14ac:dyDescent="0.2">
      <c r="B6642" s="245"/>
      <c r="C6642" s="248"/>
      <c r="D6642" s="249"/>
      <c r="E6642" s="249"/>
      <c r="T6642" s="261"/>
    </row>
    <row r="6643" spans="2:20" x14ac:dyDescent="0.2">
      <c r="B6643" s="245"/>
      <c r="C6643" s="248"/>
      <c r="D6643" s="249"/>
      <c r="E6643" s="249"/>
      <c r="T6643" s="261"/>
    </row>
    <row r="6644" spans="2:20" x14ac:dyDescent="0.2">
      <c r="B6644" s="245"/>
      <c r="C6644" s="248"/>
      <c r="D6644" s="249"/>
      <c r="E6644" s="249"/>
      <c r="T6644" s="261"/>
    </row>
    <row r="6645" spans="2:20" x14ac:dyDescent="0.2">
      <c r="B6645" s="245"/>
      <c r="C6645" s="248"/>
      <c r="D6645" s="249"/>
      <c r="E6645" s="249"/>
      <c r="T6645" s="261"/>
    </row>
    <row r="6646" spans="2:20" x14ac:dyDescent="0.2">
      <c r="B6646" s="245"/>
      <c r="C6646" s="248"/>
      <c r="D6646" s="249"/>
      <c r="E6646" s="249"/>
      <c r="T6646" s="261"/>
    </row>
    <row r="6647" spans="2:20" x14ac:dyDescent="0.2">
      <c r="B6647" s="245"/>
      <c r="C6647" s="248"/>
      <c r="D6647" s="249"/>
      <c r="E6647" s="249"/>
      <c r="T6647" s="261"/>
    </row>
    <row r="6648" spans="2:20" x14ac:dyDescent="0.2">
      <c r="B6648" s="245"/>
      <c r="C6648" s="248"/>
      <c r="D6648" s="249"/>
      <c r="E6648" s="249"/>
      <c r="T6648" s="261"/>
    </row>
    <row r="6649" spans="2:20" x14ac:dyDescent="0.2">
      <c r="B6649" s="245"/>
      <c r="C6649" s="248"/>
      <c r="D6649" s="249"/>
      <c r="E6649" s="249"/>
      <c r="T6649" s="261"/>
    </row>
    <row r="6650" spans="2:20" x14ac:dyDescent="0.2">
      <c r="B6650" s="245"/>
      <c r="C6650" s="248"/>
      <c r="D6650" s="249"/>
      <c r="E6650" s="249"/>
      <c r="T6650" s="261"/>
    </row>
    <row r="6651" spans="2:20" x14ac:dyDescent="0.2">
      <c r="B6651" s="245"/>
      <c r="C6651" s="248"/>
      <c r="D6651" s="249"/>
      <c r="E6651" s="249"/>
      <c r="T6651" s="261"/>
    </row>
    <row r="6652" spans="2:20" x14ac:dyDescent="0.2">
      <c r="B6652" s="245"/>
      <c r="C6652" s="248"/>
      <c r="D6652" s="249"/>
      <c r="E6652" s="249"/>
      <c r="T6652" s="261"/>
    </row>
    <row r="6653" spans="2:20" x14ac:dyDescent="0.2">
      <c r="B6653" s="245"/>
      <c r="C6653" s="248"/>
      <c r="D6653" s="249"/>
      <c r="E6653" s="249"/>
      <c r="T6653" s="261"/>
    </row>
    <row r="6654" spans="2:20" x14ac:dyDescent="0.2">
      <c r="B6654" s="245"/>
      <c r="C6654" s="248"/>
      <c r="D6654" s="249"/>
      <c r="E6654" s="249"/>
      <c r="T6654" s="261"/>
    </row>
    <row r="6655" spans="2:20" x14ac:dyDescent="0.2">
      <c r="B6655" s="245"/>
      <c r="C6655" s="248"/>
      <c r="D6655" s="249"/>
      <c r="E6655" s="249"/>
      <c r="T6655" s="261"/>
    </row>
    <row r="6656" spans="2:20" x14ac:dyDescent="0.2">
      <c r="B6656" s="245"/>
      <c r="C6656" s="248"/>
      <c r="D6656" s="249"/>
      <c r="E6656" s="249"/>
      <c r="T6656" s="261"/>
    </row>
    <row r="6657" spans="2:20" x14ac:dyDescent="0.2">
      <c r="B6657" s="245"/>
      <c r="C6657" s="248"/>
      <c r="D6657" s="249"/>
      <c r="E6657" s="249"/>
      <c r="T6657" s="261"/>
    </row>
    <row r="6658" spans="2:20" x14ac:dyDescent="0.2">
      <c r="B6658" s="245"/>
      <c r="C6658" s="248"/>
      <c r="D6658" s="249"/>
      <c r="E6658" s="249"/>
      <c r="T6658" s="261"/>
    </row>
    <row r="6659" spans="2:20" x14ac:dyDescent="0.2">
      <c r="B6659" s="245"/>
      <c r="C6659" s="248"/>
      <c r="D6659" s="249"/>
      <c r="E6659" s="249"/>
      <c r="T6659" s="261"/>
    </row>
    <row r="6660" spans="2:20" x14ac:dyDescent="0.2">
      <c r="B6660" s="245"/>
      <c r="C6660" s="248"/>
      <c r="D6660" s="249"/>
      <c r="E6660" s="249"/>
      <c r="T6660" s="261"/>
    </row>
    <row r="6661" spans="2:20" x14ac:dyDescent="0.2">
      <c r="B6661" s="245"/>
      <c r="C6661" s="248"/>
      <c r="D6661" s="249"/>
      <c r="E6661" s="249"/>
      <c r="T6661" s="261"/>
    </row>
    <row r="6662" spans="2:20" x14ac:dyDescent="0.2">
      <c r="B6662" s="245"/>
      <c r="C6662" s="248"/>
      <c r="D6662" s="249"/>
      <c r="E6662" s="249"/>
      <c r="T6662" s="261"/>
    </row>
    <row r="6663" spans="2:20" x14ac:dyDescent="0.2">
      <c r="B6663" s="245"/>
      <c r="C6663" s="248"/>
      <c r="D6663" s="249"/>
      <c r="E6663" s="249"/>
      <c r="T6663" s="261"/>
    </row>
    <row r="6664" spans="2:20" x14ac:dyDescent="0.2">
      <c r="B6664" s="245"/>
      <c r="C6664" s="248"/>
      <c r="D6664" s="249"/>
      <c r="E6664" s="249"/>
      <c r="T6664" s="261"/>
    </row>
    <row r="6665" spans="2:20" x14ac:dyDescent="0.2">
      <c r="B6665" s="245"/>
      <c r="C6665" s="248"/>
      <c r="D6665" s="249"/>
      <c r="E6665" s="249"/>
      <c r="T6665" s="261"/>
    </row>
    <row r="6666" spans="2:20" x14ac:dyDescent="0.2">
      <c r="B6666" s="245"/>
      <c r="C6666" s="248"/>
      <c r="D6666" s="249"/>
      <c r="E6666" s="249"/>
      <c r="T6666" s="261"/>
    </row>
    <row r="6667" spans="2:20" x14ac:dyDescent="0.2">
      <c r="B6667" s="245"/>
      <c r="C6667" s="248"/>
      <c r="D6667" s="249"/>
      <c r="E6667" s="249"/>
      <c r="T6667" s="261"/>
    </row>
    <row r="6668" spans="2:20" x14ac:dyDescent="0.2">
      <c r="B6668" s="245"/>
      <c r="C6668" s="248"/>
      <c r="D6668" s="249"/>
      <c r="E6668" s="249"/>
      <c r="T6668" s="261"/>
    </row>
    <row r="6669" spans="2:20" x14ac:dyDescent="0.2">
      <c r="B6669" s="245"/>
      <c r="C6669" s="248"/>
      <c r="D6669" s="249"/>
      <c r="E6669" s="249"/>
      <c r="T6669" s="261"/>
    </row>
    <row r="6670" spans="2:20" x14ac:dyDescent="0.2">
      <c r="B6670" s="245"/>
      <c r="C6670" s="248"/>
      <c r="D6670" s="249"/>
      <c r="E6670" s="249"/>
      <c r="T6670" s="261"/>
    </row>
    <row r="6671" spans="2:20" x14ac:dyDescent="0.2">
      <c r="B6671" s="245"/>
      <c r="C6671" s="248"/>
      <c r="D6671" s="249"/>
      <c r="E6671" s="249"/>
      <c r="T6671" s="261"/>
    </row>
    <row r="6672" spans="2:20" x14ac:dyDescent="0.2">
      <c r="B6672" s="245"/>
      <c r="C6672" s="248"/>
      <c r="D6672" s="249"/>
      <c r="E6672" s="249"/>
      <c r="T6672" s="261"/>
    </row>
    <row r="6673" spans="2:20" x14ac:dyDescent="0.2">
      <c r="B6673" s="245"/>
      <c r="C6673" s="248"/>
      <c r="D6673" s="249"/>
      <c r="E6673" s="249"/>
      <c r="T6673" s="261"/>
    </row>
    <row r="6674" spans="2:20" x14ac:dyDescent="0.2">
      <c r="B6674" s="245"/>
      <c r="C6674" s="248"/>
      <c r="D6674" s="249"/>
      <c r="E6674" s="249"/>
      <c r="T6674" s="261"/>
    </row>
    <row r="6675" spans="2:20" x14ac:dyDescent="0.2">
      <c r="B6675" s="245"/>
      <c r="C6675" s="248"/>
      <c r="D6675" s="249"/>
      <c r="E6675" s="249"/>
      <c r="T6675" s="261"/>
    </row>
    <row r="6676" spans="2:20" x14ac:dyDescent="0.2">
      <c r="B6676" s="245"/>
      <c r="C6676" s="248"/>
      <c r="D6676" s="249"/>
      <c r="E6676" s="249"/>
      <c r="T6676" s="261"/>
    </row>
    <row r="6677" spans="2:20" x14ac:dyDescent="0.2">
      <c r="B6677" s="245"/>
      <c r="C6677" s="248"/>
      <c r="D6677" s="249"/>
      <c r="E6677" s="249"/>
      <c r="T6677" s="261"/>
    </row>
    <row r="6678" spans="2:20" x14ac:dyDescent="0.2">
      <c r="B6678" s="245"/>
      <c r="C6678" s="248"/>
      <c r="D6678" s="249"/>
      <c r="E6678" s="249"/>
      <c r="T6678" s="261"/>
    </row>
    <row r="6679" spans="2:20" x14ac:dyDescent="0.2">
      <c r="B6679" s="245"/>
      <c r="C6679" s="248"/>
      <c r="D6679" s="249"/>
      <c r="E6679" s="249"/>
      <c r="T6679" s="261"/>
    </row>
    <row r="6680" spans="2:20" x14ac:dyDescent="0.2">
      <c r="B6680" s="245"/>
      <c r="C6680" s="248"/>
      <c r="D6680" s="249"/>
      <c r="E6680" s="249"/>
      <c r="T6680" s="261"/>
    </row>
    <row r="6681" spans="2:20" x14ac:dyDescent="0.2">
      <c r="B6681" s="245"/>
      <c r="C6681" s="248"/>
      <c r="D6681" s="249"/>
      <c r="E6681" s="249"/>
      <c r="T6681" s="261"/>
    </row>
    <row r="6682" spans="2:20" x14ac:dyDescent="0.2">
      <c r="B6682" s="245"/>
      <c r="C6682" s="248"/>
      <c r="D6682" s="249"/>
      <c r="E6682" s="249"/>
      <c r="T6682" s="261"/>
    </row>
    <row r="6683" spans="2:20" x14ac:dyDescent="0.2">
      <c r="B6683" s="245"/>
      <c r="C6683" s="248"/>
      <c r="D6683" s="249"/>
      <c r="E6683" s="249"/>
      <c r="T6683" s="261"/>
    </row>
    <row r="6684" spans="2:20" x14ac:dyDescent="0.2">
      <c r="B6684" s="245"/>
      <c r="C6684" s="248"/>
      <c r="D6684" s="249"/>
      <c r="E6684" s="249"/>
      <c r="T6684" s="261"/>
    </row>
    <row r="6685" spans="2:20" x14ac:dyDescent="0.2">
      <c r="B6685" s="245"/>
      <c r="C6685" s="248"/>
      <c r="D6685" s="249"/>
      <c r="E6685" s="249"/>
      <c r="T6685" s="261"/>
    </row>
    <row r="6686" spans="2:20" x14ac:dyDescent="0.2">
      <c r="B6686" s="245"/>
      <c r="C6686" s="248"/>
      <c r="D6686" s="249"/>
      <c r="E6686" s="249"/>
      <c r="T6686" s="261"/>
    </row>
    <row r="6687" spans="2:20" x14ac:dyDescent="0.2">
      <c r="B6687" s="245"/>
      <c r="C6687" s="248"/>
      <c r="D6687" s="249"/>
      <c r="E6687" s="249"/>
      <c r="T6687" s="261"/>
    </row>
    <row r="6688" spans="2:20" x14ac:dyDescent="0.2">
      <c r="B6688" s="245"/>
      <c r="C6688" s="248"/>
      <c r="D6688" s="249"/>
      <c r="E6688" s="249"/>
      <c r="T6688" s="261"/>
    </row>
    <row r="6689" spans="2:20" x14ac:dyDescent="0.2">
      <c r="B6689" s="245"/>
      <c r="C6689" s="248"/>
      <c r="D6689" s="249"/>
      <c r="E6689" s="249"/>
      <c r="T6689" s="261"/>
    </row>
    <row r="6690" spans="2:20" x14ac:dyDescent="0.2">
      <c r="B6690" s="245"/>
      <c r="C6690" s="248"/>
      <c r="D6690" s="249"/>
      <c r="E6690" s="249"/>
      <c r="T6690" s="261"/>
    </row>
    <row r="6691" spans="2:20" x14ac:dyDescent="0.2">
      <c r="B6691" s="245"/>
      <c r="C6691" s="248"/>
      <c r="D6691" s="249"/>
      <c r="E6691" s="249"/>
      <c r="T6691" s="261"/>
    </row>
    <row r="6692" spans="2:20" x14ac:dyDescent="0.2">
      <c r="B6692" s="245"/>
      <c r="C6692" s="248"/>
      <c r="D6692" s="249"/>
      <c r="E6692" s="249"/>
      <c r="T6692" s="261"/>
    </row>
    <row r="6693" spans="2:20" x14ac:dyDescent="0.2">
      <c r="B6693" s="245"/>
      <c r="C6693" s="248"/>
      <c r="D6693" s="249"/>
      <c r="E6693" s="249"/>
      <c r="T6693" s="261"/>
    </row>
    <row r="6694" spans="2:20" x14ac:dyDescent="0.2">
      <c r="B6694" s="245"/>
      <c r="C6694" s="248"/>
      <c r="D6694" s="249"/>
      <c r="E6694" s="249"/>
      <c r="T6694" s="261"/>
    </row>
    <row r="6695" spans="2:20" x14ac:dyDescent="0.2">
      <c r="B6695" s="245"/>
      <c r="C6695" s="248"/>
      <c r="D6695" s="249"/>
      <c r="E6695" s="249"/>
      <c r="T6695" s="261"/>
    </row>
    <row r="6696" spans="2:20" x14ac:dyDescent="0.2">
      <c r="B6696" s="245"/>
      <c r="C6696" s="248"/>
      <c r="D6696" s="249"/>
      <c r="E6696" s="249"/>
      <c r="T6696" s="261"/>
    </row>
    <row r="6697" spans="2:20" x14ac:dyDescent="0.2">
      <c r="B6697" s="245"/>
      <c r="C6697" s="248"/>
      <c r="D6697" s="249"/>
      <c r="E6697" s="249"/>
      <c r="T6697" s="261"/>
    </row>
    <row r="6698" spans="2:20" x14ac:dyDescent="0.2">
      <c r="B6698" s="245"/>
      <c r="C6698" s="248"/>
      <c r="D6698" s="249"/>
      <c r="E6698" s="249"/>
      <c r="T6698" s="261"/>
    </row>
    <row r="6699" spans="2:20" x14ac:dyDescent="0.2">
      <c r="B6699" s="245"/>
      <c r="C6699" s="248"/>
      <c r="D6699" s="249"/>
      <c r="E6699" s="249"/>
      <c r="T6699" s="261"/>
    </row>
    <row r="6700" spans="2:20" x14ac:dyDescent="0.2">
      <c r="B6700" s="245"/>
      <c r="C6700" s="248"/>
      <c r="D6700" s="249"/>
      <c r="E6700" s="249"/>
      <c r="T6700" s="261"/>
    </row>
    <row r="6701" spans="2:20" x14ac:dyDescent="0.2">
      <c r="B6701" s="245"/>
      <c r="C6701" s="248"/>
      <c r="D6701" s="249"/>
      <c r="E6701" s="249"/>
      <c r="T6701" s="261"/>
    </row>
    <row r="6702" spans="2:20" x14ac:dyDescent="0.2">
      <c r="B6702" s="245"/>
      <c r="C6702" s="248"/>
      <c r="D6702" s="249"/>
      <c r="E6702" s="249"/>
      <c r="T6702" s="261"/>
    </row>
    <row r="6703" spans="2:20" x14ac:dyDescent="0.2">
      <c r="B6703" s="245"/>
      <c r="C6703" s="248"/>
      <c r="D6703" s="249"/>
      <c r="E6703" s="249"/>
      <c r="T6703" s="261"/>
    </row>
    <row r="6704" spans="2:20" x14ac:dyDescent="0.2">
      <c r="B6704" s="245"/>
      <c r="C6704" s="248"/>
      <c r="D6704" s="249"/>
      <c r="E6704" s="249"/>
      <c r="T6704" s="261"/>
    </row>
    <row r="6705" spans="2:20" x14ac:dyDescent="0.2">
      <c r="B6705" s="245"/>
      <c r="C6705" s="248"/>
      <c r="D6705" s="249"/>
      <c r="E6705" s="249"/>
      <c r="T6705" s="261"/>
    </row>
    <row r="6706" spans="2:20" x14ac:dyDescent="0.2">
      <c r="B6706" s="245"/>
      <c r="C6706" s="248"/>
      <c r="D6706" s="249"/>
      <c r="E6706" s="249"/>
      <c r="T6706" s="261"/>
    </row>
    <row r="6707" spans="2:20" x14ac:dyDescent="0.2">
      <c r="B6707" s="245"/>
      <c r="C6707" s="248"/>
      <c r="D6707" s="249"/>
      <c r="E6707" s="249"/>
      <c r="T6707" s="261"/>
    </row>
    <row r="6708" spans="2:20" x14ac:dyDescent="0.2">
      <c r="B6708" s="245"/>
      <c r="C6708" s="248"/>
      <c r="D6708" s="249"/>
      <c r="E6708" s="249"/>
      <c r="T6708" s="261"/>
    </row>
    <row r="6709" spans="2:20" x14ac:dyDescent="0.2">
      <c r="B6709" s="245"/>
      <c r="C6709" s="248"/>
      <c r="D6709" s="249"/>
      <c r="E6709" s="249"/>
      <c r="T6709" s="261"/>
    </row>
    <row r="6710" spans="2:20" x14ac:dyDescent="0.2">
      <c r="B6710" s="245"/>
      <c r="C6710" s="248"/>
      <c r="D6710" s="249"/>
      <c r="E6710" s="249"/>
      <c r="T6710" s="261"/>
    </row>
    <row r="6711" spans="2:20" x14ac:dyDescent="0.2">
      <c r="B6711" s="245"/>
      <c r="C6711" s="248"/>
      <c r="D6711" s="249"/>
      <c r="E6711" s="249"/>
      <c r="T6711" s="261"/>
    </row>
    <row r="6712" spans="2:20" x14ac:dyDescent="0.2">
      <c r="B6712" s="245"/>
      <c r="C6712" s="248"/>
      <c r="D6712" s="249"/>
      <c r="E6712" s="249"/>
      <c r="T6712" s="261"/>
    </row>
    <row r="6713" spans="2:20" x14ac:dyDescent="0.2">
      <c r="B6713" s="245"/>
      <c r="C6713" s="248"/>
      <c r="D6713" s="249"/>
      <c r="E6713" s="249"/>
      <c r="T6713" s="261"/>
    </row>
    <row r="6714" spans="2:20" x14ac:dyDescent="0.2">
      <c r="B6714" s="245"/>
      <c r="C6714" s="248"/>
      <c r="D6714" s="249"/>
      <c r="E6714" s="249"/>
      <c r="T6714" s="261"/>
    </row>
    <row r="6715" spans="2:20" x14ac:dyDescent="0.2">
      <c r="B6715" s="245"/>
      <c r="C6715" s="248"/>
      <c r="D6715" s="249"/>
      <c r="E6715" s="249"/>
      <c r="T6715" s="261"/>
    </row>
    <row r="6716" spans="2:20" x14ac:dyDescent="0.2">
      <c r="B6716" s="245"/>
      <c r="C6716" s="248"/>
      <c r="D6716" s="249"/>
      <c r="E6716" s="249"/>
      <c r="T6716" s="261"/>
    </row>
    <row r="6717" spans="2:20" x14ac:dyDescent="0.2">
      <c r="B6717" s="245"/>
      <c r="C6717" s="248"/>
      <c r="D6717" s="249"/>
      <c r="E6717" s="249"/>
      <c r="T6717" s="261"/>
    </row>
    <row r="6718" spans="2:20" x14ac:dyDescent="0.2">
      <c r="B6718" s="245"/>
      <c r="C6718" s="248"/>
      <c r="D6718" s="249"/>
      <c r="E6718" s="249"/>
      <c r="T6718" s="261"/>
    </row>
    <row r="6719" spans="2:20" x14ac:dyDescent="0.2">
      <c r="B6719" s="245"/>
      <c r="C6719" s="248"/>
      <c r="D6719" s="249"/>
      <c r="E6719" s="249"/>
      <c r="T6719" s="261"/>
    </row>
    <row r="6720" spans="2:20" x14ac:dyDescent="0.2">
      <c r="B6720" s="245"/>
      <c r="C6720" s="248"/>
      <c r="D6720" s="249"/>
      <c r="E6720" s="249"/>
      <c r="T6720" s="261"/>
    </row>
    <row r="6721" spans="2:20" x14ac:dyDescent="0.2">
      <c r="B6721" s="245"/>
      <c r="C6721" s="248"/>
      <c r="D6721" s="249"/>
      <c r="E6721" s="249"/>
      <c r="T6721" s="261"/>
    </row>
    <row r="6722" spans="2:20" x14ac:dyDescent="0.2">
      <c r="B6722" s="245"/>
      <c r="C6722" s="248"/>
      <c r="D6722" s="249"/>
      <c r="E6722" s="249"/>
      <c r="T6722" s="261"/>
    </row>
    <row r="6723" spans="2:20" x14ac:dyDescent="0.2">
      <c r="B6723" s="245"/>
      <c r="C6723" s="248"/>
      <c r="D6723" s="249"/>
      <c r="E6723" s="249"/>
      <c r="T6723" s="261"/>
    </row>
    <row r="6724" spans="2:20" x14ac:dyDescent="0.2">
      <c r="B6724" s="245"/>
      <c r="C6724" s="248"/>
      <c r="D6724" s="249"/>
      <c r="E6724" s="249"/>
      <c r="T6724" s="261"/>
    </row>
    <row r="6725" spans="2:20" x14ac:dyDescent="0.2">
      <c r="B6725" s="245"/>
      <c r="C6725" s="248"/>
      <c r="D6725" s="249"/>
      <c r="E6725" s="249"/>
      <c r="T6725" s="261"/>
    </row>
    <row r="6726" spans="2:20" x14ac:dyDescent="0.2">
      <c r="B6726" s="245"/>
      <c r="C6726" s="248"/>
      <c r="D6726" s="249"/>
      <c r="E6726" s="249"/>
      <c r="T6726" s="261"/>
    </row>
    <row r="6727" spans="2:20" x14ac:dyDescent="0.2">
      <c r="B6727" s="245"/>
      <c r="C6727" s="248"/>
      <c r="D6727" s="249"/>
      <c r="E6727" s="249"/>
      <c r="T6727" s="261"/>
    </row>
    <row r="6728" spans="2:20" x14ac:dyDescent="0.2">
      <c r="B6728" s="245"/>
      <c r="C6728" s="248"/>
      <c r="D6728" s="249"/>
      <c r="E6728" s="249"/>
      <c r="T6728" s="261"/>
    </row>
    <row r="6729" spans="2:20" x14ac:dyDescent="0.2">
      <c r="B6729" s="245"/>
      <c r="C6729" s="248"/>
      <c r="D6729" s="249"/>
      <c r="E6729" s="249"/>
      <c r="T6729" s="261"/>
    </row>
    <row r="6730" spans="2:20" x14ac:dyDescent="0.2">
      <c r="B6730" s="245"/>
      <c r="C6730" s="248"/>
      <c r="D6730" s="249"/>
      <c r="E6730" s="249"/>
      <c r="T6730" s="261"/>
    </row>
    <row r="6731" spans="2:20" x14ac:dyDescent="0.2">
      <c r="B6731" s="245"/>
      <c r="C6731" s="248"/>
      <c r="D6731" s="249"/>
      <c r="E6731" s="249"/>
      <c r="T6731" s="261"/>
    </row>
    <row r="6732" spans="2:20" x14ac:dyDescent="0.2">
      <c r="B6732" s="245"/>
      <c r="C6732" s="248"/>
      <c r="D6732" s="249"/>
      <c r="E6732" s="249"/>
      <c r="T6732" s="261"/>
    </row>
    <row r="6733" spans="2:20" x14ac:dyDescent="0.2">
      <c r="B6733" s="245"/>
      <c r="C6733" s="248"/>
      <c r="D6733" s="249"/>
      <c r="E6733" s="249"/>
      <c r="T6733" s="261"/>
    </row>
    <row r="6734" spans="2:20" x14ac:dyDescent="0.2">
      <c r="B6734" s="245"/>
      <c r="C6734" s="248"/>
      <c r="D6734" s="249"/>
      <c r="E6734" s="249"/>
      <c r="T6734" s="261"/>
    </row>
    <row r="6735" spans="2:20" x14ac:dyDescent="0.2">
      <c r="B6735" s="245"/>
      <c r="C6735" s="248"/>
      <c r="D6735" s="249"/>
      <c r="E6735" s="249"/>
      <c r="T6735" s="261"/>
    </row>
    <row r="6736" spans="2:20" x14ac:dyDescent="0.2">
      <c r="B6736" s="245"/>
      <c r="C6736" s="248"/>
      <c r="D6736" s="249"/>
      <c r="E6736" s="249"/>
      <c r="T6736" s="261"/>
    </row>
    <row r="6737" spans="2:20" x14ac:dyDescent="0.2">
      <c r="B6737" s="245"/>
      <c r="C6737" s="248"/>
      <c r="D6737" s="249"/>
      <c r="E6737" s="249"/>
      <c r="T6737" s="261"/>
    </row>
    <row r="6738" spans="2:20" x14ac:dyDescent="0.2">
      <c r="B6738" s="245"/>
      <c r="C6738" s="248"/>
      <c r="D6738" s="249"/>
      <c r="E6738" s="249"/>
      <c r="T6738" s="261"/>
    </row>
    <row r="6739" spans="2:20" x14ac:dyDescent="0.2">
      <c r="B6739" s="245"/>
      <c r="C6739" s="248"/>
      <c r="D6739" s="249"/>
      <c r="E6739" s="249"/>
      <c r="T6739" s="261"/>
    </row>
    <row r="6740" spans="2:20" x14ac:dyDescent="0.2">
      <c r="B6740" s="245"/>
      <c r="C6740" s="248"/>
      <c r="D6740" s="249"/>
      <c r="E6740" s="249"/>
      <c r="T6740" s="261"/>
    </row>
    <row r="6741" spans="2:20" x14ac:dyDescent="0.2">
      <c r="B6741" s="245"/>
      <c r="C6741" s="248"/>
      <c r="D6741" s="249"/>
      <c r="E6741" s="249"/>
      <c r="T6741" s="261"/>
    </row>
    <row r="6742" spans="2:20" x14ac:dyDescent="0.2">
      <c r="B6742" s="245"/>
      <c r="C6742" s="248"/>
      <c r="D6742" s="249"/>
      <c r="E6742" s="249"/>
      <c r="T6742" s="261"/>
    </row>
    <row r="6743" spans="2:20" x14ac:dyDescent="0.2">
      <c r="B6743" s="245"/>
      <c r="C6743" s="248"/>
      <c r="D6743" s="249"/>
      <c r="E6743" s="249"/>
      <c r="T6743" s="261"/>
    </row>
    <row r="6744" spans="2:20" x14ac:dyDescent="0.2">
      <c r="B6744" s="245"/>
      <c r="C6744" s="248"/>
      <c r="D6744" s="249"/>
      <c r="E6744" s="249"/>
      <c r="T6744" s="261"/>
    </row>
    <row r="6745" spans="2:20" x14ac:dyDescent="0.2">
      <c r="B6745" s="245"/>
      <c r="C6745" s="248"/>
      <c r="D6745" s="249"/>
      <c r="E6745" s="249"/>
      <c r="T6745" s="261"/>
    </row>
    <row r="6746" spans="2:20" x14ac:dyDescent="0.2">
      <c r="B6746" s="245"/>
      <c r="C6746" s="248"/>
      <c r="D6746" s="249"/>
      <c r="E6746" s="249"/>
      <c r="T6746" s="261"/>
    </row>
    <row r="6747" spans="2:20" x14ac:dyDescent="0.2">
      <c r="B6747" s="245"/>
      <c r="C6747" s="248"/>
      <c r="D6747" s="249"/>
      <c r="E6747" s="249"/>
      <c r="T6747" s="261"/>
    </row>
    <row r="6748" spans="2:20" x14ac:dyDescent="0.2">
      <c r="B6748" s="245"/>
      <c r="C6748" s="248"/>
      <c r="D6748" s="249"/>
      <c r="E6748" s="249"/>
      <c r="T6748" s="261"/>
    </row>
    <row r="6749" spans="2:20" x14ac:dyDescent="0.2">
      <c r="B6749" s="245"/>
      <c r="C6749" s="248"/>
      <c r="D6749" s="249"/>
      <c r="E6749" s="249"/>
      <c r="T6749" s="261"/>
    </row>
    <row r="6750" spans="2:20" x14ac:dyDescent="0.2">
      <c r="B6750" s="245"/>
      <c r="C6750" s="248"/>
      <c r="D6750" s="249"/>
      <c r="E6750" s="249"/>
      <c r="T6750" s="261"/>
    </row>
    <row r="6751" spans="2:20" x14ac:dyDescent="0.2">
      <c r="B6751" s="245"/>
      <c r="C6751" s="248"/>
      <c r="D6751" s="249"/>
      <c r="E6751" s="249"/>
      <c r="T6751" s="261"/>
    </row>
    <row r="6752" spans="2:20" x14ac:dyDescent="0.2">
      <c r="B6752" s="245"/>
      <c r="C6752" s="248"/>
      <c r="D6752" s="249"/>
      <c r="E6752" s="249"/>
      <c r="T6752" s="261"/>
    </row>
    <row r="6753" spans="2:20" x14ac:dyDescent="0.2">
      <c r="B6753" s="245"/>
      <c r="C6753" s="248"/>
      <c r="D6753" s="249"/>
      <c r="E6753" s="249"/>
      <c r="T6753" s="261"/>
    </row>
    <row r="6754" spans="2:20" x14ac:dyDescent="0.2">
      <c r="B6754" s="245"/>
      <c r="C6754" s="248"/>
      <c r="D6754" s="249"/>
      <c r="E6754" s="249"/>
      <c r="T6754" s="261"/>
    </row>
    <row r="6755" spans="2:20" x14ac:dyDescent="0.2">
      <c r="B6755" s="245"/>
      <c r="C6755" s="248"/>
      <c r="D6755" s="249"/>
      <c r="E6755" s="249"/>
      <c r="T6755" s="261"/>
    </row>
    <row r="6756" spans="2:20" x14ac:dyDescent="0.2">
      <c r="B6756" s="245"/>
      <c r="C6756" s="248"/>
      <c r="D6756" s="249"/>
      <c r="E6756" s="249"/>
      <c r="T6756" s="261"/>
    </row>
    <row r="6757" spans="2:20" x14ac:dyDescent="0.2">
      <c r="B6757" s="245"/>
      <c r="C6757" s="248"/>
      <c r="D6757" s="249"/>
      <c r="E6757" s="249"/>
      <c r="T6757" s="261"/>
    </row>
    <row r="6758" spans="2:20" x14ac:dyDescent="0.2">
      <c r="B6758" s="245"/>
      <c r="C6758" s="248"/>
      <c r="D6758" s="249"/>
      <c r="E6758" s="249"/>
      <c r="T6758" s="261"/>
    </row>
    <row r="6759" spans="2:20" x14ac:dyDescent="0.2">
      <c r="B6759" s="245"/>
      <c r="C6759" s="248"/>
      <c r="D6759" s="249"/>
      <c r="E6759" s="249"/>
      <c r="T6759" s="261"/>
    </row>
    <row r="6760" spans="2:20" x14ac:dyDescent="0.2">
      <c r="B6760" s="245"/>
      <c r="C6760" s="248"/>
      <c r="D6760" s="249"/>
      <c r="E6760" s="249"/>
      <c r="T6760" s="261"/>
    </row>
    <row r="6761" spans="2:20" x14ac:dyDescent="0.2">
      <c r="B6761" s="245"/>
      <c r="C6761" s="248"/>
      <c r="D6761" s="249"/>
      <c r="E6761" s="249"/>
      <c r="T6761" s="261"/>
    </row>
    <row r="6762" spans="2:20" x14ac:dyDescent="0.2">
      <c r="B6762" s="245"/>
      <c r="C6762" s="248"/>
      <c r="D6762" s="249"/>
      <c r="E6762" s="249"/>
      <c r="T6762" s="261"/>
    </row>
    <row r="6763" spans="2:20" x14ac:dyDescent="0.2">
      <c r="B6763" s="245"/>
      <c r="C6763" s="248"/>
      <c r="D6763" s="249"/>
      <c r="E6763" s="249"/>
      <c r="T6763" s="261"/>
    </row>
    <row r="6764" spans="2:20" x14ac:dyDescent="0.2">
      <c r="B6764" s="245"/>
      <c r="C6764" s="248"/>
      <c r="D6764" s="249"/>
      <c r="E6764" s="249"/>
      <c r="T6764" s="261"/>
    </row>
    <row r="6765" spans="2:20" x14ac:dyDescent="0.2">
      <c r="B6765" s="245"/>
      <c r="C6765" s="248"/>
      <c r="D6765" s="249"/>
      <c r="E6765" s="249"/>
      <c r="T6765" s="261"/>
    </row>
    <row r="6766" spans="2:20" x14ac:dyDescent="0.2">
      <c r="B6766" s="245"/>
      <c r="C6766" s="248"/>
      <c r="D6766" s="249"/>
      <c r="E6766" s="249"/>
      <c r="T6766" s="261"/>
    </row>
    <row r="6767" spans="2:20" x14ac:dyDescent="0.2">
      <c r="B6767" s="245"/>
      <c r="C6767" s="248"/>
      <c r="D6767" s="249"/>
      <c r="E6767" s="249"/>
      <c r="T6767" s="261"/>
    </row>
    <row r="6768" spans="2:20" x14ac:dyDescent="0.2">
      <c r="B6768" s="245"/>
      <c r="C6768" s="248"/>
      <c r="D6768" s="249"/>
      <c r="E6768" s="249"/>
      <c r="T6768" s="261"/>
    </row>
    <row r="6769" spans="2:20" x14ac:dyDescent="0.2">
      <c r="B6769" s="245"/>
      <c r="C6769" s="248"/>
      <c r="D6769" s="249"/>
      <c r="E6769" s="249"/>
      <c r="T6769" s="261"/>
    </row>
    <row r="6770" spans="2:20" x14ac:dyDescent="0.2">
      <c r="B6770" s="245"/>
      <c r="C6770" s="248"/>
      <c r="D6770" s="249"/>
      <c r="E6770" s="249"/>
      <c r="T6770" s="261"/>
    </row>
    <row r="6771" spans="2:20" x14ac:dyDescent="0.2">
      <c r="B6771" s="245"/>
      <c r="C6771" s="248"/>
      <c r="D6771" s="249"/>
      <c r="E6771" s="249"/>
      <c r="T6771" s="261"/>
    </row>
    <row r="6772" spans="2:20" x14ac:dyDescent="0.2">
      <c r="B6772" s="245"/>
      <c r="C6772" s="248"/>
      <c r="D6772" s="249"/>
      <c r="E6772" s="249"/>
      <c r="T6772" s="261"/>
    </row>
    <row r="6773" spans="2:20" x14ac:dyDescent="0.2">
      <c r="B6773" s="245"/>
      <c r="C6773" s="248"/>
      <c r="D6773" s="249"/>
      <c r="E6773" s="249"/>
      <c r="T6773" s="261"/>
    </row>
    <row r="6774" spans="2:20" x14ac:dyDescent="0.2">
      <c r="B6774" s="245"/>
      <c r="C6774" s="248"/>
      <c r="D6774" s="249"/>
      <c r="E6774" s="249"/>
      <c r="T6774" s="261"/>
    </row>
    <row r="6775" spans="2:20" x14ac:dyDescent="0.2">
      <c r="B6775" s="245"/>
      <c r="C6775" s="248"/>
      <c r="D6775" s="249"/>
      <c r="E6775" s="249"/>
      <c r="T6775" s="261"/>
    </row>
    <row r="6776" spans="2:20" x14ac:dyDescent="0.2">
      <c r="B6776" s="245"/>
      <c r="C6776" s="248"/>
      <c r="D6776" s="249"/>
      <c r="E6776" s="249"/>
      <c r="T6776" s="261"/>
    </row>
    <row r="6777" spans="2:20" x14ac:dyDescent="0.2">
      <c r="B6777" s="245"/>
      <c r="C6777" s="248"/>
      <c r="D6777" s="249"/>
      <c r="E6777" s="249"/>
      <c r="T6777" s="261"/>
    </row>
    <row r="6778" spans="2:20" x14ac:dyDescent="0.2">
      <c r="B6778" s="245"/>
      <c r="C6778" s="248"/>
      <c r="D6778" s="249"/>
      <c r="E6778" s="249"/>
      <c r="T6778" s="261"/>
    </row>
    <row r="6779" spans="2:20" x14ac:dyDescent="0.2">
      <c r="B6779" s="245"/>
      <c r="C6779" s="248"/>
      <c r="D6779" s="249"/>
      <c r="E6779" s="249"/>
      <c r="T6779" s="261"/>
    </row>
    <row r="6780" spans="2:20" x14ac:dyDescent="0.2">
      <c r="B6780" s="245"/>
      <c r="C6780" s="248"/>
      <c r="D6780" s="249"/>
      <c r="E6780" s="249"/>
      <c r="T6780" s="261"/>
    </row>
    <row r="6781" spans="2:20" x14ac:dyDescent="0.2">
      <c r="B6781" s="245"/>
      <c r="C6781" s="248"/>
      <c r="D6781" s="249"/>
      <c r="E6781" s="249"/>
      <c r="T6781" s="261"/>
    </row>
    <row r="6782" spans="2:20" x14ac:dyDescent="0.2">
      <c r="B6782" s="245"/>
      <c r="C6782" s="248"/>
      <c r="D6782" s="249"/>
      <c r="E6782" s="249"/>
      <c r="T6782" s="261"/>
    </row>
    <row r="6783" spans="2:20" x14ac:dyDescent="0.2">
      <c r="B6783" s="245"/>
      <c r="C6783" s="248"/>
      <c r="D6783" s="249"/>
      <c r="E6783" s="249"/>
      <c r="T6783" s="261"/>
    </row>
    <row r="6784" spans="2:20" x14ac:dyDescent="0.2">
      <c r="B6784" s="245"/>
      <c r="C6784" s="248"/>
      <c r="D6784" s="249"/>
      <c r="E6784" s="249"/>
      <c r="T6784" s="261"/>
    </row>
    <row r="6785" spans="2:20" x14ac:dyDescent="0.2">
      <c r="B6785" s="245"/>
      <c r="C6785" s="248"/>
      <c r="D6785" s="249"/>
      <c r="E6785" s="249"/>
      <c r="T6785" s="261"/>
    </row>
    <row r="6786" spans="2:20" x14ac:dyDescent="0.2">
      <c r="B6786" s="245"/>
      <c r="C6786" s="248"/>
      <c r="D6786" s="249"/>
      <c r="E6786" s="249"/>
      <c r="T6786" s="261"/>
    </row>
    <row r="6787" spans="2:20" x14ac:dyDescent="0.2">
      <c r="B6787" s="245"/>
      <c r="C6787" s="248"/>
      <c r="D6787" s="249"/>
      <c r="E6787" s="249"/>
      <c r="T6787" s="261"/>
    </row>
    <row r="6788" spans="2:20" x14ac:dyDescent="0.2">
      <c r="B6788" s="245"/>
      <c r="C6788" s="248"/>
      <c r="D6788" s="249"/>
      <c r="E6788" s="249"/>
      <c r="T6788" s="261"/>
    </row>
    <row r="6789" spans="2:20" x14ac:dyDescent="0.2">
      <c r="B6789" s="245"/>
      <c r="C6789" s="248"/>
      <c r="D6789" s="249"/>
      <c r="E6789" s="249"/>
      <c r="T6789" s="261"/>
    </row>
    <row r="6790" spans="2:20" x14ac:dyDescent="0.2">
      <c r="B6790" s="245"/>
      <c r="C6790" s="248"/>
      <c r="D6790" s="249"/>
      <c r="E6790" s="249"/>
      <c r="T6790" s="261"/>
    </row>
    <row r="6791" spans="2:20" x14ac:dyDescent="0.2">
      <c r="B6791" s="245"/>
      <c r="C6791" s="248"/>
      <c r="D6791" s="249"/>
      <c r="E6791" s="249"/>
      <c r="T6791" s="261"/>
    </row>
    <row r="6792" spans="2:20" x14ac:dyDescent="0.2">
      <c r="B6792" s="245"/>
      <c r="C6792" s="248"/>
      <c r="D6792" s="249"/>
      <c r="E6792" s="249"/>
      <c r="T6792" s="261"/>
    </row>
    <row r="6793" spans="2:20" x14ac:dyDescent="0.2">
      <c r="B6793" s="245"/>
      <c r="C6793" s="248"/>
      <c r="D6793" s="249"/>
      <c r="E6793" s="249"/>
      <c r="T6793" s="261"/>
    </row>
    <row r="6794" spans="2:20" x14ac:dyDescent="0.2">
      <c r="B6794" s="245"/>
      <c r="C6794" s="248"/>
      <c r="D6794" s="249"/>
      <c r="E6794" s="249"/>
      <c r="T6794" s="261"/>
    </row>
    <row r="6795" spans="2:20" x14ac:dyDescent="0.2">
      <c r="B6795" s="245"/>
      <c r="C6795" s="248"/>
      <c r="D6795" s="249"/>
      <c r="E6795" s="249"/>
      <c r="T6795" s="261"/>
    </row>
    <row r="6796" spans="2:20" x14ac:dyDescent="0.2">
      <c r="B6796" s="245"/>
      <c r="C6796" s="248"/>
      <c r="D6796" s="249"/>
      <c r="E6796" s="249"/>
      <c r="T6796" s="261"/>
    </row>
    <row r="6797" spans="2:20" x14ac:dyDescent="0.2">
      <c r="B6797" s="245"/>
      <c r="C6797" s="248"/>
      <c r="D6797" s="249"/>
      <c r="E6797" s="249"/>
      <c r="T6797" s="261"/>
    </row>
    <row r="6798" spans="2:20" x14ac:dyDescent="0.2">
      <c r="B6798" s="245"/>
      <c r="C6798" s="248"/>
      <c r="D6798" s="249"/>
      <c r="E6798" s="249"/>
      <c r="T6798" s="261"/>
    </row>
    <row r="6799" spans="2:20" x14ac:dyDescent="0.2">
      <c r="B6799" s="245"/>
      <c r="C6799" s="248"/>
      <c r="D6799" s="249"/>
      <c r="E6799" s="249"/>
      <c r="T6799" s="261"/>
    </row>
    <row r="6800" spans="2:20" x14ac:dyDescent="0.2">
      <c r="B6800" s="245"/>
      <c r="C6800" s="248"/>
      <c r="D6800" s="249"/>
      <c r="E6800" s="249"/>
      <c r="T6800" s="261"/>
    </row>
    <row r="6801" spans="2:20" x14ac:dyDescent="0.2">
      <c r="B6801" s="245"/>
      <c r="C6801" s="248"/>
      <c r="D6801" s="249"/>
      <c r="E6801" s="249"/>
      <c r="T6801" s="261"/>
    </row>
    <row r="6802" spans="2:20" x14ac:dyDescent="0.2">
      <c r="B6802" s="245"/>
      <c r="C6802" s="248"/>
      <c r="D6802" s="249"/>
      <c r="E6802" s="249"/>
      <c r="T6802" s="261"/>
    </row>
    <row r="6803" spans="2:20" x14ac:dyDescent="0.2">
      <c r="B6803" s="245"/>
      <c r="C6803" s="248"/>
      <c r="D6803" s="249"/>
      <c r="E6803" s="249"/>
      <c r="T6803" s="261"/>
    </row>
    <row r="6804" spans="2:20" x14ac:dyDescent="0.2">
      <c r="B6804" s="245"/>
      <c r="C6804" s="248"/>
      <c r="D6804" s="249"/>
      <c r="E6804" s="249"/>
      <c r="T6804" s="261"/>
    </row>
    <row r="6805" spans="2:20" x14ac:dyDescent="0.2">
      <c r="B6805" s="245"/>
      <c r="C6805" s="248"/>
      <c r="D6805" s="249"/>
      <c r="E6805" s="249"/>
      <c r="T6805" s="261"/>
    </row>
    <row r="6806" spans="2:20" x14ac:dyDescent="0.2">
      <c r="B6806" s="245"/>
      <c r="C6806" s="248"/>
      <c r="D6806" s="249"/>
      <c r="E6806" s="249"/>
      <c r="T6806" s="261"/>
    </row>
    <row r="6807" spans="2:20" x14ac:dyDescent="0.2">
      <c r="B6807" s="245"/>
      <c r="C6807" s="248"/>
      <c r="D6807" s="249"/>
      <c r="E6807" s="249"/>
      <c r="T6807" s="261"/>
    </row>
    <row r="6808" spans="2:20" x14ac:dyDescent="0.2">
      <c r="B6808" s="245"/>
      <c r="C6808" s="248"/>
      <c r="D6808" s="249"/>
      <c r="E6808" s="249"/>
      <c r="T6808" s="261"/>
    </row>
    <row r="6809" spans="2:20" x14ac:dyDescent="0.2">
      <c r="B6809" s="245"/>
      <c r="C6809" s="248"/>
      <c r="D6809" s="249"/>
      <c r="E6809" s="249"/>
      <c r="T6809" s="261"/>
    </row>
    <row r="6810" spans="2:20" x14ac:dyDescent="0.2">
      <c r="B6810" s="245"/>
      <c r="C6810" s="248"/>
      <c r="D6810" s="249"/>
      <c r="E6810" s="249"/>
      <c r="T6810" s="261"/>
    </row>
    <row r="6811" spans="2:20" x14ac:dyDescent="0.2">
      <c r="B6811" s="245"/>
      <c r="C6811" s="248"/>
      <c r="D6811" s="249"/>
      <c r="E6811" s="249"/>
      <c r="T6811" s="261"/>
    </row>
    <row r="6812" spans="2:20" x14ac:dyDescent="0.2">
      <c r="B6812" s="245"/>
      <c r="C6812" s="248"/>
      <c r="D6812" s="249"/>
      <c r="E6812" s="249"/>
      <c r="T6812" s="261"/>
    </row>
    <row r="6813" spans="2:20" x14ac:dyDescent="0.2">
      <c r="B6813" s="245"/>
      <c r="C6813" s="248"/>
      <c r="D6813" s="249"/>
      <c r="E6813" s="249"/>
      <c r="T6813" s="261"/>
    </row>
    <row r="6814" spans="2:20" x14ac:dyDescent="0.2">
      <c r="B6814" s="245"/>
      <c r="C6814" s="248"/>
      <c r="D6814" s="249"/>
      <c r="E6814" s="249"/>
      <c r="T6814" s="261"/>
    </row>
    <row r="6815" spans="2:20" x14ac:dyDescent="0.2">
      <c r="B6815" s="245"/>
      <c r="C6815" s="248"/>
      <c r="D6815" s="249"/>
      <c r="E6815" s="249"/>
      <c r="T6815" s="261"/>
    </row>
    <row r="6816" spans="2:20" x14ac:dyDescent="0.2">
      <c r="B6816" s="245"/>
      <c r="C6816" s="248"/>
      <c r="D6816" s="249"/>
      <c r="E6816" s="249"/>
      <c r="T6816" s="261"/>
    </row>
    <row r="6817" spans="2:20" x14ac:dyDescent="0.2">
      <c r="B6817" s="245"/>
      <c r="C6817" s="248"/>
      <c r="D6817" s="249"/>
      <c r="E6817" s="249"/>
      <c r="T6817" s="261"/>
    </row>
    <row r="6818" spans="2:20" x14ac:dyDescent="0.2">
      <c r="B6818" s="245"/>
      <c r="C6818" s="248"/>
      <c r="D6818" s="249"/>
      <c r="E6818" s="249"/>
      <c r="T6818" s="261"/>
    </row>
    <row r="6819" spans="2:20" x14ac:dyDescent="0.2">
      <c r="B6819" s="245"/>
      <c r="C6819" s="248"/>
      <c r="D6819" s="249"/>
      <c r="E6819" s="249"/>
      <c r="T6819" s="261"/>
    </row>
    <row r="6820" spans="2:20" x14ac:dyDescent="0.2">
      <c r="B6820" s="245"/>
      <c r="C6820" s="248"/>
      <c r="D6820" s="249"/>
      <c r="E6820" s="249"/>
      <c r="T6820" s="261"/>
    </row>
    <row r="6821" spans="2:20" x14ac:dyDescent="0.2">
      <c r="B6821" s="245"/>
      <c r="C6821" s="248"/>
      <c r="D6821" s="249"/>
      <c r="E6821" s="249"/>
      <c r="T6821" s="261"/>
    </row>
    <row r="6822" spans="2:20" x14ac:dyDescent="0.2">
      <c r="B6822" s="245"/>
      <c r="C6822" s="248"/>
      <c r="D6822" s="249"/>
      <c r="E6822" s="249"/>
      <c r="T6822" s="261"/>
    </row>
    <row r="6823" spans="2:20" x14ac:dyDescent="0.2">
      <c r="B6823" s="245"/>
      <c r="C6823" s="248"/>
      <c r="D6823" s="249"/>
      <c r="E6823" s="249"/>
      <c r="T6823" s="261"/>
    </row>
    <row r="6824" spans="2:20" x14ac:dyDescent="0.2">
      <c r="B6824" s="245"/>
      <c r="C6824" s="248"/>
      <c r="D6824" s="249"/>
      <c r="E6824" s="249"/>
      <c r="T6824" s="261"/>
    </row>
    <row r="6825" spans="2:20" x14ac:dyDescent="0.2">
      <c r="B6825" s="245"/>
      <c r="C6825" s="248"/>
      <c r="D6825" s="249"/>
      <c r="E6825" s="249"/>
      <c r="T6825" s="261"/>
    </row>
    <row r="6826" spans="2:20" x14ac:dyDescent="0.2">
      <c r="B6826" s="245"/>
      <c r="C6826" s="248"/>
      <c r="D6826" s="249"/>
      <c r="E6826" s="249"/>
      <c r="T6826" s="261"/>
    </row>
    <row r="6827" spans="2:20" x14ac:dyDescent="0.2">
      <c r="B6827" s="245"/>
      <c r="C6827" s="248"/>
      <c r="D6827" s="249"/>
      <c r="E6827" s="249"/>
      <c r="T6827" s="261"/>
    </row>
    <row r="6828" spans="2:20" x14ac:dyDescent="0.2">
      <c r="B6828" s="245"/>
      <c r="C6828" s="248"/>
      <c r="D6828" s="249"/>
      <c r="E6828" s="249"/>
      <c r="T6828" s="261"/>
    </row>
    <row r="6829" spans="2:20" x14ac:dyDescent="0.2">
      <c r="B6829" s="245"/>
      <c r="C6829" s="248"/>
      <c r="D6829" s="249"/>
      <c r="E6829" s="249"/>
      <c r="T6829" s="261"/>
    </row>
    <row r="6830" spans="2:20" x14ac:dyDescent="0.2">
      <c r="B6830" s="245"/>
      <c r="C6830" s="248"/>
      <c r="D6830" s="249"/>
      <c r="E6830" s="249"/>
      <c r="T6830" s="261"/>
    </row>
    <row r="6831" spans="2:20" x14ac:dyDescent="0.2">
      <c r="B6831" s="245"/>
      <c r="C6831" s="248"/>
      <c r="D6831" s="249"/>
      <c r="E6831" s="249"/>
      <c r="T6831" s="261"/>
    </row>
    <row r="6832" spans="2:20" x14ac:dyDescent="0.2">
      <c r="B6832" s="245"/>
      <c r="C6832" s="248"/>
      <c r="D6832" s="249"/>
      <c r="E6832" s="249"/>
      <c r="T6832" s="261"/>
    </row>
    <row r="6833" spans="2:20" x14ac:dyDescent="0.2">
      <c r="B6833" s="245"/>
      <c r="C6833" s="248"/>
      <c r="D6833" s="249"/>
      <c r="E6833" s="249"/>
      <c r="T6833" s="261"/>
    </row>
    <row r="6834" spans="2:20" x14ac:dyDescent="0.2">
      <c r="B6834" s="245"/>
      <c r="C6834" s="248"/>
      <c r="D6834" s="249"/>
      <c r="E6834" s="249"/>
      <c r="T6834" s="261"/>
    </row>
    <row r="6835" spans="2:20" x14ac:dyDescent="0.2">
      <c r="B6835" s="245"/>
      <c r="C6835" s="248"/>
      <c r="D6835" s="249"/>
      <c r="E6835" s="249"/>
      <c r="T6835" s="261"/>
    </row>
    <row r="6836" spans="2:20" x14ac:dyDescent="0.2">
      <c r="B6836" s="245"/>
      <c r="C6836" s="248"/>
      <c r="D6836" s="249"/>
      <c r="E6836" s="249"/>
      <c r="T6836" s="261"/>
    </row>
    <row r="6837" spans="2:20" x14ac:dyDescent="0.2">
      <c r="B6837" s="245"/>
      <c r="C6837" s="248"/>
      <c r="D6837" s="249"/>
      <c r="E6837" s="249"/>
      <c r="T6837" s="261"/>
    </row>
    <row r="6838" spans="2:20" x14ac:dyDescent="0.2">
      <c r="B6838" s="245"/>
      <c r="C6838" s="248"/>
      <c r="D6838" s="249"/>
      <c r="E6838" s="249"/>
      <c r="T6838" s="261"/>
    </row>
    <row r="6839" spans="2:20" x14ac:dyDescent="0.2">
      <c r="B6839" s="245"/>
      <c r="C6839" s="248"/>
      <c r="D6839" s="249"/>
      <c r="E6839" s="249"/>
      <c r="T6839" s="261"/>
    </row>
    <row r="6840" spans="2:20" x14ac:dyDescent="0.2">
      <c r="B6840" s="245"/>
      <c r="C6840" s="248"/>
      <c r="D6840" s="249"/>
      <c r="E6840" s="249"/>
      <c r="T6840" s="261"/>
    </row>
    <row r="6841" spans="2:20" x14ac:dyDescent="0.2">
      <c r="B6841" s="245"/>
      <c r="C6841" s="248"/>
      <c r="D6841" s="249"/>
      <c r="E6841" s="249"/>
      <c r="T6841" s="261"/>
    </row>
    <row r="6842" spans="2:20" x14ac:dyDescent="0.2">
      <c r="B6842" s="245"/>
      <c r="C6842" s="248"/>
      <c r="D6842" s="249"/>
      <c r="E6842" s="249"/>
      <c r="T6842" s="261"/>
    </row>
    <row r="6843" spans="2:20" x14ac:dyDescent="0.2">
      <c r="B6843" s="245"/>
      <c r="C6843" s="248"/>
      <c r="D6843" s="249"/>
      <c r="E6843" s="249"/>
      <c r="T6843" s="261"/>
    </row>
    <row r="6844" spans="2:20" x14ac:dyDescent="0.2">
      <c r="B6844" s="245"/>
      <c r="C6844" s="248"/>
      <c r="D6844" s="249"/>
      <c r="E6844" s="249"/>
      <c r="T6844" s="261"/>
    </row>
    <row r="6845" spans="2:20" x14ac:dyDescent="0.2">
      <c r="B6845" s="245"/>
      <c r="C6845" s="248"/>
      <c r="D6845" s="249"/>
      <c r="E6845" s="249"/>
      <c r="T6845" s="261"/>
    </row>
    <row r="6846" spans="2:20" x14ac:dyDescent="0.2">
      <c r="B6846" s="245"/>
      <c r="C6846" s="248"/>
      <c r="D6846" s="249"/>
      <c r="E6846" s="249"/>
      <c r="T6846" s="261"/>
    </row>
    <row r="6847" spans="2:20" x14ac:dyDescent="0.2">
      <c r="B6847" s="245"/>
      <c r="C6847" s="248"/>
      <c r="D6847" s="249"/>
      <c r="E6847" s="249"/>
      <c r="T6847" s="261"/>
    </row>
    <row r="6848" spans="2:20" x14ac:dyDescent="0.2">
      <c r="B6848" s="245"/>
      <c r="C6848" s="248"/>
      <c r="D6848" s="249"/>
      <c r="E6848" s="249"/>
      <c r="T6848" s="261"/>
    </row>
    <row r="6849" spans="2:20" x14ac:dyDescent="0.2">
      <c r="B6849" s="245"/>
      <c r="C6849" s="248"/>
      <c r="D6849" s="249"/>
      <c r="E6849" s="249"/>
      <c r="T6849" s="261"/>
    </row>
    <row r="6850" spans="2:20" x14ac:dyDescent="0.2">
      <c r="B6850" s="245"/>
      <c r="C6850" s="248"/>
      <c r="D6850" s="249"/>
      <c r="E6850" s="249"/>
      <c r="T6850" s="261"/>
    </row>
    <row r="6851" spans="2:20" x14ac:dyDescent="0.2">
      <c r="B6851" s="245"/>
      <c r="C6851" s="248"/>
      <c r="D6851" s="249"/>
      <c r="E6851" s="249"/>
      <c r="T6851" s="261"/>
    </row>
    <row r="6852" spans="2:20" x14ac:dyDescent="0.2">
      <c r="B6852" s="245"/>
      <c r="C6852" s="248"/>
      <c r="D6852" s="249"/>
      <c r="E6852" s="249"/>
      <c r="T6852" s="261"/>
    </row>
    <row r="6853" spans="2:20" x14ac:dyDescent="0.2">
      <c r="B6853" s="245"/>
      <c r="C6853" s="248"/>
      <c r="D6853" s="249"/>
      <c r="E6853" s="249"/>
      <c r="T6853" s="261"/>
    </row>
    <row r="6854" spans="2:20" x14ac:dyDescent="0.2">
      <c r="B6854" s="245"/>
      <c r="C6854" s="248"/>
      <c r="D6854" s="249"/>
      <c r="E6854" s="249"/>
      <c r="T6854" s="261"/>
    </row>
    <row r="6855" spans="2:20" x14ac:dyDescent="0.2">
      <c r="B6855" s="245"/>
      <c r="C6855" s="248"/>
      <c r="D6855" s="249"/>
      <c r="E6855" s="249"/>
      <c r="T6855" s="261"/>
    </row>
    <row r="6856" spans="2:20" x14ac:dyDescent="0.2">
      <c r="B6856" s="245"/>
      <c r="C6856" s="248"/>
      <c r="D6856" s="249"/>
      <c r="E6856" s="249"/>
      <c r="T6856" s="261"/>
    </row>
    <row r="6857" spans="2:20" x14ac:dyDescent="0.2">
      <c r="B6857" s="245"/>
      <c r="C6857" s="248"/>
      <c r="D6857" s="249"/>
      <c r="E6857" s="249"/>
      <c r="T6857" s="261"/>
    </row>
    <row r="6858" spans="2:20" x14ac:dyDescent="0.2">
      <c r="B6858" s="245"/>
      <c r="C6858" s="248"/>
      <c r="D6858" s="249"/>
      <c r="E6858" s="249"/>
      <c r="T6858" s="261"/>
    </row>
    <row r="6859" spans="2:20" x14ac:dyDescent="0.2">
      <c r="B6859" s="245"/>
      <c r="C6859" s="248"/>
      <c r="D6859" s="249"/>
      <c r="E6859" s="249"/>
      <c r="T6859" s="261"/>
    </row>
    <row r="6860" spans="2:20" x14ac:dyDescent="0.2">
      <c r="B6860" s="245"/>
      <c r="C6860" s="248"/>
      <c r="D6860" s="249"/>
      <c r="E6860" s="249"/>
      <c r="T6860" s="261"/>
    </row>
    <row r="6861" spans="2:20" x14ac:dyDescent="0.2">
      <c r="B6861" s="245"/>
      <c r="C6861" s="248"/>
      <c r="D6861" s="249"/>
      <c r="E6861" s="249"/>
      <c r="T6861" s="261"/>
    </row>
    <row r="6862" spans="2:20" x14ac:dyDescent="0.2">
      <c r="B6862" s="245"/>
      <c r="C6862" s="248"/>
      <c r="D6862" s="249"/>
      <c r="E6862" s="249"/>
      <c r="T6862" s="261"/>
    </row>
    <row r="6863" spans="2:20" x14ac:dyDescent="0.2">
      <c r="B6863" s="245"/>
      <c r="C6863" s="248"/>
      <c r="D6863" s="249"/>
      <c r="E6863" s="249"/>
      <c r="T6863" s="261"/>
    </row>
    <row r="6864" spans="2:20" x14ac:dyDescent="0.2">
      <c r="B6864" s="245"/>
      <c r="C6864" s="248"/>
      <c r="D6864" s="249"/>
      <c r="E6864" s="249"/>
      <c r="T6864" s="261"/>
    </row>
    <row r="6865" spans="2:20" x14ac:dyDescent="0.2">
      <c r="B6865" s="245"/>
      <c r="C6865" s="248"/>
      <c r="D6865" s="249"/>
      <c r="E6865" s="249"/>
      <c r="T6865" s="261"/>
    </row>
    <row r="6866" spans="2:20" x14ac:dyDescent="0.2">
      <c r="B6866" s="245"/>
      <c r="C6866" s="248"/>
      <c r="D6866" s="249"/>
      <c r="E6866" s="249"/>
      <c r="T6866" s="261"/>
    </row>
    <row r="6867" spans="2:20" x14ac:dyDescent="0.2">
      <c r="B6867" s="245"/>
      <c r="C6867" s="248"/>
      <c r="D6867" s="249"/>
      <c r="E6867" s="249"/>
      <c r="T6867" s="261"/>
    </row>
    <row r="6868" spans="2:20" x14ac:dyDescent="0.2">
      <c r="B6868" s="245"/>
      <c r="C6868" s="248"/>
      <c r="D6868" s="249"/>
      <c r="E6868" s="249"/>
      <c r="T6868" s="261"/>
    </row>
    <row r="6869" spans="2:20" x14ac:dyDescent="0.2">
      <c r="B6869" s="245"/>
      <c r="C6869" s="248"/>
      <c r="D6869" s="249"/>
      <c r="E6869" s="249"/>
      <c r="T6869" s="261"/>
    </row>
    <row r="6870" spans="2:20" x14ac:dyDescent="0.2">
      <c r="B6870" s="245"/>
      <c r="C6870" s="248"/>
      <c r="D6870" s="249"/>
      <c r="E6870" s="249"/>
      <c r="T6870" s="261"/>
    </row>
    <row r="6871" spans="2:20" x14ac:dyDescent="0.2">
      <c r="B6871" s="245"/>
      <c r="C6871" s="248"/>
      <c r="D6871" s="249"/>
      <c r="E6871" s="249"/>
      <c r="T6871" s="261"/>
    </row>
    <row r="6872" spans="2:20" x14ac:dyDescent="0.2">
      <c r="B6872" s="245"/>
      <c r="C6872" s="248"/>
      <c r="D6872" s="249"/>
      <c r="E6872" s="249"/>
      <c r="T6872" s="261"/>
    </row>
    <row r="6873" spans="2:20" x14ac:dyDescent="0.2">
      <c r="B6873" s="245"/>
      <c r="C6873" s="248"/>
      <c r="D6873" s="249"/>
      <c r="E6873" s="249"/>
      <c r="T6873" s="261"/>
    </row>
    <row r="6874" spans="2:20" x14ac:dyDescent="0.2">
      <c r="B6874" s="245"/>
      <c r="C6874" s="248"/>
      <c r="D6874" s="249"/>
      <c r="E6874" s="249"/>
      <c r="T6874" s="261"/>
    </row>
    <row r="6875" spans="2:20" x14ac:dyDescent="0.2">
      <c r="B6875" s="245"/>
      <c r="C6875" s="248"/>
      <c r="D6875" s="249"/>
      <c r="E6875" s="249"/>
      <c r="T6875" s="261"/>
    </row>
    <row r="6876" spans="2:20" x14ac:dyDescent="0.2">
      <c r="B6876" s="245"/>
      <c r="C6876" s="248"/>
      <c r="D6876" s="249"/>
      <c r="E6876" s="249"/>
      <c r="T6876" s="261"/>
    </row>
    <row r="6877" spans="2:20" x14ac:dyDescent="0.2">
      <c r="B6877" s="245"/>
      <c r="C6877" s="248"/>
      <c r="D6877" s="249"/>
      <c r="E6877" s="249"/>
      <c r="T6877" s="261"/>
    </row>
    <row r="6878" spans="2:20" x14ac:dyDescent="0.2">
      <c r="B6878" s="245"/>
      <c r="C6878" s="248"/>
      <c r="D6878" s="249"/>
      <c r="E6878" s="249"/>
      <c r="T6878" s="261"/>
    </row>
    <row r="6879" spans="2:20" x14ac:dyDescent="0.2">
      <c r="B6879" s="245"/>
      <c r="C6879" s="248"/>
      <c r="D6879" s="249"/>
      <c r="E6879" s="249"/>
      <c r="T6879" s="261"/>
    </row>
    <row r="6880" spans="2:20" x14ac:dyDescent="0.2">
      <c r="B6880" s="245"/>
      <c r="C6880" s="248"/>
      <c r="D6880" s="249"/>
      <c r="E6880" s="249"/>
      <c r="T6880" s="261"/>
    </row>
    <row r="6881" spans="2:20" x14ac:dyDescent="0.2">
      <c r="B6881" s="245"/>
      <c r="C6881" s="248"/>
      <c r="D6881" s="249"/>
      <c r="E6881" s="249"/>
      <c r="T6881" s="261"/>
    </row>
    <row r="6882" spans="2:20" x14ac:dyDescent="0.2">
      <c r="B6882" s="245"/>
      <c r="C6882" s="248"/>
      <c r="D6882" s="249"/>
      <c r="E6882" s="249"/>
      <c r="T6882" s="261"/>
    </row>
    <row r="6883" spans="2:20" x14ac:dyDescent="0.2">
      <c r="B6883" s="245"/>
      <c r="C6883" s="248"/>
      <c r="D6883" s="249"/>
      <c r="E6883" s="249"/>
      <c r="T6883" s="261"/>
    </row>
    <row r="6884" spans="2:20" x14ac:dyDescent="0.2">
      <c r="B6884" s="245"/>
      <c r="C6884" s="248"/>
      <c r="D6884" s="249"/>
      <c r="E6884" s="249"/>
      <c r="T6884" s="261"/>
    </row>
    <row r="6885" spans="2:20" x14ac:dyDescent="0.2">
      <c r="B6885" s="245"/>
      <c r="C6885" s="248"/>
      <c r="D6885" s="249"/>
      <c r="E6885" s="249"/>
      <c r="T6885" s="261"/>
    </row>
    <row r="6886" spans="2:20" x14ac:dyDescent="0.2">
      <c r="B6886" s="245"/>
      <c r="C6886" s="248"/>
      <c r="D6886" s="249"/>
      <c r="E6886" s="249"/>
      <c r="T6886" s="261"/>
    </row>
    <row r="6887" spans="2:20" x14ac:dyDescent="0.2">
      <c r="B6887" s="245"/>
      <c r="C6887" s="248"/>
      <c r="D6887" s="249"/>
      <c r="E6887" s="249"/>
      <c r="T6887" s="261"/>
    </row>
    <row r="6888" spans="2:20" x14ac:dyDescent="0.2">
      <c r="B6888" s="245"/>
      <c r="C6888" s="248"/>
      <c r="D6888" s="249"/>
      <c r="E6888" s="249"/>
      <c r="T6888" s="261"/>
    </row>
    <row r="6889" spans="2:20" x14ac:dyDescent="0.2">
      <c r="B6889" s="245"/>
      <c r="C6889" s="248"/>
      <c r="D6889" s="249"/>
      <c r="E6889" s="249"/>
      <c r="T6889" s="261"/>
    </row>
    <row r="6890" spans="2:20" x14ac:dyDescent="0.2">
      <c r="B6890" s="245"/>
      <c r="C6890" s="248"/>
      <c r="D6890" s="249"/>
      <c r="E6890" s="249"/>
      <c r="T6890" s="261"/>
    </row>
    <row r="6891" spans="2:20" x14ac:dyDescent="0.2">
      <c r="B6891" s="245"/>
      <c r="C6891" s="248"/>
      <c r="D6891" s="249"/>
      <c r="E6891" s="249"/>
      <c r="T6891" s="261"/>
    </row>
    <row r="6892" spans="2:20" x14ac:dyDescent="0.2">
      <c r="B6892" s="245"/>
      <c r="C6892" s="248"/>
      <c r="D6892" s="249"/>
      <c r="E6892" s="249"/>
      <c r="T6892" s="261"/>
    </row>
    <row r="6893" spans="2:20" x14ac:dyDescent="0.2">
      <c r="B6893" s="245"/>
      <c r="C6893" s="248"/>
      <c r="D6893" s="249"/>
      <c r="E6893" s="249"/>
      <c r="T6893" s="261"/>
    </row>
    <row r="6894" spans="2:20" x14ac:dyDescent="0.2">
      <c r="B6894" s="245"/>
      <c r="C6894" s="248"/>
      <c r="D6894" s="249"/>
      <c r="E6894" s="249"/>
      <c r="T6894" s="261"/>
    </row>
    <row r="6895" spans="2:20" x14ac:dyDescent="0.2">
      <c r="B6895" s="245"/>
      <c r="C6895" s="248"/>
      <c r="D6895" s="249"/>
      <c r="E6895" s="249"/>
      <c r="T6895" s="261"/>
    </row>
    <row r="6896" spans="2:20" x14ac:dyDescent="0.2">
      <c r="B6896" s="245"/>
      <c r="C6896" s="248"/>
      <c r="D6896" s="249"/>
      <c r="E6896" s="249"/>
      <c r="T6896" s="261"/>
    </row>
    <row r="6897" spans="2:20" x14ac:dyDescent="0.2">
      <c r="B6897" s="245"/>
      <c r="C6897" s="248"/>
      <c r="D6897" s="249"/>
      <c r="E6897" s="249"/>
      <c r="T6897" s="261"/>
    </row>
    <row r="6898" spans="2:20" x14ac:dyDescent="0.2">
      <c r="B6898" s="245"/>
      <c r="C6898" s="248"/>
      <c r="D6898" s="249"/>
      <c r="E6898" s="249"/>
      <c r="T6898" s="261"/>
    </row>
    <row r="6899" spans="2:20" x14ac:dyDescent="0.2">
      <c r="B6899" s="245"/>
      <c r="C6899" s="248"/>
      <c r="D6899" s="249"/>
      <c r="E6899" s="249"/>
      <c r="T6899" s="261"/>
    </row>
    <row r="6900" spans="2:20" x14ac:dyDescent="0.2">
      <c r="B6900" s="245"/>
      <c r="C6900" s="248"/>
      <c r="D6900" s="249"/>
      <c r="E6900" s="249"/>
      <c r="T6900" s="261"/>
    </row>
    <row r="6901" spans="2:20" x14ac:dyDescent="0.2">
      <c r="B6901" s="245"/>
      <c r="C6901" s="248"/>
      <c r="D6901" s="249"/>
      <c r="E6901" s="249"/>
      <c r="T6901" s="261"/>
    </row>
    <row r="6902" spans="2:20" x14ac:dyDescent="0.2">
      <c r="B6902" s="245"/>
      <c r="C6902" s="248"/>
      <c r="D6902" s="249"/>
      <c r="E6902" s="249"/>
      <c r="T6902" s="261"/>
    </row>
    <row r="6903" spans="2:20" x14ac:dyDescent="0.2">
      <c r="B6903" s="245"/>
      <c r="C6903" s="248"/>
      <c r="D6903" s="249"/>
      <c r="E6903" s="249"/>
      <c r="T6903" s="261"/>
    </row>
    <row r="6904" spans="2:20" x14ac:dyDescent="0.2">
      <c r="B6904" s="245"/>
      <c r="C6904" s="248"/>
      <c r="D6904" s="249"/>
      <c r="E6904" s="249"/>
      <c r="T6904" s="261"/>
    </row>
    <row r="6905" spans="2:20" x14ac:dyDescent="0.2">
      <c r="B6905" s="245"/>
      <c r="C6905" s="248"/>
      <c r="D6905" s="249"/>
      <c r="E6905" s="249"/>
      <c r="T6905" s="261"/>
    </row>
    <row r="6906" spans="2:20" x14ac:dyDescent="0.2">
      <c r="B6906" s="245"/>
      <c r="C6906" s="248"/>
      <c r="D6906" s="249"/>
      <c r="E6906" s="249"/>
      <c r="T6906" s="261"/>
    </row>
    <row r="6907" spans="2:20" x14ac:dyDescent="0.2">
      <c r="B6907" s="245"/>
      <c r="C6907" s="248"/>
      <c r="D6907" s="249"/>
      <c r="E6907" s="249"/>
      <c r="T6907" s="261"/>
    </row>
    <row r="6908" spans="2:20" x14ac:dyDescent="0.2">
      <c r="B6908" s="245"/>
      <c r="C6908" s="248"/>
      <c r="D6908" s="249"/>
      <c r="E6908" s="249"/>
      <c r="T6908" s="261"/>
    </row>
    <row r="6909" spans="2:20" x14ac:dyDescent="0.2">
      <c r="B6909" s="245"/>
      <c r="C6909" s="248"/>
      <c r="D6909" s="249"/>
      <c r="E6909" s="249"/>
      <c r="T6909" s="261"/>
    </row>
    <row r="6910" spans="2:20" x14ac:dyDescent="0.2">
      <c r="B6910" s="245"/>
      <c r="C6910" s="248"/>
      <c r="D6910" s="249"/>
      <c r="E6910" s="249"/>
      <c r="T6910" s="261"/>
    </row>
    <row r="6911" spans="2:20" x14ac:dyDescent="0.2">
      <c r="B6911" s="245"/>
      <c r="C6911" s="248"/>
      <c r="D6911" s="249"/>
      <c r="E6911" s="249"/>
      <c r="T6911" s="261"/>
    </row>
    <row r="6912" spans="2:20" x14ac:dyDescent="0.2">
      <c r="B6912" s="245"/>
      <c r="C6912" s="248"/>
      <c r="D6912" s="249"/>
      <c r="E6912" s="249"/>
      <c r="T6912" s="261"/>
    </row>
    <row r="6913" spans="2:20" x14ac:dyDescent="0.2">
      <c r="B6913" s="245"/>
      <c r="C6913" s="248"/>
      <c r="D6913" s="249"/>
      <c r="E6913" s="249"/>
      <c r="T6913" s="261"/>
    </row>
    <row r="6914" spans="2:20" x14ac:dyDescent="0.2">
      <c r="B6914" s="245"/>
      <c r="C6914" s="248"/>
      <c r="D6914" s="249"/>
      <c r="E6914" s="249"/>
      <c r="T6914" s="261"/>
    </row>
    <row r="6915" spans="2:20" x14ac:dyDescent="0.2">
      <c r="B6915" s="245"/>
      <c r="C6915" s="248"/>
      <c r="D6915" s="249"/>
      <c r="E6915" s="249"/>
      <c r="T6915" s="261"/>
    </row>
    <row r="6916" spans="2:20" x14ac:dyDescent="0.2">
      <c r="B6916" s="245"/>
      <c r="C6916" s="248"/>
      <c r="D6916" s="249"/>
      <c r="E6916" s="249"/>
      <c r="T6916" s="261"/>
    </row>
    <row r="6917" spans="2:20" x14ac:dyDescent="0.2">
      <c r="B6917" s="245"/>
      <c r="C6917" s="248"/>
      <c r="D6917" s="249"/>
      <c r="E6917" s="249"/>
      <c r="T6917" s="261"/>
    </row>
    <row r="6918" spans="2:20" x14ac:dyDescent="0.2">
      <c r="B6918" s="245"/>
      <c r="C6918" s="248"/>
      <c r="D6918" s="249"/>
      <c r="E6918" s="249"/>
      <c r="T6918" s="261"/>
    </row>
    <row r="6919" spans="2:20" x14ac:dyDescent="0.2">
      <c r="B6919" s="245"/>
      <c r="C6919" s="248"/>
      <c r="D6919" s="249"/>
      <c r="E6919" s="249"/>
      <c r="T6919" s="261"/>
    </row>
    <row r="6920" spans="2:20" x14ac:dyDescent="0.2">
      <c r="B6920" s="245"/>
      <c r="C6920" s="248"/>
      <c r="D6920" s="249"/>
      <c r="E6920" s="249"/>
      <c r="T6920" s="261"/>
    </row>
    <row r="6921" spans="2:20" x14ac:dyDescent="0.2">
      <c r="B6921" s="245"/>
      <c r="C6921" s="248"/>
      <c r="D6921" s="249"/>
      <c r="E6921" s="249"/>
      <c r="T6921" s="261"/>
    </row>
    <row r="6922" spans="2:20" x14ac:dyDescent="0.2">
      <c r="B6922" s="245"/>
      <c r="C6922" s="248"/>
      <c r="D6922" s="249"/>
      <c r="E6922" s="249"/>
      <c r="T6922" s="261"/>
    </row>
    <row r="6923" spans="2:20" x14ac:dyDescent="0.2">
      <c r="B6923" s="245"/>
      <c r="C6923" s="248"/>
      <c r="D6923" s="249"/>
      <c r="E6923" s="249"/>
      <c r="T6923" s="261"/>
    </row>
    <row r="6924" spans="2:20" x14ac:dyDescent="0.2">
      <c r="B6924" s="245"/>
      <c r="C6924" s="248"/>
      <c r="D6924" s="249"/>
      <c r="E6924" s="249"/>
      <c r="T6924" s="261"/>
    </row>
    <row r="6925" spans="2:20" x14ac:dyDescent="0.2">
      <c r="B6925" s="245"/>
      <c r="C6925" s="248"/>
      <c r="D6925" s="249"/>
      <c r="E6925" s="249"/>
      <c r="T6925" s="261"/>
    </row>
    <row r="6926" spans="2:20" x14ac:dyDescent="0.2">
      <c r="B6926" s="245"/>
      <c r="C6926" s="248"/>
      <c r="D6926" s="249"/>
      <c r="E6926" s="249"/>
      <c r="T6926" s="261"/>
    </row>
    <row r="6927" spans="2:20" x14ac:dyDescent="0.2">
      <c r="B6927" s="245"/>
      <c r="C6927" s="248"/>
      <c r="D6927" s="249"/>
      <c r="E6927" s="249"/>
      <c r="T6927" s="261"/>
    </row>
    <row r="6928" spans="2:20" x14ac:dyDescent="0.2">
      <c r="B6928" s="245"/>
      <c r="C6928" s="248"/>
      <c r="D6928" s="249"/>
      <c r="E6928" s="249"/>
      <c r="T6928" s="261"/>
    </row>
    <row r="6929" spans="2:20" x14ac:dyDescent="0.2">
      <c r="B6929" s="245"/>
      <c r="C6929" s="248"/>
      <c r="D6929" s="249"/>
      <c r="E6929" s="249"/>
      <c r="T6929" s="261"/>
    </row>
    <row r="6930" spans="2:20" x14ac:dyDescent="0.2">
      <c r="B6930" s="245"/>
      <c r="C6930" s="248"/>
      <c r="D6930" s="249"/>
      <c r="E6930" s="249"/>
      <c r="T6930" s="261"/>
    </row>
    <row r="6931" spans="2:20" x14ac:dyDescent="0.2">
      <c r="B6931" s="245"/>
      <c r="C6931" s="248"/>
      <c r="D6931" s="249"/>
      <c r="E6931" s="249"/>
      <c r="T6931" s="261"/>
    </row>
    <row r="6932" spans="2:20" x14ac:dyDescent="0.2">
      <c r="B6932" s="245"/>
      <c r="C6932" s="248"/>
      <c r="D6932" s="249"/>
      <c r="E6932" s="249"/>
      <c r="T6932" s="261"/>
    </row>
    <row r="6933" spans="2:20" x14ac:dyDescent="0.2">
      <c r="B6933" s="245"/>
      <c r="C6933" s="248"/>
      <c r="D6933" s="249"/>
      <c r="E6933" s="249"/>
      <c r="T6933" s="261"/>
    </row>
    <row r="6934" spans="2:20" x14ac:dyDescent="0.2">
      <c r="B6934" s="245"/>
      <c r="C6934" s="248"/>
      <c r="D6934" s="249"/>
      <c r="E6934" s="249"/>
      <c r="T6934" s="261"/>
    </row>
    <row r="6935" spans="2:20" x14ac:dyDescent="0.2">
      <c r="B6935" s="245"/>
      <c r="C6935" s="248"/>
      <c r="D6935" s="249"/>
      <c r="E6935" s="249"/>
      <c r="T6935" s="261"/>
    </row>
    <row r="6936" spans="2:20" x14ac:dyDescent="0.2">
      <c r="B6936" s="245"/>
      <c r="C6936" s="248"/>
      <c r="D6936" s="249"/>
      <c r="E6936" s="249"/>
      <c r="T6936" s="261"/>
    </row>
    <row r="6937" spans="2:20" x14ac:dyDescent="0.2">
      <c r="B6937" s="245"/>
      <c r="C6937" s="248"/>
      <c r="D6937" s="249"/>
      <c r="E6937" s="249"/>
      <c r="T6937" s="261"/>
    </row>
    <row r="6938" spans="2:20" x14ac:dyDescent="0.2">
      <c r="B6938" s="245"/>
      <c r="C6938" s="248"/>
      <c r="D6938" s="249"/>
      <c r="E6938" s="249"/>
      <c r="T6938" s="261"/>
    </row>
    <row r="6939" spans="2:20" x14ac:dyDescent="0.2">
      <c r="B6939" s="245"/>
      <c r="C6939" s="248"/>
      <c r="D6939" s="249"/>
      <c r="E6939" s="249"/>
      <c r="T6939" s="261"/>
    </row>
    <row r="6940" spans="2:20" x14ac:dyDescent="0.2">
      <c r="B6940" s="245"/>
      <c r="C6940" s="248"/>
      <c r="D6940" s="249"/>
      <c r="E6940" s="249"/>
      <c r="T6940" s="261"/>
    </row>
    <row r="6941" spans="2:20" x14ac:dyDescent="0.2">
      <c r="B6941" s="245"/>
      <c r="C6941" s="248"/>
      <c r="D6941" s="249"/>
      <c r="E6941" s="249"/>
      <c r="T6941" s="261"/>
    </row>
    <row r="6942" spans="2:20" x14ac:dyDescent="0.2">
      <c r="B6942" s="245"/>
      <c r="C6942" s="248"/>
      <c r="D6942" s="249"/>
      <c r="E6942" s="249"/>
      <c r="T6942" s="261"/>
    </row>
    <row r="6943" spans="2:20" x14ac:dyDescent="0.2">
      <c r="B6943" s="245"/>
      <c r="C6943" s="248"/>
      <c r="D6943" s="249"/>
      <c r="E6943" s="249"/>
      <c r="T6943" s="261"/>
    </row>
    <row r="6944" spans="2:20" x14ac:dyDescent="0.2">
      <c r="B6944" s="245"/>
      <c r="C6944" s="248"/>
      <c r="D6944" s="249"/>
      <c r="E6944" s="249"/>
      <c r="T6944" s="261"/>
    </row>
    <row r="6945" spans="2:20" x14ac:dyDescent="0.2">
      <c r="B6945" s="245"/>
      <c r="C6945" s="248"/>
      <c r="D6945" s="249"/>
      <c r="E6945" s="249"/>
      <c r="T6945" s="261"/>
    </row>
    <row r="6946" spans="2:20" x14ac:dyDescent="0.2">
      <c r="B6946" s="245"/>
      <c r="C6946" s="248"/>
      <c r="D6946" s="249"/>
      <c r="E6946" s="249"/>
      <c r="T6946" s="261"/>
    </row>
    <row r="6947" spans="2:20" x14ac:dyDescent="0.2">
      <c r="B6947" s="245"/>
      <c r="C6947" s="248"/>
      <c r="D6947" s="249"/>
      <c r="E6947" s="249"/>
      <c r="T6947" s="261"/>
    </row>
    <row r="6948" spans="2:20" x14ac:dyDescent="0.2">
      <c r="B6948" s="245"/>
      <c r="C6948" s="248"/>
      <c r="D6948" s="249"/>
      <c r="E6948" s="249"/>
      <c r="T6948" s="261"/>
    </row>
    <row r="6949" spans="2:20" x14ac:dyDescent="0.2">
      <c r="B6949" s="245"/>
      <c r="C6949" s="248"/>
      <c r="D6949" s="249"/>
      <c r="E6949" s="249"/>
      <c r="T6949" s="261"/>
    </row>
    <row r="6950" spans="2:20" x14ac:dyDescent="0.2">
      <c r="B6950" s="245"/>
      <c r="C6950" s="248"/>
      <c r="D6950" s="249"/>
      <c r="E6950" s="249"/>
      <c r="T6950" s="261"/>
    </row>
    <row r="6951" spans="2:20" x14ac:dyDescent="0.2">
      <c r="B6951" s="245"/>
      <c r="C6951" s="248"/>
      <c r="D6951" s="249"/>
      <c r="E6951" s="249"/>
      <c r="T6951" s="261"/>
    </row>
    <row r="6952" spans="2:20" x14ac:dyDescent="0.2">
      <c r="B6952" s="245"/>
      <c r="C6952" s="248"/>
      <c r="D6952" s="249"/>
      <c r="E6952" s="249"/>
      <c r="T6952" s="261"/>
    </row>
    <row r="6953" spans="2:20" x14ac:dyDescent="0.2">
      <c r="B6953" s="245"/>
      <c r="C6953" s="248"/>
      <c r="D6953" s="249"/>
      <c r="E6953" s="249"/>
      <c r="T6953" s="261"/>
    </row>
    <row r="6954" spans="2:20" x14ac:dyDescent="0.2">
      <c r="B6954" s="245"/>
      <c r="C6954" s="248"/>
      <c r="D6954" s="249"/>
      <c r="E6954" s="249"/>
      <c r="T6954" s="261"/>
    </row>
    <row r="6955" spans="2:20" x14ac:dyDescent="0.2">
      <c r="B6955" s="245"/>
      <c r="C6955" s="248"/>
      <c r="D6955" s="249"/>
      <c r="E6955" s="249"/>
      <c r="T6955" s="261"/>
    </row>
    <row r="6956" spans="2:20" x14ac:dyDescent="0.2">
      <c r="B6956" s="245"/>
      <c r="C6956" s="248"/>
      <c r="D6956" s="249"/>
      <c r="E6956" s="249"/>
      <c r="T6956" s="261"/>
    </row>
    <row r="6957" spans="2:20" x14ac:dyDescent="0.2">
      <c r="B6957" s="245"/>
      <c r="C6957" s="248"/>
      <c r="D6957" s="249"/>
      <c r="E6957" s="249"/>
      <c r="T6957" s="261"/>
    </row>
    <row r="6958" spans="2:20" x14ac:dyDescent="0.2">
      <c r="B6958" s="245"/>
      <c r="C6958" s="248"/>
      <c r="D6958" s="249"/>
      <c r="E6958" s="249"/>
      <c r="T6958" s="261"/>
    </row>
    <row r="6959" spans="2:20" x14ac:dyDescent="0.2">
      <c r="B6959" s="245"/>
      <c r="C6959" s="248"/>
      <c r="D6959" s="249"/>
      <c r="E6959" s="249"/>
      <c r="T6959" s="261"/>
    </row>
    <row r="6960" spans="2:20" x14ac:dyDescent="0.2">
      <c r="B6960" s="245"/>
      <c r="C6960" s="248"/>
      <c r="D6960" s="249"/>
      <c r="E6960" s="249"/>
      <c r="T6960" s="261"/>
    </row>
    <row r="6961" spans="2:20" x14ac:dyDescent="0.2">
      <c r="B6961" s="245"/>
      <c r="C6961" s="248"/>
      <c r="D6961" s="249"/>
      <c r="E6961" s="249"/>
      <c r="T6961" s="261"/>
    </row>
    <row r="6962" spans="2:20" x14ac:dyDescent="0.2">
      <c r="B6962" s="245"/>
      <c r="C6962" s="248"/>
      <c r="D6962" s="249"/>
      <c r="E6962" s="249"/>
      <c r="T6962" s="261"/>
    </row>
    <row r="6963" spans="2:20" x14ac:dyDescent="0.2">
      <c r="B6963" s="245"/>
      <c r="C6963" s="248"/>
      <c r="D6963" s="249"/>
      <c r="E6963" s="249"/>
      <c r="T6963" s="261"/>
    </row>
    <row r="6964" spans="2:20" x14ac:dyDescent="0.2">
      <c r="B6964" s="245"/>
      <c r="C6964" s="248"/>
      <c r="D6964" s="249"/>
      <c r="E6964" s="249"/>
      <c r="T6964" s="261"/>
    </row>
    <row r="6965" spans="2:20" x14ac:dyDescent="0.2">
      <c r="B6965" s="245"/>
      <c r="C6965" s="248"/>
      <c r="D6965" s="249"/>
      <c r="E6965" s="249"/>
      <c r="T6965" s="261"/>
    </row>
    <row r="6966" spans="2:20" x14ac:dyDescent="0.2">
      <c r="B6966" s="245"/>
      <c r="C6966" s="248"/>
      <c r="D6966" s="249"/>
      <c r="E6966" s="249"/>
      <c r="T6966" s="261"/>
    </row>
    <row r="6967" spans="2:20" x14ac:dyDescent="0.2">
      <c r="B6967" s="245"/>
      <c r="C6967" s="248"/>
      <c r="D6967" s="249"/>
      <c r="E6967" s="249"/>
      <c r="T6967" s="261"/>
    </row>
    <row r="6968" spans="2:20" x14ac:dyDescent="0.2">
      <c r="B6968" s="245"/>
      <c r="C6968" s="248"/>
      <c r="D6968" s="249"/>
      <c r="E6968" s="249"/>
      <c r="T6968" s="261"/>
    </row>
    <row r="6969" spans="2:20" x14ac:dyDescent="0.2">
      <c r="B6969" s="245"/>
      <c r="C6969" s="248"/>
      <c r="D6969" s="249"/>
      <c r="E6969" s="249"/>
      <c r="T6969" s="261"/>
    </row>
    <row r="6970" spans="2:20" x14ac:dyDescent="0.2">
      <c r="B6970" s="245"/>
      <c r="C6970" s="248"/>
      <c r="D6970" s="249"/>
      <c r="E6970" s="249"/>
      <c r="T6970" s="261"/>
    </row>
    <row r="6971" spans="2:20" x14ac:dyDescent="0.2">
      <c r="B6971" s="245"/>
      <c r="C6971" s="248"/>
      <c r="D6971" s="249"/>
      <c r="E6971" s="249"/>
      <c r="T6971" s="261"/>
    </row>
    <row r="6972" spans="2:20" x14ac:dyDescent="0.2">
      <c r="B6972" s="245"/>
      <c r="C6972" s="248"/>
      <c r="D6972" s="249"/>
      <c r="E6972" s="249"/>
      <c r="T6972" s="261"/>
    </row>
    <row r="6973" spans="2:20" x14ac:dyDescent="0.2">
      <c r="B6973" s="245"/>
      <c r="C6973" s="248"/>
      <c r="D6973" s="249"/>
      <c r="E6973" s="249"/>
      <c r="T6973" s="261"/>
    </row>
    <row r="6974" spans="2:20" x14ac:dyDescent="0.2">
      <c r="B6974" s="245"/>
      <c r="C6974" s="248"/>
      <c r="D6974" s="249"/>
      <c r="E6974" s="249"/>
      <c r="T6974" s="261"/>
    </row>
    <row r="6975" spans="2:20" x14ac:dyDescent="0.2">
      <c r="B6975" s="245"/>
      <c r="C6975" s="248"/>
      <c r="D6975" s="249"/>
      <c r="E6975" s="249"/>
      <c r="T6975" s="261"/>
    </row>
    <row r="6976" spans="2:20" x14ac:dyDescent="0.2">
      <c r="B6976" s="245"/>
      <c r="C6976" s="248"/>
      <c r="D6976" s="249"/>
      <c r="E6976" s="249"/>
      <c r="T6976" s="261"/>
    </row>
    <row r="6977" spans="2:20" x14ac:dyDescent="0.2">
      <c r="B6977" s="245"/>
      <c r="C6977" s="248"/>
      <c r="D6977" s="249"/>
      <c r="E6977" s="249"/>
      <c r="T6977" s="261"/>
    </row>
    <row r="6978" spans="2:20" x14ac:dyDescent="0.2">
      <c r="B6978" s="245"/>
      <c r="C6978" s="248"/>
      <c r="D6978" s="249"/>
      <c r="E6978" s="249"/>
      <c r="T6978" s="261"/>
    </row>
    <row r="6979" spans="2:20" x14ac:dyDescent="0.2">
      <c r="B6979" s="245"/>
      <c r="C6979" s="248"/>
      <c r="D6979" s="249"/>
      <c r="E6979" s="249"/>
      <c r="T6979" s="261"/>
    </row>
    <row r="6980" spans="2:20" x14ac:dyDescent="0.2">
      <c r="B6980" s="245"/>
      <c r="C6980" s="248"/>
      <c r="D6980" s="249"/>
      <c r="E6980" s="249"/>
      <c r="T6980" s="261"/>
    </row>
    <row r="6981" spans="2:20" x14ac:dyDescent="0.2">
      <c r="B6981" s="245"/>
      <c r="C6981" s="248"/>
      <c r="D6981" s="249"/>
      <c r="E6981" s="249"/>
      <c r="T6981" s="261"/>
    </row>
    <row r="6982" spans="2:20" x14ac:dyDescent="0.2">
      <c r="B6982" s="245"/>
      <c r="C6982" s="248"/>
      <c r="D6982" s="249"/>
      <c r="E6982" s="249"/>
      <c r="T6982" s="261"/>
    </row>
    <row r="6983" spans="2:20" x14ac:dyDescent="0.2">
      <c r="B6983" s="245"/>
      <c r="C6983" s="248"/>
      <c r="D6983" s="249"/>
      <c r="E6983" s="249"/>
      <c r="T6983" s="261"/>
    </row>
    <row r="6984" spans="2:20" x14ac:dyDescent="0.2">
      <c r="B6984" s="245"/>
      <c r="C6984" s="248"/>
      <c r="D6984" s="249"/>
      <c r="E6984" s="249"/>
      <c r="T6984" s="261"/>
    </row>
    <row r="6985" spans="2:20" x14ac:dyDescent="0.2">
      <c r="B6985" s="245"/>
      <c r="C6985" s="248"/>
      <c r="D6985" s="249"/>
      <c r="E6985" s="249"/>
      <c r="T6985" s="261"/>
    </row>
    <row r="6986" spans="2:20" x14ac:dyDescent="0.2">
      <c r="B6986" s="245"/>
      <c r="C6986" s="248"/>
      <c r="D6986" s="249"/>
      <c r="E6986" s="249"/>
      <c r="T6986" s="261"/>
    </row>
    <row r="6987" spans="2:20" x14ac:dyDescent="0.2">
      <c r="B6987" s="245"/>
      <c r="C6987" s="248"/>
      <c r="D6987" s="249"/>
      <c r="E6987" s="249"/>
      <c r="T6987" s="261"/>
    </row>
    <row r="6988" spans="2:20" x14ac:dyDescent="0.2">
      <c r="B6988" s="245"/>
      <c r="C6988" s="248"/>
      <c r="D6988" s="249"/>
      <c r="E6988" s="249"/>
      <c r="T6988" s="261"/>
    </row>
    <row r="6989" spans="2:20" x14ac:dyDescent="0.2">
      <c r="B6989" s="245"/>
      <c r="C6989" s="248"/>
      <c r="D6989" s="249"/>
      <c r="E6989" s="249"/>
      <c r="T6989" s="261"/>
    </row>
    <row r="6990" spans="2:20" x14ac:dyDescent="0.2">
      <c r="B6990" s="245"/>
      <c r="C6990" s="248"/>
      <c r="D6990" s="249"/>
      <c r="E6990" s="249"/>
      <c r="T6990" s="261"/>
    </row>
    <row r="6991" spans="2:20" x14ac:dyDescent="0.2">
      <c r="B6991" s="245"/>
      <c r="C6991" s="248"/>
      <c r="D6991" s="249"/>
      <c r="E6991" s="249"/>
      <c r="T6991" s="261"/>
    </row>
    <row r="6992" spans="2:20" x14ac:dyDescent="0.2">
      <c r="B6992" s="245"/>
      <c r="C6992" s="248"/>
      <c r="D6992" s="249"/>
      <c r="E6992" s="249"/>
      <c r="T6992" s="261"/>
    </row>
    <row r="6993" spans="2:20" x14ac:dyDescent="0.2">
      <c r="B6993" s="245"/>
      <c r="C6993" s="248"/>
      <c r="D6993" s="249"/>
      <c r="E6993" s="249"/>
      <c r="T6993" s="261"/>
    </row>
    <row r="6994" spans="2:20" x14ac:dyDescent="0.2">
      <c r="B6994" s="245"/>
      <c r="C6994" s="248"/>
      <c r="D6994" s="249"/>
      <c r="E6994" s="249"/>
      <c r="T6994" s="261"/>
    </row>
    <row r="6995" spans="2:20" x14ac:dyDescent="0.2">
      <c r="B6995" s="245"/>
      <c r="C6995" s="248"/>
      <c r="D6995" s="249"/>
      <c r="E6995" s="249"/>
      <c r="T6995" s="261"/>
    </row>
    <row r="6996" spans="2:20" x14ac:dyDescent="0.2">
      <c r="B6996" s="245"/>
      <c r="C6996" s="248"/>
      <c r="D6996" s="249"/>
      <c r="E6996" s="249"/>
      <c r="T6996" s="261"/>
    </row>
    <row r="6997" spans="2:20" x14ac:dyDescent="0.2">
      <c r="B6997" s="245"/>
      <c r="C6997" s="248"/>
      <c r="D6997" s="249"/>
      <c r="E6997" s="249"/>
      <c r="T6997" s="261"/>
    </row>
    <row r="6998" spans="2:20" x14ac:dyDescent="0.2">
      <c r="B6998" s="245"/>
      <c r="C6998" s="248"/>
      <c r="D6998" s="249"/>
      <c r="E6998" s="249"/>
      <c r="T6998" s="261"/>
    </row>
    <row r="6999" spans="2:20" x14ac:dyDescent="0.2">
      <c r="B6999" s="245"/>
      <c r="C6999" s="248"/>
      <c r="D6999" s="249"/>
      <c r="E6999" s="249"/>
      <c r="T6999" s="261"/>
    </row>
    <row r="7000" spans="2:20" x14ac:dyDescent="0.2">
      <c r="B7000" s="245"/>
      <c r="C7000" s="248"/>
      <c r="D7000" s="249"/>
      <c r="E7000" s="249"/>
      <c r="T7000" s="261"/>
    </row>
    <row r="7001" spans="2:20" x14ac:dyDescent="0.2">
      <c r="B7001" s="245"/>
      <c r="C7001" s="248"/>
      <c r="D7001" s="249"/>
      <c r="E7001" s="249"/>
      <c r="T7001" s="261"/>
    </row>
    <row r="7002" spans="2:20" x14ac:dyDescent="0.2">
      <c r="B7002" s="245"/>
      <c r="C7002" s="248"/>
      <c r="D7002" s="249"/>
      <c r="E7002" s="249"/>
      <c r="T7002" s="261"/>
    </row>
    <row r="7003" spans="2:20" x14ac:dyDescent="0.2">
      <c r="B7003" s="245"/>
      <c r="C7003" s="248"/>
      <c r="D7003" s="249"/>
      <c r="E7003" s="249"/>
      <c r="T7003" s="261"/>
    </row>
    <row r="7004" spans="2:20" x14ac:dyDescent="0.2">
      <c r="B7004" s="245"/>
      <c r="C7004" s="248"/>
      <c r="D7004" s="249"/>
      <c r="E7004" s="249"/>
      <c r="T7004" s="261"/>
    </row>
    <row r="7005" spans="2:20" x14ac:dyDescent="0.2">
      <c r="B7005" s="245"/>
      <c r="C7005" s="248"/>
      <c r="D7005" s="249"/>
      <c r="E7005" s="249"/>
      <c r="T7005" s="261"/>
    </row>
    <row r="7006" spans="2:20" x14ac:dyDescent="0.2">
      <c r="B7006" s="245"/>
      <c r="C7006" s="248"/>
      <c r="D7006" s="249"/>
      <c r="E7006" s="249"/>
      <c r="T7006" s="261"/>
    </row>
    <row r="7007" spans="2:20" x14ac:dyDescent="0.2">
      <c r="B7007" s="245"/>
      <c r="C7007" s="248"/>
      <c r="D7007" s="249"/>
      <c r="E7007" s="249"/>
      <c r="T7007" s="261"/>
    </row>
    <row r="7008" spans="2:20" x14ac:dyDescent="0.2">
      <c r="B7008" s="245"/>
      <c r="C7008" s="248"/>
      <c r="D7008" s="249"/>
      <c r="E7008" s="249"/>
      <c r="T7008" s="261"/>
    </row>
    <row r="7009" spans="2:20" x14ac:dyDescent="0.2">
      <c r="B7009" s="245"/>
      <c r="C7009" s="248"/>
      <c r="D7009" s="249"/>
      <c r="E7009" s="249"/>
      <c r="T7009" s="261"/>
    </row>
    <row r="7010" spans="2:20" x14ac:dyDescent="0.2">
      <c r="B7010" s="245"/>
      <c r="C7010" s="248"/>
      <c r="D7010" s="249"/>
      <c r="E7010" s="249"/>
      <c r="T7010" s="261"/>
    </row>
    <row r="7011" spans="2:20" x14ac:dyDescent="0.2">
      <c r="B7011" s="245"/>
      <c r="C7011" s="248"/>
      <c r="D7011" s="249"/>
      <c r="E7011" s="249"/>
      <c r="T7011" s="261"/>
    </row>
    <row r="7012" spans="2:20" x14ac:dyDescent="0.2">
      <c r="B7012" s="245"/>
      <c r="C7012" s="248"/>
      <c r="D7012" s="249"/>
      <c r="E7012" s="249"/>
      <c r="T7012" s="261"/>
    </row>
    <row r="7013" spans="2:20" x14ac:dyDescent="0.2">
      <c r="B7013" s="245"/>
      <c r="C7013" s="248"/>
      <c r="D7013" s="249"/>
      <c r="E7013" s="249"/>
      <c r="T7013" s="261"/>
    </row>
    <row r="7014" spans="2:20" x14ac:dyDescent="0.2">
      <c r="B7014" s="245"/>
      <c r="C7014" s="248"/>
      <c r="D7014" s="249"/>
      <c r="E7014" s="249"/>
      <c r="T7014" s="261"/>
    </row>
    <row r="7015" spans="2:20" x14ac:dyDescent="0.2">
      <c r="B7015" s="245"/>
      <c r="C7015" s="248"/>
      <c r="D7015" s="249"/>
      <c r="E7015" s="249"/>
      <c r="T7015" s="261"/>
    </row>
    <row r="7016" spans="2:20" x14ac:dyDescent="0.2">
      <c r="B7016" s="245"/>
      <c r="C7016" s="248"/>
      <c r="D7016" s="249"/>
      <c r="E7016" s="249"/>
      <c r="T7016" s="261"/>
    </row>
    <row r="7017" spans="2:20" x14ac:dyDescent="0.2">
      <c r="B7017" s="245"/>
      <c r="C7017" s="248"/>
      <c r="D7017" s="249"/>
      <c r="E7017" s="249"/>
      <c r="T7017" s="261"/>
    </row>
    <row r="7018" spans="2:20" x14ac:dyDescent="0.2">
      <c r="B7018" s="245"/>
      <c r="C7018" s="248"/>
      <c r="D7018" s="249"/>
      <c r="E7018" s="249"/>
      <c r="T7018" s="261"/>
    </row>
    <row r="7019" spans="2:20" x14ac:dyDescent="0.2">
      <c r="B7019" s="245"/>
      <c r="C7019" s="248"/>
      <c r="D7019" s="249"/>
      <c r="E7019" s="249"/>
      <c r="T7019" s="261"/>
    </row>
    <row r="7020" spans="2:20" x14ac:dyDescent="0.2">
      <c r="B7020" s="245"/>
      <c r="C7020" s="248"/>
      <c r="D7020" s="249"/>
      <c r="E7020" s="249"/>
      <c r="T7020" s="261"/>
    </row>
    <row r="7021" spans="2:20" x14ac:dyDescent="0.2">
      <c r="B7021" s="245"/>
      <c r="C7021" s="248"/>
      <c r="D7021" s="249"/>
      <c r="E7021" s="249"/>
      <c r="T7021" s="261"/>
    </row>
    <row r="7022" spans="2:20" x14ac:dyDescent="0.2">
      <c r="B7022" s="245"/>
      <c r="C7022" s="248"/>
      <c r="D7022" s="249"/>
      <c r="E7022" s="249"/>
      <c r="T7022" s="261"/>
    </row>
    <row r="7023" spans="2:20" x14ac:dyDescent="0.2">
      <c r="B7023" s="245"/>
      <c r="C7023" s="248"/>
      <c r="D7023" s="249"/>
      <c r="E7023" s="249"/>
      <c r="T7023" s="261"/>
    </row>
    <row r="7024" spans="2:20" x14ac:dyDescent="0.2">
      <c r="B7024" s="245"/>
      <c r="C7024" s="248"/>
      <c r="D7024" s="249"/>
      <c r="E7024" s="249"/>
      <c r="T7024" s="261"/>
    </row>
    <row r="7025" spans="2:20" x14ac:dyDescent="0.2">
      <c r="B7025" s="245"/>
      <c r="C7025" s="248"/>
      <c r="D7025" s="249"/>
      <c r="E7025" s="249"/>
      <c r="T7025" s="261"/>
    </row>
    <row r="7026" spans="2:20" x14ac:dyDescent="0.2">
      <c r="B7026" s="245"/>
      <c r="C7026" s="248"/>
      <c r="D7026" s="249"/>
      <c r="E7026" s="249"/>
      <c r="T7026" s="261"/>
    </row>
    <row r="7027" spans="2:20" x14ac:dyDescent="0.2">
      <c r="B7027" s="245"/>
      <c r="C7027" s="248"/>
      <c r="D7027" s="249"/>
      <c r="E7027" s="249"/>
      <c r="T7027" s="261"/>
    </row>
    <row r="7028" spans="2:20" x14ac:dyDescent="0.2">
      <c r="B7028" s="245"/>
      <c r="C7028" s="248"/>
      <c r="D7028" s="249"/>
      <c r="E7028" s="249"/>
      <c r="T7028" s="261"/>
    </row>
    <row r="7029" spans="2:20" x14ac:dyDescent="0.2">
      <c r="B7029" s="245"/>
      <c r="C7029" s="248"/>
      <c r="D7029" s="249"/>
      <c r="E7029" s="249"/>
      <c r="T7029" s="261"/>
    </row>
    <row r="7030" spans="2:20" x14ac:dyDescent="0.2">
      <c r="B7030" s="245"/>
      <c r="C7030" s="248"/>
      <c r="D7030" s="249"/>
      <c r="E7030" s="249"/>
      <c r="T7030" s="261"/>
    </row>
    <row r="7031" spans="2:20" x14ac:dyDescent="0.2">
      <c r="B7031" s="245"/>
      <c r="C7031" s="248"/>
      <c r="D7031" s="249"/>
      <c r="E7031" s="249"/>
      <c r="T7031" s="261"/>
    </row>
    <row r="7032" spans="2:20" x14ac:dyDescent="0.2">
      <c r="B7032" s="245"/>
      <c r="C7032" s="248"/>
      <c r="D7032" s="249"/>
      <c r="E7032" s="249"/>
      <c r="T7032" s="261"/>
    </row>
    <row r="7033" spans="2:20" x14ac:dyDescent="0.2">
      <c r="B7033" s="245"/>
      <c r="C7033" s="248"/>
      <c r="D7033" s="249"/>
      <c r="E7033" s="249"/>
      <c r="T7033" s="261"/>
    </row>
    <row r="7034" spans="2:20" x14ac:dyDescent="0.2">
      <c r="B7034" s="245"/>
      <c r="C7034" s="248"/>
      <c r="D7034" s="249"/>
      <c r="E7034" s="249"/>
      <c r="T7034" s="261"/>
    </row>
    <row r="7035" spans="2:20" x14ac:dyDescent="0.2">
      <c r="B7035" s="245"/>
      <c r="C7035" s="248"/>
      <c r="D7035" s="249"/>
      <c r="E7035" s="249"/>
      <c r="T7035" s="261"/>
    </row>
    <row r="7036" spans="2:20" x14ac:dyDescent="0.2">
      <c r="B7036" s="245"/>
      <c r="C7036" s="248"/>
      <c r="D7036" s="249"/>
      <c r="E7036" s="249"/>
      <c r="T7036" s="261"/>
    </row>
    <row r="7037" spans="2:20" x14ac:dyDescent="0.2">
      <c r="B7037" s="245"/>
      <c r="C7037" s="248"/>
      <c r="D7037" s="249"/>
      <c r="E7037" s="249"/>
      <c r="T7037" s="261"/>
    </row>
    <row r="7038" spans="2:20" x14ac:dyDescent="0.2">
      <c r="B7038" s="245"/>
      <c r="C7038" s="248"/>
      <c r="D7038" s="249"/>
      <c r="E7038" s="249"/>
      <c r="T7038" s="261"/>
    </row>
    <row r="7039" spans="2:20" x14ac:dyDescent="0.2">
      <c r="B7039" s="245"/>
      <c r="C7039" s="248"/>
      <c r="D7039" s="249"/>
      <c r="E7039" s="249"/>
      <c r="T7039" s="261"/>
    </row>
    <row r="7040" spans="2:20" x14ac:dyDescent="0.2">
      <c r="B7040" s="245"/>
      <c r="C7040" s="248"/>
      <c r="D7040" s="249"/>
      <c r="E7040" s="249"/>
      <c r="T7040" s="261"/>
    </row>
    <row r="7041" spans="2:20" x14ac:dyDescent="0.2">
      <c r="B7041" s="245"/>
      <c r="C7041" s="248"/>
      <c r="D7041" s="249"/>
      <c r="E7041" s="249"/>
      <c r="T7041" s="261"/>
    </row>
    <row r="7042" spans="2:20" x14ac:dyDescent="0.2">
      <c r="B7042" s="245"/>
      <c r="C7042" s="248"/>
      <c r="D7042" s="249"/>
      <c r="E7042" s="249"/>
      <c r="T7042" s="261"/>
    </row>
    <row r="7043" spans="2:20" x14ac:dyDescent="0.2">
      <c r="B7043" s="245"/>
      <c r="C7043" s="248"/>
      <c r="D7043" s="249"/>
      <c r="E7043" s="249"/>
      <c r="T7043" s="261"/>
    </row>
    <row r="7044" spans="2:20" x14ac:dyDescent="0.2">
      <c r="B7044" s="245"/>
      <c r="C7044" s="248"/>
      <c r="D7044" s="249"/>
      <c r="E7044" s="249"/>
      <c r="T7044" s="261"/>
    </row>
    <row r="7045" spans="2:20" x14ac:dyDescent="0.2">
      <c r="B7045" s="245"/>
      <c r="C7045" s="248"/>
      <c r="D7045" s="249"/>
      <c r="E7045" s="249"/>
      <c r="T7045" s="261"/>
    </row>
    <row r="7046" spans="2:20" x14ac:dyDescent="0.2">
      <c r="B7046" s="245"/>
      <c r="C7046" s="248"/>
      <c r="D7046" s="249"/>
      <c r="E7046" s="249"/>
      <c r="T7046" s="261"/>
    </row>
    <row r="7047" spans="2:20" x14ac:dyDescent="0.2">
      <c r="B7047" s="245"/>
      <c r="C7047" s="248"/>
      <c r="D7047" s="249"/>
      <c r="E7047" s="249"/>
      <c r="T7047" s="261"/>
    </row>
    <row r="7048" spans="2:20" x14ac:dyDescent="0.2">
      <c r="B7048" s="245"/>
      <c r="C7048" s="248"/>
      <c r="D7048" s="249"/>
      <c r="E7048" s="249"/>
      <c r="T7048" s="261"/>
    </row>
    <row r="7049" spans="2:20" x14ac:dyDescent="0.2">
      <c r="B7049" s="245"/>
      <c r="C7049" s="248"/>
      <c r="D7049" s="249"/>
      <c r="E7049" s="249"/>
      <c r="T7049" s="261"/>
    </row>
    <row r="7050" spans="2:20" x14ac:dyDescent="0.2">
      <c r="B7050" s="245"/>
      <c r="C7050" s="248"/>
      <c r="D7050" s="249"/>
      <c r="E7050" s="249"/>
      <c r="T7050" s="261"/>
    </row>
    <row r="7051" spans="2:20" x14ac:dyDescent="0.2">
      <c r="B7051" s="245"/>
      <c r="C7051" s="248"/>
      <c r="D7051" s="249"/>
      <c r="E7051" s="249"/>
      <c r="T7051" s="261"/>
    </row>
    <row r="7052" spans="2:20" x14ac:dyDescent="0.2">
      <c r="B7052" s="245"/>
      <c r="C7052" s="248"/>
      <c r="D7052" s="249"/>
      <c r="E7052" s="249"/>
      <c r="T7052" s="261"/>
    </row>
    <row r="7053" spans="2:20" x14ac:dyDescent="0.2">
      <c r="B7053" s="245"/>
      <c r="C7053" s="248"/>
      <c r="D7053" s="249"/>
      <c r="E7053" s="249"/>
      <c r="T7053" s="261"/>
    </row>
    <row r="7054" spans="2:20" x14ac:dyDescent="0.2">
      <c r="B7054" s="245"/>
      <c r="C7054" s="248"/>
      <c r="D7054" s="249"/>
      <c r="E7054" s="249"/>
      <c r="T7054" s="261"/>
    </row>
    <row r="7055" spans="2:20" x14ac:dyDescent="0.2">
      <c r="B7055" s="245"/>
      <c r="C7055" s="248"/>
      <c r="D7055" s="249"/>
      <c r="E7055" s="249"/>
      <c r="T7055" s="261"/>
    </row>
    <row r="7056" spans="2:20" x14ac:dyDescent="0.2">
      <c r="B7056" s="245"/>
      <c r="C7056" s="248"/>
      <c r="D7056" s="249"/>
      <c r="E7056" s="249"/>
      <c r="T7056" s="261"/>
    </row>
    <row r="7057" spans="2:20" x14ac:dyDescent="0.2">
      <c r="B7057" s="245"/>
      <c r="C7057" s="248"/>
      <c r="D7057" s="249"/>
      <c r="E7057" s="249"/>
      <c r="T7057" s="261"/>
    </row>
    <row r="7058" spans="2:20" x14ac:dyDescent="0.2">
      <c r="B7058" s="245"/>
      <c r="C7058" s="248"/>
      <c r="D7058" s="249"/>
      <c r="E7058" s="249"/>
      <c r="T7058" s="261"/>
    </row>
    <row r="7059" spans="2:20" x14ac:dyDescent="0.2">
      <c r="B7059" s="245"/>
      <c r="C7059" s="248"/>
      <c r="D7059" s="249"/>
      <c r="E7059" s="249"/>
      <c r="T7059" s="261"/>
    </row>
    <row r="7060" spans="2:20" x14ac:dyDescent="0.2">
      <c r="B7060" s="245"/>
      <c r="C7060" s="248"/>
      <c r="D7060" s="249"/>
      <c r="E7060" s="249"/>
      <c r="T7060" s="261"/>
    </row>
    <row r="7061" spans="2:20" x14ac:dyDescent="0.2">
      <c r="B7061" s="245"/>
      <c r="C7061" s="248"/>
      <c r="D7061" s="249"/>
      <c r="E7061" s="249"/>
      <c r="T7061" s="261"/>
    </row>
    <row r="7062" spans="2:20" x14ac:dyDescent="0.2">
      <c r="B7062" s="245"/>
      <c r="C7062" s="248"/>
      <c r="D7062" s="249"/>
      <c r="E7062" s="249"/>
      <c r="T7062" s="261"/>
    </row>
    <row r="7063" spans="2:20" x14ac:dyDescent="0.2">
      <c r="B7063" s="245"/>
      <c r="C7063" s="248"/>
      <c r="D7063" s="249"/>
      <c r="E7063" s="249"/>
      <c r="T7063" s="261"/>
    </row>
    <row r="7064" spans="2:20" x14ac:dyDescent="0.2">
      <c r="B7064" s="245"/>
      <c r="C7064" s="248"/>
      <c r="D7064" s="249"/>
      <c r="E7064" s="249"/>
      <c r="T7064" s="261"/>
    </row>
    <row r="7065" spans="2:20" x14ac:dyDescent="0.2">
      <c r="B7065" s="245"/>
      <c r="C7065" s="248"/>
      <c r="D7065" s="249"/>
      <c r="E7065" s="249"/>
      <c r="T7065" s="261"/>
    </row>
    <row r="7066" spans="2:20" x14ac:dyDescent="0.2">
      <c r="B7066" s="245"/>
      <c r="C7066" s="248"/>
      <c r="D7066" s="249"/>
      <c r="E7066" s="249"/>
      <c r="T7066" s="261"/>
    </row>
    <row r="7067" spans="2:20" x14ac:dyDescent="0.2">
      <c r="B7067" s="245"/>
      <c r="C7067" s="248"/>
      <c r="D7067" s="249"/>
      <c r="E7067" s="249"/>
      <c r="T7067" s="261"/>
    </row>
    <row r="7068" spans="2:20" x14ac:dyDescent="0.2">
      <c r="B7068" s="245"/>
      <c r="C7068" s="248"/>
      <c r="D7068" s="249"/>
      <c r="E7068" s="249"/>
      <c r="T7068" s="261"/>
    </row>
    <row r="7069" spans="2:20" x14ac:dyDescent="0.2">
      <c r="B7069" s="245"/>
      <c r="C7069" s="248"/>
      <c r="D7069" s="249"/>
      <c r="E7069" s="249"/>
      <c r="T7069" s="261"/>
    </row>
    <row r="7070" spans="2:20" x14ac:dyDescent="0.2">
      <c r="B7070" s="245"/>
      <c r="C7070" s="248"/>
      <c r="D7070" s="249"/>
      <c r="E7070" s="249"/>
      <c r="T7070" s="261"/>
    </row>
    <row r="7071" spans="2:20" x14ac:dyDescent="0.2">
      <c r="B7071" s="245"/>
      <c r="C7071" s="248"/>
      <c r="D7071" s="249"/>
      <c r="E7071" s="249"/>
      <c r="T7071" s="261"/>
    </row>
    <row r="7072" spans="2:20" x14ac:dyDescent="0.2">
      <c r="B7072" s="245"/>
      <c r="C7072" s="248"/>
      <c r="D7072" s="249"/>
      <c r="E7072" s="249"/>
      <c r="T7072" s="261"/>
    </row>
    <row r="7073" spans="2:20" x14ac:dyDescent="0.2">
      <c r="B7073" s="245"/>
      <c r="C7073" s="248"/>
      <c r="D7073" s="249"/>
      <c r="E7073" s="249"/>
      <c r="T7073" s="261"/>
    </row>
    <row r="7074" spans="2:20" x14ac:dyDescent="0.2">
      <c r="B7074" s="245"/>
      <c r="C7074" s="248"/>
      <c r="D7074" s="249"/>
      <c r="E7074" s="249"/>
      <c r="T7074" s="261"/>
    </row>
    <row r="7075" spans="2:20" x14ac:dyDescent="0.2">
      <c r="B7075" s="245"/>
      <c r="C7075" s="248"/>
      <c r="D7075" s="249"/>
      <c r="E7075" s="249"/>
      <c r="T7075" s="261"/>
    </row>
    <row r="7076" spans="2:20" x14ac:dyDescent="0.2">
      <c r="B7076" s="245"/>
      <c r="C7076" s="248"/>
      <c r="D7076" s="249"/>
      <c r="E7076" s="249"/>
      <c r="T7076" s="261"/>
    </row>
    <row r="7077" spans="2:20" x14ac:dyDescent="0.2">
      <c r="B7077" s="245"/>
      <c r="C7077" s="248"/>
      <c r="D7077" s="249"/>
      <c r="E7077" s="249"/>
      <c r="T7077" s="261"/>
    </row>
    <row r="7078" spans="2:20" x14ac:dyDescent="0.2">
      <c r="B7078" s="245"/>
      <c r="C7078" s="248"/>
      <c r="D7078" s="249"/>
      <c r="E7078" s="249"/>
      <c r="T7078" s="261"/>
    </row>
    <row r="7079" spans="2:20" x14ac:dyDescent="0.2">
      <c r="B7079" s="245"/>
      <c r="C7079" s="248"/>
      <c r="D7079" s="249"/>
      <c r="E7079" s="249"/>
      <c r="T7079" s="261"/>
    </row>
    <row r="7080" spans="2:20" x14ac:dyDescent="0.2">
      <c r="B7080" s="245"/>
      <c r="C7080" s="248"/>
      <c r="D7080" s="249"/>
      <c r="E7080" s="249"/>
      <c r="T7080" s="261"/>
    </row>
    <row r="7081" spans="2:20" x14ac:dyDescent="0.2">
      <c r="B7081" s="245"/>
      <c r="C7081" s="248"/>
      <c r="D7081" s="249"/>
      <c r="E7081" s="249"/>
      <c r="T7081" s="261"/>
    </row>
    <row r="7082" spans="2:20" x14ac:dyDescent="0.2">
      <c r="B7082" s="245"/>
      <c r="C7082" s="248"/>
      <c r="D7082" s="249"/>
      <c r="E7082" s="249"/>
      <c r="T7082" s="261"/>
    </row>
    <row r="7083" spans="2:20" x14ac:dyDescent="0.2">
      <c r="B7083" s="245"/>
      <c r="C7083" s="248"/>
      <c r="D7083" s="249"/>
      <c r="E7083" s="249"/>
      <c r="T7083" s="261"/>
    </row>
    <row r="7084" spans="2:20" x14ac:dyDescent="0.2">
      <c r="B7084" s="245"/>
      <c r="C7084" s="248"/>
      <c r="D7084" s="249"/>
      <c r="E7084" s="249"/>
      <c r="T7084" s="261"/>
    </row>
    <row r="7085" spans="2:20" x14ac:dyDescent="0.2">
      <c r="B7085" s="245"/>
      <c r="C7085" s="248"/>
      <c r="D7085" s="249"/>
      <c r="E7085" s="249"/>
      <c r="T7085" s="261"/>
    </row>
    <row r="7086" spans="2:20" x14ac:dyDescent="0.2">
      <c r="B7086" s="245"/>
      <c r="C7086" s="248"/>
      <c r="D7086" s="249"/>
      <c r="E7086" s="249"/>
      <c r="T7086" s="261"/>
    </row>
    <row r="7087" spans="2:20" x14ac:dyDescent="0.2">
      <c r="B7087" s="245"/>
      <c r="C7087" s="248"/>
      <c r="D7087" s="249"/>
      <c r="E7087" s="249"/>
      <c r="T7087" s="261"/>
    </row>
    <row r="7088" spans="2:20" x14ac:dyDescent="0.2">
      <c r="B7088" s="245"/>
      <c r="C7088" s="248"/>
      <c r="D7088" s="249"/>
      <c r="E7088" s="249"/>
      <c r="T7088" s="261"/>
    </row>
    <row r="7089" spans="2:20" x14ac:dyDescent="0.2">
      <c r="B7089" s="245"/>
      <c r="C7089" s="248"/>
      <c r="D7089" s="249"/>
      <c r="E7089" s="249"/>
      <c r="T7089" s="261"/>
    </row>
    <row r="7090" spans="2:20" x14ac:dyDescent="0.2">
      <c r="B7090" s="245"/>
      <c r="C7090" s="248"/>
      <c r="D7090" s="249"/>
      <c r="E7090" s="249"/>
      <c r="T7090" s="261"/>
    </row>
    <row r="7091" spans="2:20" x14ac:dyDescent="0.2">
      <c r="B7091" s="245"/>
      <c r="C7091" s="248"/>
      <c r="D7091" s="249"/>
      <c r="E7091" s="249"/>
      <c r="T7091" s="261"/>
    </row>
    <row r="7092" spans="2:20" x14ac:dyDescent="0.2">
      <c r="B7092" s="245"/>
      <c r="C7092" s="248"/>
      <c r="D7092" s="249"/>
      <c r="E7092" s="249"/>
      <c r="T7092" s="261"/>
    </row>
    <row r="7093" spans="2:20" x14ac:dyDescent="0.2">
      <c r="B7093" s="245"/>
      <c r="C7093" s="248"/>
      <c r="D7093" s="249"/>
      <c r="E7093" s="249"/>
      <c r="T7093" s="261"/>
    </row>
    <row r="7094" spans="2:20" x14ac:dyDescent="0.2">
      <c r="B7094" s="245"/>
      <c r="C7094" s="248"/>
      <c r="D7094" s="249"/>
      <c r="E7094" s="249"/>
      <c r="T7094" s="261"/>
    </row>
    <row r="7095" spans="2:20" x14ac:dyDescent="0.2">
      <c r="B7095" s="245"/>
      <c r="C7095" s="248"/>
      <c r="D7095" s="249"/>
      <c r="E7095" s="249"/>
      <c r="T7095" s="261"/>
    </row>
    <row r="7096" spans="2:20" x14ac:dyDescent="0.2">
      <c r="B7096" s="245"/>
      <c r="C7096" s="248"/>
      <c r="D7096" s="249"/>
      <c r="E7096" s="249"/>
      <c r="T7096" s="261"/>
    </row>
    <row r="7097" spans="2:20" x14ac:dyDescent="0.2">
      <c r="B7097" s="245"/>
      <c r="C7097" s="248"/>
      <c r="D7097" s="249"/>
      <c r="E7097" s="249"/>
      <c r="T7097" s="261"/>
    </row>
    <row r="7098" spans="2:20" x14ac:dyDescent="0.2">
      <c r="B7098" s="245"/>
      <c r="C7098" s="248"/>
      <c r="D7098" s="249"/>
      <c r="E7098" s="249"/>
      <c r="T7098" s="261"/>
    </row>
    <row r="7099" spans="2:20" x14ac:dyDescent="0.2">
      <c r="B7099" s="245"/>
      <c r="C7099" s="248"/>
      <c r="D7099" s="249"/>
      <c r="E7099" s="249"/>
      <c r="T7099" s="261"/>
    </row>
    <row r="7100" spans="2:20" x14ac:dyDescent="0.2">
      <c r="B7100" s="245"/>
      <c r="C7100" s="248"/>
      <c r="D7100" s="249"/>
      <c r="E7100" s="249"/>
      <c r="T7100" s="261"/>
    </row>
    <row r="7101" spans="2:20" x14ac:dyDescent="0.2">
      <c r="B7101" s="245"/>
      <c r="C7101" s="248"/>
      <c r="D7101" s="249"/>
      <c r="E7101" s="249"/>
      <c r="T7101" s="261"/>
    </row>
    <row r="7102" spans="2:20" x14ac:dyDescent="0.2">
      <c r="B7102" s="245"/>
      <c r="C7102" s="248"/>
      <c r="D7102" s="249"/>
      <c r="E7102" s="249"/>
      <c r="T7102" s="261"/>
    </row>
    <row r="7103" spans="2:20" x14ac:dyDescent="0.2">
      <c r="B7103" s="245"/>
      <c r="C7103" s="248"/>
      <c r="D7103" s="249"/>
      <c r="E7103" s="249"/>
      <c r="T7103" s="261"/>
    </row>
    <row r="7104" spans="2:20" x14ac:dyDescent="0.2">
      <c r="B7104" s="245"/>
      <c r="C7104" s="248"/>
      <c r="D7104" s="249"/>
      <c r="E7104" s="249"/>
      <c r="T7104" s="261"/>
    </row>
    <row r="7105" spans="2:20" x14ac:dyDescent="0.2">
      <c r="B7105" s="245"/>
      <c r="C7105" s="248"/>
      <c r="D7105" s="249"/>
      <c r="E7105" s="249"/>
      <c r="T7105" s="261"/>
    </row>
    <row r="7106" spans="2:20" x14ac:dyDescent="0.2">
      <c r="B7106" s="245"/>
      <c r="C7106" s="248"/>
      <c r="D7106" s="249"/>
      <c r="E7106" s="249"/>
      <c r="T7106" s="261"/>
    </row>
    <row r="7107" spans="2:20" x14ac:dyDescent="0.2">
      <c r="B7107" s="245"/>
      <c r="C7107" s="248"/>
      <c r="D7107" s="249"/>
      <c r="E7107" s="249"/>
      <c r="T7107" s="261"/>
    </row>
    <row r="7108" spans="2:20" x14ac:dyDescent="0.2">
      <c r="B7108" s="245"/>
      <c r="C7108" s="248"/>
      <c r="D7108" s="249"/>
      <c r="E7108" s="249"/>
      <c r="T7108" s="261"/>
    </row>
    <row r="7109" spans="2:20" x14ac:dyDescent="0.2">
      <c r="B7109" s="245"/>
      <c r="C7109" s="248"/>
      <c r="D7109" s="249"/>
      <c r="E7109" s="249"/>
      <c r="T7109" s="261"/>
    </row>
    <row r="7110" spans="2:20" x14ac:dyDescent="0.2">
      <c r="B7110" s="245"/>
      <c r="C7110" s="248"/>
      <c r="D7110" s="249"/>
      <c r="E7110" s="249"/>
      <c r="T7110" s="261"/>
    </row>
    <row r="7111" spans="2:20" x14ac:dyDescent="0.2">
      <c r="B7111" s="245"/>
      <c r="C7111" s="248"/>
      <c r="D7111" s="249"/>
      <c r="E7111" s="249"/>
      <c r="T7111" s="261"/>
    </row>
    <row r="7112" spans="2:20" x14ac:dyDescent="0.2">
      <c r="B7112" s="245"/>
      <c r="C7112" s="248"/>
      <c r="D7112" s="249"/>
      <c r="E7112" s="249"/>
      <c r="T7112" s="261"/>
    </row>
    <row r="7113" spans="2:20" x14ac:dyDescent="0.2">
      <c r="B7113" s="245"/>
      <c r="C7113" s="248"/>
      <c r="D7113" s="249"/>
      <c r="E7113" s="249"/>
      <c r="T7113" s="261"/>
    </row>
    <row r="7114" spans="2:20" x14ac:dyDescent="0.2">
      <c r="B7114" s="245"/>
      <c r="C7114" s="248"/>
      <c r="D7114" s="249"/>
      <c r="E7114" s="249"/>
      <c r="T7114" s="261"/>
    </row>
    <row r="7115" spans="2:20" x14ac:dyDescent="0.2">
      <c r="B7115" s="245"/>
      <c r="C7115" s="248"/>
      <c r="D7115" s="249"/>
      <c r="E7115" s="249"/>
      <c r="T7115" s="261"/>
    </row>
    <row r="7116" spans="2:20" x14ac:dyDescent="0.2">
      <c r="B7116" s="245"/>
      <c r="C7116" s="248"/>
      <c r="D7116" s="249"/>
      <c r="E7116" s="249"/>
      <c r="T7116" s="261"/>
    </row>
    <row r="7117" spans="2:20" x14ac:dyDescent="0.2">
      <c r="B7117" s="245"/>
      <c r="C7117" s="248"/>
      <c r="D7117" s="249"/>
      <c r="E7117" s="249"/>
      <c r="T7117" s="261"/>
    </row>
    <row r="7118" spans="2:20" x14ac:dyDescent="0.2">
      <c r="B7118" s="245"/>
      <c r="C7118" s="248"/>
      <c r="D7118" s="249"/>
      <c r="E7118" s="249"/>
      <c r="T7118" s="261"/>
    </row>
    <row r="7119" spans="2:20" x14ac:dyDescent="0.2">
      <c r="B7119" s="245"/>
      <c r="C7119" s="248"/>
      <c r="D7119" s="249"/>
      <c r="E7119" s="249"/>
      <c r="T7119" s="261"/>
    </row>
    <row r="7120" spans="2:20" x14ac:dyDescent="0.2">
      <c r="B7120" s="245"/>
      <c r="C7120" s="248"/>
      <c r="D7120" s="249"/>
      <c r="E7120" s="249"/>
      <c r="T7120" s="261"/>
    </row>
    <row r="7121" spans="2:20" x14ac:dyDescent="0.2">
      <c r="B7121" s="245"/>
      <c r="C7121" s="248"/>
      <c r="D7121" s="249"/>
      <c r="E7121" s="249"/>
      <c r="T7121" s="261"/>
    </row>
    <row r="7122" spans="2:20" x14ac:dyDescent="0.2">
      <c r="B7122" s="245"/>
      <c r="C7122" s="248"/>
      <c r="D7122" s="249"/>
      <c r="E7122" s="249"/>
      <c r="T7122" s="261"/>
    </row>
    <row r="7123" spans="2:20" x14ac:dyDescent="0.2">
      <c r="B7123" s="245"/>
      <c r="C7123" s="248"/>
      <c r="D7123" s="249"/>
      <c r="E7123" s="249"/>
      <c r="T7123" s="261"/>
    </row>
    <row r="7124" spans="2:20" x14ac:dyDescent="0.2">
      <c r="B7124" s="245"/>
      <c r="C7124" s="248"/>
      <c r="D7124" s="249"/>
      <c r="E7124" s="249"/>
      <c r="T7124" s="261"/>
    </row>
    <row r="7125" spans="2:20" x14ac:dyDescent="0.2">
      <c r="B7125" s="245"/>
      <c r="C7125" s="248"/>
      <c r="D7125" s="249"/>
      <c r="E7125" s="249"/>
      <c r="T7125" s="261"/>
    </row>
    <row r="7126" spans="2:20" x14ac:dyDescent="0.2">
      <c r="B7126" s="245"/>
      <c r="C7126" s="248"/>
      <c r="D7126" s="249"/>
      <c r="E7126" s="249"/>
      <c r="T7126" s="261"/>
    </row>
    <row r="7127" spans="2:20" x14ac:dyDescent="0.2">
      <c r="B7127" s="245"/>
      <c r="C7127" s="248"/>
      <c r="D7127" s="249"/>
      <c r="E7127" s="249"/>
      <c r="T7127" s="261"/>
    </row>
    <row r="7128" spans="2:20" x14ac:dyDescent="0.2">
      <c r="B7128" s="245"/>
      <c r="C7128" s="248"/>
      <c r="D7128" s="249"/>
      <c r="E7128" s="249"/>
      <c r="T7128" s="261"/>
    </row>
    <row r="7129" spans="2:20" x14ac:dyDescent="0.2">
      <c r="B7129" s="245"/>
      <c r="C7129" s="248"/>
      <c r="D7129" s="249"/>
      <c r="E7129" s="249"/>
      <c r="T7129" s="261"/>
    </row>
    <row r="7130" spans="2:20" x14ac:dyDescent="0.2">
      <c r="B7130" s="245"/>
      <c r="C7130" s="248"/>
      <c r="D7130" s="249"/>
      <c r="E7130" s="249"/>
      <c r="T7130" s="261"/>
    </row>
    <row r="7131" spans="2:20" x14ac:dyDescent="0.2">
      <c r="B7131" s="245"/>
      <c r="C7131" s="248"/>
      <c r="D7131" s="249"/>
      <c r="E7131" s="249"/>
      <c r="T7131" s="261"/>
    </row>
    <row r="7132" spans="2:20" x14ac:dyDescent="0.2">
      <c r="B7132" s="245"/>
      <c r="C7132" s="248"/>
      <c r="D7132" s="249"/>
      <c r="E7132" s="249"/>
      <c r="T7132" s="261"/>
    </row>
    <row r="7133" spans="2:20" x14ac:dyDescent="0.2">
      <c r="B7133" s="245"/>
      <c r="C7133" s="248"/>
      <c r="D7133" s="249"/>
      <c r="E7133" s="249"/>
      <c r="T7133" s="261"/>
    </row>
    <row r="7134" spans="2:20" x14ac:dyDescent="0.2">
      <c r="B7134" s="245"/>
      <c r="C7134" s="248"/>
      <c r="D7134" s="249"/>
      <c r="E7134" s="249"/>
      <c r="T7134" s="261"/>
    </row>
    <row r="7135" spans="2:20" x14ac:dyDescent="0.2">
      <c r="B7135" s="245"/>
      <c r="C7135" s="248"/>
      <c r="D7135" s="249"/>
      <c r="E7135" s="249"/>
      <c r="T7135" s="261"/>
    </row>
    <row r="7136" spans="2:20" x14ac:dyDescent="0.2">
      <c r="B7136" s="245"/>
      <c r="C7136" s="248"/>
      <c r="D7136" s="249"/>
      <c r="E7136" s="249"/>
      <c r="T7136" s="261"/>
    </row>
    <row r="7137" spans="2:20" x14ac:dyDescent="0.2">
      <c r="B7137" s="245"/>
      <c r="C7137" s="248"/>
      <c r="D7137" s="249"/>
      <c r="E7137" s="249"/>
      <c r="T7137" s="261"/>
    </row>
    <row r="7138" spans="2:20" x14ac:dyDescent="0.2">
      <c r="B7138" s="245"/>
      <c r="C7138" s="248"/>
      <c r="D7138" s="249"/>
      <c r="E7138" s="249"/>
      <c r="T7138" s="261"/>
    </row>
    <row r="7139" spans="2:20" x14ac:dyDescent="0.2">
      <c r="B7139" s="245"/>
      <c r="C7139" s="248"/>
      <c r="D7139" s="249"/>
      <c r="E7139" s="249"/>
      <c r="T7139" s="261"/>
    </row>
    <row r="7140" spans="2:20" x14ac:dyDescent="0.2">
      <c r="B7140" s="245"/>
      <c r="C7140" s="248"/>
      <c r="D7140" s="249"/>
      <c r="E7140" s="249"/>
      <c r="T7140" s="261"/>
    </row>
    <row r="7141" spans="2:20" x14ac:dyDescent="0.2">
      <c r="B7141" s="245"/>
      <c r="C7141" s="248"/>
      <c r="D7141" s="249"/>
      <c r="E7141" s="249"/>
      <c r="T7141" s="261"/>
    </row>
    <row r="7142" spans="2:20" x14ac:dyDescent="0.2">
      <c r="B7142" s="245"/>
      <c r="C7142" s="248"/>
      <c r="D7142" s="249"/>
      <c r="E7142" s="249"/>
      <c r="T7142" s="261"/>
    </row>
    <row r="7143" spans="2:20" x14ac:dyDescent="0.2">
      <c r="B7143" s="245"/>
      <c r="C7143" s="248"/>
      <c r="D7143" s="249"/>
      <c r="E7143" s="249"/>
      <c r="T7143" s="261"/>
    </row>
    <row r="7144" spans="2:20" x14ac:dyDescent="0.2">
      <c r="B7144" s="245"/>
      <c r="C7144" s="248"/>
      <c r="D7144" s="249"/>
      <c r="E7144" s="249"/>
      <c r="T7144" s="261"/>
    </row>
    <row r="7145" spans="2:20" x14ac:dyDescent="0.2">
      <c r="B7145" s="245"/>
      <c r="C7145" s="248"/>
      <c r="D7145" s="249"/>
      <c r="E7145" s="249"/>
      <c r="T7145" s="261"/>
    </row>
    <row r="7146" spans="2:20" x14ac:dyDescent="0.2">
      <c r="B7146" s="245"/>
      <c r="C7146" s="248"/>
      <c r="D7146" s="249"/>
      <c r="E7146" s="249"/>
      <c r="T7146" s="261"/>
    </row>
    <row r="7147" spans="2:20" x14ac:dyDescent="0.2">
      <c r="B7147" s="245"/>
      <c r="C7147" s="248"/>
      <c r="D7147" s="249"/>
      <c r="E7147" s="249"/>
      <c r="T7147" s="261"/>
    </row>
    <row r="7148" spans="2:20" x14ac:dyDescent="0.2">
      <c r="B7148" s="245"/>
      <c r="C7148" s="248"/>
      <c r="D7148" s="249"/>
      <c r="E7148" s="249"/>
      <c r="T7148" s="261"/>
    </row>
    <row r="7149" spans="2:20" x14ac:dyDescent="0.2">
      <c r="B7149" s="245"/>
      <c r="C7149" s="248"/>
      <c r="D7149" s="249"/>
      <c r="E7149" s="249"/>
      <c r="T7149" s="261"/>
    </row>
    <row r="7150" spans="2:20" x14ac:dyDescent="0.2">
      <c r="B7150" s="245"/>
      <c r="C7150" s="248"/>
      <c r="D7150" s="249"/>
      <c r="E7150" s="249"/>
      <c r="T7150" s="261"/>
    </row>
    <row r="7151" spans="2:20" x14ac:dyDescent="0.2">
      <c r="B7151" s="245"/>
      <c r="C7151" s="248"/>
      <c r="D7151" s="249"/>
      <c r="E7151" s="249"/>
      <c r="T7151" s="261"/>
    </row>
    <row r="7152" spans="2:20" x14ac:dyDescent="0.2">
      <c r="B7152" s="245"/>
      <c r="C7152" s="248"/>
      <c r="D7152" s="249"/>
      <c r="E7152" s="249"/>
      <c r="T7152" s="261"/>
    </row>
    <row r="7153" spans="2:20" x14ac:dyDescent="0.2">
      <c r="B7153" s="245"/>
      <c r="C7153" s="248"/>
      <c r="D7153" s="249"/>
      <c r="E7153" s="249"/>
      <c r="T7153" s="261"/>
    </row>
    <row r="7154" spans="2:20" x14ac:dyDescent="0.2">
      <c r="B7154" s="245"/>
      <c r="C7154" s="248"/>
      <c r="D7154" s="249"/>
      <c r="E7154" s="249"/>
      <c r="T7154" s="261"/>
    </row>
    <row r="7155" spans="2:20" x14ac:dyDescent="0.2">
      <c r="B7155" s="245"/>
      <c r="C7155" s="248"/>
      <c r="D7155" s="249"/>
      <c r="E7155" s="249"/>
      <c r="T7155" s="261"/>
    </row>
    <row r="7156" spans="2:20" x14ac:dyDescent="0.2">
      <c r="B7156" s="245"/>
      <c r="C7156" s="248"/>
      <c r="D7156" s="249"/>
      <c r="E7156" s="249"/>
      <c r="T7156" s="261"/>
    </row>
    <row r="7157" spans="2:20" x14ac:dyDescent="0.2">
      <c r="B7157" s="245"/>
      <c r="C7157" s="248"/>
      <c r="D7157" s="249"/>
      <c r="E7157" s="249"/>
      <c r="T7157" s="261"/>
    </row>
    <row r="7158" spans="2:20" x14ac:dyDescent="0.2">
      <c r="B7158" s="245"/>
      <c r="C7158" s="248"/>
      <c r="D7158" s="249"/>
      <c r="E7158" s="249"/>
      <c r="T7158" s="261"/>
    </row>
    <row r="7159" spans="2:20" x14ac:dyDescent="0.2">
      <c r="B7159" s="245"/>
      <c r="C7159" s="248"/>
      <c r="D7159" s="249"/>
      <c r="E7159" s="249"/>
      <c r="T7159" s="261"/>
    </row>
    <row r="7160" spans="2:20" x14ac:dyDescent="0.2">
      <c r="B7160" s="245"/>
      <c r="C7160" s="248"/>
      <c r="D7160" s="249"/>
      <c r="E7160" s="249"/>
      <c r="T7160" s="261"/>
    </row>
    <row r="7161" spans="2:20" x14ac:dyDescent="0.2">
      <c r="B7161" s="245"/>
      <c r="C7161" s="248"/>
      <c r="D7161" s="249"/>
      <c r="E7161" s="249"/>
      <c r="T7161" s="261"/>
    </row>
    <row r="7162" spans="2:20" x14ac:dyDescent="0.2">
      <c r="B7162" s="245"/>
      <c r="C7162" s="248"/>
      <c r="D7162" s="249"/>
      <c r="E7162" s="249"/>
      <c r="T7162" s="261"/>
    </row>
    <row r="7163" spans="2:20" x14ac:dyDescent="0.2">
      <c r="B7163" s="245"/>
      <c r="C7163" s="248"/>
      <c r="D7163" s="249"/>
      <c r="E7163" s="249"/>
      <c r="T7163" s="261"/>
    </row>
    <row r="7164" spans="2:20" x14ac:dyDescent="0.2">
      <c r="B7164" s="245"/>
      <c r="C7164" s="248"/>
      <c r="D7164" s="249"/>
      <c r="E7164" s="249"/>
      <c r="T7164" s="261"/>
    </row>
    <row r="7165" spans="2:20" x14ac:dyDescent="0.2">
      <c r="B7165" s="245"/>
      <c r="C7165" s="248"/>
      <c r="D7165" s="249"/>
      <c r="E7165" s="249"/>
      <c r="T7165" s="261"/>
    </row>
    <row r="7166" spans="2:20" x14ac:dyDescent="0.2">
      <c r="B7166" s="245"/>
      <c r="C7166" s="248"/>
      <c r="D7166" s="249"/>
      <c r="E7166" s="249"/>
      <c r="T7166" s="261"/>
    </row>
    <row r="7167" spans="2:20" x14ac:dyDescent="0.2">
      <c r="B7167" s="245"/>
      <c r="C7167" s="248"/>
      <c r="D7167" s="249"/>
      <c r="E7167" s="249"/>
      <c r="T7167" s="261"/>
    </row>
    <row r="7168" spans="2:20" x14ac:dyDescent="0.2">
      <c r="B7168" s="245"/>
      <c r="C7168" s="248"/>
      <c r="D7168" s="249"/>
      <c r="E7168" s="249"/>
      <c r="T7168" s="261"/>
    </row>
    <row r="7169" spans="2:20" x14ac:dyDescent="0.2">
      <c r="B7169" s="245"/>
      <c r="C7169" s="248"/>
      <c r="D7169" s="249"/>
      <c r="E7169" s="249"/>
      <c r="T7169" s="261"/>
    </row>
    <row r="7170" spans="2:20" x14ac:dyDescent="0.2">
      <c r="B7170" s="245"/>
      <c r="C7170" s="248"/>
      <c r="D7170" s="249"/>
      <c r="E7170" s="249"/>
      <c r="T7170" s="261"/>
    </row>
    <row r="7171" spans="2:20" x14ac:dyDescent="0.2">
      <c r="B7171" s="245"/>
      <c r="C7171" s="248"/>
      <c r="D7171" s="249"/>
      <c r="E7171" s="249"/>
      <c r="T7171" s="261"/>
    </row>
    <row r="7172" spans="2:20" x14ac:dyDescent="0.2">
      <c r="B7172" s="245"/>
      <c r="C7172" s="248"/>
      <c r="D7172" s="249"/>
      <c r="E7172" s="249"/>
      <c r="T7172" s="261"/>
    </row>
    <row r="7173" spans="2:20" x14ac:dyDescent="0.2">
      <c r="B7173" s="245"/>
      <c r="C7173" s="248"/>
      <c r="D7173" s="249"/>
      <c r="E7173" s="249"/>
      <c r="T7173" s="261"/>
    </row>
    <row r="7174" spans="2:20" x14ac:dyDescent="0.2">
      <c r="B7174" s="245"/>
      <c r="C7174" s="248"/>
      <c r="D7174" s="249"/>
      <c r="E7174" s="249"/>
      <c r="T7174" s="261"/>
    </row>
    <row r="7175" spans="2:20" x14ac:dyDescent="0.2">
      <c r="B7175" s="245"/>
      <c r="C7175" s="248"/>
      <c r="D7175" s="249"/>
      <c r="E7175" s="249"/>
      <c r="T7175" s="261"/>
    </row>
    <row r="7176" spans="2:20" x14ac:dyDescent="0.2">
      <c r="B7176" s="245"/>
      <c r="C7176" s="248"/>
      <c r="D7176" s="249"/>
      <c r="E7176" s="249"/>
      <c r="T7176" s="261"/>
    </row>
    <row r="7177" spans="2:20" x14ac:dyDescent="0.2">
      <c r="B7177" s="245"/>
      <c r="C7177" s="248"/>
      <c r="D7177" s="249"/>
      <c r="E7177" s="249"/>
      <c r="T7177" s="261"/>
    </row>
    <row r="7178" spans="2:20" x14ac:dyDescent="0.2">
      <c r="B7178" s="245"/>
      <c r="C7178" s="248"/>
      <c r="D7178" s="249"/>
      <c r="E7178" s="249"/>
      <c r="T7178" s="261"/>
    </row>
    <row r="7179" spans="2:20" x14ac:dyDescent="0.2">
      <c r="B7179" s="245"/>
      <c r="C7179" s="248"/>
      <c r="D7179" s="249"/>
      <c r="E7179" s="249"/>
      <c r="T7179" s="261"/>
    </row>
    <row r="7180" spans="2:20" x14ac:dyDescent="0.2">
      <c r="B7180" s="245"/>
      <c r="C7180" s="248"/>
      <c r="D7180" s="249"/>
      <c r="E7180" s="249"/>
      <c r="T7180" s="261"/>
    </row>
    <row r="7181" spans="2:20" x14ac:dyDescent="0.2">
      <c r="B7181" s="245"/>
      <c r="C7181" s="248"/>
      <c r="D7181" s="249"/>
      <c r="E7181" s="249"/>
      <c r="T7181" s="261"/>
    </row>
    <row r="7182" spans="2:20" x14ac:dyDescent="0.2">
      <c r="B7182" s="245"/>
      <c r="C7182" s="248"/>
      <c r="D7182" s="249"/>
      <c r="E7182" s="249"/>
      <c r="T7182" s="261"/>
    </row>
    <row r="7183" spans="2:20" x14ac:dyDescent="0.2">
      <c r="B7183" s="245"/>
      <c r="C7183" s="248"/>
      <c r="D7183" s="249"/>
      <c r="E7183" s="249"/>
      <c r="T7183" s="261"/>
    </row>
    <row r="7184" spans="2:20" x14ac:dyDescent="0.2">
      <c r="B7184" s="245"/>
      <c r="C7184" s="248"/>
      <c r="D7184" s="249"/>
      <c r="E7184" s="249"/>
      <c r="T7184" s="261"/>
    </row>
    <row r="7185" spans="2:20" x14ac:dyDescent="0.2">
      <c r="B7185" s="245"/>
      <c r="C7185" s="248"/>
      <c r="D7185" s="249"/>
      <c r="E7185" s="249"/>
      <c r="T7185" s="261"/>
    </row>
    <row r="7186" spans="2:20" x14ac:dyDescent="0.2">
      <c r="B7186" s="245"/>
      <c r="C7186" s="248"/>
      <c r="D7186" s="249"/>
      <c r="E7186" s="249"/>
      <c r="T7186" s="261"/>
    </row>
    <row r="7187" spans="2:20" x14ac:dyDescent="0.2">
      <c r="B7187" s="245"/>
      <c r="C7187" s="248"/>
      <c r="D7187" s="249"/>
      <c r="E7187" s="249"/>
      <c r="T7187" s="261"/>
    </row>
    <row r="7188" spans="2:20" x14ac:dyDescent="0.2">
      <c r="B7188" s="245"/>
      <c r="C7188" s="248"/>
      <c r="D7188" s="249"/>
      <c r="E7188" s="249"/>
      <c r="T7188" s="261"/>
    </row>
    <row r="7189" spans="2:20" x14ac:dyDescent="0.2">
      <c r="B7189" s="245"/>
      <c r="C7189" s="248"/>
      <c r="D7189" s="249"/>
      <c r="E7189" s="249"/>
      <c r="T7189" s="261"/>
    </row>
    <row r="7190" spans="2:20" x14ac:dyDescent="0.2">
      <c r="B7190" s="245"/>
      <c r="C7190" s="248"/>
      <c r="D7190" s="249"/>
      <c r="E7190" s="249"/>
      <c r="T7190" s="261"/>
    </row>
    <row r="7191" spans="2:20" x14ac:dyDescent="0.2">
      <c r="B7191" s="245"/>
      <c r="C7191" s="248"/>
      <c r="D7191" s="249"/>
      <c r="E7191" s="249"/>
      <c r="T7191" s="261"/>
    </row>
    <row r="7192" spans="2:20" x14ac:dyDescent="0.2">
      <c r="B7192" s="245"/>
      <c r="C7192" s="248"/>
      <c r="D7192" s="249"/>
      <c r="E7192" s="249"/>
      <c r="T7192" s="261"/>
    </row>
    <row r="7193" spans="2:20" x14ac:dyDescent="0.2">
      <c r="B7193" s="245"/>
      <c r="C7193" s="248"/>
      <c r="D7193" s="249"/>
      <c r="E7193" s="249"/>
      <c r="T7193" s="261"/>
    </row>
    <row r="7194" spans="2:20" x14ac:dyDescent="0.2">
      <c r="B7194" s="245"/>
      <c r="C7194" s="248"/>
      <c r="D7194" s="249"/>
      <c r="E7194" s="249"/>
      <c r="T7194" s="261"/>
    </row>
    <row r="7195" spans="2:20" x14ac:dyDescent="0.2">
      <c r="B7195" s="245"/>
      <c r="C7195" s="248"/>
      <c r="D7195" s="249"/>
      <c r="E7195" s="249"/>
      <c r="T7195" s="261"/>
    </row>
    <row r="7196" spans="2:20" x14ac:dyDescent="0.2">
      <c r="B7196" s="245"/>
      <c r="C7196" s="248"/>
      <c r="D7196" s="249"/>
      <c r="E7196" s="249"/>
      <c r="T7196" s="261"/>
    </row>
    <row r="7197" spans="2:20" x14ac:dyDescent="0.2">
      <c r="B7197" s="245"/>
      <c r="C7197" s="248"/>
      <c r="D7197" s="249"/>
      <c r="E7197" s="249"/>
      <c r="T7197" s="261"/>
    </row>
    <row r="7198" spans="2:20" x14ac:dyDescent="0.2">
      <c r="B7198" s="245"/>
      <c r="C7198" s="248"/>
      <c r="D7198" s="249"/>
      <c r="E7198" s="249"/>
      <c r="T7198" s="261"/>
    </row>
    <row r="7199" spans="2:20" x14ac:dyDescent="0.2">
      <c r="B7199" s="245"/>
      <c r="C7199" s="248"/>
      <c r="D7199" s="249"/>
      <c r="E7199" s="249"/>
      <c r="T7199" s="261"/>
    </row>
    <row r="7200" spans="2:20" x14ac:dyDescent="0.2">
      <c r="B7200" s="245"/>
      <c r="C7200" s="248"/>
      <c r="D7200" s="249"/>
      <c r="E7200" s="249"/>
      <c r="T7200" s="261"/>
    </row>
    <row r="7201" spans="2:20" x14ac:dyDescent="0.2">
      <c r="B7201" s="245"/>
      <c r="C7201" s="248"/>
      <c r="D7201" s="249"/>
      <c r="E7201" s="249"/>
      <c r="T7201" s="261"/>
    </row>
    <row r="7202" spans="2:20" x14ac:dyDescent="0.2">
      <c r="B7202" s="245"/>
      <c r="C7202" s="248"/>
      <c r="D7202" s="249"/>
      <c r="E7202" s="249"/>
      <c r="T7202" s="261"/>
    </row>
    <row r="7203" spans="2:20" x14ac:dyDescent="0.2">
      <c r="B7203" s="245"/>
      <c r="C7203" s="248"/>
      <c r="D7203" s="249"/>
      <c r="E7203" s="249"/>
      <c r="T7203" s="261"/>
    </row>
    <row r="7204" spans="2:20" x14ac:dyDescent="0.2">
      <c r="B7204" s="245"/>
      <c r="C7204" s="248"/>
      <c r="D7204" s="249"/>
      <c r="E7204" s="249"/>
      <c r="T7204" s="261"/>
    </row>
    <row r="7205" spans="2:20" x14ac:dyDescent="0.2">
      <c r="B7205" s="245"/>
      <c r="C7205" s="248"/>
      <c r="D7205" s="249"/>
      <c r="E7205" s="249"/>
      <c r="T7205" s="261"/>
    </row>
    <row r="7206" spans="2:20" x14ac:dyDescent="0.2">
      <c r="B7206" s="245"/>
      <c r="C7206" s="248"/>
      <c r="D7206" s="249"/>
      <c r="E7206" s="249"/>
      <c r="T7206" s="261"/>
    </row>
    <row r="7207" spans="2:20" x14ac:dyDescent="0.2">
      <c r="B7207" s="245"/>
      <c r="C7207" s="248"/>
      <c r="D7207" s="249"/>
      <c r="E7207" s="249"/>
      <c r="T7207" s="261"/>
    </row>
    <row r="7208" spans="2:20" x14ac:dyDescent="0.2">
      <c r="B7208" s="245"/>
      <c r="C7208" s="248"/>
      <c r="D7208" s="249"/>
      <c r="E7208" s="249"/>
      <c r="T7208" s="261"/>
    </row>
    <row r="7209" spans="2:20" x14ac:dyDescent="0.2">
      <c r="B7209" s="245"/>
      <c r="C7209" s="248"/>
      <c r="D7209" s="249"/>
      <c r="E7209" s="249"/>
      <c r="T7209" s="261"/>
    </row>
    <row r="7210" spans="2:20" x14ac:dyDescent="0.2">
      <c r="B7210" s="245"/>
      <c r="C7210" s="248"/>
      <c r="D7210" s="249"/>
      <c r="E7210" s="249"/>
      <c r="T7210" s="261"/>
    </row>
    <row r="7211" spans="2:20" x14ac:dyDescent="0.2">
      <c r="B7211" s="245"/>
      <c r="C7211" s="248"/>
      <c r="D7211" s="249"/>
      <c r="E7211" s="249"/>
      <c r="T7211" s="261"/>
    </row>
    <row r="7212" spans="2:20" x14ac:dyDescent="0.2">
      <c r="B7212" s="245"/>
      <c r="C7212" s="248"/>
      <c r="D7212" s="249"/>
      <c r="E7212" s="249"/>
      <c r="T7212" s="261"/>
    </row>
    <row r="7213" spans="2:20" x14ac:dyDescent="0.2">
      <c r="B7213" s="245"/>
      <c r="C7213" s="248"/>
      <c r="D7213" s="249"/>
      <c r="E7213" s="249"/>
      <c r="T7213" s="261"/>
    </row>
    <row r="7214" spans="2:20" x14ac:dyDescent="0.2">
      <c r="B7214" s="245"/>
      <c r="C7214" s="248"/>
      <c r="D7214" s="249"/>
      <c r="E7214" s="249"/>
      <c r="T7214" s="261"/>
    </row>
    <row r="7215" spans="2:20" x14ac:dyDescent="0.2">
      <c r="B7215" s="245"/>
      <c r="C7215" s="248"/>
      <c r="D7215" s="249"/>
      <c r="E7215" s="249"/>
      <c r="T7215" s="261"/>
    </row>
    <row r="7216" spans="2:20" x14ac:dyDescent="0.2">
      <c r="B7216" s="245"/>
      <c r="C7216" s="248"/>
      <c r="D7216" s="249"/>
      <c r="E7216" s="249"/>
      <c r="T7216" s="261"/>
    </row>
    <row r="7217" spans="2:20" x14ac:dyDescent="0.2">
      <c r="B7217" s="245"/>
      <c r="C7217" s="248"/>
      <c r="D7217" s="249"/>
      <c r="E7217" s="249"/>
      <c r="T7217" s="261"/>
    </row>
    <row r="7218" spans="2:20" x14ac:dyDescent="0.2">
      <c r="B7218" s="245"/>
      <c r="C7218" s="248"/>
      <c r="D7218" s="249"/>
      <c r="E7218" s="249"/>
      <c r="T7218" s="261"/>
    </row>
    <row r="7219" spans="2:20" x14ac:dyDescent="0.2">
      <c r="B7219" s="245"/>
      <c r="C7219" s="248"/>
      <c r="D7219" s="249"/>
      <c r="E7219" s="249"/>
      <c r="T7219" s="261"/>
    </row>
    <row r="7220" spans="2:20" x14ac:dyDescent="0.2">
      <c r="B7220" s="245"/>
      <c r="C7220" s="248"/>
      <c r="D7220" s="249"/>
      <c r="E7220" s="249"/>
      <c r="T7220" s="261"/>
    </row>
    <row r="7221" spans="2:20" x14ac:dyDescent="0.2">
      <c r="B7221" s="245"/>
      <c r="C7221" s="248"/>
      <c r="D7221" s="249"/>
      <c r="E7221" s="249"/>
      <c r="T7221" s="261"/>
    </row>
    <row r="7222" spans="2:20" x14ac:dyDescent="0.2">
      <c r="B7222" s="245"/>
      <c r="C7222" s="248"/>
      <c r="D7222" s="249"/>
      <c r="E7222" s="249"/>
      <c r="T7222" s="261"/>
    </row>
    <row r="7223" spans="2:20" x14ac:dyDescent="0.2">
      <c r="B7223" s="245"/>
      <c r="C7223" s="248"/>
      <c r="D7223" s="249"/>
      <c r="E7223" s="249"/>
      <c r="T7223" s="261"/>
    </row>
    <row r="7224" spans="2:20" x14ac:dyDescent="0.2">
      <c r="B7224" s="245"/>
      <c r="C7224" s="248"/>
      <c r="D7224" s="249"/>
      <c r="E7224" s="249"/>
      <c r="T7224" s="261"/>
    </row>
    <row r="7225" spans="2:20" x14ac:dyDescent="0.2">
      <c r="B7225" s="245"/>
      <c r="C7225" s="248"/>
      <c r="D7225" s="249"/>
      <c r="E7225" s="249"/>
      <c r="T7225" s="261"/>
    </row>
    <row r="7226" spans="2:20" x14ac:dyDescent="0.2">
      <c r="B7226" s="245"/>
      <c r="C7226" s="248"/>
      <c r="D7226" s="249"/>
      <c r="E7226" s="249"/>
      <c r="T7226" s="261"/>
    </row>
    <row r="7227" spans="2:20" x14ac:dyDescent="0.2">
      <c r="B7227" s="245"/>
      <c r="C7227" s="248"/>
      <c r="D7227" s="249"/>
      <c r="E7227" s="249"/>
      <c r="T7227" s="261"/>
    </row>
    <row r="7228" spans="2:20" x14ac:dyDescent="0.2">
      <c r="B7228" s="245"/>
      <c r="C7228" s="248"/>
      <c r="D7228" s="249"/>
      <c r="E7228" s="249"/>
      <c r="T7228" s="261"/>
    </row>
    <row r="7229" spans="2:20" x14ac:dyDescent="0.2">
      <c r="B7229" s="245"/>
      <c r="C7229" s="248"/>
      <c r="D7229" s="249"/>
      <c r="E7229" s="249"/>
      <c r="T7229" s="261"/>
    </row>
    <row r="7230" spans="2:20" x14ac:dyDescent="0.2">
      <c r="B7230" s="245"/>
      <c r="C7230" s="248"/>
      <c r="D7230" s="249"/>
      <c r="E7230" s="249"/>
      <c r="T7230" s="261"/>
    </row>
    <row r="7231" spans="2:20" x14ac:dyDescent="0.2">
      <c r="B7231" s="245"/>
      <c r="C7231" s="248"/>
      <c r="D7231" s="249"/>
      <c r="E7231" s="249"/>
      <c r="T7231" s="261"/>
    </row>
    <row r="7232" spans="2:20" x14ac:dyDescent="0.2">
      <c r="B7232" s="245"/>
      <c r="C7232" s="248"/>
      <c r="D7232" s="249"/>
      <c r="E7232" s="249"/>
      <c r="T7232" s="261"/>
    </row>
    <row r="7233" spans="2:20" x14ac:dyDescent="0.2">
      <c r="B7233" s="245"/>
      <c r="C7233" s="248"/>
      <c r="D7233" s="249"/>
      <c r="E7233" s="249"/>
      <c r="T7233" s="261"/>
    </row>
    <row r="7234" spans="2:20" x14ac:dyDescent="0.2">
      <c r="B7234" s="245"/>
      <c r="C7234" s="248"/>
      <c r="D7234" s="249"/>
      <c r="E7234" s="249"/>
      <c r="T7234" s="261"/>
    </row>
    <row r="7235" spans="2:20" x14ac:dyDescent="0.2">
      <c r="B7235" s="245"/>
      <c r="C7235" s="248"/>
      <c r="D7235" s="249"/>
      <c r="E7235" s="249"/>
      <c r="T7235" s="261"/>
    </row>
    <row r="7236" spans="2:20" x14ac:dyDescent="0.2">
      <c r="B7236" s="245"/>
      <c r="C7236" s="248"/>
      <c r="D7236" s="249"/>
      <c r="E7236" s="249"/>
      <c r="T7236" s="261"/>
    </row>
    <row r="7237" spans="2:20" x14ac:dyDescent="0.2">
      <c r="B7237" s="245"/>
      <c r="C7237" s="248"/>
      <c r="D7237" s="249"/>
      <c r="E7237" s="249"/>
      <c r="T7237" s="261"/>
    </row>
    <row r="7238" spans="2:20" x14ac:dyDescent="0.2">
      <c r="B7238" s="245"/>
      <c r="C7238" s="248"/>
      <c r="D7238" s="249"/>
      <c r="E7238" s="249"/>
      <c r="T7238" s="261"/>
    </row>
    <row r="7239" spans="2:20" x14ac:dyDescent="0.2">
      <c r="B7239" s="245"/>
      <c r="C7239" s="248"/>
      <c r="D7239" s="249"/>
      <c r="E7239" s="249"/>
      <c r="T7239" s="261"/>
    </row>
    <row r="7240" spans="2:20" x14ac:dyDescent="0.2">
      <c r="B7240" s="245"/>
      <c r="C7240" s="248"/>
      <c r="D7240" s="249"/>
      <c r="E7240" s="249"/>
      <c r="T7240" s="261"/>
    </row>
    <row r="7241" spans="2:20" x14ac:dyDescent="0.2">
      <c r="B7241" s="245"/>
      <c r="C7241" s="248"/>
      <c r="D7241" s="249"/>
      <c r="E7241" s="249"/>
      <c r="T7241" s="261"/>
    </row>
    <row r="7242" spans="2:20" x14ac:dyDescent="0.2">
      <c r="B7242" s="245"/>
      <c r="C7242" s="248"/>
      <c r="D7242" s="249"/>
      <c r="E7242" s="249"/>
      <c r="T7242" s="261"/>
    </row>
    <row r="7243" spans="2:20" x14ac:dyDescent="0.2">
      <c r="B7243" s="245"/>
      <c r="C7243" s="248"/>
      <c r="D7243" s="249"/>
      <c r="E7243" s="249"/>
      <c r="T7243" s="261"/>
    </row>
    <row r="7244" spans="2:20" x14ac:dyDescent="0.2">
      <c r="B7244" s="245"/>
      <c r="C7244" s="248"/>
      <c r="D7244" s="249"/>
      <c r="E7244" s="249"/>
      <c r="T7244" s="261"/>
    </row>
    <row r="7245" spans="2:20" x14ac:dyDescent="0.2">
      <c r="B7245" s="245"/>
      <c r="C7245" s="248"/>
      <c r="D7245" s="249"/>
      <c r="E7245" s="249"/>
      <c r="T7245" s="261"/>
    </row>
    <row r="7246" spans="2:20" x14ac:dyDescent="0.2">
      <c r="B7246" s="245"/>
      <c r="C7246" s="248"/>
      <c r="D7246" s="249"/>
      <c r="E7246" s="249"/>
      <c r="T7246" s="261"/>
    </row>
    <row r="7247" spans="2:20" x14ac:dyDescent="0.2">
      <c r="B7247" s="245"/>
      <c r="C7247" s="248"/>
      <c r="D7247" s="249"/>
      <c r="E7247" s="249"/>
      <c r="T7247" s="261"/>
    </row>
    <row r="7248" spans="2:20" x14ac:dyDescent="0.2">
      <c r="B7248" s="245"/>
      <c r="C7248" s="248"/>
      <c r="D7248" s="249"/>
      <c r="E7248" s="249"/>
      <c r="T7248" s="261"/>
    </row>
    <row r="7249" spans="2:20" x14ac:dyDescent="0.2">
      <c r="B7249" s="245"/>
      <c r="C7249" s="248"/>
      <c r="D7249" s="249"/>
      <c r="E7249" s="249"/>
      <c r="T7249" s="261"/>
    </row>
    <row r="7250" spans="2:20" x14ac:dyDescent="0.2">
      <c r="B7250" s="245"/>
      <c r="C7250" s="248"/>
      <c r="D7250" s="249"/>
      <c r="E7250" s="249"/>
      <c r="T7250" s="261"/>
    </row>
    <row r="7251" spans="2:20" x14ac:dyDescent="0.2">
      <c r="B7251" s="245"/>
      <c r="C7251" s="248"/>
      <c r="D7251" s="249"/>
      <c r="E7251" s="249"/>
      <c r="T7251" s="261"/>
    </row>
    <row r="7252" spans="2:20" x14ac:dyDescent="0.2">
      <c r="B7252" s="245"/>
      <c r="C7252" s="248"/>
      <c r="D7252" s="249"/>
      <c r="E7252" s="249"/>
      <c r="T7252" s="261"/>
    </row>
    <row r="7253" spans="2:20" x14ac:dyDescent="0.2">
      <c r="B7253" s="245"/>
      <c r="C7253" s="248"/>
      <c r="D7253" s="249"/>
      <c r="E7253" s="249"/>
      <c r="T7253" s="261"/>
    </row>
    <row r="7254" spans="2:20" x14ac:dyDescent="0.2">
      <c r="B7254" s="245"/>
      <c r="C7254" s="248"/>
      <c r="D7254" s="249"/>
      <c r="E7254" s="249"/>
      <c r="T7254" s="261"/>
    </row>
    <row r="7255" spans="2:20" x14ac:dyDescent="0.2">
      <c r="B7255" s="245"/>
      <c r="C7255" s="248"/>
      <c r="D7255" s="249"/>
      <c r="E7255" s="249"/>
      <c r="T7255" s="261"/>
    </row>
    <row r="7256" spans="2:20" x14ac:dyDescent="0.2">
      <c r="B7256" s="245"/>
      <c r="C7256" s="248"/>
      <c r="D7256" s="249"/>
      <c r="E7256" s="249"/>
      <c r="T7256" s="261"/>
    </row>
    <row r="7257" spans="2:20" x14ac:dyDescent="0.2">
      <c r="B7257" s="245"/>
      <c r="C7257" s="248"/>
      <c r="D7257" s="249"/>
      <c r="E7257" s="249"/>
      <c r="T7257" s="261"/>
    </row>
    <row r="7258" spans="2:20" x14ac:dyDescent="0.2">
      <c r="B7258" s="245"/>
      <c r="C7258" s="248"/>
      <c r="D7258" s="249"/>
      <c r="E7258" s="249"/>
      <c r="T7258" s="261"/>
    </row>
    <row r="7259" spans="2:20" x14ac:dyDescent="0.2">
      <c r="B7259" s="245"/>
      <c r="C7259" s="248"/>
      <c r="D7259" s="249"/>
      <c r="E7259" s="249"/>
      <c r="T7259" s="261"/>
    </row>
    <row r="7260" spans="2:20" x14ac:dyDescent="0.2">
      <c r="B7260" s="245"/>
      <c r="C7260" s="248"/>
      <c r="D7260" s="249"/>
      <c r="E7260" s="249"/>
      <c r="T7260" s="261"/>
    </row>
    <row r="7261" spans="2:20" x14ac:dyDescent="0.2">
      <c r="B7261" s="245"/>
      <c r="C7261" s="248"/>
      <c r="D7261" s="249"/>
      <c r="E7261" s="249"/>
      <c r="T7261" s="261"/>
    </row>
    <row r="7262" spans="2:20" x14ac:dyDescent="0.2">
      <c r="B7262" s="245"/>
      <c r="C7262" s="248"/>
      <c r="D7262" s="249"/>
      <c r="E7262" s="249"/>
      <c r="T7262" s="261"/>
    </row>
    <row r="7263" spans="2:20" x14ac:dyDescent="0.2">
      <c r="B7263" s="245"/>
      <c r="C7263" s="248"/>
      <c r="D7263" s="249"/>
      <c r="E7263" s="249"/>
      <c r="T7263" s="261"/>
    </row>
    <row r="7264" spans="2:20" x14ac:dyDescent="0.2">
      <c r="B7264" s="245"/>
      <c r="C7264" s="248"/>
      <c r="D7264" s="249"/>
      <c r="E7264" s="249"/>
      <c r="T7264" s="261"/>
    </row>
    <row r="7265" spans="2:20" x14ac:dyDescent="0.2">
      <c r="B7265" s="245"/>
      <c r="C7265" s="248"/>
      <c r="D7265" s="249"/>
      <c r="E7265" s="249"/>
      <c r="T7265" s="261"/>
    </row>
    <row r="7266" spans="2:20" x14ac:dyDescent="0.2">
      <c r="B7266" s="245"/>
      <c r="C7266" s="248"/>
      <c r="D7266" s="249"/>
      <c r="E7266" s="249"/>
      <c r="T7266" s="261"/>
    </row>
    <row r="7267" spans="2:20" x14ac:dyDescent="0.2">
      <c r="B7267" s="245"/>
      <c r="C7267" s="248"/>
      <c r="D7267" s="249"/>
      <c r="E7267" s="249"/>
      <c r="T7267" s="261"/>
    </row>
    <row r="7268" spans="2:20" x14ac:dyDescent="0.2">
      <c r="B7268" s="245"/>
      <c r="C7268" s="248"/>
      <c r="D7268" s="249"/>
      <c r="E7268" s="249"/>
      <c r="T7268" s="261"/>
    </row>
    <row r="7269" spans="2:20" x14ac:dyDescent="0.2">
      <c r="B7269" s="245"/>
      <c r="C7269" s="248"/>
      <c r="D7269" s="249"/>
      <c r="E7269" s="249"/>
      <c r="T7269" s="261"/>
    </row>
    <row r="7270" spans="2:20" x14ac:dyDescent="0.2">
      <c r="B7270" s="245"/>
      <c r="C7270" s="248"/>
      <c r="D7270" s="249"/>
      <c r="E7270" s="249"/>
      <c r="T7270" s="261"/>
    </row>
    <row r="7271" spans="2:20" x14ac:dyDescent="0.2">
      <c r="B7271" s="245"/>
      <c r="C7271" s="248"/>
      <c r="D7271" s="249"/>
      <c r="E7271" s="249"/>
      <c r="T7271" s="261"/>
    </row>
    <row r="7272" spans="2:20" x14ac:dyDescent="0.2">
      <c r="B7272" s="245"/>
      <c r="C7272" s="248"/>
      <c r="D7272" s="249"/>
      <c r="E7272" s="249"/>
      <c r="T7272" s="261"/>
    </row>
    <row r="7273" spans="2:20" x14ac:dyDescent="0.2">
      <c r="B7273" s="245"/>
      <c r="C7273" s="248"/>
      <c r="D7273" s="249"/>
      <c r="E7273" s="249"/>
      <c r="T7273" s="261"/>
    </row>
    <row r="7274" spans="2:20" x14ac:dyDescent="0.2">
      <c r="B7274" s="245"/>
      <c r="C7274" s="248"/>
      <c r="D7274" s="249"/>
      <c r="E7274" s="249"/>
      <c r="T7274" s="261"/>
    </row>
    <row r="7275" spans="2:20" x14ac:dyDescent="0.2">
      <c r="B7275" s="245"/>
      <c r="C7275" s="248"/>
      <c r="D7275" s="249"/>
      <c r="E7275" s="249"/>
      <c r="T7275" s="261"/>
    </row>
    <row r="7276" spans="2:20" x14ac:dyDescent="0.2">
      <c r="B7276" s="245"/>
      <c r="C7276" s="248"/>
      <c r="D7276" s="249"/>
      <c r="E7276" s="249"/>
      <c r="T7276" s="261"/>
    </row>
    <row r="7277" spans="2:20" x14ac:dyDescent="0.2">
      <c r="B7277" s="245"/>
      <c r="C7277" s="248"/>
      <c r="D7277" s="249"/>
      <c r="E7277" s="249"/>
      <c r="T7277" s="261"/>
    </row>
    <row r="7278" spans="2:20" x14ac:dyDescent="0.2">
      <c r="B7278" s="245"/>
      <c r="C7278" s="248"/>
      <c r="D7278" s="249"/>
      <c r="E7278" s="249"/>
      <c r="T7278" s="261"/>
    </row>
    <row r="7279" spans="2:20" x14ac:dyDescent="0.2">
      <c r="B7279" s="245"/>
      <c r="C7279" s="248"/>
      <c r="D7279" s="249"/>
      <c r="E7279" s="249"/>
      <c r="T7279" s="261"/>
    </row>
    <row r="7280" spans="2:20" x14ac:dyDescent="0.2">
      <c r="B7280" s="245"/>
      <c r="C7280" s="248"/>
      <c r="D7280" s="249"/>
      <c r="E7280" s="249"/>
      <c r="T7280" s="261"/>
    </row>
    <row r="7281" spans="2:20" x14ac:dyDescent="0.2">
      <c r="B7281" s="245"/>
      <c r="C7281" s="248"/>
      <c r="D7281" s="249"/>
      <c r="E7281" s="249"/>
      <c r="T7281" s="261"/>
    </row>
    <row r="7282" spans="2:20" x14ac:dyDescent="0.2">
      <c r="B7282" s="245"/>
      <c r="C7282" s="248"/>
      <c r="D7282" s="249"/>
      <c r="E7282" s="249"/>
      <c r="T7282" s="261"/>
    </row>
    <row r="7283" spans="2:20" x14ac:dyDescent="0.2">
      <c r="B7283" s="245"/>
      <c r="C7283" s="248"/>
      <c r="D7283" s="249"/>
      <c r="E7283" s="249"/>
      <c r="T7283" s="261"/>
    </row>
    <row r="7284" spans="2:20" x14ac:dyDescent="0.2">
      <c r="B7284" s="245"/>
      <c r="C7284" s="248"/>
      <c r="D7284" s="249"/>
      <c r="E7284" s="249"/>
      <c r="T7284" s="261"/>
    </row>
    <row r="7285" spans="2:20" x14ac:dyDescent="0.2">
      <c r="B7285" s="245"/>
      <c r="C7285" s="248"/>
      <c r="D7285" s="249"/>
      <c r="E7285" s="249"/>
      <c r="T7285" s="261"/>
    </row>
    <row r="7286" spans="2:20" x14ac:dyDescent="0.2">
      <c r="B7286" s="245"/>
      <c r="C7286" s="248"/>
      <c r="D7286" s="249"/>
      <c r="E7286" s="249"/>
      <c r="T7286" s="261"/>
    </row>
    <row r="7287" spans="2:20" x14ac:dyDescent="0.2">
      <c r="B7287" s="245"/>
      <c r="C7287" s="248"/>
      <c r="D7287" s="249"/>
      <c r="E7287" s="249"/>
      <c r="T7287" s="261"/>
    </row>
    <row r="7288" spans="2:20" x14ac:dyDescent="0.2">
      <c r="B7288" s="245"/>
      <c r="C7288" s="248"/>
      <c r="D7288" s="249"/>
      <c r="E7288" s="249"/>
      <c r="T7288" s="261"/>
    </row>
    <row r="7289" spans="2:20" x14ac:dyDescent="0.2">
      <c r="B7289" s="245"/>
      <c r="C7289" s="248"/>
      <c r="D7289" s="249"/>
      <c r="E7289" s="249"/>
      <c r="T7289" s="261"/>
    </row>
    <row r="7290" spans="2:20" x14ac:dyDescent="0.2">
      <c r="B7290" s="245"/>
      <c r="C7290" s="248"/>
      <c r="D7290" s="249"/>
      <c r="E7290" s="249"/>
      <c r="T7290" s="261"/>
    </row>
    <row r="7291" spans="2:20" x14ac:dyDescent="0.2">
      <c r="B7291" s="245"/>
      <c r="C7291" s="248"/>
      <c r="D7291" s="249"/>
      <c r="E7291" s="249"/>
      <c r="T7291" s="261"/>
    </row>
    <row r="7292" spans="2:20" x14ac:dyDescent="0.2">
      <c r="B7292" s="245"/>
      <c r="C7292" s="248"/>
      <c r="D7292" s="249"/>
      <c r="E7292" s="249"/>
      <c r="T7292" s="261"/>
    </row>
    <row r="7293" spans="2:20" x14ac:dyDescent="0.2">
      <c r="B7293" s="245"/>
      <c r="C7293" s="248"/>
      <c r="D7293" s="249"/>
      <c r="E7293" s="249"/>
      <c r="T7293" s="261"/>
    </row>
    <row r="7294" spans="2:20" x14ac:dyDescent="0.2">
      <c r="B7294" s="245"/>
      <c r="C7294" s="248"/>
      <c r="D7294" s="249"/>
      <c r="E7294" s="249"/>
      <c r="T7294" s="261"/>
    </row>
    <row r="7295" spans="2:20" x14ac:dyDescent="0.2">
      <c r="B7295" s="245"/>
      <c r="C7295" s="248"/>
      <c r="D7295" s="249"/>
      <c r="E7295" s="249"/>
      <c r="T7295" s="261"/>
    </row>
    <row r="7296" spans="2:20" x14ac:dyDescent="0.2">
      <c r="B7296" s="245"/>
      <c r="C7296" s="248"/>
      <c r="D7296" s="249"/>
      <c r="E7296" s="249"/>
      <c r="T7296" s="261"/>
    </row>
    <row r="7297" spans="2:20" x14ac:dyDescent="0.2">
      <c r="B7297" s="245"/>
      <c r="C7297" s="248"/>
      <c r="D7297" s="249"/>
      <c r="E7297" s="249"/>
      <c r="T7297" s="261"/>
    </row>
    <row r="7298" spans="2:20" x14ac:dyDescent="0.2">
      <c r="B7298" s="245"/>
      <c r="C7298" s="248"/>
      <c r="D7298" s="249"/>
      <c r="E7298" s="249"/>
      <c r="T7298" s="261"/>
    </row>
    <row r="7299" spans="2:20" x14ac:dyDescent="0.2">
      <c r="B7299" s="245"/>
      <c r="C7299" s="248"/>
      <c r="D7299" s="249"/>
      <c r="E7299" s="249"/>
      <c r="T7299" s="261"/>
    </row>
    <row r="7300" spans="2:20" x14ac:dyDescent="0.2">
      <c r="B7300" s="245"/>
      <c r="C7300" s="248"/>
      <c r="D7300" s="249"/>
      <c r="E7300" s="249"/>
      <c r="T7300" s="261"/>
    </row>
    <row r="7301" spans="2:20" x14ac:dyDescent="0.2">
      <c r="B7301" s="245"/>
      <c r="C7301" s="248"/>
      <c r="D7301" s="249"/>
      <c r="E7301" s="249"/>
      <c r="T7301" s="261"/>
    </row>
    <row r="7302" spans="2:20" x14ac:dyDescent="0.2">
      <c r="B7302" s="245"/>
      <c r="C7302" s="248"/>
      <c r="D7302" s="249"/>
      <c r="E7302" s="249"/>
      <c r="T7302" s="261"/>
    </row>
    <row r="7303" spans="2:20" x14ac:dyDescent="0.2">
      <c r="B7303" s="245"/>
      <c r="C7303" s="248"/>
      <c r="D7303" s="249"/>
      <c r="E7303" s="249"/>
      <c r="T7303" s="261"/>
    </row>
    <row r="7304" spans="2:20" x14ac:dyDescent="0.2">
      <c r="B7304" s="245"/>
      <c r="C7304" s="248"/>
      <c r="D7304" s="249"/>
      <c r="E7304" s="249"/>
      <c r="T7304" s="261"/>
    </row>
    <row r="7305" spans="2:20" x14ac:dyDescent="0.2">
      <c r="B7305" s="245"/>
      <c r="C7305" s="248"/>
      <c r="D7305" s="249"/>
      <c r="E7305" s="249"/>
      <c r="T7305" s="261"/>
    </row>
    <row r="7306" spans="2:20" x14ac:dyDescent="0.2">
      <c r="B7306" s="245"/>
      <c r="C7306" s="248"/>
      <c r="D7306" s="249"/>
      <c r="E7306" s="249"/>
      <c r="T7306" s="261"/>
    </row>
    <row r="7307" spans="2:20" x14ac:dyDescent="0.2">
      <c r="B7307" s="245"/>
      <c r="C7307" s="248"/>
      <c r="D7307" s="249"/>
      <c r="E7307" s="249"/>
      <c r="T7307" s="261"/>
    </row>
    <row r="7308" spans="2:20" x14ac:dyDescent="0.2">
      <c r="B7308" s="245"/>
      <c r="C7308" s="248"/>
      <c r="D7308" s="249"/>
      <c r="E7308" s="249"/>
      <c r="T7308" s="261"/>
    </row>
    <row r="7309" spans="2:20" x14ac:dyDescent="0.2">
      <c r="B7309" s="245"/>
      <c r="C7309" s="248"/>
      <c r="D7309" s="249"/>
      <c r="E7309" s="249"/>
      <c r="T7309" s="261"/>
    </row>
    <row r="7310" spans="2:20" x14ac:dyDescent="0.2">
      <c r="B7310" s="245"/>
      <c r="C7310" s="248"/>
      <c r="D7310" s="249"/>
      <c r="E7310" s="249"/>
      <c r="T7310" s="261"/>
    </row>
    <row r="7311" spans="2:20" x14ac:dyDescent="0.2">
      <c r="B7311" s="245"/>
      <c r="C7311" s="248"/>
      <c r="D7311" s="249"/>
      <c r="E7311" s="249"/>
      <c r="T7311" s="261"/>
    </row>
    <row r="7312" spans="2:20" x14ac:dyDescent="0.2">
      <c r="B7312" s="245"/>
      <c r="C7312" s="248"/>
      <c r="D7312" s="249"/>
      <c r="E7312" s="249"/>
      <c r="T7312" s="261"/>
    </row>
    <row r="7313" spans="2:20" x14ac:dyDescent="0.2">
      <c r="B7313" s="245"/>
      <c r="C7313" s="248"/>
      <c r="D7313" s="249"/>
      <c r="E7313" s="249"/>
      <c r="T7313" s="261"/>
    </row>
    <row r="7314" spans="2:20" x14ac:dyDescent="0.2">
      <c r="B7314" s="245"/>
      <c r="C7314" s="248"/>
      <c r="D7314" s="249"/>
      <c r="E7314" s="249"/>
      <c r="T7314" s="261"/>
    </row>
    <row r="7315" spans="2:20" x14ac:dyDescent="0.2">
      <c r="B7315" s="245"/>
      <c r="C7315" s="248"/>
      <c r="D7315" s="249"/>
      <c r="E7315" s="249"/>
      <c r="T7315" s="261"/>
    </row>
    <row r="7316" spans="2:20" x14ac:dyDescent="0.2">
      <c r="B7316" s="245"/>
      <c r="C7316" s="248"/>
      <c r="D7316" s="249"/>
      <c r="E7316" s="249"/>
      <c r="T7316" s="261"/>
    </row>
    <row r="7317" spans="2:20" x14ac:dyDescent="0.2">
      <c r="B7317" s="245"/>
      <c r="C7317" s="248"/>
      <c r="D7317" s="249"/>
      <c r="E7317" s="249"/>
      <c r="T7317" s="261"/>
    </row>
    <row r="7318" spans="2:20" x14ac:dyDescent="0.2">
      <c r="B7318" s="245"/>
      <c r="C7318" s="248"/>
      <c r="D7318" s="249"/>
      <c r="E7318" s="249"/>
      <c r="T7318" s="261"/>
    </row>
    <row r="7319" spans="2:20" x14ac:dyDescent="0.2">
      <c r="B7319" s="245"/>
      <c r="C7319" s="248"/>
      <c r="D7319" s="249"/>
      <c r="E7319" s="249"/>
      <c r="T7319" s="261"/>
    </row>
    <row r="7320" spans="2:20" x14ac:dyDescent="0.2">
      <c r="B7320" s="245"/>
      <c r="C7320" s="248"/>
      <c r="D7320" s="249"/>
      <c r="E7320" s="249"/>
      <c r="T7320" s="261"/>
    </row>
    <row r="7321" spans="2:20" x14ac:dyDescent="0.2">
      <c r="B7321" s="245"/>
      <c r="C7321" s="248"/>
      <c r="D7321" s="249"/>
      <c r="E7321" s="249"/>
      <c r="T7321" s="261"/>
    </row>
    <row r="7322" spans="2:20" x14ac:dyDescent="0.2">
      <c r="B7322" s="245"/>
      <c r="C7322" s="248"/>
      <c r="D7322" s="249"/>
      <c r="E7322" s="249"/>
      <c r="T7322" s="261"/>
    </row>
    <row r="7323" spans="2:20" x14ac:dyDescent="0.2">
      <c r="B7323" s="245"/>
      <c r="C7323" s="248"/>
      <c r="D7323" s="249"/>
      <c r="E7323" s="249"/>
      <c r="T7323" s="261"/>
    </row>
    <row r="7324" spans="2:20" x14ac:dyDescent="0.2">
      <c r="B7324" s="245"/>
      <c r="C7324" s="248"/>
      <c r="D7324" s="249"/>
      <c r="E7324" s="249"/>
      <c r="T7324" s="261"/>
    </row>
    <row r="7325" spans="2:20" x14ac:dyDescent="0.2">
      <c r="B7325" s="245"/>
      <c r="C7325" s="248"/>
      <c r="D7325" s="249"/>
      <c r="E7325" s="249"/>
      <c r="T7325" s="261"/>
    </row>
    <row r="7326" spans="2:20" x14ac:dyDescent="0.2">
      <c r="B7326" s="245"/>
      <c r="C7326" s="248"/>
      <c r="D7326" s="249"/>
      <c r="E7326" s="249"/>
      <c r="T7326" s="261"/>
    </row>
    <row r="7327" spans="2:20" x14ac:dyDescent="0.2">
      <c r="B7327" s="245"/>
      <c r="C7327" s="248"/>
      <c r="D7327" s="249"/>
      <c r="E7327" s="249"/>
      <c r="T7327" s="261"/>
    </row>
    <row r="7328" spans="2:20" x14ac:dyDescent="0.2">
      <c r="B7328" s="245"/>
      <c r="C7328" s="248"/>
      <c r="D7328" s="249"/>
      <c r="E7328" s="249"/>
      <c r="T7328" s="261"/>
    </row>
    <row r="7329" spans="2:20" x14ac:dyDescent="0.2">
      <c r="B7329" s="245"/>
      <c r="C7329" s="248"/>
      <c r="D7329" s="249"/>
      <c r="E7329" s="249"/>
      <c r="T7329" s="261"/>
    </row>
    <row r="7330" spans="2:20" x14ac:dyDescent="0.2">
      <c r="B7330" s="245"/>
      <c r="C7330" s="248"/>
      <c r="D7330" s="249"/>
      <c r="E7330" s="249"/>
      <c r="T7330" s="261"/>
    </row>
    <row r="7331" spans="2:20" x14ac:dyDescent="0.2">
      <c r="B7331" s="245"/>
      <c r="C7331" s="248"/>
      <c r="D7331" s="249"/>
      <c r="E7331" s="249"/>
      <c r="T7331" s="261"/>
    </row>
    <row r="7332" spans="2:20" x14ac:dyDescent="0.2">
      <c r="B7332" s="245"/>
      <c r="C7332" s="248"/>
      <c r="D7332" s="249"/>
      <c r="E7332" s="249"/>
      <c r="T7332" s="261"/>
    </row>
    <row r="7333" spans="2:20" x14ac:dyDescent="0.2">
      <c r="B7333" s="245"/>
      <c r="C7333" s="248"/>
      <c r="D7333" s="249"/>
      <c r="E7333" s="249"/>
      <c r="T7333" s="261"/>
    </row>
    <row r="7334" spans="2:20" x14ac:dyDescent="0.2">
      <c r="B7334" s="245"/>
      <c r="C7334" s="248"/>
      <c r="D7334" s="249"/>
      <c r="E7334" s="249"/>
      <c r="T7334" s="261"/>
    </row>
    <row r="7335" spans="2:20" x14ac:dyDescent="0.2">
      <c r="B7335" s="245"/>
      <c r="C7335" s="248"/>
      <c r="D7335" s="249"/>
      <c r="E7335" s="249"/>
      <c r="T7335" s="261"/>
    </row>
    <row r="7336" spans="2:20" x14ac:dyDescent="0.2">
      <c r="B7336" s="245"/>
      <c r="C7336" s="248"/>
      <c r="D7336" s="249"/>
      <c r="E7336" s="249"/>
      <c r="T7336" s="261"/>
    </row>
    <row r="7337" spans="2:20" x14ac:dyDescent="0.2">
      <c r="B7337" s="245"/>
      <c r="C7337" s="248"/>
      <c r="D7337" s="249"/>
      <c r="E7337" s="249"/>
      <c r="T7337" s="261"/>
    </row>
    <row r="7338" spans="2:20" x14ac:dyDescent="0.2">
      <c r="B7338" s="245"/>
      <c r="C7338" s="248"/>
      <c r="D7338" s="249"/>
      <c r="E7338" s="249"/>
      <c r="T7338" s="261"/>
    </row>
    <row r="7339" spans="2:20" x14ac:dyDescent="0.2">
      <c r="B7339" s="245"/>
      <c r="C7339" s="248"/>
      <c r="D7339" s="249"/>
      <c r="E7339" s="249"/>
      <c r="T7339" s="261"/>
    </row>
    <row r="7340" spans="2:20" x14ac:dyDescent="0.2">
      <c r="B7340" s="245"/>
      <c r="C7340" s="248"/>
      <c r="D7340" s="249"/>
      <c r="E7340" s="249"/>
      <c r="T7340" s="261"/>
    </row>
    <row r="7341" spans="2:20" x14ac:dyDescent="0.2">
      <c r="B7341" s="245"/>
      <c r="C7341" s="248"/>
      <c r="D7341" s="249"/>
      <c r="E7341" s="249"/>
      <c r="T7341" s="261"/>
    </row>
    <row r="7342" spans="2:20" x14ac:dyDescent="0.2">
      <c r="B7342" s="245"/>
      <c r="C7342" s="248"/>
      <c r="D7342" s="249"/>
      <c r="E7342" s="249"/>
      <c r="T7342" s="261"/>
    </row>
    <row r="7343" spans="2:20" x14ac:dyDescent="0.2">
      <c r="B7343" s="245"/>
      <c r="C7343" s="248"/>
      <c r="D7343" s="249"/>
      <c r="E7343" s="249"/>
      <c r="T7343" s="261"/>
    </row>
    <row r="7344" spans="2:20" x14ac:dyDescent="0.2">
      <c r="B7344" s="245"/>
      <c r="C7344" s="248"/>
      <c r="D7344" s="249"/>
      <c r="E7344" s="249"/>
      <c r="T7344" s="261"/>
    </row>
    <row r="7345" spans="2:20" x14ac:dyDescent="0.2">
      <c r="B7345" s="245"/>
      <c r="C7345" s="248"/>
      <c r="D7345" s="249"/>
      <c r="E7345" s="249"/>
      <c r="T7345" s="261"/>
    </row>
    <row r="7346" spans="2:20" x14ac:dyDescent="0.2">
      <c r="B7346" s="245"/>
      <c r="C7346" s="248"/>
      <c r="D7346" s="249"/>
      <c r="E7346" s="249"/>
      <c r="T7346" s="261"/>
    </row>
    <row r="7347" spans="2:20" x14ac:dyDescent="0.2">
      <c r="B7347" s="245"/>
      <c r="C7347" s="248"/>
      <c r="D7347" s="249"/>
      <c r="E7347" s="249"/>
      <c r="T7347" s="261"/>
    </row>
    <row r="7348" spans="2:20" x14ac:dyDescent="0.2">
      <c r="B7348" s="245"/>
      <c r="C7348" s="248"/>
      <c r="D7348" s="249"/>
      <c r="E7348" s="249"/>
      <c r="T7348" s="261"/>
    </row>
    <row r="7349" spans="2:20" x14ac:dyDescent="0.2">
      <c r="B7349" s="245"/>
      <c r="C7349" s="248"/>
      <c r="D7349" s="249"/>
      <c r="E7349" s="249"/>
      <c r="T7349" s="261"/>
    </row>
    <row r="7350" spans="2:20" x14ac:dyDescent="0.2">
      <c r="B7350" s="245"/>
      <c r="C7350" s="248"/>
      <c r="D7350" s="249"/>
      <c r="E7350" s="249"/>
      <c r="T7350" s="261"/>
    </row>
    <row r="7351" spans="2:20" x14ac:dyDescent="0.2">
      <c r="B7351" s="245"/>
      <c r="C7351" s="248"/>
      <c r="D7351" s="249"/>
      <c r="E7351" s="249"/>
      <c r="T7351" s="261"/>
    </row>
    <row r="7352" spans="2:20" x14ac:dyDescent="0.2">
      <c r="B7352" s="245"/>
      <c r="C7352" s="248"/>
      <c r="D7352" s="249"/>
      <c r="E7352" s="249"/>
      <c r="T7352" s="261"/>
    </row>
    <row r="7353" spans="2:20" x14ac:dyDescent="0.2">
      <c r="B7353" s="245"/>
      <c r="C7353" s="248"/>
      <c r="D7353" s="249"/>
      <c r="E7353" s="249"/>
      <c r="T7353" s="261"/>
    </row>
    <row r="7354" spans="2:20" x14ac:dyDescent="0.2">
      <c r="B7354" s="245"/>
      <c r="C7354" s="248"/>
      <c r="D7354" s="249"/>
      <c r="E7354" s="249"/>
      <c r="T7354" s="261"/>
    </row>
    <row r="7355" spans="2:20" x14ac:dyDescent="0.2">
      <c r="B7355" s="245"/>
      <c r="C7355" s="248"/>
      <c r="D7355" s="249"/>
      <c r="E7355" s="249"/>
      <c r="T7355" s="261"/>
    </row>
    <row r="7356" spans="2:20" x14ac:dyDescent="0.2">
      <c r="B7356" s="245"/>
      <c r="C7356" s="248"/>
      <c r="D7356" s="249"/>
      <c r="E7356" s="249"/>
      <c r="T7356" s="261"/>
    </row>
    <row r="7357" spans="2:20" x14ac:dyDescent="0.2">
      <c r="B7357" s="245"/>
      <c r="C7357" s="248"/>
      <c r="D7357" s="249"/>
      <c r="E7357" s="249"/>
      <c r="T7357" s="261"/>
    </row>
    <row r="7358" spans="2:20" x14ac:dyDescent="0.2">
      <c r="B7358" s="245"/>
      <c r="C7358" s="248"/>
      <c r="D7358" s="249"/>
      <c r="E7358" s="249"/>
      <c r="T7358" s="261"/>
    </row>
    <row r="7359" spans="2:20" x14ac:dyDescent="0.2">
      <c r="B7359" s="245"/>
      <c r="C7359" s="248"/>
      <c r="D7359" s="249"/>
      <c r="E7359" s="249"/>
      <c r="T7359" s="261"/>
    </row>
    <row r="7360" spans="2:20" x14ac:dyDescent="0.2">
      <c r="B7360" s="245"/>
      <c r="C7360" s="248"/>
      <c r="D7360" s="249"/>
      <c r="E7360" s="249"/>
      <c r="T7360" s="261"/>
    </row>
    <row r="7361" spans="2:20" x14ac:dyDescent="0.2">
      <c r="B7361" s="245"/>
      <c r="C7361" s="248"/>
      <c r="D7361" s="249"/>
      <c r="E7361" s="249"/>
      <c r="T7361" s="261"/>
    </row>
    <row r="7362" spans="2:20" x14ac:dyDescent="0.2">
      <c r="B7362" s="245"/>
      <c r="C7362" s="248"/>
      <c r="D7362" s="249"/>
      <c r="E7362" s="249"/>
      <c r="T7362" s="261"/>
    </row>
    <row r="7363" spans="2:20" x14ac:dyDescent="0.2">
      <c r="B7363" s="245"/>
      <c r="C7363" s="248"/>
      <c r="D7363" s="249"/>
      <c r="E7363" s="249"/>
      <c r="T7363" s="261"/>
    </row>
    <row r="7364" spans="2:20" x14ac:dyDescent="0.2">
      <c r="B7364" s="245"/>
      <c r="C7364" s="248"/>
      <c r="D7364" s="249"/>
      <c r="E7364" s="249"/>
      <c r="T7364" s="261"/>
    </row>
    <row r="7365" spans="2:20" x14ac:dyDescent="0.2">
      <c r="B7365" s="245"/>
      <c r="C7365" s="248"/>
      <c r="D7365" s="249"/>
      <c r="E7365" s="249"/>
      <c r="T7365" s="261"/>
    </row>
    <row r="7366" spans="2:20" x14ac:dyDescent="0.2">
      <c r="B7366" s="245"/>
      <c r="C7366" s="248"/>
      <c r="D7366" s="249"/>
      <c r="E7366" s="249"/>
      <c r="T7366" s="261"/>
    </row>
    <row r="7367" spans="2:20" x14ac:dyDescent="0.2">
      <c r="B7367" s="245"/>
      <c r="C7367" s="248"/>
      <c r="D7367" s="249"/>
      <c r="E7367" s="249"/>
      <c r="T7367" s="261"/>
    </row>
    <row r="7368" spans="2:20" x14ac:dyDescent="0.2">
      <c r="B7368" s="245"/>
      <c r="C7368" s="248"/>
      <c r="D7368" s="249"/>
      <c r="E7368" s="249"/>
      <c r="T7368" s="261"/>
    </row>
    <row r="7369" spans="2:20" x14ac:dyDescent="0.2">
      <c r="B7369" s="245"/>
      <c r="C7369" s="248"/>
      <c r="D7369" s="249"/>
      <c r="E7369" s="249"/>
      <c r="T7369" s="261"/>
    </row>
    <row r="7370" spans="2:20" x14ac:dyDescent="0.2">
      <c r="B7370" s="245"/>
      <c r="C7370" s="248"/>
      <c r="D7370" s="249"/>
      <c r="E7370" s="249"/>
      <c r="T7370" s="261"/>
    </row>
    <row r="7371" spans="2:20" x14ac:dyDescent="0.2">
      <c r="B7371" s="245"/>
      <c r="C7371" s="248"/>
      <c r="D7371" s="249"/>
      <c r="E7371" s="249"/>
      <c r="T7371" s="261"/>
    </row>
    <row r="7372" spans="2:20" x14ac:dyDescent="0.2">
      <c r="B7372" s="245"/>
      <c r="C7372" s="248"/>
      <c r="D7372" s="249"/>
      <c r="E7372" s="249"/>
      <c r="T7372" s="261"/>
    </row>
    <row r="7373" spans="2:20" x14ac:dyDescent="0.2">
      <c r="B7373" s="245"/>
      <c r="C7373" s="248"/>
      <c r="D7373" s="249"/>
      <c r="E7373" s="249"/>
      <c r="T7373" s="261"/>
    </row>
    <row r="7374" spans="2:20" x14ac:dyDescent="0.2">
      <c r="B7374" s="245"/>
      <c r="C7374" s="248"/>
      <c r="D7374" s="249"/>
      <c r="E7374" s="249"/>
      <c r="T7374" s="261"/>
    </row>
    <row r="7375" spans="2:20" x14ac:dyDescent="0.2">
      <c r="B7375" s="245"/>
      <c r="C7375" s="248"/>
      <c r="D7375" s="249"/>
      <c r="E7375" s="249"/>
      <c r="T7375" s="261"/>
    </row>
    <row r="7376" spans="2:20" x14ac:dyDescent="0.2">
      <c r="B7376" s="245"/>
      <c r="C7376" s="248"/>
      <c r="D7376" s="249"/>
      <c r="E7376" s="249"/>
      <c r="T7376" s="261"/>
    </row>
    <row r="7377" spans="2:20" x14ac:dyDescent="0.2">
      <c r="B7377" s="245"/>
      <c r="C7377" s="248"/>
      <c r="D7377" s="249"/>
      <c r="E7377" s="249"/>
      <c r="T7377" s="261"/>
    </row>
    <row r="7378" spans="2:20" x14ac:dyDescent="0.2">
      <c r="B7378" s="245"/>
      <c r="C7378" s="248"/>
      <c r="D7378" s="249"/>
      <c r="E7378" s="249"/>
      <c r="T7378" s="261"/>
    </row>
    <row r="7379" spans="2:20" x14ac:dyDescent="0.2">
      <c r="B7379" s="245"/>
      <c r="C7379" s="248"/>
      <c r="D7379" s="249"/>
      <c r="E7379" s="249"/>
      <c r="T7379" s="261"/>
    </row>
    <row r="7380" spans="2:20" x14ac:dyDescent="0.2">
      <c r="B7380" s="245"/>
      <c r="C7380" s="248"/>
      <c r="D7380" s="249"/>
      <c r="E7380" s="249"/>
      <c r="T7380" s="261"/>
    </row>
    <row r="7381" spans="2:20" x14ac:dyDescent="0.2">
      <c r="B7381" s="245"/>
      <c r="C7381" s="248"/>
      <c r="D7381" s="249"/>
      <c r="E7381" s="249"/>
      <c r="T7381" s="261"/>
    </row>
    <row r="7382" spans="2:20" x14ac:dyDescent="0.2">
      <c r="B7382" s="245"/>
      <c r="C7382" s="248"/>
      <c r="D7382" s="249"/>
      <c r="E7382" s="249"/>
      <c r="T7382" s="261"/>
    </row>
    <row r="7383" spans="2:20" x14ac:dyDescent="0.2">
      <c r="B7383" s="245"/>
      <c r="C7383" s="248"/>
      <c r="D7383" s="249"/>
      <c r="E7383" s="249"/>
      <c r="T7383" s="261"/>
    </row>
    <row r="7384" spans="2:20" x14ac:dyDescent="0.2">
      <c r="B7384" s="245"/>
      <c r="C7384" s="248"/>
      <c r="D7384" s="249"/>
      <c r="E7384" s="249"/>
      <c r="T7384" s="261"/>
    </row>
    <row r="7385" spans="2:20" x14ac:dyDescent="0.2">
      <c r="B7385" s="245"/>
      <c r="C7385" s="248"/>
      <c r="D7385" s="249"/>
      <c r="E7385" s="249"/>
      <c r="T7385" s="261"/>
    </row>
    <row r="7386" spans="2:20" x14ac:dyDescent="0.2">
      <c r="B7386" s="245"/>
      <c r="C7386" s="248"/>
      <c r="D7386" s="249"/>
      <c r="E7386" s="249"/>
      <c r="T7386" s="261"/>
    </row>
    <row r="7387" spans="2:20" x14ac:dyDescent="0.2">
      <c r="B7387" s="245"/>
      <c r="C7387" s="248"/>
      <c r="D7387" s="249"/>
      <c r="E7387" s="249"/>
      <c r="T7387" s="261"/>
    </row>
    <row r="7388" spans="2:20" x14ac:dyDescent="0.2">
      <c r="B7388" s="245"/>
      <c r="C7388" s="248"/>
      <c r="D7388" s="249"/>
      <c r="E7388" s="249"/>
      <c r="T7388" s="261"/>
    </row>
    <row r="7389" spans="2:20" x14ac:dyDescent="0.2">
      <c r="B7389" s="245"/>
      <c r="C7389" s="248"/>
      <c r="D7389" s="249"/>
      <c r="E7389" s="249"/>
      <c r="T7389" s="261"/>
    </row>
    <row r="7390" spans="2:20" x14ac:dyDescent="0.2">
      <c r="B7390" s="245"/>
      <c r="C7390" s="248"/>
      <c r="D7390" s="249"/>
      <c r="E7390" s="249"/>
      <c r="T7390" s="261"/>
    </row>
    <row r="7391" spans="2:20" x14ac:dyDescent="0.2">
      <c r="B7391" s="245"/>
      <c r="C7391" s="248"/>
      <c r="D7391" s="249"/>
      <c r="E7391" s="249"/>
      <c r="T7391" s="261"/>
    </row>
    <row r="7392" spans="2:20" x14ac:dyDescent="0.2">
      <c r="B7392" s="245"/>
      <c r="C7392" s="248"/>
      <c r="D7392" s="249"/>
      <c r="E7392" s="249"/>
      <c r="T7392" s="261"/>
    </row>
    <row r="7393" spans="2:20" x14ac:dyDescent="0.2">
      <c r="B7393" s="245"/>
      <c r="C7393" s="248"/>
      <c r="D7393" s="249"/>
      <c r="E7393" s="249"/>
      <c r="T7393" s="261"/>
    </row>
    <row r="7394" spans="2:20" x14ac:dyDescent="0.2">
      <c r="B7394" s="245"/>
      <c r="C7394" s="248"/>
      <c r="D7394" s="249"/>
      <c r="E7394" s="249"/>
      <c r="T7394" s="261"/>
    </row>
    <row r="7395" spans="2:20" x14ac:dyDescent="0.2">
      <c r="B7395" s="245"/>
      <c r="C7395" s="248"/>
      <c r="D7395" s="249"/>
      <c r="E7395" s="249"/>
      <c r="T7395" s="261"/>
    </row>
    <row r="7396" spans="2:20" x14ac:dyDescent="0.2">
      <c r="B7396" s="245"/>
      <c r="C7396" s="248"/>
      <c r="D7396" s="249"/>
      <c r="E7396" s="249"/>
      <c r="T7396" s="261"/>
    </row>
    <row r="7397" spans="2:20" x14ac:dyDescent="0.2">
      <c r="B7397" s="245"/>
      <c r="C7397" s="248"/>
      <c r="D7397" s="249"/>
      <c r="E7397" s="249"/>
      <c r="T7397" s="261"/>
    </row>
    <row r="7398" spans="2:20" x14ac:dyDescent="0.2">
      <c r="B7398" s="245"/>
      <c r="C7398" s="248"/>
      <c r="D7398" s="249"/>
      <c r="E7398" s="249"/>
      <c r="T7398" s="261"/>
    </row>
    <row r="7399" spans="2:20" x14ac:dyDescent="0.2">
      <c r="B7399" s="245"/>
      <c r="C7399" s="248"/>
      <c r="D7399" s="249"/>
      <c r="E7399" s="249"/>
      <c r="T7399" s="261"/>
    </row>
    <row r="7400" spans="2:20" x14ac:dyDescent="0.2">
      <c r="B7400" s="245"/>
      <c r="C7400" s="248"/>
      <c r="D7400" s="249"/>
      <c r="E7400" s="249"/>
      <c r="T7400" s="261"/>
    </row>
    <row r="7401" spans="2:20" x14ac:dyDescent="0.2">
      <c r="B7401" s="245"/>
      <c r="C7401" s="248"/>
      <c r="D7401" s="249"/>
      <c r="E7401" s="249"/>
      <c r="T7401" s="261"/>
    </row>
    <row r="7402" spans="2:20" x14ac:dyDescent="0.2">
      <c r="B7402" s="245"/>
      <c r="C7402" s="248"/>
      <c r="D7402" s="249"/>
      <c r="E7402" s="249"/>
      <c r="T7402" s="261"/>
    </row>
    <row r="7403" spans="2:20" x14ac:dyDescent="0.2">
      <c r="B7403" s="245"/>
      <c r="C7403" s="248"/>
      <c r="D7403" s="249"/>
      <c r="E7403" s="249"/>
      <c r="T7403" s="261"/>
    </row>
    <row r="7404" spans="2:20" x14ac:dyDescent="0.2">
      <c r="B7404" s="245"/>
      <c r="C7404" s="248"/>
      <c r="D7404" s="249"/>
      <c r="E7404" s="249"/>
      <c r="T7404" s="261"/>
    </row>
    <row r="7405" spans="2:20" x14ac:dyDescent="0.2">
      <c r="B7405" s="245"/>
      <c r="C7405" s="248"/>
      <c r="D7405" s="249"/>
      <c r="E7405" s="249"/>
      <c r="T7405" s="261"/>
    </row>
    <row r="7406" spans="2:20" x14ac:dyDescent="0.2">
      <c r="B7406" s="245"/>
      <c r="C7406" s="248"/>
      <c r="D7406" s="249"/>
      <c r="E7406" s="249"/>
      <c r="T7406" s="261"/>
    </row>
    <row r="7407" spans="2:20" x14ac:dyDescent="0.2">
      <c r="B7407" s="245"/>
      <c r="C7407" s="248"/>
      <c r="D7407" s="249"/>
      <c r="E7407" s="249"/>
      <c r="T7407" s="261"/>
    </row>
    <row r="7408" spans="2:20" x14ac:dyDescent="0.2">
      <c r="B7408" s="245"/>
      <c r="C7408" s="248"/>
      <c r="D7408" s="249"/>
      <c r="E7408" s="249"/>
      <c r="T7408" s="261"/>
    </row>
    <row r="7409" spans="2:20" x14ac:dyDescent="0.2">
      <c r="B7409" s="245"/>
      <c r="C7409" s="248"/>
      <c r="D7409" s="249"/>
      <c r="E7409" s="249"/>
      <c r="T7409" s="261"/>
    </row>
    <row r="7410" spans="2:20" x14ac:dyDescent="0.2">
      <c r="B7410" s="245"/>
      <c r="C7410" s="248"/>
      <c r="D7410" s="249"/>
      <c r="E7410" s="249"/>
      <c r="T7410" s="261"/>
    </row>
    <row r="7411" spans="2:20" x14ac:dyDescent="0.2">
      <c r="B7411" s="245"/>
      <c r="C7411" s="248"/>
      <c r="D7411" s="249"/>
      <c r="E7411" s="249"/>
      <c r="T7411" s="261"/>
    </row>
    <row r="7412" spans="2:20" x14ac:dyDescent="0.2">
      <c r="B7412" s="245"/>
      <c r="C7412" s="248"/>
      <c r="D7412" s="249"/>
      <c r="E7412" s="249"/>
      <c r="T7412" s="261"/>
    </row>
    <row r="7413" spans="2:20" x14ac:dyDescent="0.2">
      <c r="B7413" s="245"/>
      <c r="C7413" s="248"/>
      <c r="D7413" s="249"/>
      <c r="E7413" s="249"/>
      <c r="T7413" s="261"/>
    </row>
    <row r="7414" spans="2:20" x14ac:dyDescent="0.2">
      <c r="B7414" s="245"/>
      <c r="C7414" s="248"/>
      <c r="D7414" s="249"/>
      <c r="E7414" s="249"/>
      <c r="T7414" s="261"/>
    </row>
    <row r="7415" spans="2:20" x14ac:dyDescent="0.2">
      <c r="B7415" s="245"/>
      <c r="C7415" s="248"/>
      <c r="D7415" s="249"/>
      <c r="E7415" s="249"/>
      <c r="T7415" s="261"/>
    </row>
    <row r="7416" spans="2:20" x14ac:dyDescent="0.2">
      <c r="B7416" s="245"/>
      <c r="C7416" s="248"/>
      <c r="D7416" s="249"/>
      <c r="E7416" s="249"/>
      <c r="T7416" s="261"/>
    </row>
    <row r="7417" spans="2:20" x14ac:dyDescent="0.2">
      <c r="B7417" s="245"/>
      <c r="C7417" s="248"/>
      <c r="D7417" s="249"/>
      <c r="E7417" s="249"/>
      <c r="T7417" s="261"/>
    </row>
    <row r="7418" spans="2:20" x14ac:dyDescent="0.2">
      <c r="B7418" s="245"/>
      <c r="C7418" s="248"/>
      <c r="D7418" s="249"/>
      <c r="E7418" s="249"/>
      <c r="T7418" s="261"/>
    </row>
    <row r="7419" spans="2:20" x14ac:dyDescent="0.2">
      <c r="B7419" s="245"/>
      <c r="C7419" s="248"/>
      <c r="D7419" s="249"/>
      <c r="E7419" s="249"/>
      <c r="T7419" s="261"/>
    </row>
    <row r="7420" spans="2:20" x14ac:dyDescent="0.2">
      <c r="B7420" s="245"/>
      <c r="C7420" s="248"/>
      <c r="D7420" s="249"/>
      <c r="E7420" s="249"/>
      <c r="T7420" s="261"/>
    </row>
    <row r="7421" spans="2:20" x14ac:dyDescent="0.2">
      <c r="B7421" s="245"/>
      <c r="C7421" s="248"/>
      <c r="D7421" s="249"/>
      <c r="E7421" s="249"/>
      <c r="T7421" s="261"/>
    </row>
    <row r="7422" spans="2:20" x14ac:dyDescent="0.2">
      <c r="B7422" s="245"/>
      <c r="C7422" s="248"/>
      <c r="D7422" s="249"/>
      <c r="E7422" s="249"/>
      <c r="T7422" s="261"/>
    </row>
    <row r="7423" spans="2:20" x14ac:dyDescent="0.2">
      <c r="B7423" s="245"/>
      <c r="C7423" s="248"/>
      <c r="D7423" s="249"/>
      <c r="E7423" s="249"/>
      <c r="T7423" s="261"/>
    </row>
    <row r="7424" spans="2:20" x14ac:dyDescent="0.2">
      <c r="B7424" s="245"/>
      <c r="C7424" s="248"/>
      <c r="D7424" s="249"/>
      <c r="E7424" s="249"/>
      <c r="T7424" s="261"/>
    </row>
    <row r="7425" spans="2:20" x14ac:dyDescent="0.2">
      <c r="B7425" s="245"/>
      <c r="C7425" s="248"/>
      <c r="D7425" s="249"/>
      <c r="E7425" s="249"/>
      <c r="T7425" s="261"/>
    </row>
    <row r="7426" spans="2:20" x14ac:dyDescent="0.2">
      <c r="B7426" s="245"/>
      <c r="C7426" s="248"/>
      <c r="D7426" s="249"/>
      <c r="E7426" s="249"/>
      <c r="T7426" s="261"/>
    </row>
    <row r="7427" spans="2:20" x14ac:dyDescent="0.2">
      <c r="B7427" s="245"/>
      <c r="C7427" s="248"/>
      <c r="D7427" s="249"/>
      <c r="E7427" s="249"/>
      <c r="T7427" s="261"/>
    </row>
    <row r="7428" spans="2:20" x14ac:dyDescent="0.2">
      <c r="B7428" s="245"/>
      <c r="C7428" s="248"/>
      <c r="D7428" s="249"/>
      <c r="E7428" s="249"/>
      <c r="T7428" s="261"/>
    </row>
    <row r="7429" spans="2:20" x14ac:dyDescent="0.2">
      <c r="B7429" s="245"/>
      <c r="C7429" s="248"/>
      <c r="D7429" s="249"/>
      <c r="E7429" s="249"/>
      <c r="T7429" s="261"/>
    </row>
    <row r="7430" spans="2:20" x14ac:dyDescent="0.2">
      <c r="B7430" s="245"/>
      <c r="C7430" s="248"/>
      <c r="D7430" s="249"/>
      <c r="E7430" s="249"/>
      <c r="T7430" s="261"/>
    </row>
    <row r="7431" spans="2:20" x14ac:dyDescent="0.2">
      <c r="B7431" s="245"/>
      <c r="C7431" s="248"/>
      <c r="D7431" s="249"/>
      <c r="E7431" s="249"/>
      <c r="T7431" s="261"/>
    </row>
    <row r="7432" spans="2:20" x14ac:dyDescent="0.2">
      <c r="B7432" s="245"/>
      <c r="C7432" s="248"/>
      <c r="D7432" s="249"/>
      <c r="E7432" s="249"/>
      <c r="T7432" s="261"/>
    </row>
    <row r="7433" spans="2:20" x14ac:dyDescent="0.2">
      <c r="B7433" s="245"/>
      <c r="C7433" s="248"/>
      <c r="D7433" s="249"/>
      <c r="E7433" s="249"/>
      <c r="T7433" s="261"/>
    </row>
    <row r="7434" spans="2:20" x14ac:dyDescent="0.2">
      <c r="B7434" s="245"/>
      <c r="C7434" s="248"/>
      <c r="D7434" s="249"/>
      <c r="E7434" s="249"/>
      <c r="T7434" s="261"/>
    </row>
    <row r="7435" spans="2:20" x14ac:dyDescent="0.2">
      <c r="B7435" s="245"/>
      <c r="C7435" s="248"/>
      <c r="D7435" s="249"/>
      <c r="E7435" s="249"/>
      <c r="T7435" s="261"/>
    </row>
    <row r="7436" spans="2:20" x14ac:dyDescent="0.2">
      <c r="B7436" s="245"/>
      <c r="C7436" s="248"/>
      <c r="D7436" s="249"/>
      <c r="E7436" s="249"/>
      <c r="T7436" s="261"/>
    </row>
    <row r="7437" spans="2:20" x14ac:dyDescent="0.2">
      <c r="B7437" s="245"/>
      <c r="C7437" s="248"/>
      <c r="D7437" s="249"/>
      <c r="E7437" s="249"/>
      <c r="T7437" s="261"/>
    </row>
    <row r="7438" spans="2:20" x14ac:dyDescent="0.2">
      <c r="B7438" s="245"/>
      <c r="C7438" s="248"/>
      <c r="D7438" s="249"/>
      <c r="E7438" s="249"/>
      <c r="T7438" s="261"/>
    </row>
    <row r="7439" spans="2:20" x14ac:dyDescent="0.2">
      <c r="B7439" s="245"/>
      <c r="C7439" s="248"/>
      <c r="D7439" s="249"/>
      <c r="E7439" s="249"/>
      <c r="T7439" s="261"/>
    </row>
    <row r="7440" spans="2:20" x14ac:dyDescent="0.2">
      <c r="B7440" s="245"/>
      <c r="C7440" s="248"/>
      <c r="D7440" s="249"/>
      <c r="E7440" s="249"/>
      <c r="T7440" s="261"/>
    </row>
    <row r="7441" spans="2:20" x14ac:dyDescent="0.2">
      <c r="B7441" s="245"/>
      <c r="C7441" s="248"/>
      <c r="D7441" s="249"/>
      <c r="E7441" s="249"/>
      <c r="T7441" s="261"/>
    </row>
    <row r="7442" spans="2:20" x14ac:dyDescent="0.2">
      <c r="B7442" s="245"/>
      <c r="C7442" s="248"/>
      <c r="D7442" s="249"/>
      <c r="E7442" s="249"/>
      <c r="T7442" s="261"/>
    </row>
    <row r="7443" spans="2:20" x14ac:dyDescent="0.2">
      <c r="B7443" s="245"/>
      <c r="C7443" s="248"/>
      <c r="D7443" s="249"/>
      <c r="E7443" s="249"/>
      <c r="T7443" s="261"/>
    </row>
    <row r="7444" spans="2:20" x14ac:dyDescent="0.2">
      <c r="B7444" s="245"/>
      <c r="C7444" s="248"/>
      <c r="D7444" s="249"/>
      <c r="E7444" s="249"/>
      <c r="T7444" s="261"/>
    </row>
    <row r="7445" spans="2:20" x14ac:dyDescent="0.2">
      <c r="B7445" s="245"/>
      <c r="C7445" s="248"/>
      <c r="D7445" s="249"/>
      <c r="E7445" s="249"/>
      <c r="T7445" s="261"/>
    </row>
    <row r="7446" spans="2:20" x14ac:dyDescent="0.2">
      <c r="B7446" s="245"/>
      <c r="C7446" s="248"/>
      <c r="D7446" s="249"/>
      <c r="E7446" s="249"/>
      <c r="T7446" s="261"/>
    </row>
    <row r="7447" spans="2:20" x14ac:dyDescent="0.2">
      <c r="B7447" s="245"/>
      <c r="C7447" s="248"/>
      <c r="D7447" s="249"/>
      <c r="E7447" s="249"/>
      <c r="T7447" s="261"/>
    </row>
    <row r="7448" spans="2:20" x14ac:dyDescent="0.2">
      <c r="B7448" s="245"/>
      <c r="C7448" s="248"/>
      <c r="D7448" s="249"/>
      <c r="E7448" s="249"/>
      <c r="T7448" s="261"/>
    </row>
    <row r="7449" spans="2:20" x14ac:dyDescent="0.2">
      <c r="B7449" s="245"/>
      <c r="C7449" s="248"/>
      <c r="D7449" s="249"/>
      <c r="E7449" s="249"/>
      <c r="T7449" s="261"/>
    </row>
    <row r="7450" spans="2:20" x14ac:dyDescent="0.2">
      <c r="B7450" s="245"/>
      <c r="C7450" s="248"/>
      <c r="D7450" s="249"/>
      <c r="E7450" s="249"/>
      <c r="T7450" s="261"/>
    </row>
    <row r="7451" spans="2:20" x14ac:dyDescent="0.2">
      <c r="B7451" s="245"/>
      <c r="C7451" s="248"/>
      <c r="D7451" s="249"/>
      <c r="E7451" s="249"/>
      <c r="T7451" s="261"/>
    </row>
    <row r="7452" spans="2:20" x14ac:dyDescent="0.2">
      <c r="B7452" s="245"/>
      <c r="C7452" s="248"/>
      <c r="D7452" s="249"/>
      <c r="E7452" s="249"/>
      <c r="T7452" s="261"/>
    </row>
    <row r="7453" spans="2:20" x14ac:dyDescent="0.2">
      <c r="B7453" s="245"/>
      <c r="C7453" s="248"/>
      <c r="D7453" s="249"/>
      <c r="E7453" s="249"/>
      <c r="T7453" s="261"/>
    </row>
    <row r="7454" spans="2:20" x14ac:dyDescent="0.2">
      <c r="B7454" s="245"/>
      <c r="C7454" s="248"/>
      <c r="D7454" s="249"/>
      <c r="E7454" s="249"/>
      <c r="T7454" s="261"/>
    </row>
    <row r="7455" spans="2:20" x14ac:dyDescent="0.2">
      <c r="B7455" s="245"/>
      <c r="C7455" s="248"/>
      <c r="D7455" s="249"/>
      <c r="E7455" s="249"/>
      <c r="T7455" s="261"/>
    </row>
    <row r="7456" spans="2:20" x14ac:dyDescent="0.2">
      <c r="B7456" s="245"/>
      <c r="C7456" s="248"/>
      <c r="D7456" s="249"/>
      <c r="E7456" s="249"/>
      <c r="T7456" s="261"/>
    </row>
    <row r="7457" spans="2:20" x14ac:dyDescent="0.2">
      <c r="B7457" s="245"/>
      <c r="C7457" s="248"/>
      <c r="D7457" s="249"/>
      <c r="E7457" s="249"/>
      <c r="T7457" s="261"/>
    </row>
    <row r="7458" spans="2:20" x14ac:dyDescent="0.2">
      <c r="B7458" s="245"/>
      <c r="C7458" s="248"/>
      <c r="D7458" s="249"/>
      <c r="E7458" s="249"/>
      <c r="T7458" s="261"/>
    </row>
    <row r="7459" spans="2:20" x14ac:dyDescent="0.2">
      <c r="B7459" s="245"/>
      <c r="C7459" s="248"/>
      <c r="D7459" s="249"/>
      <c r="E7459" s="249"/>
      <c r="T7459" s="261"/>
    </row>
    <row r="7460" spans="2:20" x14ac:dyDescent="0.2">
      <c r="B7460" s="245"/>
      <c r="C7460" s="248"/>
      <c r="D7460" s="249"/>
      <c r="E7460" s="249"/>
      <c r="T7460" s="261"/>
    </row>
    <row r="7461" spans="2:20" x14ac:dyDescent="0.2">
      <c r="B7461" s="245"/>
      <c r="C7461" s="248"/>
      <c r="D7461" s="249"/>
      <c r="E7461" s="249"/>
      <c r="T7461" s="261"/>
    </row>
    <row r="7462" spans="2:20" x14ac:dyDescent="0.2">
      <c r="B7462" s="245"/>
      <c r="C7462" s="248"/>
      <c r="D7462" s="249"/>
      <c r="E7462" s="249"/>
      <c r="T7462" s="261"/>
    </row>
    <row r="7463" spans="2:20" x14ac:dyDescent="0.2">
      <c r="B7463" s="245"/>
      <c r="C7463" s="248"/>
      <c r="D7463" s="249"/>
      <c r="E7463" s="249"/>
      <c r="T7463" s="261"/>
    </row>
    <row r="7464" spans="2:20" x14ac:dyDescent="0.2">
      <c r="B7464" s="245"/>
      <c r="C7464" s="248"/>
      <c r="D7464" s="249"/>
      <c r="E7464" s="249"/>
      <c r="T7464" s="261"/>
    </row>
    <row r="7465" spans="2:20" x14ac:dyDescent="0.2">
      <c r="B7465" s="245"/>
      <c r="C7465" s="248"/>
      <c r="D7465" s="249"/>
      <c r="E7465" s="249"/>
      <c r="T7465" s="261"/>
    </row>
    <row r="7466" spans="2:20" x14ac:dyDescent="0.2">
      <c r="B7466" s="245"/>
      <c r="C7466" s="248"/>
      <c r="D7466" s="249"/>
      <c r="E7466" s="249"/>
      <c r="T7466" s="261"/>
    </row>
    <row r="7467" spans="2:20" x14ac:dyDescent="0.2">
      <c r="B7467" s="245"/>
      <c r="C7467" s="248"/>
      <c r="D7467" s="249"/>
      <c r="E7467" s="249"/>
      <c r="T7467" s="261"/>
    </row>
    <row r="7468" spans="2:20" x14ac:dyDescent="0.2">
      <c r="B7468" s="245"/>
      <c r="C7468" s="248"/>
      <c r="D7468" s="249"/>
      <c r="E7468" s="249"/>
      <c r="T7468" s="261"/>
    </row>
    <row r="7469" spans="2:20" x14ac:dyDescent="0.2">
      <c r="B7469" s="245"/>
      <c r="C7469" s="248"/>
      <c r="D7469" s="249"/>
      <c r="E7469" s="249"/>
      <c r="T7469" s="261"/>
    </row>
    <row r="7470" spans="2:20" x14ac:dyDescent="0.2">
      <c r="B7470" s="245"/>
      <c r="C7470" s="248"/>
      <c r="D7470" s="249"/>
      <c r="E7470" s="249"/>
      <c r="T7470" s="261"/>
    </row>
    <row r="7471" spans="2:20" x14ac:dyDescent="0.2">
      <c r="B7471" s="245"/>
      <c r="C7471" s="248"/>
      <c r="D7471" s="249"/>
      <c r="E7471" s="249"/>
      <c r="T7471" s="261"/>
    </row>
    <row r="7472" spans="2:20" x14ac:dyDescent="0.2">
      <c r="B7472" s="245"/>
      <c r="C7472" s="248"/>
      <c r="D7472" s="249"/>
      <c r="E7472" s="249"/>
      <c r="T7472" s="261"/>
    </row>
    <row r="7473" spans="2:20" x14ac:dyDescent="0.2">
      <c r="B7473" s="245"/>
      <c r="C7473" s="248"/>
      <c r="D7473" s="249"/>
      <c r="E7473" s="249"/>
      <c r="T7473" s="261"/>
    </row>
    <row r="7474" spans="2:20" x14ac:dyDescent="0.2">
      <c r="B7474" s="245"/>
      <c r="C7474" s="248"/>
      <c r="D7474" s="249"/>
      <c r="E7474" s="249"/>
      <c r="T7474" s="261"/>
    </row>
    <row r="7475" spans="2:20" x14ac:dyDescent="0.2">
      <c r="B7475" s="245"/>
      <c r="C7475" s="248"/>
      <c r="D7475" s="249"/>
      <c r="E7475" s="249"/>
      <c r="T7475" s="261"/>
    </row>
    <row r="7476" spans="2:20" x14ac:dyDescent="0.2">
      <c r="B7476" s="245"/>
      <c r="C7476" s="248"/>
      <c r="D7476" s="249"/>
      <c r="E7476" s="249"/>
      <c r="T7476" s="261"/>
    </row>
    <row r="7477" spans="2:20" x14ac:dyDescent="0.2">
      <c r="B7477" s="245"/>
      <c r="C7477" s="248"/>
      <c r="D7477" s="249"/>
      <c r="E7477" s="249"/>
      <c r="T7477" s="261"/>
    </row>
    <row r="7478" spans="2:20" x14ac:dyDescent="0.2">
      <c r="B7478" s="245"/>
      <c r="C7478" s="248"/>
      <c r="D7478" s="249"/>
      <c r="E7478" s="249"/>
      <c r="T7478" s="261"/>
    </row>
    <row r="7479" spans="2:20" x14ac:dyDescent="0.2">
      <c r="B7479" s="245"/>
      <c r="C7479" s="248"/>
      <c r="D7479" s="249"/>
      <c r="E7479" s="249"/>
      <c r="T7479" s="261"/>
    </row>
    <row r="7480" spans="2:20" x14ac:dyDescent="0.2">
      <c r="B7480" s="245"/>
      <c r="C7480" s="248"/>
      <c r="D7480" s="249"/>
      <c r="E7480" s="249"/>
      <c r="T7480" s="261"/>
    </row>
    <row r="7481" spans="2:20" x14ac:dyDescent="0.2">
      <c r="B7481" s="245"/>
      <c r="C7481" s="248"/>
      <c r="D7481" s="249"/>
      <c r="E7481" s="249"/>
      <c r="T7481" s="261"/>
    </row>
    <row r="7482" spans="2:20" x14ac:dyDescent="0.2">
      <c r="B7482" s="245"/>
      <c r="C7482" s="248"/>
      <c r="D7482" s="249"/>
      <c r="E7482" s="249"/>
      <c r="T7482" s="261"/>
    </row>
    <row r="7483" spans="2:20" x14ac:dyDescent="0.2">
      <c r="B7483" s="245"/>
      <c r="C7483" s="248"/>
      <c r="D7483" s="249"/>
      <c r="E7483" s="249"/>
      <c r="T7483" s="261"/>
    </row>
    <row r="7484" spans="2:20" x14ac:dyDescent="0.2">
      <c r="B7484" s="245"/>
      <c r="C7484" s="248"/>
      <c r="D7484" s="249"/>
      <c r="E7484" s="249"/>
      <c r="T7484" s="261"/>
    </row>
    <row r="7485" spans="2:20" x14ac:dyDescent="0.2">
      <c r="B7485" s="245"/>
      <c r="C7485" s="248"/>
      <c r="D7485" s="249"/>
      <c r="E7485" s="249"/>
      <c r="T7485" s="261"/>
    </row>
    <row r="7486" spans="2:20" x14ac:dyDescent="0.2">
      <c r="B7486" s="245"/>
      <c r="C7486" s="248"/>
      <c r="D7486" s="249"/>
      <c r="E7486" s="249"/>
      <c r="T7486" s="261"/>
    </row>
    <row r="7487" spans="2:20" x14ac:dyDescent="0.2">
      <c r="B7487" s="245"/>
      <c r="C7487" s="248"/>
      <c r="D7487" s="249"/>
      <c r="E7487" s="249"/>
      <c r="T7487" s="261"/>
    </row>
    <row r="7488" spans="2:20" x14ac:dyDescent="0.2">
      <c r="B7488" s="245"/>
      <c r="C7488" s="248"/>
      <c r="D7488" s="249"/>
      <c r="E7488" s="249"/>
      <c r="T7488" s="261"/>
    </row>
    <row r="7489" spans="2:20" x14ac:dyDescent="0.2">
      <c r="B7489" s="245"/>
      <c r="C7489" s="248"/>
      <c r="D7489" s="249"/>
      <c r="E7489" s="249"/>
      <c r="T7489" s="261"/>
    </row>
    <row r="7490" spans="2:20" x14ac:dyDescent="0.2">
      <c r="B7490" s="245"/>
      <c r="C7490" s="248"/>
      <c r="D7490" s="249"/>
      <c r="E7490" s="249"/>
      <c r="T7490" s="261"/>
    </row>
    <row r="7491" spans="2:20" x14ac:dyDescent="0.2">
      <c r="B7491" s="245"/>
      <c r="C7491" s="248"/>
      <c r="D7491" s="249"/>
      <c r="E7491" s="249"/>
      <c r="T7491" s="261"/>
    </row>
    <row r="7492" spans="2:20" x14ac:dyDescent="0.2">
      <c r="B7492" s="245"/>
      <c r="C7492" s="248"/>
      <c r="D7492" s="249"/>
      <c r="E7492" s="249"/>
      <c r="T7492" s="261"/>
    </row>
    <row r="7493" spans="2:20" x14ac:dyDescent="0.2">
      <c r="B7493" s="245"/>
      <c r="C7493" s="248"/>
      <c r="D7493" s="249"/>
      <c r="E7493" s="249"/>
      <c r="T7493" s="261"/>
    </row>
    <row r="7494" spans="2:20" x14ac:dyDescent="0.2">
      <c r="B7494" s="245"/>
      <c r="C7494" s="248"/>
      <c r="D7494" s="249"/>
      <c r="E7494" s="249"/>
      <c r="T7494" s="261"/>
    </row>
    <row r="7495" spans="2:20" x14ac:dyDescent="0.2">
      <c r="B7495" s="245"/>
      <c r="C7495" s="248"/>
      <c r="D7495" s="249"/>
      <c r="E7495" s="249"/>
      <c r="T7495" s="261"/>
    </row>
    <row r="7496" spans="2:20" x14ac:dyDescent="0.2">
      <c r="B7496" s="245"/>
      <c r="C7496" s="248"/>
      <c r="D7496" s="249"/>
      <c r="E7496" s="249"/>
      <c r="T7496" s="261"/>
    </row>
    <row r="7497" spans="2:20" x14ac:dyDescent="0.2">
      <c r="B7497" s="245"/>
      <c r="C7497" s="248"/>
      <c r="D7497" s="249"/>
      <c r="E7497" s="249"/>
      <c r="T7497" s="261"/>
    </row>
    <row r="7498" spans="2:20" x14ac:dyDescent="0.2">
      <c r="B7498" s="245"/>
      <c r="C7498" s="248"/>
      <c r="D7498" s="249"/>
      <c r="E7498" s="249"/>
      <c r="T7498" s="261"/>
    </row>
    <row r="7499" spans="2:20" x14ac:dyDescent="0.2">
      <c r="B7499" s="245"/>
      <c r="C7499" s="248"/>
      <c r="D7499" s="249"/>
      <c r="E7499" s="249"/>
      <c r="T7499" s="261"/>
    </row>
    <row r="7500" spans="2:20" x14ac:dyDescent="0.2">
      <c r="B7500" s="245"/>
      <c r="C7500" s="248"/>
      <c r="D7500" s="249"/>
      <c r="E7500" s="249"/>
      <c r="T7500" s="261"/>
    </row>
    <row r="7501" spans="2:20" x14ac:dyDescent="0.2">
      <c r="B7501" s="245"/>
      <c r="C7501" s="248"/>
      <c r="D7501" s="249"/>
      <c r="E7501" s="249"/>
      <c r="T7501" s="261"/>
    </row>
    <row r="7502" spans="2:20" x14ac:dyDescent="0.2">
      <c r="B7502" s="245"/>
      <c r="C7502" s="248"/>
      <c r="D7502" s="249"/>
      <c r="E7502" s="249"/>
      <c r="T7502" s="261"/>
    </row>
    <row r="7503" spans="2:20" x14ac:dyDescent="0.2">
      <c r="B7503" s="245"/>
      <c r="C7503" s="248"/>
      <c r="D7503" s="249"/>
      <c r="E7503" s="249"/>
      <c r="T7503" s="261"/>
    </row>
    <row r="7504" spans="2:20" x14ac:dyDescent="0.2">
      <c r="B7504" s="245"/>
      <c r="C7504" s="248"/>
      <c r="D7504" s="249"/>
      <c r="E7504" s="249"/>
      <c r="T7504" s="261"/>
    </row>
    <row r="7505" spans="2:20" x14ac:dyDescent="0.2">
      <c r="B7505" s="245"/>
      <c r="C7505" s="248"/>
      <c r="D7505" s="249"/>
      <c r="E7505" s="249"/>
      <c r="T7505" s="261"/>
    </row>
    <row r="7506" spans="2:20" x14ac:dyDescent="0.2">
      <c r="B7506" s="245"/>
      <c r="C7506" s="248"/>
      <c r="D7506" s="249"/>
      <c r="E7506" s="249"/>
      <c r="T7506" s="261"/>
    </row>
    <row r="7507" spans="2:20" x14ac:dyDescent="0.2">
      <c r="B7507" s="245"/>
      <c r="C7507" s="248"/>
      <c r="D7507" s="249"/>
      <c r="E7507" s="249"/>
      <c r="T7507" s="261"/>
    </row>
    <row r="7508" spans="2:20" x14ac:dyDescent="0.2">
      <c r="B7508" s="245"/>
      <c r="C7508" s="248"/>
      <c r="D7508" s="249"/>
      <c r="E7508" s="249"/>
      <c r="T7508" s="261"/>
    </row>
    <row r="7509" spans="2:20" x14ac:dyDescent="0.2">
      <c r="B7509" s="245"/>
      <c r="C7509" s="248"/>
      <c r="D7509" s="249"/>
      <c r="E7509" s="249"/>
      <c r="T7509" s="261"/>
    </row>
    <row r="7510" spans="2:20" x14ac:dyDescent="0.2">
      <c r="B7510" s="245"/>
      <c r="C7510" s="248"/>
      <c r="D7510" s="249"/>
      <c r="E7510" s="249"/>
      <c r="T7510" s="261"/>
    </row>
    <row r="7511" spans="2:20" x14ac:dyDescent="0.2">
      <c r="B7511" s="245"/>
      <c r="C7511" s="248"/>
      <c r="D7511" s="249"/>
      <c r="E7511" s="249"/>
      <c r="T7511" s="261"/>
    </row>
    <row r="7512" spans="2:20" x14ac:dyDescent="0.2">
      <c r="B7512" s="245"/>
      <c r="C7512" s="248"/>
      <c r="D7512" s="249"/>
      <c r="E7512" s="249"/>
      <c r="T7512" s="261"/>
    </row>
    <row r="7513" spans="2:20" x14ac:dyDescent="0.2">
      <c r="B7513" s="245"/>
      <c r="C7513" s="248"/>
      <c r="D7513" s="249"/>
      <c r="E7513" s="249"/>
      <c r="T7513" s="261"/>
    </row>
    <row r="7514" spans="2:20" x14ac:dyDescent="0.2">
      <c r="B7514" s="245"/>
      <c r="C7514" s="248"/>
      <c r="D7514" s="249"/>
      <c r="E7514" s="249"/>
      <c r="T7514" s="261"/>
    </row>
    <row r="7515" spans="2:20" x14ac:dyDescent="0.2">
      <c r="B7515" s="245"/>
      <c r="C7515" s="248"/>
      <c r="D7515" s="249"/>
      <c r="E7515" s="249"/>
      <c r="T7515" s="261"/>
    </row>
    <row r="7516" spans="2:20" x14ac:dyDescent="0.2">
      <c r="B7516" s="245"/>
      <c r="C7516" s="248"/>
      <c r="D7516" s="249"/>
      <c r="E7516" s="249"/>
      <c r="T7516" s="261"/>
    </row>
    <row r="7517" spans="2:20" x14ac:dyDescent="0.2">
      <c r="B7517" s="245"/>
      <c r="C7517" s="248"/>
      <c r="D7517" s="249"/>
      <c r="E7517" s="249"/>
      <c r="T7517" s="261"/>
    </row>
    <row r="7518" spans="2:20" x14ac:dyDescent="0.2">
      <c r="B7518" s="245"/>
      <c r="C7518" s="248"/>
      <c r="D7518" s="249"/>
      <c r="E7518" s="249"/>
      <c r="T7518" s="261"/>
    </row>
    <row r="7519" spans="2:20" x14ac:dyDescent="0.2">
      <c r="B7519" s="245"/>
      <c r="C7519" s="248"/>
      <c r="D7519" s="249"/>
      <c r="E7519" s="249"/>
      <c r="T7519" s="261"/>
    </row>
    <row r="7520" spans="2:20" x14ac:dyDescent="0.2">
      <c r="B7520" s="245"/>
      <c r="C7520" s="248"/>
      <c r="D7520" s="249"/>
      <c r="E7520" s="249"/>
      <c r="T7520" s="261"/>
    </row>
    <row r="7521" spans="2:20" x14ac:dyDescent="0.2">
      <c r="B7521" s="245"/>
      <c r="C7521" s="248"/>
      <c r="D7521" s="249"/>
      <c r="E7521" s="249"/>
      <c r="T7521" s="261"/>
    </row>
    <row r="7522" spans="2:20" x14ac:dyDescent="0.2">
      <c r="B7522" s="245"/>
      <c r="C7522" s="248"/>
      <c r="D7522" s="249"/>
      <c r="E7522" s="249"/>
      <c r="T7522" s="261"/>
    </row>
    <row r="7523" spans="2:20" x14ac:dyDescent="0.2">
      <c r="B7523" s="245"/>
      <c r="C7523" s="248"/>
      <c r="D7523" s="249"/>
      <c r="E7523" s="249"/>
      <c r="T7523" s="261"/>
    </row>
    <row r="7524" spans="2:20" x14ac:dyDescent="0.2">
      <c r="B7524" s="245"/>
      <c r="C7524" s="248"/>
      <c r="D7524" s="249"/>
      <c r="E7524" s="249"/>
      <c r="T7524" s="261"/>
    </row>
    <row r="7525" spans="2:20" x14ac:dyDescent="0.2">
      <c r="B7525" s="245"/>
      <c r="C7525" s="248"/>
      <c r="D7525" s="249"/>
      <c r="E7525" s="249"/>
      <c r="T7525" s="261"/>
    </row>
    <row r="7526" spans="2:20" x14ac:dyDescent="0.2">
      <c r="B7526" s="245"/>
      <c r="C7526" s="248"/>
      <c r="D7526" s="249"/>
      <c r="E7526" s="249"/>
      <c r="T7526" s="261"/>
    </row>
    <row r="7527" spans="2:20" x14ac:dyDescent="0.2">
      <c r="B7527" s="245"/>
      <c r="C7527" s="248"/>
      <c r="D7527" s="249"/>
      <c r="E7527" s="249"/>
      <c r="T7527" s="261"/>
    </row>
    <row r="7528" spans="2:20" x14ac:dyDescent="0.2">
      <c r="B7528" s="245"/>
      <c r="C7528" s="248"/>
      <c r="D7528" s="249"/>
      <c r="E7528" s="249"/>
      <c r="T7528" s="261"/>
    </row>
    <row r="7529" spans="2:20" x14ac:dyDescent="0.2">
      <c r="B7529" s="245"/>
      <c r="C7529" s="248"/>
      <c r="D7529" s="249"/>
      <c r="E7529" s="249"/>
      <c r="T7529" s="261"/>
    </row>
    <row r="7530" spans="2:20" x14ac:dyDescent="0.2">
      <c r="B7530" s="245"/>
      <c r="C7530" s="248"/>
      <c r="D7530" s="249"/>
      <c r="E7530" s="249"/>
      <c r="T7530" s="261"/>
    </row>
    <row r="7531" spans="2:20" x14ac:dyDescent="0.2">
      <c r="B7531" s="245"/>
      <c r="C7531" s="248"/>
      <c r="D7531" s="249"/>
      <c r="E7531" s="249"/>
      <c r="T7531" s="261"/>
    </row>
    <row r="7532" spans="2:20" x14ac:dyDescent="0.2">
      <c r="B7532" s="245"/>
      <c r="C7532" s="248"/>
      <c r="D7532" s="249"/>
      <c r="E7532" s="249"/>
      <c r="T7532" s="261"/>
    </row>
    <row r="7533" spans="2:20" x14ac:dyDescent="0.2">
      <c r="B7533" s="245"/>
      <c r="C7533" s="248"/>
      <c r="D7533" s="249"/>
      <c r="E7533" s="249"/>
      <c r="T7533" s="261"/>
    </row>
    <row r="7534" spans="2:20" x14ac:dyDescent="0.2">
      <c r="B7534" s="245"/>
      <c r="C7534" s="248"/>
      <c r="D7534" s="249"/>
      <c r="E7534" s="249"/>
      <c r="T7534" s="261"/>
    </row>
    <row r="7535" spans="2:20" x14ac:dyDescent="0.2">
      <c r="B7535" s="245"/>
      <c r="C7535" s="248"/>
      <c r="D7535" s="249"/>
      <c r="E7535" s="249"/>
      <c r="T7535" s="261"/>
    </row>
    <row r="7536" spans="2:20" x14ac:dyDescent="0.2">
      <c r="B7536" s="245"/>
      <c r="C7536" s="248"/>
      <c r="D7536" s="249"/>
      <c r="E7536" s="249"/>
      <c r="T7536" s="261"/>
    </row>
    <row r="7537" spans="2:20" x14ac:dyDescent="0.2">
      <c r="B7537" s="245"/>
      <c r="C7537" s="248"/>
      <c r="D7537" s="249"/>
      <c r="E7537" s="249"/>
      <c r="T7537" s="261"/>
    </row>
    <row r="7538" spans="2:20" x14ac:dyDescent="0.2">
      <c r="B7538" s="245"/>
      <c r="C7538" s="248"/>
      <c r="D7538" s="249"/>
      <c r="E7538" s="249"/>
      <c r="T7538" s="261"/>
    </row>
    <row r="7539" spans="2:20" x14ac:dyDescent="0.2">
      <c r="B7539" s="245"/>
      <c r="C7539" s="248"/>
      <c r="D7539" s="249"/>
      <c r="E7539" s="249"/>
      <c r="T7539" s="261"/>
    </row>
    <row r="7540" spans="2:20" x14ac:dyDescent="0.2">
      <c r="B7540" s="245"/>
      <c r="C7540" s="248"/>
      <c r="D7540" s="249"/>
      <c r="E7540" s="249"/>
      <c r="T7540" s="261"/>
    </row>
    <row r="7541" spans="2:20" x14ac:dyDescent="0.2">
      <c r="B7541" s="245"/>
      <c r="C7541" s="248"/>
      <c r="D7541" s="249"/>
      <c r="E7541" s="249"/>
      <c r="T7541" s="261"/>
    </row>
    <row r="7542" spans="2:20" x14ac:dyDescent="0.2">
      <c r="B7542" s="245"/>
      <c r="C7542" s="248"/>
      <c r="D7542" s="249"/>
      <c r="E7542" s="249"/>
      <c r="T7542" s="261"/>
    </row>
    <row r="7543" spans="2:20" x14ac:dyDescent="0.2">
      <c r="B7543" s="245"/>
      <c r="C7543" s="248"/>
      <c r="D7543" s="249"/>
      <c r="E7543" s="249"/>
      <c r="T7543" s="261"/>
    </row>
    <row r="7544" spans="2:20" x14ac:dyDescent="0.2">
      <c r="B7544" s="245"/>
      <c r="C7544" s="248"/>
      <c r="D7544" s="249"/>
      <c r="E7544" s="249"/>
      <c r="T7544" s="261"/>
    </row>
    <row r="7545" spans="2:20" x14ac:dyDescent="0.2">
      <c r="B7545" s="245"/>
      <c r="C7545" s="248"/>
      <c r="D7545" s="249"/>
      <c r="E7545" s="249"/>
      <c r="T7545" s="261"/>
    </row>
    <row r="7546" spans="2:20" x14ac:dyDescent="0.2">
      <c r="B7546" s="245"/>
      <c r="C7546" s="248"/>
      <c r="D7546" s="249"/>
      <c r="E7546" s="249"/>
      <c r="T7546" s="261"/>
    </row>
    <row r="7547" spans="2:20" x14ac:dyDescent="0.2">
      <c r="B7547" s="245"/>
      <c r="C7547" s="248"/>
      <c r="D7547" s="249"/>
      <c r="E7547" s="249"/>
      <c r="T7547" s="261"/>
    </row>
    <row r="7548" spans="2:20" x14ac:dyDescent="0.2">
      <c r="B7548" s="245"/>
      <c r="C7548" s="248"/>
      <c r="D7548" s="249"/>
      <c r="E7548" s="249"/>
      <c r="T7548" s="261"/>
    </row>
    <row r="7549" spans="2:20" x14ac:dyDescent="0.2">
      <c r="B7549" s="245"/>
      <c r="C7549" s="248"/>
      <c r="D7549" s="249"/>
      <c r="E7549" s="249"/>
      <c r="T7549" s="261"/>
    </row>
    <row r="7550" spans="2:20" x14ac:dyDescent="0.2">
      <c r="B7550" s="245"/>
      <c r="C7550" s="248"/>
      <c r="D7550" s="249"/>
      <c r="E7550" s="249"/>
      <c r="T7550" s="261"/>
    </row>
    <row r="7551" spans="2:20" x14ac:dyDescent="0.2">
      <c r="B7551" s="245"/>
      <c r="C7551" s="248"/>
      <c r="D7551" s="249"/>
      <c r="E7551" s="249"/>
      <c r="T7551" s="261"/>
    </row>
    <row r="7552" spans="2:20" x14ac:dyDescent="0.2">
      <c r="B7552" s="245"/>
      <c r="C7552" s="248"/>
      <c r="D7552" s="249"/>
      <c r="E7552" s="249"/>
      <c r="T7552" s="261"/>
    </row>
    <row r="7553" spans="2:20" x14ac:dyDescent="0.2">
      <c r="B7553" s="245"/>
      <c r="C7553" s="248"/>
      <c r="D7553" s="249"/>
      <c r="E7553" s="249"/>
      <c r="T7553" s="261"/>
    </row>
    <row r="7554" spans="2:20" x14ac:dyDescent="0.2">
      <c r="B7554" s="245"/>
      <c r="C7554" s="248"/>
      <c r="D7554" s="249"/>
      <c r="E7554" s="249"/>
      <c r="T7554" s="261"/>
    </row>
    <row r="7555" spans="2:20" x14ac:dyDescent="0.2">
      <c r="B7555" s="245"/>
      <c r="C7555" s="248"/>
      <c r="D7555" s="249"/>
      <c r="E7555" s="249"/>
      <c r="T7555" s="261"/>
    </row>
    <row r="7556" spans="2:20" x14ac:dyDescent="0.2">
      <c r="B7556" s="245"/>
      <c r="C7556" s="248"/>
      <c r="D7556" s="249"/>
      <c r="E7556" s="249"/>
      <c r="T7556" s="261"/>
    </row>
    <row r="7557" spans="2:20" x14ac:dyDescent="0.2">
      <c r="B7557" s="245"/>
      <c r="C7557" s="248"/>
      <c r="D7557" s="249"/>
      <c r="E7557" s="249"/>
      <c r="T7557" s="261"/>
    </row>
    <row r="7558" spans="2:20" x14ac:dyDescent="0.2">
      <c r="B7558" s="245"/>
      <c r="C7558" s="248"/>
      <c r="D7558" s="249"/>
      <c r="E7558" s="249"/>
      <c r="T7558" s="261"/>
    </row>
    <row r="7559" spans="2:20" x14ac:dyDescent="0.2">
      <c r="B7559" s="245"/>
      <c r="C7559" s="248"/>
      <c r="D7559" s="249"/>
      <c r="E7559" s="249"/>
      <c r="T7559" s="261"/>
    </row>
    <row r="7560" spans="2:20" x14ac:dyDescent="0.2">
      <c r="B7560" s="245"/>
      <c r="C7560" s="248"/>
      <c r="D7560" s="249"/>
      <c r="E7560" s="249"/>
      <c r="T7560" s="261"/>
    </row>
    <row r="7561" spans="2:20" x14ac:dyDescent="0.2">
      <c r="B7561" s="245"/>
      <c r="C7561" s="248"/>
      <c r="D7561" s="249"/>
      <c r="E7561" s="249"/>
      <c r="T7561" s="261"/>
    </row>
    <row r="7562" spans="2:20" x14ac:dyDescent="0.2">
      <c r="B7562" s="245"/>
      <c r="C7562" s="248"/>
      <c r="D7562" s="249"/>
      <c r="E7562" s="249"/>
      <c r="T7562" s="261"/>
    </row>
    <row r="7563" spans="2:20" x14ac:dyDescent="0.2">
      <c r="B7563" s="245"/>
      <c r="C7563" s="248"/>
      <c r="D7563" s="249"/>
      <c r="E7563" s="249"/>
      <c r="T7563" s="261"/>
    </row>
    <row r="7564" spans="2:20" x14ac:dyDescent="0.2">
      <c r="B7564" s="245"/>
      <c r="C7564" s="248"/>
      <c r="D7564" s="249"/>
      <c r="E7564" s="249"/>
      <c r="T7564" s="261"/>
    </row>
    <row r="7565" spans="2:20" x14ac:dyDescent="0.2">
      <c r="B7565" s="245"/>
      <c r="C7565" s="248"/>
      <c r="D7565" s="249"/>
      <c r="E7565" s="249"/>
      <c r="T7565" s="261"/>
    </row>
    <row r="7566" spans="2:20" x14ac:dyDescent="0.2">
      <c r="B7566" s="245"/>
      <c r="C7566" s="248"/>
      <c r="D7566" s="249"/>
      <c r="E7566" s="249"/>
      <c r="T7566" s="261"/>
    </row>
    <row r="7567" spans="2:20" x14ac:dyDescent="0.2">
      <c r="B7567" s="245"/>
      <c r="C7567" s="248"/>
      <c r="D7567" s="249"/>
      <c r="E7567" s="249"/>
      <c r="T7567" s="261"/>
    </row>
    <row r="7568" spans="2:20" x14ac:dyDescent="0.2">
      <c r="B7568" s="245"/>
      <c r="C7568" s="248"/>
      <c r="D7568" s="249"/>
      <c r="E7568" s="249"/>
      <c r="T7568" s="261"/>
    </row>
    <row r="7569" spans="2:20" x14ac:dyDescent="0.2">
      <c r="B7569" s="245"/>
      <c r="C7569" s="248"/>
      <c r="D7569" s="249"/>
      <c r="E7569" s="249"/>
      <c r="T7569" s="261"/>
    </row>
    <row r="7570" spans="2:20" x14ac:dyDescent="0.2">
      <c r="B7570" s="245"/>
      <c r="C7570" s="248"/>
      <c r="D7570" s="249"/>
      <c r="E7570" s="249"/>
      <c r="T7570" s="261"/>
    </row>
    <row r="7571" spans="2:20" x14ac:dyDescent="0.2">
      <c r="B7571" s="245"/>
      <c r="C7571" s="248"/>
      <c r="D7571" s="249"/>
      <c r="E7571" s="249"/>
      <c r="T7571" s="261"/>
    </row>
    <row r="7572" spans="2:20" x14ac:dyDescent="0.2">
      <c r="B7572" s="245"/>
      <c r="C7572" s="248"/>
      <c r="D7572" s="249"/>
      <c r="E7572" s="249"/>
      <c r="T7572" s="261"/>
    </row>
    <row r="7573" spans="2:20" x14ac:dyDescent="0.2">
      <c r="B7573" s="245"/>
      <c r="C7573" s="248"/>
      <c r="D7573" s="249"/>
      <c r="E7573" s="249"/>
      <c r="T7573" s="261"/>
    </row>
    <row r="7574" spans="2:20" x14ac:dyDescent="0.2">
      <c r="B7574" s="245"/>
      <c r="C7574" s="248"/>
      <c r="D7574" s="249"/>
      <c r="E7574" s="249"/>
      <c r="T7574" s="261"/>
    </row>
    <row r="7575" spans="2:20" x14ac:dyDescent="0.2">
      <c r="B7575" s="245"/>
      <c r="C7575" s="248"/>
      <c r="D7575" s="249"/>
      <c r="E7575" s="249"/>
      <c r="T7575" s="261"/>
    </row>
    <row r="7576" spans="2:20" x14ac:dyDescent="0.2">
      <c r="B7576" s="245"/>
      <c r="C7576" s="248"/>
      <c r="D7576" s="249"/>
      <c r="E7576" s="249"/>
      <c r="T7576" s="261"/>
    </row>
    <row r="7577" spans="2:20" x14ac:dyDescent="0.2">
      <c r="B7577" s="245"/>
      <c r="C7577" s="248"/>
      <c r="D7577" s="249"/>
      <c r="E7577" s="249"/>
      <c r="T7577" s="261"/>
    </row>
    <row r="7578" spans="2:20" x14ac:dyDescent="0.2">
      <c r="B7578" s="245"/>
      <c r="C7578" s="248"/>
      <c r="D7578" s="249"/>
      <c r="E7578" s="249"/>
      <c r="T7578" s="261"/>
    </row>
    <row r="7579" spans="2:20" x14ac:dyDescent="0.2">
      <c r="B7579" s="245"/>
      <c r="C7579" s="248"/>
      <c r="D7579" s="249"/>
      <c r="E7579" s="249"/>
      <c r="T7579" s="261"/>
    </row>
    <row r="7580" spans="2:20" x14ac:dyDescent="0.2">
      <c r="B7580" s="245"/>
      <c r="C7580" s="248"/>
      <c r="D7580" s="249"/>
      <c r="E7580" s="249"/>
      <c r="T7580" s="261"/>
    </row>
    <row r="7581" spans="2:20" x14ac:dyDescent="0.2">
      <c r="B7581" s="245"/>
      <c r="C7581" s="248"/>
      <c r="D7581" s="249"/>
      <c r="E7581" s="249"/>
      <c r="T7581" s="261"/>
    </row>
    <row r="7582" spans="2:20" x14ac:dyDescent="0.2">
      <c r="B7582" s="245"/>
      <c r="C7582" s="248"/>
      <c r="D7582" s="249"/>
      <c r="E7582" s="249"/>
      <c r="T7582" s="261"/>
    </row>
    <row r="7583" spans="2:20" x14ac:dyDescent="0.2">
      <c r="B7583" s="245"/>
      <c r="C7583" s="248"/>
      <c r="D7583" s="249"/>
      <c r="E7583" s="249"/>
      <c r="T7583" s="261"/>
    </row>
    <row r="7584" spans="2:20" x14ac:dyDescent="0.2">
      <c r="B7584" s="245"/>
      <c r="C7584" s="248"/>
      <c r="D7584" s="249"/>
      <c r="E7584" s="249"/>
      <c r="T7584" s="261"/>
    </row>
    <row r="7585" spans="2:20" x14ac:dyDescent="0.2">
      <c r="B7585" s="245"/>
      <c r="C7585" s="248"/>
      <c r="D7585" s="249"/>
      <c r="E7585" s="249"/>
      <c r="T7585" s="261"/>
    </row>
    <row r="7586" spans="2:20" x14ac:dyDescent="0.2">
      <c r="B7586" s="245"/>
      <c r="C7586" s="248"/>
      <c r="D7586" s="249"/>
      <c r="E7586" s="249"/>
      <c r="T7586" s="261"/>
    </row>
    <row r="7587" spans="2:20" x14ac:dyDescent="0.2">
      <c r="B7587" s="245"/>
      <c r="C7587" s="248"/>
      <c r="D7587" s="249"/>
      <c r="E7587" s="249"/>
      <c r="T7587" s="261"/>
    </row>
    <row r="7588" spans="2:20" x14ac:dyDescent="0.2">
      <c r="B7588" s="245"/>
      <c r="C7588" s="248"/>
      <c r="D7588" s="249"/>
      <c r="E7588" s="249"/>
      <c r="T7588" s="261"/>
    </row>
    <row r="7589" spans="2:20" x14ac:dyDescent="0.2">
      <c r="B7589" s="245"/>
      <c r="C7589" s="248"/>
      <c r="D7589" s="249"/>
      <c r="E7589" s="249"/>
      <c r="T7589" s="261"/>
    </row>
    <row r="7590" spans="2:20" x14ac:dyDescent="0.2">
      <c r="B7590" s="245"/>
      <c r="C7590" s="248"/>
      <c r="D7590" s="249"/>
      <c r="E7590" s="249"/>
      <c r="T7590" s="261"/>
    </row>
    <row r="7591" spans="2:20" x14ac:dyDescent="0.2">
      <c r="B7591" s="245"/>
      <c r="C7591" s="248"/>
      <c r="D7591" s="249"/>
      <c r="E7591" s="249"/>
      <c r="T7591" s="261"/>
    </row>
    <row r="7592" spans="2:20" x14ac:dyDescent="0.2">
      <c r="B7592" s="245"/>
      <c r="C7592" s="248"/>
      <c r="D7592" s="249"/>
      <c r="E7592" s="249"/>
      <c r="T7592" s="261"/>
    </row>
    <row r="7593" spans="2:20" x14ac:dyDescent="0.2">
      <c r="B7593" s="245"/>
      <c r="C7593" s="248"/>
      <c r="D7593" s="249"/>
      <c r="E7593" s="249"/>
      <c r="T7593" s="261"/>
    </row>
    <row r="7594" spans="2:20" x14ac:dyDescent="0.2">
      <c r="B7594" s="245"/>
      <c r="C7594" s="248"/>
      <c r="D7594" s="249"/>
      <c r="E7594" s="249"/>
      <c r="T7594" s="261"/>
    </row>
    <row r="7595" spans="2:20" x14ac:dyDescent="0.2">
      <c r="B7595" s="245"/>
      <c r="C7595" s="248"/>
      <c r="D7595" s="249"/>
      <c r="E7595" s="249"/>
      <c r="T7595" s="261"/>
    </row>
    <row r="7596" spans="2:20" x14ac:dyDescent="0.2">
      <c r="B7596" s="245"/>
      <c r="C7596" s="248"/>
      <c r="D7596" s="249"/>
      <c r="E7596" s="249"/>
      <c r="T7596" s="261"/>
    </row>
    <row r="7597" spans="2:20" x14ac:dyDescent="0.2">
      <c r="B7597" s="245"/>
      <c r="C7597" s="248"/>
      <c r="D7597" s="249"/>
      <c r="E7597" s="249"/>
      <c r="T7597" s="261"/>
    </row>
    <row r="7598" spans="2:20" x14ac:dyDescent="0.2">
      <c r="B7598" s="245"/>
      <c r="C7598" s="248"/>
      <c r="D7598" s="249"/>
      <c r="E7598" s="249"/>
      <c r="T7598" s="261"/>
    </row>
    <row r="7599" spans="2:20" x14ac:dyDescent="0.2">
      <c r="B7599" s="245"/>
      <c r="C7599" s="248"/>
      <c r="D7599" s="249"/>
      <c r="E7599" s="249"/>
      <c r="T7599" s="261"/>
    </row>
    <row r="7600" spans="2:20" x14ac:dyDescent="0.2">
      <c r="B7600" s="245"/>
      <c r="C7600" s="248"/>
      <c r="D7600" s="249"/>
      <c r="E7600" s="249"/>
      <c r="T7600" s="261"/>
    </row>
    <row r="7601" spans="2:20" x14ac:dyDescent="0.2">
      <c r="B7601" s="245"/>
      <c r="C7601" s="248"/>
      <c r="D7601" s="249"/>
      <c r="E7601" s="249"/>
      <c r="T7601" s="261"/>
    </row>
    <row r="7602" spans="2:20" x14ac:dyDescent="0.2">
      <c r="B7602" s="245"/>
      <c r="C7602" s="248"/>
      <c r="D7602" s="249"/>
      <c r="E7602" s="249"/>
      <c r="T7602" s="261"/>
    </row>
    <row r="7603" spans="2:20" x14ac:dyDescent="0.2">
      <c r="B7603" s="245"/>
      <c r="C7603" s="248"/>
      <c r="D7603" s="249"/>
      <c r="E7603" s="249"/>
      <c r="T7603" s="261"/>
    </row>
    <row r="7604" spans="2:20" x14ac:dyDescent="0.2">
      <c r="B7604" s="245"/>
      <c r="C7604" s="248"/>
      <c r="D7604" s="249"/>
      <c r="E7604" s="249"/>
      <c r="T7604" s="261"/>
    </row>
    <row r="7605" spans="2:20" x14ac:dyDescent="0.2">
      <c r="B7605" s="245"/>
      <c r="C7605" s="248"/>
      <c r="D7605" s="249"/>
      <c r="E7605" s="249"/>
      <c r="T7605" s="261"/>
    </row>
    <row r="7606" spans="2:20" x14ac:dyDescent="0.2">
      <c r="B7606" s="245"/>
      <c r="C7606" s="248"/>
      <c r="D7606" s="249"/>
      <c r="E7606" s="249"/>
      <c r="T7606" s="261"/>
    </row>
    <row r="7607" spans="2:20" x14ac:dyDescent="0.2">
      <c r="B7607" s="245"/>
      <c r="C7607" s="248"/>
      <c r="D7607" s="249"/>
      <c r="E7607" s="249"/>
      <c r="T7607" s="261"/>
    </row>
    <row r="7608" spans="2:20" x14ac:dyDescent="0.2">
      <c r="B7608" s="245"/>
      <c r="C7608" s="248"/>
      <c r="D7608" s="249"/>
      <c r="E7608" s="249"/>
      <c r="T7608" s="261"/>
    </row>
    <row r="7609" spans="2:20" x14ac:dyDescent="0.2">
      <c r="B7609" s="245"/>
      <c r="C7609" s="248"/>
      <c r="D7609" s="249"/>
      <c r="E7609" s="249"/>
      <c r="T7609" s="261"/>
    </row>
    <row r="7610" spans="2:20" x14ac:dyDescent="0.2">
      <c r="B7610" s="245"/>
      <c r="C7610" s="248"/>
      <c r="D7610" s="249"/>
      <c r="E7610" s="249"/>
      <c r="T7610" s="261"/>
    </row>
    <row r="7611" spans="2:20" x14ac:dyDescent="0.2">
      <c r="B7611" s="245"/>
      <c r="C7611" s="248"/>
      <c r="D7611" s="249"/>
      <c r="E7611" s="249"/>
      <c r="T7611" s="261"/>
    </row>
    <row r="7612" spans="2:20" x14ac:dyDescent="0.2">
      <c r="B7612" s="245"/>
      <c r="C7612" s="248"/>
      <c r="D7612" s="249"/>
      <c r="E7612" s="249"/>
      <c r="T7612" s="261"/>
    </row>
    <row r="7613" spans="2:20" x14ac:dyDescent="0.2">
      <c r="B7613" s="245"/>
      <c r="C7613" s="248"/>
      <c r="D7613" s="249"/>
      <c r="E7613" s="249"/>
      <c r="T7613" s="261"/>
    </row>
    <row r="7614" spans="2:20" x14ac:dyDescent="0.2">
      <c r="B7614" s="245"/>
      <c r="C7614" s="248"/>
      <c r="D7614" s="249"/>
      <c r="E7614" s="249"/>
      <c r="T7614" s="261"/>
    </row>
    <row r="7615" spans="2:20" x14ac:dyDescent="0.2">
      <c r="B7615" s="245"/>
      <c r="C7615" s="248"/>
      <c r="D7615" s="249"/>
      <c r="E7615" s="249"/>
      <c r="T7615" s="261"/>
    </row>
    <row r="7616" spans="2:20" x14ac:dyDescent="0.2">
      <c r="B7616" s="245"/>
      <c r="C7616" s="248"/>
      <c r="D7616" s="249"/>
      <c r="E7616" s="249"/>
      <c r="T7616" s="261"/>
    </row>
    <row r="7617" spans="2:20" x14ac:dyDescent="0.2">
      <c r="B7617" s="245"/>
      <c r="C7617" s="248"/>
      <c r="D7617" s="249"/>
      <c r="E7617" s="249"/>
      <c r="T7617" s="261"/>
    </row>
    <row r="7618" spans="2:20" x14ac:dyDescent="0.2">
      <c r="B7618" s="245"/>
      <c r="C7618" s="248"/>
      <c r="D7618" s="249"/>
      <c r="E7618" s="249"/>
      <c r="T7618" s="261"/>
    </row>
    <row r="7619" spans="2:20" x14ac:dyDescent="0.2">
      <c r="B7619" s="245"/>
      <c r="C7619" s="248"/>
      <c r="D7619" s="249"/>
      <c r="E7619" s="249"/>
      <c r="T7619" s="261"/>
    </row>
    <row r="7620" spans="2:20" x14ac:dyDescent="0.2">
      <c r="B7620" s="245"/>
      <c r="C7620" s="248"/>
      <c r="D7620" s="249"/>
      <c r="E7620" s="249"/>
      <c r="T7620" s="261"/>
    </row>
    <row r="7621" spans="2:20" x14ac:dyDescent="0.2">
      <c r="B7621" s="245"/>
      <c r="C7621" s="248"/>
      <c r="D7621" s="249"/>
      <c r="E7621" s="249"/>
      <c r="T7621" s="261"/>
    </row>
    <row r="7622" spans="2:20" x14ac:dyDescent="0.2">
      <c r="B7622" s="245"/>
      <c r="C7622" s="248"/>
      <c r="D7622" s="249"/>
      <c r="E7622" s="249"/>
      <c r="T7622" s="261"/>
    </row>
    <row r="7623" spans="2:20" x14ac:dyDescent="0.2">
      <c r="B7623" s="245"/>
      <c r="C7623" s="248"/>
      <c r="D7623" s="249"/>
      <c r="E7623" s="249"/>
      <c r="T7623" s="261"/>
    </row>
    <row r="7624" spans="2:20" x14ac:dyDescent="0.2">
      <c r="B7624" s="245"/>
      <c r="C7624" s="248"/>
      <c r="D7624" s="249"/>
      <c r="E7624" s="249"/>
      <c r="T7624" s="261"/>
    </row>
    <row r="7625" spans="2:20" x14ac:dyDescent="0.2">
      <c r="B7625" s="245"/>
      <c r="C7625" s="248"/>
      <c r="D7625" s="249"/>
      <c r="E7625" s="249"/>
      <c r="T7625" s="261"/>
    </row>
    <row r="7626" spans="2:20" x14ac:dyDescent="0.2">
      <c r="B7626" s="245"/>
      <c r="C7626" s="248"/>
      <c r="D7626" s="249"/>
      <c r="E7626" s="249"/>
      <c r="T7626" s="261"/>
    </row>
    <row r="7627" spans="2:20" x14ac:dyDescent="0.2">
      <c r="B7627" s="245"/>
      <c r="C7627" s="248"/>
      <c r="D7627" s="249"/>
      <c r="E7627" s="249"/>
      <c r="T7627" s="261"/>
    </row>
    <row r="7628" spans="2:20" x14ac:dyDescent="0.2">
      <c r="B7628" s="245"/>
      <c r="C7628" s="248"/>
      <c r="D7628" s="249"/>
      <c r="E7628" s="249"/>
      <c r="T7628" s="261"/>
    </row>
    <row r="7629" spans="2:20" x14ac:dyDescent="0.2">
      <c r="B7629" s="245"/>
      <c r="C7629" s="248"/>
      <c r="D7629" s="249"/>
      <c r="E7629" s="249"/>
      <c r="T7629" s="261"/>
    </row>
    <row r="7630" spans="2:20" x14ac:dyDescent="0.2">
      <c r="B7630" s="245"/>
      <c r="C7630" s="248"/>
      <c r="D7630" s="249"/>
      <c r="E7630" s="249"/>
      <c r="T7630" s="261"/>
    </row>
    <row r="7631" spans="2:20" x14ac:dyDescent="0.2">
      <c r="B7631" s="245"/>
      <c r="C7631" s="248"/>
      <c r="D7631" s="249"/>
      <c r="E7631" s="249"/>
      <c r="T7631" s="261"/>
    </row>
    <row r="7632" spans="2:20" x14ac:dyDescent="0.2">
      <c r="B7632" s="245"/>
      <c r="C7632" s="248"/>
      <c r="D7632" s="249"/>
      <c r="E7632" s="249"/>
      <c r="T7632" s="261"/>
    </row>
    <row r="7633" spans="2:20" x14ac:dyDescent="0.2">
      <c r="B7633" s="245"/>
      <c r="C7633" s="248"/>
      <c r="D7633" s="249"/>
      <c r="E7633" s="249"/>
      <c r="T7633" s="261"/>
    </row>
    <row r="7634" spans="2:20" x14ac:dyDescent="0.2">
      <c r="B7634" s="245"/>
      <c r="C7634" s="248"/>
      <c r="D7634" s="249"/>
      <c r="E7634" s="249"/>
      <c r="T7634" s="261"/>
    </row>
    <row r="7635" spans="2:20" x14ac:dyDescent="0.2">
      <c r="B7635" s="245"/>
      <c r="C7635" s="248"/>
      <c r="D7635" s="249"/>
      <c r="E7635" s="249"/>
      <c r="T7635" s="261"/>
    </row>
    <row r="7636" spans="2:20" x14ac:dyDescent="0.2">
      <c r="B7636" s="245"/>
      <c r="C7636" s="248"/>
      <c r="D7636" s="249"/>
      <c r="E7636" s="249"/>
      <c r="T7636" s="261"/>
    </row>
    <row r="7637" spans="2:20" x14ac:dyDescent="0.2">
      <c r="B7637" s="245"/>
      <c r="C7637" s="248"/>
      <c r="D7637" s="249"/>
      <c r="E7637" s="249"/>
      <c r="T7637" s="261"/>
    </row>
    <row r="7638" spans="2:20" x14ac:dyDescent="0.2">
      <c r="B7638" s="245"/>
      <c r="C7638" s="248"/>
      <c r="D7638" s="249"/>
      <c r="E7638" s="249"/>
      <c r="T7638" s="261"/>
    </row>
    <row r="7639" spans="2:20" x14ac:dyDescent="0.2">
      <c r="B7639" s="245"/>
      <c r="C7639" s="248"/>
      <c r="D7639" s="249"/>
      <c r="E7639" s="249"/>
      <c r="T7639" s="261"/>
    </row>
    <row r="7640" spans="2:20" x14ac:dyDescent="0.2">
      <c r="B7640" s="245"/>
      <c r="C7640" s="248"/>
      <c r="D7640" s="249"/>
      <c r="E7640" s="249"/>
      <c r="T7640" s="261"/>
    </row>
    <row r="7641" spans="2:20" x14ac:dyDescent="0.2">
      <c r="B7641" s="245"/>
      <c r="C7641" s="248"/>
      <c r="D7641" s="249"/>
      <c r="E7641" s="249"/>
      <c r="T7641" s="261"/>
    </row>
    <row r="7642" spans="2:20" x14ac:dyDescent="0.2">
      <c r="B7642" s="245"/>
      <c r="C7642" s="248"/>
      <c r="D7642" s="249"/>
      <c r="E7642" s="249"/>
      <c r="T7642" s="261"/>
    </row>
    <row r="7643" spans="2:20" x14ac:dyDescent="0.2">
      <c r="B7643" s="245"/>
      <c r="C7643" s="248"/>
      <c r="D7643" s="249"/>
      <c r="E7643" s="249"/>
      <c r="T7643" s="261"/>
    </row>
    <row r="7644" spans="2:20" x14ac:dyDescent="0.2">
      <c r="B7644" s="245"/>
      <c r="C7644" s="248"/>
      <c r="D7644" s="249"/>
      <c r="E7644" s="249"/>
      <c r="T7644" s="261"/>
    </row>
    <row r="7645" spans="2:20" x14ac:dyDescent="0.2">
      <c r="B7645" s="245"/>
      <c r="C7645" s="248"/>
      <c r="D7645" s="249"/>
      <c r="E7645" s="249"/>
      <c r="T7645" s="261"/>
    </row>
    <row r="7646" spans="2:20" x14ac:dyDescent="0.2">
      <c r="B7646" s="245"/>
      <c r="C7646" s="248"/>
      <c r="D7646" s="249"/>
      <c r="E7646" s="249"/>
      <c r="T7646" s="261"/>
    </row>
    <row r="7647" spans="2:20" x14ac:dyDescent="0.2">
      <c r="B7647" s="245"/>
      <c r="C7647" s="248"/>
      <c r="D7647" s="249"/>
      <c r="E7647" s="249"/>
      <c r="T7647" s="261"/>
    </row>
    <row r="7648" spans="2:20" x14ac:dyDescent="0.2">
      <c r="B7648" s="245"/>
      <c r="C7648" s="248"/>
      <c r="D7648" s="249"/>
      <c r="E7648" s="249"/>
      <c r="T7648" s="261"/>
    </row>
    <row r="7649" spans="2:20" x14ac:dyDescent="0.2">
      <c r="B7649" s="245"/>
      <c r="C7649" s="248"/>
      <c r="D7649" s="249"/>
      <c r="E7649" s="249"/>
      <c r="T7649" s="261"/>
    </row>
    <row r="7650" spans="2:20" x14ac:dyDescent="0.2">
      <c r="B7650" s="245"/>
      <c r="C7650" s="248"/>
      <c r="D7650" s="249"/>
      <c r="E7650" s="249"/>
      <c r="T7650" s="261"/>
    </row>
    <row r="7651" spans="2:20" x14ac:dyDescent="0.2">
      <c r="B7651" s="245"/>
      <c r="C7651" s="248"/>
      <c r="D7651" s="249"/>
      <c r="E7651" s="249"/>
      <c r="T7651" s="261"/>
    </row>
    <row r="7652" spans="2:20" x14ac:dyDescent="0.2">
      <c r="B7652" s="245"/>
      <c r="C7652" s="248"/>
      <c r="D7652" s="249"/>
      <c r="E7652" s="249"/>
      <c r="T7652" s="261"/>
    </row>
    <row r="7653" spans="2:20" x14ac:dyDescent="0.2">
      <c r="B7653" s="245"/>
      <c r="C7653" s="248"/>
      <c r="D7653" s="249"/>
      <c r="E7653" s="249"/>
      <c r="T7653" s="261"/>
    </row>
    <row r="7654" spans="2:20" x14ac:dyDescent="0.2">
      <c r="B7654" s="245"/>
      <c r="C7654" s="248"/>
      <c r="D7654" s="249"/>
      <c r="E7654" s="249"/>
      <c r="T7654" s="261"/>
    </row>
    <row r="7655" spans="2:20" x14ac:dyDescent="0.2">
      <c r="B7655" s="245"/>
      <c r="C7655" s="248"/>
      <c r="D7655" s="249"/>
      <c r="E7655" s="249"/>
      <c r="T7655" s="261"/>
    </row>
    <row r="7656" spans="2:20" x14ac:dyDescent="0.2">
      <c r="B7656" s="245"/>
      <c r="C7656" s="248"/>
      <c r="D7656" s="249"/>
      <c r="E7656" s="249"/>
      <c r="T7656" s="261"/>
    </row>
    <row r="7657" spans="2:20" x14ac:dyDescent="0.2">
      <c r="B7657" s="245"/>
      <c r="C7657" s="248"/>
      <c r="D7657" s="249"/>
      <c r="E7657" s="249"/>
      <c r="T7657" s="261"/>
    </row>
    <row r="7658" spans="2:20" x14ac:dyDescent="0.2">
      <c r="B7658" s="245"/>
      <c r="C7658" s="248"/>
      <c r="D7658" s="249"/>
      <c r="E7658" s="249"/>
      <c r="T7658" s="261"/>
    </row>
    <row r="7659" spans="2:20" x14ac:dyDescent="0.2">
      <c r="B7659" s="245"/>
      <c r="C7659" s="248"/>
      <c r="D7659" s="249"/>
      <c r="E7659" s="249"/>
      <c r="T7659" s="261"/>
    </row>
    <row r="7660" spans="2:20" x14ac:dyDescent="0.2">
      <c r="B7660" s="245"/>
      <c r="C7660" s="248"/>
      <c r="D7660" s="249"/>
      <c r="E7660" s="249"/>
      <c r="T7660" s="261"/>
    </row>
    <row r="7661" spans="2:20" x14ac:dyDescent="0.2">
      <c r="B7661" s="245"/>
      <c r="C7661" s="248"/>
      <c r="D7661" s="249"/>
      <c r="E7661" s="249"/>
      <c r="T7661" s="261"/>
    </row>
    <row r="7662" spans="2:20" x14ac:dyDescent="0.2">
      <c r="B7662" s="245"/>
      <c r="C7662" s="248"/>
      <c r="D7662" s="249"/>
      <c r="E7662" s="249"/>
      <c r="T7662" s="261"/>
    </row>
    <row r="7663" spans="2:20" x14ac:dyDescent="0.2">
      <c r="B7663" s="245"/>
      <c r="C7663" s="248"/>
      <c r="D7663" s="249"/>
      <c r="E7663" s="249"/>
      <c r="T7663" s="261"/>
    </row>
    <row r="7664" spans="2:20" x14ac:dyDescent="0.2">
      <c r="B7664" s="245"/>
      <c r="C7664" s="248"/>
      <c r="D7664" s="249"/>
      <c r="E7664" s="249"/>
      <c r="T7664" s="261"/>
    </row>
    <row r="7665" spans="2:20" x14ac:dyDescent="0.2">
      <c r="B7665" s="245"/>
      <c r="C7665" s="248"/>
      <c r="D7665" s="249"/>
      <c r="E7665" s="249"/>
      <c r="T7665" s="261"/>
    </row>
    <row r="7666" spans="2:20" x14ac:dyDescent="0.2">
      <c r="B7666" s="245"/>
      <c r="C7666" s="248"/>
      <c r="D7666" s="249"/>
      <c r="E7666" s="249"/>
      <c r="T7666" s="261"/>
    </row>
    <row r="7667" spans="2:20" x14ac:dyDescent="0.2">
      <c r="B7667" s="245"/>
      <c r="C7667" s="248"/>
      <c r="D7667" s="249"/>
      <c r="E7667" s="249"/>
      <c r="T7667" s="261"/>
    </row>
    <row r="7668" spans="2:20" x14ac:dyDescent="0.2">
      <c r="B7668" s="245"/>
      <c r="C7668" s="248"/>
      <c r="D7668" s="249"/>
      <c r="E7668" s="249"/>
      <c r="T7668" s="261"/>
    </row>
    <row r="7669" spans="2:20" x14ac:dyDescent="0.2">
      <c r="B7669" s="245"/>
      <c r="C7669" s="248"/>
      <c r="D7669" s="249"/>
      <c r="E7669" s="249"/>
      <c r="T7669" s="261"/>
    </row>
    <row r="7670" spans="2:20" x14ac:dyDescent="0.2">
      <c r="B7670" s="245"/>
      <c r="C7670" s="248"/>
      <c r="D7670" s="249"/>
      <c r="E7670" s="249"/>
      <c r="T7670" s="261"/>
    </row>
    <row r="7671" spans="2:20" x14ac:dyDescent="0.2">
      <c r="B7671" s="245"/>
      <c r="C7671" s="248"/>
      <c r="D7671" s="249"/>
      <c r="E7671" s="249"/>
      <c r="T7671" s="261"/>
    </row>
    <row r="7672" spans="2:20" x14ac:dyDescent="0.2">
      <c r="B7672" s="245"/>
      <c r="C7672" s="248"/>
      <c r="D7672" s="249"/>
      <c r="E7672" s="249"/>
      <c r="T7672" s="261"/>
    </row>
    <row r="7673" spans="2:20" x14ac:dyDescent="0.2">
      <c r="B7673" s="245"/>
      <c r="C7673" s="248"/>
      <c r="D7673" s="249"/>
      <c r="E7673" s="249"/>
      <c r="T7673" s="261"/>
    </row>
    <row r="7674" spans="2:20" x14ac:dyDescent="0.2">
      <c r="B7674" s="245"/>
      <c r="C7674" s="248"/>
      <c r="D7674" s="249"/>
      <c r="E7674" s="249"/>
      <c r="T7674" s="261"/>
    </row>
    <row r="7675" spans="2:20" x14ac:dyDescent="0.2">
      <c r="B7675" s="245"/>
      <c r="C7675" s="248"/>
      <c r="D7675" s="249"/>
      <c r="E7675" s="249"/>
      <c r="T7675" s="261"/>
    </row>
    <row r="7676" spans="2:20" x14ac:dyDescent="0.2">
      <c r="B7676" s="245"/>
      <c r="C7676" s="248"/>
      <c r="D7676" s="249"/>
      <c r="E7676" s="249"/>
      <c r="T7676" s="261"/>
    </row>
    <row r="7677" spans="2:20" x14ac:dyDescent="0.2">
      <c r="B7677" s="245"/>
      <c r="C7677" s="248"/>
      <c r="D7677" s="249"/>
      <c r="E7677" s="249"/>
      <c r="T7677" s="261"/>
    </row>
    <row r="7678" spans="2:20" x14ac:dyDescent="0.2">
      <c r="B7678" s="245"/>
      <c r="C7678" s="248"/>
      <c r="D7678" s="249"/>
      <c r="E7678" s="249"/>
      <c r="T7678" s="261"/>
    </row>
    <row r="7679" spans="2:20" x14ac:dyDescent="0.2">
      <c r="B7679" s="245"/>
      <c r="C7679" s="248"/>
      <c r="D7679" s="249"/>
      <c r="E7679" s="249"/>
      <c r="T7679" s="261"/>
    </row>
    <row r="7680" spans="2:20" x14ac:dyDescent="0.2">
      <c r="B7680" s="245"/>
      <c r="C7680" s="248"/>
      <c r="D7680" s="249"/>
      <c r="E7680" s="249"/>
      <c r="T7680" s="261"/>
    </row>
    <row r="7681" spans="2:20" x14ac:dyDescent="0.2">
      <c r="B7681" s="245"/>
      <c r="C7681" s="248"/>
      <c r="D7681" s="249"/>
      <c r="E7681" s="249"/>
      <c r="T7681" s="261"/>
    </row>
    <row r="7682" spans="2:20" x14ac:dyDescent="0.2">
      <c r="B7682" s="245"/>
      <c r="C7682" s="248"/>
      <c r="D7682" s="249"/>
      <c r="E7682" s="249"/>
      <c r="T7682" s="261"/>
    </row>
    <row r="7683" spans="2:20" x14ac:dyDescent="0.2">
      <c r="B7683" s="245"/>
      <c r="C7683" s="248"/>
      <c r="D7683" s="249"/>
      <c r="E7683" s="249"/>
      <c r="T7683" s="261"/>
    </row>
    <row r="7684" spans="2:20" x14ac:dyDescent="0.2">
      <c r="B7684" s="245"/>
      <c r="C7684" s="248"/>
      <c r="D7684" s="249"/>
      <c r="E7684" s="249"/>
      <c r="T7684" s="261"/>
    </row>
    <row r="7685" spans="2:20" x14ac:dyDescent="0.2">
      <c r="B7685" s="245"/>
      <c r="C7685" s="248"/>
      <c r="D7685" s="249"/>
      <c r="E7685" s="249"/>
      <c r="T7685" s="261"/>
    </row>
    <row r="7686" spans="2:20" x14ac:dyDescent="0.2">
      <c r="B7686" s="245"/>
      <c r="C7686" s="248"/>
      <c r="D7686" s="249"/>
      <c r="E7686" s="249"/>
      <c r="T7686" s="261"/>
    </row>
    <row r="7687" spans="2:20" x14ac:dyDescent="0.2">
      <c r="B7687" s="245"/>
      <c r="C7687" s="248"/>
      <c r="D7687" s="249"/>
      <c r="E7687" s="249"/>
      <c r="T7687" s="261"/>
    </row>
    <row r="7688" spans="2:20" x14ac:dyDescent="0.2">
      <c r="B7688" s="245"/>
      <c r="C7688" s="248"/>
      <c r="D7688" s="249"/>
      <c r="E7688" s="249"/>
      <c r="T7688" s="261"/>
    </row>
    <row r="7689" spans="2:20" x14ac:dyDescent="0.2">
      <c r="B7689" s="245"/>
      <c r="C7689" s="248"/>
      <c r="D7689" s="249"/>
      <c r="E7689" s="249"/>
      <c r="T7689" s="261"/>
    </row>
    <row r="7690" spans="2:20" x14ac:dyDescent="0.2">
      <c r="B7690" s="245"/>
      <c r="C7690" s="248"/>
      <c r="D7690" s="249"/>
      <c r="E7690" s="249"/>
      <c r="T7690" s="261"/>
    </row>
    <row r="7691" spans="2:20" x14ac:dyDescent="0.2">
      <c r="B7691" s="245"/>
      <c r="C7691" s="248"/>
      <c r="D7691" s="249"/>
      <c r="E7691" s="249"/>
      <c r="T7691" s="261"/>
    </row>
    <row r="7692" spans="2:20" x14ac:dyDescent="0.2">
      <c r="B7692" s="245"/>
      <c r="C7692" s="248"/>
      <c r="D7692" s="249"/>
      <c r="E7692" s="249"/>
      <c r="T7692" s="261"/>
    </row>
    <row r="7693" spans="2:20" x14ac:dyDescent="0.2">
      <c r="B7693" s="245"/>
      <c r="C7693" s="248"/>
      <c r="D7693" s="249"/>
      <c r="E7693" s="249"/>
      <c r="T7693" s="261"/>
    </row>
    <row r="7694" spans="2:20" x14ac:dyDescent="0.2">
      <c r="B7694" s="245"/>
      <c r="C7694" s="248"/>
      <c r="D7694" s="249"/>
      <c r="E7694" s="249"/>
      <c r="T7694" s="261"/>
    </row>
    <row r="7695" spans="2:20" x14ac:dyDescent="0.2">
      <c r="B7695" s="245"/>
      <c r="C7695" s="248"/>
      <c r="D7695" s="249"/>
      <c r="E7695" s="249"/>
      <c r="T7695" s="261"/>
    </row>
    <row r="7696" spans="2:20" x14ac:dyDescent="0.2">
      <c r="B7696" s="245"/>
      <c r="C7696" s="248"/>
      <c r="D7696" s="249"/>
      <c r="E7696" s="249"/>
      <c r="T7696" s="261"/>
    </row>
    <row r="7697" spans="2:20" x14ac:dyDescent="0.2">
      <c r="B7697" s="245"/>
      <c r="C7697" s="248"/>
      <c r="D7697" s="249"/>
      <c r="E7697" s="249"/>
      <c r="T7697" s="261"/>
    </row>
    <row r="7698" spans="2:20" x14ac:dyDescent="0.2">
      <c r="B7698" s="245"/>
      <c r="C7698" s="248"/>
      <c r="D7698" s="249"/>
      <c r="E7698" s="249"/>
      <c r="T7698" s="261"/>
    </row>
    <row r="7699" spans="2:20" x14ac:dyDescent="0.2">
      <c r="B7699" s="245"/>
      <c r="C7699" s="248"/>
      <c r="D7699" s="249"/>
      <c r="E7699" s="249"/>
      <c r="T7699" s="261"/>
    </row>
    <row r="7700" spans="2:20" x14ac:dyDescent="0.2">
      <c r="B7700" s="245"/>
      <c r="C7700" s="248"/>
      <c r="D7700" s="249"/>
      <c r="E7700" s="249"/>
      <c r="T7700" s="261"/>
    </row>
    <row r="7701" spans="2:20" x14ac:dyDescent="0.2">
      <c r="B7701" s="245"/>
      <c r="C7701" s="248"/>
      <c r="D7701" s="249"/>
      <c r="E7701" s="249"/>
      <c r="T7701" s="261"/>
    </row>
    <row r="7702" spans="2:20" x14ac:dyDescent="0.2">
      <c r="B7702" s="245"/>
      <c r="C7702" s="248"/>
      <c r="D7702" s="249"/>
      <c r="E7702" s="249"/>
      <c r="T7702" s="261"/>
    </row>
    <row r="7703" spans="2:20" x14ac:dyDescent="0.2">
      <c r="B7703" s="245"/>
      <c r="C7703" s="248"/>
      <c r="D7703" s="249"/>
      <c r="E7703" s="249"/>
      <c r="T7703" s="261"/>
    </row>
    <row r="7704" spans="2:20" x14ac:dyDescent="0.2">
      <c r="B7704" s="245"/>
      <c r="C7704" s="248"/>
      <c r="D7704" s="249"/>
      <c r="E7704" s="249"/>
      <c r="T7704" s="261"/>
    </row>
    <row r="7705" spans="2:20" x14ac:dyDescent="0.2">
      <c r="B7705" s="245"/>
      <c r="C7705" s="248"/>
      <c r="D7705" s="249"/>
      <c r="E7705" s="249"/>
      <c r="T7705" s="261"/>
    </row>
    <row r="7706" spans="2:20" x14ac:dyDescent="0.2">
      <c r="B7706" s="245"/>
      <c r="C7706" s="248"/>
      <c r="D7706" s="249"/>
      <c r="E7706" s="249"/>
      <c r="T7706" s="261"/>
    </row>
    <row r="7707" spans="2:20" x14ac:dyDescent="0.2">
      <c r="B7707" s="245"/>
      <c r="C7707" s="248"/>
      <c r="D7707" s="249"/>
      <c r="E7707" s="249"/>
      <c r="T7707" s="261"/>
    </row>
    <row r="7708" spans="2:20" x14ac:dyDescent="0.2">
      <c r="B7708" s="245"/>
      <c r="C7708" s="248"/>
      <c r="D7708" s="249"/>
      <c r="E7708" s="249"/>
      <c r="T7708" s="261"/>
    </row>
    <row r="7709" spans="2:20" x14ac:dyDescent="0.2">
      <c r="B7709" s="245"/>
      <c r="C7709" s="248"/>
      <c r="D7709" s="249"/>
      <c r="E7709" s="249"/>
      <c r="T7709" s="261"/>
    </row>
    <row r="7710" spans="2:20" x14ac:dyDescent="0.2">
      <c r="B7710" s="245"/>
      <c r="C7710" s="248"/>
      <c r="D7710" s="249"/>
      <c r="E7710" s="249"/>
      <c r="T7710" s="261"/>
    </row>
    <row r="7711" spans="2:20" x14ac:dyDescent="0.2">
      <c r="B7711" s="245"/>
      <c r="C7711" s="248"/>
      <c r="D7711" s="249"/>
      <c r="E7711" s="249"/>
      <c r="T7711" s="261"/>
    </row>
    <row r="7712" spans="2:20" x14ac:dyDescent="0.2">
      <c r="B7712" s="245"/>
      <c r="C7712" s="248"/>
      <c r="D7712" s="249"/>
      <c r="E7712" s="249"/>
      <c r="T7712" s="261"/>
    </row>
    <row r="7713" spans="2:20" x14ac:dyDescent="0.2">
      <c r="B7713" s="245"/>
      <c r="C7713" s="248"/>
      <c r="D7713" s="249"/>
      <c r="E7713" s="249"/>
      <c r="T7713" s="261"/>
    </row>
    <row r="7714" spans="2:20" x14ac:dyDescent="0.2">
      <c r="B7714" s="245"/>
      <c r="C7714" s="248"/>
      <c r="D7714" s="249"/>
      <c r="E7714" s="249"/>
      <c r="T7714" s="261"/>
    </row>
    <row r="7715" spans="2:20" x14ac:dyDescent="0.2">
      <c r="B7715" s="245"/>
      <c r="C7715" s="248"/>
      <c r="D7715" s="249"/>
      <c r="E7715" s="249"/>
      <c r="T7715" s="261"/>
    </row>
    <row r="7716" spans="2:20" x14ac:dyDescent="0.2">
      <c r="B7716" s="245"/>
      <c r="C7716" s="248"/>
      <c r="D7716" s="249"/>
      <c r="E7716" s="249"/>
      <c r="T7716" s="261"/>
    </row>
    <row r="7717" spans="2:20" x14ac:dyDescent="0.2">
      <c r="B7717" s="245"/>
      <c r="C7717" s="248"/>
      <c r="D7717" s="249"/>
      <c r="E7717" s="249"/>
      <c r="T7717" s="261"/>
    </row>
    <row r="7718" spans="2:20" x14ac:dyDescent="0.2">
      <c r="B7718" s="245"/>
      <c r="C7718" s="248"/>
      <c r="D7718" s="249"/>
      <c r="E7718" s="249"/>
      <c r="T7718" s="261"/>
    </row>
    <row r="7719" spans="2:20" x14ac:dyDescent="0.2">
      <c r="B7719" s="245"/>
      <c r="C7719" s="248"/>
      <c r="D7719" s="249"/>
      <c r="E7719" s="249"/>
      <c r="T7719" s="261"/>
    </row>
    <row r="7720" spans="2:20" x14ac:dyDescent="0.2">
      <c r="B7720" s="245"/>
      <c r="C7720" s="248"/>
      <c r="D7720" s="249"/>
      <c r="E7720" s="249"/>
      <c r="T7720" s="261"/>
    </row>
    <row r="7721" spans="2:20" x14ac:dyDescent="0.2">
      <c r="B7721" s="245"/>
      <c r="C7721" s="248"/>
      <c r="D7721" s="249"/>
      <c r="E7721" s="249"/>
      <c r="T7721" s="261"/>
    </row>
    <row r="7722" spans="2:20" x14ac:dyDescent="0.2">
      <c r="B7722" s="245"/>
      <c r="C7722" s="248"/>
      <c r="D7722" s="249"/>
      <c r="E7722" s="249"/>
      <c r="T7722" s="261"/>
    </row>
    <row r="7723" spans="2:20" x14ac:dyDescent="0.2">
      <c r="B7723" s="245"/>
      <c r="C7723" s="248"/>
      <c r="D7723" s="249"/>
      <c r="E7723" s="249"/>
      <c r="T7723" s="261"/>
    </row>
    <row r="7724" spans="2:20" x14ac:dyDescent="0.2">
      <c r="B7724" s="245"/>
      <c r="C7724" s="248"/>
      <c r="D7724" s="249"/>
      <c r="E7724" s="249"/>
      <c r="T7724" s="261"/>
    </row>
    <row r="7725" spans="2:20" x14ac:dyDescent="0.2">
      <c r="B7725" s="245"/>
      <c r="C7725" s="248"/>
      <c r="D7725" s="249"/>
      <c r="E7725" s="249"/>
      <c r="T7725" s="261"/>
    </row>
    <row r="7726" spans="2:20" x14ac:dyDescent="0.2">
      <c r="B7726" s="245"/>
      <c r="C7726" s="248"/>
      <c r="D7726" s="249"/>
      <c r="E7726" s="249"/>
      <c r="T7726" s="261"/>
    </row>
    <row r="7727" spans="2:20" x14ac:dyDescent="0.2">
      <c r="B7727" s="245"/>
      <c r="C7727" s="248"/>
      <c r="D7727" s="249"/>
      <c r="E7727" s="249"/>
      <c r="T7727" s="261"/>
    </row>
    <row r="7728" spans="2:20" x14ac:dyDescent="0.2">
      <c r="B7728" s="245"/>
      <c r="C7728" s="248"/>
      <c r="D7728" s="249"/>
      <c r="E7728" s="249"/>
      <c r="T7728" s="261"/>
    </row>
    <row r="7729" spans="2:20" x14ac:dyDescent="0.2">
      <c r="B7729" s="245"/>
      <c r="C7729" s="248"/>
      <c r="D7729" s="249"/>
      <c r="E7729" s="249"/>
      <c r="T7729" s="261"/>
    </row>
    <row r="7730" spans="2:20" x14ac:dyDescent="0.2">
      <c r="B7730" s="245"/>
      <c r="C7730" s="248"/>
      <c r="D7730" s="249"/>
      <c r="E7730" s="249"/>
      <c r="T7730" s="261"/>
    </row>
    <row r="7731" spans="2:20" x14ac:dyDescent="0.2">
      <c r="B7731" s="245"/>
      <c r="C7731" s="248"/>
      <c r="D7731" s="249"/>
      <c r="E7731" s="249"/>
      <c r="T7731" s="261"/>
    </row>
    <row r="7732" spans="2:20" x14ac:dyDescent="0.2">
      <c r="B7732" s="245"/>
      <c r="C7732" s="248"/>
      <c r="D7732" s="249"/>
      <c r="E7732" s="249"/>
      <c r="T7732" s="261"/>
    </row>
    <row r="7733" spans="2:20" x14ac:dyDescent="0.2">
      <c r="B7733" s="245"/>
      <c r="C7733" s="248"/>
      <c r="D7733" s="249"/>
      <c r="E7733" s="249"/>
      <c r="T7733" s="261"/>
    </row>
    <row r="7734" spans="2:20" x14ac:dyDescent="0.2">
      <c r="B7734" s="245"/>
      <c r="C7734" s="248"/>
      <c r="D7734" s="249"/>
      <c r="E7734" s="249"/>
      <c r="T7734" s="261"/>
    </row>
    <row r="7735" spans="2:20" x14ac:dyDescent="0.2">
      <c r="B7735" s="245"/>
      <c r="C7735" s="248"/>
      <c r="D7735" s="249"/>
      <c r="E7735" s="249"/>
      <c r="T7735" s="261"/>
    </row>
    <row r="7736" spans="2:20" x14ac:dyDescent="0.2">
      <c r="B7736" s="245"/>
      <c r="C7736" s="248"/>
      <c r="D7736" s="249"/>
      <c r="E7736" s="249"/>
      <c r="T7736" s="261"/>
    </row>
    <row r="7737" spans="2:20" x14ac:dyDescent="0.2">
      <c r="B7737" s="245"/>
      <c r="C7737" s="248"/>
      <c r="D7737" s="249"/>
      <c r="E7737" s="249"/>
      <c r="T7737" s="261"/>
    </row>
    <row r="7738" spans="2:20" x14ac:dyDescent="0.2">
      <c r="B7738" s="245"/>
      <c r="C7738" s="248"/>
      <c r="D7738" s="249"/>
      <c r="E7738" s="249"/>
      <c r="T7738" s="261"/>
    </row>
    <row r="7739" spans="2:20" x14ac:dyDescent="0.2">
      <c r="B7739" s="245"/>
      <c r="C7739" s="248"/>
      <c r="D7739" s="249"/>
      <c r="E7739" s="249"/>
      <c r="T7739" s="261"/>
    </row>
    <row r="7740" spans="2:20" x14ac:dyDescent="0.2">
      <c r="B7740" s="245"/>
      <c r="C7740" s="248"/>
      <c r="D7740" s="249"/>
      <c r="E7740" s="249"/>
      <c r="T7740" s="261"/>
    </row>
    <row r="7741" spans="2:20" x14ac:dyDescent="0.2">
      <c r="B7741" s="245"/>
      <c r="C7741" s="248"/>
      <c r="D7741" s="249"/>
      <c r="E7741" s="249"/>
      <c r="T7741" s="261"/>
    </row>
    <row r="7742" spans="2:20" x14ac:dyDescent="0.2">
      <c r="B7742" s="245"/>
      <c r="C7742" s="248"/>
      <c r="D7742" s="249"/>
      <c r="E7742" s="249"/>
      <c r="T7742" s="261"/>
    </row>
    <row r="7743" spans="2:20" x14ac:dyDescent="0.2">
      <c r="B7743" s="245"/>
      <c r="C7743" s="248"/>
      <c r="D7743" s="249"/>
      <c r="E7743" s="249"/>
      <c r="T7743" s="261"/>
    </row>
    <row r="7744" spans="2:20" x14ac:dyDescent="0.2">
      <c r="B7744" s="245"/>
      <c r="C7744" s="248"/>
      <c r="D7744" s="249"/>
      <c r="E7744" s="249"/>
      <c r="T7744" s="261"/>
    </row>
    <row r="7745" spans="2:20" x14ac:dyDescent="0.2">
      <c r="B7745" s="245"/>
      <c r="C7745" s="248"/>
      <c r="D7745" s="249"/>
      <c r="E7745" s="249"/>
      <c r="T7745" s="261"/>
    </row>
    <row r="7746" spans="2:20" x14ac:dyDescent="0.2">
      <c r="B7746" s="245"/>
      <c r="C7746" s="248"/>
      <c r="D7746" s="249"/>
      <c r="E7746" s="249"/>
      <c r="T7746" s="261"/>
    </row>
    <row r="7747" spans="2:20" x14ac:dyDescent="0.2">
      <c r="B7747" s="245"/>
      <c r="C7747" s="248"/>
      <c r="D7747" s="249"/>
      <c r="E7747" s="249"/>
      <c r="T7747" s="261"/>
    </row>
    <row r="7748" spans="2:20" x14ac:dyDescent="0.2">
      <c r="B7748" s="245"/>
      <c r="C7748" s="248"/>
      <c r="D7748" s="249"/>
      <c r="E7748" s="249"/>
      <c r="T7748" s="261"/>
    </row>
    <row r="7749" spans="2:20" x14ac:dyDescent="0.2">
      <c r="B7749" s="245"/>
      <c r="C7749" s="248"/>
      <c r="D7749" s="249"/>
      <c r="E7749" s="249"/>
      <c r="T7749" s="261"/>
    </row>
    <row r="7750" spans="2:20" x14ac:dyDescent="0.2">
      <c r="B7750" s="245"/>
      <c r="C7750" s="248"/>
      <c r="D7750" s="249"/>
      <c r="E7750" s="249"/>
      <c r="T7750" s="261"/>
    </row>
    <row r="7751" spans="2:20" x14ac:dyDescent="0.2">
      <c r="B7751" s="245"/>
      <c r="C7751" s="248"/>
      <c r="D7751" s="249"/>
      <c r="E7751" s="249"/>
      <c r="T7751" s="261"/>
    </row>
    <row r="7752" spans="2:20" x14ac:dyDescent="0.2">
      <c r="B7752" s="245"/>
      <c r="C7752" s="248"/>
      <c r="D7752" s="249"/>
      <c r="E7752" s="249"/>
      <c r="T7752" s="261"/>
    </row>
    <row r="7753" spans="2:20" x14ac:dyDescent="0.2">
      <c r="B7753" s="245"/>
      <c r="C7753" s="248"/>
      <c r="D7753" s="249"/>
      <c r="E7753" s="249"/>
      <c r="T7753" s="261"/>
    </row>
    <row r="7754" spans="2:20" x14ac:dyDescent="0.2">
      <c r="B7754" s="245"/>
      <c r="C7754" s="248"/>
      <c r="D7754" s="249"/>
      <c r="E7754" s="249"/>
      <c r="T7754" s="261"/>
    </row>
    <row r="7755" spans="2:20" x14ac:dyDescent="0.2">
      <c r="B7755" s="245"/>
      <c r="C7755" s="248"/>
      <c r="D7755" s="249"/>
      <c r="E7755" s="249"/>
      <c r="T7755" s="261"/>
    </row>
    <row r="7756" spans="2:20" x14ac:dyDescent="0.2">
      <c r="B7756" s="245"/>
      <c r="C7756" s="248"/>
      <c r="D7756" s="249"/>
      <c r="E7756" s="249"/>
      <c r="T7756" s="261"/>
    </row>
    <row r="7757" spans="2:20" x14ac:dyDescent="0.2">
      <c r="B7757" s="245"/>
      <c r="C7757" s="248"/>
      <c r="D7757" s="249"/>
      <c r="E7757" s="249"/>
      <c r="T7757" s="261"/>
    </row>
    <row r="7758" spans="2:20" x14ac:dyDescent="0.2">
      <c r="B7758" s="245"/>
      <c r="C7758" s="248"/>
      <c r="D7758" s="249"/>
      <c r="E7758" s="249"/>
      <c r="T7758" s="261"/>
    </row>
    <row r="7759" spans="2:20" x14ac:dyDescent="0.2">
      <c r="B7759" s="245"/>
      <c r="C7759" s="248"/>
      <c r="D7759" s="249"/>
      <c r="E7759" s="249"/>
      <c r="T7759" s="261"/>
    </row>
    <row r="7760" spans="2:20" x14ac:dyDescent="0.2">
      <c r="B7760" s="245"/>
      <c r="C7760" s="248"/>
      <c r="D7760" s="249"/>
      <c r="E7760" s="249"/>
      <c r="T7760" s="261"/>
    </row>
    <row r="7761" spans="2:20" x14ac:dyDescent="0.2">
      <c r="B7761" s="245"/>
      <c r="C7761" s="248"/>
      <c r="D7761" s="249"/>
      <c r="E7761" s="249"/>
      <c r="T7761" s="261"/>
    </row>
    <row r="7762" spans="2:20" x14ac:dyDescent="0.2">
      <c r="B7762" s="245"/>
      <c r="C7762" s="248"/>
      <c r="D7762" s="249"/>
      <c r="E7762" s="249"/>
      <c r="T7762" s="261"/>
    </row>
    <row r="7763" spans="2:20" x14ac:dyDescent="0.2">
      <c r="B7763" s="245"/>
      <c r="C7763" s="248"/>
      <c r="D7763" s="249"/>
      <c r="E7763" s="249"/>
      <c r="T7763" s="261"/>
    </row>
    <row r="7764" spans="2:20" x14ac:dyDescent="0.2">
      <c r="B7764" s="245"/>
      <c r="C7764" s="248"/>
      <c r="D7764" s="249"/>
      <c r="E7764" s="249"/>
      <c r="T7764" s="261"/>
    </row>
    <row r="7765" spans="2:20" x14ac:dyDescent="0.2">
      <c r="B7765" s="245"/>
      <c r="C7765" s="248"/>
      <c r="D7765" s="249"/>
      <c r="E7765" s="249"/>
      <c r="T7765" s="261"/>
    </row>
    <row r="7766" spans="2:20" x14ac:dyDescent="0.2">
      <c r="B7766" s="245"/>
      <c r="C7766" s="248"/>
      <c r="D7766" s="249"/>
      <c r="E7766" s="249"/>
      <c r="T7766" s="261"/>
    </row>
    <row r="7767" spans="2:20" x14ac:dyDescent="0.2">
      <c r="B7767" s="245"/>
      <c r="C7767" s="248"/>
      <c r="D7767" s="249"/>
      <c r="E7767" s="249"/>
      <c r="T7767" s="261"/>
    </row>
    <row r="7768" spans="2:20" x14ac:dyDescent="0.2">
      <c r="B7768" s="245"/>
      <c r="C7768" s="248"/>
      <c r="D7768" s="249"/>
      <c r="E7768" s="249"/>
      <c r="T7768" s="261"/>
    </row>
    <row r="7769" spans="2:20" x14ac:dyDescent="0.2">
      <c r="B7769" s="245"/>
      <c r="C7769" s="248"/>
      <c r="D7769" s="249"/>
      <c r="E7769" s="249"/>
      <c r="T7769" s="261"/>
    </row>
    <row r="7770" spans="2:20" x14ac:dyDescent="0.2">
      <c r="B7770" s="245"/>
      <c r="C7770" s="248"/>
      <c r="D7770" s="249"/>
      <c r="E7770" s="249"/>
      <c r="T7770" s="261"/>
    </row>
    <row r="7771" spans="2:20" x14ac:dyDescent="0.2">
      <c r="B7771" s="245"/>
      <c r="C7771" s="248"/>
      <c r="D7771" s="249"/>
      <c r="E7771" s="249"/>
      <c r="T7771" s="261"/>
    </row>
    <row r="7772" spans="2:20" x14ac:dyDescent="0.2">
      <c r="B7772" s="245"/>
      <c r="C7772" s="248"/>
      <c r="D7772" s="249"/>
      <c r="E7772" s="249"/>
      <c r="T7772" s="261"/>
    </row>
    <row r="7773" spans="2:20" x14ac:dyDescent="0.2">
      <c r="B7773" s="245"/>
      <c r="C7773" s="248"/>
      <c r="D7773" s="249"/>
      <c r="E7773" s="249"/>
      <c r="T7773" s="261"/>
    </row>
    <row r="7774" spans="2:20" x14ac:dyDescent="0.2">
      <c r="B7774" s="245"/>
      <c r="C7774" s="248"/>
      <c r="D7774" s="249"/>
      <c r="E7774" s="249"/>
      <c r="T7774" s="261"/>
    </row>
    <row r="7775" spans="2:20" x14ac:dyDescent="0.2">
      <c r="B7775" s="245"/>
      <c r="C7775" s="248"/>
      <c r="D7775" s="249"/>
      <c r="E7775" s="249"/>
      <c r="T7775" s="261"/>
    </row>
    <row r="7776" spans="2:20" x14ac:dyDescent="0.2">
      <c r="B7776" s="245"/>
      <c r="C7776" s="248"/>
      <c r="D7776" s="249"/>
      <c r="E7776" s="249"/>
      <c r="T7776" s="261"/>
    </row>
    <row r="7777" spans="2:20" x14ac:dyDescent="0.2">
      <c r="B7777" s="245"/>
      <c r="C7777" s="248"/>
      <c r="D7777" s="249"/>
      <c r="E7777" s="249"/>
      <c r="T7777" s="261"/>
    </row>
    <row r="7778" spans="2:20" x14ac:dyDescent="0.2">
      <c r="B7778" s="245"/>
      <c r="C7778" s="248"/>
      <c r="D7778" s="249"/>
      <c r="E7778" s="249"/>
      <c r="T7778" s="261"/>
    </row>
    <row r="7779" spans="2:20" x14ac:dyDescent="0.2">
      <c r="B7779" s="245"/>
      <c r="C7779" s="248"/>
      <c r="D7779" s="249"/>
      <c r="E7779" s="249"/>
      <c r="T7779" s="261"/>
    </row>
    <row r="7780" spans="2:20" x14ac:dyDescent="0.2">
      <c r="B7780" s="245"/>
      <c r="C7780" s="248"/>
      <c r="D7780" s="249"/>
      <c r="E7780" s="249"/>
      <c r="T7780" s="261"/>
    </row>
    <row r="7781" spans="2:20" x14ac:dyDescent="0.2">
      <c r="B7781" s="245"/>
      <c r="C7781" s="248"/>
      <c r="D7781" s="249"/>
      <c r="E7781" s="249"/>
      <c r="T7781" s="261"/>
    </row>
    <row r="7782" spans="2:20" x14ac:dyDescent="0.2">
      <c r="B7782" s="245"/>
      <c r="C7782" s="248"/>
      <c r="D7782" s="249"/>
      <c r="E7782" s="249"/>
      <c r="T7782" s="261"/>
    </row>
    <row r="7783" spans="2:20" x14ac:dyDescent="0.2">
      <c r="B7783" s="245"/>
      <c r="C7783" s="248"/>
      <c r="D7783" s="249"/>
      <c r="E7783" s="249"/>
      <c r="T7783" s="261"/>
    </row>
    <row r="7784" spans="2:20" x14ac:dyDescent="0.2">
      <c r="B7784" s="245"/>
      <c r="C7784" s="248"/>
      <c r="D7784" s="249"/>
      <c r="E7784" s="249"/>
      <c r="T7784" s="261"/>
    </row>
    <row r="7785" spans="2:20" x14ac:dyDescent="0.2">
      <c r="B7785" s="245"/>
      <c r="C7785" s="248"/>
      <c r="D7785" s="249"/>
      <c r="E7785" s="249"/>
      <c r="T7785" s="261"/>
    </row>
    <row r="7786" spans="2:20" x14ac:dyDescent="0.2">
      <c r="B7786" s="245"/>
      <c r="C7786" s="248"/>
      <c r="D7786" s="249"/>
      <c r="E7786" s="249"/>
      <c r="T7786" s="261"/>
    </row>
    <row r="7787" spans="2:20" x14ac:dyDescent="0.2">
      <c r="B7787" s="245"/>
      <c r="C7787" s="248"/>
      <c r="D7787" s="249"/>
      <c r="E7787" s="249"/>
      <c r="T7787" s="261"/>
    </row>
    <row r="7788" spans="2:20" x14ac:dyDescent="0.2">
      <c r="B7788" s="245"/>
      <c r="C7788" s="248"/>
      <c r="D7788" s="249"/>
      <c r="E7788" s="249"/>
      <c r="T7788" s="261"/>
    </row>
    <row r="7789" spans="2:20" x14ac:dyDescent="0.2">
      <c r="B7789" s="245"/>
      <c r="C7789" s="248"/>
      <c r="D7789" s="249"/>
      <c r="E7789" s="249"/>
      <c r="T7789" s="261"/>
    </row>
    <row r="7790" spans="2:20" x14ac:dyDescent="0.2">
      <c r="B7790" s="245"/>
      <c r="C7790" s="248"/>
      <c r="D7790" s="249"/>
      <c r="E7790" s="249"/>
      <c r="T7790" s="261"/>
    </row>
    <row r="7791" spans="2:20" x14ac:dyDescent="0.2">
      <c r="B7791" s="245"/>
      <c r="C7791" s="248"/>
      <c r="D7791" s="249"/>
      <c r="E7791" s="249"/>
      <c r="T7791" s="261"/>
    </row>
    <row r="7792" spans="2:20" x14ac:dyDescent="0.2">
      <c r="B7792" s="245"/>
      <c r="C7792" s="248"/>
      <c r="D7792" s="249"/>
      <c r="E7792" s="249"/>
      <c r="T7792" s="261"/>
    </row>
    <row r="7793" spans="2:20" x14ac:dyDescent="0.2">
      <c r="B7793" s="245"/>
      <c r="C7793" s="248"/>
      <c r="D7793" s="249"/>
      <c r="E7793" s="249"/>
      <c r="T7793" s="261"/>
    </row>
    <row r="7794" spans="2:20" x14ac:dyDescent="0.2">
      <c r="B7794" s="245"/>
      <c r="C7794" s="248"/>
      <c r="D7794" s="249"/>
      <c r="E7794" s="249"/>
      <c r="T7794" s="261"/>
    </row>
    <row r="7795" spans="2:20" x14ac:dyDescent="0.2">
      <c r="B7795" s="245"/>
      <c r="C7795" s="248"/>
      <c r="D7795" s="249"/>
      <c r="E7795" s="249"/>
      <c r="T7795" s="261"/>
    </row>
    <row r="7796" spans="2:20" x14ac:dyDescent="0.2">
      <c r="B7796" s="245"/>
      <c r="C7796" s="248"/>
      <c r="D7796" s="249"/>
      <c r="E7796" s="249"/>
      <c r="T7796" s="261"/>
    </row>
    <row r="7797" spans="2:20" x14ac:dyDescent="0.2">
      <c r="B7797" s="245"/>
      <c r="C7797" s="248"/>
      <c r="D7797" s="249"/>
      <c r="E7797" s="249"/>
      <c r="T7797" s="261"/>
    </row>
    <row r="7798" spans="2:20" x14ac:dyDescent="0.2">
      <c r="B7798" s="245"/>
      <c r="C7798" s="248"/>
      <c r="D7798" s="249"/>
      <c r="E7798" s="249"/>
      <c r="T7798" s="261"/>
    </row>
    <row r="7799" spans="2:20" x14ac:dyDescent="0.2">
      <c r="B7799" s="245"/>
      <c r="C7799" s="248"/>
      <c r="D7799" s="249"/>
      <c r="E7799" s="249"/>
      <c r="T7799" s="261"/>
    </row>
    <row r="7800" spans="2:20" x14ac:dyDescent="0.2">
      <c r="B7800" s="245"/>
      <c r="C7800" s="248"/>
      <c r="D7800" s="249"/>
      <c r="E7800" s="249"/>
      <c r="T7800" s="261"/>
    </row>
    <row r="7801" spans="2:20" x14ac:dyDescent="0.2">
      <c r="B7801" s="245"/>
      <c r="C7801" s="248"/>
      <c r="D7801" s="249"/>
      <c r="E7801" s="249"/>
      <c r="T7801" s="261"/>
    </row>
    <row r="7802" spans="2:20" x14ac:dyDescent="0.2">
      <c r="B7802" s="245"/>
      <c r="C7802" s="248"/>
      <c r="D7802" s="249"/>
      <c r="E7802" s="249"/>
      <c r="T7802" s="261"/>
    </row>
    <row r="7803" spans="2:20" x14ac:dyDescent="0.2">
      <c r="B7803" s="245"/>
      <c r="C7803" s="248"/>
      <c r="D7803" s="249"/>
      <c r="E7803" s="249"/>
      <c r="T7803" s="261"/>
    </row>
    <row r="7804" spans="2:20" x14ac:dyDescent="0.2">
      <c r="B7804" s="245"/>
      <c r="C7804" s="248"/>
      <c r="D7804" s="249"/>
      <c r="E7804" s="249"/>
      <c r="T7804" s="261"/>
    </row>
    <row r="7805" spans="2:20" x14ac:dyDescent="0.2">
      <c r="B7805" s="245"/>
      <c r="C7805" s="248"/>
      <c r="D7805" s="249"/>
      <c r="E7805" s="249"/>
      <c r="T7805" s="261"/>
    </row>
    <row r="7806" spans="2:20" x14ac:dyDescent="0.2">
      <c r="B7806" s="245"/>
      <c r="C7806" s="248"/>
      <c r="D7806" s="249"/>
      <c r="E7806" s="249"/>
      <c r="T7806" s="261"/>
    </row>
    <row r="7807" spans="2:20" x14ac:dyDescent="0.2">
      <c r="B7807" s="245"/>
      <c r="C7807" s="248"/>
      <c r="D7807" s="249"/>
      <c r="E7807" s="249"/>
      <c r="T7807" s="261"/>
    </row>
    <row r="7808" spans="2:20" x14ac:dyDescent="0.2">
      <c r="B7808" s="245"/>
      <c r="C7808" s="248"/>
      <c r="D7808" s="249"/>
      <c r="E7808" s="249"/>
      <c r="T7808" s="261"/>
    </row>
    <row r="7809" spans="2:20" x14ac:dyDescent="0.2">
      <c r="B7809" s="245"/>
      <c r="C7809" s="248"/>
      <c r="D7809" s="249"/>
      <c r="E7809" s="249"/>
      <c r="T7809" s="261"/>
    </row>
    <row r="7810" spans="2:20" x14ac:dyDescent="0.2">
      <c r="B7810" s="245"/>
      <c r="C7810" s="248"/>
      <c r="D7810" s="249"/>
      <c r="E7810" s="249"/>
      <c r="T7810" s="261"/>
    </row>
    <row r="7811" spans="2:20" x14ac:dyDescent="0.2">
      <c r="B7811" s="245"/>
      <c r="C7811" s="248"/>
      <c r="D7811" s="249"/>
      <c r="E7811" s="249"/>
      <c r="T7811" s="261"/>
    </row>
    <row r="7812" spans="2:20" x14ac:dyDescent="0.2">
      <c r="B7812" s="245"/>
      <c r="C7812" s="248"/>
      <c r="D7812" s="249"/>
      <c r="E7812" s="249"/>
      <c r="T7812" s="261"/>
    </row>
    <row r="7813" spans="2:20" x14ac:dyDescent="0.2">
      <c r="B7813" s="245"/>
      <c r="C7813" s="248"/>
      <c r="D7813" s="249"/>
      <c r="E7813" s="249"/>
      <c r="T7813" s="261"/>
    </row>
    <row r="7814" spans="2:20" x14ac:dyDescent="0.2">
      <c r="B7814" s="245"/>
      <c r="C7814" s="248"/>
      <c r="D7814" s="249"/>
      <c r="E7814" s="249"/>
      <c r="T7814" s="261"/>
    </row>
    <row r="7815" spans="2:20" x14ac:dyDescent="0.2">
      <c r="B7815" s="245"/>
      <c r="C7815" s="248"/>
      <c r="D7815" s="249"/>
      <c r="E7815" s="249"/>
      <c r="T7815" s="261"/>
    </row>
    <row r="7816" spans="2:20" x14ac:dyDescent="0.2">
      <c r="B7816" s="245"/>
      <c r="C7816" s="248"/>
      <c r="D7816" s="249"/>
      <c r="E7816" s="249"/>
      <c r="T7816" s="261"/>
    </row>
    <row r="7817" spans="2:20" x14ac:dyDescent="0.2">
      <c r="B7817" s="245"/>
      <c r="C7817" s="248"/>
      <c r="D7817" s="249"/>
      <c r="E7817" s="249"/>
      <c r="T7817" s="261"/>
    </row>
    <row r="7818" spans="2:20" x14ac:dyDescent="0.2">
      <c r="B7818" s="245"/>
      <c r="C7818" s="248"/>
      <c r="D7818" s="249"/>
      <c r="E7818" s="249"/>
      <c r="T7818" s="261"/>
    </row>
    <row r="7819" spans="2:20" x14ac:dyDescent="0.2">
      <c r="B7819" s="245"/>
      <c r="C7819" s="248"/>
      <c r="D7819" s="249"/>
      <c r="E7819" s="249"/>
      <c r="T7819" s="261"/>
    </row>
    <row r="7820" spans="2:20" x14ac:dyDescent="0.2">
      <c r="B7820" s="245"/>
      <c r="C7820" s="248"/>
      <c r="D7820" s="249"/>
      <c r="E7820" s="249"/>
      <c r="T7820" s="261"/>
    </row>
    <row r="7821" spans="2:20" x14ac:dyDescent="0.2">
      <c r="B7821" s="245"/>
      <c r="C7821" s="248"/>
      <c r="D7821" s="249"/>
      <c r="E7821" s="249"/>
      <c r="T7821" s="261"/>
    </row>
    <row r="7822" spans="2:20" x14ac:dyDescent="0.2">
      <c r="B7822" s="245"/>
      <c r="C7822" s="248"/>
      <c r="D7822" s="249"/>
      <c r="E7822" s="249"/>
      <c r="T7822" s="261"/>
    </row>
    <row r="7823" spans="2:20" x14ac:dyDescent="0.2">
      <c r="B7823" s="245"/>
      <c r="C7823" s="248"/>
      <c r="D7823" s="249"/>
      <c r="E7823" s="249"/>
      <c r="T7823" s="261"/>
    </row>
    <row r="7824" spans="2:20" x14ac:dyDescent="0.2">
      <c r="B7824" s="245"/>
      <c r="C7824" s="248"/>
      <c r="D7824" s="249"/>
      <c r="E7824" s="249"/>
      <c r="T7824" s="261"/>
    </row>
    <row r="7825" spans="2:20" x14ac:dyDescent="0.2">
      <c r="B7825" s="245"/>
      <c r="C7825" s="248"/>
      <c r="D7825" s="249"/>
      <c r="E7825" s="249"/>
      <c r="T7825" s="261"/>
    </row>
    <row r="7826" spans="2:20" x14ac:dyDescent="0.2">
      <c r="B7826" s="245"/>
      <c r="C7826" s="248"/>
      <c r="D7826" s="249"/>
      <c r="E7826" s="249"/>
      <c r="T7826" s="261"/>
    </row>
    <row r="7827" spans="2:20" x14ac:dyDescent="0.2">
      <c r="B7827" s="245"/>
      <c r="C7827" s="248"/>
      <c r="D7827" s="249"/>
      <c r="E7827" s="249"/>
      <c r="T7827" s="261"/>
    </row>
    <row r="7828" spans="2:20" x14ac:dyDescent="0.2">
      <c r="B7828" s="245"/>
      <c r="C7828" s="248"/>
      <c r="D7828" s="249"/>
      <c r="E7828" s="249"/>
      <c r="T7828" s="261"/>
    </row>
    <row r="7829" spans="2:20" x14ac:dyDescent="0.2">
      <c r="B7829" s="245"/>
      <c r="C7829" s="248"/>
      <c r="D7829" s="249"/>
      <c r="E7829" s="249"/>
      <c r="T7829" s="261"/>
    </row>
    <row r="7830" spans="2:20" x14ac:dyDescent="0.2">
      <c r="B7830" s="245"/>
      <c r="C7830" s="248"/>
      <c r="D7830" s="249"/>
      <c r="E7830" s="249"/>
      <c r="T7830" s="261"/>
    </row>
    <row r="7831" spans="2:20" x14ac:dyDescent="0.2">
      <c r="B7831" s="245"/>
      <c r="C7831" s="248"/>
      <c r="D7831" s="249"/>
      <c r="E7831" s="249"/>
      <c r="T7831" s="261"/>
    </row>
    <row r="7832" spans="2:20" x14ac:dyDescent="0.2">
      <c r="B7832" s="245"/>
      <c r="C7832" s="248"/>
      <c r="D7832" s="249"/>
      <c r="E7832" s="249"/>
      <c r="T7832" s="261"/>
    </row>
    <row r="7833" spans="2:20" x14ac:dyDescent="0.2">
      <c r="B7833" s="245"/>
      <c r="C7833" s="248"/>
      <c r="D7833" s="249"/>
      <c r="E7833" s="249"/>
      <c r="T7833" s="261"/>
    </row>
    <row r="7834" spans="2:20" x14ac:dyDescent="0.2">
      <c r="B7834" s="245"/>
      <c r="C7834" s="248"/>
      <c r="D7834" s="249"/>
      <c r="E7834" s="249"/>
      <c r="T7834" s="261"/>
    </row>
    <row r="7835" spans="2:20" x14ac:dyDescent="0.2">
      <c r="B7835" s="245"/>
      <c r="C7835" s="248"/>
      <c r="D7835" s="249"/>
      <c r="E7835" s="249"/>
      <c r="T7835" s="261"/>
    </row>
    <row r="7836" spans="2:20" x14ac:dyDescent="0.2">
      <c r="B7836" s="245"/>
      <c r="C7836" s="248"/>
      <c r="D7836" s="249"/>
      <c r="E7836" s="249"/>
      <c r="T7836" s="261"/>
    </row>
    <row r="7837" spans="2:20" x14ac:dyDescent="0.2">
      <c r="B7837" s="245"/>
      <c r="C7837" s="248"/>
      <c r="D7837" s="249"/>
      <c r="E7837" s="249"/>
      <c r="T7837" s="261"/>
    </row>
    <row r="7838" spans="2:20" x14ac:dyDescent="0.2">
      <c r="B7838" s="245"/>
      <c r="C7838" s="248"/>
      <c r="D7838" s="249"/>
      <c r="E7838" s="249"/>
      <c r="T7838" s="261"/>
    </row>
    <row r="7839" spans="2:20" x14ac:dyDescent="0.2">
      <c r="B7839" s="245"/>
      <c r="C7839" s="248"/>
      <c r="D7839" s="249"/>
      <c r="E7839" s="249"/>
      <c r="T7839" s="261"/>
    </row>
    <row r="7840" spans="2:20" x14ac:dyDescent="0.2">
      <c r="B7840" s="245"/>
      <c r="C7840" s="248"/>
      <c r="D7840" s="249"/>
      <c r="E7840" s="249"/>
      <c r="T7840" s="261"/>
    </row>
    <row r="7841" spans="2:20" x14ac:dyDescent="0.2">
      <c r="B7841" s="245"/>
      <c r="C7841" s="248"/>
      <c r="D7841" s="249"/>
      <c r="E7841" s="249"/>
      <c r="T7841" s="261"/>
    </row>
    <row r="7842" spans="2:20" x14ac:dyDescent="0.2">
      <c r="B7842" s="245"/>
      <c r="C7842" s="248"/>
      <c r="D7842" s="249"/>
      <c r="E7842" s="249"/>
      <c r="T7842" s="261"/>
    </row>
    <row r="7843" spans="2:20" x14ac:dyDescent="0.2">
      <c r="B7843" s="245"/>
      <c r="C7843" s="248"/>
      <c r="D7843" s="249"/>
      <c r="E7843" s="249"/>
      <c r="T7843" s="261"/>
    </row>
    <row r="7844" spans="2:20" x14ac:dyDescent="0.2">
      <c r="B7844" s="245"/>
      <c r="C7844" s="248"/>
      <c r="D7844" s="249"/>
      <c r="E7844" s="249"/>
      <c r="T7844" s="261"/>
    </row>
    <row r="7845" spans="2:20" x14ac:dyDescent="0.2">
      <c r="B7845" s="245"/>
      <c r="C7845" s="248"/>
      <c r="D7845" s="249"/>
      <c r="E7845" s="249"/>
      <c r="T7845" s="261"/>
    </row>
    <row r="7846" spans="2:20" x14ac:dyDescent="0.2">
      <c r="B7846" s="245"/>
      <c r="C7846" s="248"/>
      <c r="D7846" s="249"/>
      <c r="E7846" s="249"/>
      <c r="T7846" s="261"/>
    </row>
    <row r="7847" spans="2:20" x14ac:dyDescent="0.2">
      <c r="B7847" s="245"/>
      <c r="C7847" s="248"/>
      <c r="D7847" s="249"/>
      <c r="E7847" s="249"/>
      <c r="T7847" s="261"/>
    </row>
    <row r="7848" spans="2:20" x14ac:dyDescent="0.2">
      <c r="B7848" s="245"/>
      <c r="C7848" s="248"/>
      <c r="D7848" s="249"/>
      <c r="E7848" s="249"/>
      <c r="T7848" s="261"/>
    </row>
    <row r="7849" spans="2:20" x14ac:dyDescent="0.2">
      <c r="B7849" s="245"/>
      <c r="C7849" s="248"/>
      <c r="D7849" s="249"/>
      <c r="E7849" s="249"/>
      <c r="T7849" s="261"/>
    </row>
    <row r="7850" spans="2:20" x14ac:dyDescent="0.2">
      <c r="B7850" s="245"/>
      <c r="C7850" s="248"/>
      <c r="D7850" s="249"/>
      <c r="E7850" s="249"/>
      <c r="T7850" s="261"/>
    </row>
    <row r="7851" spans="2:20" x14ac:dyDescent="0.2">
      <c r="B7851" s="245"/>
      <c r="C7851" s="248"/>
      <c r="D7851" s="249"/>
      <c r="E7851" s="249"/>
      <c r="T7851" s="261"/>
    </row>
    <row r="7852" spans="2:20" x14ac:dyDescent="0.2">
      <c r="B7852" s="245"/>
      <c r="C7852" s="248"/>
      <c r="D7852" s="249"/>
      <c r="E7852" s="249"/>
      <c r="T7852" s="261"/>
    </row>
    <row r="7853" spans="2:20" x14ac:dyDescent="0.2">
      <c r="B7853" s="245"/>
      <c r="C7853" s="248"/>
      <c r="D7853" s="249"/>
      <c r="E7853" s="249"/>
      <c r="T7853" s="261"/>
    </row>
    <row r="7854" spans="2:20" x14ac:dyDescent="0.2">
      <c r="B7854" s="245"/>
      <c r="C7854" s="248"/>
      <c r="D7854" s="249"/>
      <c r="E7854" s="249"/>
      <c r="T7854" s="261"/>
    </row>
    <row r="7855" spans="2:20" x14ac:dyDescent="0.2">
      <c r="B7855" s="245"/>
      <c r="C7855" s="248"/>
      <c r="D7855" s="249"/>
      <c r="E7855" s="249"/>
      <c r="T7855" s="261"/>
    </row>
    <row r="7856" spans="2:20" x14ac:dyDescent="0.2">
      <c r="B7856" s="245"/>
      <c r="C7856" s="248"/>
      <c r="D7856" s="249"/>
      <c r="E7856" s="249"/>
      <c r="T7856" s="261"/>
    </row>
    <row r="7857" spans="2:20" x14ac:dyDescent="0.2">
      <c r="B7857" s="245"/>
      <c r="C7857" s="248"/>
      <c r="D7857" s="249"/>
      <c r="E7857" s="249"/>
      <c r="T7857" s="261"/>
    </row>
    <row r="7858" spans="2:20" x14ac:dyDescent="0.2">
      <c r="B7858" s="245"/>
      <c r="C7858" s="248"/>
      <c r="D7858" s="249"/>
      <c r="E7858" s="249"/>
      <c r="T7858" s="261"/>
    </row>
    <row r="7859" spans="2:20" x14ac:dyDescent="0.2">
      <c r="B7859" s="245"/>
      <c r="C7859" s="248"/>
      <c r="D7859" s="249"/>
      <c r="E7859" s="249"/>
      <c r="T7859" s="261"/>
    </row>
    <row r="7860" spans="2:20" x14ac:dyDescent="0.2">
      <c r="B7860" s="245"/>
      <c r="C7860" s="248"/>
      <c r="D7860" s="249"/>
      <c r="E7860" s="249"/>
      <c r="T7860" s="261"/>
    </row>
    <row r="7861" spans="2:20" x14ac:dyDescent="0.2">
      <c r="B7861" s="245"/>
      <c r="C7861" s="248"/>
      <c r="D7861" s="249"/>
      <c r="E7861" s="249"/>
      <c r="T7861" s="261"/>
    </row>
    <row r="7862" spans="2:20" x14ac:dyDescent="0.2">
      <c r="B7862" s="245"/>
      <c r="C7862" s="248"/>
      <c r="D7862" s="249"/>
      <c r="E7862" s="249"/>
      <c r="T7862" s="261"/>
    </row>
    <row r="7863" spans="2:20" x14ac:dyDescent="0.2">
      <c r="B7863" s="245"/>
      <c r="C7863" s="248"/>
      <c r="D7863" s="249"/>
      <c r="E7863" s="249"/>
      <c r="T7863" s="261"/>
    </row>
    <row r="7864" spans="2:20" x14ac:dyDescent="0.2">
      <c r="B7864" s="245"/>
      <c r="C7864" s="248"/>
      <c r="D7864" s="249"/>
      <c r="E7864" s="249"/>
      <c r="T7864" s="261"/>
    </row>
    <row r="7865" spans="2:20" x14ac:dyDescent="0.2">
      <c r="B7865" s="245"/>
      <c r="C7865" s="248"/>
      <c r="D7865" s="249"/>
      <c r="E7865" s="249"/>
      <c r="T7865" s="261"/>
    </row>
    <row r="7866" spans="2:20" x14ac:dyDescent="0.2">
      <c r="B7866" s="245"/>
      <c r="C7866" s="248"/>
      <c r="D7866" s="249"/>
      <c r="E7866" s="249"/>
      <c r="T7866" s="261"/>
    </row>
    <row r="7867" spans="2:20" x14ac:dyDescent="0.2">
      <c r="B7867" s="245"/>
      <c r="C7867" s="248"/>
      <c r="D7867" s="249"/>
      <c r="E7867" s="249"/>
      <c r="T7867" s="261"/>
    </row>
    <row r="7868" spans="2:20" x14ac:dyDescent="0.2">
      <c r="B7868" s="245"/>
      <c r="C7868" s="248"/>
      <c r="D7868" s="249"/>
      <c r="E7868" s="249"/>
      <c r="T7868" s="261"/>
    </row>
    <row r="7869" spans="2:20" x14ac:dyDescent="0.2">
      <c r="B7869" s="245"/>
      <c r="C7869" s="248"/>
      <c r="D7869" s="249"/>
      <c r="E7869" s="249"/>
      <c r="T7869" s="261"/>
    </row>
    <row r="7870" spans="2:20" x14ac:dyDescent="0.2">
      <c r="B7870" s="245"/>
      <c r="C7870" s="248"/>
      <c r="D7870" s="249"/>
      <c r="E7870" s="249"/>
      <c r="T7870" s="261"/>
    </row>
    <row r="7871" spans="2:20" x14ac:dyDescent="0.2">
      <c r="B7871" s="245"/>
      <c r="C7871" s="248"/>
      <c r="D7871" s="249"/>
      <c r="E7871" s="249"/>
      <c r="T7871" s="261"/>
    </row>
    <row r="7872" spans="2:20" x14ac:dyDescent="0.2">
      <c r="B7872" s="245"/>
      <c r="C7872" s="248"/>
      <c r="D7872" s="249"/>
      <c r="E7872" s="249"/>
      <c r="T7872" s="261"/>
    </row>
    <row r="7873" spans="2:20" x14ac:dyDescent="0.2">
      <c r="B7873" s="245"/>
      <c r="C7873" s="248"/>
      <c r="D7873" s="249"/>
      <c r="E7873" s="249"/>
      <c r="T7873" s="261"/>
    </row>
    <row r="7874" spans="2:20" x14ac:dyDescent="0.2">
      <c r="B7874" s="245"/>
      <c r="C7874" s="248"/>
      <c r="D7874" s="249"/>
      <c r="E7874" s="249"/>
      <c r="T7874" s="261"/>
    </row>
    <row r="7875" spans="2:20" x14ac:dyDescent="0.2">
      <c r="B7875" s="245"/>
      <c r="C7875" s="248"/>
      <c r="D7875" s="249"/>
      <c r="E7875" s="249"/>
      <c r="T7875" s="261"/>
    </row>
    <row r="7876" spans="2:20" x14ac:dyDescent="0.2">
      <c r="B7876" s="245"/>
      <c r="C7876" s="248"/>
      <c r="D7876" s="249"/>
      <c r="E7876" s="249"/>
      <c r="T7876" s="261"/>
    </row>
    <row r="7877" spans="2:20" x14ac:dyDescent="0.2">
      <c r="B7877" s="245"/>
      <c r="C7877" s="248"/>
      <c r="D7877" s="249"/>
      <c r="E7877" s="249"/>
      <c r="T7877" s="261"/>
    </row>
    <row r="7878" spans="2:20" x14ac:dyDescent="0.2">
      <c r="B7878" s="245"/>
      <c r="C7878" s="248"/>
      <c r="D7878" s="249"/>
      <c r="E7878" s="249"/>
      <c r="T7878" s="261"/>
    </row>
    <row r="7879" spans="2:20" x14ac:dyDescent="0.2">
      <c r="B7879" s="245"/>
      <c r="C7879" s="248"/>
      <c r="D7879" s="249"/>
      <c r="E7879" s="249"/>
      <c r="T7879" s="261"/>
    </row>
    <row r="7880" spans="2:20" x14ac:dyDescent="0.2">
      <c r="B7880" s="245"/>
      <c r="C7880" s="248"/>
      <c r="D7880" s="249"/>
      <c r="E7880" s="249"/>
      <c r="T7880" s="261"/>
    </row>
    <row r="7881" spans="2:20" x14ac:dyDescent="0.2">
      <c r="B7881" s="245"/>
      <c r="C7881" s="248"/>
      <c r="D7881" s="249"/>
      <c r="E7881" s="249"/>
      <c r="T7881" s="261"/>
    </row>
    <row r="7882" spans="2:20" x14ac:dyDescent="0.2">
      <c r="B7882" s="245"/>
      <c r="C7882" s="248"/>
      <c r="D7882" s="249"/>
      <c r="E7882" s="249"/>
      <c r="T7882" s="261"/>
    </row>
    <row r="7883" spans="2:20" x14ac:dyDescent="0.2">
      <c r="B7883" s="245"/>
      <c r="C7883" s="248"/>
      <c r="D7883" s="249"/>
      <c r="E7883" s="249"/>
      <c r="T7883" s="261"/>
    </row>
    <row r="7884" spans="2:20" x14ac:dyDescent="0.2">
      <c r="B7884" s="245"/>
      <c r="C7884" s="248"/>
      <c r="D7884" s="249"/>
      <c r="E7884" s="249"/>
      <c r="T7884" s="261"/>
    </row>
    <row r="7885" spans="2:20" x14ac:dyDescent="0.2">
      <c r="B7885" s="245"/>
      <c r="C7885" s="248"/>
      <c r="D7885" s="249"/>
      <c r="E7885" s="249"/>
      <c r="T7885" s="261"/>
    </row>
    <row r="7886" spans="2:20" x14ac:dyDescent="0.2">
      <c r="B7886" s="245"/>
      <c r="C7886" s="248"/>
      <c r="D7886" s="249"/>
      <c r="E7886" s="249"/>
      <c r="T7886" s="261"/>
    </row>
    <row r="7887" spans="2:20" x14ac:dyDescent="0.2">
      <c r="B7887" s="245"/>
      <c r="C7887" s="248"/>
      <c r="D7887" s="249"/>
      <c r="E7887" s="249"/>
      <c r="T7887" s="261"/>
    </row>
    <row r="7888" spans="2:20" x14ac:dyDescent="0.2">
      <c r="B7888" s="245"/>
      <c r="C7888" s="248"/>
      <c r="D7888" s="249"/>
      <c r="E7888" s="249"/>
      <c r="T7888" s="261"/>
    </row>
    <row r="7889" spans="2:20" x14ac:dyDescent="0.2">
      <c r="B7889" s="245"/>
      <c r="C7889" s="248"/>
      <c r="D7889" s="249"/>
      <c r="E7889" s="249"/>
      <c r="T7889" s="261"/>
    </row>
    <row r="7890" spans="2:20" x14ac:dyDescent="0.2">
      <c r="B7890" s="245"/>
      <c r="C7890" s="248"/>
      <c r="D7890" s="249"/>
      <c r="E7890" s="249"/>
      <c r="T7890" s="261"/>
    </row>
    <row r="7891" spans="2:20" x14ac:dyDescent="0.2">
      <c r="B7891" s="245"/>
      <c r="C7891" s="248"/>
      <c r="D7891" s="249"/>
      <c r="E7891" s="249"/>
      <c r="T7891" s="261"/>
    </row>
    <row r="7892" spans="2:20" x14ac:dyDescent="0.2">
      <c r="B7892" s="245"/>
      <c r="C7892" s="248"/>
      <c r="D7892" s="249"/>
      <c r="E7892" s="249"/>
      <c r="T7892" s="261"/>
    </row>
    <row r="7893" spans="2:20" x14ac:dyDescent="0.2">
      <c r="B7893" s="245"/>
      <c r="C7893" s="248"/>
      <c r="D7893" s="249"/>
      <c r="E7893" s="249"/>
      <c r="T7893" s="261"/>
    </row>
    <row r="7894" spans="2:20" x14ac:dyDescent="0.2">
      <c r="B7894" s="245"/>
      <c r="C7894" s="248"/>
      <c r="D7894" s="249"/>
      <c r="E7894" s="249"/>
      <c r="T7894" s="261"/>
    </row>
    <row r="7895" spans="2:20" x14ac:dyDescent="0.2">
      <c r="B7895" s="245"/>
      <c r="C7895" s="248"/>
      <c r="D7895" s="249"/>
      <c r="E7895" s="249"/>
      <c r="T7895" s="261"/>
    </row>
    <row r="7896" spans="2:20" x14ac:dyDescent="0.2">
      <c r="B7896" s="245"/>
      <c r="C7896" s="248"/>
      <c r="D7896" s="249"/>
      <c r="E7896" s="249"/>
      <c r="T7896" s="261"/>
    </row>
    <row r="7897" spans="2:20" x14ac:dyDescent="0.2">
      <c r="B7897" s="245"/>
      <c r="C7897" s="248"/>
      <c r="D7897" s="249"/>
      <c r="E7897" s="249"/>
      <c r="T7897" s="261"/>
    </row>
    <row r="7898" spans="2:20" x14ac:dyDescent="0.2">
      <c r="B7898" s="245"/>
      <c r="C7898" s="248"/>
      <c r="D7898" s="249"/>
      <c r="E7898" s="249"/>
      <c r="T7898" s="261"/>
    </row>
    <row r="7899" spans="2:20" x14ac:dyDescent="0.2">
      <c r="B7899" s="245"/>
      <c r="C7899" s="248"/>
      <c r="D7899" s="249"/>
      <c r="E7899" s="249"/>
      <c r="T7899" s="261"/>
    </row>
    <row r="7900" spans="2:20" x14ac:dyDescent="0.2">
      <c r="B7900" s="245"/>
      <c r="C7900" s="248"/>
      <c r="D7900" s="249"/>
      <c r="E7900" s="249"/>
      <c r="T7900" s="261"/>
    </row>
    <row r="7901" spans="2:20" x14ac:dyDescent="0.2">
      <c r="B7901" s="245"/>
      <c r="C7901" s="248"/>
      <c r="D7901" s="249"/>
      <c r="E7901" s="249"/>
      <c r="T7901" s="261"/>
    </row>
    <row r="7902" spans="2:20" x14ac:dyDescent="0.2">
      <c r="B7902" s="245"/>
      <c r="C7902" s="248"/>
      <c r="D7902" s="249"/>
      <c r="E7902" s="249"/>
      <c r="T7902" s="261"/>
    </row>
    <row r="7903" spans="2:20" x14ac:dyDescent="0.2">
      <c r="B7903" s="245"/>
      <c r="C7903" s="248"/>
      <c r="D7903" s="249"/>
      <c r="E7903" s="249"/>
      <c r="T7903" s="261"/>
    </row>
    <row r="7904" spans="2:20" x14ac:dyDescent="0.2">
      <c r="B7904" s="245"/>
      <c r="C7904" s="248"/>
      <c r="D7904" s="249"/>
      <c r="E7904" s="249"/>
      <c r="T7904" s="261"/>
    </row>
    <row r="7905" spans="2:20" x14ac:dyDescent="0.2">
      <c r="B7905" s="245"/>
      <c r="C7905" s="248"/>
      <c r="D7905" s="249"/>
      <c r="E7905" s="249"/>
      <c r="T7905" s="261"/>
    </row>
    <row r="7906" spans="2:20" x14ac:dyDescent="0.2">
      <c r="B7906" s="245"/>
      <c r="C7906" s="248"/>
      <c r="D7906" s="249"/>
      <c r="E7906" s="249"/>
      <c r="T7906" s="261"/>
    </row>
    <row r="7907" spans="2:20" x14ac:dyDescent="0.2">
      <c r="B7907" s="245"/>
      <c r="C7907" s="248"/>
      <c r="D7907" s="249"/>
      <c r="E7907" s="249"/>
      <c r="T7907" s="261"/>
    </row>
    <row r="7908" spans="2:20" x14ac:dyDescent="0.2">
      <c r="B7908" s="245"/>
      <c r="C7908" s="248"/>
      <c r="D7908" s="249"/>
      <c r="E7908" s="249"/>
      <c r="T7908" s="261"/>
    </row>
    <row r="7909" spans="2:20" x14ac:dyDescent="0.2">
      <c r="B7909" s="245"/>
      <c r="C7909" s="248"/>
      <c r="D7909" s="249"/>
      <c r="E7909" s="249"/>
      <c r="T7909" s="261"/>
    </row>
    <row r="7910" spans="2:20" x14ac:dyDescent="0.2">
      <c r="B7910" s="245"/>
      <c r="C7910" s="248"/>
      <c r="D7910" s="249"/>
      <c r="E7910" s="249"/>
      <c r="T7910" s="261"/>
    </row>
    <row r="7911" spans="2:20" x14ac:dyDescent="0.2">
      <c r="B7911" s="245"/>
      <c r="C7911" s="248"/>
      <c r="D7911" s="249"/>
      <c r="E7911" s="249"/>
      <c r="T7911" s="261"/>
    </row>
    <row r="7912" spans="2:20" x14ac:dyDescent="0.2">
      <c r="B7912" s="245"/>
      <c r="C7912" s="248"/>
      <c r="D7912" s="249"/>
      <c r="E7912" s="249"/>
      <c r="T7912" s="261"/>
    </row>
    <row r="7913" spans="2:20" x14ac:dyDescent="0.2">
      <c r="B7913" s="245"/>
      <c r="C7913" s="248"/>
      <c r="D7913" s="249"/>
      <c r="E7913" s="249"/>
      <c r="T7913" s="261"/>
    </row>
    <row r="7914" spans="2:20" x14ac:dyDescent="0.2">
      <c r="B7914" s="245"/>
      <c r="C7914" s="248"/>
      <c r="D7914" s="249"/>
      <c r="E7914" s="249"/>
      <c r="T7914" s="261"/>
    </row>
    <row r="7915" spans="2:20" x14ac:dyDescent="0.2">
      <c r="B7915" s="245"/>
      <c r="C7915" s="248"/>
      <c r="D7915" s="249"/>
      <c r="E7915" s="249"/>
      <c r="T7915" s="261"/>
    </row>
    <row r="7916" spans="2:20" x14ac:dyDescent="0.2">
      <c r="B7916" s="245"/>
      <c r="C7916" s="248"/>
      <c r="D7916" s="249"/>
      <c r="E7916" s="249"/>
      <c r="T7916" s="261"/>
    </row>
    <row r="7917" spans="2:20" x14ac:dyDescent="0.2">
      <c r="B7917" s="245"/>
      <c r="C7917" s="248"/>
      <c r="D7917" s="249"/>
      <c r="E7917" s="249"/>
      <c r="T7917" s="261"/>
    </row>
    <row r="7918" spans="2:20" x14ac:dyDescent="0.2">
      <c r="B7918" s="245"/>
      <c r="C7918" s="248"/>
      <c r="D7918" s="249"/>
      <c r="E7918" s="249"/>
      <c r="T7918" s="261"/>
    </row>
    <row r="7919" spans="2:20" x14ac:dyDescent="0.2">
      <c r="B7919" s="245"/>
      <c r="C7919" s="248"/>
      <c r="D7919" s="249"/>
      <c r="E7919" s="249"/>
      <c r="T7919" s="261"/>
    </row>
    <row r="7920" spans="2:20" x14ac:dyDescent="0.2">
      <c r="B7920" s="245"/>
      <c r="C7920" s="248"/>
      <c r="D7920" s="249"/>
      <c r="E7920" s="249"/>
      <c r="T7920" s="261"/>
    </row>
    <row r="7921" spans="2:20" x14ac:dyDescent="0.2">
      <c r="B7921" s="245"/>
      <c r="C7921" s="248"/>
      <c r="D7921" s="249"/>
      <c r="E7921" s="249"/>
      <c r="T7921" s="261"/>
    </row>
    <row r="7922" spans="2:20" x14ac:dyDescent="0.2">
      <c r="B7922" s="245"/>
      <c r="C7922" s="248"/>
      <c r="D7922" s="249"/>
      <c r="E7922" s="249"/>
      <c r="T7922" s="261"/>
    </row>
    <row r="7923" spans="2:20" x14ac:dyDescent="0.2">
      <c r="B7923" s="245"/>
      <c r="C7923" s="248"/>
      <c r="D7923" s="249"/>
      <c r="E7923" s="249"/>
      <c r="T7923" s="261"/>
    </row>
    <row r="7924" spans="2:20" x14ac:dyDescent="0.2">
      <c r="B7924" s="245"/>
      <c r="C7924" s="248"/>
      <c r="D7924" s="249"/>
      <c r="E7924" s="249"/>
      <c r="T7924" s="261"/>
    </row>
    <row r="7925" spans="2:20" x14ac:dyDescent="0.2">
      <c r="B7925" s="245"/>
      <c r="C7925" s="248"/>
      <c r="D7925" s="249"/>
      <c r="E7925" s="249"/>
      <c r="T7925" s="261"/>
    </row>
    <row r="7926" spans="2:20" x14ac:dyDescent="0.2">
      <c r="B7926" s="245"/>
      <c r="C7926" s="248"/>
      <c r="D7926" s="249"/>
      <c r="E7926" s="249"/>
      <c r="T7926" s="261"/>
    </row>
    <row r="7927" spans="2:20" x14ac:dyDescent="0.2">
      <c r="B7927" s="245"/>
      <c r="C7927" s="248"/>
      <c r="D7927" s="249"/>
      <c r="E7927" s="249"/>
      <c r="T7927" s="261"/>
    </row>
    <row r="7928" spans="2:20" x14ac:dyDescent="0.2">
      <c r="B7928" s="245"/>
      <c r="C7928" s="248"/>
      <c r="D7928" s="249"/>
      <c r="E7928" s="249"/>
      <c r="T7928" s="261"/>
    </row>
    <row r="7929" spans="2:20" x14ac:dyDescent="0.2">
      <c r="B7929" s="245"/>
      <c r="C7929" s="248"/>
      <c r="D7929" s="249"/>
      <c r="E7929" s="249"/>
      <c r="T7929" s="261"/>
    </row>
    <row r="7930" spans="2:20" x14ac:dyDescent="0.2">
      <c r="B7930" s="245"/>
      <c r="C7930" s="248"/>
      <c r="D7930" s="249"/>
      <c r="E7930" s="249"/>
      <c r="T7930" s="261"/>
    </row>
    <row r="7931" spans="2:20" x14ac:dyDescent="0.2">
      <c r="B7931" s="245"/>
      <c r="C7931" s="248"/>
      <c r="D7931" s="249"/>
      <c r="E7931" s="249"/>
      <c r="T7931" s="261"/>
    </row>
    <row r="7932" spans="2:20" x14ac:dyDescent="0.2">
      <c r="B7932" s="245"/>
      <c r="C7932" s="248"/>
      <c r="D7932" s="249"/>
      <c r="E7932" s="249"/>
      <c r="T7932" s="261"/>
    </row>
    <row r="7933" spans="2:20" x14ac:dyDescent="0.2">
      <c r="B7933" s="245"/>
      <c r="C7933" s="248"/>
      <c r="D7933" s="249"/>
      <c r="E7933" s="249"/>
      <c r="T7933" s="261"/>
    </row>
    <row r="7934" spans="2:20" x14ac:dyDescent="0.2">
      <c r="B7934" s="245"/>
      <c r="C7934" s="248"/>
      <c r="D7934" s="249"/>
      <c r="E7934" s="249"/>
      <c r="T7934" s="261"/>
    </row>
    <row r="7935" spans="2:20" x14ac:dyDescent="0.2">
      <c r="B7935" s="245"/>
      <c r="C7935" s="248"/>
      <c r="D7935" s="249"/>
      <c r="E7935" s="249"/>
      <c r="T7935" s="261"/>
    </row>
    <row r="7936" spans="2:20" x14ac:dyDescent="0.2">
      <c r="B7936" s="245"/>
      <c r="C7936" s="248"/>
      <c r="D7936" s="249"/>
      <c r="E7936" s="249"/>
      <c r="T7936" s="261"/>
    </row>
    <row r="7937" spans="2:20" x14ac:dyDescent="0.2">
      <c r="B7937" s="245"/>
      <c r="C7937" s="248"/>
      <c r="D7937" s="249"/>
      <c r="E7937" s="249"/>
      <c r="T7937" s="261"/>
    </row>
    <row r="7938" spans="2:20" x14ac:dyDescent="0.2">
      <c r="B7938" s="245"/>
      <c r="C7938" s="248"/>
      <c r="D7938" s="249"/>
      <c r="E7938" s="249"/>
      <c r="T7938" s="261"/>
    </row>
    <row r="7939" spans="2:20" x14ac:dyDescent="0.2">
      <c r="B7939" s="245"/>
      <c r="C7939" s="248"/>
      <c r="D7939" s="249"/>
      <c r="E7939" s="249"/>
      <c r="T7939" s="261"/>
    </row>
    <row r="7940" spans="2:20" x14ac:dyDescent="0.2">
      <c r="B7940" s="245"/>
      <c r="C7940" s="248"/>
      <c r="D7940" s="249"/>
      <c r="E7940" s="249"/>
      <c r="T7940" s="261"/>
    </row>
    <row r="7941" spans="2:20" x14ac:dyDescent="0.2">
      <c r="B7941" s="245"/>
      <c r="C7941" s="248"/>
      <c r="D7941" s="249"/>
      <c r="E7941" s="249"/>
      <c r="T7941" s="261"/>
    </row>
    <row r="7942" spans="2:20" x14ac:dyDescent="0.2">
      <c r="B7942" s="245"/>
      <c r="C7942" s="248"/>
      <c r="D7942" s="249"/>
      <c r="E7942" s="249"/>
      <c r="T7942" s="261"/>
    </row>
    <row r="7943" spans="2:20" x14ac:dyDescent="0.2">
      <c r="B7943" s="245"/>
      <c r="C7943" s="248"/>
      <c r="D7943" s="249"/>
      <c r="E7943" s="249"/>
      <c r="T7943" s="261"/>
    </row>
    <row r="7944" spans="2:20" x14ac:dyDescent="0.2">
      <c r="B7944" s="245"/>
      <c r="C7944" s="248"/>
      <c r="D7944" s="249"/>
      <c r="E7944" s="249"/>
      <c r="T7944" s="261"/>
    </row>
    <row r="7945" spans="2:20" x14ac:dyDescent="0.2">
      <c r="B7945" s="245"/>
      <c r="C7945" s="248"/>
      <c r="D7945" s="249"/>
      <c r="E7945" s="249"/>
      <c r="T7945" s="261"/>
    </row>
    <row r="7946" spans="2:20" x14ac:dyDescent="0.2">
      <c r="B7946" s="245"/>
      <c r="C7946" s="248"/>
      <c r="D7946" s="249"/>
      <c r="E7946" s="249"/>
      <c r="T7946" s="261"/>
    </row>
    <row r="7947" spans="2:20" x14ac:dyDescent="0.2">
      <c r="B7947" s="245"/>
      <c r="C7947" s="248"/>
      <c r="D7947" s="249"/>
      <c r="E7947" s="249"/>
      <c r="T7947" s="261"/>
    </row>
    <row r="7948" spans="2:20" x14ac:dyDescent="0.2">
      <c r="B7948" s="245"/>
      <c r="C7948" s="248"/>
      <c r="D7948" s="249"/>
      <c r="E7948" s="249"/>
      <c r="T7948" s="261"/>
    </row>
    <row r="7949" spans="2:20" x14ac:dyDescent="0.2">
      <c r="B7949" s="245"/>
      <c r="C7949" s="248"/>
      <c r="D7949" s="249"/>
      <c r="E7949" s="249"/>
      <c r="T7949" s="261"/>
    </row>
    <row r="7950" spans="2:20" x14ac:dyDescent="0.2">
      <c r="B7950" s="245"/>
      <c r="C7950" s="248"/>
      <c r="D7950" s="249"/>
      <c r="E7950" s="249"/>
      <c r="T7950" s="261"/>
    </row>
    <row r="7951" spans="2:20" x14ac:dyDescent="0.2">
      <c r="B7951" s="245"/>
      <c r="C7951" s="248"/>
      <c r="D7951" s="249"/>
      <c r="E7951" s="249"/>
      <c r="T7951" s="261"/>
    </row>
    <row r="7952" spans="2:20" x14ac:dyDescent="0.2">
      <c r="B7952" s="245"/>
      <c r="C7952" s="248"/>
      <c r="D7952" s="249"/>
      <c r="E7952" s="249"/>
      <c r="T7952" s="261"/>
    </row>
    <row r="7953" spans="2:20" x14ac:dyDescent="0.2">
      <c r="B7953" s="245"/>
      <c r="C7953" s="248"/>
      <c r="D7953" s="249"/>
      <c r="E7953" s="249"/>
      <c r="T7953" s="261"/>
    </row>
    <row r="7954" spans="2:20" x14ac:dyDescent="0.2">
      <c r="B7954" s="245"/>
      <c r="C7954" s="248"/>
      <c r="D7954" s="249"/>
      <c r="E7954" s="249"/>
      <c r="T7954" s="261"/>
    </row>
    <row r="7955" spans="2:20" x14ac:dyDescent="0.2">
      <c r="B7955" s="245"/>
      <c r="C7955" s="248"/>
      <c r="D7955" s="249"/>
      <c r="E7955" s="249"/>
      <c r="T7955" s="261"/>
    </row>
    <row r="7956" spans="2:20" x14ac:dyDescent="0.2">
      <c r="B7956" s="245"/>
      <c r="C7956" s="248"/>
      <c r="D7956" s="249"/>
      <c r="E7956" s="249"/>
      <c r="T7956" s="261"/>
    </row>
    <row r="7957" spans="2:20" x14ac:dyDescent="0.2">
      <c r="B7957" s="245"/>
      <c r="C7957" s="248"/>
      <c r="D7957" s="249"/>
      <c r="E7957" s="249"/>
      <c r="T7957" s="261"/>
    </row>
    <row r="7958" spans="2:20" x14ac:dyDescent="0.2">
      <c r="B7958" s="245"/>
      <c r="C7958" s="248"/>
      <c r="D7958" s="249"/>
      <c r="E7958" s="249"/>
      <c r="T7958" s="261"/>
    </row>
    <row r="7959" spans="2:20" x14ac:dyDescent="0.2">
      <c r="B7959" s="245"/>
      <c r="C7959" s="248"/>
      <c r="D7959" s="249"/>
      <c r="E7959" s="249"/>
      <c r="T7959" s="261"/>
    </row>
    <row r="7960" spans="2:20" x14ac:dyDescent="0.2">
      <c r="B7960" s="245"/>
      <c r="C7960" s="248"/>
      <c r="D7960" s="249"/>
      <c r="E7960" s="249"/>
      <c r="T7960" s="261"/>
    </row>
    <row r="7961" spans="2:20" x14ac:dyDescent="0.2">
      <c r="B7961" s="245"/>
      <c r="C7961" s="248"/>
      <c r="D7961" s="249"/>
      <c r="E7961" s="249"/>
      <c r="T7961" s="261"/>
    </row>
    <row r="7962" spans="2:20" x14ac:dyDescent="0.2">
      <c r="B7962" s="245"/>
      <c r="C7962" s="248"/>
      <c r="D7962" s="249"/>
      <c r="E7962" s="249"/>
      <c r="T7962" s="261"/>
    </row>
    <row r="7963" spans="2:20" x14ac:dyDescent="0.2">
      <c r="B7963" s="245"/>
      <c r="C7963" s="248"/>
      <c r="D7963" s="249"/>
      <c r="E7963" s="249"/>
      <c r="T7963" s="261"/>
    </row>
    <row r="7964" spans="2:20" x14ac:dyDescent="0.2">
      <c r="B7964" s="245"/>
      <c r="C7964" s="248"/>
      <c r="D7964" s="249"/>
      <c r="E7964" s="249"/>
      <c r="T7964" s="261"/>
    </row>
    <row r="7965" spans="2:20" x14ac:dyDescent="0.2">
      <c r="B7965" s="245"/>
      <c r="C7965" s="248"/>
      <c r="D7965" s="249"/>
      <c r="E7965" s="249"/>
      <c r="T7965" s="261"/>
    </row>
    <row r="7966" spans="2:20" x14ac:dyDescent="0.2">
      <c r="B7966" s="245"/>
      <c r="C7966" s="248"/>
      <c r="D7966" s="249"/>
      <c r="E7966" s="249"/>
      <c r="T7966" s="261"/>
    </row>
    <row r="7967" spans="2:20" x14ac:dyDescent="0.2">
      <c r="B7967" s="245"/>
      <c r="C7967" s="248"/>
      <c r="D7967" s="249"/>
      <c r="E7967" s="249"/>
      <c r="T7967" s="261"/>
    </row>
    <row r="7968" spans="2:20" x14ac:dyDescent="0.2">
      <c r="B7968" s="245"/>
      <c r="C7968" s="248"/>
      <c r="D7968" s="249"/>
      <c r="E7968" s="249"/>
      <c r="T7968" s="261"/>
    </row>
    <row r="7969" spans="2:20" x14ac:dyDescent="0.2">
      <c r="B7969" s="245"/>
      <c r="C7969" s="248"/>
      <c r="D7969" s="249"/>
      <c r="E7969" s="249"/>
      <c r="T7969" s="261"/>
    </row>
    <row r="7970" spans="2:20" x14ac:dyDescent="0.2">
      <c r="B7970" s="245"/>
      <c r="C7970" s="248"/>
      <c r="D7970" s="249"/>
      <c r="E7970" s="249"/>
      <c r="T7970" s="261"/>
    </row>
    <row r="7971" spans="2:20" x14ac:dyDescent="0.2">
      <c r="B7971" s="245"/>
      <c r="C7971" s="248"/>
      <c r="D7971" s="249"/>
      <c r="E7971" s="249"/>
      <c r="T7971" s="261"/>
    </row>
    <row r="7972" spans="2:20" x14ac:dyDescent="0.2">
      <c r="B7972" s="245"/>
      <c r="C7972" s="248"/>
      <c r="D7972" s="249"/>
      <c r="E7972" s="249"/>
      <c r="T7972" s="261"/>
    </row>
    <row r="7973" spans="2:20" x14ac:dyDescent="0.2">
      <c r="B7973" s="245"/>
      <c r="C7973" s="248"/>
      <c r="D7973" s="249"/>
      <c r="E7973" s="249"/>
      <c r="T7973" s="261"/>
    </row>
    <row r="7974" spans="2:20" x14ac:dyDescent="0.2">
      <c r="B7974" s="245"/>
      <c r="C7974" s="248"/>
      <c r="D7974" s="249"/>
      <c r="E7974" s="249"/>
      <c r="T7974" s="261"/>
    </row>
    <row r="7975" spans="2:20" x14ac:dyDescent="0.2">
      <c r="B7975" s="245"/>
      <c r="C7975" s="248"/>
      <c r="D7975" s="249"/>
      <c r="E7975" s="249"/>
      <c r="T7975" s="261"/>
    </row>
    <row r="7976" spans="2:20" x14ac:dyDescent="0.2">
      <c r="B7976" s="245"/>
      <c r="C7976" s="248"/>
      <c r="D7976" s="249"/>
      <c r="E7976" s="249"/>
      <c r="T7976" s="261"/>
    </row>
    <row r="7977" spans="2:20" x14ac:dyDescent="0.2">
      <c r="B7977" s="245"/>
      <c r="C7977" s="248"/>
      <c r="D7977" s="249"/>
      <c r="E7977" s="249"/>
      <c r="T7977" s="261"/>
    </row>
    <row r="7978" spans="2:20" x14ac:dyDescent="0.2">
      <c r="B7978" s="245"/>
      <c r="C7978" s="248"/>
      <c r="D7978" s="249"/>
      <c r="E7978" s="249"/>
      <c r="T7978" s="261"/>
    </row>
    <row r="7979" spans="2:20" x14ac:dyDescent="0.2">
      <c r="B7979" s="245"/>
      <c r="C7979" s="248"/>
      <c r="D7979" s="249"/>
      <c r="E7979" s="249"/>
      <c r="T7979" s="261"/>
    </row>
    <row r="7980" spans="2:20" x14ac:dyDescent="0.2">
      <c r="B7980" s="245"/>
      <c r="C7980" s="248"/>
      <c r="D7980" s="249"/>
      <c r="E7980" s="249"/>
      <c r="T7980" s="261"/>
    </row>
    <row r="7981" spans="2:20" x14ac:dyDescent="0.2">
      <c r="B7981" s="245"/>
      <c r="C7981" s="248"/>
      <c r="D7981" s="249"/>
      <c r="E7981" s="249"/>
      <c r="T7981" s="261"/>
    </row>
    <row r="7982" spans="2:20" x14ac:dyDescent="0.2">
      <c r="B7982" s="245"/>
      <c r="C7982" s="248"/>
      <c r="D7982" s="249"/>
      <c r="E7982" s="249"/>
      <c r="T7982" s="261"/>
    </row>
    <row r="7983" spans="2:20" x14ac:dyDescent="0.2">
      <c r="B7983" s="245"/>
      <c r="C7983" s="248"/>
      <c r="D7983" s="249"/>
      <c r="E7983" s="249"/>
      <c r="T7983" s="261"/>
    </row>
    <row r="7984" spans="2:20" x14ac:dyDescent="0.2">
      <c r="B7984" s="245"/>
      <c r="C7984" s="248"/>
      <c r="D7984" s="249"/>
      <c r="E7984" s="249"/>
      <c r="T7984" s="261"/>
    </row>
    <row r="7985" spans="2:20" x14ac:dyDescent="0.2">
      <c r="B7985" s="245"/>
      <c r="C7985" s="248"/>
      <c r="D7985" s="249"/>
      <c r="E7985" s="249"/>
      <c r="T7985" s="261"/>
    </row>
    <row r="7986" spans="2:20" x14ac:dyDescent="0.2">
      <c r="B7986" s="245"/>
      <c r="C7986" s="248"/>
      <c r="D7986" s="249"/>
      <c r="E7986" s="249"/>
      <c r="T7986" s="261"/>
    </row>
    <row r="7987" spans="2:20" x14ac:dyDescent="0.2">
      <c r="B7987" s="245"/>
      <c r="C7987" s="248"/>
      <c r="D7987" s="249"/>
      <c r="E7987" s="249"/>
      <c r="T7987" s="261"/>
    </row>
    <row r="7988" spans="2:20" x14ac:dyDescent="0.2">
      <c r="B7988" s="245"/>
      <c r="C7988" s="248"/>
      <c r="D7988" s="249"/>
      <c r="E7988" s="249"/>
      <c r="T7988" s="261"/>
    </row>
    <row r="7989" spans="2:20" x14ac:dyDescent="0.2">
      <c r="B7989" s="245"/>
      <c r="C7989" s="248"/>
      <c r="D7989" s="249"/>
      <c r="E7989" s="249"/>
      <c r="T7989" s="261"/>
    </row>
    <row r="7990" spans="2:20" x14ac:dyDescent="0.2">
      <c r="B7990" s="245"/>
      <c r="C7990" s="248"/>
      <c r="D7990" s="249"/>
      <c r="E7990" s="249"/>
      <c r="T7990" s="261"/>
    </row>
    <row r="7991" spans="2:20" x14ac:dyDescent="0.2">
      <c r="B7991" s="245"/>
      <c r="C7991" s="248"/>
      <c r="D7991" s="249"/>
      <c r="E7991" s="249"/>
      <c r="T7991" s="261"/>
    </row>
    <row r="7992" spans="2:20" x14ac:dyDescent="0.2">
      <c r="B7992" s="245"/>
      <c r="C7992" s="248"/>
      <c r="D7992" s="249"/>
      <c r="E7992" s="249"/>
      <c r="T7992" s="261"/>
    </row>
    <row r="7993" spans="2:20" x14ac:dyDescent="0.2">
      <c r="B7993" s="245"/>
      <c r="C7993" s="248"/>
      <c r="D7993" s="249"/>
      <c r="E7993" s="249"/>
      <c r="T7993" s="261"/>
    </row>
    <row r="7994" spans="2:20" x14ac:dyDescent="0.2">
      <c r="B7994" s="245"/>
      <c r="C7994" s="248"/>
      <c r="D7994" s="249"/>
      <c r="E7994" s="249"/>
      <c r="T7994" s="261"/>
    </row>
    <row r="7995" spans="2:20" x14ac:dyDescent="0.2">
      <c r="B7995" s="245"/>
      <c r="C7995" s="248"/>
      <c r="D7995" s="249"/>
      <c r="E7995" s="249"/>
      <c r="T7995" s="261"/>
    </row>
    <row r="7996" spans="2:20" x14ac:dyDescent="0.2">
      <c r="B7996" s="245"/>
      <c r="C7996" s="248"/>
      <c r="D7996" s="249"/>
      <c r="E7996" s="249"/>
      <c r="T7996" s="261"/>
    </row>
    <row r="7997" spans="2:20" x14ac:dyDescent="0.2">
      <c r="B7997" s="245"/>
      <c r="C7997" s="248"/>
      <c r="D7997" s="249"/>
      <c r="E7997" s="249"/>
      <c r="T7997" s="261"/>
    </row>
    <row r="7998" spans="2:20" x14ac:dyDescent="0.2">
      <c r="B7998" s="245"/>
      <c r="C7998" s="248"/>
      <c r="D7998" s="249"/>
      <c r="E7998" s="249"/>
      <c r="T7998" s="261"/>
    </row>
    <row r="7999" spans="2:20" x14ac:dyDescent="0.2">
      <c r="B7999" s="245"/>
      <c r="C7999" s="248"/>
      <c r="D7999" s="249"/>
      <c r="E7999" s="249"/>
      <c r="T7999" s="261"/>
    </row>
    <row r="8000" spans="2:20" x14ac:dyDescent="0.2">
      <c r="B8000" s="245"/>
      <c r="C8000" s="248"/>
      <c r="D8000" s="249"/>
      <c r="E8000" s="249"/>
      <c r="T8000" s="261"/>
    </row>
    <row r="8001" spans="2:20" x14ac:dyDescent="0.2">
      <c r="B8001" s="245"/>
      <c r="C8001" s="248"/>
      <c r="D8001" s="249"/>
      <c r="E8001" s="249"/>
      <c r="T8001" s="261"/>
    </row>
    <row r="8002" spans="2:20" x14ac:dyDescent="0.2">
      <c r="B8002" s="245"/>
      <c r="C8002" s="248"/>
      <c r="D8002" s="249"/>
      <c r="E8002" s="249"/>
      <c r="T8002" s="261"/>
    </row>
    <row r="8003" spans="2:20" x14ac:dyDescent="0.2">
      <c r="B8003" s="245"/>
      <c r="C8003" s="248"/>
      <c r="D8003" s="249"/>
      <c r="E8003" s="249"/>
      <c r="T8003" s="261"/>
    </row>
    <row r="8004" spans="2:20" x14ac:dyDescent="0.2">
      <c r="B8004" s="245"/>
      <c r="C8004" s="248"/>
      <c r="D8004" s="249"/>
      <c r="E8004" s="249"/>
      <c r="T8004" s="261"/>
    </row>
    <row r="8005" spans="2:20" x14ac:dyDescent="0.2">
      <c r="B8005" s="245"/>
      <c r="C8005" s="248"/>
      <c r="D8005" s="249"/>
      <c r="E8005" s="249"/>
      <c r="T8005" s="261"/>
    </row>
    <row r="8006" spans="2:20" x14ac:dyDescent="0.2">
      <c r="B8006" s="245"/>
      <c r="C8006" s="248"/>
      <c r="D8006" s="249"/>
      <c r="E8006" s="249"/>
      <c r="T8006" s="261"/>
    </row>
    <row r="8007" spans="2:20" x14ac:dyDescent="0.2">
      <c r="B8007" s="245"/>
      <c r="C8007" s="248"/>
      <c r="D8007" s="249"/>
      <c r="E8007" s="249"/>
      <c r="T8007" s="261"/>
    </row>
    <row r="8008" spans="2:20" x14ac:dyDescent="0.2">
      <c r="B8008" s="245"/>
      <c r="C8008" s="248"/>
      <c r="D8008" s="249"/>
      <c r="E8008" s="249"/>
      <c r="T8008" s="261"/>
    </row>
    <row r="8009" spans="2:20" x14ac:dyDescent="0.2">
      <c r="B8009" s="245"/>
      <c r="C8009" s="248"/>
      <c r="D8009" s="249"/>
      <c r="E8009" s="249"/>
      <c r="T8009" s="261"/>
    </row>
    <row r="8010" spans="2:20" x14ac:dyDescent="0.2">
      <c r="B8010" s="245"/>
      <c r="C8010" s="248"/>
      <c r="D8010" s="249"/>
      <c r="E8010" s="249"/>
      <c r="T8010" s="261"/>
    </row>
    <row r="8011" spans="2:20" x14ac:dyDescent="0.2">
      <c r="B8011" s="245"/>
      <c r="C8011" s="248"/>
      <c r="D8011" s="249"/>
      <c r="E8011" s="249"/>
      <c r="T8011" s="261"/>
    </row>
    <row r="8012" spans="2:20" x14ac:dyDescent="0.2">
      <c r="B8012" s="245"/>
      <c r="C8012" s="248"/>
      <c r="D8012" s="249"/>
      <c r="E8012" s="249"/>
      <c r="T8012" s="261"/>
    </row>
    <row r="8013" spans="2:20" x14ac:dyDescent="0.2">
      <c r="B8013" s="245"/>
      <c r="C8013" s="248"/>
      <c r="D8013" s="249"/>
      <c r="E8013" s="249"/>
      <c r="T8013" s="261"/>
    </row>
    <row r="8014" spans="2:20" x14ac:dyDescent="0.2">
      <c r="B8014" s="245"/>
      <c r="C8014" s="248"/>
      <c r="D8014" s="249"/>
      <c r="E8014" s="249"/>
      <c r="T8014" s="261"/>
    </row>
    <row r="8015" spans="2:20" x14ac:dyDescent="0.2">
      <c r="B8015" s="245"/>
      <c r="C8015" s="248"/>
      <c r="D8015" s="249"/>
      <c r="E8015" s="249"/>
      <c r="T8015" s="261"/>
    </row>
    <row r="8016" spans="2:20" x14ac:dyDescent="0.2">
      <c r="B8016" s="245"/>
      <c r="C8016" s="248"/>
      <c r="D8016" s="249"/>
      <c r="E8016" s="249"/>
      <c r="T8016" s="261"/>
    </row>
    <row r="8017" spans="2:20" x14ac:dyDescent="0.2">
      <c r="B8017" s="245"/>
      <c r="C8017" s="248"/>
      <c r="D8017" s="249"/>
      <c r="E8017" s="249"/>
      <c r="T8017" s="261"/>
    </row>
    <row r="8018" spans="2:20" x14ac:dyDescent="0.2">
      <c r="B8018" s="245"/>
      <c r="C8018" s="248"/>
      <c r="D8018" s="249"/>
      <c r="E8018" s="249"/>
      <c r="T8018" s="261"/>
    </row>
    <row r="8019" spans="2:20" x14ac:dyDescent="0.2">
      <c r="B8019" s="245"/>
      <c r="C8019" s="248"/>
      <c r="D8019" s="249"/>
      <c r="E8019" s="249"/>
      <c r="T8019" s="261"/>
    </row>
    <row r="8020" spans="2:20" x14ac:dyDescent="0.2">
      <c r="B8020" s="245"/>
      <c r="C8020" s="248"/>
      <c r="D8020" s="249"/>
      <c r="E8020" s="249"/>
      <c r="T8020" s="261"/>
    </row>
    <row r="8021" spans="2:20" x14ac:dyDescent="0.2">
      <c r="B8021" s="245"/>
      <c r="C8021" s="248"/>
      <c r="D8021" s="249"/>
      <c r="E8021" s="249"/>
      <c r="T8021" s="261"/>
    </row>
    <row r="8022" spans="2:20" x14ac:dyDescent="0.2">
      <c r="B8022" s="245"/>
      <c r="C8022" s="248"/>
      <c r="D8022" s="249"/>
      <c r="E8022" s="249"/>
      <c r="T8022" s="261"/>
    </row>
    <row r="8023" spans="2:20" x14ac:dyDescent="0.2">
      <c r="B8023" s="245"/>
      <c r="C8023" s="248"/>
      <c r="D8023" s="249"/>
      <c r="E8023" s="249"/>
      <c r="T8023" s="261"/>
    </row>
    <row r="8024" spans="2:20" x14ac:dyDescent="0.2">
      <c r="B8024" s="245"/>
      <c r="C8024" s="248"/>
      <c r="D8024" s="249"/>
      <c r="E8024" s="249"/>
      <c r="T8024" s="261"/>
    </row>
    <row r="8025" spans="2:20" x14ac:dyDescent="0.2">
      <c r="B8025" s="245"/>
      <c r="C8025" s="248"/>
      <c r="D8025" s="249"/>
      <c r="E8025" s="249"/>
      <c r="T8025" s="261"/>
    </row>
    <row r="8026" spans="2:20" x14ac:dyDescent="0.2">
      <c r="B8026" s="245"/>
      <c r="C8026" s="248"/>
      <c r="D8026" s="249"/>
      <c r="E8026" s="249"/>
      <c r="T8026" s="261"/>
    </row>
    <row r="8027" spans="2:20" x14ac:dyDescent="0.2">
      <c r="B8027" s="245"/>
      <c r="C8027" s="248"/>
      <c r="D8027" s="249"/>
      <c r="E8027" s="249"/>
      <c r="T8027" s="261"/>
    </row>
    <row r="8028" spans="2:20" x14ac:dyDescent="0.2">
      <c r="B8028" s="245"/>
      <c r="C8028" s="248"/>
      <c r="D8028" s="249"/>
      <c r="E8028" s="249"/>
      <c r="T8028" s="261"/>
    </row>
    <row r="8029" spans="2:20" x14ac:dyDescent="0.2">
      <c r="B8029" s="245"/>
      <c r="C8029" s="248"/>
      <c r="D8029" s="249"/>
      <c r="E8029" s="249"/>
      <c r="T8029" s="261"/>
    </row>
    <row r="8030" spans="2:20" x14ac:dyDescent="0.2">
      <c r="B8030" s="245"/>
      <c r="C8030" s="248"/>
      <c r="D8030" s="249"/>
      <c r="E8030" s="249"/>
      <c r="T8030" s="261"/>
    </row>
    <row r="8031" spans="2:20" x14ac:dyDescent="0.2">
      <c r="B8031" s="245"/>
      <c r="C8031" s="248"/>
      <c r="D8031" s="249"/>
      <c r="E8031" s="249"/>
      <c r="T8031" s="261"/>
    </row>
    <row r="8032" spans="2:20" x14ac:dyDescent="0.2">
      <c r="B8032" s="245"/>
      <c r="C8032" s="248"/>
      <c r="D8032" s="249"/>
      <c r="E8032" s="249"/>
      <c r="T8032" s="261"/>
    </row>
    <row r="8033" spans="2:20" x14ac:dyDescent="0.2">
      <c r="B8033" s="245"/>
      <c r="C8033" s="248"/>
      <c r="D8033" s="249"/>
      <c r="E8033" s="249"/>
      <c r="T8033" s="261"/>
    </row>
    <row r="8034" spans="2:20" x14ac:dyDescent="0.2">
      <c r="B8034" s="245"/>
      <c r="C8034" s="248"/>
      <c r="D8034" s="249"/>
      <c r="E8034" s="249"/>
      <c r="T8034" s="261"/>
    </row>
    <row r="8035" spans="2:20" x14ac:dyDescent="0.2">
      <c r="B8035" s="245"/>
      <c r="C8035" s="248"/>
      <c r="D8035" s="249"/>
      <c r="E8035" s="249"/>
      <c r="T8035" s="261"/>
    </row>
    <row r="8036" spans="2:20" x14ac:dyDescent="0.2">
      <c r="B8036" s="245"/>
      <c r="C8036" s="248"/>
      <c r="D8036" s="249"/>
      <c r="E8036" s="249"/>
      <c r="T8036" s="261"/>
    </row>
    <row r="8037" spans="2:20" x14ac:dyDescent="0.2">
      <c r="B8037" s="245"/>
      <c r="C8037" s="248"/>
      <c r="D8037" s="249"/>
      <c r="E8037" s="249"/>
      <c r="T8037" s="261"/>
    </row>
    <row r="8038" spans="2:20" x14ac:dyDescent="0.2">
      <c r="B8038" s="245"/>
      <c r="C8038" s="248"/>
      <c r="D8038" s="249"/>
      <c r="E8038" s="249"/>
      <c r="T8038" s="261"/>
    </row>
    <row r="8039" spans="2:20" x14ac:dyDescent="0.2">
      <c r="B8039" s="245"/>
      <c r="C8039" s="248"/>
      <c r="D8039" s="249"/>
      <c r="E8039" s="249"/>
      <c r="T8039" s="261"/>
    </row>
    <row r="8040" spans="2:20" x14ac:dyDescent="0.2">
      <c r="B8040" s="245"/>
      <c r="C8040" s="248"/>
      <c r="D8040" s="249"/>
      <c r="E8040" s="249"/>
      <c r="T8040" s="261"/>
    </row>
    <row r="8041" spans="2:20" x14ac:dyDescent="0.2">
      <c r="B8041" s="245"/>
      <c r="C8041" s="248"/>
      <c r="D8041" s="249"/>
      <c r="E8041" s="249"/>
      <c r="T8041" s="261"/>
    </row>
    <row r="8042" spans="2:20" x14ac:dyDescent="0.2">
      <c r="B8042" s="245"/>
      <c r="C8042" s="248"/>
      <c r="D8042" s="249"/>
      <c r="E8042" s="249"/>
      <c r="T8042" s="261"/>
    </row>
    <row r="8043" spans="2:20" x14ac:dyDescent="0.2">
      <c r="B8043" s="245"/>
      <c r="C8043" s="248"/>
      <c r="D8043" s="249"/>
      <c r="E8043" s="249"/>
      <c r="T8043" s="261"/>
    </row>
    <row r="8044" spans="2:20" x14ac:dyDescent="0.2">
      <c r="B8044" s="245"/>
      <c r="C8044" s="248"/>
      <c r="D8044" s="249"/>
      <c r="E8044" s="249"/>
      <c r="T8044" s="261"/>
    </row>
    <row r="8045" spans="2:20" x14ac:dyDescent="0.2">
      <c r="B8045" s="245"/>
      <c r="C8045" s="248"/>
      <c r="D8045" s="249"/>
      <c r="E8045" s="249"/>
      <c r="T8045" s="261"/>
    </row>
    <row r="8046" spans="2:20" x14ac:dyDescent="0.2">
      <c r="B8046" s="245"/>
      <c r="C8046" s="248"/>
      <c r="D8046" s="249"/>
      <c r="E8046" s="249"/>
      <c r="T8046" s="261"/>
    </row>
    <row r="8047" spans="2:20" x14ac:dyDescent="0.2">
      <c r="B8047" s="245"/>
      <c r="C8047" s="248"/>
      <c r="D8047" s="249"/>
      <c r="E8047" s="249"/>
      <c r="T8047" s="261"/>
    </row>
    <row r="8048" spans="2:20" x14ac:dyDescent="0.2">
      <c r="B8048" s="245"/>
      <c r="C8048" s="248"/>
      <c r="D8048" s="249"/>
      <c r="E8048" s="249"/>
      <c r="T8048" s="261"/>
    </row>
    <row r="8049" spans="2:20" x14ac:dyDescent="0.2">
      <c r="B8049" s="245"/>
      <c r="C8049" s="248"/>
      <c r="D8049" s="249"/>
      <c r="E8049" s="249"/>
      <c r="T8049" s="261"/>
    </row>
    <row r="8050" spans="2:20" x14ac:dyDescent="0.2">
      <c r="B8050" s="245"/>
      <c r="C8050" s="248"/>
      <c r="D8050" s="249"/>
      <c r="E8050" s="249"/>
      <c r="T8050" s="261"/>
    </row>
    <row r="8051" spans="2:20" x14ac:dyDescent="0.2">
      <c r="B8051" s="245"/>
      <c r="C8051" s="248"/>
      <c r="D8051" s="249"/>
      <c r="E8051" s="249"/>
      <c r="T8051" s="261"/>
    </row>
    <row r="8052" spans="2:20" x14ac:dyDescent="0.2">
      <c r="B8052" s="245"/>
      <c r="C8052" s="248"/>
      <c r="D8052" s="249"/>
      <c r="E8052" s="249"/>
      <c r="T8052" s="261"/>
    </row>
    <row r="8053" spans="2:20" x14ac:dyDescent="0.2">
      <c r="B8053" s="245"/>
      <c r="C8053" s="248"/>
      <c r="D8053" s="249"/>
      <c r="E8053" s="249"/>
      <c r="T8053" s="261"/>
    </row>
    <row r="8054" spans="2:20" x14ac:dyDescent="0.2">
      <c r="B8054" s="245"/>
      <c r="C8054" s="248"/>
      <c r="D8054" s="249"/>
      <c r="E8054" s="249"/>
      <c r="T8054" s="261"/>
    </row>
    <row r="8055" spans="2:20" x14ac:dyDescent="0.2">
      <c r="B8055" s="245"/>
      <c r="C8055" s="248"/>
      <c r="D8055" s="249"/>
      <c r="E8055" s="249"/>
      <c r="T8055" s="261"/>
    </row>
    <row r="8056" spans="2:20" x14ac:dyDescent="0.2">
      <c r="B8056" s="245"/>
      <c r="C8056" s="248"/>
      <c r="D8056" s="249"/>
      <c r="E8056" s="249"/>
      <c r="T8056" s="261"/>
    </row>
    <row r="8057" spans="2:20" x14ac:dyDescent="0.2">
      <c r="B8057" s="245"/>
      <c r="C8057" s="248"/>
      <c r="D8057" s="249"/>
      <c r="E8057" s="249"/>
      <c r="T8057" s="261"/>
    </row>
    <row r="8058" spans="2:20" x14ac:dyDescent="0.2">
      <c r="B8058" s="245"/>
      <c r="C8058" s="248"/>
      <c r="D8058" s="249"/>
      <c r="E8058" s="249"/>
      <c r="T8058" s="261"/>
    </row>
    <row r="8059" spans="2:20" x14ac:dyDescent="0.2">
      <c r="B8059" s="245"/>
      <c r="C8059" s="248"/>
      <c r="D8059" s="249"/>
      <c r="E8059" s="249"/>
      <c r="T8059" s="261"/>
    </row>
    <row r="8060" spans="2:20" x14ac:dyDescent="0.2">
      <c r="B8060" s="245"/>
      <c r="C8060" s="248"/>
      <c r="D8060" s="249"/>
      <c r="E8060" s="249"/>
      <c r="T8060" s="261"/>
    </row>
    <row r="8061" spans="2:20" x14ac:dyDescent="0.2">
      <c r="B8061" s="245"/>
      <c r="C8061" s="248"/>
      <c r="D8061" s="249"/>
      <c r="E8061" s="249"/>
      <c r="T8061" s="261"/>
    </row>
    <row r="8062" spans="2:20" x14ac:dyDescent="0.2">
      <c r="B8062" s="245"/>
      <c r="C8062" s="248"/>
      <c r="D8062" s="249"/>
      <c r="E8062" s="249"/>
      <c r="T8062" s="261"/>
    </row>
    <row r="8063" spans="2:20" x14ac:dyDescent="0.2">
      <c r="B8063" s="245"/>
      <c r="C8063" s="248"/>
      <c r="D8063" s="249"/>
      <c r="E8063" s="249"/>
      <c r="T8063" s="261"/>
    </row>
    <row r="8064" spans="2:20" x14ac:dyDescent="0.2">
      <c r="B8064" s="245"/>
      <c r="C8064" s="248"/>
      <c r="D8064" s="249"/>
      <c r="E8064" s="249"/>
      <c r="T8064" s="261"/>
    </row>
    <row r="8065" spans="2:20" x14ac:dyDescent="0.2">
      <c r="B8065" s="245"/>
      <c r="C8065" s="248"/>
      <c r="D8065" s="249"/>
      <c r="E8065" s="249"/>
      <c r="T8065" s="261"/>
    </row>
    <row r="8066" spans="2:20" x14ac:dyDescent="0.2">
      <c r="B8066" s="245"/>
      <c r="C8066" s="248"/>
      <c r="D8066" s="249"/>
      <c r="E8066" s="249"/>
      <c r="T8066" s="261"/>
    </row>
    <row r="8067" spans="2:20" x14ac:dyDescent="0.2">
      <c r="B8067" s="245"/>
      <c r="C8067" s="248"/>
      <c r="D8067" s="249"/>
      <c r="E8067" s="249"/>
      <c r="T8067" s="261"/>
    </row>
    <row r="8068" spans="2:20" x14ac:dyDescent="0.2">
      <c r="B8068" s="245"/>
      <c r="C8068" s="248"/>
      <c r="D8068" s="249"/>
      <c r="E8068" s="249"/>
      <c r="T8068" s="261"/>
    </row>
    <row r="8069" spans="2:20" x14ac:dyDescent="0.2">
      <c r="B8069" s="245"/>
      <c r="C8069" s="248"/>
      <c r="D8069" s="249"/>
      <c r="E8069" s="249"/>
      <c r="T8069" s="261"/>
    </row>
    <row r="8070" spans="2:20" x14ac:dyDescent="0.2">
      <c r="B8070" s="245"/>
      <c r="C8070" s="248"/>
      <c r="D8070" s="249"/>
      <c r="E8070" s="249"/>
      <c r="T8070" s="261"/>
    </row>
    <row r="8071" spans="2:20" x14ac:dyDescent="0.2">
      <c r="B8071" s="245"/>
      <c r="C8071" s="248"/>
      <c r="D8071" s="249"/>
      <c r="E8071" s="249"/>
      <c r="T8071" s="261"/>
    </row>
    <row r="8072" spans="2:20" x14ac:dyDescent="0.2">
      <c r="B8072" s="245"/>
      <c r="C8072" s="248"/>
      <c r="D8072" s="249"/>
      <c r="E8072" s="249"/>
      <c r="T8072" s="261"/>
    </row>
    <row r="8073" spans="2:20" x14ac:dyDescent="0.2">
      <c r="B8073" s="245"/>
      <c r="C8073" s="248"/>
      <c r="D8073" s="249"/>
      <c r="E8073" s="249"/>
      <c r="T8073" s="261"/>
    </row>
    <row r="8074" spans="2:20" x14ac:dyDescent="0.2">
      <c r="B8074" s="245"/>
      <c r="C8074" s="248"/>
      <c r="D8074" s="249"/>
      <c r="E8074" s="249"/>
      <c r="T8074" s="261"/>
    </row>
    <row r="8075" spans="2:20" x14ac:dyDescent="0.2">
      <c r="B8075" s="245"/>
      <c r="C8075" s="248"/>
      <c r="D8075" s="249"/>
      <c r="E8075" s="249"/>
      <c r="T8075" s="261"/>
    </row>
    <row r="8076" spans="2:20" x14ac:dyDescent="0.2">
      <c r="B8076" s="245"/>
      <c r="C8076" s="248"/>
      <c r="D8076" s="249"/>
      <c r="E8076" s="249"/>
      <c r="T8076" s="261"/>
    </row>
    <row r="8077" spans="2:20" x14ac:dyDescent="0.2">
      <c r="B8077" s="245"/>
      <c r="C8077" s="248"/>
      <c r="D8077" s="249"/>
      <c r="E8077" s="249"/>
      <c r="T8077" s="261"/>
    </row>
    <row r="8078" spans="2:20" x14ac:dyDescent="0.2">
      <c r="B8078" s="245"/>
      <c r="C8078" s="248"/>
      <c r="D8078" s="249"/>
      <c r="E8078" s="249"/>
      <c r="T8078" s="261"/>
    </row>
    <row r="8079" spans="2:20" x14ac:dyDescent="0.2">
      <c r="B8079" s="245"/>
      <c r="C8079" s="248"/>
      <c r="D8079" s="249"/>
      <c r="E8079" s="249"/>
      <c r="T8079" s="261"/>
    </row>
    <row r="8080" spans="2:20" x14ac:dyDescent="0.2">
      <c r="B8080" s="245"/>
      <c r="C8080" s="248"/>
      <c r="D8080" s="249"/>
      <c r="E8080" s="249"/>
      <c r="T8080" s="261"/>
    </row>
    <row r="8081" spans="2:20" x14ac:dyDescent="0.2">
      <c r="B8081" s="245"/>
      <c r="C8081" s="248"/>
      <c r="D8081" s="249"/>
      <c r="E8081" s="249"/>
      <c r="T8081" s="261"/>
    </row>
    <row r="8082" spans="2:20" x14ac:dyDescent="0.2">
      <c r="B8082" s="245"/>
      <c r="C8082" s="248"/>
      <c r="D8082" s="249"/>
      <c r="E8082" s="249"/>
      <c r="T8082" s="261"/>
    </row>
    <row r="8083" spans="2:20" x14ac:dyDescent="0.2">
      <c r="B8083" s="245"/>
      <c r="C8083" s="248"/>
      <c r="D8083" s="249"/>
      <c r="E8083" s="249"/>
      <c r="T8083" s="261"/>
    </row>
    <row r="8084" spans="2:20" x14ac:dyDescent="0.2">
      <c r="B8084" s="245"/>
      <c r="C8084" s="248"/>
      <c r="D8084" s="249"/>
      <c r="E8084" s="249"/>
      <c r="T8084" s="261"/>
    </row>
    <row r="8085" spans="2:20" x14ac:dyDescent="0.2">
      <c r="B8085" s="245"/>
      <c r="C8085" s="248"/>
      <c r="D8085" s="249"/>
      <c r="E8085" s="249"/>
      <c r="T8085" s="261"/>
    </row>
    <row r="8086" spans="2:20" x14ac:dyDescent="0.2">
      <c r="B8086" s="245"/>
      <c r="C8086" s="248"/>
      <c r="D8086" s="249"/>
      <c r="E8086" s="249"/>
      <c r="T8086" s="261"/>
    </row>
    <row r="8087" spans="2:20" x14ac:dyDescent="0.2">
      <c r="B8087" s="245"/>
      <c r="C8087" s="248"/>
      <c r="D8087" s="249"/>
      <c r="E8087" s="249"/>
      <c r="T8087" s="261"/>
    </row>
    <row r="8088" spans="2:20" x14ac:dyDescent="0.2">
      <c r="B8088" s="245"/>
      <c r="C8088" s="248"/>
      <c r="D8088" s="249"/>
      <c r="E8088" s="249"/>
      <c r="T8088" s="261"/>
    </row>
    <row r="8089" spans="2:20" x14ac:dyDescent="0.2">
      <c r="B8089" s="245"/>
      <c r="C8089" s="248"/>
      <c r="D8089" s="249"/>
      <c r="E8089" s="249"/>
      <c r="T8089" s="261"/>
    </row>
    <row r="8090" spans="2:20" x14ac:dyDescent="0.2">
      <c r="B8090" s="245"/>
      <c r="C8090" s="248"/>
      <c r="D8090" s="249"/>
      <c r="E8090" s="249"/>
      <c r="T8090" s="261"/>
    </row>
    <row r="8091" spans="2:20" x14ac:dyDescent="0.2">
      <c r="B8091" s="245"/>
      <c r="C8091" s="248"/>
      <c r="D8091" s="249"/>
      <c r="E8091" s="249"/>
      <c r="T8091" s="261"/>
    </row>
    <row r="8092" spans="2:20" x14ac:dyDescent="0.2">
      <c r="B8092" s="245"/>
      <c r="C8092" s="248"/>
      <c r="D8092" s="249"/>
      <c r="E8092" s="249"/>
      <c r="T8092" s="261"/>
    </row>
    <row r="8093" spans="2:20" x14ac:dyDescent="0.2">
      <c r="B8093" s="245"/>
      <c r="C8093" s="248"/>
      <c r="D8093" s="249"/>
      <c r="E8093" s="249"/>
      <c r="T8093" s="261"/>
    </row>
    <row r="8094" spans="2:20" x14ac:dyDescent="0.2">
      <c r="B8094" s="245"/>
      <c r="C8094" s="248"/>
      <c r="D8094" s="249"/>
      <c r="E8094" s="249"/>
      <c r="T8094" s="261"/>
    </row>
    <row r="8095" spans="2:20" x14ac:dyDescent="0.2">
      <c r="B8095" s="245"/>
      <c r="C8095" s="248"/>
      <c r="D8095" s="249"/>
      <c r="E8095" s="249"/>
      <c r="T8095" s="261"/>
    </row>
    <row r="8096" spans="2:20" x14ac:dyDescent="0.2">
      <c r="B8096" s="245"/>
      <c r="C8096" s="248"/>
      <c r="D8096" s="249"/>
      <c r="E8096" s="249"/>
      <c r="T8096" s="261"/>
    </row>
    <row r="8097" spans="2:20" x14ac:dyDescent="0.2">
      <c r="B8097" s="245"/>
      <c r="C8097" s="248"/>
      <c r="D8097" s="249"/>
      <c r="E8097" s="249"/>
      <c r="T8097" s="261"/>
    </row>
    <row r="8098" spans="2:20" x14ac:dyDescent="0.2">
      <c r="B8098" s="245"/>
      <c r="C8098" s="248"/>
      <c r="D8098" s="249"/>
      <c r="E8098" s="249"/>
      <c r="T8098" s="261"/>
    </row>
    <row r="8099" spans="2:20" x14ac:dyDescent="0.2">
      <c r="B8099" s="245"/>
      <c r="C8099" s="248"/>
      <c r="D8099" s="249"/>
      <c r="E8099" s="249"/>
      <c r="T8099" s="261"/>
    </row>
    <row r="8100" spans="2:20" x14ac:dyDescent="0.2">
      <c r="B8100" s="245"/>
      <c r="C8100" s="248"/>
      <c r="D8100" s="249"/>
      <c r="E8100" s="249"/>
      <c r="T8100" s="261"/>
    </row>
    <row r="8101" spans="2:20" x14ac:dyDescent="0.2">
      <c r="B8101" s="245"/>
      <c r="C8101" s="248"/>
      <c r="D8101" s="249"/>
      <c r="E8101" s="249"/>
      <c r="T8101" s="261"/>
    </row>
    <row r="8102" spans="2:20" x14ac:dyDescent="0.2">
      <c r="B8102" s="245"/>
      <c r="C8102" s="248"/>
      <c r="D8102" s="249"/>
      <c r="E8102" s="249"/>
      <c r="T8102" s="261"/>
    </row>
    <row r="8103" spans="2:20" x14ac:dyDescent="0.2">
      <c r="B8103" s="245"/>
      <c r="C8103" s="248"/>
      <c r="D8103" s="249"/>
      <c r="E8103" s="249"/>
      <c r="T8103" s="261"/>
    </row>
    <row r="8104" spans="2:20" x14ac:dyDescent="0.2">
      <c r="B8104" s="245"/>
      <c r="C8104" s="248"/>
      <c r="D8104" s="249"/>
      <c r="E8104" s="249"/>
      <c r="T8104" s="261"/>
    </row>
    <row r="8105" spans="2:20" x14ac:dyDescent="0.2">
      <c r="B8105" s="245"/>
      <c r="C8105" s="248"/>
      <c r="D8105" s="249"/>
      <c r="E8105" s="249"/>
      <c r="T8105" s="261"/>
    </row>
    <row r="8106" spans="2:20" x14ac:dyDescent="0.2">
      <c r="B8106" s="245"/>
      <c r="C8106" s="248"/>
      <c r="D8106" s="249"/>
      <c r="E8106" s="249"/>
      <c r="T8106" s="261"/>
    </row>
    <row r="8107" spans="2:20" x14ac:dyDescent="0.2">
      <c r="B8107" s="245"/>
      <c r="C8107" s="248"/>
      <c r="D8107" s="249"/>
      <c r="E8107" s="249"/>
      <c r="T8107" s="261"/>
    </row>
    <row r="8108" spans="2:20" x14ac:dyDescent="0.2">
      <c r="B8108" s="245"/>
      <c r="C8108" s="248"/>
      <c r="D8108" s="249"/>
      <c r="E8108" s="249"/>
      <c r="T8108" s="261"/>
    </row>
    <row r="8109" spans="2:20" x14ac:dyDescent="0.2">
      <c r="B8109" s="245"/>
      <c r="C8109" s="248"/>
      <c r="D8109" s="249"/>
      <c r="E8109" s="249"/>
      <c r="T8109" s="261"/>
    </row>
    <row r="8110" spans="2:20" x14ac:dyDescent="0.2">
      <c r="B8110" s="245"/>
      <c r="C8110" s="248"/>
      <c r="D8110" s="249"/>
      <c r="E8110" s="249"/>
      <c r="T8110" s="261"/>
    </row>
    <row r="8111" spans="2:20" x14ac:dyDescent="0.2">
      <c r="B8111" s="245"/>
      <c r="C8111" s="248"/>
      <c r="D8111" s="249"/>
      <c r="E8111" s="249"/>
      <c r="T8111" s="261"/>
    </row>
    <row r="8112" spans="2:20" x14ac:dyDescent="0.2">
      <c r="B8112" s="245"/>
      <c r="C8112" s="248"/>
      <c r="D8112" s="249"/>
      <c r="E8112" s="249"/>
      <c r="T8112" s="261"/>
    </row>
    <row r="8113" spans="2:20" x14ac:dyDescent="0.2">
      <c r="B8113" s="245"/>
      <c r="C8113" s="248"/>
      <c r="D8113" s="249"/>
      <c r="E8113" s="249"/>
      <c r="T8113" s="261"/>
    </row>
    <row r="8114" spans="2:20" x14ac:dyDescent="0.2">
      <c r="B8114" s="245"/>
      <c r="C8114" s="248"/>
      <c r="D8114" s="249"/>
      <c r="E8114" s="249"/>
      <c r="T8114" s="261"/>
    </row>
    <row r="8115" spans="2:20" x14ac:dyDescent="0.2">
      <c r="B8115" s="245"/>
      <c r="C8115" s="248"/>
      <c r="D8115" s="249"/>
      <c r="E8115" s="249"/>
      <c r="T8115" s="261"/>
    </row>
    <row r="8116" spans="2:20" x14ac:dyDescent="0.2">
      <c r="B8116" s="245"/>
      <c r="C8116" s="248"/>
      <c r="D8116" s="249"/>
      <c r="E8116" s="249"/>
      <c r="T8116" s="261"/>
    </row>
    <row r="8117" spans="2:20" x14ac:dyDescent="0.2">
      <c r="B8117" s="245"/>
      <c r="C8117" s="248"/>
      <c r="D8117" s="249"/>
      <c r="E8117" s="249"/>
      <c r="T8117" s="261"/>
    </row>
    <row r="8118" spans="2:20" x14ac:dyDescent="0.2">
      <c r="B8118" s="245"/>
      <c r="C8118" s="248"/>
      <c r="D8118" s="249"/>
      <c r="E8118" s="249"/>
      <c r="T8118" s="261"/>
    </row>
    <row r="8119" spans="2:20" x14ac:dyDescent="0.2">
      <c r="B8119" s="245"/>
      <c r="C8119" s="248"/>
      <c r="D8119" s="249"/>
      <c r="E8119" s="249"/>
      <c r="T8119" s="261"/>
    </row>
    <row r="8120" spans="2:20" x14ac:dyDescent="0.2">
      <c r="B8120" s="245"/>
      <c r="C8120" s="248"/>
      <c r="D8120" s="249"/>
      <c r="E8120" s="249"/>
      <c r="T8120" s="261"/>
    </row>
    <row r="8121" spans="2:20" x14ac:dyDescent="0.2">
      <c r="B8121" s="245"/>
      <c r="C8121" s="248"/>
      <c r="D8121" s="249"/>
      <c r="E8121" s="249"/>
      <c r="T8121" s="261"/>
    </row>
    <row r="8122" spans="2:20" x14ac:dyDescent="0.2">
      <c r="B8122" s="245"/>
      <c r="C8122" s="248"/>
      <c r="D8122" s="249"/>
      <c r="E8122" s="249"/>
      <c r="T8122" s="261"/>
    </row>
    <row r="8123" spans="2:20" x14ac:dyDescent="0.2">
      <c r="B8123" s="245"/>
      <c r="C8123" s="248"/>
      <c r="D8123" s="249"/>
      <c r="E8123" s="249"/>
      <c r="T8123" s="261"/>
    </row>
    <row r="8124" spans="2:20" x14ac:dyDescent="0.2">
      <c r="B8124" s="245"/>
      <c r="C8124" s="248"/>
      <c r="D8124" s="249"/>
      <c r="E8124" s="249"/>
      <c r="T8124" s="261"/>
    </row>
    <row r="8125" spans="2:20" x14ac:dyDescent="0.2">
      <c r="B8125" s="245"/>
      <c r="C8125" s="248"/>
      <c r="D8125" s="249"/>
      <c r="E8125" s="249"/>
      <c r="T8125" s="261"/>
    </row>
    <row r="8126" spans="2:20" x14ac:dyDescent="0.2">
      <c r="B8126" s="245"/>
      <c r="C8126" s="248"/>
      <c r="D8126" s="249"/>
      <c r="E8126" s="249"/>
      <c r="T8126" s="261"/>
    </row>
    <row r="8127" spans="2:20" x14ac:dyDescent="0.2">
      <c r="B8127" s="245"/>
      <c r="C8127" s="248"/>
      <c r="D8127" s="249"/>
      <c r="E8127" s="249"/>
      <c r="T8127" s="261"/>
    </row>
    <row r="8128" spans="2:20" x14ac:dyDescent="0.2">
      <c r="B8128" s="245"/>
      <c r="C8128" s="248"/>
      <c r="D8128" s="249"/>
      <c r="E8128" s="249"/>
      <c r="T8128" s="261"/>
    </row>
    <row r="8129" spans="2:20" x14ac:dyDescent="0.2">
      <c r="B8129" s="245"/>
      <c r="C8129" s="248"/>
      <c r="D8129" s="249"/>
      <c r="E8129" s="249"/>
      <c r="T8129" s="261"/>
    </row>
    <row r="8130" spans="2:20" x14ac:dyDescent="0.2">
      <c r="B8130" s="245"/>
      <c r="C8130" s="248"/>
      <c r="D8130" s="249"/>
      <c r="E8130" s="249"/>
      <c r="T8130" s="261"/>
    </row>
    <row r="8131" spans="2:20" x14ac:dyDescent="0.2">
      <c r="B8131" s="245"/>
      <c r="C8131" s="248"/>
      <c r="D8131" s="249"/>
      <c r="E8131" s="249"/>
      <c r="T8131" s="261"/>
    </row>
    <row r="8132" spans="2:20" x14ac:dyDescent="0.2">
      <c r="B8132" s="245"/>
      <c r="C8132" s="248"/>
      <c r="D8132" s="249"/>
      <c r="E8132" s="249"/>
      <c r="T8132" s="261"/>
    </row>
    <row r="8133" spans="2:20" x14ac:dyDescent="0.2">
      <c r="B8133" s="245"/>
      <c r="C8133" s="248"/>
      <c r="D8133" s="249"/>
      <c r="E8133" s="249"/>
      <c r="T8133" s="261"/>
    </row>
    <row r="8134" spans="2:20" x14ac:dyDescent="0.2">
      <c r="B8134" s="245"/>
      <c r="C8134" s="248"/>
      <c r="D8134" s="249"/>
      <c r="E8134" s="249"/>
      <c r="T8134" s="261"/>
    </row>
    <row r="8135" spans="2:20" x14ac:dyDescent="0.2">
      <c r="B8135" s="245"/>
      <c r="C8135" s="248"/>
      <c r="D8135" s="249"/>
      <c r="E8135" s="249"/>
      <c r="T8135" s="261"/>
    </row>
    <row r="8136" spans="2:20" x14ac:dyDescent="0.2">
      <c r="B8136" s="245"/>
      <c r="C8136" s="248"/>
      <c r="D8136" s="249"/>
      <c r="E8136" s="249"/>
      <c r="T8136" s="261"/>
    </row>
    <row r="8137" spans="2:20" x14ac:dyDescent="0.2">
      <c r="B8137" s="245"/>
      <c r="C8137" s="248"/>
      <c r="D8137" s="249"/>
      <c r="E8137" s="249"/>
      <c r="T8137" s="261"/>
    </row>
    <row r="8138" spans="2:20" x14ac:dyDescent="0.2">
      <c r="B8138" s="245"/>
      <c r="C8138" s="248"/>
      <c r="D8138" s="249"/>
      <c r="E8138" s="249"/>
      <c r="T8138" s="261"/>
    </row>
    <row r="8139" spans="2:20" x14ac:dyDescent="0.2">
      <c r="B8139" s="245"/>
      <c r="C8139" s="248"/>
      <c r="D8139" s="249"/>
      <c r="E8139" s="249"/>
      <c r="T8139" s="261"/>
    </row>
    <row r="8140" spans="2:20" x14ac:dyDescent="0.2">
      <c r="B8140" s="245"/>
      <c r="C8140" s="248"/>
      <c r="D8140" s="249"/>
      <c r="E8140" s="249"/>
      <c r="T8140" s="261"/>
    </row>
    <row r="8141" spans="2:20" x14ac:dyDescent="0.2">
      <c r="B8141" s="245"/>
      <c r="C8141" s="248"/>
      <c r="D8141" s="249"/>
      <c r="E8141" s="249"/>
      <c r="T8141" s="261"/>
    </row>
    <row r="8142" spans="2:20" x14ac:dyDescent="0.2">
      <c r="B8142" s="245"/>
      <c r="C8142" s="248"/>
      <c r="D8142" s="249"/>
      <c r="E8142" s="249"/>
      <c r="T8142" s="261"/>
    </row>
    <row r="8143" spans="2:20" x14ac:dyDescent="0.2">
      <c r="B8143" s="245"/>
      <c r="C8143" s="248"/>
      <c r="D8143" s="249"/>
      <c r="E8143" s="249"/>
      <c r="T8143" s="261"/>
    </row>
    <row r="8144" spans="2:20" x14ac:dyDescent="0.2">
      <c r="B8144" s="245"/>
      <c r="C8144" s="248"/>
      <c r="D8144" s="249"/>
      <c r="E8144" s="249"/>
      <c r="T8144" s="261"/>
    </row>
    <row r="8145" spans="2:20" x14ac:dyDescent="0.2">
      <c r="B8145" s="245"/>
      <c r="C8145" s="248"/>
      <c r="D8145" s="249"/>
      <c r="E8145" s="249"/>
      <c r="T8145" s="261"/>
    </row>
    <row r="8146" spans="2:20" x14ac:dyDescent="0.2">
      <c r="B8146" s="245"/>
      <c r="C8146" s="248"/>
      <c r="D8146" s="249"/>
      <c r="E8146" s="249"/>
      <c r="T8146" s="261"/>
    </row>
    <row r="8147" spans="2:20" x14ac:dyDescent="0.2">
      <c r="B8147" s="245"/>
      <c r="C8147" s="248"/>
      <c r="D8147" s="249"/>
      <c r="E8147" s="249"/>
      <c r="T8147" s="261"/>
    </row>
    <row r="8148" spans="2:20" x14ac:dyDescent="0.2">
      <c r="B8148" s="245"/>
      <c r="C8148" s="248"/>
      <c r="D8148" s="249"/>
      <c r="E8148" s="249"/>
      <c r="T8148" s="261"/>
    </row>
    <row r="8149" spans="2:20" x14ac:dyDescent="0.2">
      <c r="B8149" s="245"/>
      <c r="C8149" s="248"/>
      <c r="D8149" s="249"/>
      <c r="E8149" s="249"/>
      <c r="T8149" s="261"/>
    </row>
    <row r="8150" spans="2:20" x14ac:dyDescent="0.2">
      <c r="B8150" s="245"/>
      <c r="C8150" s="248"/>
      <c r="D8150" s="249"/>
      <c r="E8150" s="249"/>
      <c r="T8150" s="261"/>
    </row>
    <row r="8151" spans="2:20" x14ac:dyDescent="0.2">
      <c r="B8151" s="245"/>
      <c r="C8151" s="248"/>
      <c r="D8151" s="249"/>
      <c r="E8151" s="249"/>
      <c r="T8151" s="261"/>
    </row>
    <row r="8152" spans="2:20" x14ac:dyDescent="0.2">
      <c r="B8152" s="245"/>
      <c r="C8152" s="248"/>
      <c r="D8152" s="249"/>
      <c r="E8152" s="249"/>
      <c r="T8152" s="261"/>
    </row>
    <row r="8153" spans="2:20" x14ac:dyDescent="0.2">
      <c r="B8153" s="245"/>
      <c r="C8153" s="248"/>
      <c r="D8153" s="249"/>
      <c r="E8153" s="249"/>
      <c r="T8153" s="261"/>
    </row>
    <row r="8154" spans="2:20" x14ac:dyDescent="0.2">
      <c r="B8154" s="245"/>
      <c r="C8154" s="248"/>
      <c r="D8154" s="249"/>
      <c r="E8154" s="249"/>
      <c r="T8154" s="261"/>
    </row>
    <row r="8155" spans="2:20" x14ac:dyDescent="0.2">
      <c r="B8155" s="245"/>
      <c r="C8155" s="248"/>
      <c r="D8155" s="249"/>
      <c r="E8155" s="249"/>
      <c r="T8155" s="261"/>
    </row>
    <row r="8156" spans="2:20" x14ac:dyDescent="0.2">
      <c r="B8156" s="245"/>
      <c r="C8156" s="248"/>
      <c r="D8156" s="249"/>
      <c r="E8156" s="249"/>
      <c r="T8156" s="261"/>
    </row>
    <row r="8157" spans="2:20" x14ac:dyDescent="0.2">
      <c r="B8157" s="245"/>
      <c r="C8157" s="248"/>
      <c r="D8157" s="249"/>
      <c r="E8157" s="249"/>
      <c r="T8157" s="261"/>
    </row>
    <row r="8158" spans="2:20" x14ac:dyDescent="0.2">
      <c r="B8158" s="245"/>
      <c r="C8158" s="248"/>
      <c r="D8158" s="249"/>
      <c r="E8158" s="249"/>
      <c r="T8158" s="261"/>
    </row>
    <row r="8159" spans="2:20" x14ac:dyDescent="0.2">
      <c r="B8159" s="245"/>
      <c r="C8159" s="248"/>
      <c r="D8159" s="249"/>
      <c r="E8159" s="249"/>
      <c r="T8159" s="261"/>
    </row>
    <row r="8160" spans="2:20" x14ac:dyDescent="0.2">
      <c r="B8160" s="245"/>
      <c r="C8160" s="248"/>
      <c r="D8160" s="249"/>
      <c r="E8160" s="249"/>
      <c r="T8160" s="261"/>
    </row>
    <row r="8161" spans="2:20" x14ac:dyDescent="0.2">
      <c r="B8161" s="245"/>
      <c r="C8161" s="248"/>
      <c r="D8161" s="249"/>
      <c r="E8161" s="249"/>
      <c r="T8161" s="261"/>
    </row>
    <row r="8162" spans="2:20" x14ac:dyDescent="0.2">
      <c r="B8162" s="245"/>
      <c r="C8162" s="248"/>
      <c r="D8162" s="249"/>
      <c r="E8162" s="249"/>
      <c r="T8162" s="261"/>
    </row>
    <row r="8163" spans="2:20" x14ac:dyDescent="0.2">
      <c r="B8163" s="245"/>
      <c r="C8163" s="248"/>
      <c r="D8163" s="249"/>
      <c r="E8163" s="249"/>
      <c r="T8163" s="261"/>
    </row>
    <row r="8164" spans="2:20" x14ac:dyDescent="0.2">
      <c r="B8164" s="245"/>
      <c r="C8164" s="248"/>
      <c r="D8164" s="249"/>
      <c r="E8164" s="249"/>
      <c r="T8164" s="261"/>
    </row>
    <row r="8165" spans="2:20" x14ac:dyDescent="0.2">
      <c r="B8165" s="245"/>
      <c r="C8165" s="248"/>
      <c r="D8165" s="249"/>
      <c r="E8165" s="249"/>
      <c r="T8165" s="261"/>
    </row>
    <row r="8166" spans="2:20" x14ac:dyDescent="0.2">
      <c r="B8166" s="245"/>
      <c r="C8166" s="248"/>
      <c r="D8166" s="249"/>
      <c r="E8166" s="249"/>
      <c r="T8166" s="261"/>
    </row>
    <row r="8167" spans="2:20" x14ac:dyDescent="0.2">
      <c r="B8167" s="245"/>
      <c r="C8167" s="248"/>
      <c r="D8167" s="249"/>
      <c r="E8167" s="249"/>
      <c r="T8167" s="261"/>
    </row>
    <row r="8168" spans="2:20" x14ac:dyDescent="0.2">
      <c r="B8168" s="245"/>
      <c r="C8168" s="248"/>
      <c r="D8168" s="249"/>
      <c r="E8168" s="249"/>
      <c r="T8168" s="261"/>
    </row>
    <row r="8169" spans="2:20" x14ac:dyDescent="0.2">
      <c r="B8169" s="245"/>
      <c r="C8169" s="248"/>
      <c r="D8169" s="249"/>
      <c r="E8169" s="249"/>
      <c r="T8169" s="261"/>
    </row>
    <row r="8170" spans="2:20" x14ac:dyDescent="0.2">
      <c r="B8170" s="245"/>
      <c r="C8170" s="248"/>
      <c r="D8170" s="249"/>
      <c r="E8170" s="249"/>
      <c r="T8170" s="261"/>
    </row>
    <row r="8171" spans="2:20" x14ac:dyDescent="0.2">
      <c r="B8171" s="245"/>
      <c r="C8171" s="248"/>
      <c r="D8171" s="249"/>
      <c r="E8171" s="249"/>
      <c r="T8171" s="261"/>
    </row>
    <row r="8172" spans="2:20" x14ac:dyDescent="0.2">
      <c r="B8172" s="245"/>
      <c r="C8172" s="248"/>
      <c r="D8172" s="249"/>
      <c r="E8172" s="249"/>
      <c r="T8172" s="261"/>
    </row>
    <row r="8173" spans="2:20" x14ac:dyDescent="0.2">
      <c r="B8173" s="245"/>
      <c r="C8173" s="248"/>
      <c r="D8173" s="249"/>
      <c r="E8173" s="249"/>
      <c r="T8173" s="261"/>
    </row>
    <row r="8174" spans="2:20" x14ac:dyDescent="0.2">
      <c r="B8174" s="245"/>
      <c r="C8174" s="248"/>
      <c r="D8174" s="249"/>
      <c r="E8174" s="249"/>
      <c r="T8174" s="261"/>
    </row>
    <row r="8175" spans="2:20" x14ac:dyDescent="0.2">
      <c r="B8175" s="245"/>
      <c r="C8175" s="248"/>
      <c r="D8175" s="249"/>
      <c r="E8175" s="249"/>
      <c r="T8175" s="261"/>
    </row>
    <row r="8176" spans="2:20" x14ac:dyDescent="0.2">
      <c r="B8176" s="245"/>
      <c r="C8176" s="248"/>
      <c r="D8176" s="249"/>
      <c r="E8176" s="249"/>
      <c r="T8176" s="261"/>
    </row>
    <row r="8177" spans="2:20" x14ac:dyDescent="0.2">
      <c r="B8177" s="245"/>
      <c r="C8177" s="248"/>
      <c r="D8177" s="249"/>
      <c r="E8177" s="249"/>
      <c r="T8177" s="261"/>
    </row>
    <row r="8178" spans="2:20" x14ac:dyDescent="0.2">
      <c r="B8178" s="245"/>
      <c r="C8178" s="248"/>
      <c r="D8178" s="249"/>
      <c r="E8178" s="249"/>
      <c r="T8178" s="261"/>
    </row>
    <row r="8179" spans="2:20" x14ac:dyDescent="0.2">
      <c r="B8179" s="245"/>
      <c r="C8179" s="248"/>
      <c r="D8179" s="249"/>
      <c r="E8179" s="249"/>
      <c r="T8179" s="261"/>
    </row>
    <row r="8180" spans="2:20" x14ac:dyDescent="0.2">
      <c r="B8180" s="245"/>
      <c r="C8180" s="248"/>
      <c r="D8180" s="249"/>
      <c r="E8180" s="249"/>
      <c r="T8180" s="261"/>
    </row>
    <row r="8181" spans="2:20" x14ac:dyDescent="0.2">
      <c r="B8181" s="245"/>
      <c r="C8181" s="248"/>
      <c r="D8181" s="249"/>
      <c r="E8181" s="249"/>
      <c r="T8181" s="261"/>
    </row>
    <row r="8182" spans="2:20" x14ac:dyDescent="0.2">
      <c r="B8182" s="245"/>
      <c r="C8182" s="248"/>
      <c r="D8182" s="249"/>
      <c r="E8182" s="249"/>
      <c r="T8182" s="261"/>
    </row>
    <row r="8183" spans="2:20" x14ac:dyDescent="0.2">
      <c r="B8183" s="245"/>
      <c r="C8183" s="248"/>
      <c r="D8183" s="249"/>
      <c r="E8183" s="249"/>
      <c r="T8183" s="261"/>
    </row>
    <row r="8184" spans="2:20" x14ac:dyDescent="0.2">
      <c r="B8184" s="245"/>
      <c r="C8184" s="248"/>
      <c r="D8184" s="249"/>
      <c r="E8184" s="249"/>
      <c r="T8184" s="261"/>
    </row>
    <row r="8185" spans="2:20" x14ac:dyDescent="0.2">
      <c r="B8185" s="245"/>
      <c r="C8185" s="248"/>
      <c r="D8185" s="249"/>
      <c r="E8185" s="249"/>
      <c r="T8185" s="261"/>
    </row>
    <row r="8186" spans="2:20" x14ac:dyDescent="0.2">
      <c r="B8186" s="245"/>
      <c r="C8186" s="248"/>
      <c r="D8186" s="249"/>
      <c r="E8186" s="249"/>
      <c r="T8186" s="261"/>
    </row>
    <row r="8187" spans="2:20" x14ac:dyDescent="0.2">
      <c r="B8187" s="245"/>
      <c r="C8187" s="248"/>
      <c r="D8187" s="249"/>
      <c r="E8187" s="249"/>
      <c r="T8187" s="261"/>
    </row>
    <row r="8188" spans="2:20" x14ac:dyDescent="0.2">
      <c r="B8188" s="245"/>
      <c r="C8188" s="248"/>
      <c r="D8188" s="249"/>
      <c r="E8188" s="249"/>
      <c r="T8188" s="261"/>
    </row>
    <row r="8189" spans="2:20" x14ac:dyDescent="0.2">
      <c r="B8189" s="245"/>
      <c r="C8189" s="248"/>
      <c r="D8189" s="249"/>
      <c r="E8189" s="249"/>
      <c r="T8189" s="261"/>
    </row>
    <row r="8190" spans="2:20" x14ac:dyDescent="0.2">
      <c r="B8190" s="245"/>
      <c r="C8190" s="248"/>
      <c r="D8190" s="249"/>
      <c r="E8190" s="249"/>
      <c r="T8190" s="261"/>
    </row>
    <row r="8191" spans="2:20" x14ac:dyDescent="0.2">
      <c r="B8191" s="245"/>
      <c r="C8191" s="248"/>
      <c r="D8191" s="249"/>
      <c r="E8191" s="249"/>
      <c r="T8191" s="261"/>
    </row>
    <row r="8192" spans="2:20" x14ac:dyDescent="0.2">
      <c r="B8192" s="245"/>
      <c r="C8192" s="248"/>
      <c r="D8192" s="249"/>
      <c r="E8192" s="249"/>
      <c r="T8192" s="261"/>
    </row>
    <row r="8193" spans="2:20" x14ac:dyDescent="0.2">
      <c r="B8193" s="245"/>
      <c r="C8193" s="248"/>
      <c r="D8193" s="249"/>
      <c r="E8193" s="249"/>
      <c r="T8193" s="261"/>
    </row>
    <row r="8194" spans="2:20" x14ac:dyDescent="0.2">
      <c r="B8194" s="245"/>
      <c r="C8194" s="248"/>
      <c r="D8194" s="249"/>
      <c r="E8194" s="249"/>
      <c r="T8194" s="261"/>
    </row>
    <row r="8195" spans="2:20" x14ac:dyDescent="0.2">
      <c r="B8195" s="245"/>
      <c r="C8195" s="248"/>
      <c r="D8195" s="249"/>
      <c r="E8195" s="249"/>
      <c r="T8195" s="261"/>
    </row>
    <row r="8196" spans="2:20" x14ac:dyDescent="0.2">
      <c r="B8196" s="245"/>
      <c r="C8196" s="248"/>
      <c r="D8196" s="249"/>
      <c r="E8196" s="249"/>
      <c r="T8196" s="261"/>
    </row>
    <row r="8197" spans="2:20" x14ac:dyDescent="0.2">
      <c r="B8197" s="245"/>
      <c r="C8197" s="248"/>
      <c r="D8197" s="249"/>
      <c r="E8197" s="249"/>
      <c r="T8197" s="261"/>
    </row>
    <row r="8198" spans="2:20" x14ac:dyDescent="0.2">
      <c r="B8198" s="245"/>
      <c r="C8198" s="248"/>
      <c r="D8198" s="249"/>
      <c r="E8198" s="249"/>
      <c r="T8198" s="261"/>
    </row>
    <row r="8199" spans="2:20" x14ac:dyDescent="0.2">
      <c r="B8199" s="245"/>
      <c r="C8199" s="248"/>
      <c r="D8199" s="249"/>
      <c r="E8199" s="249"/>
      <c r="T8199" s="261"/>
    </row>
    <row r="8200" spans="2:20" x14ac:dyDescent="0.2">
      <c r="B8200" s="245"/>
      <c r="C8200" s="248"/>
      <c r="D8200" s="249"/>
      <c r="E8200" s="249"/>
      <c r="T8200" s="261"/>
    </row>
    <row r="8201" spans="2:20" x14ac:dyDescent="0.2">
      <c r="B8201" s="245"/>
      <c r="C8201" s="248"/>
      <c r="D8201" s="249"/>
      <c r="E8201" s="249"/>
      <c r="T8201" s="261"/>
    </row>
    <row r="8202" spans="2:20" x14ac:dyDescent="0.2">
      <c r="B8202" s="245"/>
      <c r="C8202" s="248"/>
      <c r="D8202" s="249"/>
      <c r="E8202" s="249"/>
      <c r="T8202" s="261"/>
    </row>
    <row r="8203" spans="2:20" x14ac:dyDescent="0.2">
      <c r="B8203" s="245"/>
      <c r="C8203" s="248"/>
      <c r="D8203" s="249"/>
      <c r="E8203" s="249"/>
      <c r="T8203" s="261"/>
    </row>
    <row r="8204" spans="2:20" x14ac:dyDescent="0.2">
      <c r="B8204" s="245"/>
      <c r="C8204" s="248"/>
      <c r="D8204" s="249"/>
      <c r="E8204" s="249"/>
      <c r="T8204" s="261"/>
    </row>
    <row r="8205" spans="2:20" x14ac:dyDescent="0.2">
      <c r="B8205" s="245"/>
      <c r="C8205" s="248"/>
      <c r="D8205" s="249"/>
      <c r="E8205" s="249"/>
      <c r="T8205" s="261"/>
    </row>
    <row r="8206" spans="2:20" x14ac:dyDescent="0.2">
      <c r="B8206" s="245"/>
      <c r="C8206" s="248"/>
      <c r="D8206" s="249"/>
      <c r="E8206" s="249"/>
      <c r="T8206" s="261"/>
    </row>
    <row r="8207" spans="2:20" x14ac:dyDescent="0.2">
      <c r="B8207" s="245"/>
      <c r="C8207" s="248"/>
      <c r="D8207" s="249"/>
      <c r="E8207" s="249"/>
      <c r="T8207" s="261"/>
    </row>
    <row r="8208" spans="2:20" x14ac:dyDescent="0.2">
      <c r="B8208" s="245"/>
      <c r="C8208" s="248"/>
      <c r="D8208" s="249"/>
      <c r="E8208" s="249"/>
      <c r="T8208" s="261"/>
    </row>
    <row r="8209" spans="2:20" x14ac:dyDescent="0.2">
      <c r="B8209" s="245"/>
      <c r="C8209" s="248"/>
      <c r="D8209" s="249"/>
      <c r="E8209" s="249"/>
      <c r="T8209" s="261"/>
    </row>
    <row r="8210" spans="2:20" x14ac:dyDescent="0.2">
      <c r="B8210" s="245"/>
      <c r="C8210" s="248"/>
      <c r="D8210" s="249"/>
      <c r="E8210" s="249"/>
      <c r="T8210" s="261"/>
    </row>
    <row r="8211" spans="2:20" x14ac:dyDescent="0.2">
      <c r="B8211" s="245"/>
      <c r="C8211" s="248"/>
      <c r="D8211" s="249"/>
      <c r="E8211" s="249"/>
      <c r="T8211" s="261"/>
    </row>
    <row r="8212" spans="2:20" x14ac:dyDescent="0.2">
      <c r="B8212" s="245"/>
      <c r="C8212" s="248"/>
      <c r="D8212" s="249"/>
      <c r="E8212" s="249"/>
      <c r="T8212" s="261"/>
    </row>
    <row r="8213" spans="2:20" x14ac:dyDescent="0.2">
      <c r="B8213" s="245"/>
      <c r="C8213" s="248"/>
      <c r="D8213" s="249"/>
      <c r="E8213" s="249"/>
      <c r="T8213" s="261"/>
    </row>
    <row r="8214" spans="2:20" x14ac:dyDescent="0.2">
      <c r="B8214" s="245"/>
      <c r="C8214" s="248"/>
      <c r="D8214" s="249"/>
      <c r="E8214" s="249"/>
      <c r="T8214" s="261"/>
    </row>
    <row r="8215" spans="2:20" x14ac:dyDescent="0.2">
      <c r="B8215" s="245"/>
      <c r="C8215" s="248"/>
      <c r="D8215" s="249"/>
      <c r="E8215" s="249"/>
      <c r="T8215" s="261"/>
    </row>
    <row r="8216" spans="2:20" x14ac:dyDescent="0.2">
      <c r="B8216" s="245"/>
      <c r="C8216" s="248"/>
      <c r="D8216" s="249"/>
      <c r="E8216" s="249"/>
      <c r="T8216" s="261"/>
    </row>
    <row r="8217" spans="2:20" x14ac:dyDescent="0.2">
      <c r="B8217" s="245"/>
      <c r="C8217" s="248"/>
      <c r="D8217" s="249"/>
      <c r="E8217" s="249"/>
      <c r="T8217" s="261"/>
    </row>
    <row r="8218" spans="2:20" x14ac:dyDescent="0.2">
      <c r="B8218" s="245"/>
      <c r="C8218" s="248"/>
      <c r="D8218" s="249"/>
      <c r="E8218" s="249"/>
      <c r="T8218" s="261"/>
    </row>
    <row r="8219" spans="2:20" x14ac:dyDescent="0.2">
      <c r="B8219" s="245"/>
      <c r="C8219" s="248"/>
      <c r="D8219" s="249"/>
      <c r="E8219" s="249"/>
      <c r="T8219" s="261"/>
    </row>
    <row r="8220" spans="2:20" x14ac:dyDescent="0.2">
      <c r="B8220" s="245"/>
      <c r="C8220" s="248"/>
      <c r="D8220" s="249"/>
      <c r="E8220" s="249"/>
      <c r="T8220" s="261"/>
    </row>
    <row r="8221" spans="2:20" x14ac:dyDescent="0.2">
      <c r="B8221" s="245"/>
      <c r="C8221" s="248"/>
      <c r="D8221" s="249"/>
      <c r="E8221" s="249"/>
      <c r="T8221" s="261"/>
    </row>
    <row r="8222" spans="2:20" x14ac:dyDescent="0.2">
      <c r="B8222" s="245"/>
      <c r="C8222" s="248"/>
      <c r="D8222" s="249"/>
      <c r="E8222" s="249"/>
      <c r="T8222" s="261"/>
    </row>
    <row r="8223" spans="2:20" x14ac:dyDescent="0.2">
      <c r="B8223" s="245"/>
      <c r="C8223" s="248"/>
      <c r="D8223" s="249"/>
      <c r="E8223" s="249"/>
      <c r="T8223" s="261"/>
    </row>
    <row r="8224" spans="2:20" x14ac:dyDescent="0.2">
      <c r="B8224" s="245"/>
      <c r="C8224" s="248"/>
      <c r="D8224" s="249"/>
      <c r="E8224" s="249"/>
      <c r="T8224" s="261"/>
    </row>
    <row r="8225" spans="2:20" x14ac:dyDescent="0.2">
      <c r="B8225" s="245"/>
      <c r="C8225" s="248"/>
      <c r="D8225" s="249"/>
      <c r="E8225" s="249"/>
      <c r="T8225" s="261"/>
    </row>
    <row r="8226" spans="2:20" x14ac:dyDescent="0.2">
      <c r="B8226" s="245"/>
      <c r="C8226" s="248"/>
      <c r="D8226" s="249"/>
      <c r="E8226" s="249"/>
      <c r="T8226" s="261"/>
    </row>
    <row r="8227" spans="2:20" x14ac:dyDescent="0.2">
      <c r="B8227" s="245"/>
      <c r="C8227" s="248"/>
      <c r="D8227" s="249"/>
      <c r="E8227" s="249"/>
      <c r="T8227" s="261"/>
    </row>
    <row r="8228" spans="2:20" x14ac:dyDescent="0.2">
      <c r="B8228" s="245"/>
      <c r="C8228" s="248"/>
      <c r="D8228" s="249"/>
      <c r="E8228" s="249"/>
      <c r="T8228" s="261"/>
    </row>
    <row r="8229" spans="2:20" x14ac:dyDescent="0.2">
      <c r="B8229" s="245"/>
      <c r="C8229" s="248"/>
      <c r="D8229" s="249"/>
      <c r="E8229" s="249"/>
      <c r="T8229" s="261"/>
    </row>
    <row r="8230" spans="2:20" x14ac:dyDescent="0.2">
      <c r="B8230" s="245"/>
      <c r="C8230" s="248"/>
      <c r="D8230" s="249"/>
      <c r="E8230" s="249"/>
      <c r="T8230" s="261"/>
    </row>
    <row r="8231" spans="2:20" x14ac:dyDescent="0.2">
      <c r="B8231" s="245"/>
      <c r="C8231" s="248"/>
      <c r="D8231" s="249"/>
      <c r="E8231" s="249"/>
      <c r="T8231" s="261"/>
    </row>
    <row r="8232" spans="2:20" x14ac:dyDescent="0.2">
      <c r="B8232" s="245"/>
      <c r="C8232" s="248"/>
      <c r="D8232" s="249"/>
      <c r="E8232" s="249"/>
      <c r="T8232" s="261"/>
    </row>
    <row r="8233" spans="2:20" x14ac:dyDescent="0.2">
      <c r="B8233" s="245"/>
      <c r="C8233" s="248"/>
      <c r="D8233" s="249"/>
      <c r="E8233" s="249"/>
      <c r="T8233" s="261"/>
    </row>
    <row r="8234" spans="2:20" x14ac:dyDescent="0.2">
      <c r="B8234" s="245"/>
      <c r="C8234" s="248"/>
      <c r="D8234" s="249"/>
      <c r="E8234" s="249"/>
      <c r="T8234" s="261"/>
    </row>
    <row r="8235" spans="2:20" x14ac:dyDescent="0.2">
      <c r="B8235" s="245"/>
      <c r="C8235" s="248"/>
      <c r="D8235" s="249"/>
      <c r="E8235" s="249"/>
      <c r="T8235" s="261"/>
    </row>
    <row r="8236" spans="2:20" x14ac:dyDescent="0.2">
      <c r="B8236" s="245"/>
      <c r="C8236" s="248"/>
      <c r="D8236" s="249"/>
      <c r="E8236" s="249"/>
      <c r="T8236" s="261"/>
    </row>
    <row r="8237" spans="2:20" x14ac:dyDescent="0.2">
      <c r="B8237" s="245"/>
      <c r="C8237" s="248"/>
      <c r="D8237" s="249"/>
      <c r="E8237" s="249"/>
      <c r="T8237" s="261"/>
    </row>
    <row r="8238" spans="2:20" x14ac:dyDescent="0.2">
      <c r="B8238" s="245"/>
      <c r="C8238" s="248"/>
      <c r="D8238" s="249"/>
      <c r="E8238" s="249"/>
      <c r="T8238" s="261"/>
    </row>
    <row r="8239" spans="2:20" x14ac:dyDescent="0.2">
      <c r="B8239" s="245"/>
      <c r="C8239" s="248"/>
      <c r="D8239" s="249"/>
      <c r="E8239" s="249"/>
      <c r="T8239" s="261"/>
    </row>
    <row r="8240" spans="2:20" x14ac:dyDescent="0.2">
      <c r="B8240" s="245"/>
      <c r="C8240" s="248"/>
      <c r="D8240" s="249"/>
      <c r="E8240" s="249"/>
      <c r="T8240" s="261"/>
    </row>
    <row r="8241" spans="2:20" x14ac:dyDescent="0.2">
      <c r="B8241" s="245"/>
      <c r="C8241" s="248"/>
      <c r="D8241" s="249"/>
      <c r="E8241" s="249"/>
      <c r="T8241" s="261"/>
    </row>
    <row r="8242" spans="2:20" x14ac:dyDescent="0.2">
      <c r="B8242" s="245"/>
      <c r="C8242" s="248"/>
      <c r="D8242" s="249"/>
      <c r="E8242" s="249"/>
      <c r="T8242" s="261"/>
    </row>
    <row r="8243" spans="2:20" x14ac:dyDescent="0.2">
      <c r="B8243" s="245"/>
      <c r="C8243" s="248"/>
      <c r="D8243" s="249"/>
      <c r="E8243" s="249"/>
      <c r="T8243" s="261"/>
    </row>
    <row r="8244" spans="2:20" x14ac:dyDescent="0.2">
      <c r="B8244" s="245"/>
      <c r="C8244" s="248"/>
      <c r="D8244" s="249"/>
      <c r="E8244" s="249"/>
      <c r="T8244" s="261"/>
    </row>
    <row r="8245" spans="2:20" x14ac:dyDescent="0.2">
      <c r="B8245" s="245"/>
      <c r="C8245" s="248"/>
      <c r="D8245" s="249"/>
      <c r="E8245" s="249"/>
      <c r="T8245" s="261"/>
    </row>
    <row r="8246" spans="2:20" x14ac:dyDescent="0.2">
      <c r="B8246" s="245"/>
      <c r="C8246" s="248"/>
      <c r="D8246" s="249"/>
      <c r="E8246" s="249"/>
      <c r="T8246" s="261"/>
    </row>
    <row r="8247" spans="2:20" x14ac:dyDescent="0.2">
      <c r="B8247" s="245"/>
      <c r="C8247" s="248"/>
      <c r="D8247" s="249"/>
      <c r="E8247" s="249"/>
      <c r="T8247" s="261"/>
    </row>
    <row r="8248" spans="2:20" x14ac:dyDescent="0.2">
      <c r="B8248" s="245"/>
      <c r="C8248" s="248"/>
      <c r="D8248" s="249"/>
      <c r="E8248" s="249"/>
      <c r="T8248" s="261"/>
    </row>
    <row r="8249" spans="2:20" x14ac:dyDescent="0.2">
      <c r="B8249" s="245"/>
      <c r="C8249" s="248"/>
      <c r="D8249" s="249"/>
      <c r="E8249" s="249"/>
      <c r="T8249" s="261"/>
    </row>
    <row r="8250" spans="2:20" x14ac:dyDescent="0.2">
      <c r="B8250" s="245"/>
      <c r="C8250" s="248"/>
      <c r="D8250" s="249"/>
      <c r="E8250" s="249"/>
      <c r="T8250" s="261"/>
    </row>
    <row r="8251" spans="2:20" x14ac:dyDescent="0.2">
      <c r="B8251" s="245"/>
      <c r="C8251" s="248"/>
      <c r="D8251" s="249"/>
      <c r="E8251" s="249"/>
      <c r="T8251" s="261"/>
    </row>
    <row r="8252" spans="2:20" x14ac:dyDescent="0.2">
      <c r="B8252" s="245"/>
      <c r="C8252" s="248"/>
      <c r="D8252" s="249"/>
      <c r="E8252" s="249"/>
      <c r="T8252" s="261"/>
    </row>
    <row r="8253" spans="2:20" x14ac:dyDescent="0.2">
      <c r="B8253" s="245"/>
      <c r="C8253" s="248"/>
      <c r="D8253" s="249"/>
      <c r="E8253" s="249"/>
      <c r="T8253" s="261"/>
    </row>
    <row r="8254" spans="2:20" x14ac:dyDescent="0.2">
      <c r="B8254" s="245"/>
      <c r="C8254" s="248"/>
      <c r="D8254" s="249"/>
      <c r="E8254" s="249"/>
      <c r="T8254" s="261"/>
    </row>
    <row r="8255" spans="2:20" x14ac:dyDescent="0.2">
      <c r="B8255" s="245"/>
      <c r="C8255" s="248"/>
      <c r="D8255" s="249"/>
      <c r="E8255" s="249"/>
      <c r="T8255" s="261"/>
    </row>
    <row r="8256" spans="2:20" x14ac:dyDescent="0.2">
      <c r="B8256" s="245"/>
      <c r="C8256" s="248"/>
      <c r="D8256" s="249"/>
      <c r="E8256" s="249"/>
      <c r="T8256" s="261"/>
    </row>
    <row r="8257" spans="2:20" x14ac:dyDescent="0.2">
      <c r="B8257" s="245"/>
      <c r="C8257" s="248"/>
      <c r="D8257" s="249"/>
      <c r="E8257" s="249"/>
      <c r="T8257" s="261"/>
    </row>
    <row r="8258" spans="2:20" x14ac:dyDescent="0.2">
      <c r="B8258" s="245"/>
      <c r="C8258" s="248"/>
      <c r="D8258" s="249"/>
      <c r="E8258" s="249"/>
      <c r="T8258" s="261"/>
    </row>
    <row r="8259" spans="2:20" x14ac:dyDescent="0.2">
      <c r="B8259" s="245"/>
      <c r="C8259" s="248"/>
      <c r="D8259" s="249"/>
      <c r="E8259" s="249"/>
      <c r="T8259" s="261"/>
    </row>
    <row r="8260" spans="2:20" x14ac:dyDescent="0.2">
      <c r="B8260" s="245"/>
      <c r="C8260" s="248"/>
      <c r="D8260" s="249"/>
      <c r="E8260" s="249"/>
      <c r="T8260" s="261"/>
    </row>
    <row r="8261" spans="2:20" x14ac:dyDescent="0.2">
      <c r="B8261" s="245"/>
      <c r="C8261" s="248"/>
      <c r="D8261" s="249"/>
      <c r="E8261" s="249"/>
      <c r="T8261" s="261"/>
    </row>
    <row r="8262" spans="2:20" x14ac:dyDescent="0.2">
      <c r="B8262" s="245"/>
      <c r="C8262" s="248"/>
      <c r="D8262" s="249"/>
      <c r="E8262" s="249"/>
      <c r="T8262" s="261"/>
    </row>
    <row r="8263" spans="2:20" x14ac:dyDescent="0.2">
      <c r="B8263" s="245"/>
      <c r="C8263" s="248"/>
      <c r="D8263" s="249"/>
      <c r="E8263" s="249"/>
      <c r="T8263" s="261"/>
    </row>
    <row r="8264" spans="2:20" x14ac:dyDescent="0.2">
      <c r="B8264" s="245"/>
      <c r="C8264" s="248"/>
      <c r="D8264" s="249"/>
      <c r="E8264" s="249"/>
      <c r="T8264" s="261"/>
    </row>
    <row r="8265" spans="2:20" x14ac:dyDescent="0.2">
      <c r="B8265" s="245"/>
      <c r="C8265" s="248"/>
      <c r="D8265" s="249"/>
      <c r="E8265" s="249"/>
      <c r="T8265" s="261"/>
    </row>
    <row r="8266" spans="2:20" x14ac:dyDescent="0.2">
      <c r="B8266" s="245"/>
      <c r="C8266" s="248"/>
      <c r="D8266" s="249"/>
      <c r="E8266" s="249"/>
      <c r="T8266" s="261"/>
    </row>
    <row r="8267" spans="2:20" x14ac:dyDescent="0.2">
      <c r="B8267" s="245"/>
      <c r="C8267" s="248"/>
      <c r="D8267" s="249"/>
      <c r="E8267" s="249"/>
      <c r="T8267" s="261"/>
    </row>
    <row r="8268" spans="2:20" x14ac:dyDescent="0.2">
      <c r="B8268" s="245"/>
      <c r="C8268" s="248"/>
      <c r="D8268" s="249"/>
      <c r="E8268" s="249"/>
      <c r="T8268" s="261"/>
    </row>
    <row r="8269" spans="2:20" x14ac:dyDescent="0.2">
      <c r="B8269" s="245"/>
      <c r="C8269" s="248"/>
      <c r="D8269" s="249"/>
      <c r="E8269" s="249"/>
      <c r="T8269" s="261"/>
    </row>
    <row r="8270" spans="2:20" x14ac:dyDescent="0.2">
      <c r="B8270" s="245"/>
      <c r="C8270" s="248"/>
      <c r="D8270" s="249"/>
      <c r="E8270" s="249"/>
      <c r="T8270" s="261"/>
    </row>
    <row r="8271" spans="2:20" x14ac:dyDescent="0.2">
      <c r="B8271" s="245"/>
      <c r="C8271" s="248"/>
      <c r="D8271" s="249"/>
      <c r="E8271" s="249"/>
      <c r="T8271" s="261"/>
    </row>
    <row r="8272" spans="2:20" x14ac:dyDescent="0.2">
      <c r="B8272" s="245"/>
      <c r="C8272" s="248"/>
      <c r="D8272" s="249"/>
      <c r="E8272" s="249"/>
      <c r="T8272" s="261"/>
    </row>
    <row r="8273" spans="2:20" x14ac:dyDescent="0.2">
      <c r="B8273" s="245"/>
      <c r="C8273" s="248"/>
      <c r="D8273" s="249"/>
      <c r="E8273" s="249"/>
      <c r="T8273" s="261"/>
    </row>
    <row r="8274" spans="2:20" x14ac:dyDescent="0.2">
      <c r="B8274" s="245"/>
      <c r="C8274" s="248"/>
      <c r="D8274" s="249"/>
      <c r="E8274" s="249"/>
      <c r="T8274" s="261"/>
    </row>
    <row r="8275" spans="2:20" x14ac:dyDescent="0.2">
      <c r="B8275" s="245"/>
      <c r="C8275" s="248"/>
      <c r="D8275" s="249"/>
      <c r="E8275" s="249"/>
      <c r="T8275" s="261"/>
    </row>
    <row r="8276" spans="2:20" x14ac:dyDescent="0.2">
      <c r="B8276" s="245"/>
      <c r="C8276" s="248"/>
      <c r="D8276" s="249"/>
      <c r="E8276" s="249"/>
      <c r="T8276" s="261"/>
    </row>
    <row r="8277" spans="2:20" x14ac:dyDescent="0.2">
      <c r="B8277" s="245"/>
      <c r="C8277" s="248"/>
      <c r="D8277" s="249"/>
      <c r="E8277" s="249"/>
      <c r="T8277" s="261"/>
    </row>
    <row r="8278" spans="2:20" x14ac:dyDescent="0.2">
      <c r="B8278" s="245"/>
      <c r="C8278" s="248"/>
      <c r="D8278" s="249"/>
      <c r="E8278" s="249"/>
      <c r="T8278" s="261"/>
    </row>
    <row r="8279" spans="2:20" x14ac:dyDescent="0.2">
      <c r="B8279" s="245"/>
      <c r="C8279" s="248"/>
      <c r="D8279" s="249"/>
      <c r="E8279" s="249"/>
      <c r="T8279" s="261"/>
    </row>
    <row r="8280" spans="2:20" x14ac:dyDescent="0.2">
      <c r="B8280" s="245"/>
      <c r="C8280" s="248"/>
      <c r="D8280" s="249"/>
      <c r="E8280" s="249"/>
      <c r="T8280" s="261"/>
    </row>
    <row r="8281" spans="2:20" x14ac:dyDescent="0.2">
      <c r="B8281" s="245"/>
      <c r="C8281" s="248"/>
      <c r="D8281" s="249"/>
      <c r="E8281" s="249"/>
      <c r="T8281" s="261"/>
    </row>
    <row r="8282" spans="2:20" x14ac:dyDescent="0.2">
      <c r="B8282" s="245"/>
      <c r="C8282" s="248"/>
      <c r="D8282" s="249"/>
      <c r="E8282" s="249"/>
      <c r="T8282" s="261"/>
    </row>
    <row r="8283" spans="2:20" x14ac:dyDescent="0.2">
      <c r="B8283" s="245"/>
      <c r="C8283" s="248"/>
      <c r="D8283" s="249"/>
      <c r="E8283" s="249"/>
      <c r="T8283" s="261"/>
    </row>
    <row r="8284" spans="2:20" x14ac:dyDescent="0.2">
      <c r="B8284" s="245"/>
      <c r="C8284" s="248"/>
      <c r="D8284" s="249"/>
      <c r="E8284" s="249"/>
      <c r="T8284" s="261"/>
    </row>
    <row r="8285" spans="2:20" x14ac:dyDescent="0.2">
      <c r="B8285" s="245"/>
      <c r="C8285" s="248"/>
      <c r="D8285" s="249"/>
      <c r="E8285" s="249"/>
      <c r="T8285" s="261"/>
    </row>
    <row r="8286" spans="2:20" x14ac:dyDescent="0.2">
      <c r="B8286" s="245"/>
      <c r="C8286" s="248"/>
      <c r="D8286" s="249"/>
      <c r="E8286" s="249"/>
      <c r="T8286" s="261"/>
    </row>
    <row r="8287" spans="2:20" x14ac:dyDescent="0.2">
      <c r="B8287" s="245"/>
      <c r="C8287" s="248"/>
      <c r="D8287" s="249"/>
      <c r="E8287" s="249"/>
      <c r="T8287" s="261"/>
    </row>
    <row r="8288" spans="2:20" x14ac:dyDescent="0.2">
      <c r="B8288" s="245"/>
      <c r="C8288" s="248"/>
      <c r="D8288" s="249"/>
      <c r="E8288" s="249"/>
      <c r="T8288" s="261"/>
    </row>
    <row r="8289" spans="2:20" x14ac:dyDescent="0.2">
      <c r="B8289" s="245"/>
      <c r="C8289" s="248"/>
      <c r="D8289" s="249"/>
      <c r="E8289" s="249"/>
      <c r="T8289" s="261"/>
    </row>
    <row r="8290" spans="2:20" x14ac:dyDescent="0.2">
      <c r="B8290" s="245"/>
      <c r="C8290" s="248"/>
      <c r="D8290" s="249"/>
      <c r="E8290" s="249"/>
      <c r="T8290" s="261"/>
    </row>
    <row r="8291" spans="2:20" x14ac:dyDescent="0.2">
      <c r="B8291" s="245"/>
      <c r="C8291" s="248"/>
      <c r="D8291" s="249"/>
      <c r="E8291" s="249"/>
      <c r="T8291" s="261"/>
    </row>
    <row r="8292" spans="2:20" x14ac:dyDescent="0.2">
      <c r="B8292" s="245"/>
      <c r="C8292" s="248"/>
      <c r="D8292" s="249"/>
      <c r="E8292" s="249"/>
      <c r="T8292" s="261"/>
    </row>
    <row r="8293" spans="2:20" x14ac:dyDescent="0.2">
      <c r="B8293" s="245"/>
      <c r="C8293" s="248"/>
      <c r="D8293" s="249"/>
      <c r="E8293" s="249"/>
      <c r="T8293" s="261"/>
    </row>
    <row r="8294" spans="2:20" x14ac:dyDescent="0.2">
      <c r="B8294" s="245"/>
      <c r="C8294" s="248"/>
      <c r="D8294" s="249"/>
      <c r="E8294" s="249"/>
      <c r="T8294" s="261"/>
    </row>
    <row r="8295" spans="2:20" x14ac:dyDescent="0.2">
      <c r="B8295" s="245"/>
      <c r="C8295" s="248"/>
      <c r="D8295" s="249"/>
      <c r="E8295" s="249"/>
      <c r="T8295" s="261"/>
    </row>
    <row r="8296" spans="2:20" x14ac:dyDescent="0.2">
      <c r="B8296" s="245"/>
      <c r="C8296" s="248"/>
      <c r="D8296" s="249"/>
      <c r="E8296" s="249"/>
      <c r="T8296" s="261"/>
    </row>
    <row r="8297" spans="2:20" x14ac:dyDescent="0.2">
      <c r="B8297" s="245"/>
      <c r="C8297" s="248"/>
      <c r="D8297" s="249"/>
      <c r="E8297" s="249"/>
      <c r="T8297" s="261"/>
    </row>
    <row r="8298" spans="2:20" x14ac:dyDescent="0.2">
      <c r="B8298" s="245"/>
      <c r="C8298" s="248"/>
      <c r="D8298" s="249"/>
      <c r="E8298" s="249"/>
      <c r="T8298" s="261"/>
    </row>
    <row r="8299" spans="2:20" x14ac:dyDescent="0.2">
      <c r="B8299" s="245"/>
      <c r="C8299" s="248"/>
      <c r="D8299" s="249"/>
      <c r="E8299" s="249"/>
      <c r="T8299" s="261"/>
    </row>
    <row r="8300" spans="2:20" x14ac:dyDescent="0.2">
      <c r="B8300" s="245"/>
      <c r="C8300" s="248"/>
      <c r="D8300" s="249"/>
      <c r="E8300" s="249"/>
      <c r="T8300" s="261"/>
    </row>
    <row r="8301" spans="2:20" x14ac:dyDescent="0.2">
      <c r="B8301" s="245"/>
      <c r="C8301" s="248"/>
      <c r="D8301" s="249"/>
      <c r="E8301" s="249"/>
      <c r="T8301" s="261"/>
    </row>
    <row r="8302" spans="2:20" x14ac:dyDescent="0.2">
      <c r="B8302" s="245"/>
      <c r="C8302" s="248"/>
      <c r="D8302" s="249"/>
      <c r="E8302" s="249"/>
      <c r="T8302" s="261"/>
    </row>
    <row r="8303" spans="2:20" x14ac:dyDescent="0.2">
      <c r="B8303" s="245"/>
      <c r="C8303" s="248"/>
      <c r="D8303" s="249"/>
      <c r="E8303" s="249"/>
      <c r="T8303" s="261"/>
    </row>
    <row r="8304" spans="2:20" x14ac:dyDescent="0.2">
      <c r="B8304" s="245"/>
      <c r="C8304" s="248"/>
      <c r="D8304" s="249"/>
      <c r="E8304" s="249"/>
      <c r="T8304" s="261"/>
    </row>
    <row r="8305" spans="2:20" x14ac:dyDescent="0.2">
      <c r="B8305" s="245"/>
      <c r="C8305" s="248"/>
      <c r="D8305" s="249"/>
      <c r="E8305" s="249"/>
      <c r="T8305" s="261"/>
    </row>
    <row r="8306" spans="2:20" x14ac:dyDescent="0.2">
      <c r="B8306" s="245"/>
      <c r="C8306" s="248"/>
      <c r="D8306" s="249"/>
      <c r="E8306" s="249"/>
      <c r="T8306" s="261"/>
    </row>
    <row r="8307" spans="2:20" x14ac:dyDescent="0.2">
      <c r="B8307" s="245"/>
      <c r="C8307" s="248"/>
      <c r="D8307" s="249"/>
      <c r="E8307" s="249"/>
      <c r="T8307" s="261"/>
    </row>
    <row r="8308" spans="2:20" x14ac:dyDescent="0.2">
      <c r="B8308" s="245"/>
      <c r="C8308" s="248"/>
      <c r="D8308" s="249"/>
      <c r="E8308" s="249"/>
      <c r="T8308" s="261"/>
    </row>
    <row r="8309" spans="2:20" x14ac:dyDescent="0.2">
      <c r="B8309" s="245"/>
      <c r="C8309" s="248"/>
      <c r="D8309" s="249"/>
      <c r="E8309" s="249"/>
      <c r="T8309" s="261"/>
    </row>
    <row r="8310" spans="2:20" x14ac:dyDescent="0.2">
      <c r="B8310" s="245"/>
      <c r="C8310" s="248"/>
      <c r="D8310" s="249"/>
      <c r="E8310" s="249"/>
      <c r="T8310" s="261"/>
    </row>
    <row r="8311" spans="2:20" x14ac:dyDescent="0.2">
      <c r="B8311" s="245"/>
      <c r="C8311" s="248"/>
      <c r="D8311" s="249"/>
      <c r="E8311" s="249"/>
      <c r="T8311" s="261"/>
    </row>
    <row r="8312" spans="2:20" x14ac:dyDescent="0.2">
      <c r="B8312" s="245"/>
      <c r="C8312" s="248"/>
      <c r="D8312" s="249"/>
      <c r="E8312" s="249"/>
      <c r="T8312" s="261"/>
    </row>
    <row r="8313" spans="2:20" x14ac:dyDescent="0.2">
      <c r="B8313" s="245"/>
      <c r="C8313" s="248"/>
      <c r="D8313" s="249"/>
      <c r="E8313" s="249"/>
      <c r="T8313" s="261"/>
    </row>
    <row r="8314" spans="2:20" x14ac:dyDescent="0.2">
      <c r="B8314" s="245"/>
      <c r="C8314" s="248"/>
      <c r="D8314" s="249"/>
      <c r="E8314" s="249"/>
      <c r="T8314" s="261"/>
    </row>
    <row r="8315" spans="2:20" x14ac:dyDescent="0.2">
      <c r="B8315" s="245"/>
      <c r="C8315" s="248"/>
      <c r="D8315" s="249"/>
      <c r="E8315" s="249"/>
      <c r="T8315" s="261"/>
    </row>
    <row r="8316" spans="2:20" x14ac:dyDescent="0.2">
      <c r="B8316" s="245"/>
      <c r="C8316" s="248"/>
      <c r="D8316" s="249"/>
      <c r="E8316" s="249"/>
      <c r="T8316" s="261"/>
    </row>
    <row r="8317" spans="2:20" x14ac:dyDescent="0.2">
      <c r="B8317" s="245"/>
      <c r="C8317" s="248"/>
      <c r="D8317" s="249"/>
      <c r="E8317" s="249"/>
      <c r="T8317" s="261"/>
    </row>
    <row r="8318" spans="2:20" x14ac:dyDescent="0.2">
      <c r="B8318" s="245"/>
      <c r="C8318" s="248"/>
      <c r="D8318" s="249"/>
      <c r="E8318" s="249"/>
      <c r="T8318" s="261"/>
    </row>
    <row r="8319" spans="2:20" x14ac:dyDescent="0.2">
      <c r="B8319" s="245"/>
      <c r="C8319" s="248"/>
      <c r="D8319" s="249"/>
      <c r="E8319" s="249"/>
      <c r="T8319" s="261"/>
    </row>
    <row r="8320" spans="2:20" x14ac:dyDescent="0.2">
      <c r="B8320" s="245"/>
      <c r="C8320" s="248"/>
      <c r="D8320" s="249"/>
      <c r="E8320" s="249"/>
      <c r="T8320" s="261"/>
    </row>
    <row r="8321" spans="2:20" x14ac:dyDescent="0.2">
      <c r="B8321" s="245"/>
      <c r="C8321" s="248"/>
      <c r="D8321" s="249"/>
      <c r="E8321" s="249"/>
      <c r="T8321" s="261"/>
    </row>
    <row r="8322" spans="2:20" x14ac:dyDescent="0.2">
      <c r="B8322" s="245"/>
      <c r="C8322" s="248"/>
      <c r="D8322" s="249"/>
      <c r="E8322" s="249"/>
      <c r="T8322" s="261"/>
    </row>
    <row r="8323" spans="2:20" x14ac:dyDescent="0.2">
      <c r="B8323" s="245"/>
      <c r="C8323" s="248"/>
      <c r="D8323" s="249"/>
      <c r="E8323" s="249"/>
      <c r="T8323" s="261"/>
    </row>
    <row r="8324" spans="2:20" x14ac:dyDescent="0.2">
      <c r="B8324" s="245"/>
      <c r="C8324" s="248"/>
      <c r="D8324" s="249"/>
      <c r="E8324" s="249"/>
      <c r="T8324" s="261"/>
    </row>
    <row r="8325" spans="2:20" x14ac:dyDescent="0.2">
      <c r="B8325" s="245"/>
      <c r="C8325" s="248"/>
      <c r="D8325" s="249"/>
      <c r="E8325" s="249"/>
      <c r="T8325" s="261"/>
    </row>
    <row r="8326" spans="2:20" x14ac:dyDescent="0.2">
      <c r="B8326" s="245"/>
      <c r="C8326" s="248"/>
      <c r="D8326" s="249"/>
      <c r="E8326" s="249"/>
      <c r="T8326" s="261"/>
    </row>
    <row r="8327" spans="2:20" x14ac:dyDescent="0.2">
      <c r="B8327" s="245"/>
      <c r="C8327" s="248"/>
      <c r="D8327" s="249"/>
      <c r="E8327" s="249"/>
      <c r="T8327" s="261"/>
    </row>
    <row r="8328" spans="2:20" x14ac:dyDescent="0.2">
      <c r="B8328" s="245"/>
      <c r="C8328" s="248"/>
      <c r="D8328" s="249"/>
      <c r="E8328" s="249"/>
      <c r="T8328" s="261"/>
    </row>
    <row r="8329" spans="2:20" x14ac:dyDescent="0.2">
      <c r="B8329" s="245"/>
      <c r="C8329" s="248"/>
      <c r="D8329" s="249"/>
      <c r="E8329" s="249"/>
      <c r="T8329" s="261"/>
    </row>
    <row r="8330" spans="2:20" x14ac:dyDescent="0.2">
      <c r="B8330" s="245"/>
      <c r="C8330" s="248"/>
      <c r="D8330" s="249"/>
      <c r="E8330" s="249"/>
      <c r="T8330" s="261"/>
    </row>
    <row r="8331" spans="2:20" x14ac:dyDescent="0.2">
      <c r="B8331" s="245"/>
      <c r="C8331" s="248"/>
      <c r="D8331" s="249"/>
      <c r="E8331" s="249"/>
      <c r="T8331" s="261"/>
    </row>
    <row r="8332" spans="2:20" x14ac:dyDescent="0.2">
      <c r="B8332" s="245"/>
      <c r="C8332" s="248"/>
      <c r="D8332" s="249"/>
      <c r="E8332" s="249"/>
      <c r="T8332" s="261"/>
    </row>
    <row r="8333" spans="2:20" x14ac:dyDescent="0.2">
      <c r="B8333" s="245"/>
      <c r="C8333" s="248"/>
      <c r="D8333" s="249"/>
      <c r="E8333" s="249"/>
      <c r="T8333" s="261"/>
    </row>
    <row r="8334" spans="2:20" x14ac:dyDescent="0.2">
      <c r="B8334" s="245"/>
      <c r="C8334" s="248"/>
      <c r="D8334" s="249"/>
      <c r="E8334" s="249"/>
      <c r="T8334" s="261"/>
    </row>
    <row r="8335" spans="2:20" x14ac:dyDescent="0.2">
      <c r="B8335" s="245"/>
      <c r="C8335" s="248"/>
      <c r="D8335" s="249"/>
      <c r="E8335" s="249"/>
      <c r="T8335" s="261"/>
    </row>
    <row r="8336" spans="2:20" x14ac:dyDescent="0.2">
      <c r="B8336" s="245"/>
      <c r="C8336" s="248"/>
      <c r="D8336" s="249"/>
      <c r="E8336" s="249"/>
      <c r="T8336" s="261"/>
    </row>
    <row r="8337" spans="2:20" x14ac:dyDescent="0.2">
      <c r="B8337" s="245"/>
      <c r="C8337" s="248"/>
      <c r="D8337" s="249"/>
      <c r="E8337" s="249"/>
      <c r="T8337" s="261"/>
    </row>
    <row r="8338" spans="2:20" x14ac:dyDescent="0.2">
      <c r="B8338" s="245"/>
      <c r="C8338" s="248"/>
      <c r="D8338" s="249"/>
      <c r="E8338" s="249"/>
      <c r="T8338" s="261"/>
    </row>
    <row r="8339" spans="2:20" x14ac:dyDescent="0.2">
      <c r="B8339" s="245"/>
      <c r="C8339" s="248"/>
      <c r="D8339" s="249"/>
      <c r="E8339" s="249"/>
      <c r="T8339" s="261"/>
    </row>
    <row r="8340" spans="2:20" x14ac:dyDescent="0.2">
      <c r="B8340" s="245"/>
      <c r="C8340" s="248"/>
      <c r="D8340" s="249"/>
      <c r="E8340" s="249"/>
      <c r="T8340" s="261"/>
    </row>
    <row r="8341" spans="2:20" x14ac:dyDescent="0.2">
      <c r="B8341" s="245"/>
      <c r="C8341" s="248"/>
      <c r="D8341" s="249"/>
      <c r="E8341" s="249"/>
      <c r="T8341" s="261"/>
    </row>
    <row r="8342" spans="2:20" x14ac:dyDescent="0.2">
      <c r="B8342" s="245"/>
      <c r="C8342" s="248"/>
      <c r="D8342" s="249"/>
      <c r="E8342" s="249"/>
      <c r="T8342" s="261"/>
    </row>
    <row r="8343" spans="2:20" x14ac:dyDescent="0.2">
      <c r="B8343" s="245"/>
      <c r="C8343" s="248"/>
      <c r="D8343" s="249"/>
      <c r="E8343" s="249"/>
      <c r="T8343" s="261"/>
    </row>
    <row r="8344" spans="2:20" x14ac:dyDescent="0.2">
      <c r="B8344" s="245"/>
      <c r="C8344" s="248"/>
      <c r="D8344" s="249"/>
      <c r="E8344" s="249"/>
      <c r="T8344" s="261"/>
    </row>
    <row r="8345" spans="2:20" x14ac:dyDescent="0.2">
      <c r="B8345" s="245"/>
      <c r="C8345" s="248"/>
      <c r="D8345" s="249"/>
      <c r="E8345" s="249"/>
      <c r="T8345" s="261"/>
    </row>
    <row r="8346" spans="2:20" x14ac:dyDescent="0.2">
      <c r="B8346" s="245"/>
      <c r="C8346" s="248"/>
      <c r="D8346" s="249"/>
      <c r="E8346" s="249"/>
      <c r="T8346" s="261"/>
    </row>
    <row r="8347" spans="2:20" x14ac:dyDescent="0.2">
      <c r="B8347" s="245"/>
      <c r="C8347" s="248"/>
      <c r="D8347" s="249"/>
      <c r="E8347" s="249"/>
      <c r="T8347" s="261"/>
    </row>
    <row r="8348" spans="2:20" x14ac:dyDescent="0.2">
      <c r="B8348" s="245"/>
      <c r="C8348" s="248"/>
      <c r="D8348" s="249"/>
      <c r="E8348" s="249"/>
      <c r="T8348" s="261"/>
    </row>
    <row r="8349" spans="2:20" x14ac:dyDescent="0.2">
      <c r="B8349" s="245"/>
      <c r="C8349" s="248"/>
      <c r="D8349" s="249"/>
      <c r="E8349" s="249"/>
      <c r="T8349" s="261"/>
    </row>
    <row r="8350" spans="2:20" x14ac:dyDescent="0.2">
      <c r="B8350" s="245"/>
      <c r="C8350" s="248"/>
      <c r="D8350" s="249"/>
      <c r="E8350" s="249"/>
      <c r="T8350" s="261"/>
    </row>
    <row r="8351" spans="2:20" x14ac:dyDescent="0.2">
      <c r="B8351" s="245"/>
      <c r="C8351" s="248"/>
      <c r="D8351" s="249"/>
      <c r="E8351" s="249"/>
      <c r="T8351" s="261"/>
    </row>
    <row r="8352" spans="2:20" x14ac:dyDescent="0.2">
      <c r="B8352" s="245"/>
      <c r="C8352" s="248"/>
      <c r="D8352" s="249"/>
      <c r="E8352" s="249"/>
      <c r="T8352" s="261"/>
    </row>
    <row r="8353" spans="2:20" x14ac:dyDescent="0.2">
      <c r="B8353" s="245"/>
      <c r="C8353" s="248"/>
      <c r="D8353" s="249"/>
      <c r="E8353" s="249"/>
      <c r="T8353" s="261"/>
    </row>
    <row r="8354" spans="2:20" x14ac:dyDescent="0.2">
      <c r="B8354" s="245"/>
      <c r="C8354" s="248"/>
      <c r="D8354" s="249"/>
      <c r="E8354" s="249"/>
      <c r="T8354" s="261"/>
    </row>
    <row r="8355" spans="2:20" x14ac:dyDescent="0.2">
      <c r="B8355" s="245"/>
      <c r="C8355" s="248"/>
      <c r="D8355" s="249"/>
      <c r="E8355" s="249"/>
      <c r="T8355" s="261"/>
    </row>
    <row r="8356" spans="2:20" x14ac:dyDescent="0.2">
      <c r="B8356" s="245"/>
      <c r="C8356" s="248"/>
      <c r="D8356" s="249"/>
      <c r="E8356" s="249"/>
      <c r="T8356" s="261"/>
    </row>
    <row r="8357" spans="2:20" x14ac:dyDescent="0.2">
      <c r="B8357" s="245"/>
      <c r="C8357" s="248"/>
      <c r="D8357" s="249"/>
      <c r="E8357" s="249"/>
      <c r="T8357" s="261"/>
    </row>
    <row r="8358" spans="2:20" x14ac:dyDescent="0.2">
      <c r="B8358" s="245"/>
      <c r="C8358" s="248"/>
      <c r="D8358" s="249"/>
      <c r="E8358" s="249"/>
      <c r="T8358" s="261"/>
    </row>
    <row r="8359" spans="2:20" x14ac:dyDescent="0.2">
      <c r="B8359" s="245"/>
      <c r="C8359" s="248"/>
      <c r="D8359" s="249"/>
      <c r="E8359" s="249"/>
      <c r="T8359" s="261"/>
    </row>
    <row r="8360" spans="2:20" x14ac:dyDescent="0.2">
      <c r="B8360" s="245"/>
      <c r="C8360" s="248"/>
      <c r="D8360" s="249"/>
      <c r="E8360" s="249"/>
      <c r="T8360" s="261"/>
    </row>
    <row r="8361" spans="2:20" x14ac:dyDescent="0.2">
      <c r="B8361" s="245"/>
      <c r="C8361" s="248"/>
      <c r="D8361" s="249"/>
      <c r="E8361" s="249"/>
      <c r="T8361" s="261"/>
    </row>
    <row r="8362" spans="2:20" x14ac:dyDescent="0.2">
      <c r="B8362" s="245"/>
      <c r="C8362" s="248"/>
      <c r="D8362" s="249"/>
      <c r="E8362" s="249"/>
      <c r="T8362" s="261"/>
    </row>
    <row r="8363" spans="2:20" x14ac:dyDescent="0.2">
      <c r="B8363" s="245"/>
      <c r="C8363" s="248"/>
      <c r="D8363" s="249"/>
      <c r="E8363" s="249"/>
      <c r="T8363" s="261"/>
    </row>
    <row r="8364" spans="2:20" x14ac:dyDescent="0.2">
      <c r="B8364" s="245"/>
      <c r="C8364" s="248"/>
      <c r="D8364" s="249"/>
      <c r="E8364" s="249"/>
      <c r="T8364" s="261"/>
    </row>
    <row r="8365" spans="2:20" x14ac:dyDescent="0.2">
      <c r="B8365" s="245"/>
      <c r="C8365" s="248"/>
      <c r="D8365" s="249"/>
      <c r="E8365" s="249"/>
      <c r="T8365" s="261"/>
    </row>
    <row r="8366" spans="2:20" x14ac:dyDescent="0.2">
      <c r="B8366" s="245"/>
      <c r="C8366" s="248"/>
      <c r="D8366" s="249"/>
      <c r="E8366" s="249"/>
      <c r="T8366" s="261"/>
    </row>
    <row r="8367" spans="2:20" x14ac:dyDescent="0.2">
      <c r="B8367" s="245"/>
      <c r="C8367" s="248"/>
      <c r="D8367" s="249"/>
      <c r="E8367" s="249"/>
      <c r="T8367" s="261"/>
    </row>
    <row r="8368" spans="2:20" x14ac:dyDescent="0.2">
      <c r="B8368" s="245"/>
      <c r="C8368" s="248"/>
      <c r="D8368" s="249"/>
      <c r="E8368" s="249"/>
      <c r="T8368" s="261"/>
    </row>
    <row r="8369" spans="2:20" x14ac:dyDescent="0.2">
      <c r="B8369" s="245"/>
      <c r="C8369" s="248"/>
      <c r="D8369" s="249"/>
      <c r="E8369" s="249"/>
      <c r="T8369" s="261"/>
    </row>
    <row r="8370" spans="2:20" x14ac:dyDescent="0.2">
      <c r="B8370" s="245"/>
      <c r="C8370" s="248"/>
      <c r="D8370" s="249"/>
      <c r="E8370" s="249"/>
      <c r="T8370" s="261"/>
    </row>
    <row r="8371" spans="2:20" x14ac:dyDescent="0.2">
      <c r="B8371" s="245"/>
      <c r="C8371" s="248"/>
      <c r="D8371" s="249"/>
      <c r="E8371" s="249"/>
      <c r="T8371" s="261"/>
    </row>
    <row r="8372" spans="2:20" x14ac:dyDescent="0.2">
      <c r="B8372" s="245"/>
      <c r="C8372" s="248"/>
      <c r="D8372" s="249"/>
      <c r="E8372" s="249"/>
      <c r="T8372" s="261"/>
    </row>
    <row r="8373" spans="2:20" x14ac:dyDescent="0.2">
      <c r="B8373" s="245"/>
      <c r="C8373" s="248"/>
      <c r="D8373" s="249"/>
      <c r="E8373" s="249"/>
      <c r="T8373" s="261"/>
    </row>
    <row r="8374" spans="2:20" x14ac:dyDescent="0.2">
      <c r="B8374" s="245"/>
      <c r="C8374" s="248"/>
      <c r="D8374" s="249"/>
      <c r="E8374" s="249"/>
      <c r="T8374" s="261"/>
    </row>
    <row r="8375" spans="2:20" x14ac:dyDescent="0.2">
      <c r="B8375" s="245"/>
      <c r="C8375" s="248"/>
      <c r="D8375" s="249"/>
      <c r="E8375" s="249"/>
      <c r="T8375" s="261"/>
    </row>
    <row r="8376" spans="2:20" x14ac:dyDescent="0.2">
      <c r="B8376" s="245"/>
      <c r="C8376" s="248"/>
      <c r="D8376" s="249"/>
      <c r="E8376" s="249"/>
      <c r="T8376" s="261"/>
    </row>
    <row r="8377" spans="2:20" x14ac:dyDescent="0.2">
      <c r="B8377" s="245"/>
      <c r="C8377" s="248"/>
      <c r="D8377" s="249"/>
      <c r="E8377" s="249"/>
      <c r="T8377" s="261"/>
    </row>
    <row r="8378" spans="2:20" x14ac:dyDescent="0.2">
      <c r="B8378" s="245"/>
      <c r="C8378" s="248"/>
      <c r="D8378" s="249"/>
      <c r="E8378" s="249"/>
      <c r="T8378" s="261"/>
    </row>
    <row r="8379" spans="2:20" x14ac:dyDescent="0.2">
      <c r="B8379" s="245"/>
      <c r="C8379" s="248"/>
      <c r="D8379" s="249"/>
      <c r="E8379" s="249"/>
      <c r="T8379" s="261"/>
    </row>
    <row r="8380" spans="2:20" x14ac:dyDescent="0.2">
      <c r="B8380" s="245"/>
      <c r="C8380" s="248"/>
      <c r="D8380" s="249"/>
      <c r="E8380" s="249"/>
      <c r="T8380" s="261"/>
    </row>
    <row r="8381" spans="2:20" x14ac:dyDescent="0.2">
      <c r="B8381" s="245"/>
      <c r="C8381" s="248"/>
      <c r="D8381" s="249"/>
      <c r="E8381" s="249"/>
      <c r="T8381" s="261"/>
    </row>
    <row r="8382" spans="2:20" x14ac:dyDescent="0.2">
      <c r="B8382" s="245"/>
      <c r="C8382" s="248"/>
      <c r="D8382" s="249"/>
      <c r="E8382" s="249"/>
      <c r="T8382" s="261"/>
    </row>
    <row r="8383" spans="2:20" x14ac:dyDescent="0.2">
      <c r="B8383" s="245"/>
      <c r="C8383" s="248"/>
      <c r="D8383" s="249"/>
      <c r="E8383" s="249"/>
      <c r="T8383" s="261"/>
    </row>
    <row r="8384" spans="2:20" x14ac:dyDescent="0.2">
      <c r="B8384" s="245"/>
      <c r="C8384" s="248"/>
      <c r="D8384" s="249"/>
      <c r="E8384" s="249"/>
      <c r="T8384" s="261"/>
    </row>
    <row r="8385" spans="2:20" x14ac:dyDescent="0.2">
      <c r="B8385" s="245"/>
      <c r="C8385" s="248"/>
      <c r="D8385" s="249"/>
      <c r="E8385" s="249"/>
      <c r="T8385" s="261"/>
    </row>
    <row r="8386" spans="2:20" x14ac:dyDescent="0.2">
      <c r="B8386" s="245"/>
      <c r="C8386" s="248"/>
      <c r="D8386" s="249"/>
      <c r="E8386" s="249"/>
      <c r="T8386" s="261"/>
    </row>
    <row r="8387" spans="2:20" x14ac:dyDescent="0.2">
      <c r="B8387" s="245"/>
      <c r="C8387" s="248"/>
      <c r="D8387" s="249"/>
      <c r="E8387" s="249"/>
      <c r="T8387" s="261"/>
    </row>
    <row r="8388" spans="2:20" x14ac:dyDescent="0.2">
      <c r="B8388" s="245"/>
      <c r="C8388" s="248"/>
      <c r="D8388" s="249"/>
      <c r="E8388" s="249"/>
      <c r="T8388" s="261"/>
    </row>
    <row r="8389" spans="2:20" x14ac:dyDescent="0.2">
      <c r="B8389" s="245"/>
      <c r="C8389" s="248"/>
      <c r="D8389" s="249"/>
      <c r="E8389" s="249"/>
      <c r="T8389" s="261"/>
    </row>
    <row r="8390" spans="2:20" x14ac:dyDescent="0.2">
      <c r="B8390" s="245"/>
      <c r="C8390" s="248"/>
      <c r="D8390" s="249"/>
      <c r="E8390" s="249"/>
      <c r="T8390" s="261"/>
    </row>
    <row r="8391" spans="2:20" x14ac:dyDescent="0.2">
      <c r="B8391" s="245"/>
      <c r="C8391" s="248"/>
      <c r="D8391" s="249"/>
      <c r="E8391" s="249"/>
      <c r="T8391" s="261"/>
    </row>
    <row r="8392" spans="2:20" x14ac:dyDescent="0.2">
      <c r="B8392" s="245"/>
      <c r="C8392" s="248"/>
      <c r="D8392" s="249"/>
      <c r="E8392" s="249"/>
      <c r="T8392" s="261"/>
    </row>
    <row r="8393" spans="2:20" x14ac:dyDescent="0.2">
      <c r="B8393" s="245"/>
      <c r="C8393" s="248"/>
      <c r="D8393" s="249"/>
      <c r="E8393" s="249"/>
      <c r="T8393" s="261"/>
    </row>
    <row r="8394" spans="2:20" x14ac:dyDescent="0.2">
      <c r="B8394" s="245"/>
      <c r="C8394" s="248"/>
      <c r="D8394" s="249"/>
      <c r="E8394" s="249"/>
      <c r="T8394" s="261"/>
    </row>
    <row r="8395" spans="2:20" x14ac:dyDescent="0.2">
      <c r="B8395" s="245"/>
      <c r="C8395" s="248"/>
      <c r="D8395" s="249"/>
      <c r="E8395" s="249"/>
      <c r="T8395" s="261"/>
    </row>
    <row r="8396" spans="2:20" x14ac:dyDescent="0.2">
      <c r="B8396" s="245"/>
      <c r="C8396" s="248"/>
      <c r="D8396" s="249"/>
      <c r="E8396" s="249"/>
      <c r="T8396" s="261"/>
    </row>
    <row r="8397" spans="2:20" x14ac:dyDescent="0.2">
      <c r="B8397" s="245"/>
      <c r="C8397" s="248"/>
      <c r="D8397" s="249"/>
      <c r="E8397" s="249"/>
      <c r="T8397" s="261"/>
    </row>
    <row r="8398" spans="2:20" x14ac:dyDescent="0.2">
      <c r="B8398" s="245"/>
      <c r="C8398" s="248"/>
      <c r="D8398" s="249"/>
      <c r="E8398" s="249"/>
      <c r="T8398" s="261"/>
    </row>
    <row r="8399" spans="2:20" x14ac:dyDescent="0.2">
      <c r="B8399" s="245"/>
      <c r="C8399" s="248"/>
      <c r="D8399" s="249"/>
      <c r="E8399" s="249"/>
      <c r="T8399" s="261"/>
    </row>
    <row r="8400" spans="2:20" x14ac:dyDescent="0.2">
      <c r="B8400" s="245"/>
      <c r="C8400" s="248"/>
      <c r="D8400" s="249"/>
      <c r="E8400" s="249"/>
      <c r="T8400" s="261"/>
    </row>
    <row r="8401" spans="2:20" x14ac:dyDescent="0.2">
      <c r="B8401" s="245"/>
      <c r="C8401" s="248"/>
      <c r="D8401" s="249"/>
      <c r="E8401" s="249"/>
      <c r="T8401" s="261"/>
    </row>
    <row r="8402" spans="2:20" x14ac:dyDescent="0.2">
      <c r="B8402" s="245"/>
      <c r="C8402" s="248"/>
      <c r="D8402" s="249"/>
      <c r="E8402" s="249"/>
      <c r="T8402" s="261"/>
    </row>
    <row r="8403" spans="2:20" x14ac:dyDescent="0.2">
      <c r="B8403" s="245"/>
      <c r="C8403" s="248"/>
      <c r="D8403" s="249"/>
      <c r="E8403" s="249"/>
      <c r="T8403" s="261"/>
    </row>
    <row r="8404" spans="2:20" x14ac:dyDescent="0.2">
      <c r="B8404" s="245"/>
      <c r="C8404" s="248"/>
      <c r="D8404" s="249"/>
      <c r="E8404" s="249"/>
      <c r="T8404" s="261"/>
    </row>
    <row r="8405" spans="2:20" x14ac:dyDescent="0.2">
      <c r="B8405" s="245"/>
      <c r="C8405" s="248"/>
      <c r="D8405" s="249"/>
      <c r="E8405" s="249"/>
      <c r="T8405" s="261"/>
    </row>
    <row r="8406" spans="2:20" x14ac:dyDescent="0.2">
      <c r="B8406" s="245"/>
      <c r="C8406" s="248"/>
      <c r="D8406" s="249"/>
      <c r="E8406" s="249"/>
      <c r="T8406" s="261"/>
    </row>
    <row r="8407" spans="2:20" x14ac:dyDescent="0.2">
      <c r="B8407" s="245"/>
      <c r="C8407" s="248"/>
      <c r="D8407" s="249"/>
      <c r="E8407" s="249"/>
      <c r="T8407" s="261"/>
    </row>
    <row r="8408" spans="2:20" x14ac:dyDescent="0.2">
      <c r="B8408" s="245"/>
      <c r="C8408" s="248"/>
      <c r="D8408" s="249"/>
      <c r="E8408" s="249"/>
      <c r="T8408" s="261"/>
    </row>
    <row r="8409" spans="2:20" x14ac:dyDescent="0.2">
      <c r="B8409" s="245"/>
      <c r="C8409" s="248"/>
      <c r="D8409" s="249"/>
      <c r="E8409" s="249"/>
      <c r="T8409" s="261"/>
    </row>
    <row r="8410" spans="2:20" x14ac:dyDescent="0.2">
      <c r="B8410" s="245"/>
      <c r="C8410" s="248"/>
      <c r="D8410" s="249"/>
      <c r="E8410" s="249"/>
      <c r="T8410" s="261"/>
    </row>
    <row r="8411" spans="2:20" x14ac:dyDescent="0.2">
      <c r="B8411" s="245"/>
      <c r="C8411" s="248"/>
      <c r="D8411" s="249"/>
      <c r="E8411" s="249"/>
      <c r="T8411" s="261"/>
    </row>
    <row r="8412" spans="2:20" x14ac:dyDescent="0.2">
      <c r="B8412" s="245"/>
      <c r="C8412" s="248"/>
      <c r="D8412" s="249"/>
      <c r="E8412" s="249"/>
      <c r="T8412" s="261"/>
    </row>
    <row r="8413" spans="2:20" x14ac:dyDescent="0.2">
      <c r="B8413" s="245"/>
      <c r="C8413" s="248"/>
      <c r="D8413" s="249"/>
      <c r="E8413" s="249"/>
      <c r="T8413" s="261"/>
    </row>
    <row r="8414" spans="2:20" x14ac:dyDescent="0.2">
      <c r="B8414" s="245"/>
      <c r="C8414" s="248"/>
      <c r="D8414" s="249"/>
      <c r="E8414" s="249"/>
      <c r="T8414" s="261"/>
    </row>
    <row r="8415" spans="2:20" x14ac:dyDescent="0.2">
      <c r="B8415" s="245"/>
      <c r="C8415" s="248"/>
      <c r="D8415" s="249"/>
      <c r="E8415" s="249"/>
      <c r="T8415" s="261"/>
    </row>
    <row r="8416" spans="2:20" x14ac:dyDescent="0.2">
      <c r="B8416" s="245"/>
      <c r="C8416" s="248"/>
      <c r="D8416" s="249"/>
      <c r="E8416" s="249"/>
      <c r="T8416" s="261"/>
    </row>
    <row r="8417" spans="2:20" x14ac:dyDescent="0.2">
      <c r="B8417" s="245"/>
      <c r="C8417" s="248"/>
      <c r="D8417" s="249"/>
      <c r="E8417" s="249"/>
      <c r="T8417" s="261"/>
    </row>
    <row r="8418" spans="2:20" x14ac:dyDescent="0.2">
      <c r="B8418" s="245"/>
      <c r="C8418" s="248"/>
      <c r="D8418" s="249"/>
      <c r="E8418" s="249"/>
      <c r="T8418" s="261"/>
    </row>
    <row r="8419" spans="2:20" x14ac:dyDescent="0.2">
      <c r="B8419" s="245"/>
      <c r="C8419" s="248"/>
      <c r="D8419" s="249"/>
      <c r="E8419" s="249"/>
      <c r="T8419" s="261"/>
    </row>
    <row r="8420" spans="2:20" x14ac:dyDescent="0.2">
      <c r="B8420" s="245"/>
      <c r="C8420" s="248"/>
      <c r="D8420" s="249"/>
      <c r="E8420" s="249"/>
      <c r="T8420" s="261"/>
    </row>
    <row r="8421" spans="2:20" x14ac:dyDescent="0.2">
      <c r="B8421" s="245"/>
      <c r="C8421" s="248"/>
      <c r="D8421" s="249"/>
      <c r="E8421" s="249"/>
      <c r="T8421" s="261"/>
    </row>
    <row r="8422" spans="2:20" x14ac:dyDescent="0.2">
      <c r="B8422" s="245"/>
      <c r="C8422" s="248"/>
      <c r="D8422" s="249"/>
      <c r="E8422" s="249"/>
      <c r="T8422" s="261"/>
    </row>
    <row r="8423" spans="2:20" x14ac:dyDescent="0.2">
      <c r="B8423" s="245"/>
      <c r="C8423" s="248"/>
      <c r="D8423" s="249"/>
      <c r="E8423" s="249"/>
      <c r="T8423" s="261"/>
    </row>
    <row r="8424" spans="2:20" x14ac:dyDescent="0.2">
      <c r="B8424" s="245"/>
      <c r="C8424" s="248"/>
      <c r="D8424" s="249"/>
      <c r="E8424" s="249"/>
      <c r="T8424" s="261"/>
    </row>
    <row r="8425" spans="2:20" x14ac:dyDescent="0.2">
      <c r="B8425" s="245"/>
      <c r="C8425" s="248"/>
      <c r="D8425" s="249"/>
      <c r="E8425" s="249"/>
      <c r="T8425" s="261"/>
    </row>
    <row r="8426" spans="2:20" x14ac:dyDescent="0.2">
      <c r="B8426" s="245"/>
      <c r="C8426" s="248"/>
      <c r="D8426" s="249"/>
      <c r="E8426" s="249"/>
      <c r="T8426" s="261"/>
    </row>
    <row r="8427" spans="2:20" x14ac:dyDescent="0.2">
      <c r="B8427" s="245"/>
      <c r="C8427" s="248"/>
      <c r="D8427" s="249"/>
      <c r="E8427" s="249"/>
      <c r="T8427" s="261"/>
    </row>
    <row r="8428" spans="2:20" x14ac:dyDescent="0.2">
      <c r="B8428" s="245"/>
      <c r="C8428" s="248"/>
      <c r="D8428" s="249"/>
      <c r="E8428" s="249"/>
      <c r="T8428" s="261"/>
    </row>
    <row r="8429" spans="2:20" x14ac:dyDescent="0.2">
      <c r="B8429" s="245"/>
      <c r="C8429" s="248"/>
      <c r="D8429" s="249"/>
      <c r="E8429" s="249"/>
      <c r="T8429" s="261"/>
    </row>
    <row r="8430" spans="2:20" x14ac:dyDescent="0.2">
      <c r="B8430" s="245"/>
      <c r="C8430" s="248"/>
      <c r="D8430" s="249"/>
      <c r="E8430" s="249"/>
      <c r="T8430" s="261"/>
    </row>
    <row r="8431" spans="2:20" x14ac:dyDescent="0.2">
      <c r="B8431" s="245"/>
      <c r="C8431" s="248"/>
      <c r="D8431" s="249"/>
      <c r="E8431" s="249"/>
      <c r="T8431" s="261"/>
    </row>
    <row r="8432" spans="2:20" x14ac:dyDescent="0.2">
      <c r="B8432" s="245"/>
      <c r="C8432" s="248"/>
      <c r="D8432" s="249"/>
      <c r="E8432" s="249"/>
      <c r="T8432" s="261"/>
    </row>
    <row r="8433" spans="2:20" x14ac:dyDescent="0.2">
      <c r="B8433" s="245"/>
      <c r="C8433" s="248"/>
      <c r="D8433" s="249"/>
      <c r="E8433" s="249"/>
      <c r="T8433" s="261"/>
    </row>
    <row r="8434" spans="2:20" x14ac:dyDescent="0.2">
      <c r="B8434" s="245"/>
      <c r="C8434" s="248"/>
      <c r="D8434" s="249"/>
      <c r="E8434" s="249"/>
      <c r="T8434" s="261"/>
    </row>
    <row r="8435" spans="2:20" x14ac:dyDescent="0.2">
      <c r="B8435" s="245"/>
      <c r="C8435" s="248"/>
      <c r="D8435" s="249"/>
      <c r="E8435" s="249"/>
      <c r="T8435" s="261"/>
    </row>
    <row r="8436" spans="2:20" x14ac:dyDescent="0.2">
      <c r="B8436" s="245"/>
      <c r="C8436" s="248"/>
      <c r="D8436" s="249"/>
      <c r="E8436" s="249"/>
      <c r="T8436" s="261"/>
    </row>
    <row r="8437" spans="2:20" x14ac:dyDescent="0.2">
      <c r="B8437" s="245"/>
      <c r="C8437" s="248"/>
      <c r="D8437" s="249"/>
      <c r="E8437" s="249"/>
      <c r="T8437" s="261"/>
    </row>
    <row r="8438" spans="2:20" x14ac:dyDescent="0.2">
      <c r="B8438" s="245"/>
      <c r="C8438" s="248"/>
      <c r="D8438" s="249"/>
      <c r="E8438" s="249"/>
      <c r="T8438" s="261"/>
    </row>
    <row r="8439" spans="2:20" x14ac:dyDescent="0.2">
      <c r="B8439" s="245"/>
      <c r="C8439" s="248"/>
      <c r="D8439" s="249"/>
      <c r="E8439" s="249"/>
      <c r="T8439" s="261"/>
    </row>
    <row r="8440" spans="2:20" x14ac:dyDescent="0.2">
      <c r="B8440" s="245"/>
      <c r="C8440" s="248"/>
      <c r="D8440" s="249"/>
      <c r="E8440" s="249"/>
      <c r="T8440" s="261"/>
    </row>
    <row r="8441" spans="2:20" x14ac:dyDescent="0.2">
      <c r="B8441" s="245"/>
      <c r="C8441" s="248"/>
      <c r="D8441" s="249"/>
      <c r="E8441" s="249"/>
      <c r="T8441" s="261"/>
    </row>
    <row r="8442" spans="2:20" x14ac:dyDescent="0.2">
      <c r="B8442" s="245"/>
      <c r="C8442" s="248"/>
      <c r="D8442" s="249"/>
      <c r="E8442" s="249"/>
      <c r="T8442" s="261"/>
    </row>
    <row r="8443" spans="2:20" x14ac:dyDescent="0.2">
      <c r="B8443" s="245"/>
      <c r="C8443" s="248"/>
      <c r="D8443" s="249"/>
      <c r="E8443" s="249"/>
      <c r="T8443" s="261"/>
    </row>
    <row r="8444" spans="2:20" x14ac:dyDescent="0.2">
      <c r="B8444" s="245"/>
      <c r="C8444" s="248"/>
      <c r="D8444" s="249"/>
      <c r="E8444" s="249"/>
      <c r="T8444" s="261"/>
    </row>
    <row r="8445" spans="2:20" x14ac:dyDescent="0.2">
      <c r="B8445" s="245"/>
      <c r="C8445" s="248"/>
      <c r="D8445" s="249"/>
      <c r="E8445" s="249"/>
      <c r="T8445" s="261"/>
    </row>
    <row r="8446" spans="2:20" x14ac:dyDescent="0.2">
      <c r="B8446" s="245"/>
      <c r="C8446" s="248"/>
      <c r="D8446" s="249"/>
      <c r="E8446" s="249"/>
      <c r="T8446" s="261"/>
    </row>
    <row r="8447" spans="2:20" x14ac:dyDescent="0.2">
      <c r="B8447" s="245"/>
      <c r="C8447" s="248"/>
      <c r="D8447" s="249"/>
      <c r="E8447" s="249"/>
      <c r="T8447" s="261"/>
    </row>
    <row r="8448" spans="2:20" x14ac:dyDescent="0.2">
      <c r="B8448" s="245"/>
      <c r="C8448" s="248"/>
      <c r="D8448" s="249"/>
      <c r="E8448" s="249"/>
      <c r="T8448" s="261"/>
    </row>
    <row r="8449" spans="2:20" x14ac:dyDescent="0.2">
      <c r="B8449" s="245"/>
      <c r="C8449" s="248"/>
      <c r="D8449" s="249"/>
      <c r="E8449" s="249"/>
      <c r="T8449" s="261"/>
    </row>
    <row r="8450" spans="2:20" x14ac:dyDescent="0.2">
      <c r="B8450" s="245"/>
      <c r="C8450" s="248"/>
      <c r="D8450" s="249"/>
      <c r="E8450" s="249"/>
      <c r="T8450" s="261"/>
    </row>
    <row r="8451" spans="2:20" x14ac:dyDescent="0.2">
      <c r="B8451" s="245"/>
      <c r="C8451" s="248"/>
      <c r="D8451" s="249"/>
      <c r="E8451" s="249"/>
      <c r="T8451" s="261"/>
    </row>
    <row r="8452" spans="2:20" x14ac:dyDescent="0.2">
      <c r="B8452" s="245"/>
      <c r="C8452" s="248"/>
      <c r="D8452" s="249"/>
      <c r="E8452" s="249"/>
      <c r="T8452" s="261"/>
    </row>
    <row r="8453" spans="2:20" x14ac:dyDescent="0.2">
      <c r="B8453" s="245"/>
      <c r="C8453" s="248"/>
      <c r="D8453" s="249"/>
      <c r="E8453" s="249"/>
      <c r="T8453" s="261"/>
    </row>
    <row r="8454" spans="2:20" x14ac:dyDescent="0.2">
      <c r="B8454" s="245"/>
      <c r="C8454" s="248"/>
      <c r="D8454" s="249"/>
      <c r="E8454" s="249"/>
      <c r="T8454" s="261"/>
    </row>
    <row r="8455" spans="2:20" x14ac:dyDescent="0.2">
      <c r="B8455" s="245"/>
      <c r="C8455" s="248"/>
      <c r="D8455" s="249"/>
      <c r="E8455" s="249"/>
      <c r="T8455" s="261"/>
    </row>
    <row r="8456" spans="2:20" x14ac:dyDescent="0.2">
      <c r="B8456" s="245"/>
      <c r="C8456" s="248"/>
      <c r="D8456" s="249"/>
      <c r="E8456" s="249"/>
      <c r="T8456" s="261"/>
    </row>
    <row r="8457" spans="2:20" x14ac:dyDescent="0.2">
      <c r="B8457" s="245"/>
      <c r="C8457" s="248"/>
      <c r="D8457" s="249"/>
      <c r="E8457" s="249"/>
      <c r="T8457" s="261"/>
    </row>
    <row r="8458" spans="2:20" x14ac:dyDescent="0.2">
      <c r="B8458" s="245"/>
      <c r="C8458" s="248"/>
      <c r="D8458" s="249"/>
      <c r="E8458" s="249"/>
      <c r="T8458" s="261"/>
    </row>
    <row r="8459" spans="2:20" x14ac:dyDescent="0.2">
      <c r="B8459" s="245"/>
      <c r="C8459" s="248"/>
      <c r="D8459" s="249"/>
      <c r="E8459" s="249"/>
      <c r="T8459" s="261"/>
    </row>
    <row r="8460" spans="2:20" x14ac:dyDescent="0.2">
      <c r="B8460" s="245"/>
      <c r="C8460" s="248"/>
      <c r="D8460" s="249"/>
      <c r="E8460" s="249"/>
      <c r="T8460" s="261"/>
    </row>
    <row r="8461" spans="2:20" x14ac:dyDescent="0.2">
      <c r="B8461" s="245"/>
      <c r="C8461" s="248"/>
      <c r="D8461" s="249"/>
      <c r="E8461" s="249"/>
      <c r="T8461" s="261"/>
    </row>
    <row r="8462" spans="2:20" x14ac:dyDescent="0.2">
      <c r="B8462" s="245"/>
      <c r="C8462" s="248"/>
      <c r="D8462" s="249"/>
      <c r="E8462" s="249"/>
      <c r="T8462" s="261"/>
    </row>
    <row r="8463" spans="2:20" x14ac:dyDescent="0.2">
      <c r="B8463" s="245"/>
      <c r="C8463" s="248"/>
      <c r="D8463" s="249"/>
      <c r="E8463" s="249"/>
      <c r="T8463" s="261"/>
    </row>
    <row r="8464" spans="2:20" x14ac:dyDescent="0.2">
      <c r="B8464" s="245"/>
      <c r="C8464" s="248"/>
      <c r="D8464" s="249"/>
      <c r="E8464" s="249"/>
      <c r="T8464" s="261"/>
    </row>
    <row r="8465" spans="2:20" x14ac:dyDescent="0.2">
      <c r="B8465" s="245"/>
      <c r="C8465" s="248"/>
      <c r="D8465" s="249"/>
      <c r="E8465" s="249"/>
      <c r="T8465" s="261"/>
    </row>
    <row r="8466" spans="2:20" x14ac:dyDescent="0.2">
      <c r="B8466" s="245"/>
      <c r="C8466" s="248"/>
      <c r="D8466" s="249"/>
      <c r="E8466" s="249"/>
      <c r="T8466" s="261"/>
    </row>
    <row r="8467" spans="2:20" x14ac:dyDescent="0.2">
      <c r="B8467" s="245"/>
      <c r="C8467" s="248"/>
      <c r="D8467" s="249"/>
      <c r="E8467" s="249"/>
      <c r="T8467" s="261"/>
    </row>
    <row r="8468" spans="2:20" x14ac:dyDescent="0.2">
      <c r="B8468" s="245"/>
      <c r="C8468" s="248"/>
      <c r="D8468" s="249"/>
      <c r="E8468" s="249"/>
      <c r="T8468" s="261"/>
    </row>
    <row r="8469" spans="2:20" x14ac:dyDescent="0.2">
      <c r="B8469" s="245"/>
      <c r="C8469" s="248"/>
      <c r="D8469" s="249"/>
      <c r="E8469" s="249"/>
      <c r="T8469" s="261"/>
    </row>
    <row r="8470" spans="2:20" x14ac:dyDescent="0.2">
      <c r="B8470" s="245"/>
      <c r="C8470" s="248"/>
      <c r="D8470" s="249"/>
      <c r="E8470" s="249"/>
      <c r="T8470" s="261"/>
    </row>
    <row r="8471" spans="2:20" x14ac:dyDescent="0.2">
      <c r="B8471" s="245"/>
      <c r="C8471" s="248"/>
      <c r="D8471" s="249"/>
      <c r="E8471" s="249"/>
      <c r="T8471" s="261"/>
    </row>
    <row r="8472" spans="2:20" x14ac:dyDescent="0.2">
      <c r="B8472" s="245"/>
      <c r="C8472" s="248"/>
      <c r="D8472" s="249"/>
      <c r="E8472" s="249"/>
      <c r="T8472" s="261"/>
    </row>
    <row r="8473" spans="2:20" x14ac:dyDescent="0.2">
      <c r="B8473" s="245"/>
      <c r="C8473" s="248"/>
      <c r="D8473" s="249"/>
      <c r="E8473" s="249"/>
      <c r="T8473" s="261"/>
    </row>
    <row r="8474" spans="2:20" x14ac:dyDescent="0.2">
      <c r="B8474" s="245"/>
      <c r="C8474" s="248"/>
      <c r="D8474" s="249"/>
      <c r="E8474" s="249"/>
      <c r="T8474" s="261"/>
    </row>
    <row r="8475" spans="2:20" x14ac:dyDescent="0.2">
      <c r="B8475" s="245"/>
      <c r="C8475" s="248"/>
      <c r="D8475" s="249"/>
      <c r="E8475" s="249"/>
      <c r="T8475" s="261"/>
    </row>
    <row r="8476" spans="2:20" x14ac:dyDescent="0.2">
      <c r="B8476" s="245"/>
      <c r="C8476" s="248"/>
      <c r="D8476" s="249"/>
      <c r="E8476" s="249"/>
      <c r="T8476" s="261"/>
    </row>
    <row r="8477" spans="2:20" x14ac:dyDescent="0.2">
      <c r="B8477" s="245"/>
      <c r="C8477" s="248"/>
      <c r="D8477" s="249"/>
      <c r="E8477" s="249"/>
      <c r="T8477" s="261"/>
    </row>
    <row r="8478" spans="2:20" x14ac:dyDescent="0.2">
      <c r="B8478" s="245"/>
      <c r="C8478" s="248"/>
      <c r="D8478" s="249"/>
      <c r="E8478" s="249"/>
      <c r="T8478" s="261"/>
    </row>
    <row r="8479" spans="2:20" x14ac:dyDescent="0.2">
      <c r="B8479" s="245"/>
      <c r="C8479" s="248"/>
      <c r="D8479" s="249"/>
      <c r="E8479" s="249"/>
      <c r="T8479" s="261"/>
    </row>
    <row r="8480" spans="2:20" x14ac:dyDescent="0.2">
      <c r="B8480" s="245"/>
      <c r="C8480" s="248"/>
      <c r="D8480" s="249"/>
      <c r="E8480" s="249"/>
      <c r="T8480" s="261"/>
    </row>
    <row r="8481" spans="2:20" x14ac:dyDescent="0.2">
      <c r="B8481" s="245"/>
      <c r="C8481" s="248"/>
      <c r="D8481" s="249"/>
      <c r="E8481" s="249"/>
      <c r="T8481" s="261"/>
    </row>
    <row r="8482" spans="2:20" x14ac:dyDescent="0.2">
      <c r="B8482" s="245"/>
      <c r="C8482" s="248"/>
      <c r="D8482" s="249"/>
      <c r="E8482" s="249"/>
      <c r="T8482" s="261"/>
    </row>
    <row r="8483" spans="2:20" x14ac:dyDescent="0.2">
      <c r="B8483" s="245"/>
      <c r="C8483" s="248"/>
      <c r="D8483" s="249"/>
      <c r="E8483" s="249"/>
      <c r="T8483" s="261"/>
    </row>
    <row r="8484" spans="2:20" x14ac:dyDescent="0.2">
      <c r="B8484" s="245"/>
      <c r="C8484" s="248"/>
      <c r="D8484" s="249"/>
      <c r="E8484" s="249"/>
      <c r="T8484" s="261"/>
    </row>
    <row r="8485" spans="2:20" x14ac:dyDescent="0.2">
      <c r="B8485" s="245"/>
      <c r="C8485" s="248"/>
      <c r="D8485" s="249"/>
      <c r="E8485" s="249"/>
      <c r="T8485" s="261"/>
    </row>
    <row r="8486" spans="2:20" x14ac:dyDescent="0.2">
      <c r="B8486" s="245"/>
      <c r="C8486" s="248"/>
      <c r="D8486" s="249"/>
      <c r="E8486" s="249"/>
      <c r="T8486" s="261"/>
    </row>
    <row r="8487" spans="2:20" x14ac:dyDescent="0.2">
      <c r="B8487" s="245"/>
      <c r="C8487" s="248"/>
      <c r="D8487" s="249"/>
      <c r="E8487" s="249"/>
      <c r="T8487" s="261"/>
    </row>
    <row r="8488" spans="2:20" x14ac:dyDescent="0.2">
      <c r="B8488" s="245"/>
      <c r="C8488" s="248"/>
      <c r="D8488" s="249"/>
      <c r="E8488" s="249"/>
      <c r="T8488" s="261"/>
    </row>
    <row r="8489" spans="2:20" x14ac:dyDescent="0.2">
      <c r="B8489" s="245"/>
      <c r="C8489" s="248"/>
      <c r="D8489" s="249"/>
      <c r="E8489" s="249"/>
      <c r="T8489" s="261"/>
    </row>
    <row r="8490" spans="2:20" x14ac:dyDescent="0.2">
      <c r="B8490" s="245"/>
      <c r="C8490" s="248"/>
      <c r="D8490" s="249"/>
      <c r="E8490" s="249"/>
      <c r="T8490" s="261"/>
    </row>
    <row r="8491" spans="2:20" x14ac:dyDescent="0.2">
      <c r="B8491" s="245"/>
      <c r="C8491" s="248"/>
      <c r="D8491" s="249"/>
      <c r="E8491" s="249"/>
      <c r="T8491" s="261"/>
    </row>
    <row r="8492" spans="2:20" x14ac:dyDescent="0.2">
      <c r="B8492" s="245"/>
      <c r="C8492" s="248"/>
      <c r="D8492" s="249"/>
      <c r="E8492" s="249"/>
      <c r="T8492" s="261"/>
    </row>
    <row r="8493" spans="2:20" x14ac:dyDescent="0.2">
      <c r="B8493" s="245"/>
      <c r="C8493" s="248"/>
      <c r="D8493" s="249"/>
      <c r="E8493" s="249"/>
      <c r="T8493" s="261"/>
    </row>
    <row r="8494" spans="2:20" x14ac:dyDescent="0.2">
      <c r="B8494" s="245"/>
      <c r="C8494" s="248"/>
      <c r="D8494" s="249"/>
      <c r="E8494" s="249"/>
      <c r="T8494" s="261"/>
    </row>
    <row r="8495" spans="2:20" x14ac:dyDescent="0.2">
      <c r="B8495" s="245"/>
      <c r="C8495" s="248"/>
      <c r="D8495" s="249"/>
      <c r="E8495" s="249"/>
      <c r="T8495" s="261"/>
    </row>
    <row r="8496" spans="2:20" x14ac:dyDescent="0.2">
      <c r="B8496" s="245"/>
      <c r="C8496" s="248"/>
      <c r="D8496" s="249"/>
      <c r="E8496" s="249"/>
      <c r="T8496" s="261"/>
    </row>
    <row r="8497" spans="2:20" x14ac:dyDescent="0.2">
      <c r="B8497" s="245"/>
      <c r="C8497" s="248"/>
      <c r="D8497" s="249"/>
      <c r="E8497" s="249"/>
      <c r="T8497" s="261"/>
    </row>
    <row r="8498" spans="2:20" x14ac:dyDescent="0.2">
      <c r="B8498" s="245"/>
      <c r="C8498" s="248"/>
      <c r="D8498" s="249"/>
      <c r="E8498" s="249"/>
      <c r="T8498" s="261"/>
    </row>
    <row r="8499" spans="2:20" x14ac:dyDescent="0.2">
      <c r="B8499" s="245"/>
      <c r="C8499" s="248"/>
      <c r="D8499" s="249"/>
      <c r="E8499" s="249"/>
      <c r="T8499" s="261"/>
    </row>
    <row r="8500" spans="2:20" x14ac:dyDescent="0.2">
      <c r="B8500" s="245"/>
      <c r="C8500" s="248"/>
      <c r="D8500" s="249"/>
      <c r="E8500" s="249"/>
      <c r="T8500" s="261"/>
    </row>
    <row r="8501" spans="2:20" x14ac:dyDescent="0.2">
      <c r="B8501" s="245"/>
      <c r="C8501" s="248"/>
      <c r="D8501" s="249"/>
      <c r="E8501" s="249"/>
      <c r="T8501" s="261"/>
    </row>
    <row r="8502" spans="2:20" x14ac:dyDescent="0.2">
      <c r="B8502" s="245"/>
      <c r="C8502" s="248"/>
      <c r="D8502" s="249"/>
      <c r="E8502" s="249"/>
      <c r="T8502" s="261"/>
    </row>
    <row r="8503" spans="2:20" x14ac:dyDescent="0.2">
      <c r="B8503" s="245"/>
      <c r="C8503" s="248"/>
      <c r="D8503" s="249"/>
      <c r="E8503" s="249"/>
      <c r="T8503" s="261"/>
    </row>
    <row r="8504" spans="2:20" x14ac:dyDescent="0.2">
      <c r="B8504" s="245"/>
      <c r="C8504" s="248"/>
      <c r="D8504" s="249"/>
      <c r="E8504" s="249"/>
      <c r="T8504" s="261"/>
    </row>
    <row r="8505" spans="2:20" x14ac:dyDescent="0.2">
      <c r="B8505" s="245"/>
      <c r="C8505" s="248"/>
      <c r="D8505" s="249"/>
      <c r="E8505" s="249"/>
      <c r="T8505" s="261"/>
    </row>
    <row r="8506" spans="2:20" x14ac:dyDescent="0.2">
      <c r="B8506" s="245"/>
      <c r="C8506" s="248"/>
      <c r="D8506" s="249"/>
      <c r="E8506" s="249"/>
      <c r="T8506" s="261"/>
    </row>
    <row r="8507" spans="2:20" x14ac:dyDescent="0.2">
      <c r="B8507" s="245"/>
      <c r="C8507" s="248"/>
      <c r="D8507" s="249"/>
      <c r="E8507" s="249"/>
      <c r="T8507" s="261"/>
    </row>
    <row r="8508" spans="2:20" x14ac:dyDescent="0.2">
      <c r="B8508" s="245"/>
      <c r="C8508" s="248"/>
      <c r="D8508" s="249"/>
      <c r="E8508" s="249"/>
      <c r="T8508" s="261"/>
    </row>
    <row r="8509" spans="2:20" x14ac:dyDescent="0.2">
      <c r="B8509" s="245"/>
      <c r="C8509" s="248"/>
      <c r="D8509" s="249"/>
      <c r="E8509" s="249"/>
      <c r="T8509" s="261"/>
    </row>
    <row r="8510" spans="2:20" x14ac:dyDescent="0.2">
      <c r="B8510" s="245"/>
      <c r="C8510" s="248"/>
      <c r="D8510" s="249"/>
      <c r="E8510" s="249"/>
      <c r="T8510" s="261"/>
    </row>
    <row r="8511" spans="2:20" x14ac:dyDescent="0.2">
      <c r="B8511" s="245"/>
      <c r="C8511" s="248"/>
      <c r="D8511" s="249"/>
      <c r="E8511" s="249"/>
      <c r="T8511" s="261"/>
    </row>
    <row r="8512" spans="2:20" x14ac:dyDescent="0.2">
      <c r="B8512" s="245"/>
      <c r="C8512" s="248"/>
      <c r="D8512" s="249"/>
      <c r="E8512" s="249"/>
      <c r="T8512" s="261"/>
    </row>
    <row r="8513" spans="2:20" x14ac:dyDescent="0.2">
      <c r="B8513" s="245"/>
      <c r="C8513" s="248"/>
      <c r="D8513" s="249"/>
      <c r="E8513" s="249"/>
      <c r="T8513" s="261"/>
    </row>
    <row r="8514" spans="2:20" x14ac:dyDescent="0.2">
      <c r="B8514" s="245"/>
      <c r="C8514" s="248"/>
      <c r="D8514" s="249"/>
      <c r="E8514" s="249"/>
      <c r="T8514" s="261"/>
    </row>
    <row r="8515" spans="2:20" x14ac:dyDescent="0.2">
      <c r="B8515" s="245"/>
      <c r="C8515" s="248"/>
      <c r="D8515" s="249"/>
      <c r="E8515" s="249"/>
      <c r="T8515" s="261"/>
    </row>
    <row r="8516" spans="2:20" x14ac:dyDescent="0.2">
      <c r="B8516" s="245"/>
      <c r="C8516" s="248"/>
      <c r="D8516" s="249"/>
      <c r="E8516" s="249"/>
      <c r="T8516" s="261"/>
    </row>
    <row r="8517" spans="2:20" x14ac:dyDescent="0.2">
      <c r="B8517" s="245"/>
      <c r="C8517" s="248"/>
      <c r="D8517" s="249"/>
      <c r="E8517" s="249"/>
      <c r="T8517" s="261"/>
    </row>
    <row r="8518" spans="2:20" x14ac:dyDescent="0.2">
      <c r="B8518" s="245"/>
      <c r="C8518" s="248"/>
      <c r="D8518" s="249"/>
      <c r="E8518" s="249"/>
      <c r="T8518" s="261"/>
    </row>
    <row r="8519" spans="2:20" x14ac:dyDescent="0.2">
      <c r="B8519" s="245"/>
      <c r="C8519" s="248"/>
      <c r="D8519" s="249"/>
      <c r="E8519" s="249"/>
      <c r="T8519" s="261"/>
    </row>
    <row r="8520" spans="2:20" x14ac:dyDescent="0.2">
      <c r="B8520" s="245"/>
      <c r="C8520" s="248"/>
      <c r="D8520" s="249"/>
      <c r="E8520" s="249"/>
      <c r="T8520" s="261"/>
    </row>
    <row r="8521" spans="2:20" x14ac:dyDescent="0.2">
      <c r="B8521" s="245"/>
      <c r="C8521" s="248"/>
      <c r="D8521" s="249"/>
      <c r="E8521" s="249"/>
      <c r="T8521" s="261"/>
    </row>
    <row r="8522" spans="2:20" x14ac:dyDescent="0.2">
      <c r="B8522" s="245"/>
      <c r="C8522" s="248"/>
      <c r="D8522" s="249"/>
      <c r="E8522" s="249"/>
      <c r="T8522" s="261"/>
    </row>
    <row r="8523" spans="2:20" x14ac:dyDescent="0.2">
      <c r="B8523" s="245"/>
      <c r="C8523" s="248"/>
      <c r="D8523" s="249"/>
      <c r="E8523" s="249"/>
      <c r="T8523" s="261"/>
    </row>
    <row r="8524" spans="2:20" x14ac:dyDescent="0.2">
      <c r="B8524" s="245"/>
      <c r="C8524" s="248"/>
      <c r="D8524" s="249"/>
      <c r="E8524" s="249"/>
      <c r="T8524" s="261"/>
    </row>
    <row r="8525" spans="2:20" x14ac:dyDescent="0.2">
      <c r="B8525" s="245"/>
      <c r="C8525" s="248"/>
      <c r="D8525" s="249"/>
      <c r="E8525" s="249"/>
      <c r="T8525" s="261"/>
    </row>
    <row r="8526" spans="2:20" x14ac:dyDescent="0.2">
      <c r="B8526" s="245"/>
      <c r="C8526" s="248"/>
      <c r="D8526" s="249"/>
      <c r="E8526" s="249"/>
      <c r="T8526" s="261"/>
    </row>
    <row r="8527" spans="2:20" x14ac:dyDescent="0.2">
      <c r="B8527" s="245"/>
      <c r="C8527" s="248"/>
      <c r="D8527" s="249"/>
      <c r="E8527" s="249"/>
      <c r="T8527" s="261"/>
    </row>
    <row r="8528" spans="2:20" x14ac:dyDescent="0.2">
      <c r="B8528" s="245"/>
      <c r="C8528" s="248"/>
      <c r="D8528" s="249"/>
      <c r="E8528" s="249"/>
      <c r="T8528" s="261"/>
    </row>
    <row r="8529" spans="2:20" x14ac:dyDescent="0.2">
      <c r="B8529" s="245"/>
      <c r="C8529" s="248"/>
      <c r="D8529" s="249"/>
      <c r="E8529" s="249"/>
      <c r="T8529" s="261"/>
    </row>
    <row r="8530" spans="2:20" x14ac:dyDescent="0.2">
      <c r="B8530" s="245"/>
      <c r="C8530" s="248"/>
      <c r="D8530" s="249"/>
      <c r="E8530" s="249"/>
      <c r="T8530" s="261"/>
    </row>
    <row r="8531" spans="2:20" x14ac:dyDescent="0.2">
      <c r="B8531" s="245"/>
      <c r="C8531" s="248"/>
      <c r="D8531" s="249"/>
      <c r="E8531" s="249"/>
      <c r="T8531" s="261"/>
    </row>
    <row r="8532" spans="2:20" x14ac:dyDescent="0.2">
      <c r="B8532" s="245"/>
      <c r="C8532" s="248"/>
      <c r="D8532" s="249"/>
      <c r="E8532" s="249"/>
      <c r="T8532" s="261"/>
    </row>
    <row r="8533" spans="2:20" x14ac:dyDescent="0.2">
      <c r="B8533" s="245"/>
      <c r="C8533" s="248"/>
      <c r="D8533" s="249"/>
      <c r="E8533" s="249"/>
      <c r="T8533" s="261"/>
    </row>
    <row r="8534" spans="2:20" x14ac:dyDescent="0.2">
      <c r="B8534" s="245"/>
      <c r="C8534" s="248"/>
      <c r="D8534" s="249"/>
      <c r="E8534" s="249"/>
      <c r="T8534" s="261"/>
    </row>
    <row r="8535" spans="2:20" x14ac:dyDescent="0.2">
      <c r="B8535" s="245"/>
      <c r="C8535" s="248"/>
      <c r="D8535" s="249"/>
      <c r="E8535" s="249"/>
      <c r="T8535" s="261"/>
    </row>
    <row r="8536" spans="2:20" x14ac:dyDescent="0.2">
      <c r="B8536" s="245"/>
      <c r="C8536" s="248"/>
      <c r="D8536" s="249"/>
      <c r="E8536" s="249"/>
      <c r="T8536" s="261"/>
    </row>
    <row r="8537" spans="2:20" x14ac:dyDescent="0.2">
      <c r="B8537" s="245"/>
      <c r="C8537" s="248"/>
      <c r="D8537" s="249"/>
      <c r="E8537" s="249"/>
      <c r="T8537" s="261"/>
    </row>
    <row r="8538" spans="2:20" x14ac:dyDescent="0.2">
      <c r="B8538" s="245"/>
      <c r="C8538" s="248"/>
      <c r="D8538" s="249"/>
      <c r="E8538" s="249"/>
      <c r="T8538" s="261"/>
    </row>
    <row r="8539" spans="2:20" x14ac:dyDescent="0.2">
      <c r="B8539" s="245"/>
      <c r="C8539" s="248"/>
      <c r="D8539" s="249"/>
      <c r="E8539" s="249"/>
      <c r="T8539" s="261"/>
    </row>
    <row r="8540" spans="2:20" x14ac:dyDescent="0.2">
      <c r="B8540" s="245"/>
      <c r="C8540" s="248"/>
      <c r="D8540" s="249"/>
      <c r="E8540" s="249"/>
      <c r="T8540" s="261"/>
    </row>
    <row r="8541" spans="2:20" x14ac:dyDescent="0.2">
      <c r="B8541" s="245"/>
      <c r="C8541" s="248"/>
      <c r="D8541" s="249"/>
      <c r="E8541" s="249"/>
      <c r="T8541" s="261"/>
    </row>
    <row r="8542" spans="2:20" x14ac:dyDescent="0.2">
      <c r="B8542" s="245"/>
      <c r="C8542" s="248"/>
      <c r="D8542" s="249"/>
      <c r="E8542" s="249"/>
      <c r="T8542" s="261"/>
    </row>
    <row r="8543" spans="2:20" x14ac:dyDescent="0.2">
      <c r="B8543" s="245"/>
      <c r="C8543" s="248"/>
      <c r="D8543" s="249"/>
      <c r="E8543" s="249"/>
      <c r="T8543" s="261"/>
    </row>
    <row r="8544" spans="2:20" x14ac:dyDescent="0.2">
      <c r="B8544" s="245"/>
      <c r="C8544" s="248"/>
      <c r="D8544" s="249"/>
      <c r="E8544" s="249"/>
      <c r="T8544" s="261"/>
    </row>
    <row r="8545" spans="2:20" x14ac:dyDescent="0.2">
      <c r="B8545" s="245"/>
      <c r="C8545" s="248"/>
      <c r="D8545" s="249"/>
      <c r="E8545" s="249"/>
      <c r="T8545" s="261"/>
    </row>
    <row r="8546" spans="2:20" x14ac:dyDescent="0.2">
      <c r="B8546" s="245"/>
      <c r="C8546" s="248"/>
      <c r="D8546" s="249"/>
      <c r="E8546" s="249"/>
      <c r="T8546" s="261"/>
    </row>
    <row r="8547" spans="2:20" x14ac:dyDescent="0.2">
      <c r="B8547" s="245"/>
      <c r="C8547" s="248"/>
      <c r="D8547" s="249"/>
      <c r="E8547" s="249"/>
      <c r="T8547" s="261"/>
    </row>
    <row r="8548" spans="2:20" x14ac:dyDescent="0.2">
      <c r="B8548" s="245"/>
      <c r="C8548" s="248"/>
      <c r="D8548" s="249"/>
      <c r="E8548" s="249"/>
      <c r="T8548" s="261"/>
    </row>
    <row r="8549" spans="2:20" x14ac:dyDescent="0.2">
      <c r="B8549" s="245"/>
      <c r="C8549" s="248"/>
      <c r="D8549" s="249"/>
      <c r="E8549" s="249"/>
      <c r="T8549" s="261"/>
    </row>
    <row r="8550" spans="2:20" x14ac:dyDescent="0.2">
      <c r="B8550" s="245"/>
      <c r="C8550" s="248"/>
      <c r="D8550" s="249"/>
      <c r="E8550" s="249"/>
      <c r="T8550" s="261"/>
    </row>
    <row r="8551" spans="2:20" x14ac:dyDescent="0.2">
      <c r="B8551" s="245"/>
      <c r="C8551" s="248"/>
      <c r="D8551" s="249"/>
      <c r="E8551" s="249"/>
      <c r="T8551" s="261"/>
    </row>
    <row r="8552" spans="2:20" x14ac:dyDescent="0.2">
      <c r="B8552" s="245"/>
      <c r="C8552" s="248"/>
      <c r="D8552" s="249"/>
      <c r="E8552" s="249"/>
      <c r="T8552" s="261"/>
    </row>
    <row r="8553" spans="2:20" x14ac:dyDescent="0.2">
      <c r="B8553" s="245"/>
      <c r="C8553" s="248"/>
      <c r="D8553" s="249"/>
      <c r="E8553" s="249"/>
      <c r="T8553" s="261"/>
    </row>
    <row r="8554" spans="2:20" x14ac:dyDescent="0.2">
      <c r="B8554" s="245"/>
      <c r="C8554" s="248"/>
      <c r="D8554" s="249"/>
      <c r="E8554" s="249"/>
      <c r="T8554" s="261"/>
    </row>
    <row r="8555" spans="2:20" x14ac:dyDescent="0.2">
      <c r="B8555" s="245"/>
      <c r="C8555" s="248"/>
      <c r="D8555" s="249"/>
      <c r="E8555" s="249"/>
      <c r="T8555" s="261"/>
    </row>
    <row r="8556" spans="2:20" x14ac:dyDescent="0.2">
      <c r="B8556" s="245"/>
      <c r="C8556" s="248"/>
      <c r="D8556" s="249"/>
      <c r="E8556" s="249"/>
      <c r="T8556" s="261"/>
    </row>
    <row r="8557" spans="2:20" x14ac:dyDescent="0.2">
      <c r="B8557" s="245"/>
      <c r="C8557" s="248"/>
      <c r="D8557" s="249"/>
      <c r="E8557" s="249"/>
      <c r="T8557" s="261"/>
    </row>
    <row r="8558" spans="2:20" x14ac:dyDescent="0.2">
      <c r="B8558" s="245"/>
      <c r="C8558" s="248"/>
      <c r="D8558" s="249"/>
      <c r="E8558" s="249"/>
      <c r="T8558" s="261"/>
    </row>
    <row r="8559" spans="2:20" x14ac:dyDescent="0.2">
      <c r="B8559" s="245"/>
      <c r="C8559" s="248"/>
      <c r="D8559" s="249"/>
      <c r="E8559" s="249"/>
      <c r="T8559" s="261"/>
    </row>
    <row r="8560" spans="2:20" x14ac:dyDescent="0.2">
      <c r="B8560" s="245"/>
      <c r="C8560" s="248"/>
      <c r="D8560" s="249"/>
      <c r="E8560" s="249"/>
      <c r="T8560" s="261"/>
    </row>
    <row r="8561" spans="2:20" x14ac:dyDescent="0.2">
      <c r="B8561" s="245"/>
      <c r="C8561" s="248"/>
      <c r="D8561" s="249"/>
      <c r="E8561" s="249"/>
      <c r="T8561" s="261"/>
    </row>
    <row r="8562" spans="2:20" x14ac:dyDescent="0.2">
      <c r="B8562" s="245"/>
      <c r="C8562" s="248"/>
      <c r="D8562" s="249"/>
      <c r="E8562" s="249"/>
      <c r="T8562" s="261"/>
    </row>
    <row r="8563" spans="2:20" x14ac:dyDescent="0.2">
      <c r="B8563" s="245"/>
      <c r="C8563" s="248"/>
      <c r="D8563" s="249"/>
      <c r="E8563" s="249"/>
      <c r="T8563" s="261"/>
    </row>
    <row r="8564" spans="2:20" x14ac:dyDescent="0.2">
      <c r="B8564" s="245"/>
      <c r="C8564" s="248"/>
      <c r="D8564" s="249"/>
      <c r="E8564" s="249"/>
      <c r="T8564" s="261"/>
    </row>
    <row r="8565" spans="2:20" x14ac:dyDescent="0.2">
      <c r="B8565" s="245"/>
      <c r="C8565" s="248"/>
      <c r="D8565" s="249"/>
      <c r="E8565" s="249"/>
      <c r="T8565" s="261"/>
    </row>
    <row r="8566" spans="2:20" x14ac:dyDescent="0.2">
      <c r="B8566" s="245"/>
      <c r="C8566" s="248"/>
      <c r="D8566" s="249"/>
      <c r="E8566" s="249"/>
      <c r="T8566" s="261"/>
    </row>
    <row r="8567" spans="2:20" x14ac:dyDescent="0.2">
      <c r="B8567" s="245"/>
      <c r="C8567" s="248"/>
      <c r="D8567" s="249"/>
      <c r="E8567" s="249"/>
      <c r="T8567" s="261"/>
    </row>
    <row r="8568" spans="2:20" x14ac:dyDescent="0.2">
      <c r="B8568" s="245"/>
      <c r="C8568" s="248"/>
      <c r="D8568" s="249"/>
      <c r="E8568" s="249"/>
      <c r="T8568" s="261"/>
    </row>
    <row r="8569" spans="2:20" x14ac:dyDescent="0.2">
      <c r="B8569" s="245"/>
      <c r="C8569" s="248"/>
      <c r="D8569" s="249"/>
      <c r="E8569" s="249"/>
      <c r="T8569" s="261"/>
    </row>
    <row r="8570" spans="2:20" x14ac:dyDescent="0.2">
      <c r="B8570" s="245"/>
      <c r="C8570" s="248"/>
      <c r="D8570" s="249"/>
      <c r="E8570" s="249"/>
      <c r="T8570" s="261"/>
    </row>
    <row r="8571" spans="2:20" x14ac:dyDescent="0.2">
      <c r="B8571" s="245"/>
      <c r="C8571" s="248"/>
      <c r="D8571" s="249"/>
      <c r="E8571" s="249"/>
      <c r="T8571" s="261"/>
    </row>
    <row r="8572" spans="2:20" x14ac:dyDescent="0.2">
      <c r="B8572" s="245"/>
      <c r="C8572" s="248"/>
      <c r="D8572" s="249"/>
      <c r="E8572" s="249"/>
      <c r="T8572" s="261"/>
    </row>
    <row r="8573" spans="2:20" x14ac:dyDescent="0.2">
      <c r="B8573" s="245"/>
      <c r="C8573" s="248"/>
      <c r="D8573" s="249"/>
      <c r="E8573" s="249"/>
      <c r="T8573" s="261"/>
    </row>
    <row r="8574" spans="2:20" x14ac:dyDescent="0.2">
      <c r="B8574" s="245"/>
      <c r="C8574" s="248"/>
      <c r="D8574" s="249"/>
      <c r="E8574" s="249"/>
      <c r="T8574" s="261"/>
    </row>
    <row r="8575" spans="2:20" x14ac:dyDescent="0.2">
      <c r="B8575" s="245"/>
      <c r="C8575" s="248"/>
      <c r="D8575" s="249"/>
      <c r="E8575" s="249"/>
      <c r="T8575" s="261"/>
    </row>
    <row r="8576" spans="2:20" x14ac:dyDescent="0.2">
      <c r="B8576" s="245"/>
      <c r="C8576" s="248"/>
      <c r="D8576" s="249"/>
      <c r="E8576" s="249"/>
      <c r="T8576" s="261"/>
    </row>
    <row r="8577" spans="2:20" x14ac:dyDescent="0.2">
      <c r="B8577" s="245"/>
      <c r="C8577" s="248"/>
      <c r="D8577" s="249"/>
      <c r="E8577" s="249"/>
      <c r="T8577" s="261"/>
    </row>
    <row r="8578" spans="2:20" x14ac:dyDescent="0.2">
      <c r="B8578" s="245"/>
      <c r="C8578" s="248"/>
      <c r="D8578" s="249"/>
      <c r="E8578" s="249"/>
      <c r="T8578" s="261"/>
    </row>
    <row r="8579" spans="2:20" x14ac:dyDescent="0.2">
      <c r="B8579" s="245"/>
      <c r="C8579" s="248"/>
      <c r="D8579" s="249"/>
      <c r="E8579" s="249"/>
      <c r="T8579" s="261"/>
    </row>
    <row r="8580" spans="2:20" x14ac:dyDescent="0.2">
      <c r="B8580" s="245"/>
      <c r="C8580" s="248"/>
      <c r="D8580" s="249"/>
      <c r="E8580" s="249"/>
      <c r="T8580" s="261"/>
    </row>
    <row r="8581" spans="2:20" x14ac:dyDescent="0.2">
      <c r="B8581" s="245"/>
      <c r="C8581" s="248"/>
      <c r="D8581" s="249"/>
      <c r="E8581" s="249"/>
      <c r="T8581" s="261"/>
    </row>
    <row r="8582" spans="2:20" x14ac:dyDescent="0.2">
      <c r="B8582" s="245"/>
      <c r="C8582" s="248"/>
      <c r="D8582" s="249"/>
      <c r="E8582" s="249"/>
      <c r="T8582" s="261"/>
    </row>
    <row r="8583" spans="2:20" x14ac:dyDescent="0.2">
      <c r="B8583" s="245"/>
      <c r="C8583" s="248"/>
      <c r="D8583" s="249"/>
      <c r="E8583" s="249"/>
      <c r="T8583" s="261"/>
    </row>
    <row r="8584" spans="2:20" x14ac:dyDescent="0.2">
      <c r="B8584" s="245"/>
      <c r="C8584" s="248"/>
      <c r="D8584" s="249"/>
      <c r="E8584" s="249"/>
      <c r="T8584" s="261"/>
    </row>
    <row r="8585" spans="2:20" x14ac:dyDescent="0.2">
      <c r="B8585" s="245"/>
      <c r="C8585" s="248"/>
      <c r="D8585" s="249"/>
      <c r="E8585" s="249"/>
      <c r="T8585" s="261"/>
    </row>
    <row r="8586" spans="2:20" x14ac:dyDescent="0.2">
      <c r="B8586" s="245"/>
      <c r="C8586" s="248"/>
      <c r="D8586" s="249"/>
      <c r="E8586" s="249"/>
      <c r="T8586" s="261"/>
    </row>
    <row r="8587" spans="2:20" x14ac:dyDescent="0.2">
      <c r="B8587" s="245"/>
      <c r="C8587" s="248"/>
      <c r="D8587" s="249"/>
      <c r="E8587" s="249"/>
      <c r="T8587" s="261"/>
    </row>
    <row r="8588" spans="2:20" x14ac:dyDescent="0.2">
      <c r="B8588" s="245"/>
      <c r="C8588" s="248"/>
      <c r="D8588" s="249"/>
      <c r="E8588" s="249"/>
      <c r="T8588" s="261"/>
    </row>
    <row r="8589" spans="2:20" x14ac:dyDescent="0.2">
      <c r="B8589" s="245"/>
      <c r="C8589" s="248"/>
      <c r="D8589" s="249"/>
      <c r="E8589" s="249"/>
      <c r="T8589" s="261"/>
    </row>
    <row r="8590" spans="2:20" x14ac:dyDescent="0.2">
      <c r="B8590" s="245"/>
      <c r="C8590" s="248"/>
      <c r="D8590" s="249"/>
      <c r="E8590" s="249"/>
      <c r="T8590" s="261"/>
    </row>
    <row r="8591" spans="2:20" x14ac:dyDescent="0.2">
      <c r="B8591" s="245"/>
      <c r="C8591" s="248"/>
      <c r="D8591" s="249"/>
      <c r="E8591" s="249"/>
      <c r="T8591" s="261"/>
    </row>
    <row r="8592" spans="2:20" x14ac:dyDescent="0.2">
      <c r="B8592" s="245"/>
      <c r="C8592" s="248"/>
      <c r="D8592" s="249"/>
      <c r="E8592" s="249"/>
      <c r="T8592" s="261"/>
    </row>
    <row r="8593" spans="2:20" x14ac:dyDescent="0.2">
      <c r="B8593" s="245"/>
      <c r="C8593" s="248"/>
      <c r="D8593" s="249"/>
      <c r="E8593" s="249"/>
      <c r="T8593" s="261"/>
    </row>
    <row r="8594" spans="2:20" x14ac:dyDescent="0.2">
      <c r="B8594" s="245"/>
      <c r="C8594" s="248"/>
      <c r="D8594" s="249"/>
      <c r="E8594" s="249"/>
      <c r="T8594" s="261"/>
    </row>
    <row r="8595" spans="2:20" x14ac:dyDescent="0.2">
      <c r="B8595" s="245"/>
      <c r="C8595" s="248"/>
      <c r="D8595" s="249"/>
      <c r="E8595" s="249"/>
      <c r="T8595" s="261"/>
    </row>
    <row r="8596" spans="2:20" x14ac:dyDescent="0.2">
      <c r="B8596" s="245"/>
      <c r="C8596" s="248"/>
      <c r="D8596" s="249"/>
      <c r="E8596" s="249"/>
      <c r="T8596" s="261"/>
    </row>
    <row r="8597" spans="2:20" x14ac:dyDescent="0.2">
      <c r="B8597" s="245"/>
      <c r="C8597" s="248"/>
      <c r="D8597" s="249"/>
      <c r="E8597" s="249"/>
      <c r="T8597" s="261"/>
    </row>
    <row r="8598" spans="2:20" x14ac:dyDescent="0.2">
      <c r="B8598" s="245"/>
      <c r="C8598" s="248"/>
      <c r="D8598" s="249"/>
      <c r="E8598" s="249"/>
      <c r="T8598" s="261"/>
    </row>
    <row r="8599" spans="2:20" x14ac:dyDescent="0.2">
      <c r="B8599" s="245"/>
      <c r="C8599" s="248"/>
      <c r="D8599" s="249"/>
      <c r="E8599" s="249"/>
      <c r="T8599" s="261"/>
    </row>
    <row r="8600" spans="2:20" x14ac:dyDescent="0.2">
      <c r="B8600" s="245"/>
      <c r="C8600" s="248"/>
      <c r="D8600" s="249"/>
      <c r="E8600" s="249"/>
      <c r="T8600" s="261"/>
    </row>
    <row r="8601" spans="2:20" x14ac:dyDescent="0.2">
      <c r="B8601" s="245"/>
      <c r="C8601" s="248"/>
      <c r="D8601" s="249"/>
      <c r="E8601" s="249"/>
      <c r="T8601" s="261"/>
    </row>
    <row r="8602" spans="2:20" x14ac:dyDescent="0.2">
      <c r="B8602" s="245"/>
      <c r="C8602" s="248"/>
      <c r="D8602" s="249"/>
      <c r="E8602" s="249"/>
      <c r="T8602" s="261"/>
    </row>
    <row r="8603" spans="2:20" x14ac:dyDescent="0.2">
      <c r="B8603" s="245"/>
      <c r="C8603" s="248"/>
      <c r="D8603" s="249"/>
      <c r="E8603" s="249"/>
      <c r="T8603" s="261"/>
    </row>
    <row r="8604" spans="2:20" x14ac:dyDescent="0.2">
      <c r="B8604" s="245"/>
      <c r="C8604" s="248"/>
      <c r="D8604" s="249"/>
      <c r="E8604" s="249"/>
      <c r="T8604" s="261"/>
    </row>
    <row r="8605" spans="2:20" x14ac:dyDescent="0.2">
      <c r="B8605" s="245"/>
      <c r="C8605" s="248"/>
      <c r="D8605" s="249"/>
      <c r="E8605" s="249"/>
      <c r="T8605" s="261"/>
    </row>
    <row r="8606" spans="2:20" x14ac:dyDescent="0.2">
      <c r="B8606" s="245"/>
      <c r="C8606" s="248"/>
      <c r="D8606" s="249"/>
      <c r="E8606" s="249"/>
      <c r="T8606" s="261"/>
    </row>
    <row r="8607" spans="2:20" x14ac:dyDescent="0.2">
      <c r="B8607" s="245"/>
      <c r="C8607" s="248"/>
      <c r="D8607" s="249"/>
      <c r="E8607" s="249"/>
      <c r="T8607" s="261"/>
    </row>
    <row r="8608" spans="2:20" x14ac:dyDescent="0.2">
      <c r="B8608" s="245"/>
      <c r="C8608" s="248"/>
      <c r="D8608" s="249"/>
      <c r="E8608" s="249"/>
      <c r="T8608" s="261"/>
    </row>
    <row r="8609" spans="2:20" x14ac:dyDescent="0.2">
      <c r="B8609" s="245"/>
      <c r="C8609" s="248"/>
      <c r="D8609" s="249"/>
      <c r="E8609" s="249"/>
      <c r="T8609" s="261"/>
    </row>
    <row r="8610" spans="2:20" x14ac:dyDescent="0.2">
      <c r="B8610" s="245"/>
      <c r="C8610" s="248"/>
      <c r="D8610" s="249"/>
      <c r="E8610" s="249"/>
      <c r="T8610" s="261"/>
    </row>
    <row r="8611" spans="2:20" x14ac:dyDescent="0.2">
      <c r="B8611" s="245"/>
      <c r="C8611" s="248"/>
      <c r="D8611" s="249"/>
      <c r="E8611" s="249"/>
      <c r="T8611" s="261"/>
    </row>
    <row r="8612" spans="2:20" x14ac:dyDescent="0.2">
      <c r="B8612" s="245"/>
      <c r="C8612" s="248"/>
      <c r="D8612" s="249"/>
      <c r="E8612" s="249"/>
      <c r="T8612" s="261"/>
    </row>
    <row r="8613" spans="2:20" x14ac:dyDescent="0.2">
      <c r="B8613" s="245"/>
      <c r="C8613" s="248"/>
      <c r="D8613" s="249"/>
      <c r="E8613" s="249"/>
      <c r="T8613" s="261"/>
    </row>
    <row r="8614" spans="2:20" x14ac:dyDescent="0.2">
      <c r="B8614" s="245"/>
      <c r="C8614" s="248"/>
      <c r="D8614" s="249"/>
      <c r="E8614" s="249"/>
      <c r="T8614" s="261"/>
    </row>
    <row r="8615" spans="2:20" x14ac:dyDescent="0.2">
      <c r="B8615" s="245"/>
      <c r="C8615" s="248"/>
      <c r="D8615" s="249"/>
      <c r="E8615" s="249"/>
      <c r="T8615" s="261"/>
    </row>
    <row r="8616" spans="2:20" x14ac:dyDescent="0.2">
      <c r="B8616" s="245"/>
      <c r="C8616" s="248"/>
      <c r="D8616" s="249"/>
      <c r="E8616" s="249"/>
      <c r="T8616" s="261"/>
    </row>
    <row r="8617" spans="2:20" x14ac:dyDescent="0.2">
      <c r="B8617" s="245"/>
      <c r="C8617" s="248"/>
      <c r="D8617" s="249"/>
      <c r="E8617" s="249"/>
      <c r="T8617" s="261"/>
    </row>
    <row r="8618" spans="2:20" x14ac:dyDescent="0.2">
      <c r="B8618" s="245"/>
      <c r="C8618" s="248"/>
      <c r="D8618" s="249"/>
      <c r="E8618" s="249"/>
      <c r="T8618" s="261"/>
    </row>
    <row r="8619" spans="2:20" x14ac:dyDescent="0.2">
      <c r="B8619" s="245"/>
      <c r="C8619" s="248"/>
      <c r="D8619" s="249"/>
      <c r="E8619" s="249"/>
      <c r="T8619" s="261"/>
    </row>
    <row r="8620" spans="2:20" x14ac:dyDescent="0.2">
      <c r="B8620" s="245"/>
      <c r="C8620" s="248"/>
      <c r="D8620" s="249"/>
      <c r="E8620" s="249"/>
      <c r="T8620" s="261"/>
    </row>
    <row r="8621" spans="2:20" x14ac:dyDescent="0.2">
      <c r="B8621" s="245"/>
      <c r="C8621" s="248"/>
      <c r="D8621" s="249"/>
      <c r="E8621" s="249"/>
      <c r="T8621" s="261"/>
    </row>
    <row r="8622" spans="2:20" x14ac:dyDescent="0.2">
      <c r="B8622" s="245"/>
      <c r="C8622" s="248"/>
      <c r="D8622" s="249"/>
      <c r="E8622" s="249"/>
      <c r="T8622" s="261"/>
    </row>
    <row r="8623" spans="2:20" x14ac:dyDescent="0.2">
      <c r="B8623" s="245"/>
      <c r="C8623" s="248"/>
      <c r="D8623" s="249"/>
      <c r="E8623" s="249"/>
      <c r="T8623" s="261"/>
    </row>
    <row r="8624" spans="2:20" x14ac:dyDescent="0.2">
      <c r="B8624" s="245"/>
      <c r="C8624" s="248"/>
      <c r="D8624" s="249"/>
      <c r="E8624" s="249"/>
      <c r="T8624" s="261"/>
    </row>
    <row r="8625" spans="2:20" x14ac:dyDescent="0.2">
      <c r="B8625" s="245"/>
      <c r="C8625" s="248"/>
      <c r="D8625" s="249"/>
      <c r="E8625" s="249"/>
      <c r="T8625" s="261"/>
    </row>
    <row r="8626" spans="2:20" x14ac:dyDescent="0.2">
      <c r="B8626" s="245"/>
      <c r="C8626" s="248"/>
      <c r="D8626" s="249"/>
      <c r="E8626" s="249"/>
      <c r="T8626" s="261"/>
    </row>
    <row r="8627" spans="2:20" x14ac:dyDescent="0.2">
      <c r="B8627" s="245"/>
      <c r="C8627" s="248"/>
      <c r="D8627" s="249"/>
      <c r="E8627" s="249"/>
      <c r="T8627" s="261"/>
    </row>
    <row r="8628" spans="2:20" x14ac:dyDescent="0.2">
      <c r="B8628" s="245"/>
      <c r="C8628" s="248"/>
      <c r="D8628" s="249"/>
      <c r="E8628" s="249"/>
      <c r="T8628" s="261"/>
    </row>
    <row r="8629" spans="2:20" x14ac:dyDescent="0.2">
      <c r="B8629" s="245"/>
      <c r="C8629" s="248"/>
      <c r="D8629" s="249"/>
      <c r="E8629" s="249"/>
      <c r="T8629" s="261"/>
    </row>
    <row r="8630" spans="2:20" x14ac:dyDescent="0.2">
      <c r="B8630" s="245"/>
      <c r="C8630" s="248"/>
      <c r="D8630" s="249"/>
      <c r="E8630" s="249"/>
      <c r="T8630" s="261"/>
    </row>
    <row r="8631" spans="2:20" x14ac:dyDescent="0.2">
      <c r="B8631" s="245"/>
      <c r="C8631" s="248"/>
      <c r="D8631" s="249"/>
      <c r="E8631" s="249"/>
      <c r="T8631" s="261"/>
    </row>
    <row r="8632" spans="2:20" x14ac:dyDescent="0.2">
      <c r="B8632" s="245"/>
      <c r="C8632" s="248"/>
      <c r="D8632" s="249"/>
      <c r="E8632" s="249"/>
      <c r="T8632" s="261"/>
    </row>
    <row r="8633" spans="2:20" x14ac:dyDescent="0.2">
      <c r="B8633" s="245"/>
      <c r="C8633" s="248"/>
      <c r="D8633" s="249"/>
      <c r="E8633" s="249"/>
      <c r="T8633" s="261"/>
    </row>
    <row r="8634" spans="2:20" x14ac:dyDescent="0.2">
      <c r="B8634" s="245"/>
      <c r="C8634" s="248"/>
      <c r="D8634" s="249"/>
      <c r="E8634" s="249"/>
      <c r="T8634" s="261"/>
    </row>
    <row r="8635" spans="2:20" x14ac:dyDescent="0.2">
      <c r="B8635" s="245"/>
      <c r="C8635" s="248"/>
      <c r="D8635" s="249"/>
      <c r="E8635" s="249"/>
      <c r="T8635" s="261"/>
    </row>
    <row r="8636" spans="2:20" x14ac:dyDescent="0.2">
      <c r="B8636" s="245"/>
      <c r="C8636" s="248"/>
      <c r="D8636" s="249"/>
      <c r="E8636" s="249"/>
      <c r="T8636" s="261"/>
    </row>
    <row r="8637" spans="2:20" x14ac:dyDescent="0.2">
      <c r="B8637" s="245"/>
      <c r="C8637" s="248"/>
      <c r="D8637" s="249"/>
      <c r="E8637" s="249"/>
      <c r="T8637" s="261"/>
    </row>
    <row r="8638" spans="2:20" x14ac:dyDescent="0.2">
      <c r="B8638" s="245"/>
      <c r="C8638" s="248"/>
      <c r="D8638" s="249"/>
      <c r="E8638" s="249"/>
      <c r="T8638" s="261"/>
    </row>
    <row r="8639" spans="2:20" x14ac:dyDescent="0.2">
      <c r="B8639" s="245"/>
      <c r="C8639" s="248"/>
      <c r="D8639" s="249"/>
      <c r="E8639" s="249"/>
      <c r="T8639" s="261"/>
    </row>
    <row r="8640" spans="2:20" x14ac:dyDescent="0.2">
      <c r="B8640" s="245"/>
      <c r="C8640" s="248"/>
      <c r="D8640" s="249"/>
      <c r="E8640" s="249"/>
      <c r="T8640" s="261"/>
    </row>
    <row r="8641" spans="2:20" x14ac:dyDescent="0.2">
      <c r="B8641" s="245"/>
      <c r="C8641" s="248"/>
      <c r="D8641" s="249"/>
      <c r="E8641" s="249"/>
      <c r="T8641" s="261"/>
    </row>
    <row r="8642" spans="2:20" x14ac:dyDescent="0.2">
      <c r="B8642" s="245"/>
      <c r="C8642" s="248"/>
      <c r="D8642" s="249"/>
      <c r="E8642" s="249"/>
      <c r="T8642" s="261"/>
    </row>
    <row r="8643" spans="2:20" x14ac:dyDescent="0.2">
      <c r="B8643" s="245"/>
      <c r="C8643" s="248"/>
      <c r="D8643" s="249"/>
      <c r="E8643" s="249"/>
      <c r="T8643" s="261"/>
    </row>
    <row r="8644" spans="2:20" x14ac:dyDescent="0.2">
      <c r="B8644" s="245"/>
      <c r="C8644" s="248"/>
      <c r="D8644" s="249"/>
      <c r="E8644" s="249"/>
      <c r="T8644" s="261"/>
    </row>
    <row r="8645" spans="2:20" x14ac:dyDescent="0.2">
      <c r="B8645" s="245"/>
      <c r="C8645" s="248"/>
      <c r="D8645" s="249"/>
      <c r="E8645" s="249"/>
      <c r="T8645" s="261"/>
    </row>
    <row r="8646" spans="2:20" x14ac:dyDescent="0.2">
      <c r="B8646" s="245"/>
      <c r="C8646" s="248"/>
      <c r="D8646" s="249"/>
      <c r="E8646" s="249"/>
      <c r="T8646" s="261"/>
    </row>
    <row r="8647" spans="2:20" x14ac:dyDescent="0.2">
      <c r="B8647" s="245"/>
      <c r="C8647" s="248"/>
      <c r="D8647" s="249"/>
      <c r="E8647" s="249"/>
      <c r="T8647" s="261"/>
    </row>
    <row r="8648" spans="2:20" x14ac:dyDescent="0.2">
      <c r="B8648" s="245"/>
      <c r="C8648" s="248"/>
      <c r="D8648" s="249"/>
      <c r="E8648" s="249"/>
      <c r="T8648" s="261"/>
    </row>
    <row r="8649" spans="2:20" x14ac:dyDescent="0.2">
      <c r="B8649" s="245"/>
      <c r="C8649" s="248"/>
      <c r="D8649" s="249"/>
      <c r="E8649" s="249"/>
      <c r="T8649" s="261"/>
    </row>
    <row r="8650" spans="2:20" x14ac:dyDescent="0.2">
      <c r="B8650" s="245"/>
      <c r="C8650" s="248"/>
      <c r="D8650" s="249"/>
      <c r="E8650" s="249"/>
      <c r="T8650" s="261"/>
    </row>
    <row r="8651" spans="2:20" x14ac:dyDescent="0.2">
      <c r="B8651" s="245"/>
      <c r="C8651" s="248"/>
      <c r="D8651" s="249"/>
      <c r="E8651" s="249"/>
      <c r="T8651" s="261"/>
    </row>
    <row r="8652" spans="2:20" x14ac:dyDescent="0.2">
      <c r="B8652" s="245"/>
      <c r="C8652" s="248"/>
      <c r="D8652" s="249"/>
      <c r="E8652" s="249"/>
      <c r="T8652" s="261"/>
    </row>
    <row r="8653" spans="2:20" x14ac:dyDescent="0.2">
      <c r="B8653" s="245"/>
      <c r="C8653" s="248"/>
      <c r="D8653" s="249"/>
      <c r="E8653" s="249"/>
      <c r="T8653" s="261"/>
    </row>
    <row r="8654" spans="2:20" x14ac:dyDescent="0.2">
      <c r="B8654" s="245"/>
      <c r="C8654" s="248"/>
      <c r="D8654" s="249"/>
      <c r="E8654" s="249"/>
      <c r="T8654" s="261"/>
    </row>
    <row r="8655" spans="2:20" x14ac:dyDescent="0.2">
      <c r="B8655" s="245"/>
      <c r="C8655" s="248"/>
      <c r="D8655" s="249"/>
      <c r="E8655" s="249"/>
      <c r="T8655" s="261"/>
    </row>
    <row r="8656" spans="2:20" x14ac:dyDescent="0.2">
      <c r="B8656" s="245"/>
      <c r="C8656" s="248"/>
      <c r="D8656" s="249"/>
      <c r="E8656" s="249"/>
      <c r="T8656" s="261"/>
    </row>
    <row r="8657" spans="2:20" x14ac:dyDescent="0.2">
      <c r="B8657" s="245"/>
      <c r="C8657" s="248"/>
      <c r="D8657" s="249"/>
      <c r="E8657" s="249"/>
      <c r="T8657" s="261"/>
    </row>
    <row r="8658" spans="2:20" x14ac:dyDescent="0.2">
      <c r="B8658" s="245"/>
      <c r="C8658" s="248"/>
      <c r="D8658" s="249"/>
      <c r="E8658" s="249"/>
      <c r="T8658" s="261"/>
    </row>
    <row r="8659" spans="2:20" x14ac:dyDescent="0.2">
      <c r="B8659" s="245"/>
      <c r="C8659" s="248"/>
      <c r="D8659" s="249"/>
      <c r="E8659" s="249"/>
      <c r="T8659" s="261"/>
    </row>
    <row r="8660" spans="2:20" x14ac:dyDescent="0.2">
      <c r="B8660" s="245"/>
      <c r="C8660" s="248"/>
      <c r="D8660" s="249"/>
      <c r="E8660" s="249"/>
      <c r="T8660" s="261"/>
    </row>
    <row r="8661" spans="2:20" x14ac:dyDescent="0.2">
      <c r="B8661" s="245"/>
      <c r="C8661" s="248"/>
      <c r="D8661" s="249"/>
      <c r="E8661" s="249"/>
      <c r="T8661" s="261"/>
    </row>
    <row r="8662" spans="2:20" x14ac:dyDescent="0.2">
      <c r="B8662" s="245"/>
      <c r="C8662" s="248"/>
      <c r="D8662" s="249"/>
      <c r="E8662" s="249"/>
      <c r="T8662" s="261"/>
    </row>
    <row r="8663" spans="2:20" x14ac:dyDescent="0.2">
      <c r="B8663" s="245"/>
      <c r="C8663" s="248"/>
      <c r="D8663" s="249"/>
      <c r="E8663" s="249"/>
      <c r="T8663" s="261"/>
    </row>
    <row r="8664" spans="2:20" x14ac:dyDescent="0.2">
      <c r="B8664" s="245"/>
      <c r="C8664" s="248"/>
      <c r="D8664" s="249"/>
      <c r="E8664" s="249"/>
      <c r="T8664" s="261"/>
    </row>
    <row r="8665" spans="2:20" x14ac:dyDescent="0.2">
      <c r="B8665" s="245"/>
      <c r="C8665" s="248"/>
      <c r="D8665" s="249"/>
      <c r="E8665" s="249"/>
      <c r="T8665" s="261"/>
    </row>
    <row r="8666" spans="2:20" x14ac:dyDescent="0.2">
      <c r="B8666" s="245"/>
      <c r="C8666" s="248"/>
      <c r="D8666" s="249"/>
      <c r="E8666" s="249"/>
      <c r="T8666" s="261"/>
    </row>
    <row r="8667" spans="2:20" x14ac:dyDescent="0.2">
      <c r="B8667" s="245"/>
      <c r="C8667" s="248"/>
      <c r="D8667" s="249"/>
      <c r="E8667" s="249"/>
      <c r="T8667" s="261"/>
    </row>
    <row r="8668" spans="2:20" x14ac:dyDescent="0.2">
      <c r="B8668" s="245"/>
      <c r="C8668" s="248"/>
      <c r="D8668" s="249"/>
      <c r="E8668" s="249"/>
      <c r="T8668" s="261"/>
    </row>
    <row r="8669" spans="2:20" x14ac:dyDescent="0.2">
      <c r="B8669" s="245"/>
      <c r="C8669" s="248"/>
      <c r="D8669" s="249"/>
      <c r="E8669" s="249"/>
      <c r="T8669" s="261"/>
    </row>
    <row r="8670" spans="2:20" x14ac:dyDescent="0.2">
      <c r="B8670" s="245"/>
      <c r="C8670" s="248"/>
      <c r="D8670" s="249"/>
      <c r="E8670" s="249"/>
      <c r="T8670" s="261"/>
    </row>
    <row r="8671" spans="2:20" x14ac:dyDescent="0.2">
      <c r="B8671" s="245"/>
      <c r="C8671" s="248"/>
      <c r="D8671" s="249"/>
      <c r="E8671" s="249"/>
      <c r="T8671" s="261"/>
    </row>
    <row r="8672" spans="2:20" x14ac:dyDescent="0.2">
      <c r="B8672" s="245"/>
      <c r="C8672" s="248"/>
      <c r="D8672" s="249"/>
      <c r="E8672" s="249"/>
      <c r="T8672" s="261"/>
    </row>
    <row r="8673" spans="2:20" x14ac:dyDescent="0.2">
      <c r="B8673" s="245"/>
      <c r="C8673" s="248"/>
      <c r="D8673" s="249"/>
      <c r="E8673" s="249"/>
      <c r="T8673" s="261"/>
    </row>
    <row r="8674" spans="2:20" x14ac:dyDescent="0.2">
      <c r="B8674" s="245"/>
      <c r="C8674" s="248"/>
      <c r="D8674" s="249"/>
      <c r="E8674" s="249"/>
      <c r="T8674" s="261"/>
    </row>
    <row r="8675" spans="2:20" x14ac:dyDescent="0.2">
      <c r="B8675" s="245"/>
      <c r="C8675" s="248"/>
      <c r="D8675" s="249"/>
      <c r="E8675" s="249"/>
      <c r="T8675" s="261"/>
    </row>
    <row r="8676" spans="2:20" x14ac:dyDescent="0.2">
      <c r="B8676" s="245"/>
      <c r="C8676" s="248"/>
      <c r="D8676" s="249"/>
      <c r="E8676" s="249"/>
      <c r="T8676" s="261"/>
    </row>
    <row r="8677" spans="2:20" x14ac:dyDescent="0.2">
      <c r="B8677" s="245"/>
      <c r="C8677" s="248"/>
      <c r="D8677" s="249"/>
      <c r="E8677" s="249"/>
      <c r="T8677" s="261"/>
    </row>
    <row r="8678" spans="2:20" x14ac:dyDescent="0.2">
      <c r="B8678" s="245"/>
      <c r="C8678" s="248"/>
      <c r="D8678" s="249"/>
      <c r="E8678" s="249"/>
      <c r="T8678" s="261"/>
    </row>
    <row r="8679" spans="2:20" x14ac:dyDescent="0.2">
      <c r="B8679" s="245"/>
      <c r="C8679" s="248"/>
      <c r="D8679" s="249"/>
      <c r="E8679" s="249"/>
      <c r="T8679" s="261"/>
    </row>
    <row r="8680" spans="2:20" x14ac:dyDescent="0.2">
      <c r="B8680" s="245"/>
      <c r="C8680" s="248"/>
      <c r="D8680" s="249"/>
      <c r="E8680" s="249"/>
      <c r="T8680" s="261"/>
    </row>
    <row r="8681" spans="2:20" x14ac:dyDescent="0.2">
      <c r="B8681" s="245"/>
      <c r="C8681" s="248"/>
      <c r="D8681" s="249"/>
      <c r="E8681" s="249"/>
      <c r="T8681" s="261"/>
    </row>
    <row r="8682" spans="2:20" x14ac:dyDescent="0.2">
      <c r="B8682" s="245"/>
      <c r="C8682" s="248"/>
      <c r="D8682" s="249"/>
      <c r="E8682" s="249"/>
      <c r="T8682" s="261"/>
    </row>
    <row r="8683" spans="2:20" x14ac:dyDescent="0.2">
      <c r="B8683" s="245"/>
      <c r="C8683" s="248"/>
      <c r="D8683" s="249"/>
      <c r="E8683" s="249"/>
      <c r="T8683" s="261"/>
    </row>
    <row r="8684" spans="2:20" x14ac:dyDescent="0.2">
      <c r="B8684" s="245"/>
      <c r="C8684" s="248"/>
      <c r="D8684" s="249"/>
      <c r="E8684" s="249"/>
      <c r="T8684" s="261"/>
    </row>
    <row r="8685" spans="2:20" x14ac:dyDescent="0.2">
      <c r="B8685" s="245"/>
      <c r="C8685" s="248"/>
      <c r="D8685" s="249"/>
      <c r="E8685" s="249"/>
      <c r="T8685" s="261"/>
    </row>
    <row r="8686" spans="2:20" x14ac:dyDescent="0.2">
      <c r="B8686" s="245"/>
      <c r="C8686" s="248"/>
      <c r="D8686" s="249"/>
      <c r="E8686" s="249"/>
      <c r="T8686" s="261"/>
    </row>
    <row r="8687" spans="2:20" x14ac:dyDescent="0.2">
      <c r="B8687" s="245"/>
      <c r="C8687" s="248"/>
      <c r="D8687" s="249"/>
      <c r="E8687" s="249"/>
      <c r="T8687" s="261"/>
    </row>
    <row r="8688" spans="2:20" x14ac:dyDescent="0.2">
      <c r="B8688" s="245"/>
      <c r="C8688" s="248"/>
      <c r="D8688" s="249"/>
      <c r="E8688" s="249"/>
      <c r="T8688" s="261"/>
    </row>
    <row r="8689" spans="2:20" x14ac:dyDescent="0.2">
      <c r="B8689" s="245"/>
      <c r="C8689" s="248"/>
      <c r="D8689" s="249"/>
      <c r="E8689" s="249"/>
      <c r="T8689" s="261"/>
    </row>
    <row r="8690" spans="2:20" x14ac:dyDescent="0.2">
      <c r="B8690" s="245"/>
      <c r="C8690" s="248"/>
      <c r="D8690" s="249"/>
      <c r="E8690" s="249"/>
      <c r="T8690" s="261"/>
    </row>
    <row r="8691" spans="2:20" x14ac:dyDescent="0.2">
      <c r="B8691" s="245"/>
      <c r="C8691" s="248"/>
      <c r="D8691" s="249"/>
      <c r="E8691" s="249"/>
      <c r="T8691" s="261"/>
    </row>
    <row r="8692" spans="2:20" x14ac:dyDescent="0.2">
      <c r="B8692" s="245"/>
      <c r="C8692" s="248"/>
      <c r="D8692" s="249"/>
      <c r="E8692" s="249"/>
      <c r="T8692" s="261"/>
    </row>
    <row r="8693" spans="2:20" x14ac:dyDescent="0.2">
      <c r="B8693" s="245"/>
      <c r="C8693" s="248"/>
      <c r="D8693" s="249"/>
      <c r="E8693" s="249"/>
      <c r="T8693" s="261"/>
    </row>
    <row r="8694" spans="2:20" x14ac:dyDescent="0.2">
      <c r="B8694" s="245"/>
      <c r="C8694" s="248"/>
      <c r="D8694" s="249"/>
      <c r="E8694" s="249"/>
      <c r="T8694" s="261"/>
    </row>
    <row r="8695" spans="2:20" x14ac:dyDescent="0.2">
      <c r="B8695" s="245"/>
      <c r="C8695" s="248"/>
      <c r="D8695" s="249"/>
      <c r="E8695" s="249"/>
      <c r="T8695" s="261"/>
    </row>
    <row r="8696" spans="2:20" x14ac:dyDescent="0.2">
      <c r="B8696" s="245"/>
      <c r="C8696" s="248"/>
      <c r="D8696" s="249"/>
      <c r="E8696" s="249"/>
      <c r="T8696" s="261"/>
    </row>
    <row r="8697" spans="2:20" x14ac:dyDescent="0.2">
      <c r="B8697" s="245"/>
      <c r="C8697" s="248"/>
      <c r="D8697" s="249"/>
      <c r="E8697" s="249"/>
      <c r="T8697" s="261"/>
    </row>
    <row r="8698" spans="2:20" x14ac:dyDescent="0.2">
      <c r="B8698" s="245"/>
      <c r="C8698" s="248"/>
      <c r="D8698" s="249"/>
      <c r="E8698" s="249"/>
      <c r="T8698" s="261"/>
    </row>
    <row r="8699" spans="2:20" x14ac:dyDescent="0.2">
      <c r="B8699" s="245"/>
      <c r="C8699" s="248"/>
      <c r="D8699" s="249"/>
      <c r="E8699" s="249"/>
      <c r="T8699" s="261"/>
    </row>
    <row r="8700" spans="2:20" x14ac:dyDescent="0.2">
      <c r="B8700" s="245"/>
      <c r="C8700" s="248"/>
      <c r="D8700" s="249"/>
      <c r="E8700" s="249"/>
      <c r="T8700" s="261"/>
    </row>
    <row r="8701" spans="2:20" x14ac:dyDescent="0.2">
      <c r="B8701" s="245"/>
      <c r="C8701" s="248"/>
      <c r="D8701" s="249"/>
      <c r="E8701" s="249"/>
      <c r="T8701" s="261"/>
    </row>
    <row r="8702" spans="2:20" x14ac:dyDescent="0.2">
      <c r="B8702" s="245"/>
      <c r="C8702" s="248"/>
      <c r="D8702" s="249"/>
      <c r="E8702" s="249"/>
      <c r="T8702" s="261"/>
    </row>
    <row r="8703" spans="2:20" x14ac:dyDescent="0.2">
      <c r="B8703" s="245"/>
      <c r="C8703" s="248"/>
      <c r="D8703" s="249"/>
      <c r="E8703" s="249"/>
      <c r="T8703" s="261"/>
    </row>
    <row r="8704" spans="2:20" x14ac:dyDescent="0.2">
      <c r="B8704" s="245"/>
      <c r="C8704" s="248"/>
      <c r="D8704" s="249"/>
      <c r="E8704" s="249"/>
      <c r="T8704" s="261"/>
    </row>
    <row r="8705" spans="2:20" x14ac:dyDescent="0.2">
      <c r="B8705" s="245"/>
      <c r="C8705" s="248"/>
      <c r="D8705" s="249"/>
      <c r="E8705" s="249"/>
      <c r="T8705" s="261"/>
    </row>
    <row r="8706" spans="2:20" x14ac:dyDescent="0.2">
      <c r="B8706" s="245"/>
      <c r="C8706" s="248"/>
      <c r="D8706" s="249"/>
      <c r="E8706" s="249"/>
      <c r="T8706" s="261"/>
    </row>
    <row r="8707" spans="2:20" x14ac:dyDescent="0.2">
      <c r="B8707" s="245"/>
      <c r="C8707" s="248"/>
      <c r="D8707" s="249"/>
      <c r="E8707" s="249"/>
      <c r="T8707" s="261"/>
    </row>
    <row r="8708" spans="2:20" x14ac:dyDescent="0.2">
      <c r="B8708" s="245"/>
      <c r="C8708" s="248"/>
      <c r="D8708" s="249"/>
      <c r="E8708" s="249"/>
      <c r="T8708" s="261"/>
    </row>
    <row r="8709" spans="2:20" x14ac:dyDescent="0.2">
      <c r="B8709" s="245"/>
      <c r="C8709" s="248"/>
      <c r="D8709" s="249"/>
      <c r="E8709" s="249"/>
      <c r="T8709" s="261"/>
    </row>
    <row r="8710" spans="2:20" x14ac:dyDescent="0.2">
      <c r="B8710" s="245"/>
      <c r="C8710" s="248"/>
      <c r="D8710" s="249"/>
      <c r="E8710" s="249"/>
      <c r="T8710" s="261"/>
    </row>
    <row r="8711" spans="2:20" x14ac:dyDescent="0.2">
      <c r="B8711" s="245"/>
      <c r="C8711" s="248"/>
      <c r="D8711" s="249"/>
      <c r="E8711" s="249"/>
      <c r="T8711" s="261"/>
    </row>
    <row r="8712" spans="2:20" x14ac:dyDescent="0.2">
      <c r="B8712" s="245"/>
      <c r="C8712" s="248"/>
      <c r="D8712" s="249"/>
      <c r="E8712" s="249"/>
      <c r="T8712" s="261"/>
    </row>
    <row r="8713" spans="2:20" x14ac:dyDescent="0.2">
      <c r="B8713" s="245"/>
      <c r="C8713" s="248"/>
      <c r="D8713" s="249"/>
      <c r="E8713" s="249"/>
      <c r="T8713" s="261"/>
    </row>
    <row r="8714" spans="2:20" x14ac:dyDescent="0.2">
      <c r="B8714" s="245"/>
      <c r="C8714" s="248"/>
      <c r="D8714" s="249"/>
      <c r="E8714" s="249"/>
      <c r="T8714" s="261"/>
    </row>
    <row r="8715" spans="2:20" x14ac:dyDescent="0.2">
      <c r="B8715" s="245"/>
      <c r="C8715" s="248"/>
      <c r="D8715" s="249"/>
      <c r="E8715" s="249"/>
      <c r="T8715" s="261"/>
    </row>
    <row r="8716" spans="2:20" x14ac:dyDescent="0.2">
      <c r="B8716" s="245"/>
      <c r="C8716" s="248"/>
      <c r="D8716" s="249"/>
      <c r="E8716" s="249"/>
      <c r="T8716" s="261"/>
    </row>
    <row r="8717" spans="2:20" x14ac:dyDescent="0.2">
      <c r="B8717" s="245"/>
      <c r="C8717" s="248"/>
      <c r="D8717" s="249"/>
      <c r="E8717" s="249"/>
      <c r="T8717" s="261"/>
    </row>
    <row r="8718" spans="2:20" x14ac:dyDescent="0.2">
      <c r="B8718" s="245"/>
      <c r="C8718" s="248"/>
      <c r="D8718" s="249"/>
      <c r="E8718" s="249"/>
      <c r="T8718" s="261"/>
    </row>
    <row r="8719" spans="2:20" x14ac:dyDescent="0.2">
      <c r="B8719" s="245"/>
      <c r="C8719" s="248"/>
      <c r="D8719" s="249"/>
      <c r="E8719" s="249"/>
      <c r="T8719" s="261"/>
    </row>
    <row r="8720" spans="2:20" x14ac:dyDescent="0.2">
      <c r="B8720" s="245"/>
      <c r="C8720" s="248"/>
      <c r="D8720" s="249"/>
      <c r="E8720" s="249"/>
      <c r="T8720" s="261"/>
    </row>
    <row r="8721" spans="2:20" x14ac:dyDescent="0.2">
      <c r="B8721" s="245"/>
      <c r="C8721" s="248"/>
      <c r="D8721" s="249"/>
      <c r="E8721" s="249"/>
      <c r="T8721" s="261"/>
    </row>
    <row r="8722" spans="2:20" x14ac:dyDescent="0.2">
      <c r="B8722" s="245"/>
      <c r="C8722" s="248"/>
      <c r="D8722" s="249"/>
      <c r="E8722" s="249"/>
      <c r="T8722" s="261"/>
    </row>
    <row r="8723" spans="2:20" x14ac:dyDescent="0.2">
      <c r="B8723" s="245"/>
      <c r="C8723" s="248"/>
      <c r="D8723" s="249"/>
      <c r="E8723" s="249"/>
      <c r="T8723" s="261"/>
    </row>
    <row r="8724" spans="2:20" x14ac:dyDescent="0.2">
      <c r="B8724" s="245"/>
      <c r="C8724" s="248"/>
      <c r="D8724" s="249"/>
      <c r="E8724" s="249"/>
      <c r="T8724" s="261"/>
    </row>
    <row r="8725" spans="2:20" x14ac:dyDescent="0.2">
      <c r="B8725" s="245"/>
      <c r="C8725" s="248"/>
      <c r="D8725" s="249"/>
      <c r="E8725" s="249"/>
      <c r="T8725" s="261"/>
    </row>
    <row r="8726" spans="2:20" x14ac:dyDescent="0.2">
      <c r="B8726" s="245"/>
      <c r="C8726" s="248"/>
      <c r="D8726" s="249"/>
      <c r="E8726" s="249"/>
      <c r="T8726" s="261"/>
    </row>
    <row r="8727" spans="2:20" x14ac:dyDescent="0.2">
      <c r="B8727" s="245"/>
      <c r="C8727" s="248"/>
      <c r="D8727" s="249"/>
      <c r="E8727" s="249"/>
      <c r="T8727" s="261"/>
    </row>
    <row r="8728" spans="2:20" x14ac:dyDescent="0.2">
      <c r="B8728" s="245"/>
      <c r="C8728" s="248"/>
      <c r="D8728" s="249"/>
      <c r="E8728" s="249"/>
      <c r="T8728" s="261"/>
    </row>
    <row r="8729" spans="2:20" x14ac:dyDescent="0.2">
      <c r="B8729" s="245"/>
      <c r="C8729" s="248"/>
      <c r="D8729" s="249"/>
      <c r="E8729" s="249"/>
      <c r="T8729" s="261"/>
    </row>
    <row r="8730" spans="2:20" x14ac:dyDescent="0.2">
      <c r="B8730" s="245"/>
      <c r="C8730" s="248"/>
      <c r="D8730" s="249"/>
      <c r="E8730" s="249"/>
      <c r="T8730" s="261"/>
    </row>
    <row r="8731" spans="2:20" x14ac:dyDescent="0.2">
      <c r="B8731" s="245"/>
      <c r="C8731" s="248"/>
      <c r="D8731" s="249"/>
      <c r="E8731" s="249"/>
      <c r="T8731" s="261"/>
    </row>
    <row r="8732" spans="2:20" x14ac:dyDescent="0.2">
      <c r="B8732" s="245"/>
      <c r="C8732" s="248"/>
      <c r="D8732" s="249"/>
      <c r="E8732" s="249"/>
      <c r="T8732" s="261"/>
    </row>
    <row r="8733" spans="2:20" x14ac:dyDescent="0.2">
      <c r="B8733" s="245"/>
      <c r="C8733" s="248"/>
      <c r="D8733" s="249"/>
      <c r="E8733" s="249"/>
      <c r="T8733" s="261"/>
    </row>
    <row r="8734" spans="2:20" x14ac:dyDescent="0.2">
      <c r="B8734" s="245"/>
      <c r="C8734" s="248"/>
      <c r="D8734" s="249"/>
      <c r="E8734" s="249"/>
      <c r="T8734" s="261"/>
    </row>
    <row r="8735" spans="2:20" x14ac:dyDescent="0.2">
      <c r="B8735" s="245"/>
      <c r="C8735" s="248"/>
      <c r="D8735" s="249"/>
      <c r="E8735" s="249"/>
      <c r="T8735" s="261"/>
    </row>
    <row r="8736" spans="2:20" x14ac:dyDescent="0.2">
      <c r="B8736" s="245"/>
      <c r="C8736" s="248"/>
      <c r="D8736" s="249"/>
      <c r="E8736" s="249"/>
      <c r="T8736" s="261"/>
    </row>
    <row r="8737" spans="2:20" x14ac:dyDescent="0.2">
      <c r="B8737" s="245"/>
      <c r="C8737" s="248"/>
      <c r="D8737" s="249"/>
      <c r="E8737" s="249"/>
      <c r="T8737" s="261"/>
    </row>
    <row r="8738" spans="2:20" x14ac:dyDescent="0.2">
      <c r="B8738" s="245"/>
      <c r="C8738" s="248"/>
      <c r="D8738" s="249"/>
      <c r="E8738" s="249"/>
      <c r="T8738" s="261"/>
    </row>
    <row r="8739" spans="2:20" x14ac:dyDescent="0.2">
      <c r="B8739" s="245"/>
      <c r="C8739" s="248"/>
      <c r="D8739" s="249"/>
      <c r="E8739" s="249"/>
      <c r="T8739" s="261"/>
    </row>
    <row r="8740" spans="2:20" x14ac:dyDescent="0.2">
      <c r="B8740" s="245"/>
      <c r="C8740" s="248"/>
      <c r="D8740" s="249"/>
      <c r="E8740" s="249"/>
      <c r="T8740" s="261"/>
    </row>
    <row r="8741" spans="2:20" x14ac:dyDescent="0.2">
      <c r="B8741" s="245"/>
      <c r="C8741" s="248"/>
      <c r="D8741" s="249"/>
      <c r="E8741" s="249"/>
      <c r="T8741" s="261"/>
    </row>
    <row r="8742" spans="2:20" x14ac:dyDescent="0.2">
      <c r="B8742" s="245"/>
      <c r="C8742" s="248"/>
      <c r="D8742" s="249"/>
      <c r="E8742" s="249"/>
      <c r="T8742" s="261"/>
    </row>
    <row r="8743" spans="2:20" x14ac:dyDescent="0.2">
      <c r="B8743" s="245"/>
      <c r="C8743" s="248"/>
      <c r="D8743" s="249"/>
      <c r="E8743" s="249"/>
      <c r="T8743" s="261"/>
    </row>
    <row r="8744" spans="2:20" x14ac:dyDescent="0.2">
      <c r="B8744" s="245"/>
      <c r="C8744" s="248"/>
      <c r="D8744" s="249"/>
      <c r="E8744" s="249"/>
      <c r="T8744" s="261"/>
    </row>
    <row r="8745" spans="2:20" x14ac:dyDescent="0.2">
      <c r="B8745" s="245"/>
      <c r="C8745" s="248"/>
      <c r="D8745" s="249"/>
      <c r="E8745" s="249"/>
      <c r="T8745" s="261"/>
    </row>
    <row r="8746" spans="2:20" x14ac:dyDescent="0.2">
      <c r="B8746" s="245"/>
      <c r="C8746" s="248"/>
      <c r="D8746" s="249"/>
      <c r="E8746" s="249"/>
      <c r="T8746" s="261"/>
    </row>
    <row r="8747" spans="2:20" x14ac:dyDescent="0.2">
      <c r="B8747" s="245"/>
      <c r="C8747" s="248"/>
      <c r="D8747" s="249"/>
      <c r="E8747" s="249"/>
      <c r="T8747" s="261"/>
    </row>
    <row r="8748" spans="2:20" x14ac:dyDescent="0.2">
      <c r="B8748" s="245"/>
      <c r="C8748" s="248"/>
      <c r="D8748" s="249"/>
      <c r="E8748" s="249"/>
      <c r="T8748" s="261"/>
    </row>
    <row r="8749" spans="2:20" x14ac:dyDescent="0.2">
      <c r="B8749" s="245"/>
      <c r="C8749" s="248"/>
      <c r="D8749" s="249"/>
      <c r="E8749" s="249"/>
      <c r="T8749" s="261"/>
    </row>
    <row r="8750" spans="2:20" x14ac:dyDescent="0.2">
      <c r="B8750" s="245"/>
      <c r="C8750" s="248"/>
      <c r="D8750" s="249"/>
      <c r="E8750" s="249"/>
      <c r="T8750" s="261"/>
    </row>
    <row r="8751" spans="2:20" x14ac:dyDescent="0.2">
      <c r="B8751" s="245"/>
      <c r="C8751" s="248"/>
      <c r="D8751" s="249"/>
      <c r="E8751" s="249"/>
      <c r="T8751" s="261"/>
    </row>
    <row r="8752" spans="2:20" x14ac:dyDescent="0.2">
      <c r="B8752" s="245"/>
      <c r="C8752" s="248"/>
      <c r="D8752" s="249"/>
      <c r="E8752" s="249"/>
      <c r="T8752" s="261"/>
    </row>
    <row r="8753" spans="2:20" x14ac:dyDescent="0.2">
      <c r="B8753" s="245"/>
      <c r="C8753" s="248"/>
      <c r="D8753" s="249"/>
      <c r="E8753" s="249"/>
      <c r="T8753" s="261"/>
    </row>
    <row r="8754" spans="2:20" x14ac:dyDescent="0.2">
      <c r="B8754" s="245"/>
      <c r="C8754" s="248"/>
      <c r="D8754" s="249"/>
      <c r="E8754" s="249"/>
      <c r="T8754" s="261"/>
    </row>
    <row r="8755" spans="2:20" x14ac:dyDescent="0.2">
      <c r="B8755" s="245"/>
      <c r="C8755" s="248"/>
      <c r="D8755" s="249"/>
      <c r="E8755" s="249"/>
      <c r="T8755" s="261"/>
    </row>
    <row r="8756" spans="2:20" x14ac:dyDescent="0.2">
      <c r="B8756" s="245"/>
      <c r="C8756" s="248"/>
      <c r="D8756" s="249"/>
      <c r="E8756" s="249"/>
      <c r="T8756" s="261"/>
    </row>
    <row r="8757" spans="2:20" x14ac:dyDescent="0.2">
      <c r="B8757" s="245"/>
      <c r="C8757" s="248"/>
      <c r="D8757" s="249"/>
      <c r="E8757" s="249"/>
      <c r="T8757" s="261"/>
    </row>
    <row r="8758" spans="2:20" x14ac:dyDescent="0.2">
      <c r="B8758" s="245"/>
      <c r="C8758" s="248"/>
      <c r="D8758" s="249"/>
      <c r="E8758" s="249"/>
      <c r="T8758" s="261"/>
    </row>
    <row r="8759" spans="2:20" x14ac:dyDescent="0.2">
      <c r="B8759" s="245"/>
      <c r="C8759" s="248"/>
      <c r="D8759" s="249"/>
      <c r="E8759" s="249"/>
      <c r="T8759" s="261"/>
    </row>
    <row r="8760" spans="2:20" x14ac:dyDescent="0.2">
      <c r="B8760" s="245"/>
      <c r="C8760" s="248"/>
      <c r="D8760" s="249"/>
      <c r="E8760" s="249"/>
      <c r="T8760" s="261"/>
    </row>
    <row r="8761" spans="2:20" x14ac:dyDescent="0.2">
      <c r="B8761" s="245"/>
      <c r="C8761" s="248"/>
      <c r="D8761" s="249"/>
      <c r="E8761" s="249"/>
      <c r="T8761" s="261"/>
    </row>
    <row r="8762" spans="2:20" x14ac:dyDescent="0.2">
      <c r="B8762" s="245"/>
      <c r="C8762" s="248"/>
      <c r="D8762" s="249"/>
      <c r="E8762" s="249"/>
      <c r="T8762" s="261"/>
    </row>
    <row r="8763" spans="2:20" x14ac:dyDescent="0.2">
      <c r="B8763" s="245"/>
      <c r="C8763" s="248"/>
      <c r="D8763" s="249"/>
      <c r="E8763" s="249"/>
      <c r="T8763" s="261"/>
    </row>
    <row r="8764" spans="2:20" x14ac:dyDescent="0.2">
      <c r="B8764" s="245"/>
      <c r="C8764" s="248"/>
      <c r="D8764" s="249"/>
      <c r="E8764" s="249"/>
      <c r="T8764" s="261"/>
    </row>
    <row r="8765" spans="2:20" x14ac:dyDescent="0.2">
      <c r="B8765" s="245"/>
      <c r="C8765" s="248"/>
      <c r="D8765" s="249"/>
      <c r="E8765" s="249"/>
      <c r="T8765" s="261"/>
    </row>
    <row r="8766" spans="2:20" x14ac:dyDescent="0.2">
      <c r="B8766" s="245"/>
      <c r="C8766" s="248"/>
      <c r="D8766" s="249"/>
      <c r="E8766" s="249"/>
      <c r="T8766" s="261"/>
    </row>
    <row r="8767" spans="2:20" x14ac:dyDescent="0.2">
      <c r="B8767" s="245"/>
      <c r="C8767" s="248"/>
      <c r="D8767" s="249"/>
      <c r="E8767" s="249"/>
      <c r="T8767" s="261"/>
    </row>
    <row r="8768" spans="2:20" x14ac:dyDescent="0.2">
      <c r="B8768" s="245"/>
      <c r="C8768" s="248"/>
      <c r="D8768" s="249"/>
      <c r="E8768" s="249"/>
      <c r="T8768" s="261"/>
    </row>
    <row r="8769" spans="2:20" x14ac:dyDescent="0.2">
      <c r="B8769" s="245"/>
      <c r="C8769" s="248"/>
      <c r="D8769" s="249"/>
      <c r="E8769" s="249"/>
      <c r="T8769" s="261"/>
    </row>
    <row r="8770" spans="2:20" x14ac:dyDescent="0.2">
      <c r="B8770" s="245"/>
      <c r="C8770" s="248"/>
      <c r="D8770" s="249"/>
      <c r="E8770" s="249"/>
      <c r="T8770" s="261"/>
    </row>
    <row r="8771" spans="2:20" x14ac:dyDescent="0.2">
      <c r="B8771" s="245"/>
      <c r="C8771" s="248"/>
      <c r="D8771" s="249"/>
      <c r="E8771" s="249"/>
      <c r="T8771" s="261"/>
    </row>
    <row r="8772" spans="2:20" x14ac:dyDescent="0.2">
      <c r="B8772" s="245"/>
      <c r="C8772" s="248"/>
      <c r="D8772" s="249"/>
      <c r="E8772" s="249"/>
      <c r="T8772" s="261"/>
    </row>
    <row r="8773" spans="2:20" x14ac:dyDescent="0.2">
      <c r="B8773" s="245"/>
      <c r="C8773" s="248"/>
      <c r="D8773" s="249"/>
      <c r="E8773" s="249"/>
      <c r="T8773" s="261"/>
    </row>
    <row r="8774" spans="2:20" x14ac:dyDescent="0.2">
      <c r="B8774" s="245"/>
      <c r="C8774" s="248"/>
      <c r="D8774" s="249"/>
      <c r="E8774" s="249"/>
      <c r="T8774" s="261"/>
    </row>
    <row r="8775" spans="2:20" x14ac:dyDescent="0.2">
      <c r="B8775" s="245"/>
      <c r="C8775" s="248"/>
      <c r="D8775" s="249"/>
      <c r="E8775" s="249"/>
      <c r="T8775" s="261"/>
    </row>
    <row r="8776" spans="2:20" x14ac:dyDescent="0.2">
      <c r="B8776" s="245"/>
      <c r="C8776" s="248"/>
      <c r="D8776" s="249"/>
      <c r="E8776" s="249"/>
      <c r="T8776" s="261"/>
    </row>
    <row r="8777" spans="2:20" x14ac:dyDescent="0.2">
      <c r="B8777" s="245"/>
      <c r="C8777" s="248"/>
      <c r="D8777" s="249"/>
      <c r="E8777" s="249"/>
      <c r="T8777" s="261"/>
    </row>
    <row r="8778" spans="2:20" x14ac:dyDescent="0.2">
      <c r="B8778" s="245"/>
      <c r="C8778" s="248"/>
      <c r="D8778" s="249"/>
      <c r="E8778" s="249"/>
      <c r="T8778" s="261"/>
    </row>
    <row r="8779" spans="2:20" x14ac:dyDescent="0.2">
      <c r="B8779" s="245"/>
      <c r="C8779" s="248"/>
      <c r="D8779" s="249"/>
      <c r="E8779" s="249"/>
      <c r="T8779" s="261"/>
    </row>
    <row r="8780" spans="2:20" x14ac:dyDescent="0.2">
      <c r="B8780" s="245"/>
      <c r="C8780" s="248"/>
      <c r="D8780" s="249"/>
      <c r="E8780" s="249"/>
      <c r="T8780" s="261"/>
    </row>
    <row r="8781" spans="2:20" x14ac:dyDescent="0.2">
      <c r="B8781" s="245"/>
      <c r="C8781" s="248"/>
      <c r="D8781" s="249"/>
      <c r="E8781" s="249"/>
      <c r="T8781" s="261"/>
    </row>
    <row r="8782" spans="2:20" x14ac:dyDescent="0.2">
      <c r="B8782" s="245"/>
      <c r="C8782" s="248"/>
      <c r="D8782" s="249"/>
      <c r="E8782" s="249"/>
      <c r="T8782" s="261"/>
    </row>
    <row r="8783" spans="2:20" x14ac:dyDescent="0.2">
      <c r="B8783" s="245"/>
      <c r="C8783" s="248"/>
      <c r="D8783" s="249"/>
      <c r="E8783" s="249"/>
      <c r="T8783" s="261"/>
    </row>
    <row r="8784" spans="2:20" x14ac:dyDescent="0.2">
      <c r="B8784" s="245"/>
      <c r="C8784" s="248"/>
      <c r="D8784" s="249"/>
      <c r="E8784" s="249"/>
      <c r="T8784" s="261"/>
    </row>
    <row r="8785" spans="2:20" x14ac:dyDescent="0.2">
      <c r="B8785" s="245"/>
      <c r="C8785" s="248"/>
      <c r="D8785" s="249"/>
      <c r="E8785" s="249"/>
      <c r="T8785" s="261"/>
    </row>
    <row r="8786" spans="2:20" x14ac:dyDescent="0.2">
      <c r="B8786" s="245"/>
      <c r="C8786" s="248"/>
      <c r="D8786" s="249"/>
      <c r="E8786" s="249"/>
      <c r="T8786" s="261"/>
    </row>
    <row r="8787" spans="2:20" x14ac:dyDescent="0.2">
      <c r="B8787" s="245"/>
      <c r="C8787" s="248"/>
      <c r="D8787" s="249"/>
      <c r="E8787" s="249"/>
      <c r="T8787" s="261"/>
    </row>
    <row r="8788" spans="2:20" x14ac:dyDescent="0.2">
      <c r="B8788" s="245"/>
      <c r="C8788" s="248"/>
      <c r="D8788" s="249"/>
      <c r="E8788" s="249"/>
      <c r="T8788" s="261"/>
    </row>
    <row r="8789" spans="2:20" x14ac:dyDescent="0.2">
      <c r="B8789" s="245"/>
      <c r="C8789" s="248"/>
      <c r="D8789" s="249"/>
      <c r="E8789" s="249"/>
      <c r="T8789" s="261"/>
    </row>
    <row r="8790" spans="2:20" x14ac:dyDescent="0.2">
      <c r="B8790" s="245"/>
      <c r="C8790" s="248"/>
      <c r="D8790" s="249"/>
      <c r="E8790" s="249"/>
      <c r="T8790" s="261"/>
    </row>
    <row r="8791" spans="2:20" x14ac:dyDescent="0.2">
      <c r="B8791" s="245"/>
      <c r="C8791" s="248"/>
      <c r="D8791" s="249"/>
      <c r="E8791" s="249"/>
      <c r="T8791" s="261"/>
    </row>
    <row r="8792" spans="2:20" x14ac:dyDescent="0.2">
      <c r="B8792" s="245"/>
      <c r="C8792" s="248"/>
      <c r="D8792" s="249"/>
      <c r="E8792" s="249"/>
      <c r="T8792" s="261"/>
    </row>
    <row r="8793" spans="2:20" x14ac:dyDescent="0.2">
      <c r="B8793" s="245"/>
      <c r="C8793" s="248"/>
      <c r="D8793" s="249"/>
      <c r="E8793" s="249"/>
      <c r="T8793" s="261"/>
    </row>
    <row r="8794" spans="2:20" x14ac:dyDescent="0.2">
      <c r="B8794" s="245"/>
      <c r="C8794" s="248"/>
      <c r="D8794" s="249"/>
      <c r="E8794" s="249"/>
      <c r="T8794" s="261"/>
    </row>
    <row r="8795" spans="2:20" x14ac:dyDescent="0.2">
      <c r="B8795" s="245"/>
      <c r="C8795" s="248"/>
      <c r="D8795" s="249"/>
      <c r="E8795" s="249"/>
      <c r="T8795" s="261"/>
    </row>
    <row r="8796" spans="2:20" x14ac:dyDescent="0.2">
      <c r="B8796" s="245"/>
      <c r="C8796" s="248"/>
      <c r="D8796" s="249"/>
      <c r="E8796" s="249"/>
      <c r="T8796" s="261"/>
    </row>
    <row r="8797" spans="2:20" x14ac:dyDescent="0.2">
      <c r="B8797" s="245"/>
      <c r="C8797" s="248"/>
      <c r="D8797" s="249"/>
      <c r="E8797" s="249"/>
      <c r="T8797" s="261"/>
    </row>
    <row r="8798" spans="2:20" x14ac:dyDescent="0.2">
      <c r="B8798" s="245"/>
      <c r="C8798" s="248"/>
      <c r="D8798" s="249"/>
      <c r="E8798" s="249"/>
      <c r="T8798" s="261"/>
    </row>
    <row r="8799" spans="2:20" x14ac:dyDescent="0.2">
      <c r="B8799" s="245"/>
      <c r="C8799" s="248"/>
      <c r="D8799" s="249"/>
      <c r="E8799" s="249"/>
      <c r="T8799" s="261"/>
    </row>
    <row r="8800" spans="2:20" x14ac:dyDescent="0.2">
      <c r="B8800" s="245"/>
      <c r="C8800" s="248"/>
      <c r="D8800" s="249"/>
      <c r="E8800" s="249"/>
      <c r="T8800" s="261"/>
    </row>
    <row r="8801" spans="2:20" x14ac:dyDescent="0.2">
      <c r="B8801" s="245"/>
      <c r="C8801" s="248"/>
      <c r="D8801" s="249"/>
      <c r="E8801" s="249"/>
      <c r="T8801" s="261"/>
    </row>
    <row r="8802" spans="2:20" x14ac:dyDescent="0.2">
      <c r="B8802" s="245"/>
      <c r="C8802" s="248"/>
      <c r="D8802" s="249"/>
      <c r="E8802" s="249"/>
      <c r="T8802" s="261"/>
    </row>
    <row r="8803" spans="2:20" x14ac:dyDescent="0.2">
      <c r="B8803" s="245"/>
      <c r="C8803" s="248"/>
      <c r="D8803" s="249"/>
      <c r="E8803" s="249"/>
      <c r="T8803" s="261"/>
    </row>
    <row r="8804" spans="2:20" x14ac:dyDescent="0.2">
      <c r="B8804" s="245"/>
      <c r="C8804" s="248"/>
      <c r="D8804" s="249"/>
      <c r="E8804" s="249"/>
      <c r="T8804" s="261"/>
    </row>
    <row r="8805" spans="2:20" x14ac:dyDescent="0.2">
      <c r="B8805" s="245"/>
      <c r="C8805" s="248"/>
      <c r="D8805" s="249"/>
      <c r="E8805" s="249"/>
      <c r="T8805" s="261"/>
    </row>
    <row r="8806" spans="2:20" x14ac:dyDescent="0.2">
      <c r="B8806" s="245"/>
      <c r="C8806" s="248"/>
      <c r="D8806" s="249"/>
      <c r="E8806" s="249"/>
      <c r="T8806" s="261"/>
    </row>
    <row r="8807" spans="2:20" x14ac:dyDescent="0.2">
      <c r="B8807" s="245"/>
      <c r="C8807" s="248"/>
      <c r="D8807" s="249"/>
      <c r="E8807" s="249"/>
      <c r="T8807" s="261"/>
    </row>
    <row r="8808" spans="2:20" x14ac:dyDescent="0.2">
      <c r="B8808" s="245"/>
      <c r="C8808" s="248"/>
      <c r="D8808" s="249"/>
      <c r="E8808" s="249"/>
      <c r="T8808" s="261"/>
    </row>
    <row r="8809" spans="2:20" x14ac:dyDescent="0.2">
      <c r="B8809" s="245"/>
      <c r="C8809" s="248"/>
      <c r="D8809" s="249"/>
      <c r="E8809" s="249"/>
      <c r="T8809" s="261"/>
    </row>
    <row r="8810" spans="2:20" x14ac:dyDescent="0.2">
      <c r="B8810" s="245"/>
      <c r="C8810" s="248"/>
      <c r="D8810" s="249"/>
      <c r="E8810" s="249"/>
      <c r="T8810" s="261"/>
    </row>
    <row r="8811" spans="2:20" x14ac:dyDescent="0.2">
      <c r="B8811" s="245"/>
      <c r="C8811" s="248"/>
      <c r="D8811" s="249"/>
      <c r="E8811" s="249"/>
      <c r="T8811" s="261"/>
    </row>
    <row r="8812" spans="2:20" x14ac:dyDescent="0.2">
      <c r="B8812" s="245"/>
      <c r="C8812" s="248"/>
      <c r="D8812" s="249"/>
      <c r="E8812" s="249"/>
      <c r="T8812" s="261"/>
    </row>
    <row r="8813" spans="2:20" x14ac:dyDescent="0.2">
      <c r="B8813" s="245"/>
      <c r="C8813" s="248"/>
      <c r="D8813" s="249"/>
      <c r="E8813" s="249"/>
      <c r="T8813" s="261"/>
    </row>
    <row r="8814" spans="2:20" x14ac:dyDescent="0.2">
      <c r="B8814" s="245"/>
      <c r="C8814" s="248"/>
      <c r="D8814" s="249"/>
      <c r="E8814" s="249"/>
      <c r="T8814" s="261"/>
    </row>
    <row r="8815" spans="2:20" x14ac:dyDescent="0.2">
      <c r="B8815" s="245"/>
      <c r="C8815" s="248"/>
      <c r="D8815" s="249"/>
      <c r="E8815" s="249"/>
      <c r="T8815" s="261"/>
    </row>
    <row r="8816" spans="2:20" x14ac:dyDescent="0.2">
      <c r="B8816" s="245"/>
      <c r="C8816" s="248"/>
      <c r="D8816" s="249"/>
      <c r="E8816" s="249"/>
      <c r="T8816" s="261"/>
    </row>
    <row r="8817" spans="2:20" x14ac:dyDescent="0.2">
      <c r="B8817" s="245"/>
      <c r="C8817" s="248"/>
      <c r="D8817" s="249"/>
      <c r="E8817" s="249"/>
      <c r="T8817" s="261"/>
    </row>
    <row r="8818" spans="2:20" x14ac:dyDescent="0.2">
      <c r="B8818" s="245"/>
      <c r="C8818" s="248"/>
      <c r="D8818" s="249"/>
      <c r="E8818" s="249"/>
      <c r="T8818" s="261"/>
    </row>
    <row r="8819" spans="2:20" x14ac:dyDescent="0.2">
      <c r="B8819" s="245"/>
      <c r="C8819" s="248"/>
      <c r="D8819" s="249"/>
      <c r="E8819" s="249"/>
      <c r="T8819" s="261"/>
    </row>
    <row r="8820" spans="2:20" x14ac:dyDescent="0.2">
      <c r="B8820" s="245"/>
      <c r="C8820" s="248"/>
      <c r="D8820" s="249"/>
      <c r="E8820" s="249"/>
      <c r="T8820" s="261"/>
    </row>
    <row r="8821" spans="2:20" x14ac:dyDescent="0.2">
      <c r="B8821" s="245"/>
      <c r="C8821" s="248"/>
      <c r="D8821" s="249"/>
      <c r="E8821" s="249"/>
      <c r="T8821" s="261"/>
    </row>
    <row r="8822" spans="2:20" x14ac:dyDescent="0.2">
      <c r="B8822" s="245"/>
      <c r="C8822" s="248"/>
      <c r="D8822" s="249"/>
      <c r="E8822" s="249"/>
      <c r="T8822" s="261"/>
    </row>
    <row r="8823" spans="2:20" x14ac:dyDescent="0.2">
      <c r="B8823" s="245"/>
      <c r="C8823" s="248"/>
      <c r="D8823" s="249"/>
      <c r="E8823" s="249"/>
      <c r="T8823" s="261"/>
    </row>
    <row r="8824" spans="2:20" x14ac:dyDescent="0.2">
      <c r="B8824" s="245"/>
      <c r="C8824" s="248"/>
      <c r="D8824" s="249"/>
      <c r="E8824" s="249"/>
      <c r="T8824" s="261"/>
    </row>
    <row r="8825" spans="2:20" x14ac:dyDescent="0.2">
      <c r="B8825" s="245"/>
      <c r="C8825" s="248"/>
      <c r="D8825" s="249"/>
      <c r="E8825" s="249"/>
      <c r="T8825" s="261"/>
    </row>
    <row r="8826" spans="2:20" x14ac:dyDescent="0.2">
      <c r="B8826" s="245"/>
      <c r="C8826" s="248"/>
      <c r="D8826" s="249"/>
      <c r="E8826" s="249"/>
      <c r="T8826" s="261"/>
    </row>
    <row r="8827" spans="2:20" x14ac:dyDescent="0.2">
      <c r="B8827" s="245"/>
      <c r="C8827" s="248"/>
      <c r="D8827" s="249"/>
      <c r="E8827" s="249"/>
      <c r="T8827" s="261"/>
    </row>
    <row r="8828" spans="2:20" x14ac:dyDescent="0.2">
      <c r="B8828" s="245"/>
      <c r="C8828" s="248"/>
      <c r="D8828" s="249"/>
      <c r="E8828" s="249"/>
      <c r="T8828" s="261"/>
    </row>
    <row r="8829" spans="2:20" x14ac:dyDescent="0.2">
      <c r="B8829" s="245"/>
      <c r="C8829" s="248"/>
      <c r="D8829" s="249"/>
      <c r="E8829" s="249"/>
      <c r="T8829" s="261"/>
    </row>
    <row r="8830" spans="2:20" x14ac:dyDescent="0.2">
      <c r="B8830" s="245"/>
      <c r="C8830" s="248"/>
      <c r="D8830" s="249"/>
      <c r="E8830" s="249"/>
      <c r="T8830" s="261"/>
    </row>
    <row r="8831" spans="2:20" x14ac:dyDescent="0.2">
      <c r="B8831" s="245"/>
      <c r="C8831" s="248"/>
      <c r="D8831" s="249"/>
      <c r="E8831" s="249"/>
      <c r="T8831" s="261"/>
    </row>
    <row r="8832" spans="2:20" x14ac:dyDescent="0.2">
      <c r="B8832" s="245"/>
      <c r="C8832" s="248"/>
      <c r="D8832" s="249"/>
      <c r="E8832" s="249"/>
      <c r="T8832" s="261"/>
    </row>
    <row r="8833" spans="2:20" x14ac:dyDescent="0.2">
      <c r="B8833" s="245"/>
      <c r="C8833" s="248"/>
      <c r="D8833" s="249"/>
      <c r="E8833" s="249"/>
      <c r="T8833" s="261"/>
    </row>
    <row r="8834" spans="2:20" x14ac:dyDescent="0.2">
      <c r="B8834" s="245"/>
      <c r="C8834" s="248"/>
      <c r="D8834" s="249"/>
      <c r="E8834" s="249"/>
      <c r="T8834" s="261"/>
    </row>
    <row r="8835" spans="2:20" x14ac:dyDescent="0.2">
      <c r="B8835" s="245"/>
      <c r="C8835" s="248"/>
      <c r="D8835" s="249"/>
      <c r="E8835" s="249"/>
      <c r="T8835" s="261"/>
    </row>
    <row r="8836" spans="2:20" x14ac:dyDescent="0.2">
      <c r="B8836" s="245"/>
      <c r="C8836" s="248"/>
      <c r="D8836" s="249"/>
      <c r="E8836" s="249"/>
      <c r="T8836" s="261"/>
    </row>
    <row r="8837" spans="2:20" x14ac:dyDescent="0.2">
      <c r="B8837" s="245"/>
      <c r="C8837" s="248"/>
      <c r="D8837" s="249"/>
      <c r="E8837" s="249"/>
      <c r="T8837" s="261"/>
    </row>
    <row r="8838" spans="2:20" x14ac:dyDescent="0.2">
      <c r="B8838" s="245"/>
      <c r="C8838" s="248"/>
      <c r="D8838" s="249"/>
      <c r="E8838" s="249"/>
      <c r="T8838" s="261"/>
    </row>
    <row r="8839" spans="2:20" x14ac:dyDescent="0.2">
      <c r="B8839" s="245"/>
      <c r="C8839" s="248"/>
      <c r="D8839" s="249"/>
      <c r="E8839" s="249"/>
      <c r="T8839" s="261"/>
    </row>
    <row r="8840" spans="2:20" x14ac:dyDescent="0.2">
      <c r="B8840" s="245"/>
      <c r="C8840" s="248"/>
      <c r="D8840" s="249"/>
      <c r="E8840" s="249"/>
      <c r="T8840" s="261"/>
    </row>
    <row r="8841" spans="2:20" x14ac:dyDescent="0.2">
      <c r="B8841" s="245"/>
      <c r="C8841" s="248"/>
      <c r="D8841" s="249"/>
      <c r="E8841" s="249"/>
      <c r="T8841" s="261"/>
    </row>
    <row r="8842" spans="2:20" x14ac:dyDescent="0.2">
      <c r="B8842" s="245"/>
      <c r="C8842" s="248"/>
      <c r="D8842" s="249"/>
      <c r="E8842" s="249"/>
      <c r="T8842" s="261"/>
    </row>
    <row r="8843" spans="2:20" x14ac:dyDescent="0.2">
      <c r="B8843" s="245"/>
      <c r="C8843" s="248"/>
      <c r="D8843" s="249"/>
      <c r="E8843" s="249"/>
      <c r="T8843" s="261"/>
    </row>
    <row r="8844" spans="2:20" x14ac:dyDescent="0.2">
      <c r="B8844" s="245"/>
      <c r="C8844" s="248"/>
      <c r="D8844" s="249"/>
      <c r="E8844" s="249"/>
      <c r="T8844" s="261"/>
    </row>
    <row r="8845" spans="2:20" x14ac:dyDescent="0.2">
      <c r="B8845" s="245"/>
      <c r="C8845" s="248"/>
      <c r="D8845" s="249"/>
      <c r="E8845" s="249"/>
      <c r="T8845" s="261"/>
    </row>
    <row r="8846" spans="2:20" x14ac:dyDescent="0.2">
      <c r="B8846" s="245"/>
      <c r="C8846" s="248"/>
      <c r="D8846" s="249"/>
      <c r="E8846" s="249"/>
      <c r="T8846" s="261"/>
    </row>
    <row r="8847" spans="2:20" x14ac:dyDescent="0.2">
      <c r="B8847" s="245"/>
      <c r="C8847" s="248"/>
      <c r="D8847" s="249"/>
      <c r="E8847" s="249"/>
      <c r="T8847" s="261"/>
    </row>
    <row r="8848" spans="2:20" x14ac:dyDescent="0.2">
      <c r="B8848" s="245"/>
      <c r="C8848" s="248"/>
      <c r="D8848" s="249"/>
      <c r="E8848" s="249"/>
      <c r="T8848" s="261"/>
    </row>
    <row r="8849" spans="2:20" x14ac:dyDescent="0.2">
      <c r="B8849" s="245"/>
      <c r="C8849" s="248"/>
      <c r="D8849" s="249"/>
      <c r="E8849" s="249"/>
      <c r="T8849" s="261"/>
    </row>
    <row r="8850" spans="2:20" x14ac:dyDescent="0.2">
      <c r="B8850" s="245"/>
      <c r="C8850" s="248"/>
      <c r="D8850" s="249"/>
      <c r="E8850" s="249"/>
      <c r="T8850" s="261"/>
    </row>
    <row r="8851" spans="2:20" x14ac:dyDescent="0.2">
      <c r="B8851" s="245"/>
      <c r="C8851" s="248"/>
      <c r="D8851" s="249"/>
      <c r="E8851" s="249"/>
      <c r="T8851" s="261"/>
    </row>
    <row r="8852" spans="2:20" x14ac:dyDescent="0.2">
      <c r="B8852" s="245"/>
      <c r="C8852" s="248"/>
      <c r="D8852" s="249"/>
      <c r="E8852" s="249"/>
      <c r="T8852" s="261"/>
    </row>
    <row r="8853" spans="2:20" x14ac:dyDescent="0.2">
      <c r="B8853" s="245"/>
      <c r="C8853" s="248"/>
      <c r="D8853" s="249"/>
      <c r="E8853" s="249"/>
      <c r="T8853" s="261"/>
    </row>
    <row r="8854" spans="2:20" x14ac:dyDescent="0.2">
      <c r="B8854" s="245"/>
      <c r="C8854" s="248"/>
      <c r="D8854" s="249"/>
      <c r="E8854" s="249"/>
      <c r="T8854" s="261"/>
    </row>
    <row r="8855" spans="2:20" x14ac:dyDescent="0.2">
      <c r="B8855" s="245"/>
      <c r="C8855" s="248"/>
      <c r="D8855" s="249"/>
      <c r="E8855" s="249"/>
      <c r="T8855" s="261"/>
    </row>
    <row r="8856" spans="2:20" x14ac:dyDescent="0.2">
      <c r="B8856" s="245"/>
      <c r="C8856" s="248"/>
      <c r="D8856" s="249"/>
      <c r="E8856" s="249"/>
      <c r="T8856" s="261"/>
    </row>
    <row r="8857" spans="2:20" x14ac:dyDescent="0.2">
      <c r="B8857" s="245"/>
      <c r="C8857" s="248"/>
      <c r="D8857" s="249"/>
      <c r="E8857" s="249"/>
      <c r="T8857" s="261"/>
    </row>
    <row r="8858" spans="2:20" x14ac:dyDescent="0.2">
      <c r="B8858" s="245"/>
      <c r="C8858" s="248"/>
      <c r="D8858" s="249"/>
      <c r="E8858" s="249"/>
      <c r="T8858" s="261"/>
    </row>
    <row r="8859" spans="2:20" x14ac:dyDescent="0.2">
      <c r="B8859" s="245"/>
      <c r="C8859" s="248"/>
      <c r="D8859" s="249"/>
      <c r="E8859" s="249"/>
      <c r="T8859" s="261"/>
    </row>
    <row r="8860" spans="2:20" x14ac:dyDescent="0.2">
      <c r="B8860" s="245"/>
      <c r="C8860" s="248"/>
      <c r="D8860" s="249"/>
      <c r="E8860" s="249"/>
      <c r="T8860" s="261"/>
    </row>
    <row r="8861" spans="2:20" x14ac:dyDescent="0.2">
      <c r="B8861" s="245"/>
      <c r="C8861" s="248"/>
      <c r="D8861" s="249"/>
      <c r="E8861" s="249"/>
      <c r="T8861" s="261"/>
    </row>
    <row r="8862" spans="2:20" x14ac:dyDescent="0.2">
      <c r="B8862" s="245"/>
      <c r="C8862" s="248"/>
      <c r="D8862" s="249"/>
      <c r="E8862" s="249"/>
      <c r="T8862" s="261"/>
    </row>
    <row r="8863" spans="2:20" x14ac:dyDescent="0.2">
      <c r="B8863" s="245"/>
      <c r="C8863" s="248"/>
      <c r="D8863" s="249"/>
      <c r="E8863" s="249"/>
      <c r="T8863" s="261"/>
    </row>
    <row r="8864" spans="2:20" x14ac:dyDescent="0.2">
      <c r="B8864" s="245"/>
      <c r="C8864" s="248"/>
      <c r="D8864" s="249"/>
      <c r="E8864" s="249"/>
      <c r="T8864" s="261"/>
    </row>
    <row r="8865" spans="2:20" x14ac:dyDescent="0.2">
      <c r="B8865" s="245"/>
      <c r="C8865" s="248"/>
      <c r="D8865" s="249"/>
      <c r="E8865" s="249"/>
      <c r="T8865" s="261"/>
    </row>
    <row r="8866" spans="2:20" x14ac:dyDescent="0.2">
      <c r="B8866" s="245"/>
      <c r="C8866" s="248"/>
      <c r="D8866" s="249"/>
      <c r="E8866" s="249"/>
      <c r="T8866" s="261"/>
    </row>
    <row r="8867" spans="2:20" x14ac:dyDescent="0.2">
      <c r="B8867" s="245"/>
      <c r="C8867" s="248"/>
      <c r="D8867" s="249"/>
      <c r="E8867" s="249"/>
      <c r="T8867" s="261"/>
    </row>
    <row r="8868" spans="2:20" x14ac:dyDescent="0.2">
      <c r="B8868" s="245"/>
      <c r="C8868" s="248"/>
      <c r="D8868" s="249"/>
      <c r="E8868" s="249"/>
      <c r="T8868" s="261"/>
    </row>
    <row r="8869" spans="2:20" x14ac:dyDescent="0.2">
      <c r="B8869" s="245"/>
      <c r="C8869" s="248"/>
      <c r="D8869" s="249"/>
      <c r="E8869" s="249"/>
      <c r="T8869" s="261"/>
    </row>
    <row r="8870" spans="2:20" x14ac:dyDescent="0.2">
      <c r="B8870" s="245"/>
      <c r="C8870" s="248"/>
      <c r="D8870" s="249"/>
      <c r="E8870" s="249"/>
      <c r="T8870" s="261"/>
    </row>
    <row r="8871" spans="2:20" x14ac:dyDescent="0.2">
      <c r="B8871" s="245"/>
      <c r="C8871" s="248"/>
      <c r="D8871" s="249"/>
      <c r="E8871" s="249"/>
      <c r="T8871" s="261"/>
    </row>
    <row r="8872" spans="2:20" x14ac:dyDescent="0.2">
      <c r="B8872" s="245"/>
      <c r="C8872" s="248"/>
      <c r="D8872" s="249"/>
      <c r="E8872" s="249"/>
      <c r="T8872" s="261"/>
    </row>
    <row r="8873" spans="2:20" x14ac:dyDescent="0.2">
      <c r="B8873" s="245"/>
      <c r="C8873" s="248"/>
      <c r="D8873" s="249"/>
      <c r="E8873" s="249"/>
      <c r="T8873" s="261"/>
    </row>
    <row r="8874" spans="2:20" x14ac:dyDescent="0.2">
      <c r="B8874" s="245"/>
      <c r="C8874" s="248"/>
      <c r="D8874" s="249"/>
      <c r="E8874" s="249"/>
      <c r="T8874" s="261"/>
    </row>
    <row r="8875" spans="2:20" x14ac:dyDescent="0.2">
      <c r="B8875" s="245"/>
      <c r="C8875" s="248"/>
      <c r="D8875" s="249"/>
      <c r="E8875" s="249"/>
      <c r="T8875" s="261"/>
    </row>
    <row r="8876" spans="2:20" x14ac:dyDescent="0.2">
      <c r="B8876" s="245"/>
      <c r="C8876" s="248"/>
      <c r="D8876" s="249"/>
      <c r="E8876" s="249"/>
      <c r="T8876" s="261"/>
    </row>
    <row r="8877" spans="2:20" x14ac:dyDescent="0.2">
      <c r="B8877" s="245"/>
      <c r="C8877" s="248"/>
      <c r="D8877" s="249"/>
      <c r="E8877" s="249"/>
      <c r="T8877" s="261"/>
    </row>
    <row r="8878" spans="2:20" x14ac:dyDescent="0.2">
      <c r="B8878" s="245"/>
      <c r="C8878" s="248"/>
      <c r="D8878" s="249"/>
      <c r="E8878" s="249"/>
      <c r="T8878" s="261"/>
    </row>
    <row r="8879" spans="2:20" x14ac:dyDescent="0.2">
      <c r="B8879" s="245"/>
      <c r="C8879" s="248"/>
      <c r="D8879" s="249"/>
      <c r="E8879" s="249"/>
      <c r="T8879" s="261"/>
    </row>
    <row r="8880" spans="2:20" x14ac:dyDescent="0.2">
      <c r="B8880" s="245"/>
      <c r="C8880" s="248"/>
      <c r="D8880" s="249"/>
      <c r="E8880" s="249"/>
      <c r="T8880" s="261"/>
    </row>
    <row r="8881" spans="2:20" x14ac:dyDescent="0.2">
      <c r="B8881" s="245"/>
      <c r="C8881" s="248"/>
      <c r="D8881" s="249"/>
      <c r="E8881" s="249"/>
      <c r="T8881" s="261"/>
    </row>
    <row r="8882" spans="2:20" x14ac:dyDescent="0.2">
      <c r="B8882" s="245"/>
      <c r="C8882" s="248"/>
      <c r="D8882" s="249"/>
      <c r="E8882" s="249"/>
      <c r="T8882" s="261"/>
    </row>
    <row r="8883" spans="2:20" x14ac:dyDescent="0.2">
      <c r="B8883" s="245"/>
      <c r="C8883" s="248"/>
      <c r="D8883" s="249"/>
      <c r="E8883" s="249"/>
      <c r="T8883" s="261"/>
    </row>
    <row r="8884" spans="2:20" x14ac:dyDescent="0.2">
      <c r="B8884" s="245"/>
      <c r="C8884" s="248"/>
      <c r="D8884" s="249"/>
      <c r="E8884" s="249"/>
      <c r="T8884" s="261"/>
    </row>
    <row r="8885" spans="2:20" x14ac:dyDescent="0.2">
      <c r="B8885" s="245"/>
      <c r="C8885" s="248"/>
      <c r="D8885" s="249"/>
      <c r="E8885" s="249"/>
      <c r="T8885" s="261"/>
    </row>
    <row r="8886" spans="2:20" x14ac:dyDescent="0.2">
      <c r="B8886" s="245"/>
      <c r="C8886" s="248"/>
      <c r="D8886" s="249"/>
      <c r="E8886" s="249"/>
      <c r="T8886" s="261"/>
    </row>
    <row r="8887" spans="2:20" x14ac:dyDescent="0.2">
      <c r="B8887" s="245"/>
      <c r="C8887" s="248"/>
      <c r="D8887" s="249"/>
      <c r="E8887" s="249"/>
      <c r="T8887" s="261"/>
    </row>
    <row r="8888" spans="2:20" x14ac:dyDescent="0.2">
      <c r="B8888" s="245"/>
      <c r="C8888" s="248"/>
      <c r="D8888" s="249"/>
      <c r="E8888" s="249"/>
      <c r="T8888" s="261"/>
    </row>
    <row r="8889" spans="2:20" x14ac:dyDescent="0.2">
      <c r="B8889" s="245"/>
      <c r="C8889" s="248"/>
      <c r="D8889" s="249"/>
      <c r="E8889" s="249"/>
      <c r="T8889" s="261"/>
    </row>
    <row r="8890" spans="2:20" x14ac:dyDescent="0.2">
      <c r="B8890" s="245"/>
      <c r="C8890" s="248"/>
      <c r="D8890" s="249"/>
      <c r="E8890" s="249"/>
      <c r="T8890" s="261"/>
    </row>
    <row r="8891" spans="2:20" x14ac:dyDescent="0.2">
      <c r="B8891" s="245"/>
      <c r="C8891" s="248"/>
      <c r="D8891" s="249"/>
      <c r="E8891" s="249"/>
      <c r="T8891" s="261"/>
    </row>
    <row r="8892" spans="2:20" x14ac:dyDescent="0.2">
      <c r="B8892" s="245"/>
      <c r="C8892" s="248"/>
      <c r="D8892" s="249"/>
      <c r="E8892" s="249"/>
      <c r="T8892" s="261"/>
    </row>
    <row r="8893" spans="2:20" x14ac:dyDescent="0.2">
      <c r="B8893" s="245"/>
      <c r="C8893" s="248"/>
      <c r="D8893" s="249"/>
      <c r="E8893" s="249"/>
      <c r="T8893" s="261"/>
    </row>
    <row r="8894" spans="2:20" x14ac:dyDescent="0.2">
      <c r="B8894" s="245"/>
      <c r="C8894" s="248"/>
      <c r="D8894" s="249"/>
      <c r="E8894" s="249"/>
      <c r="T8894" s="261"/>
    </row>
    <row r="8895" spans="2:20" x14ac:dyDescent="0.2">
      <c r="B8895" s="245"/>
      <c r="C8895" s="248"/>
      <c r="D8895" s="249"/>
      <c r="E8895" s="249"/>
      <c r="T8895" s="261"/>
    </row>
    <row r="8896" spans="2:20" x14ac:dyDescent="0.2">
      <c r="B8896" s="245"/>
      <c r="C8896" s="248"/>
      <c r="D8896" s="249"/>
      <c r="E8896" s="249"/>
      <c r="T8896" s="261"/>
    </row>
    <row r="8897" spans="2:20" x14ac:dyDescent="0.2">
      <c r="B8897" s="245"/>
      <c r="C8897" s="248"/>
      <c r="D8897" s="249"/>
      <c r="E8897" s="249"/>
      <c r="T8897" s="261"/>
    </row>
    <row r="8898" spans="2:20" x14ac:dyDescent="0.2">
      <c r="B8898" s="245"/>
      <c r="C8898" s="248"/>
      <c r="D8898" s="249"/>
      <c r="E8898" s="249"/>
      <c r="T8898" s="261"/>
    </row>
    <row r="8899" spans="2:20" x14ac:dyDescent="0.2">
      <c r="B8899" s="245"/>
      <c r="C8899" s="248"/>
      <c r="D8899" s="249"/>
      <c r="E8899" s="249"/>
      <c r="T8899" s="261"/>
    </row>
    <row r="8900" spans="2:20" x14ac:dyDescent="0.2">
      <c r="B8900" s="245"/>
      <c r="C8900" s="248"/>
      <c r="D8900" s="249"/>
      <c r="E8900" s="249"/>
      <c r="T8900" s="261"/>
    </row>
    <row r="8901" spans="2:20" x14ac:dyDescent="0.2">
      <c r="B8901" s="245"/>
      <c r="C8901" s="248"/>
      <c r="D8901" s="249"/>
      <c r="E8901" s="249"/>
      <c r="T8901" s="261"/>
    </row>
    <row r="8902" spans="2:20" x14ac:dyDescent="0.2">
      <c r="B8902" s="245"/>
      <c r="C8902" s="248"/>
      <c r="D8902" s="249"/>
      <c r="E8902" s="249"/>
      <c r="T8902" s="261"/>
    </row>
    <row r="8903" spans="2:20" x14ac:dyDescent="0.2">
      <c r="B8903" s="245"/>
      <c r="C8903" s="248"/>
      <c r="D8903" s="249"/>
      <c r="E8903" s="249"/>
      <c r="T8903" s="261"/>
    </row>
    <row r="8904" spans="2:20" x14ac:dyDescent="0.2">
      <c r="B8904" s="245"/>
      <c r="C8904" s="248"/>
      <c r="D8904" s="249"/>
      <c r="E8904" s="249"/>
      <c r="T8904" s="261"/>
    </row>
    <row r="8905" spans="2:20" x14ac:dyDescent="0.2">
      <c r="B8905" s="245"/>
      <c r="C8905" s="248"/>
      <c r="D8905" s="249"/>
      <c r="E8905" s="249"/>
      <c r="T8905" s="261"/>
    </row>
    <row r="8906" spans="2:20" x14ac:dyDescent="0.2">
      <c r="B8906" s="245"/>
      <c r="C8906" s="248"/>
      <c r="D8906" s="249"/>
      <c r="E8906" s="249"/>
      <c r="T8906" s="261"/>
    </row>
    <row r="8907" spans="2:20" x14ac:dyDescent="0.2">
      <c r="B8907" s="245"/>
      <c r="C8907" s="248"/>
      <c r="D8907" s="249"/>
      <c r="E8907" s="249"/>
      <c r="T8907" s="261"/>
    </row>
    <row r="8908" spans="2:20" x14ac:dyDescent="0.2">
      <c r="B8908" s="245"/>
      <c r="C8908" s="248"/>
      <c r="D8908" s="249"/>
      <c r="E8908" s="249"/>
      <c r="T8908" s="261"/>
    </row>
    <row r="8909" spans="2:20" x14ac:dyDescent="0.2">
      <c r="B8909" s="245"/>
      <c r="C8909" s="248"/>
      <c r="D8909" s="249"/>
      <c r="E8909" s="249"/>
      <c r="T8909" s="261"/>
    </row>
    <row r="8910" spans="2:20" x14ac:dyDescent="0.2">
      <c r="B8910" s="245"/>
      <c r="C8910" s="248"/>
      <c r="D8910" s="249"/>
      <c r="E8910" s="249"/>
      <c r="T8910" s="261"/>
    </row>
    <row r="8911" spans="2:20" x14ac:dyDescent="0.2">
      <c r="B8911" s="245"/>
      <c r="C8911" s="248"/>
      <c r="D8911" s="249"/>
      <c r="E8911" s="249"/>
      <c r="T8911" s="261"/>
    </row>
    <row r="8912" spans="2:20" x14ac:dyDescent="0.2">
      <c r="B8912" s="245"/>
      <c r="C8912" s="248"/>
      <c r="D8912" s="249"/>
      <c r="E8912" s="249"/>
      <c r="T8912" s="261"/>
    </row>
    <row r="8913" spans="2:20" x14ac:dyDescent="0.2">
      <c r="B8913" s="245"/>
      <c r="C8913" s="248"/>
      <c r="D8913" s="249"/>
      <c r="E8913" s="249"/>
      <c r="T8913" s="261"/>
    </row>
    <row r="8914" spans="2:20" x14ac:dyDescent="0.2">
      <c r="B8914" s="245"/>
      <c r="C8914" s="248"/>
      <c r="D8914" s="249"/>
      <c r="E8914" s="249"/>
      <c r="T8914" s="261"/>
    </row>
    <row r="8915" spans="2:20" x14ac:dyDescent="0.2">
      <c r="B8915" s="245"/>
      <c r="C8915" s="248"/>
      <c r="D8915" s="249"/>
      <c r="E8915" s="249"/>
      <c r="T8915" s="261"/>
    </row>
    <row r="8916" spans="2:20" x14ac:dyDescent="0.2">
      <c r="B8916" s="245"/>
      <c r="C8916" s="248"/>
      <c r="D8916" s="249"/>
      <c r="E8916" s="249"/>
      <c r="T8916" s="261"/>
    </row>
    <row r="8917" spans="2:20" x14ac:dyDescent="0.2">
      <c r="B8917" s="245"/>
      <c r="C8917" s="248"/>
      <c r="D8917" s="249"/>
      <c r="E8917" s="249"/>
      <c r="T8917" s="261"/>
    </row>
    <row r="8918" spans="2:20" x14ac:dyDescent="0.2">
      <c r="B8918" s="245"/>
      <c r="C8918" s="248"/>
      <c r="D8918" s="249"/>
      <c r="E8918" s="249"/>
      <c r="T8918" s="261"/>
    </row>
    <row r="8919" spans="2:20" x14ac:dyDescent="0.2">
      <c r="B8919" s="245"/>
      <c r="C8919" s="248"/>
      <c r="D8919" s="249"/>
      <c r="E8919" s="249"/>
      <c r="T8919" s="261"/>
    </row>
    <row r="8920" spans="2:20" x14ac:dyDescent="0.2">
      <c r="B8920" s="245"/>
      <c r="C8920" s="248"/>
      <c r="D8920" s="249"/>
      <c r="E8920" s="249"/>
      <c r="T8920" s="261"/>
    </row>
    <row r="8921" spans="2:20" x14ac:dyDescent="0.2">
      <c r="B8921" s="245"/>
      <c r="C8921" s="248"/>
      <c r="D8921" s="249"/>
      <c r="E8921" s="249"/>
      <c r="T8921" s="261"/>
    </row>
    <row r="8922" spans="2:20" x14ac:dyDescent="0.2">
      <c r="B8922" s="245"/>
      <c r="C8922" s="248"/>
      <c r="D8922" s="249"/>
      <c r="E8922" s="249"/>
      <c r="T8922" s="261"/>
    </row>
    <row r="8923" spans="2:20" x14ac:dyDescent="0.2">
      <c r="B8923" s="245"/>
      <c r="C8923" s="248"/>
      <c r="D8923" s="249"/>
      <c r="E8923" s="249"/>
      <c r="T8923" s="261"/>
    </row>
    <row r="8924" spans="2:20" x14ac:dyDescent="0.2">
      <c r="B8924" s="245"/>
      <c r="C8924" s="248"/>
      <c r="D8924" s="249"/>
      <c r="E8924" s="249"/>
      <c r="T8924" s="261"/>
    </row>
    <row r="8925" spans="2:20" x14ac:dyDescent="0.2">
      <c r="B8925" s="245"/>
      <c r="C8925" s="248"/>
      <c r="D8925" s="249"/>
      <c r="E8925" s="249"/>
      <c r="T8925" s="261"/>
    </row>
    <row r="8926" spans="2:20" x14ac:dyDescent="0.2">
      <c r="B8926" s="245"/>
      <c r="C8926" s="248"/>
      <c r="D8926" s="249"/>
      <c r="E8926" s="249"/>
      <c r="T8926" s="261"/>
    </row>
    <row r="8927" spans="2:20" x14ac:dyDescent="0.2">
      <c r="B8927" s="245"/>
      <c r="C8927" s="248"/>
      <c r="D8927" s="249"/>
      <c r="E8927" s="249"/>
      <c r="T8927" s="261"/>
    </row>
    <row r="8928" spans="2:20" x14ac:dyDescent="0.2">
      <c r="B8928" s="245"/>
      <c r="C8928" s="248"/>
      <c r="D8928" s="249"/>
      <c r="E8928" s="249"/>
      <c r="T8928" s="261"/>
    </row>
    <row r="8929" spans="2:20" x14ac:dyDescent="0.2">
      <c r="B8929" s="245"/>
      <c r="C8929" s="248"/>
      <c r="D8929" s="249"/>
      <c r="E8929" s="249"/>
      <c r="T8929" s="261"/>
    </row>
    <row r="8930" spans="2:20" x14ac:dyDescent="0.2">
      <c r="B8930" s="245"/>
      <c r="C8930" s="248"/>
      <c r="D8930" s="249"/>
      <c r="E8930" s="249"/>
      <c r="T8930" s="261"/>
    </row>
    <row r="8931" spans="2:20" x14ac:dyDescent="0.2">
      <c r="B8931" s="245"/>
      <c r="C8931" s="248"/>
      <c r="D8931" s="249"/>
      <c r="E8931" s="249"/>
      <c r="T8931" s="261"/>
    </row>
    <row r="8932" spans="2:20" x14ac:dyDescent="0.2">
      <c r="B8932" s="245"/>
      <c r="C8932" s="248"/>
      <c r="D8932" s="249"/>
      <c r="E8932" s="249"/>
      <c r="T8932" s="261"/>
    </row>
    <row r="8933" spans="2:20" x14ac:dyDescent="0.2">
      <c r="B8933" s="245"/>
      <c r="C8933" s="248"/>
      <c r="D8933" s="249"/>
      <c r="E8933" s="249"/>
      <c r="T8933" s="261"/>
    </row>
    <row r="8934" spans="2:20" x14ac:dyDescent="0.2">
      <c r="B8934" s="245"/>
      <c r="C8934" s="248"/>
      <c r="D8934" s="249"/>
      <c r="E8934" s="249"/>
      <c r="T8934" s="261"/>
    </row>
    <row r="8935" spans="2:20" x14ac:dyDescent="0.2">
      <c r="B8935" s="245"/>
      <c r="C8935" s="248"/>
      <c r="D8935" s="249"/>
      <c r="E8935" s="249"/>
      <c r="T8935" s="261"/>
    </row>
    <row r="8936" spans="2:20" x14ac:dyDescent="0.2">
      <c r="B8936" s="245"/>
      <c r="C8936" s="248"/>
      <c r="D8936" s="249"/>
      <c r="E8936" s="249"/>
      <c r="T8936" s="261"/>
    </row>
    <row r="8937" spans="2:20" x14ac:dyDescent="0.2">
      <c r="B8937" s="245"/>
      <c r="C8937" s="248"/>
      <c r="D8937" s="249"/>
      <c r="E8937" s="249"/>
      <c r="T8937" s="261"/>
    </row>
    <row r="8938" spans="2:20" x14ac:dyDescent="0.2">
      <c r="B8938" s="245"/>
      <c r="C8938" s="248"/>
      <c r="D8938" s="249"/>
      <c r="E8938" s="249"/>
      <c r="T8938" s="261"/>
    </row>
    <row r="8939" spans="2:20" x14ac:dyDescent="0.2">
      <c r="B8939" s="245"/>
      <c r="C8939" s="248"/>
      <c r="D8939" s="249"/>
      <c r="E8939" s="249"/>
      <c r="T8939" s="261"/>
    </row>
    <row r="8940" spans="2:20" x14ac:dyDescent="0.2">
      <c r="B8940" s="245"/>
      <c r="C8940" s="248"/>
      <c r="D8940" s="249"/>
      <c r="E8940" s="249"/>
      <c r="T8940" s="261"/>
    </row>
    <row r="8941" spans="2:20" x14ac:dyDescent="0.2">
      <c r="B8941" s="245"/>
      <c r="C8941" s="248"/>
      <c r="D8941" s="249"/>
      <c r="E8941" s="249"/>
      <c r="T8941" s="261"/>
    </row>
    <row r="8942" spans="2:20" x14ac:dyDescent="0.2">
      <c r="B8942" s="245"/>
      <c r="C8942" s="248"/>
      <c r="D8942" s="249"/>
      <c r="E8942" s="249"/>
      <c r="T8942" s="261"/>
    </row>
    <row r="8943" spans="2:20" x14ac:dyDescent="0.2">
      <c r="B8943" s="245"/>
      <c r="C8943" s="248"/>
      <c r="D8943" s="249"/>
      <c r="E8943" s="249"/>
      <c r="T8943" s="261"/>
    </row>
    <row r="8944" spans="2:20" x14ac:dyDescent="0.2">
      <c r="B8944" s="245"/>
      <c r="C8944" s="248"/>
      <c r="D8944" s="249"/>
      <c r="E8944" s="249"/>
      <c r="T8944" s="261"/>
    </row>
    <row r="8945" spans="2:20" x14ac:dyDescent="0.2">
      <c r="B8945" s="245"/>
      <c r="C8945" s="248"/>
      <c r="D8945" s="249"/>
      <c r="E8945" s="249"/>
      <c r="T8945" s="261"/>
    </row>
    <row r="8946" spans="2:20" x14ac:dyDescent="0.2">
      <c r="B8946" s="245"/>
      <c r="C8946" s="248"/>
      <c r="D8946" s="249"/>
      <c r="E8946" s="249"/>
      <c r="T8946" s="261"/>
    </row>
    <row r="8947" spans="2:20" x14ac:dyDescent="0.2">
      <c r="B8947" s="245"/>
      <c r="C8947" s="248"/>
      <c r="D8947" s="249"/>
      <c r="E8947" s="249"/>
      <c r="T8947" s="261"/>
    </row>
    <row r="8948" spans="2:20" x14ac:dyDescent="0.2">
      <c r="B8948" s="245"/>
      <c r="C8948" s="248"/>
      <c r="D8948" s="249"/>
      <c r="E8948" s="249"/>
      <c r="T8948" s="261"/>
    </row>
    <row r="8949" spans="2:20" x14ac:dyDescent="0.2">
      <c r="B8949" s="245"/>
      <c r="C8949" s="248"/>
      <c r="D8949" s="249"/>
      <c r="E8949" s="249"/>
      <c r="T8949" s="261"/>
    </row>
    <row r="8950" spans="2:20" x14ac:dyDescent="0.2">
      <c r="B8950" s="245"/>
      <c r="C8950" s="248"/>
      <c r="D8950" s="249"/>
      <c r="E8950" s="249"/>
      <c r="T8950" s="261"/>
    </row>
    <row r="8951" spans="2:20" x14ac:dyDescent="0.2">
      <c r="B8951" s="245"/>
      <c r="C8951" s="248"/>
      <c r="D8951" s="249"/>
      <c r="E8951" s="249"/>
      <c r="T8951" s="261"/>
    </row>
    <row r="8952" spans="2:20" x14ac:dyDescent="0.2">
      <c r="B8952" s="245"/>
      <c r="C8952" s="248"/>
      <c r="D8952" s="249"/>
      <c r="E8952" s="249"/>
      <c r="T8952" s="261"/>
    </row>
    <row r="8953" spans="2:20" x14ac:dyDescent="0.2">
      <c r="B8953" s="245"/>
      <c r="C8953" s="248"/>
      <c r="D8953" s="249"/>
      <c r="E8953" s="249"/>
      <c r="T8953" s="261"/>
    </row>
    <row r="8954" spans="2:20" x14ac:dyDescent="0.2">
      <c r="B8954" s="245"/>
      <c r="C8954" s="248"/>
      <c r="D8954" s="249"/>
      <c r="E8954" s="249"/>
      <c r="T8954" s="261"/>
    </row>
    <row r="8955" spans="2:20" x14ac:dyDescent="0.2">
      <c r="B8955" s="245"/>
      <c r="C8955" s="248"/>
      <c r="D8955" s="249"/>
      <c r="E8955" s="249"/>
      <c r="T8955" s="261"/>
    </row>
    <row r="8956" spans="2:20" x14ac:dyDescent="0.2">
      <c r="B8956" s="245"/>
      <c r="C8956" s="248"/>
      <c r="D8956" s="249"/>
      <c r="E8956" s="249"/>
      <c r="T8956" s="261"/>
    </row>
    <row r="8957" spans="2:20" x14ac:dyDescent="0.2">
      <c r="B8957" s="245"/>
      <c r="C8957" s="248"/>
      <c r="D8957" s="249"/>
      <c r="E8957" s="249"/>
      <c r="T8957" s="261"/>
    </row>
    <row r="8958" spans="2:20" x14ac:dyDescent="0.2">
      <c r="B8958" s="245"/>
      <c r="C8958" s="248"/>
      <c r="D8958" s="249"/>
      <c r="E8958" s="249"/>
      <c r="T8958" s="261"/>
    </row>
    <row r="8959" spans="2:20" x14ac:dyDescent="0.2">
      <c r="B8959" s="245"/>
      <c r="C8959" s="248"/>
      <c r="D8959" s="249"/>
      <c r="E8959" s="249"/>
      <c r="T8959" s="261"/>
    </row>
    <row r="8960" spans="2:20" x14ac:dyDescent="0.2">
      <c r="B8960" s="245"/>
      <c r="C8960" s="248"/>
      <c r="D8960" s="249"/>
      <c r="E8960" s="249"/>
      <c r="T8960" s="261"/>
    </row>
    <row r="8961" spans="2:20" x14ac:dyDescent="0.2">
      <c r="B8961" s="245"/>
      <c r="C8961" s="248"/>
      <c r="D8961" s="249"/>
      <c r="E8961" s="249"/>
      <c r="T8961" s="261"/>
    </row>
    <row r="8962" spans="2:20" x14ac:dyDescent="0.2">
      <c r="B8962" s="245"/>
      <c r="C8962" s="248"/>
      <c r="D8962" s="249"/>
      <c r="E8962" s="249"/>
      <c r="T8962" s="261"/>
    </row>
    <row r="8963" spans="2:20" x14ac:dyDescent="0.2">
      <c r="B8963" s="245"/>
      <c r="C8963" s="248"/>
      <c r="D8963" s="249"/>
      <c r="E8963" s="249"/>
      <c r="T8963" s="261"/>
    </row>
    <row r="8964" spans="2:20" x14ac:dyDescent="0.2">
      <c r="B8964" s="245"/>
      <c r="C8964" s="248"/>
      <c r="D8964" s="249"/>
      <c r="E8964" s="249"/>
      <c r="T8964" s="261"/>
    </row>
    <row r="8965" spans="2:20" x14ac:dyDescent="0.2">
      <c r="B8965" s="245"/>
      <c r="C8965" s="248"/>
      <c r="D8965" s="249"/>
      <c r="E8965" s="249"/>
      <c r="T8965" s="261"/>
    </row>
    <row r="8966" spans="2:20" x14ac:dyDescent="0.2">
      <c r="B8966" s="245"/>
      <c r="C8966" s="248"/>
      <c r="D8966" s="249"/>
      <c r="E8966" s="249"/>
      <c r="T8966" s="261"/>
    </row>
    <row r="8967" spans="2:20" x14ac:dyDescent="0.2">
      <c r="B8967" s="245"/>
      <c r="C8967" s="248"/>
      <c r="D8967" s="249"/>
      <c r="E8967" s="249"/>
      <c r="T8967" s="261"/>
    </row>
    <row r="8968" spans="2:20" x14ac:dyDescent="0.2">
      <c r="B8968" s="245"/>
      <c r="C8968" s="248"/>
      <c r="D8968" s="249"/>
      <c r="E8968" s="249"/>
      <c r="T8968" s="261"/>
    </row>
    <row r="8969" spans="2:20" x14ac:dyDescent="0.2">
      <c r="B8969" s="245"/>
      <c r="C8969" s="248"/>
      <c r="D8969" s="249"/>
      <c r="E8969" s="249"/>
      <c r="T8969" s="261"/>
    </row>
    <row r="8970" spans="2:20" x14ac:dyDescent="0.2">
      <c r="B8970" s="245"/>
      <c r="C8970" s="248"/>
      <c r="D8970" s="249"/>
      <c r="E8970" s="249"/>
      <c r="T8970" s="261"/>
    </row>
    <row r="8971" spans="2:20" x14ac:dyDescent="0.2">
      <c r="B8971" s="245"/>
      <c r="C8971" s="248"/>
      <c r="D8971" s="249"/>
      <c r="E8971" s="249"/>
      <c r="T8971" s="261"/>
    </row>
    <row r="8972" spans="2:20" x14ac:dyDescent="0.2">
      <c r="B8972" s="245"/>
      <c r="C8972" s="248"/>
      <c r="D8972" s="249"/>
      <c r="E8972" s="249"/>
      <c r="T8972" s="261"/>
    </row>
    <row r="8973" spans="2:20" x14ac:dyDescent="0.2">
      <c r="B8973" s="245"/>
      <c r="C8973" s="248"/>
      <c r="D8973" s="249"/>
      <c r="E8973" s="249"/>
      <c r="T8973" s="261"/>
    </row>
    <row r="8974" spans="2:20" x14ac:dyDescent="0.2">
      <c r="B8974" s="245"/>
      <c r="C8974" s="248"/>
      <c r="D8974" s="249"/>
      <c r="E8974" s="249"/>
      <c r="T8974" s="261"/>
    </row>
    <row r="8975" spans="2:20" x14ac:dyDescent="0.2">
      <c r="B8975" s="245"/>
      <c r="C8975" s="248"/>
      <c r="D8975" s="249"/>
      <c r="E8975" s="249"/>
      <c r="T8975" s="261"/>
    </row>
    <row r="8976" spans="2:20" x14ac:dyDescent="0.2">
      <c r="B8976" s="245"/>
      <c r="C8976" s="248"/>
      <c r="D8976" s="249"/>
      <c r="E8976" s="249"/>
      <c r="T8976" s="261"/>
    </row>
    <row r="8977" spans="2:20" x14ac:dyDescent="0.2">
      <c r="B8977" s="245"/>
      <c r="C8977" s="248"/>
      <c r="D8977" s="249"/>
      <c r="E8977" s="249"/>
      <c r="T8977" s="261"/>
    </row>
    <row r="8978" spans="2:20" x14ac:dyDescent="0.2">
      <c r="B8978" s="245"/>
      <c r="C8978" s="248"/>
      <c r="D8978" s="249"/>
      <c r="E8978" s="249"/>
      <c r="T8978" s="261"/>
    </row>
    <row r="8979" spans="2:20" x14ac:dyDescent="0.2">
      <c r="B8979" s="245"/>
      <c r="C8979" s="248"/>
      <c r="D8979" s="249"/>
      <c r="E8979" s="249"/>
      <c r="T8979" s="261"/>
    </row>
    <row r="8980" spans="2:20" x14ac:dyDescent="0.2">
      <c r="B8980" s="245"/>
      <c r="C8980" s="248"/>
      <c r="D8980" s="249"/>
      <c r="E8980" s="249"/>
      <c r="T8980" s="261"/>
    </row>
    <row r="8981" spans="2:20" x14ac:dyDescent="0.2">
      <c r="B8981" s="245"/>
      <c r="C8981" s="248"/>
      <c r="D8981" s="249"/>
      <c r="E8981" s="249"/>
      <c r="T8981" s="261"/>
    </row>
    <row r="8982" spans="2:20" x14ac:dyDescent="0.2">
      <c r="B8982" s="245"/>
      <c r="C8982" s="248"/>
      <c r="D8982" s="249"/>
      <c r="E8982" s="249"/>
      <c r="T8982" s="261"/>
    </row>
    <row r="8983" spans="2:20" x14ac:dyDescent="0.2">
      <c r="B8983" s="245"/>
      <c r="C8983" s="248"/>
      <c r="D8983" s="249"/>
      <c r="E8983" s="249"/>
      <c r="T8983" s="261"/>
    </row>
    <row r="8984" spans="2:20" x14ac:dyDescent="0.2">
      <c r="B8984" s="245"/>
      <c r="C8984" s="248"/>
      <c r="D8984" s="249"/>
      <c r="E8984" s="249"/>
      <c r="T8984" s="261"/>
    </row>
    <row r="8985" spans="2:20" x14ac:dyDescent="0.2">
      <c r="B8985" s="245"/>
      <c r="C8985" s="248"/>
      <c r="D8985" s="249"/>
      <c r="E8985" s="249"/>
      <c r="T8985" s="261"/>
    </row>
    <row r="8986" spans="2:20" x14ac:dyDescent="0.2">
      <c r="B8986" s="245"/>
      <c r="C8986" s="248"/>
      <c r="D8986" s="249"/>
      <c r="E8986" s="249"/>
      <c r="T8986" s="261"/>
    </row>
    <row r="8987" spans="2:20" x14ac:dyDescent="0.2">
      <c r="B8987" s="245"/>
      <c r="C8987" s="248"/>
      <c r="D8987" s="249"/>
      <c r="E8987" s="249"/>
      <c r="T8987" s="261"/>
    </row>
    <row r="8988" spans="2:20" x14ac:dyDescent="0.2">
      <c r="B8988" s="245"/>
      <c r="C8988" s="248"/>
      <c r="D8988" s="249"/>
      <c r="E8988" s="249"/>
      <c r="T8988" s="261"/>
    </row>
    <row r="8989" spans="2:20" x14ac:dyDescent="0.2">
      <c r="B8989" s="245"/>
      <c r="C8989" s="248"/>
      <c r="D8989" s="249"/>
      <c r="E8989" s="249"/>
      <c r="T8989" s="261"/>
    </row>
    <row r="8990" spans="2:20" x14ac:dyDescent="0.2">
      <c r="B8990" s="245"/>
      <c r="C8990" s="248"/>
      <c r="D8990" s="249"/>
      <c r="E8990" s="249"/>
      <c r="T8990" s="261"/>
    </row>
    <row r="8991" spans="2:20" x14ac:dyDescent="0.2">
      <c r="B8991" s="245"/>
      <c r="C8991" s="248"/>
      <c r="D8991" s="249"/>
      <c r="E8991" s="249"/>
      <c r="T8991" s="261"/>
    </row>
    <row r="8992" spans="2:20" x14ac:dyDescent="0.2">
      <c r="B8992" s="245"/>
      <c r="C8992" s="248"/>
      <c r="D8992" s="249"/>
      <c r="E8992" s="249"/>
      <c r="T8992" s="261"/>
    </row>
    <row r="8993" spans="2:20" x14ac:dyDescent="0.2">
      <c r="B8993" s="245"/>
      <c r="C8993" s="248"/>
      <c r="D8993" s="249"/>
      <c r="E8993" s="249"/>
      <c r="T8993" s="261"/>
    </row>
    <row r="8994" spans="2:20" x14ac:dyDescent="0.2">
      <c r="B8994" s="245"/>
      <c r="C8994" s="248"/>
      <c r="D8994" s="249"/>
      <c r="E8994" s="249"/>
      <c r="T8994" s="261"/>
    </row>
    <row r="8995" spans="2:20" x14ac:dyDescent="0.2">
      <c r="B8995" s="245"/>
      <c r="C8995" s="248"/>
      <c r="D8995" s="249"/>
      <c r="E8995" s="249"/>
      <c r="T8995" s="261"/>
    </row>
    <row r="8996" spans="2:20" x14ac:dyDescent="0.2">
      <c r="B8996" s="245"/>
      <c r="C8996" s="248"/>
      <c r="D8996" s="249"/>
      <c r="E8996" s="249"/>
      <c r="T8996" s="261"/>
    </row>
    <row r="8997" spans="2:20" x14ac:dyDescent="0.2">
      <c r="B8997" s="245"/>
      <c r="C8997" s="248"/>
      <c r="D8997" s="249"/>
      <c r="E8997" s="249"/>
      <c r="T8997" s="261"/>
    </row>
    <row r="8998" spans="2:20" x14ac:dyDescent="0.2">
      <c r="B8998" s="245"/>
      <c r="C8998" s="248"/>
      <c r="D8998" s="249"/>
      <c r="E8998" s="249"/>
      <c r="T8998" s="261"/>
    </row>
    <row r="8999" spans="2:20" x14ac:dyDescent="0.2">
      <c r="B8999" s="245"/>
      <c r="C8999" s="248"/>
      <c r="D8999" s="249"/>
      <c r="E8999" s="249"/>
      <c r="T8999" s="261"/>
    </row>
    <row r="9000" spans="2:20" x14ac:dyDescent="0.2">
      <c r="B9000" s="245"/>
      <c r="C9000" s="248"/>
      <c r="D9000" s="249"/>
      <c r="E9000" s="249"/>
      <c r="T9000" s="261"/>
    </row>
    <row r="9001" spans="2:20" x14ac:dyDescent="0.2">
      <c r="B9001" s="245"/>
      <c r="C9001" s="248"/>
      <c r="D9001" s="249"/>
      <c r="E9001" s="249"/>
      <c r="T9001" s="261"/>
    </row>
    <row r="9002" spans="2:20" x14ac:dyDescent="0.2">
      <c r="B9002" s="245"/>
      <c r="C9002" s="248"/>
      <c r="D9002" s="249"/>
      <c r="E9002" s="249"/>
      <c r="T9002" s="261"/>
    </row>
    <row r="9003" spans="2:20" x14ac:dyDescent="0.2">
      <c r="B9003" s="245"/>
      <c r="C9003" s="248"/>
      <c r="D9003" s="249"/>
      <c r="E9003" s="249"/>
      <c r="T9003" s="261"/>
    </row>
    <row r="9004" spans="2:20" x14ac:dyDescent="0.2">
      <c r="B9004" s="245"/>
      <c r="C9004" s="248"/>
      <c r="D9004" s="249"/>
      <c r="E9004" s="249"/>
      <c r="T9004" s="261"/>
    </row>
    <row r="9005" spans="2:20" x14ac:dyDescent="0.2">
      <c r="B9005" s="245"/>
      <c r="C9005" s="248"/>
      <c r="D9005" s="249"/>
      <c r="E9005" s="249"/>
      <c r="T9005" s="261"/>
    </row>
    <row r="9006" spans="2:20" x14ac:dyDescent="0.2">
      <c r="B9006" s="245"/>
      <c r="C9006" s="248"/>
      <c r="D9006" s="249"/>
      <c r="E9006" s="249"/>
      <c r="T9006" s="261"/>
    </row>
    <row r="9007" spans="2:20" x14ac:dyDescent="0.2">
      <c r="B9007" s="245"/>
      <c r="C9007" s="248"/>
      <c r="D9007" s="249"/>
      <c r="E9007" s="249"/>
      <c r="T9007" s="261"/>
    </row>
    <row r="9008" spans="2:20" x14ac:dyDescent="0.2">
      <c r="B9008" s="245"/>
      <c r="C9008" s="248"/>
      <c r="D9008" s="249"/>
      <c r="E9008" s="249"/>
      <c r="T9008" s="261"/>
    </row>
    <row r="9009" spans="2:20" x14ac:dyDescent="0.2">
      <c r="B9009" s="245"/>
      <c r="C9009" s="248"/>
      <c r="D9009" s="249"/>
      <c r="E9009" s="249"/>
      <c r="T9009" s="261"/>
    </row>
    <row r="9010" spans="2:20" x14ac:dyDescent="0.2">
      <c r="B9010" s="245"/>
      <c r="C9010" s="248"/>
      <c r="D9010" s="249"/>
      <c r="E9010" s="249"/>
      <c r="T9010" s="261"/>
    </row>
    <row r="9011" spans="2:20" x14ac:dyDescent="0.2">
      <c r="B9011" s="245"/>
      <c r="C9011" s="248"/>
      <c r="D9011" s="249"/>
      <c r="E9011" s="249"/>
      <c r="T9011" s="261"/>
    </row>
    <row r="9012" spans="2:20" x14ac:dyDescent="0.2">
      <c r="B9012" s="245"/>
      <c r="C9012" s="248"/>
      <c r="D9012" s="249"/>
      <c r="E9012" s="249"/>
      <c r="T9012" s="261"/>
    </row>
    <row r="9013" spans="2:20" x14ac:dyDescent="0.2">
      <c r="B9013" s="245"/>
      <c r="C9013" s="248"/>
      <c r="D9013" s="249"/>
      <c r="E9013" s="249"/>
      <c r="T9013" s="261"/>
    </row>
    <row r="9014" spans="2:20" x14ac:dyDescent="0.2">
      <c r="B9014" s="245"/>
      <c r="C9014" s="248"/>
      <c r="D9014" s="249"/>
      <c r="E9014" s="249"/>
      <c r="T9014" s="261"/>
    </row>
    <row r="9015" spans="2:20" x14ac:dyDescent="0.2">
      <c r="B9015" s="245"/>
      <c r="C9015" s="248"/>
      <c r="D9015" s="249"/>
      <c r="E9015" s="249"/>
      <c r="T9015" s="261"/>
    </row>
    <row r="9016" spans="2:20" x14ac:dyDescent="0.2">
      <c r="B9016" s="245"/>
      <c r="C9016" s="248"/>
      <c r="D9016" s="249"/>
      <c r="E9016" s="249"/>
      <c r="T9016" s="261"/>
    </row>
    <row r="9017" spans="2:20" x14ac:dyDescent="0.2">
      <c r="B9017" s="245"/>
      <c r="C9017" s="248"/>
      <c r="D9017" s="249"/>
      <c r="E9017" s="249"/>
      <c r="T9017" s="261"/>
    </row>
    <row r="9018" spans="2:20" x14ac:dyDescent="0.2">
      <c r="B9018" s="245"/>
      <c r="C9018" s="248"/>
      <c r="D9018" s="249"/>
      <c r="E9018" s="249"/>
      <c r="T9018" s="261"/>
    </row>
    <row r="9019" spans="2:20" x14ac:dyDescent="0.2">
      <c r="B9019" s="245"/>
      <c r="C9019" s="248"/>
      <c r="D9019" s="249"/>
      <c r="E9019" s="249"/>
      <c r="T9019" s="261"/>
    </row>
    <row r="9020" spans="2:20" x14ac:dyDescent="0.2">
      <c r="B9020" s="245"/>
      <c r="C9020" s="248"/>
      <c r="D9020" s="249"/>
      <c r="E9020" s="249"/>
      <c r="T9020" s="261"/>
    </row>
    <row r="9021" spans="2:20" x14ac:dyDescent="0.2">
      <c r="B9021" s="245"/>
      <c r="C9021" s="248"/>
      <c r="D9021" s="249"/>
      <c r="E9021" s="249"/>
      <c r="T9021" s="261"/>
    </row>
    <row r="9022" spans="2:20" x14ac:dyDescent="0.2">
      <c r="B9022" s="245"/>
      <c r="C9022" s="248"/>
      <c r="D9022" s="249"/>
      <c r="E9022" s="249"/>
      <c r="T9022" s="261"/>
    </row>
    <row r="9023" spans="2:20" x14ac:dyDescent="0.2">
      <c r="B9023" s="245"/>
      <c r="C9023" s="248"/>
      <c r="D9023" s="249"/>
      <c r="E9023" s="249"/>
      <c r="T9023" s="261"/>
    </row>
    <row r="9024" spans="2:20" x14ac:dyDescent="0.2">
      <c r="B9024" s="245"/>
      <c r="C9024" s="248"/>
      <c r="D9024" s="249"/>
      <c r="E9024" s="249"/>
      <c r="T9024" s="261"/>
    </row>
    <row r="9025" spans="2:20" x14ac:dyDescent="0.2">
      <c r="B9025" s="245"/>
      <c r="C9025" s="248"/>
      <c r="D9025" s="249"/>
      <c r="E9025" s="249"/>
      <c r="T9025" s="261"/>
    </row>
    <row r="9026" spans="2:20" x14ac:dyDescent="0.2">
      <c r="B9026" s="245"/>
      <c r="C9026" s="248"/>
      <c r="D9026" s="249"/>
      <c r="E9026" s="249"/>
      <c r="T9026" s="261"/>
    </row>
    <row r="9027" spans="2:20" x14ac:dyDescent="0.2">
      <c r="B9027" s="245"/>
      <c r="C9027" s="248"/>
      <c r="D9027" s="249"/>
      <c r="E9027" s="249"/>
      <c r="T9027" s="261"/>
    </row>
    <row r="9028" spans="2:20" x14ac:dyDescent="0.2">
      <c r="B9028" s="245"/>
      <c r="C9028" s="248"/>
      <c r="D9028" s="249"/>
      <c r="E9028" s="249"/>
      <c r="T9028" s="261"/>
    </row>
    <row r="9029" spans="2:20" x14ac:dyDescent="0.2">
      <c r="B9029" s="245"/>
      <c r="C9029" s="248"/>
      <c r="D9029" s="249"/>
      <c r="E9029" s="249"/>
      <c r="T9029" s="261"/>
    </row>
    <row r="9030" spans="2:20" x14ac:dyDescent="0.2">
      <c r="B9030" s="245"/>
      <c r="C9030" s="248"/>
      <c r="D9030" s="249"/>
      <c r="E9030" s="249"/>
      <c r="T9030" s="261"/>
    </row>
    <row r="9031" spans="2:20" x14ac:dyDescent="0.2">
      <c r="B9031" s="245"/>
      <c r="C9031" s="248"/>
      <c r="D9031" s="249"/>
      <c r="E9031" s="249"/>
      <c r="T9031" s="261"/>
    </row>
    <row r="9032" spans="2:20" x14ac:dyDescent="0.2">
      <c r="B9032" s="245"/>
      <c r="C9032" s="248"/>
      <c r="D9032" s="249"/>
      <c r="E9032" s="249"/>
      <c r="T9032" s="261"/>
    </row>
    <row r="9033" spans="2:20" x14ac:dyDescent="0.2">
      <c r="B9033" s="245"/>
      <c r="C9033" s="248"/>
      <c r="D9033" s="249"/>
      <c r="E9033" s="249"/>
      <c r="T9033" s="261"/>
    </row>
    <row r="9034" spans="2:20" x14ac:dyDescent="0.2">
      <c r="B9034" s="245"/>
      <c r="C9034" s="248"/>
      <c r="D9034" s="249"/>
      <c r="E9034" s="249"/>
      <c r="T9034" s="261"/>
    </row>
    <row r="9035" spans="2:20" x14ac:dyDescent="0.2">
      <c r="B9035" s="245"/>
      <c r="C9035" s="248"/>
      <c r="D9035" s="249"/>
      <c r="E9035" s="249"/>
      <c r="T9035" s="261"/>
    </row>
    <row r="9036" spans="2:20" x14ac:dyDescent="0.2">
      <c r="B9036" s="245"/>
      <c r="C9036" s="248"/>
      <c r="D9036" s="249"/>
      <c r="E9036" s="249"/>
      <c r="T9036" s="261"/>
    </row>
    <row r="9037" spans="2:20" x14ac:dyDescent="0.2">
      <c r="B9037" s="245"/>
      <c r="C9037" s="248"/>
      <c r="D9037" s="249"/>
      <c r="E9037" s="249"/>
      <c r="T9037" s="261"/>
    </row>
    <row r="9038" spans="2:20" x14ac:dyDescent="0.2">
      <c r="B9038" s="245"/>
      <c r="C9038" s="248"/>
      <c r="D9038" s="249"/>
      <c r="E9038" s="249"/>
      <c r="T9038" s="261"/>
    </row>
    <row r="9039" spans="2:20" x14ac:dyDescent="0.2">
      <c r="B9039" s="245"/>
      <c r="C9039" s="248"/>
      <c r="D9039" s="249"/>
      <c r="E9039" s="249"/>
      <c r="T9039" s="261"/>
    </row>
    <row r="9040" spans="2:20" x14ac:dyDescent="0.2">
      <c r="B9040" s="245"/>
      <c r="C9040" s="248"/>
      <c r="D9040" s="249"/>
      <c r="E9040" s="249"/>
      <c r="T9040" s="261"/>
    </row>
    <row r="9041" spans="2:20" x14ac:dyDescent="0.2">
      <c r="B9041" s="245"/>
      <c r="C9041" s="248"/>
      <c r="D9041" s="249"/>
      <c r="E9041" s="249"/>
      <c r="T9041" s="261"/>
    </row>
    <row r="9042" spans="2:20" x14ac:dyDescent="0.2">
      <c r="B9042" s="245"/>
      <c r="C9042" s="248"/>
      <c r="D9042" s="249"/>
      <c r="E9042" s="249"/>
      <c r="T9042" s="261"/>
    </row>
    <row r="9043" spans="2:20" x14ac:dyDescent="0.2">
      <c r="B9043" s="245"/>
      <c r="C9043" s="248"/>
      <c r="D9043" s="249"/>
      <c r="E9043" s="249"/>
      <c r="T9043" s="261"/>
    </row>
    <row r="9044" spans="2:20" x14ac:dyDescent="0.2">
      <c r="B9044" s="245"/>
      <c r="C9044" s="248"/>
      <c r="D9044" s="249"/>
      <c r="E9044" s="249"/>
      <c r="T9044" s="261"/>
    </row>
    <row r="9045" spans="2:20" x14ac:dyDescent="0.2">
      <c r="B9045" s="245"/>
      <c r="C9045" s="248"/>
      <c r="D9045" s="249"/>
      <c r="E9045" s="249"/>
      <c r="T9045" s="261"/>
    </row>
    <row r="9046" spans="2:20" x14ac:dyDescent="0.2">
      <c r="B9046" s="245"/>
      <c r="C9046" s="248"/>
      <c r="D9046" s="249"/>
      <c r="E9046" s="249"/>
      <c r="T9046" s="261"/>
    </row>
    <row r="9047" spans="2:20" x14ac:dyDescent="0.2">
      <c r="B9047" s="245"/>
      <c r="C9047" s="248"/>
      <c r="D9047" s="249"/>
      <c r="E9047" s="249"/>
      <c r="T9047" s="261"/>
    </row>
    <row r="9048" spans="2:20" x14ac:dyDescent="0.2">
      <c r="B9048" s="245"/>
      <c r="C9048" s="248"/>
      <c r="D9048" s="249"/>
      <c r="E9048" s="249"/>
      <c r="T9048" s="261"/>
    </row>
    <row r="9049" spans="2:20" x14ac:dyDescent="0.2">
      <c r="B9049" s="245"/>
      <c r="C9049" s="248"/>
      <c r="D9049" s="249"/>
      <c r="E9049" s="249"/>
      <c r="T9049" s="261"/>
    </row>
    <row r="9050" spans="2:20" x14ac:dyDescent="0.2">
      <c r="B9050" s="245"/>
      <c r="C9050" s="248"/>
      <c r="D9050" s="249"/>
      <c r="E9050" s="249"/>
      <c r="T9050" s="261"/>
    </row>
    <row r="9051" spans="2:20" x14ac:dyDescent="0.2">
      <c r="B9051" s="245"/>
      <c r="C9051" s="248"/>
      <c r="D9051" s="249"/>
      <c r="E9051" s="249"/>
      <c r="T9051" s="261"/>
    </row>
    <row r="9052" spans="2:20" x14ac:dyDescent="0.2">
      <c r="B9052" s="245"/>
      <c r="C9052" s="248"/>
      <c r="D9052" s="249"/>
      <c r="E9052" s="249"/>
      <c r="T9052" s="261"/>
    </row>
    <row r="9053" spans="2:20" x14ac:dyDescent="0.2">
      <c r="B9053" s="245"/>
      <c r="C9053" s="248"/>
      <c r="D9053" s="249"/>
      <c r="E9053" s="249"/>
      <c r="T9053" s="261"/>
    </row>
    <row r="9054" spans="2:20" x14ac:dyDescent="0.2">
      <c r="B9054" s="245"/>
      <c r="C9054" s="248"/>
      <c r="D9054" s="249"/>
      <c r="E9054" s="249"/>
      <c r="T9054" s="261"/>
    </row>
    <row r="9055" spans="2:20" x14ac:dyDescent="0.2">
      <c r="B9055" s="245"/>
      <c r="C9055" s="248"/>
      <c r="D9055" s="249"/>
      <c r="E9055" s="249"/>
      <c r="T9055" s="261"/>
    </row>
    <row r="9056" spans="2:20" x14ac:dyDescent="0.2">
      <c r="B9056" s="245"/>
      <c r="C9056" s="248"/>
      <c r="D9056" s="249"/>
      <c r="E9056" s="249"/>
      <c r="T9056" s="261"/>
    </row>
    <row r="9057" spans="2:20" x14ac:dyDescent="0.2">
      <c r="B9057" s="245"/>
      <c r="C9057" s="248"/>
      <c r="D9057" s="249"/>
      <c r="E9057" s="249"/>
      <c r="T9057" s="261"/>
    </row>
    <row r="9058" spans="2:20" x14ac:dyDescent="0.2">
      <c r="B9058" s="245"/>
      <c r="C9058" s="248"/>
      <c r="D9058" s="249"/>
      <c r="E9058" s="249"/>
      <c r="T9058" s="261"/>
    </row>
    <row r="9059" spans="2:20" x14ac:dyDescent="0.2">
      <c r="B9059" s="245"/>
      <c r="C9059" s="248"/>
      <c r="D9059" s="249"/>
      <c r="E9059" s="249"/>
      <c r="T9059" s="261"/>
    </row>
    <row r="9060" spans="2:20" x14ac:dyDescent="0.2">
      <c r="B9060" s="245"/>
      <c r="C9060" s="248"/>
      <c r="D9060" s="249"/>
      <c r="E9060" s="249"/>
      <c r="T9060" s="261"/>
    </row>
    <row r="9061" spans="2:20" x14ac:dyDescent="0.2">
      <c r="B9061" s="245"/>
      <c r="C9061" s="248"/>
      <c r="D9061" s="249"/>
      <c r="E9061" s="249"/>
      <c r="T9061" s="261"/>
    </row>
    <row r="9062" spans="2:20" x14ac:dyDescent="0.2">
      <c r="B9062" s="245"/>
      <c r="C9062" s="248"/>
      <c r="D9062" s="249"/>
      <c r="E9062" s="249"/>
      <c r="T9062" s="261"/>
    </row>
    <row r="9063" spans="2:20" x14ac:dyDescent="0.2">
      <c r="B9063" s="245"/>
      <c r="C9063" s="248"/>
      <c r="D9063" s="249"/>
      <c r="E9063" s="249"/>
      <c r="T9063" s="261"/>
    </row>
    <row r="9064" spans="2:20" x14ac:dyDescent="0.2">
      <c r="B9064" s="245"/>
      <c r="C9064" s="248"/>
      <c r="D9064" s="249"/>
      <c r="E9064" s="249"/>
      <c r="T9064" s="261"/>
    </row>
    <row r="9065" spans="2:20" x14ac:dyDescent="0.2">
      <c r="B9065" s="245"/>
      <c r="C9065" s="248"/>
      <c r="D9065" s="249"/>
      <c r="E9065" s="249"/>
      <c r="T9065" s="261"/>
    </row>
    <row r="9066" spans="2:20" x14ac:dyDescent="0.2">
      <c r="B9066" s="245"/>
      <c r="C9066" s="248"/>
      <c r="D9066" s="249"/>
      <c r="E9066" s="249"/>
      <c r="T9066" s="261"/>
    </row>
    <row r="9067" spans="2:20" x14ac:dyDescent="0.2">
      <c r="B9067" s="245"/>
      <c r="C9067" s="248"/>
      <c r="D9067" s="249"/>
      <c r="E9067" s="249"/>
      <c r="T9067" s="261"/>
    </row>
    <row r="9068" spans="2:20" x14ac:dyDescent="0.2">
      <c r="B9068" s="245"/>
      <c r="C9068" s="248"/>
      <c r="D9068" s="249"/>
      <c r="E9068" s="249"/>
      <c r="T9068" s="261"/>
    </row>
    <row r="9069" spans="2:20" x14ac:dyDescent="0.2">
      <c r="B9069" s="245"/>
      <c r="C9069" s="248"/>
      <c r="D9069" s="249"/>
      <c r="E9069" s="249"/>
      <c r="T9069" s="261"/>
    </row>
    <row r="9070" spans="2:20" x14ac:dyDescent="0.2">
      <c r="B9070" s="245"/>
      <c r="C9070" s="248"/>
      <c r="D9070" s="249"/>
      <c r="E9070" s="249"/>
      <c r="T9070" s="261"/>
    </row>
    <row r="9071" spans="2:20" x14ac:dyDescent="0.2">
      <c r="B9071" s="245"/>
      <c r="C9071" s="248"/>
      <c r="D9071" s="249"/>
      <c r="E9071" s="249"/>
      <c r="T9071" s="261"/>
    </row>
    <row r="9072" spans="2:20" x14ac:dyDescent="0.2">
      <c r="B9072" s="245"/>
      <c r="C9072" s="248"/>
      <c r="D9072" s="249"/>
      <c r="E9072" s="249"/>
      <c r="T9072" s="261"/>
    </row>
    <row r="9073" spans="2:20" x14ac:dyDescent="0.2">
      <c r="B9073" s="245"/>
      <c r="C9073" s="248"/>
      <c r="D9073" s="249"/>
      <c r="E9073" s="249"/>
      <c r="T9073" s="261"/>
    </row>
    <row r="9074" spans="2:20" x14ac:dyDescent="0.2">
      <c r="B9074" s="245"/>
      <c r="C9074" s="248"/>
      <c r="D9074" s="249"/>
      <c r="E9074" s="249"/>
      <c r="T9074" s="261"/>
    </row>
    <row r="9075" spans="2:20" x14ac:dyDescent="0.2">
      <c r="B9075" s="245"/>
      <c r="C9075" s="248"/>
      <c r="D9075" s="249"/>
      <c r="E9075" s="249"/>
      <c r="T9075" s="261"/>
    </row>
    <row r="9076" spans="2:20" x14ac:dyDescent="0.2">
      <c r="B9076" s="245"/>
      <c r="C9076" s="248"/>
      <c r="D9076" s="249"/>
      <c r="E9076" s="249"/>
      <c r="T9076" s="261"/>
    </row>
    <row r="9077" spans="2:20" x14ac:dyDescent="0.2">
      <c r="B9077" s="245"/>
      <c r="C9077" s="248"/>
      <c r="D9077" s="249"/>
      <c r="E9077" s="249"/>
      <c r="T9077" s="261"/>
    </row>
    <row r="9078" spans="2:20" x14ac:dyDescent="0.2">
      <c r="B9078" s="245"/>
      <c r="C9078" s="248"/>
      <c r="D9078" s="249"/>
      <c r="E9078" s="249"/>
      <c r="T9078" s="261"/>
    </row>
    <row r="9079" spans="2:20" x14ac:dyDescent="0.2">
      <c r="B9079" s="245"/>
      <c r="C9079" s="248"/>
      <c r="D9079" s="249"/>
      <c r="E9079" s="249"/>
      <c r="T9079" s="261"/>
    </row>
    <row r="9080" spans="2:20" x14ac:dyDescent="0.2">
      <c r="B9080" s="245"/>
      <c r="C9080" s="248"/>
      <c r="D9080" s="249"/>
      <c r="E9080" s="249"/>
      <c r="T9080" s="261"/>
    </row>
    <row r="9081" spans="2:20" x14ac:dyDescent="0.2">
      <c r="B9081" s="245"/>
      <c r="C9081" s="248"/>
      <c r="D9081" s="249"/>
      <c r="E9081" s="249"/>
      <c r="T9081" s="261"/>
    </row>
    <row r="9082" spans="2:20" x14ac:dyDescent="0.2">
      <c r="B9082" s="245"/>
      <c r="C9082" s="248"/>
      <c r="D9082" s="249"/>
      <c r="E9082" s="249"/>
      <c r="T9082" s="261"/>
    </row>
    <row r="9083" spans="2:20" x14ac:dyDescent="0.2">
      <c r="B9083" s="245"/>
      <c r="C9083" s="248"/>
      <c r="D9083" s="249"/>
      <c r="E9083" s="249"/>
      <c r="T9083" s="261"/>
    </row>
    <row r="9084" spans="2:20" x14ac:dyDescent="0.2">
      <c r="B9084" s="245"/>
      <c r="C9084" s="248"/>
      <c r="D9084" s="249"/>
      <c r="E9084" s="249"/>
      <c r="T9084" s="261"/>
    </row>
    <row r="9085" spans="2:20" x14ac:dyDescent="0.2">
      <c r="B9085" s="245"/>
      <c r="C9085" s="248"/>
      <c r="D9085" s="249"/>
      <c r="E9085" s="249"/>
      <c r="T9085" s="261"/>
    </row>
    <row r="9086" spans="2:20" x14ac:dyDescent="0.2">
      <c r="B9086" s="245"/>
      <c r="C9086" s="248"/>
      <c r="D9086" s="249"/>
      <c r="E9086" s="249"/>
      <c r="T9086" s="261"/>
    </row>
    <row r="9087" spans="2:20" x14ac:dyDescent="0.2">
      <c r="B9087" s="245"/>
      <c r="C9087" s="248"/>
      <c r="D9087" s="249"/>
      <c r="E9087" s="249"/>
      <c r="T9087" s="261"/>
    </row>
    <row r="9088" spans="2:20" x14ac:dyDescent="0.2">
      <c r="B9088" s="245"/>
      <c r="C9088" s="248"/>
      <c r="D9088" s="249"/>
      <c r="E9088" s="249"/>
      <c r="T9088" s="261"/>
    </row>
    <row r="9089" spans="2:20" x14ac:dyDescent="0.2">
      <c r="B9089" s="245"/>
      <c r="C9089" s="248"/>
      <c r="D9089" s="249"/>
      <c r="E9089" s="249"/>
      <c r="T9089" s="261"/>
    </row>
    <row r="9090" spans="2:20" x14ac:dyDescent="0.2">
      <c r="B9090" s="245"/>
      <c r="C9090" s="248"/>
      <c r="D9090" s="249"/>
      <c r="E9090" s="249"/>
      <c r="T9090" s="261"/>
    </row>
    <row r="9091" spans="2:20" x14ac:dyDescent="0.2">
      <c r="B9091" s="245"/>
      <c r="C9091" s="248"/>
      <c r="D9091" s="249"/>
      <c r="E9091" s="249"/>
      <c r="T9091" s="261"/>
    </row>
    <row r="9092" spans="2:20" x14ac:dyDescent="0.2">
      <c r="B9092" s="245"/>
      <c r="C9092" s="248"/>
      <c r="D9092" s="249"/>
      <c r="E9092" s="249"/>
      <c r="T9092" s="261"/>
    </row>
    <row r="9093" spans="2:20" x14ac:dyDescent="0.2">
      <c r="B9093" s="245"/>
      <c r="C9093" s="248"/>
      <c r="D9093" s="249"/>
      <c r="E9093" s="249"/>
      <c r="T9093" s="261"/>
    </row>
    <row r="9094" spans="2:20" x14ac:dyDescent="0.2">
      <c r="B9094" s="245"/>
      <c r="C9094" s="248"/>
      <c r="D9094" s="249"/>
      <c r="E9094" s="249"/>
      <c r="T9094" s="261"/>
    </row>
    <row r="9095" spans="2:20" x14ac:dyDescent="0.2">
      <c r="B9095" s="245"/>
      <c r="C9095" s="248"/>
      <c r="D9095" s="249"/>
      <c r="E9095" s="249"/>
      <c r="T9095" s="261"/>
    </row>
    <row r="9096" spans="2:20" x14ac:dyDescent="0.2">
      <c r="B9096" s="245"/>
      <c r="C9096" s="248"/>
      <c r="D9096" s="249"/>
      <c r="E9096" s="249"/>
      <c r="T9096" s="261"/>
    </row>
    <row r="9097" spans="2:20" x14ac:dyDescent="0.2">
      <c r="B9097" s="245"/>
      <c r="C9097" s="248"/>
      <c r="D9097" s="249"/>
      <c r="E9097" s="249"/>
      <c r="T9097" s="261"/>
    </row>
    <row r="9098" spans="2:20" x14ac:dyDescent="0.2">
      <c r="B9098" s="245"/>
      <c r="C9098" s="248"/>
      <c r="D9098" s="249"/>
      <c r="E9098" s="249"/>
      <c r="T9098" s="261"/>
    </row>
    <row r="9099" spans="2:20" x14ac:dyDescent="0.2">
      <c r="B9099" s="245"/>
      <c r="C9099" s="248"/>
      <c r="D9099" s="249"/>
      <c r="E9099" s="249"/>
      <c r="T9099" s="261"/>
    </row>
    <row r="9100" spans="2:20" x14ac:dyDescent="0.2">
      <c r="B9100" s="245"/>
      <c r="C9100" s="248"/>
      <c r="D9100" s="249"/>
      <c r="E9100" s="249"/>
      <c r="T9100" s="261"/>
    </row>
    <row r="9101" spans="2:20" x14ac:dyDescent="0.2">
      <c r="B9101" s="245"/>
      <c r="C9101" s="248"/>
      <c r="D9101" s="249"/>
      <c r="E9101" s="249"/>
      <c r="T9101" s="261"/>
    </row>
    <row r="9102" spans="2:20" x14ac:dyDescent="0.2">
      <c r="B9102" s="245"/>
      <c r="C9102" s="248"/>
      <c r="D9102" s="249"/>
      <c r="E9102" s="249"/>
      <c r="T9102" s="261"/>
    </row>
    <row r="9103" spans="2:20" x14ac:dyDescent="0.2">
      <c r="B9103" s="245"/>
      <c r="C9103" s="248"/>
      <c r="D9103" s="249"/>
      <c r="E9103" s="249"/>
      <c r="T9103" s="261"/>
    </row>
    <row r="9104" spans="2:20" x14ac:dyDescent="0.2">
      <c r="B9104" s="245"/>
      <c r="C9104" s="248"/>
      <c r="D9104" s="249"/>
      <c r="E9104" s="249"/>
      <c r="T9104" s="261"/>
    </row>
    <row r="9105" spans="2:20" x14ac:dyDescent="0.2">
      <c r="B9105" s="245"/>
      <c r="C9105" s="248"/>
      <c r="D9105" s="249"/>
      <c r="E9105" s="249"/>
      <c r="T9105" s="261"/>
    </row>
    <row r="9106" spans="2:20" x14ac:dyDescent="0.2">
      <c r="B9106" s="245"/>
      <c r="C9106" s="248"/>
      <c r="D9106" s="249"/>
      <c r="E9106" s="249"/>
      <c r="T9106" s="261"/>
    </row>
    <row r="9107" spans="2:20" x14ac:dyDescent="0.2">
      <c r="B9107" s="245"/>
      <c r="C9107" s="248"/>
      <c r="D9107" s="249"/>
      <c r="E9107" s="249"/>
      <c r="T9107" s="261"/>
    </row>
    <row r="9108" spans="2:20" x14ac:dyDescent="0.2">
      <c r="B9108" s="245"/>
      <c r="C9108" s="248"/>
      <c r="D9108" s="249"/>
      <c r="E9108" s="249"/>
      <c r="T9108" s="261"/>
    </row>
    <row r="9109" spans="2:20" x14ac:dyDescent="0.2">
      <c r="B9109" s="245"/>
      <c r="C9109" s="248"/>
      <c r="D9109" s="249"/>
      <c r="E9109" s="249"/>
      <c r="T9109" s="261"/>
    </row>
    <row r="9110" spans="2:20" x14ac:dyDescent="0.2">
      <c r="B9110" s="245"/>
      <c r="C9110" s="248"/>
      <c r="D9110" s="249"/>
      <c r="E9110" s="249"/>
      <c r="T9110" s="261"/>
    </row>
    <row r="9111" spans="2:20" x14ac:dyDescent="0.2">
      <c r="B9111" s="245"/>
      <c r="C9111" s="248"/>
      <c r="D9111" s="249"/>
      <c r="E9111" s="249"/>
      <c r="T9111" s="261"/>
    </row>
    <row r="9112" spans="2:20" x14ac:dyDescent="0.2">
      <c r="B9112" s="245"/>
      <c r="C9112" s="248"/>
      <c r="D9112" s="249"/>
      <c r="E9112" s="249"/>
      <c r="T9112" s="261"/>
    </row>
    <row r="9113" spans="2:20" x14ac:dyDescent="0.2">
      <c r="B9113" s="245"/>
      <c r="C9113" s="248"/>
      <c r="D9113" s="249"/>
      <c r="E9113" s="249"/>
      <c r="T9113" s="261"/>
    </row>
    <row r="9114" spans="2:20" x14ac:dyDescent="0.2">
      <c r="B9114" s="245"/>
      <c r="C9114" s="248"/>
      <c r="D9114" s="249"/>
      <c r="E9114" s="249"/>
      <c r="T9114" s="261"/>
    </row>
    <row r="9115" spans="2:20" x14ac:dyDescent="0.2">
      <c r="B9115" s="245"/>
      <c r="C9115" s="248"/>
      <c r="D9115" s="249"/>
      <c r="E9115" s="249"/>
      <c r="T9115" s="261"/>
    </row>
    <row r="9116" spans="2:20" x14ac:dyDescent="0.2">
      <c r="B9116" s="245"/>
      <c r="C9116" s="248"/>
      <c r="D9116" s="249"/>
      <c r="E9116" s="249"/>
      <c r="T9116" s="261"/>
    </row>
    <row r="9117" spans="2:20" x14ac:dyDescent="0.2">
      <c r="B9117" s="245"/>
      <c r="C9117" s="248"/>
      <c r="D9117" s="249"/>
      <c r="E9117" s="249"/>
      <c r="T9117" s="261"/>
    </row>
    <row r="9118" spans="2:20" x14ac:dyDescent="0.2">
      <c r="B9118" s="245"/>
      <c r="C9118" s="248"/>
      <c r="D9118" s="249"/>
      <c r="E9118" s="249"/>
      <c r="T9118" s="261"/>
    </row>
    <row r="9119" spans="2:20" x14ac:dyDescent="0.2">
      <c r="B9119" s="245"/>
      <c r="C9119" s="248"/>
      <c r="D9119" s="249"/>
      <c r="E9119" s="249"/>
      <c r="T9119" s="261"/>
    </row>
    <row r="9120" spans="2:20" x14ac:dyDescent="0.2">
      <c r="B9120" s="245"/>
      <c r="C9120" s="248"/>
      <c r="D9120" s="249"/>
      <c r="E9120" s="249"/>
      <c r="T9120" s="261"/>
    </row>
    <row r="9121" spans="2:20" x14ac:dyDescent="0.2">
      <c r="B9121" s="245"/>
      <c r="C9121" s="248"/>
      <c r="D9121" s="249"/>
      <c r="E9121" s="249"/>
      <c r="T9121" s="261"/>
    </row>
    <row r="9122" spans="2:20" x14ac:dyDescent="0.2">
      <c r="B9122" s="245"/>
      <c r="C9122" s="248"/>
      <c r="D9122" s="249"/>
      <c r="E9122" s="249"/>
      <c r="T9122" s="261"/>
    </row>
    <row r="9123" spans="2:20" x14ac:dyDescent="0.2">
      <c r="B9123" s="245"/>
      <c r="C9123" s="248"/>
      <c r="D9123" s="249"/>
      <c r="E9123" s="249"/>
      <c r="T9123" s="261"/>
    </row>
    <row r="9124" spans="2:20" x14ac:dyDescent="0.2">
      <c r="B9124" s="245"/>
      <c r="C9124" s="248"/>
      <c r="D9124" s="249"/>
      <c r="E9124" s="249"/>
      <c r="T9124" s="261"/>
    </row>
    <row r="9125" spans="2:20" x14ac:dyDescent="0.2">
      <c r="B9125" s="245"/>
      <c r="C9125" s="248"/>
      <c r="D9125" s="249"/>
      <c r="E9125" s="249"/>
      <c r="T9125" s="261"/>
    </row>
    <row r="9126" spans="2:20" x14ac:dyDescent="0.2">
      <c r="B9126" s="245"/>
      <c r="C9126" s="248"/>
      <c r="D9126" s="249"/>
      <c r="E9126" s="249"/>
      <c r="T9126" s="261"/>
    </row>
    <row r="9127" spans="2:20" x14ac:dyDescent="0.2">
      <c r="B9127" s="245"/>
      <c r="C9127" s="248"/>
      <c r="D9127" s="249"/>
      <c r="E9127" s="249"/>
      <c r="T9127" s="261"/>
    </row>
    <row r="9128" spans="2:20" x14ac:dyDescent="0.2">
      <c r="B9128" s="245"/>
      <c r="C9128" s="248"/>
      <c r="D9128" s="249"/>
      <c r="E9128" s="249"/>
      <c r="T9128" s="261"/>
    </row>
    <row r="9129" spans="2:20" x14ac:dyDescent="0.2">
      <c r="B9129" s="245"/>
      <c r="C9129" s="248"/>
      <c r="D9129" s="249"/>
      <c r="E9129" s="249"/>
      <c r="T9129" s="261"/>
    </row>
    <row r="9130" spans="2:20" x14ac:dyDescent="0.2">
      <c r="B9130" s="245"/>
      <c r="C9130" s="248"/>
      <c r="D9130" s="249"/>
      <c r="E9130" s="249"/>
      <c r="T9130" s="261"/>
    </row>
    <row r="9131" spans="2:20" x14ac:dyDescent="0.2">
      <c r="B9131" s="245"/>
      <c r="C9131" s="248"/>
      <c r="D9131" s="249"/>
      <c r="E9131" s="249"/>
      <c r="T9131" s="261"/>
    </row>
    <row r="9132" spans="2:20" x14ac:dyDescent="0.2">
      <c r="B9132" s="245"/>
      <c r="C9132" s="248"/>
      <c r="D9132" s="249"/>
      <c r="E9132" s="249"/>
      <c r="T9132" s="261"/>
    </row>
    <row r="9133" spans="2:20" x14ac:dyDescent="0.2">
      <c r="B9133" s="245"/>
      <c r="C9133" s="248"/>
      <c r="D9133" s="249"/>
      <c r="E9133" s="249"/>
      <c r="T9133" s="261"/>
    </row>
    <row r="9134" spans="2:20" x14ac:dyDescent="0.2">
      <c r="B9134" s="245"/>
      <c r="C9134" s="248"/>
      <c r="D9134" s="249"/>
      <c r="E9134" s="249"/>
      <c r="T9134" s="261"/>
    </row>
    <row r="9135" spans="2:20" x14ac:dyDescent="0.2">
      <c r="B9135" s="245"/>
      <c r="C9135" s="248"/>
      <c r="D9135" s="249"/>
      <c r="E9135" s="249"/>
      <c r="T9135" s="261"/>
    </row>
    <row r="9136" spans="2:20" x14ac:dyDescent="0.2">
      <c r="B9136" s="245"/>
      <c r="C9136" s="248"/>
      <c r="D9136" s="249"/>
      <c r="E9136" s="249"/>
      <c r="T9136" s="261"/>
    </row>
    <row r="9137" spans="2:20" x14ac:dyDescent="0.2">
      <c r="B9137" s="245"/>
      <c r="C9137" s="248"/>
      <c r="D9137" s="249"/>
      <c r="E9137" s="249"/>
      <c r="T9137" s="261"/>
    </row>
    <row r="9138" spans="2:20" x14ac:dyDescent="0.2">
      <c r="B9138" s="245"/>
      <c r="C9138" s="248"/>
      <c r="D9138" s="249"/>
      <c r="E9138" s="249"/>
      <c r="T9138" s="261"/>
    </row>
    <row r="9139" spans="2:20" x14ac:dyDescent="0.2">
      <c r="B9139" s="245"/>
      <c r="C9139" s="248"/>
      <c r="D9139" s="249"/>
      <c r="E9139" s="249"/>
      <c r="T9139" s="261"/>
    </row>
    <row r="9140" spans="2:20" x14ac:dyDescent="0.2">
      <c r="B9140" s="245"/>
      <c r="C9140" s="248"/>
      <c r="D9140" s="249"/>
      <c r="E9140" s="249"/>
      <c r="T9140" s="261"/>
    </row>
    <row r="9141" spans="2:20" x14ac:dyDescent="0.2">
      <c r="B9141" s="245"/>
      <c r="C9141" s="248"/>
      <c r="D9141" s="249"/>
      <c r="E9141" s="249"/>
      <c r="T9141" s="261"/>
    </row>
    <row r="9142" spans="2:20" x14ac:dyDescent="0.2">
      <c r="B9142" s="245"/>
      <c r="C9142" s="248"/>
      <c r="D9142" s="249"/>
      <c r="E9142" s="249"/>
      <c r="T9142" s="261"/>
    </row>
    <row r="9143" spans="2:20" x14ac:dyDescent="0.2">
      <c r="B9143" s="245"/>
      <c r="C9143" s="248"/>
      <c r="D9143" s="249"/>
      <c r="E9143" s="249"/>
      <c r="T9143" s="261"/>
    </row>
    <row r="9144" spans="2:20" x14ac:dyDescent="0.2">
      <c r="B9144" s="245"/>
      <c r="C9144" s="248"/>
      <c r="D9144" s="249"/>
      <c r="E9144" s="249"/>
      <c r="T9144" s="261"/>
    </row>
    <row r="9145" spans="2:20" x14ac:dyDescent="0.2">
      <c r="B9145" s="245"/>
      <c r="C9145" s="248"/>
      <c r="D9145" s="249"/>
      <c r="E9145" s="249"/>
      <c r="T9145" s="261"/>
    </row>
    <row r="9146" spans="2:20" x14ac:dyDescent="0.2">
      <c r="B9146" s="245"/>
      <c r="C9146" s="248"/>
      <c r="D9146" s="249"/>
      <c r="E9146" s="249"/>
      <c r="T9146" s="261"/>
    </row>
    <row r="9147" spans="2:20" x14ac:dyDescent="0.2">
      <c r="B9147" s="245"/>
      <c r="C9147" s="248"/>
      <c r="D9147" s="249"/>
      <c r="E9147" s="249"/>
      <c r="T9147" s="261"/>
    </row>
    <row r="9148" spans="2:20" x14ac:dyDescent="0.2">
      <c r="B9148" s="245"/>
      <c r="C9148" s="248"/>
      <c r="D9148" s="249"/>
      <c r="E9148" s="249"/>
      <c r="T9148" s="261"/>
    </row>
    <row r="9149" spans="2:20" x14ac:dyDescent="0.2">
      <c r="B9149" s="245"/>
      <c r="C9149" s="248"/>
      <c r="D9149" s="249"/>
      <c r="E9149" s="249"/>
      <c r="T9149" s="261"/>
    </row>
    <row r="9150" spans="2:20" x14ac:dyDescent="0.2">
      <c r="B9150" s="245"/>
      <c r="C9150" s="248"/>
      <c r="D9150" s="249"/>
      <c r="E9150" s="249"/>
      <c r="T9150" s="261"/>
    </row>
    <row r="9151" spans="2:20" x14ac:dyDescent="0.2">
      <c r="B9151" s="245"/>
      <c r="C9151" s="248"/>
      <c r="D9151" s="249"/>
      <c r="E9151" s="249"/>
      <c r="T9151" s="261"/>
    </row>
    <row r="9152" spans="2:20" x14ac:dyDescent="0.2">
      <c r="B9152" s="245"/>
      <c r="C9152" s="248"/>
      <c r="D9152" s="249"/>
      <c r="E9152" s="249"/>
      <c r="T9152" s="261"/>
    </row>
    <row r="9153" spans="2:20" x14ac:dyDescent="0.2">
      <c r="B9153" s="245"/>
      <c r="C9153" s="248"/>
      <c r="D9153" s="249"/>
      <c r="E9153" s="249"/>
      <c r="T9153" s="261"/>
    </row>
    <row r="9154" spans="2:20" x14ac:dyDescent="0.2">
      <c r="B9154" s="245"/>
      <c r="C9154" s="248"/>
      <c r="D9154" s="249"/>
      <c r="E9154" s="249"/>
      <c r="T9154" s="261"/>
    </row>
    <row r="9155" spans="2:20" x14ac:dyDescent="0.2">
      <c r="B9155" s="245"/>
      <c r="C9155" s="248"/>
      <c r="D9155" s="249"/>
      <c r="E9155" s="249"/>
      <c r="T9155" s="261"/>
    </row>
    <row r="9156" spans="2:20" x14ac:dyDescent="0.2">
      <c r="B9156" s="245"/>
      <c r="C9156" s="248"/>
      <c r="D9156" s="249"/>
      <c r="E9156" s="249"/>
      <c r="T9156" s="261"/>
    </row>
    <row r="9157" spans="2:20" x14ac:dyDescent="0.2">
      <c r="B9157" s="245"/>
      <c r="C9157" s="248"/>
      <c r="D9157" s="249"/>
      <c r="E9157" s="249"/>
      <c r="T9157" s="261"/>
    </row>
    <row r="9158" spans="2:20" x14ac:dyDescent="0.2">
      <c r="B9158" s="245"/>
      <c r="C9158" s="248"/>
      <c r="D9158" s="249"/>
      <c r="E9158" s="249"/>
      <c r="T9158" s="261"/>
    </row>
    <row r="9159" spans="2:20" x14ac:dyDescent="0.2">
      <c r="B9159" s="245"/>
      <c r="C9159" s="248"/>
      <c r="D9159" s="249"/>
      <c r="E9159" s="249"/>
      <c r="T9159" s="261"/>
    </row>
    <row r="9160" spans="2:20" x14ac:dyDescent="0.2">
      <c r="B9160" s="245"/>
      <c r="C9160" s="248"/>
      <c r="D9160" s="249"/>
      <c r="E9160" s="249"/>
      <c r="T9160" s="261"/>
    </row>
    <row r="9161" spans="2:20" x14ac:dyDescent="0.2">
      <c r="B9161" s="245"/>
      <c r="C9161" s="248"/>
      <c r="D9161" s="249"/>
      <c r="E9161" s="249"/>
      <c r="T9161" s="261"/>
    </row>
    <row r="9162" spans="2:20" x14ac:dyDescent="0.2">
      <c r="B9162" s="245"/>
      <c r="C9162" s="248"/>
      <c r="D9162" s="249"/>
      <c r="E9162" s="249"/>
      <c r="T9162" s="261"/>
    </row>
    <row r="9163" spans="2:20" x14ac:dyDescent="0.2">
      <c r="B9163" s="245"/>
      <c r="C9163" s="248"/>
      <c r="D9163" s="249"/>
      <c r="E9163" s="249"/>
      <c r="T9163" s="261"/>
    </row>
    <row r="9164" spans="2:20" x14ac:dyDescent="0.2">
      <c r="B9164" s="245"/>
      <c r="C9164" s="248"/>
      <c r="D9164" s="249"/>
      <c r="E9164" s="249"/>
      <c r="T9164" s="261"/>
    </row>
    <row r="9165" spans="2:20" x14ac:dyDescent="0.2">
      <c r="B9165" s="245"/>
      <c r="C9165" s="248"/>
      <c r="D9165" s="249"/>
      <c r="E9165" s="249"/>
      <c r="T9165" s="261"/>
    </row>
    <row r="9166" spans="2:20" x14ac:dyDescent="0.2">
      <c r="B9166" s="245"/>
      <c r="C9166" s="248"/>
      <c r="D9166" s="249"/>
      <c r="E9166" s="249"/>
      <c r="T9166" s="261"/>
    </row>
    <row r="9167" spans="2:20" x14ac:dyDescent="0.2">
      <c r="B9167" s="245"/>
      <c r="C9167" s="248"/>
      <c r="D9167" s="249"/>
      <c r="E9167" s="249"/>
      <c r="T9167" s="261"/>
    </row>
    <row r="9168" spans="2:20" x14ac:dyDescent="0.2">
      <c r="B9168" s="245"/>
      <c r="C9168" s="248"/>
      <c r="D9168" s="249"/>
      <c r="E9168" s="249"/>
      <c r="T9168" s="261"/>
    </row>
    <row r="9169" spans="2:20" x14ac:dyDescent="0.2">
      <c r="B9169" s="245"/>
      <c r="C9169" s="248"/>
      <c r="D9169" s="249"/>
      <c r="E9169" s="249"/>
      <c r="T9169" s="261"/>
    </row>
    <row r="9170" spans="2:20" x14ac:dyDescent="0.2">
      <c r="B9170" s="245"/>
      <c r="C9170" s="248"/>
      <c r="D9170" s="249"/>
      <c r="E9170" s="249"/>
      <c r="T9170" s="261"/>
    </row>
    <row r="9171" spans="2:20" x14ac:dyDescent="0.2">
      <c r="B9171" s="245"/>
      <c r="C9171" s="248"/>
      <c r="D9171" s="249"/>
      <c r="E9171" s="249"/>
      <c r="T9171" s="261"/>
    </row>
    <row r="9172" spans="2:20" x14ac:dyDescent="0.2">
      <c r="B9172" s="245"/>
      <c r="C9172" s="248"/>
      <c r="D9172" s="249"/>
      <c r="E9172" s="249"/>
      <c r="T9172" s="261"/>
    </row>
    <row r="9173" spans="2:20" x14ac:dyDescent="0.2">
      <c r="B9173" s="245"/>
      <c r="C9173" s="248"/>
      <c r="D9173" s="249"/>
      <c r="E9173" s="249"/>
      <c r="T9173" s="261"/>
    </row>
    <row r="9174" spans="2:20" x14ac:dyDescent="0.2">
      <c r="B9174" s="245"/>
      <c r="C9174" s="248"/>
      <c r="D9174" s="249"/>
      <c r="E9174" s="249"/>
      <c r="T9174" s="261"/>
    </row>
    <row r="9175" spans="2:20" x14ac:dyDescent="0.2">
      <c r="B9175" s="245"/>
      <c r="C9175" s="248"/>
      <c r="D9175" s="249"/>
      <c r="E9175" s="249"/>
      <c r="T9175" s="261"/>
    </row>
    <row r="9176" spans="2:20" x14ac:dyDescent="0.2">
      <c r="B9176" s="245"/>
      <c r="C9176" s="248"/>
      <c r="D9176" s="249"/>
      <c r="E9176" s="249"/>
      <c r="T9176" s="261"/>
    </row>
    <row r="9177" spans="2:20" x14ac:dyDescent="0.2">
      <c r="B9177" s="245"/>
      <c r="C9177" s="248"/>
      <c r="D9177" s="249"/>
      <c r="E9177" s="249"/>
      <c r="T9177" s="261"/>
    </row>
    <row r="9178" spans="2:20" x14ac:dyDescent="0.2">
      <c r="B9178" s="245"/>
      <c r="C9178" s="248"/>
      <c r="D9178" s="249"/>
      <c r="E9178" s="249"/>
      <c r="T9178" s="261"/>
    </row>
    <row r="9179" spans="2:20" x14ac:dyDescent="0.2">
      <c r="B9179" s="245"/>
      <c r="C9179" s="248"/>
      <c r="D9179" s="249"/>
      <c r="E9179" s="249"/>
      <c r="T9179" s="261"/>
    </row>
    <row r="9180" spans="2:20" x14ac:dyDescent="0.2">
      <c r="B9180" s="245"/>
      <c r="C9180" s="248"/>
      <c r="D9180" s="249"/>
      <c r="E9180" s="249"/>
      <c r="T9180" s="261"/>
    </row>
    <row r="9181" spans="2:20" x14ac:dyDescent="0.2">
      <c r="B9181" s="245"/>
      <c r="C9181" s="248"/>
      <c r="D9181" s="249"/>
      <c r="E9181" s="249"/>
      <c r="T9181" s="261"/>
    </row>
    <row r="9182" spans="2:20" x14ac:dyDescent="0.2">
      <c r="B9182" s="245"/>
      <c r="C9182" s="248"/>
      <c r="D9182" s="249"/>
      <c r="E9182" s="249"/>
      <c r="T9182" s="261"/>
    </row>
    <row r="9183" spans="2:20" x14ac:dyDescent="0.2">
      <c r="B9183" s="245"/>
      <c r="C9183" s="248"/>
      <c r="D9183" s="249"/>
      <c r="E9183" s="249"/>
      <c r="T9183" s="261"/>
    </row>
    <row r="9184" spans="2:20" x14ac:dyDescent="0.2">
      <c r="B9184" s="245"/>
      <c r="C9184" s="248"/>
      <c r="D9184" s="249"/>
      <c r="E9184" s="249"/>
      <c r="T9184" s="261"/>
    </row>
    <row r="9185" spans="2:20" x14ac:dyDescent="0.2">
      <c r="B9185" s="245"/>
      <c r="C9185" s="248"/>
      <c r="D9185" s="249"/>
      <c r="E9185" s="249"/>
      <c r="T9185" s="261"/>
    </row>
    <row r="9186" spans="2:20" x14ac:dyDescent="0.2">
      <c r="B9186" s="245"/>
      <c r="C9186" s="248"/>
      <c r="D9186" s="249"/>
      <c r="E9186" s="249"/>
      <c r="T9186" s="261"/>
    </row>
    <row r="9187" spans="2:20" x14ac:dyDescent="0.2">
      <c r="B9187" s="245"/>
      <c r="C9187" s="248"/>
      <c r="D9187" s="249"/>
      <c r="E9187" s="249"/>
      <c r="T9187" s="261"/>
    </row>
    <row r="9188" spans="2:20" x14ac:dyDescent="0.2">
      <c r="B9188" s="245"/>
      <c r="C9188" s="248"/>
      <c r="D9188" s="249"/>
      <c r="E9188" s="249"/>
      <c r="T9188" s="261"/>
    </row>
    <row r="9189" spans="2:20" x14ac:dyDescent="0.2">
      <c r="B9189" s="245"/>
      <c r="C9189" s="248"/>
      <c r="D9189" s="249"/>
      <c r="E9189" s="249"/>
      <c r="T9189" s="261"/>
    </row>
    <row r="9190" spans="2:20" x14ac:dyDescent="0.2">
      <c r="B9190" s="245"/>
      <c r="C9190" s="248"/>
      <c r="D9190" s="249"/>
      <c r="E9190" s="249"/>
      <c r="T9190" s="261"/>
    </row>
    <row r="9191" spans="2:20" x14ac:dyDescent="0.2">
      <c r="B9191" s="245"/>
      <c r="C9191" s="248"/>
      <c r="D9191" s="249"/>
      <c r="E9191" s="249"/>
      <c r="T9191" s="261"/>
    </row>
    <row r="9192" spans="2:20" x14ac:dyDescent="0.2">
      <c r="B9192" s="245"/>
      <c r="C9192" s="248"/>
      <c r="D9192" s="249"/>
      <c r="E9192" s="249"/>
      <c r="T9192" s="261"/>
    </row>
    <row r="9193" spans="2:20" x14ac:dyDescent="0.2">
      <c r="B9193" s="245"/>
      <c r="C9193" s="248"/>
      <c r="D9193" s="249"/>
      <c r="E9193" s="249"/>
      <c r="T9193" s="261"/>
    </row>
    <row r="9194" spans="2:20" x14ac:dyDescent="0.2">
      <c r="B9194" s="245"/>
      <c r="C9194" s="248"/>
      <c r="D9194" s="249"/>
      <c r="E9194" s="249"/>
      <c r="T9194" s="261"/>
    </row>
    <row r="9195" spans="2:20" x14ac:dyDescent="0.2">
      <c r="B9195" s="245"/>
      <c r="C9195" s="248"/>
      <c r="D9195" s="249"/>
      <c r="E9195" s="249"/>
      <c r="T9195" s="261"/>
    </row>
    <row r="9196" spans="2:20" x14ac:dyDescent="0.2">
      <c r="B9196" s="245"/>
      <c r="C9196" s="248"/>
      <c r="D9196" s="249"/>
      <c r="E9196" s="249"/>
      <c r="T9196" s="261"/>
    </row>
    <row r="9197" spans="2:20" x14ac:dyDescent="0.2">
      <c r="B9197" s="245"/>
      <c r="C9197" s="248"/>
      <c r="D9197" s="249"/>
      <c r="E9197" s="249"/>
      <c r="T9197" s="261"/>
    </row>
    <row r="9198" spans="2:20" x14ac:dyDescent="0.2">
      <c r="B9198" s="245"/>
      <c r="C9198" s="248"/>
      <c r="D9198" s="249"/>
      <c r="E9198" s="249"/>
      <c r="T9198" s="261"/>
    </row>
    <row r="9199" spans="2:20" x14ac:dyDescent="0.2">
      <c r="B9199" s="245"/>
      <c r="C9199" s="248"/>
      <c r="D9199" s="249"/>
      <c r="E9199" s="249"/>
      <c r="T9199" s="261"/>
    </row>
    <row r="9200" spans="2:20" x14ac:dyDescent="0.2">
      <c r="B9200" s="245"/>
      <c r="C9200" s="248"/>
      <c r="D9200" s="249"/>
      <c r="E9200" s="249"/>
      <c r="T9200" s="261"/>
    </row>
    <row r="9201" spans="2:20" x14ac:dyDescent="0.2">
      <c r="B9201" s="245"/>
      <c r="C9201" s="248"/>
      <c r="D9201" s="249"/>
      <c r="E9201" s="249"/>
      <c r="T9201" s="261"/>
    </row>
    <row r="9202" spans="2:20" x14ac:dyDescent="0.2">
      <c r="B9202" s="245"/>
      <c r="C9202" s="248"/>
      <c r="D9202" s="249"/>
      <c r="E9202" s="249"/>
      <c r="T9202" s="261"/>
    </row>
    <row r="9203" spans="2:20" x14ac:dyDescent="0.2">
      <c r="B9203" s="245"/>
      <c r="C9203" s="248"/>
      <c r="D9203" s="249"/>
      <c r="E9203" s="249"/>
      <c r="T9203" s="261"/>
    </row>
    <row r="9204" spans="2:20" x14ac:dyDescent="0.2">
      <c r="B9204" s="245"/>
      <c r="C9204" s="248"/>
      <c r="D9204" s="249"/>
      <c r="E9204" s="249"/>
      <c r="T9204" s="261"/>
    </row>
    <row r="9205" spans="2:20" x14ac:dyDescent="0.2">
      <c r="B9205" s="245"/>
      <c r="C9205" s="248"/>
      <c r="D9205" s="249"/>
      <c r="E9205" s="249"/>
      <c r="T9205" s="261"/>
    </row>
    <row r="9206" spans="2:20" x14ac:dyDescent="0.2">
      <c r="B9206" s="245"/>
      <c r="C9206" s="248"/>
      <c r="D9206" s="249"/>
      <c r="E9206" s="249"/>
      <c r="T9206" s="261"/>
    </row>
    <row r="9207" spans="2:20" x14ac:dyDescent="0.2">
      <c r="B9207" s="245"/>
      <c r="C9207" s="248"/>
      <c r="D9207" s="249"/>
      <c r="E9207" s="249"/>
      <c r="T9207" s="261"/>
    </row>
    <row r="9208" spans="2:20" x14ac:dyDescent="0.2">
      <c r="B9208" s="245"/>
      <c r="C9208" s="248"/>
      <c r="D9208" s="249"/>
      <c r="E9208" s="249"/>
      <c r="T9208" s="261"/>
    </row>
    <row r="9209" spans="2:20" x14ac:dyDescent="0.2">
      <c r="B9209" s="245"/>
      <c r="C9209" s="248"/>
      <c r="D9209" s="249"/>
      <c r="E9209" s="249"/>
      <c r="T9209" s="261"/>
    </row>
    <row r="9210" spans="2:20" x14ac:dyDescent="0.2">
      <c r="B9210" s="245"/>
      <c r="C9210" s="248"/>
      <c r="D9210" s="249"/>
      <c r="E9210" s="249"/>
      <c r="T9210" s="261"/>
    </row>
    <row r="9211" spans="2:20" x14ac:dyDescent="0.2">
      <c r="B9211" s="245"/>
      <c r="C9211" s="248"/>
      <c r="D9211" s="249"/>
      <c r="E9211" s="249"/>
      <c r="T9211" s="261"/>
    </row>
    <row r="9212" spans="2:20" x14ac:dyDescent="0.2">
      <c r="B9212" s="245"/>
      <c r="C9212" s="248"/>
      <c r="D9212" s="249"/>
      <c r="E9212" s="249"/>
      <c r="T9212" s="261"/>
    </row>
    <row r="9213" spans="2:20" x14ac:dyDescent="0.2">
      <c r="B9213" s="245"/>
      <c r="C9213" s="248"/>
      <c r="D9213" s="249"/>
      <c r="E9213" s="249"/>
      <c r="T9213" s="261"/>
    </row>
    <row r="9214" spans="2:20" x14ac:dyDescent="0.2">
      <c r="B9214" s="245"/>
      <c r="C9214" s="248"/>
      <c r="D9214" s="249"/>
      <c r="E9214" s="249"/>
      <c r="T9214" s="261"/>
    </row>
    <row r="9215" spans="2:20" x14ac:dyDescent="0.2">
      <c r="B9215" s="245"/>
      <c r="C9215" s="248"/>
      <c r="D9215" s="249"/>
      <c r="E9215" s="249"/>
      <c r="T9215" s="261"/>
    </row>
    <row r="9216" spans="2:20" x14ac:dyDescent="0.2">
      <c r="B9216" s="245"/>
      <c r="C9216" s="248"/>
      <c r="D9216" s="249"/>
      <c r="E9216" s="249"/>
      <c r="T9216" s="261"/>
    </row>
    <row r="9217" spans="2:20" x14ac:dyDescent="0.2">
      <c r="B9217" s="245"/>
      <c r="C9217" s="248"/>
      <c r="D9217" s="249"/>
      <c r="E9217" s="249"/>
      <c r="T9217" s="261"/>
    </row>
    <row r="9218" spans="2:20" x14ac:dyDescent="0.2">
      <c r="B9218" s="245"/>
      <c r="C9218" s="248"/>
      <c r="D9218" s="249"/>
      <c r="E9218" s="249"/>
      <c r="T9218" s="261"/>
    </row>
    <row r="9219" spans="2:20" x14ac:dyDescent="0.2">
      <c r="B9219" s="245"/>
      <c r="C9219" s="248"/>
      <c r="D9219" s="249"/>
      <c r="E9219" s="249"/>
      <c r="T9219" s="261"/>
    </row>
    <row r="9220" spans="2:20" x14ac:dyDescent="0.2">
      <c r="B9220" s="245"/>
      <c r="C9220" s="248"/>
      <c r="D9220" s="249"/>
      <c r="E9220" s="249"/>
      <c r="T9220" s="261"/>
    </row>
    <row r="9221" spans="2:20" x14ac:dyDescent="0.2">
      <c r="B9221" s="245"/>
      <c r="C9221" s="248"/>
      <c r="D9221" s="249"/>
      <c r="E9221" s="249"/>
      <c r="T9221" s="261"/>
    </row>
    <row r="9222" spans="2:20" x14ac:dyDescent="0.2">
      <c r="B9222" s="245"/>
      <c r="C9222" s="248"/>
      <c r="D9222" s="249"/>
      <c r="E9222" s="249"/>
      <c r="T9222" s="261"/>
    </row>
    <row r="9223" spans="2:20" x14ac:dyDescent="0.2">
      <c r="B9223" s="245"/>
      <c r="C9223" s="248"/>
      <c r="D9223" s="249"/>
      <c r="E9223" s="249"/>
      <c r="T9223" s="261"/>
    </row>
    <row r="9224" spans="2:20" x14ac:dyDescent="0.2">
      <c r="B9224" s="245"/>
      <c r="C9224" s="248"/>
      <c r="D9224" s="249"/>
      <c r="E9224" s="249"/>
      <c r="T9224" s="261"/>
    </row>
    <row r="9225" spans="2:20" x14ac:dyDescent="0.2">
      <c r="B9225" s="245"/>
      <c r="C9225" s="248"/>
      <c r="D9225" s="249"/>
      <c r="E9225" s="249"/>
      <c r="T9225" s="261"/>
    </row>
    <row r="9226" spans="2:20" x14ac:dyDescent="0.2">
      <c r="B9226" s="245"/>
      <c r="C9226" s="248"/>
      <c r="D9226" s="249"/>
      <c r="E9226" s="249"/>
      <c r="T9226" s="261"/>
    </row>
    <row r="9227" spans="2:20" x14ac:dyDescent="0.2">
      <c r="B9227" s="245"/>
      <c r="C9227" s="248"/>
      <c r="D9227" s="249"/>
      <c r="E9227" s="249"/>
      <c r="T9227" s="261"/>
    </row>
    <row r="9228" spans="2:20" x14ac:dyDescent="0.2">
      <c r="B9228" s="245"/>
      <c r="C9228" s="248"/>
      <c r="D9228" s="249"/>
      <c r="E9228" s="249"/>
      <c r="T9228" s="261"/>
    </row>
    <row r="9229" spans="2:20" x14ac:dyDescent="0.2">
      <c r="B9229" s="245"/>
      <c r="C9229" s="248"/>
      <c r="D9229" s="249"/>
      <c r="E9229" s="249"/>
      <c r="T9229" s="261"/>
    </row>
    <row r="9230" spans="2:20" x14ac:dyDescent="0.2">
      <c r="B9230" s="245"/>
      <c r="C9230" s="248"/>
      <c r="D9230" s="249"/>
      <c r="E9230" s="249"/>
      <c r="T9230" s="261"/>
    </row>
    <row r="9231" spans="2:20" x14ac:dyDescent="0.2">
      <c r="B9231" s="245"/>
      <c r="C9231" s="248"/>
      <c r="D9231" s="249"/>
      <c r="E9231" s="249"/>
      <c r="T9231" s="261"/>
    </row>
    <row r="9232" spans="2:20" x14ac:dyDescent="0.2">
      <c r="B9232" s="245"/>
      <c r="C9232" s="248"/>
      <c r="D9232" s="249"/>
      <c r="E9232" s="249"/>
      <c r="T9232" s="261"/>
    </row>
    <row r="9233" spans="2:20" x14ac:dyDescent="0.2">
      <c r="B9233" s="245"/>
      <c r="C9233" s="248"/>
      <c r="D9233" s="249"/>
      <c r="E9233" s="249"/>
      <c r="T9233" s="261"/>
    </row>
    <row r="9234" spans="2:20" x14ac:dyDescent="0.2">
      <c r="B9234" s="245"/>
      <c r="C9234" s="248"/>
      <c r="D9234" s="249"/>
      <c r="E9234" s="249"/>
      <c r="T9234" s="261"/>
    </row>
    <row r="9235" spans="2:20" x14ac:dyDescent="0.2">
      <c r="B9235" s="245"/>
      <c r="C9235" s="248"/>
      <c r="D9235" s="249"/>
      <c r="E9235" s="249"/>
      <c r="T9235" s="261"/>
    </row>
    <row r="9236" spans="2:20" x14ac:dyDescent="0.2">
      <c r="B9236" s="245"/>
      <c r="C9236" s="248"/>
      <c r="D9236" s="249"/>
      <c r="E9236" s="249"/>
      <c r="T9236" s="261"/>
    </row>
    <row r="9237" spans="2:20" x14ac:dyDescent="0.2">
      <c r="B9237" s="245"/>
      <c r="C9237" s="248"/>
      <c r="D9237" s="249"/>
      <c r="E9237" s="249"/>
      <c r="T9237" s="261"/>
    </row>
    <row r="9238" spans="2:20" x14ac:dyDescent="0.2">
      <c r="B9238" s="245"/>
      <c r="C9238" s="248"/>
      <c r="D9238" s="249"/>
      <c r="E9238" s="249"/>
      <c r="T9238" s="261"/>
    </row>
    <row r="9239" spans="2:20" x14ac:dyDescent="0.2">
      <c r="B9239" s="245"/>
      <c r="C9239" s="248"/>
      <c r="D9239" s="249"/>
      <c r="E9239" s="249"/>
      <c r="T9239" s="261"/>
    </row>
    <row r="9240" spans="2:20" x14ac:dyDescent="0.2">
      <c r="B9240" s="245"/>
      <c r="C9240" s="248"/>
      <c r="D9240" s="249"/>
      <c r="E9240" s="249"/>
      <c r="T9240" s="261"/>
    </row>
    <row r="9241" spans="2:20" x14ac:dyDescent="0.2">
      <c r="B9241" s="245"/>
      <c r="C9241" s="248"/>
      <c r="D9241" s="249"/>
      <c r="E9241" s="249"/>
      <c r="T9241" s="261"/>
    </row>
    <row r="9242" spans="2:20" x14ac:dyDescent="0.2">
      <c r="B9242" s="245"/>
      <c r="C9242" s="248"/>
      <c r="D9242" s="249"/>
      <c r="E9242" s="249"/>
      <c r="T9242" s="261"/>
    </row>
    <row r="9243" spans="2:20" x14ac:dyDescent="0.2">
      <c r="B9243" s="245"/>
      <c r="C9243" s="248"/>
      <c r="D9243" s="249"/>
      <c r="E9243" s="249"/>
      <c r="T9243" s="261"/>
    </row>
    <row r="9244" spans="2:20" x14ac:dyDescent="0.2">
      <c r="B9244" s="245"/>
      <c r="C9244" s="248"/>
      <c r="D9244" s="249"/>
      <c r="E9244" s="249"/>
      <c r="T9244" s="261"/>
    </row>
    <row r="9245" spans="2:20" x14ac:dyDescent="0.2">
      <c r="B9245" s="245"/>
      <c r="C9245" s="248"/>
      <c r="D9245" s="249"/>
      <c r="E9245" s="249"/>
      <c r="T9245" s="261"/>
    </row>
    <row r="9246" spans="2:20" x14ac:dyDescent="0.2">
      <c r="B9246" s="245"/>
      <c r="C9246" s="248"/>
      <c r="D9246" s="249"/>
      <c r="E9246" s="249"/>
      <c r="T9246" s="261"/>
    </row>
    <row r="9247" spans="2:20" x14ac:dyDescent="0.2">
      <c r="B9247" s="245"/>
      <c r="C9247" s="248"/>
      <c r="D9247" s="249"/>
      <c r="E9247" s="249"/>
      <c r="T9247" s="261"/>
    </row>
    <row r="9248" spans="2:20" x14ac:dyDescent="0.2">
      <c r="B9248" s="245"/>
      <c r="C9248" s="248"/>
      <c r="D9248" s="249"/>
      <c r="E9248" s="249"/>
      <c r="T9248" s="261"/>
    </row>
    <row r="9249" spans="2:20" x14ac:dyDescent="0.2">
      <c r="B9249" s="245"/>
      <c r="C9249" s="248"/>
      <c r="D9249" s="249"/>
      <c r="E9249" s="249"/>
      <c r="T9249" s="261"/>
    </row>
    <row r="9250" spans="2:20" x14ac:dyDescent="0.2">
      <c r="B9250" s="245"/>
      <c r="C9250" s="248"/>
      <c r="D9250" s="249"/>
      <c r="E9250" s="249"/>
      <c r="T9250" s="261"/>
    </row>
    <row r="9251" spans="2:20" x14ac:dyDescent="0.2">
      <c r="B9251" s="245"/>
      <c r="C9251" s="248"/>
      <c r="D9251" s="249"/>
      <c r="E9251" s="249"/>
      <c r="T9251" s="261"/>
    </row>
    <row r="9252" spans="2:20" x14ac:dyDescent="0.2">
      <c r="B9252" s="245"/>
      <c r="C9252" s="248"/>
      <c r="D9252" s="249"/>
      <c r="E9252" s="249"/>
      <c r="T9252" s="261"/>
    </row>
    <row r="9253" spans="2:20" x14ac:dyDescent="0.2">
      <c r="B9253" s="245"/>
      <c r="C9253" s="248"/>
      <c r="D9253" s="249"/>
      <c r="E9253" s="249"/>
      <c r="T9253" s="261"/>
    </row>
    <row r="9254" spans="2:20" x14ac:dyDescent="0.2">
      <c r="B9254" s="245"/>
      <c r="C9254" s="248"/>
      <c r="D9254" s="249"/>
      <c r="E9254" s="249"/>
      <c r="T9254" s="261"/>
    </row>
    <row r="9255" spans="2:20" x14ac:dyDescent="0.2">
      <c r="B9255" s="245"/>
      <c r="C9255" s="248"/>
      <c r="D9255" s="249"/>
      <c r="E9255" s="249"/>
      <c r="T9255" s="261"/>
    </row>
    <row r="9256" spans="2:20" x14ac:dyDescent="0.2">
      <c r="B9256" s="245"/>
      <c r="C9256" s="248"/>
      <c r="D9256" s="249"/>
      <c r="E9256" s="249"/>
      <c r="T9256" s="261"/>
    </row>
    <row r="9257" spans="2:20" x14ac:dyDescent="0.2">
      <c r="B9257" s="245"/>
      <c r="C9257" s="248"/>
      <c r="D9257" s="249"/>
      <c r="E9257" s="249"/>
      <c r="T9257" s="261"/>
    </row>
    <row r="9258" spans="2:20" x14ac:dyDescent="0.2">
      <c r="B9258" s="245"/>
      <c r="C9258" s="248"/>
      <c r="D9258" s="249"/>
      <c r="E9258" s="249"/>
      <c r="T9258" s="261"/>
    </row>
    <row r="9259" spans="2:20" x14ac:dyDescent="0.2">
      <c r="B9259" s="245"/>
      <c r="C9259" s="248"/>
      <c r="D9259" s="249"/>
      <c r="E9259" s="249"/>
      <c r="T9259" s="261"/>
    </row>
    <row r="9260" spans="2:20" x14ac:dyDescent="0.2">
      <c r="B9260" s="245"/>
      <c r="C9260" s="248"/>
      <c r="D9260" s="249"/>
      <c r="E9260" s="249"/>
      <c r="T9260" s="261"/>
    </row>
    <row r="9261" spans="2:20" x14ac:dyDescent="0.2">
      <c r="B9261" s="245"/>
      <c r="C9261" s="248"/>
      <c r="D9261" s="249"/>
      <c r="E9261" s="249"/>
      <c r="T9261" s="261"/>
    </row>
    <row r="9262" spans="2:20" x14ac:dyDescent="0.2">
      <c r="B9262" s="245"/>
      <c r="C9262" s="248"/>
      <c r="D9262" s="249"/>
      <c r="E9262" s="249"/>
      <c r="T9262" s="261"/>
    </row>
    <row r="9263" spans="2:20" x14ac:dyDescent="0.2">
      <c r="B9263" s="245"/>
      <c r="C9263" s="248"/>
      <c r="D9263" s="249"/>
      <c r="E9263" s="249"/>
      <c r="T9263" s="261"/>
    </row>
    <row r="9264" spans="2:20" x14ac:dyDescent="0.2">
      <c r="B9264" s="245"/>
      <c r="C9264" s="248"/>
      <c r="D9264" s="249"/>
      <c r="E9264" s="249"/>
      <c r="T9264" s="261"/>
    </row>
    <row r="9265" spans="2:20" x14ac:dyDescent="0.2">
      <c r="B9265" s="245"/>
      <c r="C9265" s="248"/>
      <c r="D9265" s="249"/>
      <c r="E9265" s="249"/>
      <c r="T9265" s="261"/>
    </row>
    <row r="9266" spans="2:20" x14ac:dyDescent="0.2">
      <c r="B9266" s="245"/>
      <c r="C9266" s="248"/>
      <c r="D9266" s="249"/>
      <c r="E9266" s="249"/>
      <c r="T9266" s="261"/>
    </row>
    <row r="9267" spans="2:20" x14ac:dyDescent="0.2">
      <c r="B9267" s="245"/>
      <c r="C9267" s="248"/>
      <c r="D9267" s="249"/>
      <c r="E9267" s="249"/>
      <c r="T9267" s="261"/>
    </row>
    <row r="9268" spans="2:20" x14ac:dyDescent="0.2">
      <c r="B9268" s="245"/>
      <c r="C9268" s="248"/>
      <c r="D9268" s="249"/>
      <c r="E9268" s="249"/>
      <c r="T9268" s="261"/>
    </row>
    <row r="9269" spans="2:20" x14ac:dyDescent="0.2">
      <c r="B9269" s="245"/>
      <c r="C9269" s="248"/>
      <c r="D9269" s="249"/>
      <c r="E9269" s="249"/>
      <c r="T9269" s="261"/>
    </row>
    <row r="9270" spans="2:20" x14ac:dyDescent="0.2">
      <c r="B9270" s="245"/>
      <c r="C9270" s="248"/>
      <c r="D9270" s="249"/>
      <c r="E9270" s="249"/>
      <c r="T9270" s="261"/>
    </row>
    <row r="9271" spans="2:20" x14ac:dyDescent="0.2">
      <c r="B9271" s="245"/>
      <c r="C9271" s="248"/>
      <c r="D9271" s="249"/>
      <c r="E9271" s="249"/>
      <c r="T9271" s="261"/>
    </row>
    <row r="9272" spans="2:20" x14ac:dyDescent="0.2">
      <c r="B9272" s="245"/>
      <c r="C9272" s="248"/>
      <c r="D9272" s="249"/>
      <c r="E9272" s="249"/>
      <c r="T9272" s="261"/>
    </row>
    <row r="9273" spans="2:20" x14ac:dyDescent="0.2">
      <c r="B9273" s="245"/>
      <c r="C9273" s="248"/>
      <c r="D9273" s="249"/>
      <c r="E9273" s="249"/>
      <c r="T9273" s="261"/>
    </row>
    <row r="9274" spans="2:20" x14ac:dyDescent="0.2">
      <c r="B9274" s="245"/>
      <c r="C9274" s="248"/>
      <c r="D9274" s="249"/>
      <c r="E9274" s="249"/>
      <c r="T9274" s="261"/>
    </row>
    <row r="9275" spans="2:20" x14ac:dyDescent="0.2">
      <c r="B9275" s="245"/>
      <c r="C9275" s="248"/>
      <c r="D9275" s="249"/>
      <c r="E9275" s="249"/>
      <c r="T9275" s="261"/>
    </row>
    <row r="9276" spans="2:20" x14ac:dyDescent="0.2">
      <c r="B9276" s="245"/>
      <c r="C9276" s="248"/>
      <c r="D9276" s="249"/>
      <c r="E9276" s="249"/>
      <c r="T9276" s="261"/>
    </row>
    <row r="9277" spans="2:20" x14ac:dyDescent="0.2">
      <c r="B9277" s="245"/>
      <c r="C9277" s="248"/>
      <c r="D9277" s="249"/>
      <c r="E9277" s="249"/>
      <c r="T9277" s="261"/>
    </row>
    <row r="9278" spans="2:20" x14ac:dyDescent="0.2">
      <c r="B9278" s="245"/>
      <c r="C9278" s="248"/>
      <c r="D9278" s="249"/>
      <c r="E9278" s="249"/>
      <c r="T9278" s="261"/>
    </row>
    <row r="9279" spans="2:20" x14ac:dyDescent="0.2">
      <c r="B9279" s="245"/>
      <c r="C9279" s="248"/>
      <c r="D9279" s="249"/>
      <c r="E9279" s="249"/>
      <c r="T9279" s="261"/>
    </row>
    <row r="9280" spans="2:20" x14ac:dyDescent="0.2">
      <c r="B9280" s="245"/>
      <c r="C9280" s="248"/>
      <c r="D9280" s="249"/>
      <c r="E9280" s="249"/>
      <c r="T9280" s="261"/>
    </row>
    <row r="9281" spans="2:20" x14ac:dyDescent="0.2">
      <c r="B9281" s="245"/>
      <c r="C9281" s="248"/>
      <c r="D9281" s="249"/>
      <c r="E9281" s="249"/>
      <c r="T9281" s="261"/>
    </row>
    <row r="9282" spans="2:20" x14ac:dyDescent="0.2">
      <c r="B9282" s="245"/>
      <c r="C9282" s="248"/>
      <c r="D9282" s="249"/>
      <c r="E9282" s="249"/>
      <c r="T9282" s="261"/>
    </row>
    <row r="9283" spans="2:20" x14ac:dyDescent="0.2">
      <c r="B9283" s="245"/>
      <c r="C9283" s="248"/>
      <c r="D9283" s="249"/>
      <c r="E9283" s="249"/>
      <c r="T9283" s="261"/>
    </row>
    <row r="9284" spans="2:20" x14ac:dyDescent="0.2">
      <c r="B9284" s="245"/>
      <c r="C9284" s="248"/>
      <c r="D9284" s="249"/>
      <c r="E9284" s="249"/>
      <c r="T9284" s="261"/>
    </row>
    <row r="9285" spans="2:20" x14ac:dyDescent="0.2">
      <c r="B9285" s="245"/>
      <c r="C9285" s="248"/>
      <c r="D9285" s="249"/>
      <c r="E9285" s="249"/>
      <c r="T9285" s="261"/>
    </row>
    <row r="9286" spans="2:20" x14ac:dyDescent="0.2">
      <c r="B9286" s="245"/>
      <c r="C9286" s="248"/>
      <c r="D9286" s="249"/>
      <c r="E9286" s="249"/>
      <c r="T9286" s="261"/>
    </row>
    <row r="9287" spans="2:20" x14ac:dyDescent="0.2">
      <c r="B9287" s="245"/>
      <c r="C9287" s="248"/>
      <c r="D9287" s="249"/>
      <c r="E9287" s="249"/>
      <c r="T9287" s="261"/>
    </row>
    <row r="9288" spans="2:20" x14ac:dyDescent="0.2">
      <c r="B9288" s="245"/>
      <c r="C9288" s="248"/>
      <c r="D9288" s="249"/>
      <c r="E9288" s="249"/>
      <c r="T9288" s="261"/>
    </row>
    <row r="9289" spans="2:20" x14ac:dyDescent="0.2">
      <c r="B9289" s="245"/>
      <c r="C9289" s="248"/>
      <c r="D9289" s="249"/>
      <c r="E9289" s="249"/>
      <c r="T9289" s="261"/>
    </row>
    <row r="9290" spans="2:20" x14ac:dyDescent="0.2">
      <c r="B9290" s="245"/>
      <c r="C9290" s="248"/>
      <c r="D9290" s="249"/>
      <c r="E9290" s="249"/>
      <c r="T9290" s="261"/>
    </row>
    <row r="9291" spans="2:20" x14ac:dyDescent="0.2">
      <c r="B9291" s="245"/>
      <c r="C9291" s="248"/>
      <c r="D9291" s="249"/>
      <c r="E9291" s="249"/>
      <c r="T9291" s="261"/>
    </row>
    <row r="9292" spans="2:20" x14ac:dyDescent="0.2">
      <c r="B9292" s="245"/>
      <c r="C9292" s="248"/>
      <c r="D9292" s="249"/>
      <c r="E9292" s="249"/>
      <c r="T9292" s="261"/>
    </row>
    <row r="9293" spans="2:20" x14ac:dyDescent="0.2">
      <c r="B9293" s="245"/>
      <c r="C9293" s="248"/>
      <c r="D9293" s="249"/>
      <c r="E9293" s="249"/>
      <c r="T9293" s="261"/>
    </row>
    <row r="9294" spans="2:20" x14ac:dyDescent="0.2">
      <c r="B9294" s="245"/>
      <c r="C9294" s="248"/>
      <c r="D9294" s="249"/>
      <c r="E9294" s="249"/>
      <c r="T9294" s="261"/>
    </row>
    <row r="9295" spans="2:20" x14ac:dyDescent="0.2">
      <c r="B9295" s="245"/>
      <c r="C9295" s="248"/>
      <c r="D9295" s="249"/>
      <c r="E9295" s="249"/>
      <c r="T9295" s="261"/>
    </row>
    <row r="9296" spans="2:20" x14ac:dyDescent="0.2">
      <c r="B9296" s="245"/>
      <c r="C9296" s="248"/>
      <c r="D9296" s="249"/>
      <c r="E9296" s="249"/>
      <c r="T9296" s="261"/>
    </row>
    <row r="9297" spans="2:20" x14ac:dyDescent="0.2">
      <c r="B9297" s="245"/>
      <c r="C9297" s="248"/>
      <c r="D9297" s="249"/>
      <c r="E9297" s="249"/>
      <c r="T9297" s="261"/>
    </row>
    <row r="9298" spans="2:20" x14ac:dyDescent="0.2">
      <c r="B9298" s="245"/>
      <c r="C9298" s="248"/>
      <c r="D9298" s="249"/>
      <c r="E9298" s="249"/>
      <c r="T9298" s="261"/>
    </row>
    <row r="9299" spans="2:20" x14ac:dyDescent="0.2">
      <c r="B9299" s="245"/>
      <c r="C9299" s="248"/>
      <c r="D9299" s="249"/>
      <c r="E9299" s="249"/>
      <c r="T9299" s="261"/>
    </row>
    <row r="9300" spans="2:20" x14ac:dyDescent="0.2">
      <c r="B9300" s="245"/>
      <c r="C9300" s="248"/>
      <c r="D9300" s="249"/>
      <c r="E9300" s="249"/>
      <c r="T9300" s="261"/>
    </row>
    <row r="9301" spans="2:20" x14ac:dyDescent="0.2">
      <c r="B9301" s="245"/>
      <c r="C9301" s="248"/>
      <c r="D9301" s="249"/>
      <c r="E9301" s="249"/>
      <c r="T9301" s="261"/>
    </row>
    <row r="9302" spans="2:20" x14ac:dyDescent="0.2">
      <c r="B9302" s="245"/>
      <c r="C9302" s="248"/>
      <c r="D9302" s="249"/>
      <c r="E9302" s="249"/>
      <c r="T9302" s="261"/>
    </row>
    <row r="9303" spans="2:20" x14ac:dyDescent="0.2">
      <c r="B9303" s="245"/>
      <c r="C9303" s="248"/>
      <c r="D9303" s="249"/>
      <c r="E9303" s="249"/>
      <c r="T9303" s="261"/>
    </row>
    <row r="9304" spans="2:20" x14ac:dyDescent="0.2">
      <c r="B9304" s="245"/>
      <c r="C9304" s="248"/>
      <c r="D9304" s="249"/>
      <c r="E9304" s="249"/>
      <c r="T9304" s="261"/>
    </row>
    <row r="9305" spans="2:20" x14ac:dyDescent="0.2">
      <c r="B9305" s="245"/>
      <c r="C9305" s="248"/>
      <c r="D9305" s="249"/>
      <c r="E9305" s="249"/>
      <c r="T9305" s="261"/>
    </row>
    <row r="9306" spans="2:20" x14ac:dyDescent="0.2">
      <c r="B9306" s="245"/>
      <c r="C9306" s="248"/>
      <c r="D9306" s="249"/>
      <c r="E9306" s="249"/>
      <c r="T9306" s="261"/>
    </row>
    <row r="9307" spans="2:20" x14ac:dyDescent="0.2">
      <c r="B9307" s="245"/>
      <c r="C9307" s="248"/>
      <c r="D9307" s="249"/>
      <c r="E9307" s="249"/>
      <c r="T9307" s="261"/>
    </row>
    <row r="9308" spans="2:20" x14ac:dyDescent="0.2">
      <c r="B9308" s="245"/>
      <c r="C9308" s="248"/>
      <c r="D9308" s="249"/>
      <c r="E9308" s="249"/>
      <c r="T9308" s="261"/>
    </row>
    <row r="9309" spans="2:20" x14ac:dyDescent="0.2">
      <c r="B9309" s="245"/>
      <c r="C9309" s="248"/>
      <c r="D9309" s="249"/>
      <c r="E9309" s="249"/>
      <c r="T9309" s="261"/>
    </row>
    <row r="9310" spans="2:20" x14ac:dyDescent="0.2">
      <c r="B9310" s="245"/>
      <c r="C9310" s="248"/>
      <c r="D9310" s="249"/>
      <c r="E9310" s="249"/>
      <c r="T9310" s="261"/>
    </row>
    <row r="9311" spans="2:20" x14ac:dyDescent="0.2">
      <c r="B9311" s="245"/>
      <c r="C9311" s="248"/>
      <c r="D9311" s="249"/>
      <c r="E9311" s="249"/>
      <c r="T9311" s="261"/>
    </row>
    <row r="9312" spans="2:20" x14ac:dyDescent="0.2">
      <c r="B9312" s="245"/>
      <c r="C9312" s="248"/>
      <c r="D9312" s="249"/>
      <c r="E9312" s="249"/>
      <c r="T9312" s="261"/>
    </row>
    <row r="9313" spans="2:20" x14ac:dyDescent="0.2">
      <c r="B9313" s="245"/>
      <c r="C9313" s="248"/>
      <c r="D9313" s="249"/>
      <c r="E9313" s="249"/>
      <c r="T9313" s="261"/>
    </row>
    <row r="9314" spans="2:20" x14ac:dyDescent="0.2">
      <c r="B9314" s="245"/>
      <c r="C9314" s="248"/>
      <c r="D9314" s="249"/>
      <c r="E9314" s="249"/>
      <c r="T9314" s="261"/>
    </row>
    <row r="9315" spans="2:20" x14ac:dyDescent="0.2">
      <c r="B9315" s="245"/>
      <c r="C9315" s="248"/>
      <c r="D9315" s="249"/>
      <c r="E9315" s="249"/>
      <c r="T9315" s="261"/>
    </row>
    <row r="9316" spans="2:20" x14ac:dyDescent="0.2">
      <c r="B9316" s="245"/>
      <c r="C9316" s="248"/>
      <c r="D9316" s="249"/>
      <c r="E9316" s="249"/>
      <c r="T9316" s="261"/>
    </row>
    <row r="9317" spans="2:20" x14ac:dyDescent="0.2">
      <c r="B9317" s="245"/>
      <c r="C9317" s="248"/>
      <c r="D9317" s="249"/>
      <c r="E9317" s="249"/>
      <c r="T9317" s="261"/>
    </row>
    <row r="9318" spans="2:20" x14ac:dyDescent="0.2">
      <c r="B9318" s="245"/>
      <c r="C9318" s="248"/>
      <c r="D9318" s="249"/>
      <c r="E9318" s="249"/>
      <c r="T9318" s="261"/>
    </row>
    <row r="9319" spans="2:20" x14ac:dyDescent="0.2">
      <c r="B9319" s="245"/>
      <c r="C9319" s="248"/>
      <c r="D9319" s="249"/>
      <c r="E9319" s="249"/>
      <c r="T9319" s="261"/>
    </row>
    <row r="9320" spans="2:20" x14ac:dyDescent="0.2">
      <c r="B9320" s="245"/>
      <c r="C9320" s="248"/>
      <c r="D9320" s="249"/>
      <c r="E9320" s="249"/>
      <c r="T9320" s="261"/>
    </row>
    <row r="9321" spans="2:20" x14ac:dyDescent="0.2">
      <c r="B9321" s="245"/>
      <c r="C9321" s="248"/>
      <c r="D9321" s="249"/>
      <c r="E9321" s="249"/>
      <c r="T9321" s="261"/>
    </row>
    <row r="9322" spans="2:20" x14ac:dyDescent="0.2">
      <c r="B9322" s="245"/>
      <c r="C9322" s="248"/>
      <c r="D9322" s="249"/>
      <c r="E9322" s="249"/>
      <c r="T9322" s="261"/>
    </row>
    <row r="9323" spans="2:20" x14ac:dyDescent="0.2">
      <c r="B9323" s="245"/>
      <c r="C9323" s="248"/>
      <c r="D9323" s="249"/>
      <c r="E9323" s="249"/>
      <c r="T9323" s="261"/>
    </row>
    <row r="9324" spans="2:20" x14ac:dyDescent="0.2">
      <c r="B9324" s="245"/>
      <c r="C9324" s="248"/>
      <c r="D9324" s="249"/>
      <c r="E9324" s="249"/>
      <c r="T9324" s="261"/>
    </row>
    <row r="9325" spans="2:20" x14ac:dyDescent="0.2">
      <c r="B9325" s="245"/>
      <c r="C9325" s="248"/>
      <c r="D9325" s="249"/>
      <c r="E9325" s="249"/>
      <c r="T9325" s="261"/>
    </row>
    <row r="9326" spans="2:20" x14ac:dyDescent="0.2">
      <c r="B9326" s="245"/>
      <c r="C9326" s="248"/>
      <c r="D9326" s="249"/>
      <c r="E9326" s="249"/>
      <c r="T9326" s="261"/>
    </row>
    <row r="9327" spans="2:20" x14ac:dyDescent="0.2">
      <c r="B9327" s="245"/>
      <c r="C9327" s="248"/>
      <c r="D9327" s="249"/>
      <c r="E9327" s="249"/>
      <c r="T9327" s="261"/>
    </row>
    <row r="9328" spans="2:20" x14ac:dyDescent="0.2">
      <c r="B9328" s="245"/>
      <c r="C9328" s="248"/>
      <c r="D9328" s="249"/>
      <c r="E9328" s="249"/>
      <c r="T9328" s="261"/>
    </row>
    <row r="9329" spans="2:20" x14ac:dyDescent="0.2">
      <c r="B9329" s="245"/>
      <c r="C9329" s="248"/>
      <c r="D9329" s="249"/>
      <c r="E9329" s="249"/>
      <c r="T9329" s="261"/>
    </row>
    <row r="9330" spans="2:20" x14ac:dyDescent="0.2">
      <c r="B9330" s="245"/>
      <c r="C9330" s="248"/>
      <c r="D9330" s="249"/>
      <c r="E9330" s="249"/>
      <c r="T9330" s="261"/>
    </row>
    <row r="9331" spans="2:20" x14ac:dyDescent="0.2">
      <c r="B9331" s="245"/>
      <c r="C9331" s="248"/>
      <c r="D9331" s="249"/>
      <c r="E9331" s="249"/>
      <c r="T9331" s="261"/>
    </row>
    <row r="9332" spans="2:20" x14ac:dyDescent="0.2">
      <c r="B9332" s="245"/>
      <c r="C9332" s="248"/>
      <c r="D9332" s="249"/>
      <c r="E9332" s="249"/>
      <c r="T9332" s="261"/>
    </row>
    <row r="9333" spans="2:20" x14ac:dyDescent="0.2">
      <c r="B9333" s="245"/>
      <c r="C9333" s="248"/>
      <c r="D9333" s="249"/>
      <c r="E9333" s="249"/>
      <c r="T9333" s="261"/>
    </row>
    <row r="9334" spans="2:20" x14ac:dyDescent="0.2">
      <c r="B9334" s="245"/>
      <c r="C9334" s="248"/>
      <c r="D9334" s="249"/>
      <c r="E9334" s="249"/>
      <c r="T9334" s="261"/>
    </row>
    <row r="9335" spans="2:20" x14ac:dyDescent="0.2">
      <c r="B9335" s="245"/>
      <c r="C9335" s="248"/>
      <c r="D9335" s="249"/>
      <c r="E9335" s="249"/>
      <c r="T9335" s="261"/>
    </row>
    <row r="9336" spans="2:20" x14ac:dyDescent="0.2">
      <c r="B9336" s="245"/>
      <c r="C9336" s="248"/>
      <c r="D9336" s="249"/>
      <c r="E9336" s="249"/>
      <c r="T9336" s="261"/>
    </row>
    <row r="9337" spans="2:20" x14ac:dyDescent="0.2">
      <c r="B9337" s="245"/>
      <c r="C9337" s="248"/>
      <c r="D9337" s="249"/>
      <c r="E9337" s="249"/>
      <c r="T9337" s="261"/>
    </row>
    <row r="9338" spans="2:20" x14ac:dyDescent="0.2">
      <c r="B9338" s="245"/>
      <c r="C9338" s="248"/>
      <c r="D9338" s="249"/>
      <c r="E9338" s="249"/>
      <c r="T9338" s="261"/>
    </row>
    <row r="9339" spans="2:20" x14ac:dyDescent="0.2">
      <c r="B9339" s="245"/>
      <c r="C9339" s="248"/>
      <c r="D9339" s="249"/>
      <c r="E9339" s="249"/>
      <c r="T9339" s="261"/>
    </row>
    <row r="9340" spans="2:20" x14ac:dyDescent="0.2">
      <c r="B9340" s="245"/>
      <c r="C9340" s="248"/>
      <c r="D9340" s="249"/>
      <c r="E9340" s="249"/>
      <c r="T9340" s="261"/>
    </row>
    <row r="9341" spans="2:20" x14ac:dyDescent="0.2">
      <c r="B9341" s="245"/>
      <c r="C9341" s="248"/>
      <c r="D9341" s="249"/>
      <c r="E9341" s="249"/>
      <c r="T9341" s="261"/>
    </row>
    <row r="9342" spans="2:20" x14ac:dyDescent="0.2">
      <c r="B9342" s="245"/>
      <c r="C9342" s="248"/>
      <c r="D9342" s="249"/>
      <c r="E9342" s="249"/>
      <c r="T9342" s="261"/>
    </row>
    <row r="9343" spans="2:20" x14ac:dyDescent="0.2">
      <c r="B9343" s="245"/>
      <c r="C9343" s="248"/>
      <c r="D9343" s="249"/>
      <c r="E9343" s="249"/>
      <c r="T9343" s="261"/>
    </row>
    <row r="9344" spans="2:20" x14ac:dyDescent="0.2">
      <c r="B9344" s="245"/>
      <c r="C9344" s="248"/>
      <c r="D9344" s="249"/>
      <c r="E9344" s="249"/>
      <c r="T9344" s="261"/>
    </row>
    <row r="9345" spans="2:20" x14ac:dyDescent="0.2">
      <c r="B9345" s="245"/>
      <c r="C9345" s="248"/>
      <c r="D9345" s="249"/>
      <c r="E9345" s="249"/>
      <c r="T9345" s="261"/>
    </row>
    <row r="9346" spans="2:20" x14ac:dyDescent="0.2">
      <c r="B9346" s="245"/>
      <c r="C9346" s="248"/>
      <c r="D9346" s="249"/>
      <c r="E9346" s="249"/>
      <c r="T9346" s="261"/>
    </row>
    <row r="9347" spans="2:20" x14ac:dyDescent="0.2">
      <c r="B9347" s="245"/>
      <c r="C9347" s="248"/>
      <c r="D9347" s="249"/>
      <c r="E9347" s="249"/>
      <c r="T9347" s="261"/>
    </row>
    <row r="9348" spans="2:20" x14ac:dyDescent="0.2">
      <c r="B9348" s="245"/>
      <c r="C9348" s="248"/>
      <c r="D9348" s="249"/>
      <c r="E9348" s="249"/>
      <c r="T9348" s="261"/>
    </row>
    <row r="9349" spans="2:20" x14ac:dyDescent="0.2">
      <c r="B9349" s="245"/>
      <c r="C9349" s="248"/>
      <c r="D9349" s="249"/>
      <c r="E9349" s="249"/>
      <c r="T9349" s="261"/>
    </row>
    <row r="9350" spans="2:20" x14ac:dyDescent="0.2">
      <c r="B9350" s="245"/>
      <c r="C9350" s="248"/>
      <c r="D9350" s="249"/>
      <c r="E9350" s="249"/>
      <c r="T9350" s="261"/>
    </row>
    <row r="9351" spans="2:20" x14ac:dyDescent="0.2">
      <c r="B9351" s="245"/>
      <c r="C9351" s="248"/>
      <c r="D9351" s="249"/>
      <c r="E9351" s="249"/>
      <c r="T9351" s="261"/>
    </row>
    <row r="9352" spans="2:20" x14ac:dyDescent="0.2">
      <c r="B9352" s="245"/>
      <c r="C9352" s="248"/>
      <c r="D9352" s="249"/>
      <c r="E9352" s="249"/>
      <c r="T9352" s="261"/>
    </row>
    <row r="9353" spans="2:20" x14ac:dyDescent="0.2">
      <c r="B9353" s="245"/>
      <c r="C9353" s="248"/>
      <c r="D9353" s="249"/>
      <c r="E9353" s="249"/>
      <c r="T9353" s="261"/>
    </row>
    <row r="9354" spans="2:20" x14ac:dyDescent="0.2">
      <c r="B9354" s="245"/>
      <c r="C9354" s="248"/>
      <c r="D9354" s="249"/>
      <c r="E9354" s="249"/>
      <c r="T9354" s="261"/>
    </row>
    <row r="9355" spans="2:20" x14ac:dyDescent="0.2">
      <c r="B9355" s="245"/>
      <c r="C9355" s="248"/>
      <c r="D9355" s="249"/>
      <c r="E9355" s="249"/>
      <c r="T9355" s="261"/>
    </row>
    <row r="9356" spans="2:20" x14ac:dyDescent="0.2">
      <c r="B9356" s="245"/>
      <c r="C9356" s="248"/>
      <c r="D9356" s="249"/>
      <c r="E9356" s="249"/>
      <c r="T9356" s="261"/>
    </row>
    <row r="9357" spans="2:20" x14ac:dyDescent="0.2">
      <c r="B9357" s="245"/>
      <c r="C9357" s="248"/>
      <c r="D9357" s="249"/>
      <c r="E9357" s="249"/>
      <c r="T9357" s="261"/>
    </row>
    <row r="9358" spans="2:20" x14ac:dyDescent="0.2">
      <c r="B9358" s="245"/>
      <c r="C9358" s="248"/>
      <c r="D9358" s="249"/>
      <c r="E9358" s="249"/>
      <c r="T9358" s="261"/>
    </row>
    <row r="9359" spans="2:20" x14ac:dyDescent="0.2">
      <c r="B9359" s="245"/>
      <c r="C9359" s="248"/>
      <c r="D9359" s="249"/>
      <c r="E9359" s="249"/>
      <c r="T9359" s="261"/>
    </row>
    <row r="9360" spans="2:20" x14ac:dyDescent="0.2">
      <c r="B9360" s="245"/>
      <c r="C9360" s="248"/>
      <c r="D9360" s="249"/>
      <c r="E9360" s="249"/>
      <c r="T9360" s="261"/>
    </row>
    <row r="9361" spans="2:20" x14ac:dyDescent="0.2">
      <c r="B9361" s="245"/>
      <c r="C9361" s="248"/>
      <c r="D9361" s="249"/>
      <c r="E9361" s="249"/>
      <c r="T9361" s="261"/>
    </row>
    <row r="9362" spans="2:20" x14ac:dyDescent="0.2">
      <c r="B9362" s="245"/>
      <c r="C9362" s="248"/>
      <c r="D9362" s="249"/>
      <c r="E9362" s="249"/>
      <c r="T9362" s="261"/>
    </row>
    <row r="9363" spans="2:20" x14ac:dyDescent="0.2">
      <c r="B9363" s="245"/>
      <c r="C9363" s="248"/>
      <c r="D9363" s="249"/>
      <c r="E9363" s="249"/>
      <c r="T9363" s="261"/>
    </row>
    <row r="9364" spans="2:20" x14ac:dyDescent="0.2">
      <c r="B9364" s="245"/>
      <c r="C9364" s="248"/>
      <c r="D9364" s="249"/>
      <c r="E9364" s="249"/>
      <c r="T9364" s="261"/>
    </row>
    <row r="9365" spans="2:20" x14ac:dyDescent="0.2">
      <c r="B9365" s="245"/>
      <c r="C9365" s="248"/>
      <c r="D9365" s="249"/>
      <c r="E9365" s="249"/>
      <c r="T9365" s="261"/>
    </row>
    <row r="9366" spans="2:20" x14ac:dyDescent="0.2">
      <c r="B9366" s="245"/>
      <c r="C9366" s="248"/>
      <c r="D9366" s="249"/>
      <c r="E9366" s="249"/>
      <c r="T9366" s="261"/>
    </row>
    <row r="9367" spans="2:20" x14ac:dyDescent="0.2">
      <c r="B9367" s="245"/>
      <c r="C9367" s="248"/>
      <c r="D9367" s="249"/>
      <c r="E9367" s="249"/>
      <c r="T9367" s="261"/>
    </row>
    <row r="9368" spans="2:20" x14ac:dyDescent="0.2">
      <c r="B9368" s="245"/>
      <c r="C9368" s="248"/>
      <c r="D9368" s="249"/>
      <c r="E9368" s="249"/>
      <c r="T9368" s="261"/>
    </row>
    <row r="9369" spans="2:20" x14ac:dyDescent="0.2">
      <c r="B9369" s="245"/>
      <c r="C9369" s="248"/>
      <c r="D9369" s="249"/>
      <c r="E9369" s="249"/>
      <c r="T9369" s="261"/>
    </row>
    <row r="9370" spans="2:20" x14ac:dyDescent="0.2">
      <c r="B9370" s="245"/>
      <c r="C9370" s="248"/>
      <c r="D9370" s="249"/>
      <c r="E9370" s="249"/>
      <c r="T9370" s="261"/>
    </row>
    <row r="9371" spans="2:20" x14ac:dyDescent="0.2">
      <c r="B9371" s="245"/>
      <c r="C9371" s="248"/>
      <c r="D9371" s="249"/>
      <c r="E9371" s="249"/>
      <c r="T9371" s="261"/>
    </row>
    <row r="9372" spans="2:20" x14ac:dyDescent="0.2">
      <c r="B9372" s="245"/>
      <c r="C9372" s="248"/>
      <c r="D9372" s="249"/>
      <c r="E9372" s="249"/>
      <c r="T9372" s="261"/>
    </row>
    <row r="9373" spans="2:20" x14ac:dyDescent="0.2">
      <c r="B9373" s="245"/>
      <c r="C9373" s="248"/>
      <c r="D9373" s="249"/>
      <c r="E9373" s="249"/>
      <c r="T9373" s="261"/>
    </row>
    <row r="9374" spans="2:20" x14ac:dyDescent="0.2">
      <c r="B9374" s="245"/>
      <c r="C9374" s="248"/>
      <c r="D9374" s="249"/>
      <c r="E9374" s="249"/>
      <c r="T9374" s="261"/>
    </row>
    <row r="9375" spans="2:20" x14ac:dyDescent="0.2">
      <c r="B9375" s="245"/>
      <c r="C9375" s="248"/>
      <c r="D9375" s="249"/>
      <c r="E9375" s="249"/>
      <c r="T9375" s="261"/>
    </row>
    <row r="9376" spans="2:20" x14ac:dyDescent="0.2">
      <c r="B9376" s="245"/>
      <c r="C9376" s="248"/>
      <c r="D9376" s="249"/>
      <c r="E9376" s="249"/>
      <c r="T9376" s="261"/>
    </row>
    <row r="9377" spans="2:20" x14ac:dyDescent="0.2">
      <c r="B9377" s="245"/>
      <c r="C9377" s="248"/>
      <c r="D9377" s="249"/>
      <c r="E9377" s="249"/>
      <c r="T9377" s="261"/>
    </row>
    <row r="9378" spans="2:20" x14ac:dyDescent="0.2">
      <c r="B9378" s="245"/>
      <c r="C9378" s="248"/>
      <c r="D9378" s="249"/>
      <c r="E9378" s="249"/>
      <c r="T9378" s="261"/>
    </row>
    <row r="9379" spans="2:20" x14ac:dyDescent="0.2">
      <c r="B9379" s="245"/>
      <c r="C9379" s="248"/>
      <c r="D9379" s="249"/>
      <c r="E9379" s="249"/>
      <c r="T9379" s="261"/>
    </row>
    <row r="9380" spans="2:20" x14ac:dyDescent="0.2">
      <c r="B9380" s="245"/>
      <c r="C9380" s="248"/>
      <c r="D9380" s="249"/>
      <c r="E9380" s="249"/>
      <c r="T9380" s="261"/>
    </row>
    <row r="9381" spans="2:20" x14ac:dyDescent="0.2">
      <c r="B9381" s="245"/>
      <c r="C9381" s="248"/>
      <c r="D9381" s="249"/>
      <c r="E9381" s="249"/>
      <c r="T9381" s="261"/>
    </row>
    <row r="9382" spans="2:20" x14ac:dyDescent="0.2">
      <c r="B9382" s="245"/>
      <c r="C9382" s="248"/>
      <c r="D9382" s="249"/>
      <c r="E9382" s="249"/>
      <c r="T9382" s="261"/>
    </row>
    <row r="9383" spans="2:20" x14ac:dyDescent="0.2">
      <c r="B9383" s="245"/>
      <c r="C9383" s="248"/>
      <c r="D9383" s="249"/>
      <c r="E9383" s="249"/>
      <c r="T9383" s="261"/>
    </row>
    <row r="9384" spans="2:20" x14ac:dyDescent="0.2">
      <c r="B9384" s="245"/>
      <c r="C9384" s="248"/>
      <c r="D9384" s="249"/>
      <c r="E9384" s="249"/>
      <c r="T9384" s="261"/>
    </row>
    <row r="9385" spans="2:20" x14ac:dyDescent="0.2">
      <c r="B9385" s="245"/>
      <c r="C9385" s="248"/>
      <c r="D9385" s="249"/>
      <c r="E9385" s="249"/>
      <c r="T9385" s="261"/>
    </row>
    <row r="9386" spans="2:20" x14ac:dyDescent="0.2">
      <c r="B9386" s="245"/>
      <c r="C9386" s="248"/>
      <c r="D9386" s="249"/>
      <c r="E9386" s="249"/>
      <c r="T9386" s="261"/>
    </row>
    <row r="9387" spans="2:20" x14ac:dyDescent="0.2">
      <c r="B9387" s="245"/>
      <c r="C9387" s="248"/>
      <c r="D9387" s="249"/>
      <c r="E9387" s="249"/>
      <c r="T9387" s="261"/>
    </row>
    <row r="9388" spans="2:20" x14ac:dyDescent="0.2">
      <c r="B9388" s="245"/>
      <c r="C9388" s="248"/>
      <c r="D9388" s="249"/>
      <c r="E9388" s="249"/>
      <c r="T9388" s="261"/>
    </row>
    <row r="9389" spans="2:20" x14ac:dyDescent="0.2">
      <c r="B9389" s="245"/>
      <c r="C9389" s="248"/>
      <c r="D9389" s="249"/>
      <c r="E9389" s="249"/>
      <c r="T9389" s="261"/>
    </row>
    <row r="9390" spans="2:20" x14ac:dyDescent="0.2">
      <c r="B9390" s="245"/>
      <c r="C9390" s="248"/>
      <c r="D9390" s="249"/>
      <c r="E9390" s="249"/>
      <c r="T9390" s="261"/>
    </row>
    <row r="9391" spans="2:20" x14ac:dyDescent="0.2">
      <c r="B9391" s="245"/>
      <c r="C9391" s="248"/>
      <c r="D9391" s="249"/>
      <c r="E9391" s="249"/>
      <c r="T9391" s="261"/>
    </row>
    <row r="9392" spans="2:20" x14ac:dyDescent="0.2">
      <c r="B9392" s="245"/>
      <c r="C9392" s="248"/>
      <c r="D9392" s="249"/>
      <c r="E9392" s="249"/>
      <c r="T9392" s="261"/>
    </row>
    <row r="9393" spans="2:20" x14ac:dyDescent="0.2">
      <c r="B9393" s="245"/>
      <c r="C9393" s="248"/>
      <c r="D9393" s="249"/>
      <c r="E9393" s="249"/>
      <c r="T9393" s="261"/>
    </row>
    <row r="9394" spans="2:20" x14ac:dyDescent="0.2">
      <c r="B9394" s="245"/>
      <c r="C9394" s="248"/>
      <c r="D9394" s="249"/>
      <c r="E9394" s="249"/>
      <c r="T9394" s="261"/>
    </row>
    <row r="9395" spans="2:20" x14ac:dyDescent="0.2">
      <c r="B9395" s="245"/>
      <c r="C9395" s="248"/>
      <c r="D9395" s="249"/>
      <c r="E9395" s="249"/>
      <c r="T9395" s="261"/>
    </row>
    <row r="9396" spans="2:20" x14ac:dyDescent="0.2">
      <c r="B9396" s="245"/>
      <c r="C9396" s="248"/>
      <c r="D9396" s="249"/>
      <c r="E9396" s="249"/>
      <c r="T9396" s="261"/>
    </row>
    <row r="9397" spans="2:20" x14ac:dyDescent="0.2">
      <c r="B9397" s="245"/>
      <c r="C9397" s="248"/>
      <c r="D9397" s="249"/>
      <c r="E9397" s="249"/>
      <c r="T9397" s="261"/>
    </row>
    <row r="9398" spans="2:20" x14ac:dyDescent="0.2">
      <c r="B9398" s="245"/>
      <c r="C9398" s="248"/>
      <c r="D9398" s="249"/>
      <c r="E9398" s="249"/>
      <c r="T9398" s="261"/>
    </row>
    <row r="9399" spans="2:20" x14ac:dyDescent="0.2">
      <c r="B9399" s="245"/>
      <c r="C9399" s="248"/>
      <c r="D9399" s="249"/>
      <c r="E9399" s="249"/>
      <c r="T9399" s="261"/>
    </row>
    <row r="9400" spans="2:20" x14ac:dyDescent="0.2">
      <c r="B9400" s="245"/>
      <c r="C9400" s="248"/>
      <c r="D9400" s="249"/>
      <c r="E9400" s="249"/>
      <c r="T9400" s="261"/>
    </row>
    <row r="9401" spans="2:20" x14ac:dyDescent="0.2">
      <c r="B9401" s="245"/>
      <c r="C9401" s="248"/>
      <c r="D9401" s="249"/>
      <c r="E9401" s="249"/>
      <c r="T9401" s="261"/>
    </row>
    <row r="9402" spans="2:20" x14ac:dyDescent="0.2">
      <c r="B9402" s="245"/>
      <c r="C9402" s="248"/>
      <c r="D9402" s="249"/>
      <c r="E9402" s="249"/>
      <c r="T9402" s="261"/>
    </row>
    <row r="9403" spans="2:20" x14ac:dyDescent="0.2">
      <c r="B9403" s="245"/>
      <c r="C9403" s="248"/>
      <c r="D9403" s="249"/>
      <c r="E9403" s="249"/>
      <c r="T9403" s="261"/>
    </row>
    <row r="9404" spans="2:20" x14ac:dyDescent="0.2">
      <c r="B9404" s="245"/>
      <c r="C9404" s="248"/>
      <c r="D9404" s="249"/>
      <c r="E9404" s="249"/>
      <c r="T9404" s="261"/>
    </row>
    <row r="9405" spans="2:20" x14ac:dyDescent="0.2">
      <c r="B9405" s="245"/>
      <c r="C9405" s="248"/>
      <c r="D9405" s="249"/>
      <c r="E9405" s="249"/>
      <c r="T9405" s="261"/>
    </row>
    <row r="9406" spans="2:20" x14ac:dyDescent="0.2">
      <c r="B9406" s="245"/>
      <c r="C9406" s="248"/>
      <c r="D9406" s="249"/>
      <c r="E9406" s="249"/>
      <c r="T9406" s="261"/>
    </row>
    <row r="9407" spans="2:20" x14ac:dyDescent="0.2">
      <c r="B9407" s="245"/>
      <c r="C9407" s="248"/>
      <c r="D9407" s="249"/>
      <c r="E9407" s="249"/>
      <c r="T9407" s="261"/>
    </row>
    <row r="9408" spans="2:20" x14ac:dyDescent="0.2">
      <c r="B9408" s="245"/>
      <c r="C9408" s="248"/>
      <c r="D9408" s="249"/>
      <c r="E9408" s="249"/>
      <c r="T9408" s="261"/>
    </row>
    <row r="9409" spans="2:20" x14ac:dyDescent="0.2">
      <c r="B9409" s="245"/>
      <c r="C9409" s="248"/>
      <c r="D9409" s="249"/>
      <c r="E9409" s="249"/>
      <c r="T9409" s="261"/>
    </row>
    <row r="9410" spans="2:20" x14ac:dyDescent="0.2">
      <c r="B9410" s="245"/>
      <c r="C9410" s="248"/>
      <c r="D9410" s="249"/>
      <c r="E9410" s="249"/>
      <c r="T9410" s="261"/>
    </row>
    <row r="9411" spans="2:20" x14ac:dyDescent="0.2">
      <c r="B9411" s="245"/>
      <c r="C9411" s="248"/>
      <c r="D9411" s="249"/>
      <c r="E9411" s="249"/>
      <c r="T9411" s="261"/>
    </row>
    <row r="9412" spans="2:20" x14ac:dyDescent="0.2">
      <c r="B9412" s="245"/>
      <c r="C9412" s="248"/>
      <c r="D9412" s="249"/>
      <c r="E9412" s="249"/>
      <c r="T9412" s="261"/>
    </row>
    <row r="9413" spans="2:20" x14ac:dyDescent="0.2">
      <c r="B9413" s="245"/>
      <c r="C9413" s="248"/>
      <c r="D9413" s="249"/>
      <c r="E9413" s="249"/>
      <c r="T9413" s="261"/>
    </row>
    <row r="9414" spans="2:20" x14ac:dyDescent="0.2">
      <c r="B9414" s="245"/>
      <c r="C9414" s="248"/>
      <c r="D9414" s="249"/>
      <c r="E9414" s="249"/>
      <c r="T9414" s="261"/>
    </row>
    <row r="9415" spans="2:20" x14ac:dyDescent="0.2">
      <c r="B9415" s="245"/>
      <c r="C9415" s="248"/>
      <c r="D9415" s="249"/>
      <c r="E9415" s="249"/>
      <c r="T9415" s="261"/>
    </row>
    <row r="9416" spans="2:20" x14ac:dyDescent="0.2">
      <c r="B9416" s="245"/>
      <c r="C9416" s="248"/>
      <c r="D9416" s="249"/>
      <c r="E9416" s="249"/>
      <c r="T9416" s="261"/>
    </row>
    <row r="9417" spans="2:20" x14ac:dyDescent="0.2">
      <c r="B9417" s="245"/>
      <c r="C9417" s="248"/>
      <c r="D9417" s="249"/>
      <c r="E9417" s="249"/>
      <c r="T9417" s="261"/>
    </row>
    <row r="9418" spans="2:20" x14ac:dyDescent="0.2">
      <c r="B9418" s="245"/>
      <c r="C9418" s="248"/>
      <c r="D9418" s="249"/>
      <c r="E9418" s="249"/>
      <c r="T9418" s="261"/>
    </row>
    <row r="9419" spans="2:20" x14ac:dyDescent="0.2">
      <c r="B9419" s="245"/>
      <c r="C9419" s="248"/>
      <c r="D9419" s="249"/>
      <c r="E9419" s="249"/>
      <c r="T9419" s="261"/>
    </row>
    <row r="9420" spans="2:20" x14ac:dyDescent="0.2">
      <c r="B9420" s="245"/>
      <c r="C9420" s="248"/>
      <c r="D9420" s="249"/>
      <c r="E9420" s="249"/>
      <c r="T9420" s="261"/>
    </row>
    <row r="9421" spans="2:20" x14ac:dyDescent="0.2">
      <c r="B9421" s="245"/>
      <c r="C9421" s="248"/>
      <c r="D9421" s="249"/>
      <c r="E9421" s="249"/>
      <c r="T9421" s="261"/>
    </row>
    <row r="9422" spans="2:20" x14ac:dyDescent="0.2">
      <c r="B9422" s="245"/>
      <c r="C9422" s="248"/>
      <c r="D9422" s="249"/>
      <c r="E9422" s="249"/>
      <c r="T9422" s="261"/>
    </row>
    <row r="9423" spans="2:20" x14ac:dyDescent="0.2">
      <c r="B9423" s="245"/>
      <c r="C9423" s="248"/>
      <c r="D9423" s="249"/>
      <c r="E9423" s="249"/>
      <c r="T9423" s="261"/>
    </row>
    <row r="9424" spans="2:20" x14ac:dyDescent="0.2">
      <c r="B9424" s="245"/>
      <c r="C9424" s="248"/>
      <c r="D9424" s="249"/>
      <c r="E9424" s="249"/>
      <c r="T9424" s="261"/>
    </row>
    <row r="9425" spans="2:20" x14ac:dyDescent="0.2">
      <c r="B9425" s="245"/>
      <c r="C9425" s="248"/>
      <c r="D9425" s="249"/>
      <c r="E9425" s="249"/>
      <c r="T9425" s="261"/>
    </row>
    <row r="9426" spans="2:20" x14ac:dyDescent="0.2">
      <c r="B9426" s="245"/>
      <c r="C9426" s="248"/>
      <c r="D9426" s="249"/>
      <c r="E9426" s="249"/>
      <c r="T9426" s="261"/>
    </row>
    <row r="9427" spans="2:20" x14ac:dyDescent="0.2">
      <c r="B9427" s="245"/>
      <c r="C9427" s="248"/>
      <c r="D9427" s="249"/>
      <c r="E9427" s="249"/>
      <c r="T9427" s="261"/>
    </row>
    <row r="9428" spans="2:20" x14ac:dyDescent="0.2">
      <c r="B9428" s="245"/>
      <c r="C9428" s="248"/>
      <c r="D9428" s="249"/>
      <c r="E9428" s="249"/>
      <c r="T9428" s="261"/>
    </row>
    <row r="9429" spans="2:20" x14ac:dyDescent="0.2">
      <c r="B9429" s="245"/>
      <c r="C9429" s="248"/>
      <c r="D9429" s="249"/>
      <c r="E9429" s="249"/>
      <c r="T9429" s="261"/>
    </row>
    <row r="9430" spans="2:20" x14ac:dyDescent="0.2">
      <c r="B9430" s="245"/>
      <c r="C9430" s="248"/>
      <c r="D9430" s="249"/>
      <c r="E9430" s="249"/>
      <c r="T9430" s="261"/>
    </row>
    <row r="9431" spans="2:20" x14ac:dyDescent="0.2">
      <c r="B9431" s="245"/>
      <c r="C9431" s="248"/>
      <c r="D9431" s="249"/>
      <c r="E9431" s="249"/>
      <c r="T9431" s="261"/>
    </row>
    <row r="9432" spans="2:20" x14ac:dyDescent="0.2">
      <c r="B9432" s="245"/>
      <c r="C9432" s="248"/>
      <c r="D9432" s="249"/>
      <c r="E9432" s="249"/>
      <c r="T9432" s="261"/>
    </row>
    <row r="9433" spans="2:20" x14ac:dyDescent="0.2">
      <c r="B9433" s="245"/>
      <c r="C9433" s="248"/>
      <c r="D9433" s="249"/>
      <c r="E9433" s="249"/>
      <c r="T9433" s="261"/>
    </row>
    <row r="9434" spans="2:20" x14ac:dyDescent="0.2">
      <c r="B9434" s="245"/>
      <c r="C9434" s="248"/>
      <c r="D9434" s="249"/>
      <c r="E9434" s="249"/>
      <c r="T9434" s="261"/>
    </row>
    <row r="9435" spans="2:20" x14ac:dyDescent="0.2">
      <c r="B9435" s="245"/>
      <c r="C9435" s="248"/>
      <c r="D9435" s="249"/>
      <c r="E9435" s="249"/>
      <c r="T9435" s="261"/>
    </row>
    <row r="9436" spans="2:20" x14ac:dyDescent="0.2">
      <c r="B9436" s="245"/>
      <c r="C9436" s="248"/>
      <c r="D9436" s="249"/>
      <c r="E9436" s="249"/>
      <c r="T9436" s="261"/>
    </row>
    <row r="9437" spans="2:20" x14ac:dyDescent="0.2">
      <c r="B9437" s="245"/>
      <c r="C9437" s="248"/>
      <c r="D9437" s="249"/>
      <c r="E9437" s="249"/>
      <c r="T9437" s="261"/>
    </row>
    <row r="9438" spans="2:20" x14ac:dyDescent="0.2">
      <c r="B9438" s="245"/>
      <c r="C9438" s="248"/>
      <c r="D9438" s="249"/>
      <c r="E9438" s="249"/>
      <c r="T9438" s="261"/>
    </row>
    <row r="9439" spans="2:20" x14ac:dyDescent="0.2">
      <c r="B9439" s="245"/>
      <c r="C9439" s="248"/>
      <c r="D9439" s="249"/>
      <c r="E9439" s="249"/>
      <c r="T9439" s="261"/>
    </row>
    <row r="9440" spans="2:20" x14ac:dyDescent="0.2">
      <c r="B9440" s="245"/>
      <c r="C9440" s="248"/>
      <c r="D9440" s="249"/>
      <c r="E9440" s="249"/>
      <c r="T9440" s="261"/>
    </row>
    <row r="9441" spans="2:20" x14ac:dyDescent="0.2">
      <c r="B9441" s="245"/>
      <c r="C9441" s="248"/>
      <c r="D9441" s="249"/>
      <c r="E9441" s="249"/>
      <c r="T9441" s="261"/>
    </row>
    <row r="9442" spans="2:20" x14ac:dyDescent="0.2">
      <c r="B9442" s="245"/>
      <c r="C9442" s="248"/>
      <c r="D9442" s="249"/>
      <c r="E9442" s="249"/>
      <c r="T9442" s="261"/>
    </row>
    <row r="9443" spans="2:20" x14ac:dyDescent="0.2">
      <c r="B9443" s="245"/>
      <c r="C9443" s="248"/>
      <c r="D9443" s="249"/>
      <c r="E9443" s="249"/>
      <c r="T9443" s="261"/>
    </row>
    <row r="9444" spans="2:20" x14ac:dyDescent="0.2">
      <c r="B9444" s="245"/>
      <c r="C9444" s="248"/>
      <c r="D9444" s="249"/>
      <c r="E9444" s="249"/>
      <c r="T9444" s="261"/>
    </row>
    <row r="9445" spans="2:20" x14ac:dyDescent="0.2">
      <c r="B9445" s="245"/>
      <c r="C9445" s="248"/>
      <c r="D9445" s="249"/>
      <c r="E9445" s="249"/>
      <c r="T9445" s="261"/>
    </row>
    <row r="9446" spans="2:20" x14ac:dyDescent="0.2">
      <c r="B9446" s="245"/>
      <c r="C9446" s="248"/>
      <c r="D9446" s="249"/>
      <c r="E9446" s="249"/>
      <c r="T9446" s="261"/>
    </row>
    <row r="9447" spans="2:20" x14ac:dyDescent="0.2">
      <c r="B9447" s="245"/>
      <c r="C9447" s="248"/>
      <c r="D9447" s="249"/>
      <c r="E9447" s="249"/>
      <c r="T9447" s="261"/>
    </row>
    <row r="9448" spans="2:20" x14ac:dyDescent="0.2">
      <c r="B9448" s="245"/>
      <c r="C9448" s="248"/>
      <c r="D9448" s="249"/>
      <c r="E9448" s="249"/>
      <c r="T9448" s="261"/>
    </row>
    <row r="9449" spans="2:20" x14ac:dyDescent="0.2">
      <c r="B9449" s="245"/>
      <c r="C9449" s="248"/>
      <c r="D9449" s="249"/>
      <c r="E9449" s="249"/>
      <c r="T9449" s="261"/>
    </row>
    <row r="9450" spans="2:20" x14ac:dyDescent="0.2">
      <c r="B9450" s="245"/>
      <c r="C9450" s="248"/>
      <c r="D9450" s="249"/>
      <c r="E9450" s="249"/>
      <c r="T9450" s="261"/>
    </row>
    <row r="9451" spans="2:20" x14ac:dyDescent="0.2">
      <c r="B9451" s="245"/>
      <c r="C9451" s="248"/>
      <c r="D9451" s="249"/>
      <c r="E9451" s="249"/>
      <c r="T9451" s="261"/>
    </row>
    <row r="9452" spans="2:20" x14ac:dyDescent="0.2">
      <c r="B9452" s="245"/>
      <c r="C9452" s="248"/>
      <c r="D9452" s="249"/>
      <c r="E9452" s="249"/>
      <c r="T9452" s="261"/>
    </row>
    <row r="9453" spans="2:20" x14ac:dyDescent="0.2">
      <c r="B9453" s="245"/>
      <c r="C9453" s="248"/>
      <c r="D9453" s="249"/>
      <c r="E9453" s="249"/>
      <c r="T9453" s="261"/>
    </row>
    <row r="9454" spans="2:20" x14ac:dyDescent="0.2">
      <c r="B9454" s="245"/>
      <c r="C9454" s="248"/>
      <c r="D9454" s="249"/>
      <c r="E9454" s="249"/>
      <c r="T9454" s="261"/>
    </row>
    <row r="9455" spans="2:20" x14ac:dyDescent="0.2">
      <c r="B9455" s="245"/>
      <c r="C9455" s="248"/>
      <c r="D9455" s="249"/>
      <c r="E9455" s="249"/>
      <c r="T9455" s="261"/>
    </row>
    <row r="9456" spans="2:20" x14ac:dyDescent="0.2">
      <c r="B9456" s="245"/>
      <c r="C9456" s="248"/>
      <c r="D9456" s="249"/>
      <c r="E9456" s="249"/>
      <c r="T9456" s="261"/>
    </row>
    <row r="9457" spans="2:20" x14ac:dyDescent="0.2">
      <c r="B9457" s="245"/>
      <c r="C9457" s="248"/>
      <c r="D9457" s="249"/>
      <c r="E9457" s="249"/>
      <c r="T9457" s="261"/>
    </row>
    <row r="9458" spans="2:20" x14ac:dyDescent="0.2">
      <c r="B9458" s="245"/>
      <c r="C9458" s="248"/>
      <c r="D9458" s="249"/>
      <c r="E9458" s="249"/>
      <c r="T9458" s="261"/>
    </row>
    <row r="9459" spans="2:20" x14ac:dyDescent="0.2">
      <c r="B9459" s="245"/>
      <c r="C9459" s="248"/>
      <c r="D9459" s="249"/>
      <c r="E9459" s="249"/>
      <c r="T9459" s="261"/>
    </row>
    <row r="9460" spans="2:20" x14ac:dyDescent="0.2">
      <c r="B9460" s="245"/>
      <c r="C9460" s="248"/>
      <c r="D9460" s="249"/>
      <c r="E9460" s="249"/>
      <c r="T9460" s="261"/>
    </row>
    <row r="9461" spans="2:20" x14ac:dyDescent="0.2">
      <c r="B9461" s="245"/>
      <c r="C9461" s="248"/>
      <c r="D9461" s="249"/>
      <c r="E9461" s="249"/>
      <c r="T9461" s="261"/>
    </row>
    <row r="9462" spans="2:20" x14ac:dyDescent="0.2">
      <c r="B9462" s="245"/>
      <c r="C9462" s="248"/>
      <c r="D9462" s="249"/>
      <c r="E9462" s="249"/>
      <c r="T9462" s="261"/>
    </row>
    <row r="9463" spans="2:20" x14ac:dyDescent="0.2">
      <c r="B9463" s="245"/>
      <c r="C9463" s="248"/>
      <c r="D9463" s="249"/>
      <c r="E9463" s="249"/>
      <c r="T9463" s="261"/>
    </row>
    <row r="9464" spans="2:20" x14ac:dyDescent="0.2">
      <c r="B9464" s="245"/>
      <c r="C9464" s="248"/>
      <c r="D9464" s="249"/>
      <c r="E9464" s="249"/>
      <c r="T9464" s="261"/>
    </row>
    <row r="9465" spans="2:20" x14ac:dyDescent="0.2">
      <c r="B9465" s="245"/>
      <c r="C9465" s="248"/>
      <c r="D9465" s="249"/>
      <c r="E9465" s="249"/>
      <c r="T9465" s="261"/>
    </row>
    <row r="9466" spans="2:20" x14ac:dyDescent="0.2">
      <c r="B9466" s="245"/>
      <c r="C9466" s="248"/>
      <c r="D9466" s="249"/>
      <c r="E9466" s="249"/>
      <c r="T9466" s="261"/>
    </row>
    <row r="9467" spans="2:20" x14ac:dyDescent="0.2">
      <c r="B9467" s="245"/>
      <c r="C9467" s="248"/>
      <c r="D9467" s="249"/>
      <c r="E9467" s="249"/>
      <c r="T9467" s="261"/>
    </row>
    <row r="9468" spans="2:20" x14ac:dyDescent="0.2">
      <c r="B9468" s="245"/>
      <c r="C9468" s="248"/>
      <c r="D9468" s="249"/>
      <c r="E9468" s="249"/>
      <c r="T9468" s="261"/>
    </row>
    <row r="9469" spans="2:20" x14ac:dyDescent="0.2">
      <c r="B9469" s="245"/>
      <c r="C9469" s="248"/>
      <c r="D9469" s="249"/>
      <c r="E9469" s="249"/>
      <c r="T9469" s="261"/>
    </row>
    <row r="9470" spans="2:20" x14ac:dyDescent="0.2">
      <c r="B9470" s="245"/>
      <c r="C9470" s="248"/>
      <c r="D9470" s="249"/>
      <c r="E9470" s="249"/>
      <c r="T9470" s="261"/>
    </row>
    <row r="9471" spans="2:20" x14ac:dyDescent="0.2">
      <c r="B9471" s="245"/>
      <c r="C9471" s="248"/>
      <c r="D9471" s="249"/>
      <c r="E9471" s="249"/>
      <c r="T9471" s="261"/>
    </row>
    <row r="9472" spans="2:20" x14ac:dyDescent="0.2">
      <c r="B9472" s="245"/>
      <c r="C9472" s="248"/>
      <c r="D9472" s="249"/>
      <c r="E9472" s="249"/>
      <c r="T9472" s="261"/>
    </row>
    <row r="9473" spans="2:20" x14ac:dyDescent="0.2">
      <c r="B9473" s="245"/>
      <c r="C9473" s="248"/>
      <c r="D9473" s="249"/>
      <c r="E9473" s="249"/>
      <c r="T9473" s="261"/>
    </row>
    <row r="9474" spans="2:20" x14ac:dyDescent="0.2">
      <c r="B9474" s="245"/>
      <c r="C9474" s="248"/>
      <c r="D9474" s="249"/>
      <c r="E9474" s="249"/>
      <c r="T9474" s="261"/>
    </row>
    <row r="9475" spans="2:20" x14ac:dyDescent="0.2">
      <c r="B9475" s="245"/>
      <c r="C9475" s="248"/>
      <c r="D9475" s="249"/>
      <c r="E9475" s="249"/>
      <c r="T9475" s="261"/>
    </row>
    <row r="9476" spans="2:20" x14ac:dyDescent="0.2">
      <c r="B9476" s="245"/>
      <c r="C9476" s="248"/>
      <c r="D9476" s="249"/>
      <c r="E9476" s="249"/>
      <c r="T9476" s="261"/>
    </row>
    <row r="9477" spans="2:20" x14ac:dyDescent="0.2">
      <c r="B9477" s="245"/>
      <c r="C9477" s="248"/>
      <c r="D9477" s="249"/>
      <c r="E9477" s="249"/>
      <c r="T9477" s="261"/>
    </row>
    <row r="9478" spans="2:20" x14ac:dyDescent="0.2">
      <c r="B9478" s="245"/>
      <c r="C9478" s="248"/>
      <c r="D9478" s="249"/>
      <c r="E9478" s="249"/>
      <c r="T9478" s="261"/>
    </row>
    <row r="9479" spans="2:20" x14ac:dyDescent="0.2">
      <c r="B9479" s="245"/>
      <c r="C9479" s="248"/>
      <c r="D9479" s="249"/>
      <c r="E9479" s="249"/>
      <c r="T9479" s="261"/>
    </row>
    <row r="9480" spans="2:20" x14ac:dyDescent="0.2">
      <c r="B9480" s="245"/>
      <c r="C9480" s="248"/>
      <c r="D9480" s="249"/>
      <c r="E9480" s="249"/>
      <c r="T9480" s="261"/>
    </row>
    <row r="9481" spans="2:20" x14ac:dyDescent="0.2">
      <c r="B9481" s="245"/>
      <c r="C9481" s="248"/>
      <c r="D9481" s="249"/>
      <c r="E9481" s="249"/>
      <c r="T9481" s="261"/>
    </row>
    <row r="9482" spans="2:20" x14ac:dyDescent="0.2">
      <c r="B9482" s="245"/>
      <c r="C9482" s="248"/>
      <c r="D9482" s="249"/>
      <c r="E9482" s="249"/>
      <c r="T9482" s="261"/>
    </row>
    <row r="9483" spans="2:20" x14ac:dyDescent="0.2">
      <c r="B9483" s="245"/>
      <c r="C9483" s="248"/>
      <c r="D9483" s="249"/>
      <c r="E9483" s="249"/>
      <c r="T9483" s="261"/>
    </row>
    <row r="9484" spans="2:20" x14ac:dyDescent="0.2">
      <c r="B9484" s="245"/>
      <c r="C9484" s="248"/>
      <c r="D9484" s="249"/>
      <c r="E9484" s="249"/>
      <c r="T9484" s="261"/>
    </row>
    <row r="9485" spans="2:20" x14ac:dyDescent="0.2">
      <c r="B9485" s="245"/>
      <c r="C9485" s="248"/>
      <c r="D9485" s="249"/>
      <c r="E9485" s="249"/>
      <c r="T9485" s="261"/>
    </row>
    <row r="9486" spans="2:20" x14ac:dyDescent="0.2">
      <c r="B9486" s="245"/>
      <c r="C9486" s="248"/>
      <c r="D9486" s="249"/>
      <c r="E9486" s="249"/>
      <c r="T9486" s="261"/>
    </row>
    <row r="9487" spans="2:20" x14ac:dyDescent="0.2">
      <c r="B9487" s="245"/>
      <c r="C9487" s="248"/>
      <c r="D9487" s="249"/>
      <c r="E9487" s="249"/>
      <c r="T9487" s="261"/>
    </row>
    <row r="9488" spans="2:20" x14ac:dyDescent="0.2">
      <c r="B9488" s="245"/>
      <c r="C9488" s="248"/>
      <c r="D9488" s="249"/>
      <c r="E9488" s="249"/>
      <c r="T9488" s="261"/>
    </row>
    <row r="9489" spans="2:20" x14ac:dyDescent="0.2">
      <c r="B9489" s="245"/>
      <c r="C9489" s="248"/>
      <c r="D9489" s="249"/>
      <c r="E9489" s="249"/>
      <c r="T9489" s="261"/>
    </row>
    <row r="9490" spans="2:20" x14ac:dyDescent="0.2">
      <c r="B9490" s="245"/>
      <c r="C9490" s="248"/>
      <c r="D9490" s="249"/>
      <c r="E9490" s="249"/>
      <c r="T9490" s="261"/>
    </row>
    <row r="9491" spans="2:20" x14ac:dyDescent="0.2">
      <c r="B9491" s="245"/>
      <c r="C9491" s="248"/>
      <c r="D9491" s="249"/>
      <c r="E9491" s="249"/>
      <c r="T9491" s="261"/>
    </row>
    <row r="9492" spans="2:20" x14ac:dyDescent="0.2">
      <c r="B9492" s="245"/>
      <c r="C9492" s="248"/>
      <c r="D9492" s="249"/>
      <c r="E9492" s="249"/>
      <c r="T9492" s="261"/>
    </row>
    <row r="9493" spans="2:20" x14ac:dyDescent="0.2">
      <c r="B9493" s="245"/>
      <c r="C9493" s="248"/>
      <c r="D9493" s="249"/>
      <c r="E9493" s="249"/>
      <c r="T9493" s="261"/>
    </row>
    <row r="9494" spans="2:20" x14ac:dyDescent="0.2">
      <c r="B9494" s="245"/>
      <c r="C9494" s="248"/>
      <c r="D9494" s="249"/>
      <c r="E9494" s="249"/>
      <c r="T9494" s="261"/>
    </row>
    <row r="9495" spans="2:20" x14ac:dyDescent="0.2">
      <c r="B9495" s="245"/>
      <c r="C9495" s="248"/>
      <c r="D9495" s="249"/>
      <c r="E9495" s="249"/>
      <c r="T9495" s="261"/>
    </row>
    <row r="9496" spans="2:20" x14ac:dyDescent="0.2">
      <c r="B9496" s="245"/>
      <c r="C9496" s="248"/>
      <c r="D9496" s="249"/>
      <c r="E9496" s="249"/>
      <c r="T9496" s="261"/>
    </row>
    <row r="9497" spans="2:20" x14ac:dyDescent="0.2">
      <c r="B9497" s="245"/>
      <c r="C9497" s="248"/>
      <c r="D9497" s="249"/>
      <c r="E9497" s="249"/>
      <c r="T9497" s="261"/>
    </row>
    <row r="9498" spans="2:20" x14ac:dyDescent="0.2">
      <c r="B9498" s="245"/>
      <c r="C9498" s="248"/>
      <c r="D9498" s="249"/>
      <c r="E9498" s="249"/>
      <c r="T9498" s="261"/>
    </row>
    <row r="9499" spans="2:20" x14ac:dyDescent="0.2">
      <c r="B9499" s="245"/>
      <c r="C9499" s="248"/>
      <c r="D9499" s="249"/>
      <c r="E9499" s="249"/>
      <c r="T9499" s="261"/>
    </row>
    <row r="9500" spans="2:20" x14ac:dyDescent="0.2">
      <c r="B9500" s="245"/>
      <c r="C9500" s="248"/>
      <c r="D9500" s="249"/>
      <c r="E9500" s="249"/>
      <c r="T9500" s="261"/>
    </row>
    <row r="9501" spans="2:20" x14ac:dyDescent="0.2">
      <c r="B9501" s="245"/>
      <c r="C9501" s="248"/>
      <c r="D9501" s="249"/>
      <c r="E9501" s="249"/>
      <c r="T9501" s="261"/>
    </row>
    <row r="9502" spans="2:20" x14ac:dyDescent="0.2">
      <c r="B9502" s="245"/>
      <c r="C9502" s="248"/>
      <c r="D9502" s="249"/>
      <c r="E9502" s="249"/>
      <c r="T9502" s="261"/>
    </row>
    <row r="9503" spans="2:20" x14ac:dyDescent="0.2">
      <c r="B9503" s="245"/>
      <c r="C9503" s="248"/>
      <c r="D9503" s="249"/>
      <c r="E9503" s="249"/>
      <c r="T9503" s="261"/>
    </row>
    <row r="9504" spans="2:20" x14ac:dyDescent="0.2">
      <c r="B9504" s="245"/>
      <c r="C9504" s="248"/>
      <c r="D9504" s="249"/>
      <c r="E9504" s="249"/>
      <c r="T9504" s="261"/>
    </row>
    <row r="9505" spans="2:20" x14ac:dyDescent="0.2">
      <c r="B9505" s="245"/>
      <c r="C9505" s="248"/>
      <c r="D9505" s="249"/>
      <c r="E9505" s="249"/>
      <c r="T9505" s="261"/>
    </row>
    <row r="9506" spans="2:20" x14ac:dyDescent="0.2">
      <c r="B9506" s="245"/>
      <c r="C9506" s="248"/>
      <c r="D9506" s="249"/>
      <c r="E9506" s="249"/>
      <c r="T9506" s="261"/>
    </row>
    <row r="9507" spans="2:20" x14ac:dyDescent="0.2">
      <c r="B9507" s="245"/>
      <c r="C9507" s="248"/>
      <c r="D9507" s="249"/>
      <c r="E9507" s="249"/>
      <c r="T9507" s="261"/>
    </row>
    <row r="9508" spans="2:20" x14ac:dyDescent="0.2">
      <c r="B9508" s="245"/>
      <c r="C9508" s="248"/>
      <c r="D9508" s="249"/>
      <c r="E9508" s="249"/>
      <c r="T9508" s="261"/>
    </row>
    <row r="9509" spans="2:20" x14ac:dyDescent="0.2">
      <c r="B9509" s="245"/>
      <c r="C9509" s="248"/>
      <c r="D9509" s="249"/>
      <c r="E9509" s="249"/>
      <c r="T9509" s="261"/>
    </row>
    <row r="9510" spans="2:20" x14ac:dyDescent="0.2">
      <c r="B9510" s="245"/>
      <c r="C9510" s="248"/>
      <c r="D9510" s="249"/>
      <c r="E9510" s="249"/>
      <c r="T9510" s="261"/>
    </row>
    <row r="9511" spans="2:20" x14ac:dyDescent="0.2">
      <c r="B9511" s="245"/>
      <c r="C9511" s="248"/>
      <c r="D9511" s="249"/>
      <c r="E9511" s="249"/>
      <c r="T9511" s="261"/>
    </row>
    <row r="9512" spans="2:20" x14ac:dyDescent="0.2">
      <c r="B9512" s="245"/>
      <c r="C9512" s="248"/>
      <c r="D9512" s="249"/>
      <c r="E9512" s="249"/>
      <c r="T9512" s="261"/>
    </row>
    <row r="9513" spans="2:20" x14ac:dyDescent="0.2">
      <c r="B9513" s="245"/>
      <c r="C9513" s="248"/>
      <c r="D9513" s="249"/>
      <c r="E9513" s="249"/>
      <c r="T9513" s="261"/>
    </row>
    <row r="9514" spans="2:20" x14ac:dyDescent="0.2">
      <c r="B9514" s="245"/>
      <c r="C9514" s="248"/>
      <c r="D9514" s="249"/>
      <c r="E9514" s="249"/>
      <c r="T9514" s="261"/>
    </row>
    <row r="9515" spans="2:20" x14ac:dyDescent="0.2">
      <c r="B9515" s="245"/>
      <c r="C9515" s="248"/>
      <c r="D9515" s="249"/>
      <c r="E9515" s="249"/>
      <c r="T9515" s="261"/>
    </row>
    <row r="9516" spans="2:20" x14ac:dyDescent="0.2">
      <c r="B9516" s="245"/>
      <c r="C9516" s="248"/>
      <c r="D9516" s="249"/>
      <c r="E9516" s="249"/>
      <c r="T9516" s="261"/>
    </row>
    <row r="9517" spans="2:20" x14ac:dyDescent="0.2">
      <c r="B9517" s="245"/>
      <c r="C9517" s="248"/>
      <c r="D9517" s="249"/>
      <c r="E9517" s="249"/>
      <c r="T9517" s="261"/>
    </row>
    <row r="9518" spans="2:20" x14ac:dyDescent="0.2">
      <c r="B9518" s="245"/>
      <c r="C9518" s="248"/>
      <c r="D9518" s="249"/>
      <c r="E9518" s="249"/>
      <c r="T9518" s="261"/>
    </row>
    <row r="9519" spans="2:20" x14ac:dyDescent="0.2">
      <c r="B9519" s="245"/>
      <c r="C9519" s="248"/>
      <c r="D9519" s="249"/>
      <c r="E9519" s="249"/>
      <c r="T9519" s="261"/>
    </row>
    <row r="9520" spans="2:20" x14ac:dyDescent="0.2">
      <c r="B9520" s="245"/>
      <c r="C9520" s="248"/>
      <c r="D9520" s="249"/>
      <c r="E9520" s="249"/>
      <c r="T9520" s="261"/>
    </row>
    <row r="9521" spans="2:20" x14ac:dyDescent="0.2">
      <c r="B9521" s="245"/>
      <c r="C9521" s="248"/>
      <c r="D9521" s="249"/>
      <c r="E9521" s="249"/>
      <c r="T9521" s="261"/>
    </row>
    <row r="9522" spans="2:20" x14ac:dyDescent="0.2">
      <c r="B9522" s="245"/>
      <c r="C9522" s="248"/>
      <c r="D9522" s="249"/>
      <c r="E9522" s="249"/>
      <c r="T9522" s="261"/>
    </row>
    <row r="9523" spans="2:20" x14ac:dyDescent="0.2">
      <c r="B9523" s="245"/>
      <c r="C9523" s="248"/>
      <c r="D9523" s="249"/>
      <c r="E9523" s="249"/>
      <c r="T9523" s="261"/>
    </row>
    <row r="9524" spans="2:20" x14ac:dyDescent="0.2">
      <c r="B9524" s="245"/>
      <c r="C9524" s="248"/>
      <c r="D9524" s="249"/>
      <c r="E9524" s="249"/>
      <c r="T9524" s="261"/>
    </row>
    <row r="9525" spans="2:20" x14ac:dyDescent="0.2">
      <c r="B9525" s="245"/>
      <c r="C9525" s="248"/>
      <c r="D9525" s="249"/>
      <c r="E9525" s="249"/>
      <c r="T9525" s="261"/>
    </row>
    <row r="9526" spans="2:20" x14ac:dyDescent="0.2">
      <c r="B9526" s="245"/>
      <c r="C9526" s="248"/>
      <c r="D9526" s="249"/>
      <c r="E9526" s="249"/>
      <c r="T9526" s="261"/>
    </row>
    <row r="9527" spans="2:20" x14ac:dyDescent="0.2">
      <c r="B9527" s="245"/>
      <c r="C9527" s="248"/>
      <c r="D9527" s="249"/>
      <c r="E9527" s="249"/>
      <c r="T9527" s="261"/>
    </row>
    <row r="9528" spans="2:20" x14ac:dyDescent="0.2">
      <c r="B9528" s="245"/>
      <c r="C9528" s="248"/>
      <c r="D9528" s="249"/>
      <c r="E9528" s="249"/>
      <c r="T9528" s="261"/>
    </row>
    <row r="9529" spans="2:20" x14ac:dyDescent="0.2">
      <c r="B9529" s="245"/>
      <c r="C9529" s="248"/>
      <c r="D9529" s="249"/>
      <c r="E9529" s="249"/>
      <c r="T9529" s="261"/>
    </row>
    <row r="9530" spans="2:20" x14ac:dyDescent="0.2">
      <c r="B9530" s="245"/>
      <c r="C9530" s="248"/>
      <c r="D9530" s="249"/>
      <c r="E9530" s="249"/>
      <c r="T9530" s="261"/>
    </row>
    <row r="9531" spans="2:20" x14ac:dyDescent="0.2">
      <c r="B9531" s="245"/>
      <c r="C9531" s="248"/>
      <c r="D9531" s="249"/>
      <c r="E9531" s="249"/>
      <c r="T9531" s="261"/>
    </row>
    <row r="9532" spans="2:20" x14ac:dyDescent="0.2">
      <c r="B9532" s="245"/>
      <c r="C9532" s="248"/>
      <c r="D9532" s="249"/>
      <c r="E9532" s="249"/>
      <c r="T9532" s="261"/>
    </row>
    <row r="9533" spans="2:20" x14ac:dyDescent="0.2">
      <c r="B9533" s="245"/>
      <c r="C9533" s="248"/>
      <c r="D9533" s="249"/>
      <c r="E9533" s="249"/>
      <c r="T9533" s="261"/>
    </row>
    <row r="9534" spans="2:20" x14ac:dyDescent="0.2">
      <c r="B9534" s="245"/>
      <c r="C9534" s="248"/>
      <c r="D9534" s="249"/>
      <c r="E9534" s="249"/>
      <c r="T9534" s="261"/>
    </row>
    <row r="9535" spans="2:20" x14ac:dyDescent="0.2">
      <c r="B9535" s="245"/>
      <c r="C9535" s="248"/>
      <c r="D9535" s="249"/>
      <c r="E9535" s="249"/>
      <c r="T9535" s="261"/>
    </row>
    <row r="9536" spans="2:20" x14ac:dyDescent="0.2">
      <c r="B9536" s="245"/>
      <c r="C9536" s="248"/>
      <c r="D9536" s="249"/>
      <c r="E9536" s="249"/>
      <c r="T9536" s="261"/>
    </row>
    <row r="9537" spans="2:20" x14ac:dyDescent="0.2">
      <c r="B9537" s="245"/>
      <c r="C9537" s="248"/>
      <c r="D9537" s="249"/>
      <c r="E9537" s="249"/>
      <c r="T9537" s="261"/>
    </row>
    <row r="9538" spans="2:20" x14ac:dyDescent="0.2">
      <c r="B9538" s="245"/>
      <c r="C9538" s="248"/>
      <c r="D9538" s="249"/>
      <c r="E9538" s="249"/>
      <c r="T9538" s="261"/>
    </row>
    <row r="9539" spans="2:20" x14ac:dyDescent="0.2">
      <c r="B9539" s="245"/>
      <c r="C9539" s="248"/>
      <c r="D9539" s="249"/>
      <c r="E9539" s="249"/>
      <c r="T9539" s="261"/>
    </row>
    <row r="9540" spans="2:20" x14ac:dyDescent="0.2">
      <c r="B9540" s="245"/>
      <c r="C9540" s="248"/>
      <c r="D9540" s="249"/>
      <c r="E9540" s="249"/>
      <c r="T9540" s="261"/>
    </row>
    <row r="9541" spans="2:20" x14ac:dyDescent="0.2">
      <c r="B9541" s="245"/>
      <c r="C9541" s="248"/>
      <c r="D9541" s="249"/>
      <c r="E9541" s="249"/>
      <c r="T9541" s="261"/>
    </row>
    <row r="9542" spans="2:20" x14ac:dyDescent="0.2">
      <c r="B9542" s="245"/>
      <c r="C9542" s="248"/>
      <c r="D9542" s="249"/>
      <c r="E9542" s="249"/>
      <c r="T9542" s="261"/>
    </row>
    <row r="9543" spans="2:20" x14ac:dyDescent="0.2">
      <c r="B9543" s="245"/>
      <c r="C9543" s="248"/>
      <c r="D9543" s="249"/>
      <c r="E9543" s="249"/>
      <c r="T9543" s="261"/>
    </row>
    <row r="9544" spans="2:20" x14ac:dyDescent="0.2">
      <c r="B9544" s="245"/>
      <c r="C9544" s="248"/>
      <c r="D9544" s="249"/>
      <c r="E9544" s="249"/>
      <c r="T9544" s="261"/>
    </row>
    <row r="9545" spans="2:20" x14ac:dyDescent="0.2">
      <c r="B9545" s="245"/>
      <c r="C9545" s="248"/>
      <c r="D9545" s="249"/>
      <c r="E9545" s="249"/>
      <c r="T9545" s="261"/>
    </row>
    <row r="9546" spans="2:20" x14ac:dyDescent="0.2">
      <c r="B9546" s="245"/>
      <c r="C9546" s="248"/>
      <c r="D9546" s="249"/>
      <c r="E9546" s="249"/>
      <c r="T9546" s="261"/>
    </row>
    <row r="9547" spans="2:20" x14ac:dyDescent="0.2">
      <c r="B9547" s="245"/>
      <c r="C9547" s="248"/>
      <c r="D9547" s="249"/>
      <c r="E9547" s="249"/>
      <c r="T9547" s="261"/>
    </row>
    <row r="9548" spans="2:20" x14ac:dyDescent="0.2">
      <c r="B9548" s="245"/>
      <c r="C9548" s="248"/>
      <c r="D9548" s="249"/>
      <c r="E9548" s="249"/>
      <c r="T9548" s="261"/>
    </row>
    <row r="9549" spans="2:20" x14ac:dyDescent="0.2">
      <c r="B9549" s="245"/>
      <c r="C9549" s="248"/>
      <c r="D9549" s="249"/>
      <c r="E9549" s="249"/>
      <c r="T9549" s="261"/>
    </row>
    <row r="9550" spans="2:20" x14ac:dyDescent="0.2">
      <c r="B9550" s="245"/>
      <c r="C9550" s="248"/>
      <c r="D9550" s="249"/>
      <c r="E9550" s="249"/>
      <c r="T9550" s="261"/>
    </row>
    <row r="9551" spans="2:20" x14ac:dyDescent="0.2">
      <c r="B9551" s="245"/>
      <c r="C9551" s="248"/>
      <c r="D9551" s="249"/>
      <c r="E9551" s="249"/>
      <c r="T9551" s="261"/>
    </row>
    <row r="9552" spans="2:20" x14ac:dyDescent="0.2">
      <c r="B9552" s="245"/>
      <c r="C9552" s="248"/>
      <c r="D9552" s="249"/>
      <c r="E9552" s="249"/>
      <c r="T9552" s="261"/>
    </row>
    <row r="9553" spans="2:20" x14ac:dyDescent="0.2">
      <c r="B9553" s="245"/>
      <c r="C9553" s="248"/>
      <c r="D9553" s="249"/>
      <c r="E9553" s="249"/>
      <c r="T9553" s="261"/>
    </row>
    <row r="9554" spans="2:20" x14ac:dyDescent="0.2">
      <c r="B9554" s="245"/>
      <c r="C9554" s="248"/>
      <c r="D9554" s="249"/>
      <c r="E9554" s="249"/>
      <c r="T9554" s="261"/>
    </row>
    <row r="9555" spans="2:20" x14ac:dyDescent="0.2">
      <c r="B9555" s="245"/>
      <c r="C9555" s="248"/>
      <c r="D9555" s="249"/>
      <c r="E9555" s="249"/>
      <c r="T9555" s="261"/>
    </row>
    <row r="9556" spans="2:20" x14ac:dyDescent="0.2">
      <c r="B9556" s="245"/>
      <c r="C9556" s="248"/>
      <c r="D9556" s="249"/>
      <c r="E9556" s="249"/>
      <c r="T9556" s="261"/>
    </row>
    <row r="9557" spans="2:20" x14ac:dyDescent="0.2">
      <c r="B9557" s="245"/>
      <c r="C9557" s="248"/>
      <c r="D9557" s="249"/>
      <c r="E9557" s="249"/>
      <c r="T9557" s="261"/>
    </row>
    <row r="9558" spans="2:20" x14ac:dyDescent="0.2">
      <c r="B9558" s="245"/>
      <c r="C9558" s="248"/>
      <c r="D9558" s="249"/>
      <c r="E9558" s="249"/>
      <c r="T9558" s="261"/>
    </row>
    <row r="9559" spans="2:20" x14ac:dyDescent="0.2">
      <c r="B9559" s="245"/>
      <c r="C9559" s="248"/>
      <c r="D9559" s="249"/>
      <c r="E9559" s="249"/>
      <c r="T9559" s="261"/>
    </row>
    <row r="9560" spans="2:20" x14ac:dyDescent="0.2">
      <c r="B9560" s="245"/>
      <c r="C9560" s="248"/>
      <c r="D9560" s="249"/>
      <c r="E9560" s="249"/>
      <c r="T9560" s="261"/>
    </row>
    <row r="9561" spans="2:20" x14ac:dyDescent="0.2">
      <c r="B9561" s="245"/>
      <c r="C9561" s="248"/>
      <c r="D9561" s="249"/>
      <c r="E9561" s="249"/>
      <c r="T9561" s="261"/>
    </row>
    <row r="9562" spans="2:20" x14ac:dyDescent="0.2">
      <c r="B9562" s="245"/>
      <c r="C9562" s="248"/>
      <c r="D9562" s="249"/>
      <c r="E9562" s="249"/>
      <c r="T9562" s="261"/>
    </row>
    <row r="9563" spans="2:20" x14ac:dyDescent="0.2">
      <c r="B9563" s="245"/>
      <c r="C9563" s="248"/>
      <c r="D9563" s="249"/>
      <c r="E9563" s="249"/>
      <c r="T9563" s="261"/>
    </row>
    <row r="9564" spans="2:20" x14ac:dyDescent="0.2">
      <c r="B9564" s="245"/>
      <c r="C9564" s="248"/>
      <c r="D9564" s="249"/>
      <c r="E9564" s="249"/>
      <c r="T9564" s="261"/>
    </row>
    <row r="9565" spans="2:20" x14ac:dyDescent="0.2">
      <c r="B9565" s="245"/>
      <c r="C9565" s="248"/>
      <c r="D9565" s="249"/>
      <c r="E9565" s="249"/>
      <c r="T9565" s="261"/>
    </row>
    <row r="9566" spans="2:20" x14ac:dyDescent="0.2">
      <c r="B9566" s="245"/>
      <c r="C9566" s="248"/>
      <c r="D9566" s="249"/>
      <c r="E9566" s="249"/>
      <c r="T9566" s="261"/>
    </row>
    <row r="9567" spans="2:20" x14ac:dyDescent="0.2">
      <c r="B9567" s="245"/>
      <c r="C9567" s="248"/>
      <c r="D9567" s="249"/>
      <c r="E9567" s="249"/>
      <c r="T9567" s="261"/>
    </row>
    <row r="9568" spans="2:20" x14ac:dyDescent="0.2">
      <c r="B9568" s="245"/>
      <c r="C9568" s="248"/>
      <c r="D9568" s="249"/>
      <c r="E9568" s="249"/>
      <c r="T9568" s="261"/>
    </row>
    <row r="9569" spans="2:20" x14ac:dyDescent="0.2">
      <c r="B9569" s="245"/>
      <c r="C9569" s="248"/>
      <c r="D9569" s="249"/>
      <c r="E9569" s="249"/>
      <c r="T9569" s="261"/>
    </row>
    <row r="9570" spans="2:20" x14ac:dyDescent="0.2">
      <c r="B9570" s="245"/>
      <c r="C9570" s="248"/>
      <c r="D9570" s="249"/>
      <c r="E9570" s="249"/>
      <c r="T9570" s="261"/>
    </row>
    <row r="9571" spans="2:20" x14ac:dyDescent="0.2">
      <c r="B9571" s="245"/>
      <c r="C9571" s="248"/>
      <c r="D9571" s="249"/>
      <c r="E9571" s="249"/>
      <c r="T9571" s="261"/>
    </row>
    <row r="9572" spans="2:20" x14ac:dyDescent="0.2">
      <c r="B9572" s="245"/>
      <c r="C9572" s="248"/>
      <c r="D9572" s="249"/>
      <c r="E9572" s="249"/>
      <c r="T9572" s="261"/>
    </row>
    <row r="9573" spans="2:20" x14ac:dyDescent="0.2">
      <c r="B9573" s="245"/>
      <c r="C9573" s="248"/>
      <c r="D9573" s="249"/>
      <c r="E9573" s="249"/>
      <c r="T9573" s="261"/>
    </row>
    <row r="9574" spans="2:20" x14ac:dyDescent="0.2">
      <c r="B9574" s="245"/>
      <c r="C9574" s="248"/>
      <c r="D9574" s="249"/>
      <c r="E9574" s="249"/>
      <c r="T9574" s="261"/>
    </row>
    <row r="9575" spans="2:20" x14ac:dyDescent="0.2">
      <c r="B9575" s="245"/>
      <c r="C9575" s="248"/>
      <c r="D9575" s="249"/>
      <c r="E9575" s="249"/>
      <c r="T9575" s="261"/>
    </row>
    <row r="9576" spans="2:20" x14ac:dyDescent="0.2">
      <c r="B9576" s="245"/>
      <c r="C9576" s="248"/>
      <c r="D9576" s="249"/>
      <c r="E9576" s="249"/>
      <c r="T9576" s="261"/>
    </row>
    <row r="9577" spans="2:20" x14ac:dyDescent="0.2">
      <c r="B9577" s="245"/>
      <c r="C9577" s="248"/>
      <c r="D9577" s="249"/>
      <c r="E9577" s="249"/>
      <c r="T9577" s="261"/>
    </row>
    <row r="9578" spans="2:20" x14ac:dyDescent="0.2">
      <c r="B9578" s="245"/>
      <c r="C9578" s="248"/>
      <c r="D9578" s="249"/>
      <c r="E9578" s="249"/>
      <c r="T9578" s="261"/>
    </row>
    <row r="9579" spans="2:20" x14ac:dyDescent="0.2">
      <c r="B9579" s="245"/>
      <c r="C9579" s="248"/>
      <c r="D9579" s="249"/>
      <c r="E9579" s="249"/>
      <c r="T9579" s="261"/>
    </row>
    <row r="9580" spans="2:20" x14ac:dyDescent="0.2">
      <c r="B9580" s="245"/>
      <c r="C9580" s="248"/>
      <c r="D9580" s="249"/>
      <c r="E9580" s="249"/>
      <c r="T9580" s="261"/>
    </row>
    <row r="9581" spans="2:20" x14ac:dyDescent="0.2">
      <c r="B9581" s="245"/>
      <c r="C9581" s="248"/>
      <c r="D9581" s="249"/>
      <c r="E9581" s="249"/>
      <c r="T9581" s="261"/>
    </row>
    <row r="9582" spans="2:20" x14ac:dyDescent="0.2">
      <c r="B9582" s="245"/>
      <c r="C9582" s="248"/>
      <c r="D9582" s="249"/>
      <c r="E9582" s="249"/>
      <c r="T9582" s="261"/>
    </row>
    <row r="9583" spans="2:20" x14ac:dyDescent="0.2">
      <c r="B9583" s="245"/>
      <c r="C9583" s="248"/>
      <c r="D9583" s="249"/>
      <c r="E9583" s="249"/>
      <c r="T9583" s="261"/>
    </row>
    <row r="9584" spans="2:20" x14ac:dyDescent="0.2">
      <c r="B9584" s="245"/>
      <c r="C9584" s="248"/>
      <c r="D9584" s="249"/>
      <c r="E9584" s="249"/>
      <c r="T9584" s="261"/>
    </row>
    <row r="9585" spans="2:20" x14ac:dyDescent="0.2">
      <c r="B9585" s="245"/>
      <c r="C9585" s="248"/>
      <c r="D9585" s="249"/>
      <c r="E9585" s="249"/>
      <c r="T9585" s="261"/>
    </row>
    <row r="9586" spans="2:20" x14ac:dyDescent="0.2">
      <c r="B9586" s="245"/>
      <c r="C9586" s="248"/>
      <c r="D9586" s="249"/>
      <c r="E9586" s="249"/>
      <c r="T9586" s="261"/>
    </row>
    <row r="9587" spans="2:20" x14ac:dyDescent="0.2">
      <c r="B9587" s="245"/>
      <c r="C9587" s="248"/>
      <c r="D9587" s="249"/>
      <c r="E9587" s="249"/>
      <c r="T9587" s="261"/>
    </row>
    <row r="9588" spans="2:20" x14ac:dyDescent="0.2">
      <c r="B9588" s="245"/>
      <c r="C9588" s="248"/>
      <c r="D9588" s="249"/>
      <c r="E9588" s="249"/>
      <c r="T9588" s="261"/>
    </row>
    <row r="9589" spans="2:20" x14ac:dyDescent="0.2">
      <c r="B9589" s="245"/>
      <c r="C9589" s="248"/>
      <c r="D9589" s="249"/>
      <c r="E9589" s="249"/>
      <c r="T9589" s="261"/>
    </row>
    <row r="9590" spans="2:20" x14ac:dyDescent="0.2">
      <c r="B9590" s="245"/>
      <c r="C9590" s="248"/>
      <c r="D9590" s="249"/>
      <c r="E9590" s="249"/>
      <c r="T9590" s="261"/>
    </row>
    <row r="9591" spans="2:20" x14ac:dyDescent="0.2">
      <c r="B9591" s="245"/>
      <c r="C9591" s="248"/>
      <c r="D9591" s="249"/>
      <c r="E9591" s="249"/>
      <c r="T9591" s="261"/>
    </row>
    <row r="9592" spans="2:20" x14ac:dyDescent="0.2">
      <c r="B9592" s="245"/>
      <c r="C9592" s="248"/>
      <c r="D9592" s="249"/>
      <c r="E9592" s="249"/>
      <c r="T9592" s="261"/>
    </row>
    <row r="9593" spans="2:20" x14ac:dyDescent="0.2">
      <c r="B9593" s="245"/>
      <c r="C9593" s="248"/>
      <c r="D9593" s="249"/>
      <c r="E9593" s="249"/>
      <c r="T9593" s="261"/>
    </row>
    <row r="9594" spans="2:20" x14ac:dyDescent="0.2">
      <c r="B9594" s="245"/>
      <c r="C9594" s="248"/>
      <c r="D9594" s="249"/>
      <c r="E9594" s="249"/>
      <c r="T9594" s="261"/>
    </row>
    <row r="9595" spans="2:20" x14ac:dyDescent="0.2">
      <c r="B9595" s="245"/>
      <c r="C9595" s="248"/>
      <c r="D9595" s="249"/>
      <c r="E9595" s="249"/>
      <c r="T9595" s="261"/>
    </row>
    <row r="9596" spans="2:20" x14ac:dyDescent="0.2">
      <c r="B9596" s="245"/>
      <c r="C9596" s="248"/>
      <c r="D9596" s="249"/>
      <c r="E9596" s="249"/>
      <c r="T9596" s="261"/>
    </row>
    <row r="9597" spans="2:20" x14ac:dyDescent="0.2">
      <c r="B9597" s="245"/>
      <c r="C9597" s="248"/>
      <c r="D9597" s="249"/>
      <c r="E9597" s="249"/>
      <c r="T9597" s="261"/>
    </row>
    <row r="9598" spans="2:20" x14ac:dyDescent="0.2">
      <c r="B9598" s="245"/>
      <c r="C9598" s="248"/>
      <c r="D9598" s="249"/>
      <c r="E9598" s="249"/>
      <c r="T9598" s="261"/>
    </row>
    <row r="9599" spans="2:20" x14ac:dyDescent="0.2">
      <c r="B9599" s="245"/>
      <c r="C9599" s="248"/>
      <c r="D9599" s="249"/>
      <c r="E9599" s="249"/>
      <c r="T9599" s="261"/>
    </row>
    <row r="9600" spans="2:20" x14ac:dyDescent="0.2">
      <c r="B9600" s="245"/>
      <c r="C9600" s="248"/>
      <c r="D9600" s="249"/>
      <c r="E9600" s="249"/>
      <c r="T9600" s="261"/>
    </row>
    <row r="9601" spans="2:20" x14ac:dyDescent="0.2">
      <c r="B9601" s="245"/>
      <c r="C9601" s="248"/>
      <c r="D9601" s="249"/>
      <c r="E9601" s="249"/>
      <c r="T9601" s="261"/>
    </row>
    <row r="9602" spans="2:20" x14ac:dyDescent="0.2">
      <c r="B9602" s="245"/>
      <c r="C9602" s="248"/>
      <c r="D9602" s="249"/>
      <c r="E9602" s="249"/>
      <c r="T9602" s="261"/>
    </row>
    <row r="9603" spans="2:20" x14ac:dyDescent="0.2">
      <c r="B9603" s="245"/>
      <c r="C9603" s="248"/>
      <c r="D9603" s="249"/>
      <c r="E9603" s="249"/>
      <c r="T9603" s="261"/>
    </row>
    <row r="9604" spans="2:20" x14ac:dyDescent="0.2">
      <c r="B9604" s="245"/>
      <c r="C9604" s="248"/>
      <c r="D9604" s="249"/>
      <c r="E9604" s="249"/>
      <c r="T9604" s="261"/>
    </row>
    <row r="9605" spans="2:20" x14ac:dyDescent="0.2">
      <c r="B9605" s="245"/>
      <c r="C9605" s="248"/>
      <c r="D9605" s="249"/>
      <c r="E9605" s="249"/>
      <c r="T9605" s="261"/>
    </row>
    <row r="9606" spans="2:20" x14ac:dyDescent="0.2">
      <c r="B9606" s="245"/>
      <c r="C9606" s="248"/>
      <c r="D9606" s="249"/>
      <c r="E9606" s="249"/>
      <c r="T9606" s="261"/>
    </row>
    <row r="9607" spans="2:20" x14ac:dyDescent="0.2">
      <c r="B9607" s="245"/>
      <c r="C9607" s="248"/>
      <c r="D9607" s="249"/>
      <c r="E9607" s="249"/>
      <c r="T9607" s="261"/>
    </row>
    <row r="9608" spans="2:20" x14ac:dyDescent="0.2">
      <c r="B9608" s="245"/>
      <c r="C9608" s="248"/>
      <c r="D9608" s="249"/>
      <c r="E9608" s="249"/>
      <c r="T9608" s="261"/>
    </row>
    <row r="9609" spans="2:20" x14ac:dyDescent="0.2">
      <c r="B9609" s="245"/>
      <c r="C9609" s="248"/>
      <c r="D9609" s="249"/>
      <c r="E9609" s="249"/>
      <c r="T9609" s="261"/>
    </row>
    <row r="9610" spans="2:20" x14ac:dyDescent="0.2">
      <c r="B9610" s="245"/>
      <c r="C9610" s="248"/>
      <c r="D9610" s="249"/>
      <c r="E9610" s="249"/>
      <c r="T9610" s="261"/>
    </row>
    <row r="9611" spans="2:20" x14ac:dyDescent="0.2">
      <c r="B9611" s="245"/>
      <c r="C9611" s="248"/>
      <c r="D9611" s="249"/>
      <c r="E9611" s="249"/>
      <c r="T9611" s="261"/>
    </row>
    <row r="9612" spans="2:20" x14ac:dyDescent="0.2">
      <c r="B9612" s="245"/>
      <c r="C9612" s="248"/>
      <c r="D9612" s="249"/>
      <c r="E9612" s="249"/>
      <c r="T9612" s="261"/>
    </row>
    <row r="9613" spans="2:20" x14ac:dyDescent="0.2">
      <c r="B9613" s="245"/>
      <c r="C9613" s="248"/>
      <c r="D9613" s="249"/>
      <c r="E9613" s="249"/>
      <c r="T9613" s="261"/>
    </row>
    <row r="9614" spans="2:20" x14ac:dyDescent="0.2">
      <c r="B9614" s="245"/>
      <c r="C9614" s="248"/>
      <c r="D9614" s="249"/>
      <c r="E9614" s="249"/>
      <c r="T9614" s="261"/>
    </row>
    <row r="9615" spans="2:20" x14ac:dyDescent="0.2">
      <c r="B9615" s="245"/>
      <c r="C9615" s="248"/>
      <c r="D9615" s="249"/>
      <c r="E9615" s="249"/>
      <c r="T9615" s="261"/>
    </row>
    <row r="9616" spans="2:20" x14ac:dyDescent="0.2">
      <c r="B9616" s="245"/>
      <c r="C9616" s="248"/>
      <c r="D9616" s="249"/>
      <c r="E9616" s="249"/>
      <c r="T9616" s="261"/>
    </row>
    <row r="9617" spans="2:20" x14ac:dyDescent="0.2">
      <c r="B9617" s="245"/>
      <c r="C9617" s="248"/>
      <c r="D9617" s="249"/>
      <c r="E9617" s="249"/>
      <c r="T9617" s="261"/>
    </row>
    <row r="9618" spans="2:20" x14ac:dyDescent="0.2">
      <c r="B9618" s="245"/>
      <c r="C9618" s="248"/>
      <c r="D9618" s="249"/>
      <c r="E9618" s="249"/>
      <c r="T9618" s="261"/>
    </row>
    <row r="9619" spans="2:20" x14ac:dyDescent="0.2">
      <c r="B9619" s="245"/>
      <c r="C9619" s="248"/>
      <c r="D9619" s="249"/>
      <c r="E9619" s="249"/>
      <c r="T9619" s="261"/>
    </row>
    <row r="9620" spans="2:20" x14ac:dyDescent="0.2">
      <c r="B9620" s="245"/>
      <c r="C9620" s="248"/>
      <c r="D9620" s="249"/>
      <c r="E9620" s="249"/>
      <c r="T9620" s="261"/>
    </row>
    <row r="9621" spans="2:20" x14ac:dyDescent="0.2">
      <c r="B9621" s="245"/>
      <c r="C9621" s="248"/>
      <c r="D9621" s="249"/>
      <c r="E9621" s="249"/>
      <c r="T9621" s="261"/>
    </row>
    <row r="9622" spans="2:20" x14ac:dyDescent="0.2">
      <c r="B9622" s="245"/>
      <c r="C9622" s="248"/>
      <c r="D9622" s="249"/>
      <c r="E9622" s="249"/>
      <c r="T9622" s="261"/>
    </row>
    <row r="9623" spans="2:20" x14ac:dyDescent="0.2">
      <c r="B9623" s="245"/>
      <c r="C9623" s="248"/>
      <c r="D9623" s="249"/>
      <c r="E9623" s="249"/>
      <c r="T9623" s="261"/>
    </row>
    <row r="9624" spans="2:20" x14ac:dyDescent="0.2">
      <c r="B9624" s="245"/>
      <c r="C9624" s="248"/>
      <c r="D9624" s="249"/>
      <c r="E9624" s="249"/>
      <c r="T9624" s="261"/>
    </row>
    <row r="9625" spans="2:20" x14ac:dyDescent="0.2">
      <c r="B9625" s="245"/>
      <c r="C9625" s="248"/>
      <c r="D9625" s="249"/>
      <c r="E9625" s="249"/>
      <c r="T9625" s="261"/>
    </row>
    <row r="9626" spans="2:20" x14ac:dyDescent="0.2">
      <c r="B9626" s="245"/>
      <c r="C9626" s="248"/>
      <c r="D9626" s="249"/>
      <c r="E9626" s="249"/>
      <c r="T9626" s="261"/>
    </row>
    <row r="9627" spans="2:20" x14ac:dyDescent="0.2">
      <c r="B9627" s="245"/>
      <c r="C9627" s="248"/>
      <c r="D9627" s="249"/>
      <c r="E9627" s="249"/>
      <c r="T9627" s="261"/>
    </row>
    <row r="9628" spans="2:20" x14ac:dyDescent="0.2">
      <c r="B9628" s="245"/>
      <c r="C9628" s="248"/>
      <c r="D9628" s="249"/>
      <c r="E9628" s="249"/>
      <c r="T9628" s="261"/>
    </row>
    <row r="9629" spans="2:20" x14ac:dyDescent="0.2">
      <c r="B9629" s="245"/>
      <c r="C9629" s="248"/>
      <c r="D9629" s="249"/>
      <c r="E9629" s="249"/>
      <c r="T9629" s="261"/>
    </row>
    <row r="9630" spans="2:20" x14ac:dyDescent="0.2">
      <c r="B9630" s="245"/>
      <c r="C9630" s="248"/>
      <c r="D9630" s="249"/>
      <c r="E9630" s="249"/>
      <c r="T9630" s="261"/>
    </row>
    <row r="9631" spans="2:20" x14ac:dyDescent="0.2">
      <c r="B9631" s="245"/>
      <c r="C9631" s="248"/>
      <c r="D9631" s="249"/>
      <c r="E9631" s="249"/>
      <c r="T9631" s="261"/>
    </row>
    <row r="9632" spans="2:20" x14ac:dyDescent="0.2">
      <c r="B9632" s="245"/>
      <c r="C9632" s="248"/>
      <c r="D9632" s="249"/>
      <c r="E9632" s="249"/>
      <c r="T9632" s="261"/>
    </row>
    <row r="9633" spans="2:20" x14ac:dyDescent="0.2">
      <c r="B9633" s="245"/>
      <c r="C9633" s="248"/>
      <c r="D9633" s="249"/>
      <c r="E9633" s="249"/>
      <c r="T9633" s="261"/>
    </row>
    <row r="9634" spans="2:20" x14ac:dyDescent="0.2">
      <c r="B9634" s="245"/>
      <c r="C9634" s="248"/>
      <c r="D9634" s="249"/>
      <c r="E9634" s="249"/>
      <c r="T9634" s="261"/>
    </row>
    <row r="9635" spans="2:20" x14ac:dyDescent="0.2">
      <c r="B9635" s="245"/>
      <c r="C9635" s="248"/>
      <c r="D9635" s="249"/>
      <c r="E9635" s="249"/>
      <c r="T9635" s="261"/>
    </row>
    <row r="9636" spans="2:20" x14ac:dyDescent="0.2">
      <c r="B9636" s="245"/>
      <c r="C9636" s="248"/>
      <c r="D9636" s="249"/>
      <c r="E9636" s="249"/>
      <c r="T9636" s="261"/>
    </row>
    <row r="9637" spans="2:20" x14ac:dyDescent="0.2">
      <c r="B9637" s="245"/>
      <c r="C9637" s="248"/>
      <c r="D9637" s="249"/>
      <c r="E9637" s="249"/>
      <c r="T9637" s="261"/>
    </row>
    <row r="9638" spans="2:20" x14ac:dyDescent="0.2">
      <c r="B9638" s="245"/>
      <c r="C9638" s="248"/>
      <c r="D9638" s="249"/>
      <c r="E9638" s="249"/>
      <c r="T9638" s="261"/>
    </row>
    <row r="9639" spans="2:20" x14ac:dyDescent="0.2">
      <c r="B9639" s="245"/>
      <c r="C9639" s="248"/>
      <c r="D9639" s="249"/>
      <c r="E9639" s="249"/>
      <c r="T9639" s="261"/>
    </row>
    <row r="9640" spans="2:20" x14ac:dyDescent="0.2">
      <c r="B9640" s="245"/>
      <c r="C9640" s="248"/>
      <c r="D9640" s="249"/>
      <c r="E9640" s="249"/>
      <c r="T9640" s="261"/>
    </row>
    <row r="9641" spans="2:20" x14ac:dyDescent="0.2">
      <c r="B9641" s="245"/>
      <c r="C9641" s="248"/>
      <c r="D9641" s="249"/>
      <c r="E9641" s="249"/>
      <c r="T9641" s="261"/>
    </row>
    <row r="9642" spans="2:20" x14ac:dyDescent="0.2">
      <c r="B9642" s="245"/>
      <c r="C9642" s="248"/>
      <c r="D9642" s="249"/>
      <c r="E9642" s="249"/>
      <c r="T9642" s="261"/>
    </row>
    <row r="9643" spans="2:20" x14ac:dyDescent="0.2">
      <c r="B9643" s="245"/>
      <c r="C9643" s="248"/>
      <c r="D9643" s="249"/>
      <c r="E9643" s="249"/>
      <c r="T9643" s="261"/>
    </row>
    <row r="9644" spans="2:20" x14ac:dyDescent="0.2">
      <c r="B9644" s="245"/>
      <c r="C9644" s="248"/>
      <c r="D9644" s="249"/>
      <c r="E9644" s="249"/>
      <c r="T9644" s="261"/>
    </row>
    <row r="9645" spans="2:20" x14ac:dyDescent="0.2">
      <c r="B9645" s="245"/>
      <c r="C9645" s="248"/>
      <c r="D9645" s="249"/>
      <c r="E9645" s="249"/>
      <c r="T9645" s="261"/>
    </row>
    <row r="9646" spans="2:20" x14ac:dyDescent="0.2">
      <c r="B9646" s="245"/>
      <c r="C9646" s="248"/>
      <c r="D9646" s="249"/>
      <c r="E9646" s="249"/>
      <c r="T9646" s="261"/>
    </row>
    <row r="9647" spans="2:20" x14ac:dyDescent="0.2">
      <c r="B9647" s="245"/>
      <c r="C9647" s="248"/>
      <c r="D9647" s="249"/>
      <c r="E9647" s="249"/>
      <c r="T9647" s="261"/>
    </row>
    <row r="9648" spans="2:20" x14ac:dyDescent="0.2">
      <c r="B9648" s="245"/>
      <c r="C9648" s="248"/>
      <c r="D9648" s="249"/>
      <c r="E9648" s="249"/>
      <c r="T9648" s="261"/>
    </row>
    <row r="9649" spans="2:20" x14ac:dyDescent="0.2">
      <c r="B9649" s="245"/>
      <c r="C9649" s="248"/>
      <c r="D9649" s="249"/>
      <c r="E9649" s="249"/>
      <c r="T9649" s="261"/>
    </row>
    <row r="9650" spans="2:20" x14ac:dyDescent="0.2">
      <c r="B9650" s="245"/>
      <c r="C9650" s="248"/>
      <c r="D9650" s="249"/>
      <c r="E9650" s="249"/>
      <c r="T9650" s="261"/>
    </row>
    <row r="9651" spans="2:20" x14ac:dyDescent="0.2">
      <c r="B9651" s="245"/>
      <c r="C9651" s="248"/>
      <c r="D9651" s="249"/>
      <c r="E9651" s="249"/>
      <c r="T9651" s="261"/>
    </row>
    <row r="9652" spans="2:20" x14ac:dyDescent="0.2">
      <c r="B9652" s="245"/>
      <c r="C9652" s="248"/>
      <c r="D9652" s="249"/>
      <c r="E9652" s="249"/>
      <c r="T9652" s="261"/>
    </row>
    <row r="9653" spans="2:20" x14ac:dyDescent="0.2">
      <c r="B9653" s="245"/>
      <c r="C9653" s="248"/>
      <c r="D9653" s="249"/>
      <c r="E9653" s="249"/>
      <c r="T9653" s="261"/>
    </row>
    <row r="9654" spans="2:20" x14ac:dyDescent="0.2">
      <c r="B9654" s="245"/>
      <c r="C9654" s="248"/>
      <c r="D9654" s="249"/>
      <c r="E9654" s="249"/>
      <c r="T9654" s="261"/>
    </row>
    <row r="9655" spans="2:20" x14ac:dyDescent="0.2">
      <c r="B9655" s="245"/>
      <c r="C9655" s="248"/>
      <c r="D9655" s="249"/>
      <c r="E9655" s="249"/>
      <c r="T9655" s="261"/>
    </row>
    <row r="9656" spans="2:20" x14ac:dyDescent="0.2">
      <c r="B9656" s="245"/>
      <c r="C9656" s="248"/>
      <c r="D9656" s="249"/>
      <c r="E9656" s="249"/>
      <c r="T9656" s="261"/>
    </row>
    <row r="9657" spans="2:20" x14ac:dyDescent="0.2">
      <c r="B9657" s="245"/>
      <c r="C9657" s="248"/>
      <c r="D9657" s="249"/>
      <c r="E9657" s="249"/>
      <c r="T9657" s="261"/>
    </row>
    <row r="9658" spans="2:20" x14ac:dyDescent="0.2">
      <c r="B9658" s="245"/>
      <c r="C9658" s="248"/>
      <c r="D9658" s="249"/>
      <c r="E9658" s="249"/>
      <c r="T9658" s="261"/>
    </row>
    <row r="9659" spans="2:20" x14ac:dyDescent="0.2">
      <c r="B9659" s="245"/>
      <c r="C9659" s="248"/>
      <c r="D9659" s="249"/>
      <c r="E9659" s="249"/>
      <c r="T9659" s="261"/>
    </row>
    <row r="9660" spans="2:20" x14ac:dyDescent="0.2">
      <c r="B9660" s="245"/>
      <c r="C9660" s="248"/>
      <c r="D9660" s="249"/>
      <c r="E9660" s="249"/>
      <c r="T9660" s="261"/>
    </row>
    <row r="9661" spans="2:20" x14ac:dyDescent="0.2">
      <c r="B9661" s="245"/>
      <c r="C9661" s="248"/>
      <c r="D9661" s="249"/>
      <c r="E9661" s="249"/>
      <c r="T9661" s="261"/>
    </row>
    <row r="9662" spans="2:20" x14ac:dyDescent="0.2">
      <c r="B9662" s="245"/>
      <c r="C9662" s="248"/>
      <c r="D9662" s="249"/>
      <c r="E9662" s="249"/>
      <c r="T9662" s="261"/>
    </row>
    <row r="9663" spans="2:20" x14ac:dyDescent="0.2">
      <c r="B9663" s="245"/>
      <c r="C9663" s="248"/>
      <c r="D9663" s="249"/>
      <c r="E9663" s="249"/>
      <c r="T9663" s="261"/>
    </row>
    <row r="9664" spans="2:20" x14ac:dyDescent="0.2">
      <c r="B9664" s="245"/>
      <c r="C9664" s="248"/>
      <c r="D9664" s="249"/>
      <c r="E9664" s="249"/>
      <c r="T9664" s="261"/>
    </row>
    <row r="9665" spans="2:20" x14ac:dyDescent="0.2">
      <c r="B9665" s="245"/>
      <c r="C9665" s="248"/>
      <c r="D9665" s="249"/>
      <c r="E9665" s="249"/>
      <c r="T9665" s="261"/>
    </row>
    <row r="9666" spans="2:20" x14ac:dyDescent="0.2">
      <c r="B9666" s="245"/>
      <c r="C9666" s="248"/>
      <c r="D9666" s="249"/>
      <c r="E9666" s="249"/>
      <c r="T9666" s="261"/>
    </row>
    <row r="9667" spans="2:20" x14ac:dyDescent="0.2">
      <c r="B9667" s="245"/>
      <c r="C9667" s="248"/>
      <c r="D9667" s="249"/>
      <c r="E9667" s="249"/>
      <c r="T9667" s="261"/>
    </row>
    <row r="9668" spans="2:20" x14ac:dyDescent="0.2">
      <c r="B9668" s="245"/>
      <c r="C9668" s="248"/>
      <c r="D9668" s="249"/>
      <c r="E9668" s="249"/>
      <c r="T9668" s="261"/>
    </row>
    <row r="9669" spans="2:20" x14ac:dyDescent="0.2">
      <c r="B9669" s="245"/>
      <c r="C9669" s="248"/>
      <c r="D9669" s="249"/>
      <c r="E9669" s="249"/>
      <c r="T9669" s="261"/>
    </row>
    <row r="9670" spans="2:20" x14ac:dyDescent="0.2">
      <c r="B9670" s="245"/>
      <c r="C9670" s="248"/>
      <c r="D9670" s="249"/>
      <c r="E9670" s="249"/>
      <c r="T9670" s="261"/>
    </row>
    <row r="9671" spans="2:20" x14ac:dyDescent="0.2">
      <c r="B9671" s="245"/>
      <c r="C9671" s="248"/>
      <c r="D9671" s="249"/>
      <c r="E9671" s="249"/>
      <c r="T9671" s="261"/>
    </row>
    <row r="9672" spans="2:20" x14ac:dyDescent="0.2">
      <c r="B9672" s="245"/>
      <c r="C9672" s="248"/>
      <c r="D9672" s="249"/>
      <c r="E9672" s="249"/>
      <c r="T9672" s="261"/>
    </row>
    <row r="9673" spans="2:20" x14ac:dyDescent="0.2">
      <c r="B9673" s="245"/>
      <c r="C9673" s="248"/>
      <c r="D9673" s="249"/>
      <c r="E9673" s="249"/>
      <c r="T9673" s="261"/>
    </row>
    <row r="9674" spans="2:20" x14ac:dyDescent="0.2">
      <c r="B9674" s="245"/>
      <c r="C9674" s="248"/>
      <c r="D9674" s="249"/>
      <c r="E9674" s="249"/>
      <c r="T9674" s="261"/>
    </row>
    <row r="9675" spans="2:20" x14ac:dyDescent="0.2">
      <c r="B9675" s="245"/>
      <c r="C9675" s="248"/>
      <c r="D9675" s="249"/>
      <c r="E9675" s="249"/>
      <c r="T9675" s="261"/>
    </row>
    <row r="9676" spans="2:20" x14ac:dyDescent="0.2">
      <c r="B9676" s="245"/>
      <c r="C9676" s="248"/>
      <c r="D9676" s="249"/>
      <c r="E9676" s="249"/>
      <c r="T9676" s="261"/>
    </row>
    <row r="9677" spans="2:20" x14ac:dyDescent="0.2">
      <c r="B9677" s="245"/>
      <c r="C9677" s="248"/>
      <c r="D9677" s="249"/>
      <c r="E9677" s="249"/>
      <c r="T9677" s="261"/>
    </row>
    <row r="9678" spans="2:20" x14ac:dyDescent="0.2">
      <c r="B9678" s="245"/>
      <c r="C9678" s="248"/>
      <c r="D9678" s="249"/>
      <c r="E9678" s="249"/>
      <c r="T9678" s="261"/>
    </row>
    <row r="9679" spans="2:20" x14ac:dyDescent="0.2">
      <c r="B9679" s="245"/>
      <c r="C9679" s="248"/>
      <c r="D9679" s="249"/>
      <c r="E9679" s="249"/>
      <c r="T9679" s="261"/>
    </row>
    <row r="9680" spans="2:20" x14ac:dyDescent="0.2">
      <c r="B9680" s="245"/>
      <c r="C9680" s="248"/>
      <c r="D9680" s="249"/>
      <c r="E9680" s="249"/>
      <c r="T9680" s="261"/>
    </row>
    <row r="9681" spans="2:20" x14ac:dyDescent="0.2">
      <c r="B9681" s="245"/>
      <c r="C9681" s="248"/>
      <c r="D9681" s="249"/>
      <c r="E9681" s="249"/>
      <c r="T9681" s="261"/>
    </row>
    <row r="9682" spans="2:20" x14ac:dyDescent="0.2">
      <c r="B9682" s="245"/>
      <c r="C9682" s="248"/>
      <c r="D9682" s="249"/>
      <c r="E9682" s="249"/>
      <c r="T9682" s="261"/>
    </row>
    <row r="9683" spans="2:20" x14ac:dyDescent="0.2">
      <c r="B9683" s="245"/>
      <c r="C9683" s="248"/>
      <c r="D9683" s="249"/>
      <c r="E9683" s="249"/>
      <c r="T9683" s="261"/>
    </row>
    <row r="9684" spans="2:20" x14ac:dyDescent="0.2">
      <c r="B9684" s="245"/>
      <c r="C9684" s="248"/>
      <c r="D9684" s="249"/>
      <c r="E9684" s="249"/>
      <c r="T9684" s="261"/>
    </row>
    <row r="9685" spans="2:20" x14ac:dyDescent="0.2">
      <c r="B9685" s="245"/>
      <c r="C9685" s="248"/>
      <c r="D9685" s="249"/>
      <c r="E9685" s="249"/>
      <c r="T9685" s="261"/>
    </row>
    <row r="9686" spans="2:20" x14ac:dyDescent="0.2">
      <c r="B9686" s="245"/>
      <c r="C9686" s="248"/>
      <c r="D9686" s="249"/>
      <c r="E9686" s="249"/>
      <c r="T9686" s="261"/>
    </row>
    <row r="9687" spans="2:20" x14ac:dyDescent="0.2">
      <c r="B9687" s="245"/>
      <c r="C9687" s="248"/>
      <c r="D9687" s="249"/>
      <c r="E9687" s="249"/>
      <c r="T9687" s="261"/>
    </row>
    <row r="9688" spans="2:20" x14ac:dyDescent="0.2">
      <c r="B9688" s="245"/>
      <c r="C9688" s="248"/>
      <c r="D9688" s="249"/>
      <c r="E9688" s="249"/>
      <c r="T9688" s="261"/>
    </row>
    <row r="9689" spans="2:20" x14ac:dyDescent="0.2">
      <c r="B9689" s="245"/>
      <c r="C9689" s="248"/>
      <c r="D9689" s="249"/>
      <c r="E9689" s="249"/>
      <c r="T9689" s="261"/>
    </row>
    <row r="9690" spans="2:20" x14ac:dyDescent="0.2">
      <c r="B9690" s="245"/>
      <c r="C9690" s="248"/>
      <c r="D9690" s="249"/>
      <c r="E9690" s="249"/>
      <c r="T9690" s="261"/>
    </row>
    <row r="9691" spans="2:20" x14ac:dyDescent="0.2">
      <c r="B9691" s="245"/>
      <c r="C9691" s="248"/>
      <c r="D9691" s="249"/>
      <c r="E9691" s="249"/>
      <c r="T9691" s="261"/>
    </row>
    <row r="9692" spans="2:20" x14ac:dyDescent="0.2">
      <c r="B9692" s="245"/>
      <c r="C9692" s="248"/>
      <c r="D9692" s="249"/>
      <c r="E9692" s="249"/>
      <c r="T9692" s="261"/>
    </row>
    <row r="9693" spans="2:20" x14ac:dyDescent="0.2">
      <c r="B9693" s="245"/>
      <c r="C9693" s="248"/>
      <c r="D9693" s="249"/>
      <c r="E9693" s="249"/>
      <c r="T9693" s="261"/>
    </row>
    <row r="9694" spans="2:20" x14ac:dyDescent="0.2">
      <c r="B9694" s="245"/>
      <c r="C9694" s="248"/>
      <c r="D9694" s="249"/>
      <c r="E9694" s="249"/>
      <c r="T9694" s="261"/>
    </row>
    <row r="9695" spans="2:20" x14ac:dyDescent="0.2">
      <c r="B9695" s="245"/>
      <c r="C9695" s="248"/>
      <c r="D9695" s="249"/>
      <c r="E9695" s="249"/>
      <c r="T9695" s="261"/>
    </row>
    <row r="9696" spans="2:20" x14ac:dyDescent="0.2">
      <c r="B9696" s="245"/>
      <c r="C9696" s="248"/>
      <c r="D9696" s="249"/>
      <c r="E9696" s="249"/>
      <c r="T9696" s="261"/>
    </row>
    <row r="9697" spans="2:20" x14ac:dyDescent="0.2">
      <c r="B9697" s="245"/>
      <c r="C9697" s="248"/>
      <c r="D9697" s="249"/>
      <c r="E9697" s="249"/>
      <c r="T9697" s="261"/>
    </row>
    <row r="9698" spans="2:20" x14ac:dyDescent="0.2">
      <c r="B9698" s="245"/>
      <c r="C9698" s="248"/>
      <c r="D9698" s="249"/>
      <c r="E9698" s="249"/>
      <c r="T9698" s="261"/>
    </row>
    <row r="9699" spans="2:20" x14ac:dyDescent="0.2">
      <c r="B9699" s="245"/>
      <c r="C9699" s="248"/>
      <c r="D9699" s="249"/>
      <c r="E9699" s="249"/>
      <c r="T9699" s="261"/>
    </row>
    <row r="9700" spans="2:20" x14ac:dyDescent="0.2">
      <c r="B9700" s="245"/>
      <c r="C9700" s="248"/>
      <c r="D9700" s="249"/>
      <c r="E9700" s="249"/>
      <c r="T9700" s="261"/>
    </row>
    <row r="9701" spans="2:20" x14ac:dyDescent="0.2">
      <c r="B9701" s="245"/>
      <c r="C9701" s="248"/>
      <c r="D9701" s="249"/>
      <c r="E9701" s="249"/>
      <c r="T9701" s="261"/>
    </row>
    <row r="9702" spans="2:20" x14ac:dyDescent="0.2">
      <c r="B9702" s="245"/>
      <c r="C9702" s="248"/>
      <c r="D9702" s="249"/>
      <c r="E9702" s="249"/>
      <c r="T9702" s="261"/>
    </row>
    <row r="9703" spans="2:20" x14ac:dyDescent="0.2">
      <c r="B9703" s="245"/>
      <c r="C9703" s="248"/>
      <c r="D9703" s="249"/>
      <c r="E9703" s="249"/>
      <c r="T9703" s="261"/>
    </row>
    <row r="9704" spans="2:20" x14ac:dyDescent="0.2">
      <c r="B9704" s="245"/>
      <c r="C9704" s="248"/>
      <c r="D9704" s="249"/>
      <c r="E9704" s="249"/>
      <c r="T9704" s="261"/>
    </row>
    <row r="9705" spans="2:20" x14ac:dyDescent="0.2">
      <c r="B9705" s="245"/>
      <c r="C9705" s="248"/>
      <c r="D9705" s="249"/>
      <c r="E9705" s="249"/>
      <c r="T9705" s="261"/>
    </row>
    <row r="9706" spans="2:20" x14ac:dyDescent="0.2">
      <c r="B9706" s="245"/>
      <c r="C9706" s="248"/>
      <c r="D9706" s="249"/>
      <c r="E9706" s="249"/>
      <c r="T9706" s="261"/>
    </row>
    <row r="9707" spans="2:20" x14ac:dyDescent="0.2">
      <c r="B9707" s="245"/>
      <c r="C9707" s="248"/>
      <c r="D9707" s="249"/>
      <c r="E9707" s="249"/>
      <c r="T9707" s="261"/>
    </row>
    <row r="9708" spans="2:20" x14ac:dyDescent="0.2">
      <c r="B9708" s="245"/>
      <c r="C9708" s="248"/>
      <c r="D9708" s="249"/>
      <c r="E9708" s="249"/>
      <c r="T9708" s="261"/>
    </row>
    <row r="9709" spans="2:20" x14ac:dyDescent="0.2">
      <c r="B9709" s="245"/>
      <c r="C9709" s="248"/>
      <c r="D9709" s="249"/>
      <c r="E9709" s="249"/>
      <c r="T9709" s="261"/>
    </row>
    <row r="9710" spans="2:20" x14ac:dyDescent="0.2">
      <c r="B9710" s="245"/>
      <c r="C9710" s="248"/>
      <c r="D9710" s="249"/>
      <c r="E9710" s="249"/>
      <c r="T9710" s="261"/>
    </row>
    <row r="9711" spans="2:20" x14ac:dyDescent="0.2">
      <c r="B9711" s="245"/>
      <c r="C9711" s="248"/>
      <c r="D9711" s="249"/>
      <c r="E9711" s="249"/>
      <c r="T9711" s="261"/>
    </row>
    <row r="9712" spans="2:20" x14ac:dyDescent="0.2">
      <c r="B9712" s="245"/>
      <c r="C9712" s="248"/>
      <c r="D9712" s="249"/>
      <c r="E9712" s="249"/>
      <c r="T9712" s="261"/>
    </row>
    <row r="9713" spans="2:20" x14ac:dyDescent="0.2">
      <c r="B9713" s="245"/>
      <c r="C9713" s="248"/>
      <c r="D9713" s="249"/>
      <c r="E9713" s="249"/>
      <c r="T9713" s="261"/>
    </row>
    <row r="9714" spans="2:20" x14ac:dyDescent="0.2">
      <c r="B9714" s="245"/>
      <c r="C9714" s="248"/>
      <c r="D9714" s="249"/>
      <c r="E9714" s="249"/>
      <c r="T9714" s="261"/>
    </row>
    <row r="9715" spans="2:20" x14ac:dyDescent="0.2">
      <c r="B9715" s="245"/>
      <c r="C9715" s="248"/>
      <c r="D9715" s="249"/>
      <c r="E9715" s="249"/>
      <c r="T9715" s="261"/>
    </row>
    <row r="9716" spans="2:20" x14ac:dyDescent="0.2">
      <c r="B9716" s="245"/>
      <c r="C9716" s="248"/>
      <c r="D9716" s="249"/>
      <c r="E9716" s="249"/>
      <c r="T9716" s="261"/>
    </row>
    <row r="9717" spans="2:20" x14ac:dyDescent="0.2">
      <c r="B9717" s="245"/>
      <c r="C9717" s="248"/>
      <c r="D9717" s="249"/>
      <c r="E9717" s="249"/>
      <c r="T9717" s="261"/>
    </row>
    <row r="9718" spans="2:20" x14ac:dyDescent="0.2">
      <c r="B9718" s="245"/>
      <c r="C9718" s="248"/>
      <c r="D9718" s="249"/>
      <c r="E9718" s="249"/>
      <c r="T9718" s="261"/>
    </row>
    <row r="9719" spans="2:20" x14ac:dyDescent="0.2">
      <c r="B9719" s="245"/>
      <c r="C9719" s="248"/>
      <c r="D9719" s="249"/>
      <c r="E9719" s="249"/>
      <c r="T9719" s="261"/>
    </row>
    <row r="9720" spans="2:20" x14ac:dyDescent="0.2">
      <c r="B9720" s="245"/>
      <c r="C9720" s="248"/>
      <c r="D9720" s="249"/>
      <c r="E9720" s="249"/>
      <c r="T9720" s="261"/>
    </row>
    <row r="9721" spans="2:20" x14ac:dyDescent="0.2">
      <c r="B9721" s="245"/>
      <c r="C9721" s="248"/>
      <c r="D9721" s="249"/>
      <c r="E9721" s="249"/>
      <c r="T9721" s="261"/>
    </row>
    <row r="9722" spans="2:20" x14ac:dyDescent="0.2">
      <c r="B9722" s="245"/>
      <c r="C9722" s="248"/>
      <c r="D9722" s="249"/>
      <c r="E9722" s="249"/>
      <c r="T9722" s="261"/>
    </row>
    <row r="9723" spans="2:20" x14ac:dyDescent="0.2">
      <c r="B9723" s="245"/>
      <c r="C9723" s="248"/>
      <c r="D9723" s="249"/>
      <c r="E9723" s="249"/>
      <c r="T9723" s="261"/>
    </row>
    <row r="9724" spans="2:20" x14ac:dyDescent="0.2">
      <c r="B9724" s="245"/>
      <c r="C9724" s="248"/>
      <c r="D9724" s="249"/>
      <c r="E9724" s="249"/>
      <c r="T9724" s="261"/>
    </row>
    <row r="9725" spans="2:20" x14ac:dyDescent="0.2">
      <c r="B9725" s="245"/>
      <c r="C9725" s="248"/>
      <c r="D9725" s="249"/>
      <c r="E9725" s="249"/>
      <c r="T9725" s="261"/>
    </row>
    <row r="9726" spans="2:20" x14ac:dyDescent="0.2">
      <c r="B9726" s="245"/>
      <c r="C9726" s="248"/>
      <c r="D9726" s="249"/>
      <c r="E9726" s="249"/>
      <c r="T9726" s="261"/>
    </row>
    <row r="9727" spans="2:20" x14ac:dyDescent="0.2">
      <c r="B9727" s="245"/>
      <c r="C9727" s="248"/>
      <c r="D9727" s="249"/>
      <c r="E9727" s="249"/>
      <c r="T9727" s="261"/>
    </row>
    <row r="9728" spans="2:20" x14ac:dyDescent="0.2">
      <c r="B9728" s="245"/>
      <c r="C9728" s="248"/>
      <c r="D9728" s="249"/>
      <c r="E9728" s="249"/>
      <c r="T9728" s="261"/>
    </row>
    <row r="9729" spans="2:20" x14ac:dyDescent="0.2">
      <c r="B9729" s="245"/>
      <c r="C9729" s="248"/>
      <c r="D9729" s="249"/>
      <c r="E9729" s="249"/>
      <c r="T9729" s="261"/>
    </row>
    <row r="9730" spans="2:20" x14ac:dyDescent="0.2">
      <c r="B9730" s="245"/>
      <c r="C9730" s="248"/>
      <c r="D9730" s="249"/>
      <c r="E9730" s="249"/>
      <c r="T9730" s="261"/>
    </row>
    <row r="9731" spans="2:20" x14ac:dyDescent="0.2">
      <c r="B9731" s="245"/>
      <c r="C9731" s="248"/>
      <c r="D9731" s="249"/>
      <c r="E9731" s="249"/>
      <c r="T9731" s="261"/>
    </row>
    <row r="9732" spans="2:20" x14ac:dyDescent="0.2">
      <c r="B9732" s="245"/>
      <c r="C9732" s="248"/>
      <c r="D9732" s="249"/>
      <c r="E9732" s="249"/>
      <c r="T9732" s="261"/>
    </row>
    <row r="9733" spans="2:20" x14ac:dyDescent="0.2">
      <c r="B9733" s="245"/>
      <c r="C9733" s="248"/>
      <c r="D9733" s="249"/>
      <c r="E9733" s="249"/>
      <c r="T9733" s="261"/>
    </row>
    <row r="9734" spans="2:20" x14ac:dyDescent="0.2">
      <c r="B9734" s="245"/>
      <c r="C9734" s="248"/>
      <c r="D9734" s="249"/>
      <c r="E9734" s="249"/>
      <c r="T9734" s="261"/>
    </row>
    <row r="9735" spans="2:20" x14ac:dyDescent="0.2">
      <c r="B9735" s="245"/>
      <c r="C9735" s="248"/>
      <c r="D9735" s="249"/>
      <c r="E9735" s="249"/>
      <c r="T9735" s="261"/>
    </row>
    <row r="9736" spans="2:20" x14ac:dyDescent="0.2">
      <c r="B9736" s="245"/>
      <c r="C9736" s="248"/>
      <c r="D9736" s="249"/>
      <c r="E9736" s="249"/>
      <c r="T9736" s="261"/>
    </row>
    <row r="9737" spans="2:20" x14ac:dyDescent="0.2">
      <c r="B9737" s="245"/>
      <c r="C9737" s="248"/>
      <c r="D9737" s="249"/>
      <c r="E9737" s="249"/>
      <c r="T9737" s="261"/>
    </row>
    <row r="9738" spans="2:20" x14ac:dyDescent="0.2">
      <c r="B9738" s="245"/>
      <c r="C9738" s="248"/>
      <c r="D9738" s="249"/>
      <c r="E9738" s="249"/>
      <c r="T9738" s="261"/>
    </row>
    <row r="9739" spans="2:20" x14ac:dyDescent="0.2">
      <c r="B9739" s="245"/>
      <c r="C9739" s="248"/>
      <c r="D9739" s="249"/>
      <c r="E9739" s="249"/>
      <c r="T9739" s="261"/>
    </row>
    <row r="9740" spans="2:20" x14ac:dyDescent="0.2">
      <c r="B9740" s="245"/>
      <c r="C9740" s="248"/>
      <c r="D9740" s="249"/>
      <c r="E9740" s="249"/>
      <c r="T9740" s="261"/>
    </row>
    <row r="9741" spans="2:20" x14ac:dyDescent="0.2">
      <c r="B9741" s="245"/>
      <c r="C9741" s="248"/>
      <c r="D9741" s="249"/>
      <c r="E9741" s="249"/>
      <c r="T9741" s="261"/>
    </row>
    <row r="9742" spans="2:20" x14ac:dyDescent="0.2">
      <c r="B9742" s="245"/>
      <c r="C9742" s="248"/>
      <c r="D9742" s="249"/>
      <c r="E9742" s="249"/>
      <c r="T9742" s="261"/>
    </row>
    <row r="9743" spans="2:20" x14ac:dyDescent="0.2">
      <c r="B9743" s="245"/>
      <c r="C9743" s="248"/>
      <c r="D9743" s="249"/>
      <c r="E9743" s="249"/>
      <c r="T9743" s="261"/>
    </row>
    <row r="9744" spans="2:20" x14ac:dyDescent="0.2">
      <c r="B9744" s="245"/>
      <c r="C9744" s="248"/>
      <c r="D9744" s="249"/>
      <c r="E9744" s="249"/>
      <c r="T9744" s="261"/>
    </row>
    <row r="9745" spans="2:20" x14ac:dyDescent="0.2">
      <c r="B9745" s="245"/>
      <c r="C9745" s="248"/>
      <c r="D9745" s="249"/>
      <c r="E9745" s="249"/>
      <c r="T9745" s="261"/>
    </row>
    <row r="9746" spans="2:20" x14ac:dyDescent="0.2">
      <c r="B9746" s="245"/>
      <c r="C9746" s="248"/>
      <c r="D9746" s="249"/>
      <c r="E9746" s="249"/>
      <c r="T9746" s="261"/>
    </row>
    <row r="9747" spans="2:20" x14ac:dyDescent="0.2">
      <c r="B9747" s="245"/>
      <c r="C9747" s="248"/>
      <c r="D9747" s="249"/>
      <c r="E9747" s="249"/>
      <c r="T9747" s="261"/>
    </row>
    <row r="9748" spans="2:20" x14ac:dyDescent="0.2">
      <c r="B9748" s="245"/>
      <c r="C9748" s="248"/>
      <c r="D9748" s="249"/>
      <c r="E9748" s="249"/>
      <c r="T9748" s="261"/>
    </row>
    <row r="9749" spans="2:20" x14ac:dyDescent="0.2">
      <c r="B9749" s="245"/>
      <c r="C9749" s="248"/>
      <c r="D9749" s="249"/>
      <c r="E9749" s="249"/>
      <c r="T9749" s="261"/>
    </row>
    <row r="9750" spans="2:20" x14ac:dyDescent="0.2">
      <c r="B9750" s="245"/>
      <c r="C9750" s="248"/>
      <c r="D9750" s="249"/>
      <c r="E9750" s="249"/>
      <c r="T9750" s="261"/>
    </row>
    <row r="9751" spans="2:20" x14ac:dyDescent="0.2">
      <c r="B9751" s="245"/>
      <c r="C9751" s="248"/>
      <c r="D9751" s="249"/>
      <c r="E9751" s="249"/>
      <c r="T9751" s="261"/>
    </row>
    <row r="9752" spans="2:20" x14ac:dyDescent="0.2">
      <c r="B9752" s="245"/>
      <c r="C9752" s="248"/>
      <c r="D9752" s="249"/>
      <c r="E9752" s="249"/>
      <c r="T9752" s="261"/>
    </row>
    <row r="9753" spans="2:20" x14ac:dyDescent="0.2">
      <c r="B9753" s="245"/>
      <c r="C9753" s="248"/>
      <c r="D9753" s="249"/>
      <c r="E9753" s="249"/>
      <c r="T9753" s="261"/>
    </row>
    <row r="9754" spans="2:20" x14ac:dyDescent="0.2">
      <c r="B9754" s="245"/>
      <c r="C9754" s="248"/>
      <c r="D9754" s="249"/>
      <c r="E9754" s="249"/>
      <c r="T9754" s="261"/>
    </row>
    <row r="9755" spans="2:20" x14ac:dyDescent="0.2">
      <c r="B9755" s="245"/>
      <c r="C9755" s="248"/>
      <c r="D9755" s="249"/>
      <c r="E9755" s="249"/>
      <c r="T9755" s="261"/>
    </row>
    <row r="9756" spans="2:20" x14ac:dyDescent="0.2">
      <c r="B9756" s="245"/>
      <c r="C9756" s="248"/>
      <c r="D9756" s="249"/>
      <c r="E9756" s="249"/>
      <c r="T9756" s="261"/>
    </row>
    <row r="9757" spans="2:20" x14ac:dyDescent="0.2">
      <c r="B9757" s="245"/>
      <c r="C9757" s="248"/>
      <c r="D9757" s="249"/>
      <c r="E9757" s="249"/>
      <c r="T9757" s="261"/>
    </row>
    <row r="9758" spans="2:20" x14ac:dyDescent="0.2">
      <c r="B9758" s="245"/>
      <c r="C9758" s="248"/>
      <c r="D9758" s="249"/>
      <c r="E9758" s="249"/>
      <c r="T9758" s="261"/>
    </row>
    <row r="9759" spans="2:20" x14ac:dyDescent="0.2">
      <c r="B9759" s="245"/>
      <c r="C9759" s="248"/>
      <c r="D9759" s="249"/>
      <c r="E9759" s="249"/>
      <c r="T9759" s="261"/>
    </row>
    <row r="9760" spans="2:20" x14ac:dyDescent="0.2">
      <c r="B9760" s="245"/>
      <c r="C9760" s="248"/>
      <c r="D9760" s="249"/>
      <c r="E9760" s="249"/>
      <c r="T9760" s="261"/>
    </row>
    <row r="9761" spans="2:20" x14ac:dyDescent="0.2">
      <c r="B9761" s="245"/>
      <c r="C9761" s="248"/>
      <c r="D9761" s="249"/>
      <c r="E9761" s="249"/>
      <c r="T9761" s="261"/>
    </row>
    <row r="9762" spans="2:20" x14ac:dyDescent="0.2">
      <c r="B9762" s="245"/>
      <c r="C9762" s="248"/>
      <c r="D9762" s="249"/>
      <c r="E9762" s="249"/>
      <c r="T9762" s="261"/>
    </row>
    <row r="9763" spans="2:20" x14ac:dyDescent="0.2">
      <c r="B9763" s="245"/>
      <c r="C9763" s="248"/>
      <c r="D9763" s="249"/>
      <c r="E9763" s="249"/>
      <c r="T9763" s="261"/>
    </row>
    <row r="9764" spans="2:20" x14ac:dyDescent="0.2">
      <c r="B9764" s="245"/>
      <c r="C9764" s="248"/>
      <c r="D9764" s="249"/>
      <c r="E9764" s="249"/>
      <c r="T9764" s="261"/>
    </row>
    <row r="9765" spans="2:20" x14ac:dyDescent="0.2">
      <c r="B9765" s="245"/>
      <c r="C9765" s="248"/>
      <c r="D9765" s="249"/>
      <c r="E9765" s="249"/>
      <c r="T9765" s="261"/>
    </row>
    <row r="9766" spans="2:20" x14ac:dyDescent="0.2">
      <c r="B9766" s="245"/>
      <c r="C9766" s="248"/>
      <c r="D9766" s="249"/>
      <c r="E9766" s="249"/>
      <c r="T9766" s="261"/>
    </row>
    <row r="9767" spans="2:20" x14ac:dyDescent="0.2">
      <c r="B9767" s="245"/>
      <c r="C9767" s="248"/>
      <c r="D9767" s="249"/>
      <c r="E9767" s="249"/>
      <c r="T9767" s="261"/>
    </row>
    <row r="9768" spans="2:20" x14ac:dyDescent="0.2">
      <c r="B9768" s="245"/>
      <c r="C9768" s="248"/>
      <c r="D9768" s="249"/>
      <c r="E9768" s="249"/>
      <c r="T9768" s="261"/>
    </row>
    <row r="9769" spans="2:20" x14ac:dyDescent="0.2">
      <c r="B9769" s="245"/>
      <c r="C9769" s="248"/>
      <c r="D9769" s="249"/>
      <c r="E9769" s="249"/>
      <c r="T9769" s="261"/>
    </row>
    <row r="9770" spans="2:20" x14ac:dyDescent="0.2">
      <c r="B9770" s="245"/>
      <c r="C9770" s="248"/>
      <c r="D9770" s="249"/>
      <c r="E9770" s="249"/>
      <c r="T9770" s="261"/>
    </row>
    <row r="9771" spans="2:20" x14ac:dyDescent="0.2">
      <c r="B9771" s="245"/>
      <c r="C9771" s="248"/>
      <c r="D9771" s="249"/>
      <c r="E9771" s="249"/>
      <c r="T9771" s="261"/>
    </row>
    <row r="9772" spans="2:20" x14ac:dyDescent="0.2">
      <c r="B9772" s="245"/>
      <c r="C9772" s="248"/>
      <c r="D9772" s="249"/>
      <c r="E9772" s="249"/>
      <c r="T9772" s="261"/>
    </row>
    <row r="9773" spans="2:20" x14ac:dyDescent="0.2">
      <c r="B9773" s="245"/>
      <c r="C9773" s="248"/>
      <c r="D9773" s="249"/>
      <c r="E9773" s="249"/>
      <c r="T9773" s="261"/>
    </row>
    <row r="9774" spans="2:20" x14ac:dyDescent="0.2">
      <c r="B9774" s="245"/>
      <c r="C9774" s="248"/>
      <c r="D9774" s="249"/>
      <c r="E9774" s="249"/>
      <c r="T9774" s="261"/>
    </row>
    <row r="9775" spans="2:20" x14ac:dyDescent="0.2">
      <c r="B9775" s="245"/>
      <c r="C9775" s="248"/>
      <c r="D9775" s="249"/>
      <c r="E9775" s="249"/>
      <c r="T9775" s="261"/>
    </row>
    <row r="9776" spans="2:20" x14ac:dyDescent="0.2">
      <c r="B9776" s="245"/>
      <c r="C9776" s="248"/>
      <c r="D9776" s="249"/>
      <c r="E9776" s="249"/>
      <c r="T9776" s="261"/>
    </row>
    <row r="9777" spans="2:20" x14ac:dyDescent="0.2">
      <c r="B9777" s="245"/>
      <c r="C9777" s="248"/>
      <c r="D9777" s="249"/>
      <c r="E9777" s="249"/>
      <c r="T9777" s="261"/>
    </row>
    <row r="9778" spans="2:20" x14ac:dyDescent="0.2">
      <c r="B9778" s="245"/>
      <c r="C9778" s="248"/>
      <c r="D9778" s="249"/>
      <c r="E9778" s="249"/>
      <c r="T9778" s="261"/>
    </row>
    <row r="9779" spans="2:20" x14ac:dyDescent="0.2">
      <c r="B9779" s="245"/>
      <c r="C9779" s="248"/>
      <c r="D9779" s="249"/>
      <c r="E9779" s="249"/>
      <c r="T9779" s="261"/>
    </row>
    <row r="9780" spans="2:20" x14ac:dyDescent="0.2">
      <c r="B9780" s="245"/>
      <c r="C9780" s="248"/>
      <c r="D9780" s="249"/>
      <c r="E9780" s="249"/>
      <c r="T9780" s="261"/>
    </row>
    <row r="9781" spans="2:20" x14ac:dyDescent="0.2">
      <c r="B9781" s="245"/>
      <c r="C9781" s="248"/>
      <c r="D9781" s="249"/>
      <c r="E9781" s="249"/>
      <c r="T9781" s="261"/>
    </row>
    <row r="9782" spans="2:20" x14ac:dyDescent="0.2">
      <c r="B9782" s="245"/>
      <c r="C9782" s="248"/>
      <c r="D9782" s="249"/>
      <c r="E9782" s="249"/>
      <c r="T9782" s="261"/>
    </row>
    <row r="9783" spans="2:20" x14ac:dyDescent="0.2">
      <c r="B9783" s="245"/>
      <c r="C9783" s="248"/>
      <c r="D9783" s="249"/>
      <c r="E9783" s="249"/>
      <c r="T9783" s="261"/>
    </row>
    <row r="9784" spans="2:20" x14ac:dyDescent="0.2">
      <c r="B9784" s="245"/>
      <c r="C9784" s="248"/>
      <c r="D9784" s="249"/>
      <c r="E9784" s="249"/>
      <c r="T9784" s="261"/>
    </row>
    <row r="9785" spans="2:20" x14ac:dyDescent="0.2">
      <c r="B9785" s="245"/>
      <c r="C9785" s="248"/>
      <c r="D9785" s="249"/>
      <c r="E9785" s="249"/>
      <c r="T9785" s="261"/>
    </row>
    <row r="9786" spans="2:20" x14ac:dyDescent="0.2">
      <c r="B9786" s="245"/>
      <c r="C9786" s="248"/>
      <c r="D9786" s="249"/>
      <c r="E9786" s="249"/>
      <c r="T9786" s="261"/>
    </row>
    <row r="9787" spans="2:20" x14ac:dyDescent="0.2">
      <c r="B9787" s="245"/>
      <c r="C9787" s="248"/>
      <c r="D9787" s="249"/>
      <c r="E9787" s="249"/>
      <c r="T9787" s="261"/>
    </row>
    <row r="9788" spans="2:20" x14ac:dyDescent="0.2">
      <c r="B9788" s="245"/>
      <c r="C9788" s="248"/>
      <c r="D9788" s="249"/>
      <c r="E9788" s="249"/>
      <c r="T9788" s="261"/>
    </row>
    <row r="9789" spans="2:20" x14ac:dyDescent="0.2">
      <c r="B9789" s="245"/>
      <c r="C9789" s="248"/>
      <c r="D9789" s="249"/>
      <c r="E9789" s="249"/>
      <c r="T9789" s="261"/>
    </row>
    <row r="9790" spans="2:20" x14ac:dyDescent="0.2">
      <c r="B9790" s="245"/>
      <c r="C9790" s="248"/>
      <c r="D9790" s="249"/>
      <c r="E9790" s="249"/>
      <c r="T9790" s="261"/>
    </row>
    <row r="9791" spans="2:20" x14ac:dyDescent="0.2">
      <c r="B9791" s="245"/>
      <c r="C9791" s="248"/>
      <c r="D9791" s="249"/>
      <c r="E9791" s="249"/>
      <c r="T9791" s="261"/>
    </row>
    <row r="9792" spans="2:20" x14ac:dyDescent="0.2">
      <c r="B9792" s="245"/>
      <c r="C9792" s="248"/>
      <c r="D9792" s="249"/>
      <c r="E9792" s="249"/>
      <c r="T9792" s="261"/>
    </row>
    <row r="9793" spans="2:20" x14ac:dyDescent="0.2">
      <c r="B9793" s="245"/>
      <c r="C9793" s="248"/>
      <c r="D9793" s="249"/>
      <c r="E9793" s="249"/>
      <c r="T9793" s="261"/>
    </row>
    <row r="9794" spans="2:20" x14ac:dyDescent="0.2">
      <c r="B9794" s="245"/>
      <c r="C9794" s="248"/>
      <c r="D9794" s="249"/>
      <c r="E9794" s="249"/>
      <c r="T9794" s="261"/>
    </row>
    <row r="9795" spans="2:20" x14ac:dyDescent="0.2">
      <c r="B9795" s="245"/>
      <c r="C9795" s="248"/>
      <c r="D9795" s="249"/>
      <c r="E9795" s="249"/>
      <c r="T9795" s="261"/>
    </row>
    <row r="9796" spans="2:20" x14ac:dyDescent="0.2">
      <c r="B9796" s="245"/>
      <c r="C9796" s="248"/>
      <c r="D9796" s="249"/>
      <c r="E9796" s="249"/>
      <c r="T9796" s="261"/>
    </row>
    <row r="9797" spans="2:20" x14ac:dyDescent="0.2">
      <c r="B9797" s="245"/>
      <c r="C9797" s="248"/>
      <c r="D9797" s="249"/>
      <c r="E9797" s="249"/>
      <c r="T9797" s="261"/>
    </row>
    <row r="9798" spans="2:20" x14ac:dyDescent="0.2">
      <c r="B9798" s="245"/>
      <c r="C9798" s="248"/>
      <c r="D9798" s="249"/>
      <c r="E9798" s="249"/>
      <c r="T9798" s="261"/>
    </row>
    <row r="9799" spans="2:20" x14ac:dyDescent="0.2">
      <c r="B9799" s="245"/>
      <c r="C9799" s="248"/>
      <c r="D9799" s="249"/>
      <c r="E9799" s="249"/>
      <c r="T9799" s="261"/>
    </row>
    <row r="9800" spans="2:20" x14ac:dyDescent="0.2">
      <c r="B9800" s="245"/>
      <c r="C9800" s="248"/>
      <c r="D9800" s="249"/>
      <c r="E9800" s="249"/>
      <c r="T9800" s="261"/>
    </row>
    <row r="9801" spans="2:20" x14ac:dyDescent="0.2">
      <c r="B9801" s="245"/>
      <c r="C9801" s="248"/>
      <c r="D9801" s="249"/>
      <c r="E9801" s="249"/>
      <c r="T9801" s="261"/>
    </row>
    <row r="9802" spans="2:20" x14ac:dyDescent="0.2">
      <c r="B9802" s="245"/>
      <c r="C9802" s="248"/>
      <c r="D9802" s="249"/>
      <c r="E9802" s="249"/>
      <c r="T9802" s="261"/>
    </row>
    <row r="9803" spans="2:20" x14ac:dyDescent="0.2">
      <c r="B9803" s="245"/>
      <c r="C9803" s="248"/>
      <c r="D9803" s="249"/>
      <c r="E9803" s="249"/>
      <c r="T9803" s="261"/>
    </row>
    <row r="9804" spans="2:20" x14ac:dyDescent="0.2">
      <c r="B9804" s="245"/>
      <c r="C9804" s="248"/>
      <c r="D9804" s="249"/>
      <c r="E9804" s="249"/>
      <c r="T9804" s="261"/>
    </row>
    <row r="9805" spans="2:20" x14ac:dyDescent="0.2">
      <c r="B9805" s="245"/>
      <c r="C9805" s="248"/>
      <c r="D9805" s="249"/>
      <c r="E9805" s="249"/>
      <c r="T9805" s="261"/>
    </row>
    <row r="9806" spans="2:20" x14ac:dyDescent="0.2">
      <c r="B9806" s="245"/>
      <c r="C9806" s="248"/>
      <c r="D9806" s="249"/>
      <c r="E9806" s="249"/>
      <c r="T9806" s="261"/>
    </row>
    <row r="9807" spans="2:20" x14ac:dyDescent="0.2">
      <c r="B9807" s="245"/>
      <c r="C9807" s="248"/>
      <c r="D9807" s="249"/>
      <c r="E9807" s="249"/>
      <c r="T9807" s="261"/>
    </row>
    <row r="9808" spans="2:20" x14ac:dyDescent="0.2">
      <c r="B9808" s="245"/>
      <c r="C9808" s="248"/>
      <c r="D9808" s="249"/>
      <c r="E9808" s="249"/>
      <c r="T9808" s="261"/>
    </row>
    <row r="9809" spans="2:20" x14ac:dyDescent="0.2">
      <c r="B9809" s="245"/>
      <c r="C9809" s="248"/>
      <c r="D9809" s="249"/>
      <c r="E9809" s="249"/>
      <c r="T9809" s="261"/>
    </row>
    <row r="9810" spans="2:20" x14ac:dyDescent="0.2">
      <c r="B9810" s="245"/>
      <c r="C9810" s="248"/>
      <c r="D9810" s="249"/>
      <c r="E9810" s="249"/>
      <c r="T9810" s="261"/>
    </row>
    <row r="9811" spans="2:20" x14ac:dyDescent="0.2">
      <c r="B9811" s="245"/>
      <c r="C9811" s="248"/>
      <c r="D9811" s="249"/>
      <c r="E9811" s="249"/>
      <c r="T9811" s="261"/>
    </row>
    <row r="9812" spans="2:20" x14ac:dyDescent="0.2">
      <c r="B9812" s="245"/>
      <c r="C9812" s="248"/>
      <c r="D9812" s="249"/>
      <c r="E9812" s="249"/>
      <c r="T9812" s="261"/>
    </row>
    <row r="9813" spans="2:20" x14ac:dyDescent="0.2">
      <c r="B9813" s="245"/>
      <c r="C9813" s="248"/>
      <c r="D9813" s="249"/>
      <c r="E9813" s="249"/>
      <c r="T9813" s="261"/>
    </row>
    <row r="9814" spans="2:20" x14ac:dyDescent="0.2">
      <c r="B9814" s="245"/>
      <c r="C9814" s="248"/>
      <c r="D9814" s="249"/>
      <c r="E9814" s="249"/>
      <c r="T9814" s="261"/>
    </row>
    <row r="9815" spans="2:20" x14ac:dyDescent="0.2">
      <c r="B9815" s="245"/>
      <c r="C9815" s="248"/>
      <c r="D9815" s="249"/>
      <c r="E9815" s="249"/>
      <c r="T9815" s="261"/>
    </row>
    <row r="9816" spans="2:20" x14ac:dyDescent="0.2">
      <c r="B9816" s="245"/>
      <c r="C9816" s="248"/>
      <c r="D9816" s="249"/>
      <c r="E9816" s="249"/>
      <c r="T9816" s="261"/>
    </row>
    <row r="9817" spans="2:20" x14ac:dyDescent="0.2">
      <c r="B9817" s="245"/>
      <c r="C9817" s="248"/>
      <c r="D9817" s="249"/>
      <c r="E9817" s="249"/>
      <c r="T9817" s="261"/>
    </row>
    <row r="9818" spans="2:20" x14ac:dyDescent="0.2">
      <c r="B9818" s="245"/>
      <c r="C9818" s="248"/>
      <c r="D9818" s="249"/>
      <c r="E9818" s="249"/>
      <c r="T9818" s="261"/>
    </row>
    <row r="9819" spans="2:20" x14ac:dyDescent="0.2">
      <c r="B9819" s="245"/>
      <c r="C9819" s="248"/>
      <c r="D9819" s="249"/>
      <c r="E9819" s="249"/>
      <c r="T9819" s="261"/>
    </row>
    <row r="9820" spans="2:20" x14ac:dyDescent="0.2">
      <c r="B9820" s="245"/>
      <c r="C9820" s="248"/>
      <c r="D9820" s="249"/>
      <c r="E9820" s="249"/>
      <c r="T9820" s="261"/>
    </row>
    <row r="9821" spans="2:20" x14ac:dyDescent="0.2">
      <c r="B9821" s="245"/>
      <c r="C9821" s="248"/>
      <c r="D9821" s="249"/>
      <c r="E9821" s="249"/>
      <c r="T9821" s="261"/>
    </row>
    <row r="9822" spans="2:20" x14ac:dyDescent="0.2">
      <c r="B9822" s="245"/>
      <c r="C9822" s="248"/>
      <c r="D9822" s="249"/>
      <c r="E9822" s="249"/>
      <c r="T9822" s="261"/>
    </row>
    <row r="9823" spans="2:20" x14ac:dyDescent="0.2">
      <c r="B9823" s="245"/>
      <c r="C9823" s="248"/>
      <c r="D9823" s="249"/>
      <c r="E9823" s="249"/>
      <c r="T9823" s="261"/>
    </row>
    <row r="9824" spans="2:20" x14ac:dyDescent="0.2">
      <c r="B9824" s="245"/>
      <c r="C9824" s="248"/>
      <c r="D9824" s="249"/>
      <c r="E9824" s="249"/>
      <c r="T9824" s="261"/>
    </row>
    <row r="9825" spans="2:20" x14ac:dyDescent="0.2">
      <c r="B9825" s="245"/>
      <c r="C9825" s="248"/>
      <c r="D9825" s="249"/>
      <c r="E9825" s="249"/>
      <c r="T9825" s="261"/>
    </row>
    <row r="9826" spans="2:20" x14ac:dyDescent="0.2">
      <c r="B9826" s="245"/>
      <c r="C9826" s="248"/>
      <c r="D9826" s="249"/>
      <c r="E9826" s="249"/>
      <c r="T9826" s="261"/>
    </row>
    <row r="9827" spans="2:20" x14ac:dyDescent="0.2">
      <c r="B9827" s="245"/>
      <c r="C9827" s="248"/>
      <c r="D9827" s="249"/>
      <c r="E9827" s="249"/>
      <c r="T9827" s="261"/>
    </row>
    <row r="9828" spans="2:20" x14ac:dyDescent="0.2">
      <c r="B9828" s="245"/>
      <c r="C9828" s="248"/>
      <c r="D9828" s="249"/>
      <c r="E9828" s="249"/>
      <c r="T9828" s="261"/>
    </row>
    <row r="9829" spans="2:20" x14ac:dyDescent="0.2">
      <c r="B9829" s="245"/>
      <c r="C9829" s="248"/>
      <c r="D9829" s="249"/>
      <c r="E9829" s="249"/>
      <c r="T9829" s="261"/>
    </row>
    <row r="9830" spans="2:20" x14ac:dyDescent="0.2">
      <c r="B9830" s="245"/>
      <c r="C9830" s="248"/>
      <c r="D9830" s="249"/>
      <c r="E9830" s="249"/>
      <c r="T9830" s="261"/>
    </row>
    <row r="9831" spans="2:20" x14ac:dyDescent="0.2">
      <c r="B9831" s="245"/>
      <c r="C9831" s="248"/>
      <c r="D9831" s="249"/>
      <c r="E9831" s="249"/>
      <c r="T9831" s="261"/>
    </row>
    <row r="9832" spans="2:20" x14ac:dyDescent="0.2">
      <c r="B9832" s="245"/>
      <c r="C9832" s="248"/>
      <c r="D9832" s="249"/>
      <c r="E9832" s="249"/>
      <c r="T9832" s="261"/>
    </row>
    <row r="9833" spans="2:20" x14ac:dyDescent="0.2">
      <c r="B9833" s="245"/>
      <c r="C9833" s="248"/>
      <c r="D9833" s="249"/>
      <c r="E9833" s="249"/>
      <c r="T9833" s="261"/>
    </row>
    <row r="9834" spans="2:20" x14ac:dyDescent="0.2">
      <c r="B9834" s="245"/>
      <c r="C9834" s="248"/>
      <c r="D9834" s="249"/>
      <c r="E9834" s="249"/>
      <c r="T9834" s="261"/>
    </row>
    <row r="9835" spans="2:20" x14ac:dyDescent="0.2">
      <c r="B9835" s="245"/>
      <c r="C9835" s="248"/>
      <c r="D9835" s="249"/>
      <c r="E9835" s="249"/>
      <c r="T9835" s="261"/>
    </row>
    <row r="9836" spans="2:20" x14ac:dyDescent="0.2">
      <c r="B9836" s="245"/>
      <c r="C9836" s="248"/>
      <c r="D9836" s="249"/>
      <c r="E9836" s="249"/>
      <c r="T9836" s="261"/>
    </row>
    <row r="9837" spans="2:20" x14ac:dyDescent="0.2">
      <c r="B9837" s="245"/>
      <c r="C9837" s="248"/>
      <c r="D9837" s="249"/>
      <c r="E9837" s="249"/>
      <c r="T9837" s="261"/>
    </row>
    <row r="9838" spans="2:20" x14ac:dyDescent="0.2">
      <c r="B9838" s="245"/>
      <c r="C9838" s="248"/>
      <c r="D9838" s="249"/>
      <c r="E9838" s="249"/>
      <c r="T9838" s="261"/>
    </row>
    <row r="9839" spans="2:20" x14ac:dyDescent="0.2">
      <c r="B9839" s="245"/>
      <c r="C9839" s="248"/>
      <c r="D9839" s="249"/>
      <c r="E9839" s="249"/>
      <c r="T9839" s="261"/>
    </row>
    <row r="9840" spans="2:20" x14ac:dyDescent="0.2">
      <c r="B9840" s="245"/>
      <c r="C9840" s="248"/>
      <c r="D9840" s="249"/>
      <c r="E9840" s="249"/>
      <c r="T9840" s="261"/>
    </row>
    <row r="9841" spans="2:20" x14ac:dyDescent="0.2">
      <c r="B9841" s="245"/>
      <c r="C9841" s="248"/>
      <c r="D9841" s="249"/>
      <c r="E9841" s="249"/>
      <c r="T9841" s="261"/>
    </row>
    <row r="9842" spans="2:20" x14ac:dyDescent="0.2">
      <c r="B9842" s="245"/>
      <c r="C9842" s="248"/>
      <c r="D9842" s="249"/>
      <c r="E9842" s="249"/>
      <c r="T9842" s="261"/>
    </row>
    <row r="9843" spans="2:20" x14ac:dyDescent="0.2">
      <c r="B9843" s="245"/>
      <c r="C9843" s="248"/>
      <c r="D9843" s="249"/>
      <c r="E9843" s="249"/>
      <c r="T9843" s="261"/>
    </row>
    <row r="9844" spans="2:20" x14ac:dyDescent="0.2">
      <c r="B9844" s="245"/>
      <c r="C9844" s="248"/>
      <c r="D9844" s="249"/>
      <c r="E9844" s="249"/>
      <c r="T9844" s="261"/>
    </row>
    <row r="9845" spans="2:20" x14ac:dyDescent="0.2">
      <c r="B9845" s="245"/>
      <c r="C9845" s="248"/>
      <c r="D9845" s="249"/>
      <c r="E9845" s="249"/>
      <c r="T9845" s="261"/>
    </row>
    <row r="9846" spans="2:20" x14ac:dyDescent="0.2">
      <c r="B9846" s="245"/>
      <c r="C9846" s="248"/>
      <c r="D9846" s="249"/>
      <c r="E9846" s="249"/>
      <c r="T9846" s="261"/>
    </row>
    <row r="9847" spans="2:20" x14ac:dyDescent="0.2">
      <c r="B9847" s="245"/>
      <c r="C9847" s="248"/>
      <c r="D9847" s="249"/>
      <c r="E9847" s="249"/>
      <c r="T9847" s="261"/>
    </row>
    <row r="9848" spans="2:20" x14ac:dyDescent="0.2">
      <c r="B9848" s="245"/>
      <c r="C9848" s="248"/>
      <c r="D9848" s="249"/>
      <c r="E9848" s="249"/>
      <c r="T9848" s="261"/>
    </row>
    <row r="9849" spans="2:20" x14ac:dyDescent="0.2">
      <c r="B9849" s="245"/>
      <c r="C9849" s="248"/>
      <c r="D9849" s="249"/>
      <c r="E9849" s="249"/>
      <c r="T9849" s="261"/>
    </row>
    <row r="9850" spans="2:20" x14ac:dyDescent="0.2">
      <c r="B9850" s="245"/>
      <c r="C9850" s="248"/>
      <c r="D9850" s="249"/>
      <c r="E9850" s="249"/>
      <c r="T9850" s="261"/>
    </row>
    <row r="9851" spans="2:20" x14ac:dyDescent="0.2">
      <c r="B9851" s="245"/>
      <c r="C9851" s="248"/>
      <c r="D9851" s="249"/>
      <c r="E9851" s="249"/>
      <c r="T9851" s="261"/>
    </row>
    <row r="9852" spans="2:20" x14ac:dyDescent="0.2">
      <c r="B9852" s="245"/>
      <c r="C9852" s="248"/>
      <c r="D9852" s="249"/>
      <c r="E9852" s="249"/>
      <c r="T9852" s="261"/>
    </row>
    <row r="9853" spans="2:20" x14ac:dyDescent="0.2">
      <c r="B9853" s="245"/>
      <c r="C9853" s="248"/>
      <c r="D9853" s="249"/>
      <c r="E9853" s="249"/>
      <c r="T9853" s="261"/>
    </row>
    <row r="9854" spans="2:20" x14ac:dyDescent="0.2">
      <c r="B9854" s="245"/>
      <c r="C9854" s="248"/>
      <c r="D9854" s="249"/>
      <c r="E9854" s="249"/>
      <c r="T9854" s="261"/>
    </row>
    <row r="9855" spans="2:20" x14ac:dyDescent="0.2">
      <c r="B9855" s="245"/>
      <c r="C9855" s="248"/>
      <c r="D9855" s="249"/>
      <c r="E9855" s="249"/>
      <c r="T9855" s="261"/>
    </row>
    <row r="9856" spans="2:20" x14ac:dyDescent="0.2">
      <c r="B9856" s="245"/>
      <c r="C9856" s="248"/>
      <c r="D9856" s="249"/>
      <c r="E9856" s="249"/>
      <c r="T9856" s="261"/>
    </row>
    <row r="9857" spans="2:20" x14ac:dyDescent="0.2">
      <c r="B9857" s="245"/>
      <c r="C9857" s="248"/>
      <c r="D9857" s="249"/>
      <c r="E9857" s="249"/>
      <c r="T9857" s="261"/>
    </row>
    <row r="9858" spans="2:20" x14ac:dyDescent="0.2">
      <c r="B9858" s="245"/>
      <c r="C9858" s="248"/>
      <c r="D9858" s="249"/>
      <c r="E9858" s="249"/>
      <c r="T9858" s="261"/>
    </row>
    <row r="9859" spans="2:20" x14ac:dyDescent="0.2">
      <c r="B9859" s="245"/>
      <c r="C9859" s="248"/>
      <c r="D9859" s="249"/>
      <c r="E9859" s="249"/>
      <c r="T9859" s="261"/>
    </row>
    <row r="9860" spans="2:20" x14ac:dyDescent="0.2">
      <c r="B9860" s="245"/>
      <c r="C9860" s="248"/>
      <c r="D9860" s="249"/>
      <c r="E9860" s="249"/>
      <c r="T9860" s="261"/>
    </row>
    <row r="9861" spans="2:20" x14ac:dyDescent="0.2">
      <c r="B9861" s="245"/>
      <c r="C9861" s="248"/>
      <c r="D9861" s="249"/>
      <c r="E9861" s="249"/>
      <c r="T9861" s="261"/>
    </row>
    <row r="9862" spans="2:20" x14ac:dyDescent="0.2">
      <c r="B9862" s="245"/>
      <c r="C9862" s="248"/>
      <c r="D9862" s="249"/>
      <c r="E9862" s="249"/>
      <c r="T9862" s="261"/>
    </row>
    <row r="9863" spans="2:20" x14ac:dyDescent="0.2">
      <c r="B9863" s="245"/>
      <c r="C9863" s="248"/>
      <c r="D9863" s="249"/>
      <c r="E9863" s="249"/>
      <c r="T9863" s="261"/>
    </row>
    <row r="9864" spans="2:20" x14ac:dyDescent="0.2">
      <c r="B9864" s="245"/>
      <c r="C9864" s="248"/>
      <c r="D9864" s="249"/>
      <c r="E9864" s="249"/>
      <c r="T9864" s="261"/>
    </row>
    <row r="9865" spans="2:20" x14ac:dyDescent="0.2">
      <c r="B9865" s="245"/>
      <c r="C9865" s="248"/>
      <c r="D9865" s="249"/>
      <c r="E9865" s="249"/>
      <c r="T9865" s="261"/>
    </row>
    <row r="9866" spans="2:20" x14ac:dyDescent="0.2">
      <c r="B9866" s="245"/>
      <c r="C9866" s="248"/>
      <c r="D9866" s="249"/>
      <c r="E9866" s="249"/>
      <c r="T9866" s="261"/>
    </row>
    <row r="9867" spans="2:20" x14ac:dyDescent="0.2">
      <c r="B9867" s="245"/>
      <c r="C9867" s="248"/>
      <c r="D9867" s="249"/>
      <c r="E9867" s="249"/>
      <c r="T9867" s="261"/>
    </row>
    <row r="9868" spans="2:20" x14ac:dyDescent="0.2">
      <c r="B9868" s="245"/>
      <c r="C9868" s="248"/>
      <c r="D9868" s="249"/>
      <c r="E9868" s="249"/>
      <c r="T9868" s="261"/>
    </row>
    <row r="9869" spans="2:20" x14ac:dyDescent="0.2">
      <c r="B9869" s="245"/>
      <c r="C9869" s="248"/>
      <c r="D9869" s="249"/>
      <c r="E9869" s="249"/>
      <c r="T9869" s="261"/>
    </row>
    <row r="9870" spans="2:20" x14ac:dyDescent="0.2">
      <c r="B9870" s="245"/>
      <c r="C9870" s="248"/>
      <c r="D9870" s="249"/>
      <c r="E9870" s="249"/>
      <c r="T9870" s="261"/>
    </row>
    <row r="9871" spans="2:20" x14ac:dyDescent="0.2">
      <c r="B9871" s="245"/>
      <c r="C9871" s="248"/>
      <c r="D9871" s="249"/>
      <c r="E9871" s="249"/>
      <c r="T9871" s="261"/>
    </row>
    <row r="9872" spans="2:20" x14ac:dyDescent="0.2">
      <c r="B9872" s="245"/>
      <c r="C9872" s="248"/>
      <c r="D9872" s="249"/>
      <c r="E9872" s="249"/>
      <c r="T9872" s="261"/>
    </row>
    <row r="9873" spans="2:20" x14ac:dyDescent="0.2">
      <c r="B9873" s="245"/>
      <c r="C9873" s="248"/>
      <c r="D9873" s="249"/>
      <c r="E9873" s="249"/>
      <c r="T9873" s="261"/>
    </row>
    <row r="9874" spans="2:20" x14ac:dyDescent="0.2">
      <c r="B9874" s="245"/>
      <c r="C9874" s="248"/>
      <c r="D9874" s="249"/>
      <c r="E9874" s="249"/>
      <c r="T9874" s="261"/>
    </row>
    <row r="9875" spans="2:20" x14ac:dyDescent="0.2">
      <c r="B9875" s="245"/>
      <c r="C9875" s="248"/>
      <c r="D9875" s="249"/>
      <c r="E9875" s="249"/>
      <c r="T9875" s="261"/>
    </row>
    <row r="9876" spans="2:20" x14ac:dyDescent="0.2">
      <c r="B9876" s="245"/>
      <c r="C9876" s="248"/>
      <c r="D9876" s="249"/>
      <c r="E9876" s="249"/>
      <c r="T9876" s="261"/>
    </row>
    <row r="9877" spans="2:20" x14ac:dyDescent="0.2">
      <c r="B9877" s="245"/>
      <c r="C9877" s="248"/>
      <c r="D9877" s="249"/>
      <c r="E9877" s="249"/>
      <c r="T9877" s="261"/>
    </row>
    <row r="9878" spans="2:20" x14ac:dyDescent="0.2">
      <c r="B9878" s="245"/>
      <c r="C9878" s="248"/>
      <c r="D9878" s="249"/>
      <c r="E9878" s="249"/>
      <c r="T9878" s="261"/>
    </row>
    <row r="9879" spans="2:20" x14ac:dyDescent="0.2">
      <c r="B9879" s="245"/>
      <c r="C9879" s="248"/>
      <c r="D9879" s="249"/>
      <c r="E9879" s="249"/>
      <c r="T9879" s="261"/>
    </row>
    <row r="9880" spans="2:20" x14ac:dyDescent="0.2">
      <c r="B9880" s="245"/>
      <c r="C9880" s="248"/>
      <c r="D9880" s="249"/>
      <c r="E9880" s="249"/>
      <c r="T9880" s="261"/>
    </row>
    <row r="9881" spans="2:20" x14ac:dyDescent="0.2">
      <c r="B9881" s="245"/>
      <c r="C9881" s="248"/>
      <c r="D9881" s="249"/>
      <c r="E9881" s="249"/>
      <c r="T9881" s="261"/>
    </row>
    <row r="9882" spans="2:20" x14ac:dyDescent="0.2">
      <c r="B9882" s="245"/>
      <c r="C9882" s="248"/>
      <c r="D9882" s="249"/>
      <c r="E9882" s="249"/>
      <c r="T9882" s="261"/>
    </row>
    <row r="9883" spans="2:20" x14ac:dyDescent="0.2">
      <c r="B9883" s="245"/>
      <c r="C9883" s="248"/>
      <c r="D9883" s="249"/>
      <c r="E9883" s="249"/>
      <c r="T9883" s="261"/>
    </row>
    <row r="9884" spans="2:20" x14ac:dyDescent="0.2">
      <c r="B9884" s="245"/>
      <c r="C9884" s="248"/>
      <c r="D9884" s="249"/>
      <c r="E9884" s="249"/>
      <c r="T9884" s="261"/>
    </row>
    <row r="9885" spans="2:20" x14ac:dyDescent="0.2">
      <c r="B9885" s="245"/>
      <c r="C9885" s="248"/>
      <c r="D9885" s="249"/>
      <c r="E9885" s="249"/>
      <c r="T9885" s="261"/>
    </row>
    <row r="9886" spans="2:20" x14ac:dyDescent="0.2">
      <c r="B9886" s="245"/>
      <c r="C9886" s="248"/>
      <c r="D9886" s="249"/>
      <c r="E9886" s="249"/>
      <c r="T9886" s="261"/>
    </row>
    <row r="9887" spans="2:20" x14ac:dyDescent="0.2">
      <c r="B9887" s="245"/>
      <c r="C9887" s="248"/>
      <c r="D9887" s="249"/>
      <c r="E9887" s="249"/>
      <c r="T9887" s="261"/>
    </row>
    <row r="9888" spans="2:20" x14ac:dyDescent="0.2">
      <c r="B9888" s="245"/>
      <c r="C9888" s="248"/>
      <c r="D9888" s="249"/>
      <c r="E9888" s="249"/>
      <c r="T9888" s="261"/>
    </row>
    <row r="9889" spans="2:20" x14ac:dyDescent="0.2">
      <c r="B9889" s="245"/>
      <c r="C9889" s="248"/>
      <c r="D9889" s="249"/>
      <c r="E9889" s="249"/>
      <c r="T9889" s="261"/>
    </row>
    <row r="9890" spans="2:20" x14ac:dyDescent="0.2">
      <c r="B9890" s="245"/>
      <c r="C9890" s="248"/>
      <c r="D9890" s="249"/>
      <c r="E9890" s="249"/>
      <c r="T9890" s="261"/>
    </row>
    <row r="9891" spans="2:20" x14ac:dyDescent="0.2">
      <c r="B9891" s="245"/>
      <c r="C9891" s="248"/>
      <c r="D9891" s="249"/>
      <c r="E9891" s="249"/>
      <c r="T9891" s="261"/>
    </row>
    <row r="9892" spans="2:20" x14ac:dyDescent="0.2">
      <c r="B9892" s="245"/>
      <c r="C9892" s="248"/>
      <c r="D9892" s="249"/>
      <c r="E9892" s="249"/>
      <c r="T9892" s="261"/>
    </row>
    <row r="9893" spans="2:20" x14ac:dyDescent="0.2">
      <c r="B9893" s="245"/>
      <c r="C9893" s="248"/>
      <c r="D9893" s="249"/>
      <c r="E9893" s="249"/>
      <c r="T9893" s="261"/>
    </row>
    <row r="9894" spans="2:20" x14ac:dyDescent="0.2">
      <c r="B9894" s="245"/>
      <c r="C9894" s="248"/>
      <c r="D9894" s="249"/>
      <c r="E9894" s="249"/>
      <c r="T9894" s="261"/>
    </row>
    <row r="9895" spans="2:20" x14ac:dyDescent="0.2">
      <c r="B9895" s="245"/>
      <c r="C9895" s="248"/>
      <c r="D9895" s="249"/>
      <c r="E9895" s="249"/>
      <c r="T9895" s="261"/>
    </row>
    <row r="9896" spans="2:20" x14ac:dyDescent="0.2">
      <c r="B9896" s="245"/>
      <c r="C9896" s="248"/>
      <c r="D9896" s="249"/>
      <c r="E9896" s="249"/>
      <c r="T9896" s="261"/>
    </row>
    <row r="9897" spans="2:20" x14ac:dyDescent="0.2">
      <c r="B9897" s="245"/>
      <c r="C9897" s="248"/>
      <c r="D9897" s="249"/>
      <c r="E9897" s="249"/>
      <c r="T9897" s="261"/>
    </row>
    <row r="9898" spans="2:20" x14ac:dyDescent="0.2">
      <c r="B9898" s="245"/>
      <c r="C9898" s="248"/>
      <c r="D9898" s="249"/>
      <c r="E9898" s="249"/>
      <c r="T9898" s="261"/>
    </row>
    <row r="9899" spans="2:20" x14ac:dyDescent="0.2">
      <c r="B9899" s="245"/>
      <c r="C9899" s="248"/>
      <c r="D9899" s="249"/>
      <c r="E9899" s="249"/>
      <c r="T9899" s="261"/>
    </row>
    <row r="9900" spans="2:20" x14ac:dyDescent="0.2">
      <c r="B9900" s="245"/>
      <c r="C9900" s="248"/>
      <c r="D9900" s="249"/>
      <c r="E9900" s="249"/>
      <c r="T9900" s="261"/>
    </row>
    <row r="9901" spans="2:20" x14ac:dyDescent="0.2">
      <c r="B9901" s="245"/>
      <c r="C9901" s="248"/>
      <c r="D9901" s="249"/>
      <c r="E9901" s="249"/>
      <c r="T9901" s="261"/>
    </row>
    <row r="9902" spans="2:20" x14ac:dyDescent="0.2">
      <c r="B9902" s="245"/>
      <c r="C9902" s="248"/>
      <c r="D9902" s="249"/>
      <c r="E9902" s="249"/>
      <c r="T9902" s="261"/>
    </row>
    <row r="9903" spans="2:20" x14ac:dyDescent="0.2">
      <c r="B9903" s="245"/>
      <c r="C9903" s="248"/>
      <c r="D9903" s="249"/>
      <c r="E9903" s="249"/>
      <c r="T9903" s="261"/>
    </row>
    <row r="9904" spans="2:20" x14ac:dyDescent="0.2">
      <c r="B9904" s="245"/>
      <c r="C9904" s="248"/>
      <c r="D9904" s="249"/>
      <c r="E9904" s="249"/>
      <c r="T9904" s="261"/>
    </row>
    <row r="9905" spans="2:20" x14ac:dyDescent="0.2">
      <c r="B9905" s="245"/>
      <c r="C9905" s="248"/>
      <c r="D9905" s="249"/>
      <c r="E9905" s="249"/>
      <c r="T9905" s="261"/>
    </row>
    <row r="9906" spans="2:20" x14ac:dyDescent="0.2">
      <c r="B9906" s="245"/>
      <c r="C9906" s="248"/>
      <c r="D9906" s="249"/>
      <c r="E9906" s="249"/>
      <c r="T9906" s="261"/>
    </row>
    <row r="9907" spans="2:20" x14ac:dyDescent="0.2">
      <c r="B9907" s="245"/>
      <c r="C9907" s="248"/>
      <c r="D9907" s="249"/>
      <c r="E9907" s="249"/>
      <c r="T9907" s="261"/>
    </row>
    <row r="9908" spans="2:20" x14ac:dyDescent="0.2">
      <c r="B9908" s="245"/>
      <c r="C9908" s="248"/>
      <c r="D9908" s="249"/>
      <c r="E9908" s="249"/>
      <c r="T9908" s="261"/>
    </row>
    <row r="9909" spans="2:20" x14ac:dyDescent="0.2">
      <c r="B9909" s="245"/>
      <c r="C9909" s="248"/>
      <c r="D9909" s="249"/>
      <c r="E9909" s="249"/>
      <c r="T9909" s="261"/>
    </row>
    <row r="9910" spans="2:20" x14ac:dyDescent="0.2">
      <c r="B9910" s="245"/>
      <c r="C9910" s="248"/>
      <c r="D9910" s="249"/>
      <c r="E9910" s="249"/>
      <c r="T9910" s="261"/>
    </row>
    <row r="9911" spans="2:20" x14ac:dyDescent="0.2">
      <c r="B9911" s="245"/>
      <c r="C9911" s="248"/>
      <c r="D9911" s="249"/>
      <c r="E9911" s="249"/>
      <c r="T9911" s="261"/>
    </row>
    <row r="9912" spans="2:20" x14ac:dyDescent="0.2">
      <c r="B9912" s="245"/>
      <c r="C9912" s="248"/>
      <c r="D9912" s="249"/>
      <c r="E9912" s="249"/>
      <c r="T9912" s="261"/>
    </row>
    <row r="9913" spans="2:20" x14ac:dyDescent="0.2">
      <c r="B9913" s="245"/>
      <c r="C9913" s="248"/>
      <c r="D9913" s="249"/>
      <c r="E9913" s="249"/>
      <c r="T9913" s="261"/>
    </row>
    <row r="9914" spans="2:20" x14ac:dyDescent="0.2">
      <c r="B9914" s="245"/>
      <c r="C9914" s="248"/>
      <c r="D9914" s="249"/>
      <c r="E9914" s="249"/>
      <c r="T9914" s="261"/>
    </row>
    <row r="9915" spans="2:20" x14ac:dyDescent="0.2">
      <c r="B9915" s="245"/>
      <c r="C9915" s="248"/>
      <c r="D9915" s="249"/>
      <c r="E9915" s="249"/>
      <c r="T9915" s="261"/>
    </row>
    <row r="9916" spans="2:20" x14ac:dyDescent="0.2">
      <c r="B9916" s="245"/>
      <c r="C9916" s="248"/>
      <c r="D9916" s="249"/>
      <c r="E9916" s="249"/>
      <c r="T9916" s="261"/>
    </row>
    <row r="9917" spans="2:20" x14ac:dyDescent="0.2">
      <c r="B9917" s="245"/>
      <c r="C9917" s="248"/>
      <c r="D9917" s="249"/>
      <c r="E9917" s="249"/>
      <c r="T9917" s="261"/>
    </row>
    <row r="9918" spans="2:20" x14ac:dyDescent="0.2">
      <c r="B9918" s="245"/>
      <c r="C9918" s="248"/>
      <c r="D9918" s="249"/>
      <c r="E9918" s="249"/>
      <c r="T9918" s="261"/>
    </row>
    <row r="9919" spans="2:20" x14ac:dyDescent="0.2">
      <c r="B9919" s="245"/>
      <c r="C9919" s="248"/>
      <c r="D9919" s="249"/>
      <c r="E9919" s="249"/>
      <c r="T9919" s="261"/>
    </row>
    <row r="9920" spans="2:20" x14ac:dyDescent="0.2">
      <c r="B9920" s="245"/>
      <c r="C9920" s="248"/>
      <c r="D9920" s="249"/>
      <c r="E9920" s="249"/>
      <c r="T9920" s="261"/>
    </row>
    <row r="9921" spans="2:20" x14ac:dyDescent="0.2">
      <c r="B9921" s="245"/>
      <c r="C9921" s="248"/>
      <c r="D9921" s="249"/>
      <c r="E9921" s="249"/>
      <c r="T9921" s="261"/>
    </row>
    <row r="9922" spans="2:20" x14ac:dyDescent="0.2">
      <c r="B9922" s="245"/>
      <c r="C9922" s="248"/>
      <c r="D9922" s="249"/>
      <c r="E9922" s="249"/>
      <c r="T9922" s="261"/>
    </row>
    <row r="9923" spans="2:20" x14ac:dyDescent="0.2">
      <c r="B9923" s="245"/>
      <c r="C9923" s="248"/>
      <c r="D9923" s="249"/>
      <c r="E9923" s="249"/>
      <c r="T9923" s="261"/>
    </row>
    <row r="9924" spans="2:20" x14ac:dyDescent="0.2">
      <c r="B9924" s="245"/>
      <c r="C9924" s="248"/>
      <c r="D9924" s="249"/>
      <c r="E9924" s="249"/>
      <c r="T9924" s="261"/>
    </row>
    <row r="9925" spans="2:20" x14ac:dyDescent="0.2">
      <c r="B9925" s="245"/>
      <c r="C9925" s="248"/>
      <c r="D9925" s="249"/>
      <c r="E9925" s="249"/>
      <c r="T9925" s="261"/>
    </row>
    <row r="9926" spans="2:20" x14ac:dyDescent="0.2">
      <c r="B9926" s="245"/>
      <c r="C9926" s="248"/>
      <c r="D9926" s="249"/>
      <c r="E9926" s="249"/>
      <c r="T9926" s="261"/>
    </row>
    <row r="9927" spans="2:20" x14ac:dyDescent="0.2">
      <c r="B9927" s="245"/>
      <c r="C9927" s="248"/>
      <c r="D9927" s="249"/>
      <c r="E9927" s="249"/>
      <c r="T9927" s="261"/>
    </row>
    <row r="9928" spans="2:20" x14ac:dyDescent="0.2">
      <c r="B9928" s="245"/>
      <c r="C9928" s="248"/>
      <c r="D9928" s="249"/>
      <c r="E9928" s="249"/>
      <c r="T9928" s="261"/>
    </row>
    <row r="9929" spans="2:20" x14ac:dyDescent="0.2">
      <c r="B9929" s="245"/>
      <c r="C9929" s="248"/>
      <c r="D9929" s="249"/>
      <c r="E9929" s="249"/>
      <c r="T9929" s="261"/>
    </row>
    <row r="9930" spans="2:20" x14ac:dyDescent="0.2">
      <c r="B9930" s="245"/>
      <c r="C9930" s="248"/>
      <c r="D9930" s="249"/>
      <c r="E9930" s="249"/>
      <c r="T9930" s="261"/>
    </row>
    <row r="9931" spans="2:20" x14ac:dyDescent="0.2">
      <c r="B9931" s="245"/>
      <c r="C9931" s="248"/>
      <c r="D9931" s="249"/>
      <c r="E9931" s="249"/>
      <c r="T9931" s="261"/>
    </row>
    <row r="9932" spans="2:20" x14ac:dyDescent="0.2">
      <c r="B9932" s="245"/>
      <c r="C9932" s="248"/>
      <c r="D9932" s="249"/>
      <c r="E9932" s="249"/>
      <c r="T9932" s="261"/>
    </row>
    <row r="9933" spans="2:20" x14ac:dyDescent="0.2">
      <c r="B9933" s="245"/>
      <c r="C9933" s="248"/>
      <c r="D9933" s="249"/>
      <c r="E9933" s="249"/>
      <c r="T9933" s="261"/>
    </row>
    <row r="9934" spans="2:20" x14ac:dyDescent="0.2">
      <c r="B9934" s="245"/>
      <c r="C9934" s="248"/>
      <c r="D9934" s="249"/>
      <c r="E9934" s="249"/>
      <c r="T9934" s="261"/>
    </row>
    <row r="9935" spans="2:20" x14ac:dyDescent="0.2">
      <c r="B9935" s="245"/>
      <c r="C9935" s="248"/>
      <c r="D9935" s="249"/>
      <c r="E9935" s="249"/>
      <c r="T9935" s="261"/>
    </row>
    <row r="9936" spans="2:20" x14ac:dyDescent="0.2">
      <c r="B9936" s="245"/>
      <c r="C9936" s="248"/>
      <c r="D9936" s="249"/>
      <c r="E9936" s="249"/>
      <c r="T9936" s="261"/>
    </row>
    <row r="9937" spans="2:20" x14ac:dyDescent="0.2">
      <c r="B9937" s="245"/>
      <c r="C9937" s="248"/>
      <c r="D9937" s="249"/>
      <c r="E9937" s="249"/>
      <c r="T9937" s="261"/>
    </row>
    <row r="9938" spans="2:20" x14ac:dyDescent="0.2">
      <c r="B9938" s="245"/>
      <c r="C9938" s="248"/>
      <c r="D9938" s="249"/>
      <c r="E9938" s="249"/>
      <c r="T9938" s="261"/>
    </row>
    <row r="9939" spans="2:20" x14ac:dyDescent="0.2">
      <c r="B9939" s="245"/>
      <c r="C9939" s="248"/>
      <c r="D9939" s="249"/>
      <c r="E9939" s="249"/>
      <c r="T9939" s="261"/>
    </row>
    <row r="9940" spans="2:20" x14ac:dyDescent="0.2">
      <c r="B9940" s="245"/>
      <c r="C9940" s="248"/>
      <c r="D9940" s="249"/>
      <c r="E9940" s="249"/>
      <c r="T9940" s="261"/>
    </row>
    <row r="9941" spans="2:20" x14ac:dyDescent="0.2">
      <c r="B9941" s="245"/>
      <c r="C9941" s="248"/>
      <c r="D9941" s="249"/>
      <c r="E9941" s="249"/>
      <c r="T9941" s="261"/>
    </row>
    <row r="9942" spans="2:20" x14ac:dyDescent="0.2">
      <c r="B9942" s="245"/>
      <c r="C9942" s="248"/>
      <c r="D9942" s="249"/>
      <c r="E9942" s="249"/>
      <c r="T9942" s="261"/>
    </row>
    <row r="9943" spans="2:20" x14ac:dyDescent="0.2">
      <c r="B9943" s="245"/>
      <c r="C9943" s="248"/>
      <c r="D9943" s="249"/>
      <c r="E9943" s="249"/>
      <c r="T9943" s="261"/>
    </row>
    <row r="9944" spans="2:20" x14ac:dyDescent="0.2">
      <c r="B9944" s="245"/>
      <c r="C9944" s="248"/>
      <c r="D9944" s="249"/>
      <c r="E9944" s="249"/>
      <c r="T9944" s="261"/>
    </row>
    <row r="9945" spans="2:20" x14ac:dyDescent="0.2">
      <c r="B9945" s="245"/>
      <c r="C9945" s="248"/>
      <c r="D9945" s="249"/>
      <c r="E9945" s="249"/>
      <c r="T9945" s="261"/>
    </row>
    <row r="9946" spans="2:20" x14ac:dyDescent="0.2">
      <c r="B9946" s="245"/>
      <c r="C9946" s="248"/>
      <c r="D9946" s="249"/>
      <c r="E9946" s="249"/>
      <c r="T9946" s="261"/>
    </row>
    <row r="9947" spans="2:20" x14ac:dyDescent="0.2">
      <c r="B9947" s="245"/>
      <c r="C9947" s="248"/>
      <c r="D9947" s="249"/>
      <c r="E9947" s="249"/>
      <c r="T9947" s="261"/>
    </row>
    <row r="9948" spans="2:20" x14ac:dyDescent="0.2">
      <c r="B9948" s="245"/>
      <c r="C9948" s="248"/>
      <c r="D9948" s="249"/>
      <c r="E9948" s="249"/>
      <c r="T9948" s="261"/>
    </row>
    <row r="9949" spans="2:20" x14ac:dyDescent="0.2">
      <c r="B9949" s="245"/>
      <c r="C9949" s="248"/>
      <c r="D9949" s="249"/>
      <c r="E9949" s="249"/>
      <c r="T9949" s="261"/>
    </row>
    <row r="9950" spans="2:20" x14ac:dyDescent="0.2">
      <c r="B9950" s="245"/>
      <c r="C9950" s="248"/>
      <c r="D9950" s="249"/>
      <c r="E9950" s="249"/>
      <c r="T9950" s="261"/>
    </row>
    <row r="9951" spans="2:20" x14ac:dyDescent="0.2">
      <c r="B9951" s="245"/>
      <c r="C9951" s="248"/>
      <c r="D9951" s="249"/>
      <c r="E9951" s="249"/>
      <c r="T9951" s="261"/>
    </row>
    <row r="9952" spans="2:20" x14ac:dyDescent="0.2">
      <c r="B9952" s="245"/>
      <c r="C9952" s="248"/>
      <c r="D9952" s="249"/>
      <c r="E9952" s="249"/>
      <c r="T9952" s="261"/>
    </row>
    <row r="9953" spans="2:20" x14ac:dyDescent="0.2">
      <c r="B9953" s="245"/>
      <c r="C9953" s="248"/>
      <c r="D9953" s="249"/>
      <c r="E9953" s="249"/>
      <c r="T9953" s="261"/>
    </row>
    <row r="9954" spans="2:20" x14ac:dyDescent="0.2">
      <c r="B9954" s="245"/>
      <c r="C9954" s="248"/>
      <c r="D9954" s="249"/>
      <c r="E9954" s="249"/>
      <c r="T9954" s="261"/>
    </row>
    <row r="9955" spans="2:20" x14ac:dyDescent="0.2">
      <c r="B9955" s="245"/>
      <c r="C9955" s="248"/>
      <c r="D9955" s="249"/>
      <c r="E9955" s="249"/>
      <c r="T9955" s="261"/>
    </row>
    <row r="9956" spans="2:20" x14ac:dyDescent="0.2">
      <c r="B9956" s="245"/>
      <c r="C9956" s="248"/>
      <c r="D9956" s="249"/>
      <c r="E9956" s="249"/>
      <c r="T9956" s="261"/>
    </row>
    <row r="9957" spans="2:20" x14ac:dyDescent="0.2">
      <c r="B9957" s="245"/>
      <c r="C9957" s="248"/>
      <c r="D9957" s="249"/>
      <c r="E9957" s="249"/>
      <c r="T9957" s="261"/>
    </row>
    <row r="9958" spans="2:20" x14ac:dyDescent="0.2">
      <c r="B9958" s="245"/>
      <c r="C9958" s="248"/>
      <c r="D9958" s="249"/>
      <c r="E9958" s="249"/>
      <c r="T9958" s="261"/>
    </row>
    <row r="9959" spans="2:20" x14ac:dyDescent="0.2">
      <c r="B9959" s="245"/>
      <c r="C9959" s="248"/>
      <c r="D9959" s="249"/>
      <c r="E9959" s="249"/>
      <c r="T9959" s="261"/>
    </row>
    <row r="9960" spans="2:20" x14ac:dyDescent="0.2">
      <c r="B9960" s="245"/>
      <c r="C9960" s="248"/>
      <c r="D9960" s="249"/>
      <c r="E9960" s="249"/>
      <c r="T9960" s="261"/>
    </row>
    <row r="9961" spans="2:20" x14ac:dyDescent="0.2">
      <c r="B9961" s="245"/>
      <c r="C9961" s="248"/>
      <c r="D9961" s="249"/>
      <c r="E9961" s="249"/>
      <c r="T9961" s="261"/>
    </row>
    <row r="9962" spans="2:20" x14ac:dyDescent="0.2">
      <c r="B9962" s="245"/>
      <c r="C9962" s="248"/>
      <c r="D9962" s="249"/>
      <c r="E9962" s="249"/>
      <c r="T9962" s="261"/>
    </row>
    <row r="9963" spans="2:20" x14ac:dyDescent="0.2">
      <c r="B9963" s="245"/>
      <c r="C9963" s="248"/>
      <c r="D9963" s="249"/>
      <c r="E9963" s="249"/>
      <c r="T9963" s="261"/>
    </row>
    <row r="9964" spans="2:20" x14ac:dyDescent="0.2">
      <c r="B9964" s="245"/>
      <c r="C9964" s="248"/>
      <c r="D9964" s="249"/>
      <c r="E9964" s="249"/>
      <c r="T9964" s="261"/>
    </row>
    <row r="9965" spans="2:20" x14ac:dyDescent="0.2">
      <c r="B9965" s="245"/>
      <c r="C9965" s="248"/>
      <c r="D9965" s="249"/>
      <c r="E9965" s="249"/>
      <c r="T9965" s="261"/>
    </row>
    <row r="9966" spans="2:20" x14ac:dyDescent="0.2">
      <c r="B9966" s="245"/>
      <c r="C9966" s="248"/>
      <c r="D9966" s="249"/>
      <c r="E9966" s="249"/>
      <c r="T9966" s="261"/>
    </row>
    <row r="9967" spans="2:20" x14ac:dyDescent="0.2">
      <c r="B9967" s="245"/>
      <c r="C9967" s="248"/>
      <c r="D9967" s="249"/>
      <c r="E9967" s="249"/>
      <c r="T9967" s="261"/>
    </row>
    <row r="9968" spans="2:20" x14ac:dyDescent="0.2">
      <c r="B9968" s="245"/>
      <c r="C9968" s="248"/>
      <c r="D9968" s="249"/>
      <c r="E9968" s="249"/>
      <c r="T9968" s="261"/>
    </row>
    <row r="9969" spans="2:20" x14ac:dyDescent="0.2">
      <c r="B9969" s="245"/>
      <c r="C9969" s="248"/>
      <c r="D9969" s="249"/>
      <c r="E9969" s="249"/>
      <c r="T9969" s="261"/>
    </row>
    <row r="9970" spans="2:20" x14ac:dyDescent="0.2">
      <c r="B9970" s="245"/>
      <c r="C9970" s="248"/>
      <c r="D9970" s="249"/>
      <c r="E9970" s="249"/>
      <c r="T9970" s="261"/>
    </row>
    <row r="9971" spans="2:20" x14ac:dyDescent="0.2">
      <c r="B9971" s="245"/>
      <c r="C9971" s="248"/>
      <c r="D9971" s="249"/>
      <c r="E9971" s="249"/>
      <c r="T9971" s="261"/>
    </row>
    <row r="9972" spans="2:20" x14ac:dyDescent="0.2">
      <c r="B9972" s="245"/>
      <c r="C9972" s="248"/>
      <c r="D9972" s="249"/>
      <c r="E9972" s="249"/>
      <c r="T9972" s="261"/>
    </row>
    <row r="9973" spans="2:20" x14ac:dyDescent="0.2">
      <c r="B9973" s="245"/>
      <c r="C9973" s="248"/>
      <c r="D9973" s="249"/>
      <c r="E9973" s="249"/>
      <c r="T9973" s="261"/>
    </row>
    <row r="9974" spans="2:20" x14ac:dyDescent="0.2">
      <c r="B9974" s="245"/>
      <c r="C9974" s="248"/>
      <c r="D9974" s="249"/>
      <c r="E9974" s="249"/>
      <c r="T9974" s="261"/>
    </row>
    <row r="9975" spans="2:20" x14ac:dyDescent="0.2">
      <c r="B9975" s="245"/>
      <c r="C9975" s="248"/>
      <c r="D9975" s="249"/>
      <c r="E9975" s="249"/>
      <c r="T9975" s="261"/>
    </row>
    <row r="9976" spans="2:20" x14ac:dyDescent="0.2">
      <c r="B9976" s="245"/>
      <c r="C9976" s="248"/>
      <c r="D9976" s="249"/>
      <c r="E9976" s="249"/>
      <c r="T9976" s="261"/>
    </row>
    <row r="9977" spans="2:20" x14ac:dyDescent="0.2">
      <c r="B9977" s="245"/>
      <c r="C9977" s="248"/>
      <c r="D9977" s="249"/>
      <c r="E9977" s="249"/>
      <c r="T9977" s="261"/>
    </row>
    <row r="9978" spans="2:20" x14ac:dyDescent="0.2">
      <c r="B9978" s="245"/>
      <c r="C9978" s="248"/>
      <c r="D9978" s="249"/>
      <c r="E9978" s="249"/>
      <c r="T9978" s="261"/>
    </row>
    <row r="9979" spans="2:20" x14ac:dyDescent="0.2">
      <c r="B9979" s="245"/>
      <c r="C9979" s="248"/>
      <c r="D9979" s="249"/>
      <c r="E9979" s="249"/>
      <c r="T9979" s="261"/>
    </row>
    <row r="9980" spans="2:20" x14ac:dyDescent="0.2">
      <c r="B9980" s="245"/>
      <c r="C9980" s="248"/>
      <c r="D9980" s="249"/>
      <c r="E9980" s="249"/>
      <c r="T9980" s="261"/>
    </row>
    <row r="9981" spans="2:20" x14ac:dyDescent="0.2">
      <c r="B9981" s="245"/>
      <c r="C9981" s="248"/>
      <c r="D9981" s="249"/>
      <c r="E9981" s="249"/>
      <c r="T9981" s="261"/>
    </row>
    <row r="9982" spans="2:20" x14ac:dyDescent="0.2">
      <c r="B9982" s="245"/>
      <c r="C9982" s="248"/>
      <c r="D9982" s="249"/>
      <c r="E9982" s="249"/>
      <c r="T9982" s="261"/>
    </row>
    <row r="9983" spans="2:20" x14ac:dyDescent="0.2">
      <c r="B9983" s="245"/>
      <c r="C9983" s="248"/>
      <c r="D9983" s="249"/>
      <c r="E9983" s="249"/>
      <c r="T9983" s="261"/>
    </row>
    <row r="9984" spans="2:20" x14ac:dyDescent="0.2">
      <c r="B9984" s="245"/>
      <c r="C9984" s="248"/>
      <c r="D9984" s="249"/>
      <c r="E9984" s="249"/>
      <c r="T9984" s="261"/>
    </row>
    <row r="9985" spans="2:20" x14ac:dyDescent="0.2">
      <c r="B9985" s="245"/>
      <c r="C9985" s="248"/>
      <c r="D9985" s="249"/>
      <c r="E9985" s="249"/>
      <c r="T9985" s="261"/>
    </row>
    <row r="9986" spans="2:20" x14ac:dyDescent="0.2">
      <c r="B9986" s="245"/>
      <c r="C9986" s="248"/>
      <c r="D9986" s="249"/>
      <c r="E9986" s="249"/>
      <c r="T9986" s="261"/>
    </row>
    <row r="9987" spans="2:20" x14ac:dyDescent="0.2">
      <c r="B9987" s="245"/>
      <c r="C9987" s="248"/>
      <c r="D9987" s="249"/>
      <c r="E9987" s="249"/>
      <c r="T9987" s="261"/>
    </row>
    <row r="9988" spans="2:20" x14ac:dyDescent="0.2">
      <c r="B9988" s="245"/>
      <c r="C9988" s="248"/>
      <c r="D9988" s="249"/>
      <c r="E9988" s="249"/>
      <c r="T9988" s="261"/>
    </row>
    <row r="9989" spans="2:20" x14ac:dyDescent="0.2">
      <c r="B9989" s="245"/>
      <c r="C9989" s="248"/>
      <c r="D9989" s="249"/>
      <c r="E9989" s="249"/>
      <c r="T9989" s="261"/>
    </row>
    <row r="9990" spans="2:20" x14ac:dyDescent="0.2">
      <c r="B9990" s="245"/>
      <c r="C9990" s="248"/>
      <c r="D9990" s="249"/>
      <c r="E9990" s="249"/>
      <c r="T9990" s="261"/>
    </row>
    <row r="9991" spans="2:20" x14ac:dyDescent="0.2">
      <c r="B9991" s="245"/>
      <c r="C9991" s="248"/>
      <c r="D9991" s="249"/>
      <c r="E9991" s="249"/>
      <c r="T9991" s="261"/>
    </row>
    <row r="9992" spans="2:20" x14ac:dyDescent="0.2">
      <c r="B9992" s="245"/>
      <c r="C9992" s="248"/>
      <c r="D9992" s="249"/>
      <c r="E9992" s="249"/>
      <c r="T9992" s="261"/>
    </row>
    <row r="9993" spans="2:20" x14ac:dyDescent="0.2">
      <c r="B9993" s="245"/>
      <c r="C9993" s="248"/>
      <c r="D9993" s="249"/>
      <c r="E9993" s="249"/>
      <c r="T9993" s="261"/>
    </row>
    <row r="9994" spans="2:20" x14ac:dyDescent="0.2">
      <c r="B9994" s="245"/>
      <c r="C9994" s="248"/>
      <c r="D9994" s="249"/>
      <c r="E9994" s="249"/>
      <c r="T9994" s="261"/>
    </row>
    <row r="9995" spans="2:20" x14ac:dyDescent="0.2">
      <c r="B9995" s="245"/>
      <c r="C9995" s="248"/>
      <c r="D9995" s="249"/>
      <c r="E9995" s="249"/>
      <c r="T9995" s="261"/>
    </row>
    <row r="9996" spans="2:20" x14ac:dyDescent="0.2">
      <c r="B9996" s="245"/>
      <c r="C9996" s="248"/>
      <c r="D9996" s="249"/>
      <c r="E9996" s="249"/>
      <c r="T9996" s="261"/>
    </row>
    <row r="9997" spans="2:20" x14ac:dyDescent="0.2">
      <c r="B9997" s="245"/>
      <c r="C9997" s="248"/>
      <c r="D9997" s="249"/>
      <c r="E9997" s="249"/>
      <c r="T9997" s="261"/>
    </row>
    <row r="9998" spans="2:20" x14ac:dyDescent="0.2">
      <c r="B9998" s="245"/>
      <c r="C9998" s="248"/>
      <c r="D9998" s="249"/>
      <c r="E9998" s="249"/>
      <c r="T9998" s="261"/>
    </row>
    <row r="9999" spans="2:20" x14ac:dyDescent="0.2">
      <c r="B9999" s="245"/>
      <c r="C9999" s="248"/>
      <c r="D9999" s="249"/>
      <c r="E9999" s="249"/>
      <c r="T9999" s="261"/>
    </row>
    <row r="10000" spans="2:20" x14ac:dyDescent="0.2">
      <c r="B10000" s="245"/>
      <c r="C10000" s="248"/>
      <c r="D10000" s="249"/>
      <c r="E10000" s="249"/>
      <c r="T10000" s="261"/>
    </row>
    <row r="10001" spans="2:20" x14ac:dyDescent="0.2">
      <c r="B10001" s="245"/>
      <c r="C10001" s="248"/>
      <c r="D10001" s="249"/>
      <c r="E10001" s="249"/>
      <c r="T10001" s="261"/>
    </row>
    <row r="10002" spans="2:20" x14ac:dyDescent="0.2">
      <c r="B10002" s="245"/>
      <c r="C10002" s="248"/>
      <c r="D10002" s="249"/>
      <c r="E10002" s="249"/>
      <c r="T10002" s="261"/>
    </row>
    <row r="10003" spans="2:20" x14ac:dyDescent="0.2">
      <c r="B10003" s="245"/>
      <c r="C10003" s="248"/>
      <c r="D10003" s="249"/>
      <c r="E10003" s="249"/>
      <c r="T10003" s="261"/>
    </row>
    <row r="10004" spans="2:20" x14ac:dyDescent="0.2">
      <c r="B10004" s="245"/>
      <c r="C10004" s="248"/>
      <c r="D10004" s="249"/>
      <c r="E10004" s="249"/>
      <c r="T10004" s="261"/>
    </row>
    <row r="10005" spans="2:20" x14ac:dyDescent="0.2">
      <c r="B10005" s="245"/>
      <c r="C10005" s="248"/>
      <c r="D10005" s="249"/>
      <c r="E10005" s="249"/>
      <c r="T10005" s="261"/>
    </row>
    <row r="10006" spans="2:20" x14ac:dyDescent="0.2">
      <c r="B10006" s="245"/>
      <c r="C10006" s="248"/>
      <c r="D10006" s="249"/>
      <c r="E10006" s="249"/>
      <c r="T10006" s="261"/>
    </row>
    <row r="10007" spans="2:20" x14ac:dyDescent="0.2">
      <c r="B10007" s="245"/>
      <c r="C10007" s="248"/>
      <c r="D10007" s="249"/>
      <c r="E10007" s="249"/>
      <c r="T10007" s="261"/>
    </row>
    <row r="10008" spans="2:20" x14ac:dyDescent="0.2">
      <c r="B10008" s="245"/>
      <c r="C10008" s="248"/>
      <c r="D10008" s="249"/>
      <c r="E10008" s="249"/>
      <c r="T10008" s="261"/>
    </row>
    <row r="10009" spans="2:20" x14ac:dyDescent="0.2">
      <c r="B10009" s="245"/>
      <c r="C10009" s="248"/>
      <c r="D10009" s="249"/>
      <c r="E10009" s="249"/>
      <c r="T10009" s="261"/>
    </row>
    <row r="10010" spans="2:20" x14ac:dyDescent="0.2">
      <c r="B10010" s="245"/>
      <c r="C10010" s="248"/>
      <c r="D10010" s="249"/>
      <c r="E10010" s="249"/>
      <c r="T10010" s="261"/>
    </row>
    <row r="10011" spans="2:20" x14ac:dyDescent="0.2">
      <c r="B10011" s="245"/>
      <c r="C10011" s="248"/>
      <c r="D10011" s="249"/>
      <c r="E10011" s="249"/>
      <c r="T10011" s="261"/>
    </row>
    <row r="10012" spans="2:20" x14ac:dyDescent="0.2">
      <c r="B10012" s="245"/>
      <c r="C10012" s="248"/>
      <c r="D10012" s="249"/>
      <c r="E10012" s="249"/>
      <c r="T10012" s="261"/>
    </row>
    <row r="10013" spans="2:20" x14ac:dyDescent="0.2">
      <c r="B10013" s="245"/>
      <c r="C10013" s="248"/>
      <c r="D10013" s="249"/>
      <c r="E10013" s="249"/>
      <c r="T10013" s="261"/>
    </row>
    <row r="10014" spans="2:20" x14ac:dyDescent="0.2">
      <c r="B10014" s="245"/>
      <c r="C10014" s="248"/>
      <c r="D10014" s="249"/>
      <c r="E10014" s="249"/>
      <c r="T10014" s="261"/>
    </row>
    <row r="10015" spans="2:20" x14ac:dyDescent="0.2">
      <c r="B10015" s="245"/>
      <c r="C10015" s="248"/>
      <c r="D10015" s="249"/>
      <c r="E10015" s="249"/>
      <c r="T10015" s="261"/>
    </row>
    <row r="10016" spans="2:20" x14ac:dyDescent="0.2">
      <c r="B10016" s="245"/>
      <c r="C10016" s="248"/>
      <c r="D10016" s="249"/>
      <c r="E10016" s="249"/>
      <c r="T10016" s="261"/>
    </row>
    <row r="10017" spans="2:20" x14ac:dyDescent="0.2">
      <c r="B10017" s="245"/>
      <c r="C10017" s="248"/>
      <c r="D10017" s="249"/>
      <c r="E10017" s="249"/>
      <c r="T10017" s="261"/>
    </row>
    <row r="10018" spans="2:20" x14ac:dyDescent="0.2">
      <c r="B10018" s="245"/>
      <c r="C10018" s="248"/>
      <c r="D10018" s="249"/>
      <c r="E10018" s="249"/>
      <c r="T10018" s="261"/>
    </row>
    <row r="10019" spans="2:20" x14ac:dyDescent="0.2">
      <c r="B10019" s="245"/>
      <c r="C10019" s="248"/>
      <c r="D10019" s="249"/>
      <c r="E10019" s="249"/>
      <c r="T10019" s="261"/>
    </row>
    <row r="10020" spans="2:20" x14ac:dyDescent="0.2">
      <c r="B10020" s="245"/>
      <c r="C10020" s="248"/>
      <c r="D10020" s="249"/>
      <c r="E10020" s="249"/>
      <c r="T10020" s="261"/>
    </row>
    <row r="10021" spans="2:20" x14ac:dyDescent="0.2">
      <c r="B10021" s="245"/>
      <c r="C10021" s="248"/>
      <c r="D10021" s="249"/>
      <c r="E10021" s="249"/>
      <c r="T10021" s="261"/>
    </row>
    <row r="10022" spans="2:20" x14ac:dyDescent="0.2">
      <c r="B10022" s="245"/>
      <c r="C10022" s="248"/>
      <c r="D10022" s="249"/>
      <c r="E10022" s="249"/>
      <c r="T10022" s="261"/>
    </row>
    <row r="10023" spans="2:20" x14ac:dyDescent="0.2">
      <c r="B10023" s="245"/>
      <c r="C10023" s="248"/>
      <c r="D10023" s="249"/>
      <c r="E10023" s="249"/>
      <c r="T10023" s="261"/>
    </row>
    <row r="10024" spans="2:20" x14ac:dyDescent="0.2">
      <c r="B10024" s="245"/>
      <c r="C10024" s="248"/>
      <c r="D10024" s="249"/>
      <c r="E10024" s="249"/>
      <c r="T10024" s="261"/>
    </row>
    <row r="10025" spans="2:20" x14ac:dyDescent="0.2">
      <c r="B10025" s="245"/>
      <c r="C10025" s="248"/>
      <c r="D10025" s="249"/>
      <c r="E10025" s="249"/>
      <c r="T10025" s="261"/>
    </row>
    <row r="10026" spans="2:20" x14ac:dyDescent="0.2">
      <c r="B10026" s="245"/>
      <c r="C10026" s="248"/>
      <c r="D10026" s="249"/>
      <c r="E10026" s="249"/>
      <c r="T10026" s="261"/>
    </row>
    <row r="10027" spans="2:20" x14ac:dyDescent="0.2">
      <c r="B10027" s="245"/>
      <c r="C10027" s="248"/>
      <c r="D10027" s="249"/>
      <c r="E10027" s="249"/>
      <c r="T10027" s="261"/>
    </row>
    <row r="10028" spans="2:20" x14ac:dyDescent="0.2">
      <c r="B10028" s="245"/>
      <c r="C10028" s="248"/>
      <c r="D10028" s="249"/>
      <c r="E10028" s="249"/>
      <c r="T10028" s="261"/>
    </row>
    <row r="10029" spans="2:20" x14ac:dyDescent="0.2">
      <c r="B10029" s="245"/>
      <c r="C10029" s="248"/>
      <c r="D10029" s="249"/>
      <c r="E10029" s="249"/>
      <c r="T10029" s="261"/>
    </row>
    <row r="10030" spans="2:20" x14ac:dyDescent="0.2">
      <c r="B10030" s="245"/>
      <c r="C10030" s="248"/>
      <c r="D10030" s="249"/>
      <c r="E10030" s="249"/>
      <c r="T10030" s="261"/>
    </row>
    <row r="10031" spans="2:20" x14ac:dyDescent="0.2">
      <c r="B10031" s="245"/>
      <c r="C10031" s="248"/>
      <c r="D10031" s="249"/>
      <c r="E10031" s="249"/>
      <c r="T10031" s="261"/>
    </row>
    <row r="10032" spans="2:20" x14ac:dyDescent="0.2">
      <c r="B10032" s="245"/>
      <c r="C10032" s="248"/>
      <c r="D10032" s="249"/>
      <c r="E10032" s="249"/>
      <c r="T10032" s="261"/>
    </row>
    <row r="10033" spans="2:20" x14ac:dyDescent="0.2">
      <c r="B10033" s="245"/>
      <c r="C10033" s="248"/>
      <c r="D10033" s="249"/>
      <c r="E10033" s="249"/>
      <c r="T10033" s="261"/>
    </row>
    <row r="10034" spans="2:20" x14ac:dyDescent="0.2">
      <c r="B10034" s="245"/>
      <c r="C10034" s="248"/>
      <c r="D10034" s="249"/>
      <c r="E10034" s="249"/>
      <c r="T10034" s="261"/>
    </row>
    <row r="10035" spans="2:20" x14ac:dyDescent="0.2">
      <c r="B10035" s="245"/>
      <c r="C10035" s="248"/>
      <c r="D10035" s="249"/>
      <c r="E10035" s="249"/>
      <c r="T10035" s="261"/>
    </row>
    <row r="10036" spans="2:20" x14ac:dyDescent="0.2">
      <c r="B10036" s="245"/>
      <c r="C10036" s="248"/>
      <c r="D10036" s="249"/>
      <c r="E10036" s="249"/>
      <c r="T10036" s="261"/>
    </row>
    <row r="10037" spans="2:20" x14ac:dyDescent="0.2">
      <c r="B10037" s="245"/>
      <c r="C10037" s="248"/>
      <c r="D10037" s="249"/>
      <c r="E10037" s="249"/>
      <c r="T10037" s="261"/>
    </row>
    <row r="10038" spans="2:20" x14ac:dyDescent="0.2">
      <c r="B10038" s="245"/>
      <c r="C10038" s="248"/>
      <c r="D10038" s="249"/>
      <c r="E10038" s="249"/>
      <c r="T10038" s="261"/>
    </row>
    <row r="10039" spans="2:20" x14ac:dyDescent="0.2">
      <c r="B10039" s="245"/>
      <c r="C10039" s="248"/>
      <c r="D10039" s="249"/>
      <c r="E10039" s="249"/>
      <c r="T10039" s="261"/>
    </row>
    <row r="10040" spans="2:20" x14ac:dyDescent="0.2">
      <c r="B10040" s="245"/>
      <c r="C10040" s="248"/>
      <c r="D10040" s="249"/>
      <c r="E10040" s="249"/>
      <c r="T10040" s="261"/>
    </row>
    <row r="10041" spans="2:20" x14ac:dyDescent="0.2">
      <c r="B10041" s="245"/>
      <c r="C10041" s="248"/>
      <c r="D10041" s="249"/>
      <c r="E10041" s="249"/>
      <c r="T10041" s="261"/>
    </row>
    <row r="10042" spans="2:20" x14ac:dyDescent="0.2">
      <c r="B10042" s="245"/>
      <c r="C10042" s="248"/>
      <c r="D10042" s="249"/>
      <c r="E10042" s="249"/>
      <c r="T10042" s="261"/>
    </row>
    <row r="10043" spans="2:20" x14ac:dyDescent="0.2">
      <c r="B10043" s="245"/>
      <c r="C10043" s="248"/>
      <c r="D10043" s="249"/>
      <c r="E10043" s="249"/>
      <c r="T10043" s="261"/>
    </row>
    <row r="10044" spans="2:20" x14ac:dyDescent="0.2">
      <c r="B10044" s="245"/>
      <c r="C10044" s="248"/>
      <c r="D10044" s="249"/>
      <c r="E10044" s="249"/>
      <c r="T10044" s="261"/>
    </row>
    <row r="10045" spans="2:20" x14ac:dyDescent="0.2">
      <c r="B10045" s="245"/>
      <c r="C10045" s="248"/>
      <c r="D10045" s="249"/>
      <c r="E10045" s="249"/>
      <c r="T10045" s="261"/>
    </row>
    <row r="10046" spans="2:20" x14ac:dyDescent="0.2">
      <c r="B10046" s="245"/>
      <c r="C10046" s="248"/>
      <c r="D10046" s="249"/>
      <c r="E10046" s="249"/>
      <c r="T10046" s="261"/>
    </row>
    <row r="10047" spans="2:20" x14ac:dyDescent="0.2">
      <c r="B10047" s="245"/>
      <c r="C10047" s="248"/>
      <c r="D10047" s="249"/>
      <c r="E10047" s="249"/>
      <c r="T10047" s="261"/>
    </row>
    <row r="10048" spans="2:20" x14ac:dyDescent="0.2">
      <c r="B10048" s="245"/>
      <c r="C10048" s="248"/>
      <c r="D10048" s="249"/>
      <c r="E10048" s="249"/>
      <c r="T10048" s="261"/>
    </row>
    <row r="10049" spans="2:20" x14ac:dyDescent="0.2">
      <c r="B10049" s="245"/>
      <c r="C10049" s="248"/>
      <c r="D10049" s="249"/>
      <c r="E10049" s="249"/>
      <c r="T10049" s="261"/>
    </row>
    <row r="10050" spans="2:20" x14ac:dyDescent="0.2">
      <c r="B10050" s="245"/>
      <c r="C10050" s="248"/>
      <c r="D10050" s="249"/>
      <c r="E10050" s="249"/>
      <c r="T10050" s="261"/>
    </row>
    <row r="10051" spans="2:20" x14ac:dyDescent="0.2">
      <c r="B10051" s="245"/>
      <c r="C10051" s="248"/>
      <c r="D10051" s="249"/>
      <c r="E10051" s="249"/>
      <c r="T10051" s="261"/>
    </row>
    <row r="10052" spans="2:20" x14ac:dyDescent="0.2">
      <c r="B10052" s="245"/>
      <c r="C10052" s="248"/>
      <c r="D10052" s="249"/>
      <c r="E10052" s="249"/>
      <c r="T10052" s="261"/>
    </row>
    <row r="10053" spans="2:20" x14ac:dyDescent="0.2">
      <c r="B10053" s="245"/>
      <c r="C10053" s="248"/>
      <c r="D10053" s="249"/>
      <c r="E10053" s="249"/>
      <c r="T10053" s="261"/>
    </row>
    <row r="10054" spans="2:20" x14ac:dyDescent="0.2">
      <c r="B10054" s="245"/>
      <c r="C10054" s="248"/>
      <c r="D10054" s="249"/>
      <c r="E10054" s="249"/>
      <c r="T10054" s="261"/>
    </row>
    <row r="10055" spans="2:20" x14ac:dyDescent="0.2">
      <c r="B10055" s="245"/>
      <c r="C10055" s="248"/>
      <c r="D10055" s="249"/>
      <c r="E10055" s="249"/>
      <c r="T10055" s="261"/>
    </row>
    <row r="10056" spans="2:20" x14ac:dyDescent="0.2">
      <c r="B10056" s="245"/>
      <c r="C10056" s="248"/>
      <c r="D10056" s="249"/>
      <c r="E10056" s="249"/>
      <c r="T10056" s="261"/>
    </row>
    <row r="10057" spans="2:20" x14ac:dyDescent="0.2">
      <c r="B10057" s="245"/>
      <c r="C10057" s="248"/>
      <c r="D10057" s="249"/>
      <c r="E10057" s="249"/>
      <c r="T10057" s="261"/>
    </row>
    <row r="10058" spans="2:20" x14ac:dyDescent="0.2">
      <c r="B10058" s="245"/>
      <c r="C10058" s="248"/>
      <c r="D10058" s="249"/>
      <c r="E10058" s="249"/>
      <c r="T10058" s="261"/>
    </row>
    <row r="10059" spans="2:20" x14ac:dyDescent="0.2">
      <c r="B10059" s="245"/>
      <c r="C10059" s="248"/>
      <c r="D10059" s="249"/>
      <c r="E10059" s="249"/>
      <c r="T10059" s="261"/>
    </row>
    <row r="10060" spans="2:20" x14ac:dyDescent="0.2">
      <c r="B10060" s="245"/>
      <c r="C10060" s="248"/>
      <c r="D10060" s="249"/>
      <c r="E10060" s="249"/>
      <c r="T10060" s="261"/>
    </row>
    <row r="10061" spans="2:20" x14ac:dyDescent="0.2">
      <c r="B10061" s="245"/>
      <c r="C10061" s="248"/>
      <c r="D10061" s="249"/>
      <c r="E10061" s="249"/>
      <c r="T10061" s="261"/>
    </row>
    <row r="10062" spans="2:20" x14ac:dyDescent="0.2">
      <c r="B10062" s="245"/>
      <c r="C10062" s="248"/>
      <c r="D10062" s="249"/>
      <c r="E10062" s="249"/>
      <c r="T10062" s="261"/>
    </row>
    <row r="10063" spans="2:20" x14ac:dyDescent="0.2">
      <c r="B10063" s="245"/>
      <c r="C10063" s="248"/>
      <c r="D10063" s="249"/>
      <c r="E10063" s="249"/>
      <c r="T10063" s="261"/>
    </row>
    <row r="10064" spans="2:20" x14ac:dyDescent="0.2">
      <c r="B10064" s="245"/>
      <c r="C10064" s="248"/>
      <c r="D10064" s="249"/>
      <c r="E10064" s="249"/>
      <c r="T10064" s="261"/>
    </row>
    <row r="10065" spans="2:20" x14ac:dyDescent="0.2">
      <c r="B10065" s="245"/>
      <c r="C10065" s="248"/>
      <c r="D10065" s="249"/>
      <c r="E10065" s="249"/>
      <c r="T10065" s="261"/>
    </row>
    <row r="10066" spans="2:20" x14ac:dyDescent="0.2">
      <c r="B10066" s="245"/>
      <c r="C10066" s="248"/>
      <c r="D10066" s="249"/>
      <c r="E10066" s="249"/>
      <c r="T10066" s="261"/>
    </row>
    <row r="10067" spans="2:20" x14ac:dyDescent="0.2">
      <c r="B10067" s="245"/>
      <c r="C10067" s="248"/>
      <c r="D10067" s="249"/>
      <c r="E10067" s="249"/>
      <c r="T10067" s="261"/>
    </row>
    <row r="10068" spans="2:20" x14ac:dyDescent="0.2">
      <c r="B10068" s="245"/>
      <c r="C10068" s="248"/>
      <c r="D10068" s="249"/>
      <c r="E10068" s="249"/>
      <c r="T10068" s="261"/>
    </row>
    <row r="10069" spans="2:20" x14ac:dyDescent="0.2">
      <c r="B10069" s="245"/>
      <c r="C10069" s="248"/>
      <c r="D10069" s="249"/>
      <c r="E10069" s="249"/>
      <c r="T10069" s="261"/>
    </row>
    <row r="10070" spans="2:20" x14ac:dyDescent="0.2">
      <c r="B10070" s="245"/>
      <c r="C10070" s="248"/>
      <c r="D10070" s="249"/>
      <c r="E10070" s="249"/>
      <c r="T10070" s="261"/>
    </row>
    <row r="10071" spans="2:20" x14ac:dyDescent="0.2">
      <c r="B10071" s="245"/>
      <c r="C10071" s="248"/>
      <c r="D10071" s="249"/>
      <c r="E10071" s="249"/>
      <c r="T10071" s="261"/>
    </row>
    <row r="10072" spans="2:20" x14ac:dyDescent="0.2">
      <c r="B10072" s="245"/>
      <c r="C10072" s="248"/>
      <c r="D10072" s="249"/>
      <c r="E10072" s="249"/>
      <c r="T10072" s="261"/>
    </row>
    <row r="10073" spans="2:20" x14ac:dyDescent="0.2">
      <c r="B10073" s="245"/>
      <c r="C10073" s="248"/>
      <c r="D10073" s="249"/>
      <c r="E10073" s="249"/>
      <c r="T10073" s="261"/>
    </row>
    <row r="10074" spans="2:20" x14ac:dyDescent="0.2">
      <c r="B10074" s="245"/>
      <c r="C10074" s="248"/>
      <c r="D10074" s="249"/>
      <c r="E10074" s="249"/>
      <c r="T10074" s="261"/>
    </row>
    <row r="10075" spans="2:20" x14ac:dyDescent="0.2">
      <c r="B10075" s="245"/>
      <c r="C10075" s="248"/>
      <c r="D10075" s="249"/>
      <c r="E10075" s="249"/>
      <c r="T10075" s="261"/>
    </row>
    <row r="10076" spans="2:20" x14ac:dyDescent="0.2">
      <c r="B10076" s="245"/>
      <c r="C10076" s="248"/>
      <c r="D10076" s="249"/>
      <c r="E10076" s="249"/>
      <c r="T10076" s="261"/>
    </row>
    <row r="10077" spans="2:20" x14ac:dyDescent="0.2">
      <c r="B10077" s="245"/>
      <c r="C10077" s="248"/>
      <c r="D10077" s="249"/>
      <c r="E10077" s="249"/>
      <c r="T10077" s="261"/>
    </row>
    <row r="10078" spans="2:20" x14ac:dyDescent="0.2">
      <c r="B10078" s="245"/>
      <c r="C10078" s="248"/>
      <c r="D10078" s="249"/>
      <c r="E10078" s="249"/>
      <c r="T10078" s="261"/>
    </row>
    <row r="10079" spans="2:20" x14ac:dyDescent="0.2">
      <c r="B10079" s="245"/>
      <c r="C10079" s="248"/>
      <c r="D10079" s="249"/>
      <c r="E10079" s="249"/>
      <c r="T10079" s="261"/>
    </row>
    <row r="10080" spans="2:20" x14ac:dyDescent="0.2">
      <c r="B10080" s="245"/>
      <c r="C10080" s="248"/>
      <c r="D10080" s="249"/>
      <c r="E10080" s="249"/>
      <c r="T10080" s="261"/>
    </row>
    <row r="10081" spans="2:20" x14ac:dyDescent="0.2">
      <c r="B10081" s="245"/>
      <c r="C10081" s="248"/>
      <c r="D10081" s="249"/>
      <c r="E10081" s="249"/>
      <c r="T10081" s="261"/>
    </row>
    <row r="10082" spans="2:20" x14ac:dyDescent="0.2">
      <c r="B10082" s="245"/>
      <c r="C10082" s="248"/>
      <c r="D10082" s="249"/>
      <c r="E10082" s="249"/>
      <c r="T10082" s="261"/>
    </row>
    <row r="10083" spans="2:20" x14ac:dyDescent="0.2">
      <c r="B10083" s="245"/>
      <c r="C10083" s="248"/>
      <c r="D10083" s="249"/>
      <c r="E10083" s="249"/>
      <c r="T10083" s="261"/>
    </row>
    <row r="10084" spans="2:20" x14ac:dyDescent="0.2">
      <c r="B10084" s="245"/>
      <c r="C10084" s="248"/>
      <c r="D10084" s="249"/>
      <c r="E10084" s="249"/>
      <c r="T10084" s="261"/>
    </row>
    <row r="10085" spans="2:20" x14ac:dyDescent="0.2">
      <c r="B10085" s="245"/>
      <c r="C10085" s="248"/>
      <c r="D10085" s="249"/>
      <c r="E10085" s="249"/>
      <c r="T10085" s="261"/>
    </row>
    <row r="10086" spans="2:20" x14ac:dyDescent="0.2">
      <c r="B10086" s="245"/>
      <c r="C10086" s="248"/>
      <c r="D10086" s="249"/>
      <c r="E10086" s="249"/>
      <c r="T10086" s="261"/>
    </row>
    <row r="10087" spans="2:20" x14ac:dyDescent="0.2">
      <c r="B10087" s="245"/>
      <c r="C10087" s="248"/>
      <c r="D10087" s="249"/>
      <c r="E10087" s="249"/>
      <c r="T10087" s="261"/>
    </row>
    <row r="10088" spans="2:20" x14ac:dyDescent="0.2">
      <c r="B10088" s="245"/>
      <c r="C10088" s="248"/>
      <c r="D10088" s="249"/>
      <c r="E10088" s="249"/>
      <c r="T10088" s="261"/>
    </row>
    <row r="10089" spans="2:20" x14ac:dyDescent="0.2">
      <c r="B10089" s="245"/>
      <c r="C10089" s="248"/>
      <c r="D10089" s="249"/>
      <c r="E10089" s="249"/>
      <c r="T10089" s="261"/>
    </row>
    <row r="10090" spans="2:20" x14ac:dyDescent="0.2">
      <c r="B10090" s="245"/>
      <c r="C10090" s="248"/>
      <c r="D10090" s="249"/>
      <c r="E10090" s="249"/>
      <c r="T10090" s="261"/>
    </row>
    <row r="10091" spans="2:20" x14ac:dyDescent="0.2">
      <c r="B10091" s="245"/>
      <c r="C10091" s="248"/>
      <c r="D10091" s="249"/>
      <c r="E10091" s="249"/>
      <c r="T10091" s="261"/>
    </row>
    <row r="10092" spans="2:20" x14ac:dyDescent="0.2">
      <c r="B10092" s="245"/>
      <c r="C10092" s="248"/>
      <c r="D10092" s="249"/>
      <c r="E10092" s="249"/>
      <c r="T10092" s="261"/>
    </row>
    <row r="10093" spans="2:20" x14ac:dyDescent="0.2">
      <c r="B10093" s="245"/>
      <c r="C10093" s="248"/>
      <c r="D10093" s="249"/>
      <c r="E10093" s="249"/>
      <c r="T10093" s="261"/>
    </row>
    <row r="10094" spans="2:20" x14ac:dyDescent="0.2">
      <c r="B10094" s="245"/>
      <c r="C10094" s="248"/>
      <c r="D10094" s="249"/>
      <c r="E10094" s="249"/>
      <c r="T10094" s="261"/>
    </row>
    <row r="10095" spans="2:20" x14ac:dyDescent="0.2">
      <c r="B10095" s="245"/>
      <c r="C10095" s="248"/>
      <c r="D10095" s="249"/>
      <c r="E10095" s="249"/>
      <c r="T10095" s="261"/>
    </row>
    <row r="10096" spans="2:20" x14ac:dyDescent="0.2">
      <c r="B10096" s="245"/>
      <c r="C10096" s="248"/>
      <c r="D10096" s="249"/>
      <c r="E10096" s="249"/>
      <c r="T10096" s="261"/>
    </row>
    <row r="10097" spans="2:20" x14ac:dyDescent="0.2">
      <c r="B10097" s="245"/>
      <c r="C10097" s="248"/>
      <c r="D10097" s="249"/>
      <c r="E10097" s="249"/>
      <c r="T10097" s="261"/>
    </row>
    <row r="10098" spans="2:20" x14ac:dyDescent="0.2">
      <c r="B10098" s="245"/>
      <c r="C10098" s="248"/>
      <c r="D10098" s="249"/>
      <c r="E10098" s="249"/>
      <c r="T10098" s="261"/>
    </row>
    <row r="10099" spans="2:20" x14ac:dyDescent="0.2">
      <c r="B10099" s="245"/>
      <c r="C10099" s="248"/>
      <c r="D10099" s="249"/>
      <c r="E10099" s="249"/>
      <c r="T10099" s="261"/>
    </row>
    <row r="10100" spans="2:20" x14ac:dyDescent="0.2">
      <c r="B10100" s="245"/>
      <c r="C10100" s="248"/>
      <c r="D10100" s="249"/>
      <c r="E10100" s="249"/>
      <c r="T10100" s="261"/>
    </row>
    <row r="10101" spans="2:20" x14ac:dyDescent="0.2">
      <c r="B10101" s="245"/>
      <c r="C10101" s="248"/>
      <c r="D10101" s="249"/>
      <c r="E10101" s="249"/>
      <c r="T10101" s="261"/>
    </row>
    <row r="10102" spans="2:20" x14ac:dyDescent="0.2">
      <c r="B10102" s="245"/>
      <c r="C10102" s="248"/>
      <c r="D10102" s="249"/>
      <c r="E10102" s="249"/>
      <c r="T10102" s="261"/>
    </row>
    <row r="10103" spans="2:20" x14ac:dyDescent="0.2">
      <c r="B10103" s="245"/>
      <c r="C10103" s="248"/>
      <c r="D10103" s="249"/>
      <c r="E10103" s="249"/>
      <c r="T10103" s="261"/>
    </row>
    <row r="10104" spans="2:20" x14ac:dyDescent="0.2">
      <c r="B10104" s="245"/>
      <c r="C10104" s="248"/>
      <c r="D10104" s="249"/>
      <c r="E10104" s="249"/>
      <c r="T10104" s="261"/>
    </row>
    <row r="10105" spans="2:20" x14ac:dyDescent="0.2">
      <c r="B10105" s="245"/>
      <c r="C10105" s="248"/>
      <c r="D10105" s="249"/>
      <c r="E10105" s="249"/>
      <c r="T10105" s="261"/>
    </row>
    <row r="10106" spans="2:20" x14ac:dyDescent="0.2">
      <c r="B10106" s="245"/>
      <c r="C10106" s="248"/>
      <c r="D10106" s="249"/>
      <c r="E10106" s="249"/>
      <c r="T10106" s="261"/>
    </row>
    <row r="10107" spans="2:20" x14ac:dyDescent="0.2">
      <c r="B10107" s="245"/>
      <c r="C10107" s="248"/>
      <c r="D10107" s="249"/>
      <c r="E10107" s="249"/>
      <c r="T10107" s="261"/>
    </row>
    <row r="10108" spans="2:20" x14ac:dyDescent="0.2">
      <c r="B10108" s="245"/>
      <c r="C10108" s="248"/>
      <c r="D10108" s="249"/>
      <c r="E10108" s="249"/>
      <c r="T10108" s="261"/>
    </row>
    <row r="10109" spans="2:20" x14ac:dyDescent="0.2">
      <c r="B10109" s="245"/>
      <c r="C10109" s="248"/>
      <c r="D10109" s="249"/>
      <c r="E10109" s="249"/>
      <c r="T10109" s="261"/>
    </row>
    <row r="10110" spans="2:20" x14ac:dyDescent="0.2">
      <c r="B10110" s="245"/>
      <c r="C10110" s="248"/>
      <c r="D10110" s="249"/>
      <c r="E10110" s="249"/>
      <c r="T10110" s="261"/>
    </row>
    <row r="10111" spans="2:20" x14ac:dyDescent="0.2">
      <c r="B10111" s="245"/>
      <c r="C10111" s="248"/>
      <c r="D10111" s="249"/>
      <c r="E10111" s="249"/>
      <c r="T10111" s="261"/>
    </row>
    <row r="10112" spans="2:20" x14ac:dyDescent="0.2">
      <c r="B10112" s="245"/>
      <c r="C10112" s="248"/>
      <c r="D10112" s="249"/>
      <c r="E10112" s="249"/>
      <c r="T10112" s="261"/>
    </row>
    <row r="10113" spans="2:20" x14ac:dyDescent="0.2">
      <c r="B10113" s="245"/>
      <c r="C10113" s="248"/>
      <c r="D10113" s="249"/>
      <c r="E10113" s="249"/>
      <c r="T10113" s="261"/>
    </row>
    <row r="10114" spans="2:20" x14ac:dyDescent="0.2">
      <c r="B10114" s="245"/>
      <c r="C10114" s="248"/>
      <c r="D10114" s="249"/>
      <c r="E10114" s="249"/>
      <c r="T10114" s="261"/>
    </row>
    <row r="10115" spans="2:20" x14ac:dyDescent="0.2">
      <c r="B10115" s="245"/>
      <c r="C10115" s="248"/>
      <c r="D10115" s="249"/>
      <c r="E10115" s="249"/>
      <c r="T10115" s="261"/>
    </row>
    <row r="10116" spans="2:20" x14ac:dyDescent="0.2">
      <c r="B10116" s="245"/>
      <c r="C10116" s="248"/>
      <c r="D10116" s="249"/>
      <c r="E10116" s="249"/>
      <c r="T10116" s="261"/>
    </row>
    <row r="10117" spans="2:20" x14ac:dyDescent="0.2">
      <c r="B10117" s="245"/>
      <c r="C10117" s="248"/>
      <c r="D10117" s="249"/>
      <c r="E10117" s="249"/>
      <c r="T10117" s="261"/>
    </row>
    <row r="10118" spans="2:20" x14ac:dyDescent="0.2">
      <c r="B10118" s="245"/>
      <c r="C10118" s="248"/>
      <c r="D10118" s="249"/>
      <c r="E10118" s="249"/>
      <c r="T10118" s="261"/>
    </row>
    <row r="10119" spans="2:20" x14ac:dyDescent="0.2">
      <c r="B10119" s="245"/>
      <c r="C10119" s="248"/>
      <c r="D10119" s="249"/>
      <c r="E10119" s="249"/>
      <c r="T10119" s="261"/>
    </row>
    <row r="10120" spans="2:20" x14ac:dyDescent="0.2">
      <c r="B10120" s="245"/>
      <c r="C10120" s="248"/>
      <c r="D10120" s="249"/>
      <c r="E10120" s="249"/>
      <c r="T10120" s="261"/>
    </row>
    <row r="10121" spans="2:20" x14ac:dyDescent="0.2">
      <c r="B10121" s="245"/>
      <c r="C10121" s="248"/>
      <c r="D10121" s="249"/>
      <c r="E10121" s="249"/>
      <c r="T10121" s="261"/>
    </row>
    <row r="10122" spans="2:20" x14ac:dyDescent="0.2">
      <c r="B10122" s="245"/>
      <c r="C10122" s="248"/>
      <c r="D10122" s="249"/>
      <c r="E10122" s="249"/>
      <c r="T10122" s="261"/>
    </row>
    <row r="10123" spans="2:20" x14ac:dyDescent="0.2">
      <c r="B10123" s="245"/>
      <c r="C10123" s="248"/>
      <c r="D10123" s="249"/>
      <c r="E10123" s="249"/>
      <c r="T10123" s="261"/>
    </row>
    <row r="10124" spans="2:20" x14ac:dyDescent="0.2">
      <c r="B10124" s="245"/>
      <c r="C10124" s="248"/>
      <c r="D10124" s="249"/>
      <c r="E10124" s="249"/>
      <c r="T10124" s="261"/>
    </row>
    <row r="10125" spans="2:20" x14ac:dyDescent="0.2">
      <c r="B10125" s="245"/>
      <c r="C10125" s="248"/>
      <c r="D10125" s="249"/>
      <c r="E10125" s="249"/>
      <c r="T10125" s="261"/>
    </row>
    <row r="10126" spans="2:20" x14ac:dyDescent="0.2">
      <c r="B10126" s="245"/>
      <c r="C10126" s="248"/>
      <c r="D10126" s="249"/>
      <c r="E10126" s="249"/>
      <c r="T10126" s="261"/>
    </row>
    <row r="10127" spans="2:20" x14ac:dyDescent="0.2">
      <c r="B10127" s="245"/>
      <c r="C10127" s="248"/>
      <c r="D10127" s="249"/>
      <c r="E10127" s="249"/>
      <c r="T10127" s="261"/>
    </row>
    <row r="10128" spans="2:20" x14ac:dyDescent="0.2">
      <c r="B10128" s="245"/>
      <c r="C10128" s="248"/>
      <c r="D10128" s="249"/>
      <c r="E10128" s="249"/>
      <c r="T10128" s="261"/>
    </row>
    <row r="10129" spans="2:20" x14ac:dyDescent="0.2">
      <c r="B10129" s="245"/>
      <c r="C10129" s="248"/>
      <c r="D10129" s="249"/>
      <c r="E10129" s="249"/>
      <c r="T10129" s="261"/>
    </row>
    <row r="10130" spans="2:20" x14ac:dyDescent="0.2">
      <c r="B10130" s="245"/>
      <c r="C10130" s="248"/>
      <c r="D10130" s="249"/>
      <c r="E10130" s="249"/>
      <c r="T10130" s="261"/>
    </row>
    <row r="10131" spans="2:20" x14ac:dyDescent="0.2">
      <c r="B10131" s="245"/>
      <c r="C10131" s="248"/>
      <c r="D10131" s="249"/>
      <c r="E10131" s="249"/>
      <c r="T10131" s="261"/>
    </row>
    <row r="10132" spans="2:20" x14ac:dyDescent="0.2">
      <c r="B10132" s="245"/>
      <c r="C10132" s="248"/>
      <c r="D10132" s="249"/>
      <c r="E10132" s="249"/>
      <c r="T10132" s="261"/>
    </row>
    <row r="10133" spans="2:20" x14ac:dyDescent="0.2">
      <c r="B10133" s="245"/>
      <c r="C10133" s="248"/>
      <c r="D10133" s="249"/>
      <c r="E10133" s="249"/>
      <c r="T10133" s="261"/>
    </row>
    <row r="10134" spans="2:20" x14ac:dyDescent="0.2">
      <c r="B10134" s="245"/>
      <c r="C10134" s="248"/>
      <c r="D10134" s="249"/>
      <c r="E10134" s="249"/>
      <c r="T10134" s="261"/>
    </row>
    <row r="10135" spans="2:20" x14ac:dyDescent="0.2">
      <c r="B10135" s="245"/>
      <c r="C10135" s="248"/>
      <c r="D10135" s="249"/>
      <c r="E10135" s="249"/>
      <c r="T10135" s="261"/>
    </row>
    <row r="10136" spans="2:20" x14ac:dyDescent="0.2">
      <c r="B10136" s="245"/>
      <c r="C10136" s="248"/>
      <c r="D10136" s="249"/>
      <c r="E10136" s="249"/>
      <c r="T10136" s="261"/>
    </row>
    <row r="10137" spans="2:20" x14ac:dyDescent="0.2">
      <c r="B10137" s="245"/>
      <c r="C10137" s="248"/>
      <c r="D10137" s="249"/>
      <c r="E10137" s="249"/>
      <c r="T10137" s="261"/>
    </row>
    <row r="10138" spans="2:20" x14ac:dyDescent="0.2">
      <c r="B10138" s="245"/>
      <c r="C10138" s="248"/>
      <c r="D10138" s="249"/>
      <c r="E10138" s="249"/>
      <c r="T10138" s="261"/>
    </row>
    <row r="10139" spans="2:20" x14ac:dyDescent="0.2">
      <c r="B10139" s="245"/>
      <c r="C10139" s="248"/>
      <c r="D10139" s="249"/>
      <c r="E10139" s="249"/>
      <c r="T10139" s="261"/>
    </row>
    <row r="10140" spans="2:20" x14ac:dyDescent="0.2">
      <c r="B10140" s="245"/>
      <c r="C10140" s="248"/>
      <c r="D10140" s="249"/>
      <c r="E10140" s="249"/>
      <c r="T10140" s="261"/>
    </row>
    <row r="10141" spans="2:20" x14ac:dyDescent="0.2">
      <c r="B10141" s="245"/>
      <c r="C10141" s="248"/>
      <c r="D10141" s="249"/>
      <c r="E10141" s="249"/>
      <c r="T10141" s="261"/>
    </row>
    <row r="10142" spans="2:20" x14ac:dyDescent="0.2">
      <c r="B10142" s="245"/>
      <c r="C10142" s="248"/>
      <c r="D10142" s="249"/>
      <c r="E10142" s="249"/>
      <c r="T10142" s="261"/>
    </row>
    <row r="10143" spans="2:20" x14ac:dyDescent="0.2">
      <c r="B10143" s="245"/>
      <c r="C10143" s="248"/>
      <c r="D10143" s="249"/>
      <c r="E10143" s="249"/>
      <c r="T10143" s="261"/>
    </row>
    <row r="10144" spans="2:20" x14ac:dyDescent="0.2">
      <c r="B10144" s="245"/>
      <c r="C10144" s="248"/>
      <c r="D10144" s="249"/>
      <c r="E10144" s="249"/>
      <c r="T10144" s="261"/>
    </row>
    <row r="10145" spans="2:20" x14ac:dyDescent="0.2">
      <c r="B10145" s="245"/>
      <c r="C10145" s="248"/>
      <c r="D10145" s="249"/>
      <c r="E10145" s="249"/>
      <c r="T10145" s="261"/>
    </row>
    <row r="10146" spans="2:20" x14ac:dyDescent="0.2">
      <c r="B10146" s="245"/>
      <c r="C10146" s="248"/>
      <c r="D10146" s="249"/>
      <c r="E10146" s="249"/>
      <c r="T10146" s="261"/>
    </row>
    <row r="10147" spans="2:20" x14ac:dyDescent="0.2">
      <c r="B10147" s="245"/>
      <c r="C10147" s="248"/>
      <c r="D10147" s="249"/>
      <c r="E10147" s="249"/>
      <c r="T10147" s="261"/>
    </row>
    <row r="10148" spans="2:20" x14ac:dyDescent="0.2">
      <c r="B10148" s="245"/>
      <c r="C10148" s="248"/>
      <c r="D10148" s="249"/>
      <c r="E10148" s="249"/>
      <c r="T10148" s="261"/>
    </row>
    <row r="10149" spans="2:20" x14ac:dyDescent="0.2">
      <c r="B10149" s="245"/>
      <c r="C10149" s="248"/>
      <c r="D10149" s="249"/>
      <c r="E10149" s="249"/>
      <c r="T10149" s="261"/>
    </row>
    <row r="10150" spans="2:20" x14ac:dyDescent="0.2">
      <c r="B10150" s="245"/>
      <c r="C10150" s="248"/>
      <c r="D10150" s="249"/>
      <c r="E10150" s="249"/>
      <c r="T10150" s="261"/>
    </row>
    <row r="10151" spans="2:20" x14ac:dyDescent="0.2">
      <c r="B10151" s="245"/>
      <c r="C10151" s="248"/>
      <c r="D10151" s="249"/>
      <c r="E10151" s="249"/>
      <c r="T10151" s="261"/>
    </row>
    <row r="10152" spans="2:20" x14ac:dyDescent="0.2">
      <c r="B10152" s="245"/>
      <c r="C10152" s="248"/>
      <c r="D10152" s="249"/>
      <c r="E10152" s="249"/>
      <c r="T10152" s="261"/>
    </row>
    <row r="10153" spans="2:20" x14ac:dyDescent="0.2">
      <c r="B10153" s="245"/>
      <c r="C10153" s="248"/>
      <c r="D10153" s="249"/>
      <c r="E10153" s="249"/>
      <c r="T10153" s="261"/>
    </row>
    <row r="10154" spans="2:20" x14ac:dyDescent="0.2">
      <c r="B10154" s="245"/>
      <c r="C10154" s="248"/>
      <c r="D10154" s="249"/>
      <c r="E10154" s="249"/>
      <c r="T10154" s="261"/>
    </row>
    <row r="10155" spans="2:20" x14ac:dyDescent="0.2">
      <c r="B10155" s="245"/>
      <c r="C10155" s="248"/>
      <c r="D10155" s="249"/>
      <c r="E10155" s="249"/>
      <c r="T10155" s="261"/>
    </row>
    <row r="10156" spans="2:20" x14ac:dyDescent="0.2">
      <c r="B10156" s="245"/>
      <c r="C10156" s="248"/>
      <c r="D10156" s="249"/>
      <c r="E10156" s="249"/>
      <c r="T10156" s="261"/>
    </row>
    <row r="10157" spans="2:20" x14ac:dyDescent="0.2">
      <c r="B10157" s="245"/>
      <c r="C10157" s="248"/>
      <c r="D10157" s="249"/>
      <c r="E10157" s="249"/>
      <c r="T10157" s="261"/>
    </row>
    <row r="10158" spans="2:20" x14ac:dyDescent="0.2">
      <c r="B10158" s="245"/>
      <c r="C10158" s="248"/>
      <c r="D10158" s="249"/>
      <c r="E10158" s="249"/>
      <c r="T10158" s="261"/>
    </row>
    <row r="10159" spans="2:20" x14ac:dyDescent="0.2">
      <c r="B10159" s="245"/>
      <c r="C10159" s="248"/>
      <c r="D10159" s="249"/>
      <c r="E10159" s="249"/>
      <c r="T10159" s="261"/>
    </row>
    <row r="10160" spans="2:20" x14ac:dyDescent="0.2">
      <c r="B10160" s="245"/>
      <c r="C10160" s="248"/>
      <c r="D10160" s="249"/>
      <c r="E10160" s="249"/>
      <c r="T10160" s="261"/>
    </row>
    <row r="10161" spans="2:20" x14ac:dyDescent="0.2">
      <c r="B10161" s="245"/>
      <c r="C10161" s="248"/>
      <c r="D10161" s="249"/>
      <c r="E10161" s="249"/>
      <c r="T10161" s="261"/>
    </row>
    <row r="10162" spans="2:20" x14ac:dyDescent="0.2">
      <c r="B10162" s="245"/>
      <c r="C10162" s="248"/>
      <c r="D10162" s="249"/>
      <c r="E10162" s="249"/>
      <c r="T10162" s="261"/>
    </row>
    <row r="10163" spans="2:20" x14ac:dyDescent="0.2">
      <c r="B10163" s="245"/>
      <c r="C10163" s="248"/>
      <c r="D10163" s="249"/>
      <c r="E10163" s="249"/>
      <c r="T10163" s="261"/>
    </row>
    <row r="10164" spans="2:20" x14ac:dyDescent="0.2">
      <c r="B10164" s="245"/>
      <c r="C10164" s="248"/>
      <c r="D10164" s="249"/>
      <c r="E10164" s="249"/>
      <c r="T10164" s="261"/>
    </row>
    <row r="10165" spans="2:20" x14ac:dyDescent="0.2">
      <c r="B10165" s="245"/>
      <c r="C10165" s="248"/>
      <c r="D10165" s="249"/>
      <c r="E10165" s="249"/>
      <c r="T10165" s="261"/>
    </row>
    <row r="10166" spans="2:20" x14ac:dyDescent="0.2">
      <c r="B10166" s="245"/>
      <c r="C10166" s="248"/>
      <c r="D10166" s="249"/>
      <c r="E10166" s="249"/>
      <c r="T10166" s="261"/>
    </row>
    <row r="10167" spans="2:20" x14ac:dyDescent="0.2">
      <c r="B10167" s="245"/>
      <c r="C10167" s="248"/>
      <c r="D10167" s="249"/>
      <c r="E10167" s="249"/>
      <c r="T10167" s="261"/>
    </row>
    <row r="10168" spans="2:20" x14ac:dyDescent="0.2">
      <c r="B10168" s="245"/>
      <c r="C10168" s="248"/>
      <c r="D10168" s="249"/>
      <c r="E10168" s="249"/>
      <c r="T10168" s="261"/>
    </row>
    <row r="10169" spans="2:20" x14ac:dyDescent="0.2">
      <c r="B10169" s="245"/>
      <c r="C10169" s="248"/>
      <c r="D10169" s="249"/>
      <c r="E10169" s="249"/>
      <c r="T10169" s="261"/>
    </row>
    <row r="10170" spans="2:20" x14ac:dyDescent="0.2">
      <c r="B10170" s="245"/>
      <c r="C10170" s="248"/>
      <c r="D10170" s="249"/>
      <c r="E10170" s="249"/>
      <c r="T10170" s="261"/>
    </row>
    <row r="10171" spans="2:20" x14ac:dyDescent="0.2">
      <c r="B10171" s="245"/>
      <c r="C10171" s="248"/>
      <c r="D10171" s="249"/>
      <c r="E10171" s="249"/>
      <c r="T10171" s="261"/>
    </row>
    <row r="10172" spans="2:20" x14ac:dyDescent="0.2">
      <c r="B10172" s="245"/>
      <c r="C10172" s="248"/>
      <c r="D10172" s="249"/>
      <c r="E10172" s="249"/>
      <c r="T10172" s="261"/>
    </row>
    <row r="10173" spans="2:20" x14ac:dyDescent="0.2">
      <c r="B10173" s="245"/>
      <c r="C10173" s="248"/>
      <c r="D10173" s="249"/>
      <c r="E10173" s="249"/>
      <c r="T10173" s="261"/>
    </row>
    <row r="10174" spans="2:20" x14ac:dyDescent="0.2">
      <c r="B10174" s="245"/>
      <c r="C10174" s="248"/>
      <c r="D10174" s="249"/>
      <c r="E10174" s="249"/>
      <c r="T10174" s="261"/>
    </row>
    <row r="10175" spans="2:20" x14ac:dyDescent="0.2">
      <c r="B10175" s="245"/>
      <c r="C10175" s="248"/>
      <c r="D10175" s="249"/>
      <c r="E10175" s="249"/>
      <c r="T10175" s="261"/>
    </row>
    <row r="10176" spans="2:20" x14ac:dyDescent="0.2">
      <c r="B10176" s="245"/>
      <c r="C10176" s="248"/>
      <c r="D10176" s="249"/>
      <c r="E10176" s="249"/>
      <c r="T10176" s="261"/>
    </row>
    <row r="10177" spans="2:20" x14ac:dyDescent="0.2">
      <c r="B10177" s="245"/>
      <c r="C10177" s="248"/>
      <c r="D10177" s="249"/>
      <c r="E10177" s="249"/>
      <c r="T10177" s="261"/>
    </row>
    <row r="10178" spans="2:20" x14ac:dyDescent="0.2">
      <c r="B10178" s="245"/>
      <c r="C10178" s="248"/>
      <c r="D10178" s="249"/>
      <c r="E10178" s="249"/>
      <c r="T10178" s="261"/>
    </row>
    <row r="10179" spans="2:20" x14ac:dyDescent="0.2">
      <c r="B10179" s="245"/>
      <c r="C10179" s="248"/>
      <c r="D10179" s="249"/>
      <c r="E10179" s="249"/>
      <c r="T10179" s="261"/>
    </row>
    <row r="10180" spans="2:20" x14ac:dyDescent="0.2">
      <c r="B10180" s="245"/>
      <c r="C10180" s="248"/>
      <c r="D10180" s="249"/>
      <c r="E10180" s="249"/>
      <c r="T10180" s="261"/>
    </row>
    <row r="10181" spans="2:20" x14ac:dyDescent="0.2">
      <c r="B10181" s="245"/>
      <c r="C10181" s="248"/>
      <c r="D10181" s="249"/>
      <c r="E10181" s="249"/>
      <c r="T10181" s="261"/>
    </row>
    <row r="10182" spans="2:20" x14ac:dyDescent="0.2">
      <c r="B10182" s="245"/>
      <c r="C10182" s="248"/>
      <c r="D10182" s="249"/>
      <c r="E10182" s="249"/>
      <c r="T10182" s="261"/>
    </row>
    <row r="10183" spans="2:20" x14ac:dyDescent="0.2">
      <c r="B10183" s="245"/>
      <c r="C10183" s="248"/>
      <c r="D10183" s="249"/>
      <c r="E10183" s="249"/>
      <c r="T10183" s="261"/>
    </row>
    <row r="10184" spans="2:20" x14ac:dyDescent="0.2">
      <c r="B10184" s="245"/>
      <c r="C10184" s="248"/>
      <c r="D10184" s="249"/>
      <c r="E10184" s="249"/>
      <c r="T10184" s="261"/>
    </row>
    <row r="10185" spans="2:20" x14ac:dyDescent="0.2">
      <c r="B10185" s="245"/>
      <c r="C10185" s="248"/>
      <c r="D10185" s="249"/>
      <c r="E10185" s="249"/>
      <c r="T10185" s="261"/>
    </row>
    <row r="10186" spans="2:20" x14ac:dyDescent="0.2">
      <c r="B10186" s="245"/>
      <c r="C10186" s="248"/>
      <c r="D10186" s="249"/>
      <c r="E10186" s="249"/>
      <c r="T10186" s="261"/>
    </row>
    <row r="10187" spans="2:20" x14ac:dyDescent="0.2">
      <c r="B10187" s="245"/>
      <c r="C10187" s="248"/>
      <c r="D10187" s="249"/>
      <c r="E10187" s="249"/>
      <c r="T10187" s="261"/>
    </row>
    <row r="10188" spans="2:20" x14ac:dyDescent="0.2">
      <c r="B10188" s="245"/>
      <c r="C10188" s="248"/>
      <c r="D10188" s="249"/>
      <c r="E10188" s="249"/>
      <c r="T10188" s="261"/>
    </row>
    <row r="10189" spans="2:20" x14ac:dyDescent="0.2">
      <c r="B10189" s="245"/>
      <c r="C10189" s="248"/>
      <c r="D10189" s="249"/>
      <c r="E10189" s="249"/>
      <c r="T10189" s="261"/>
    </row>
    <row r="10190" spans="2:20" x14ac:dyDescent="0.2">
      <c r="B10190" s="245"/>
      <c r="C10190" s="248"/>
      <c r="D10190" s="249"/>
      <c r="E10190" s="249"/>
      <c r="T10190" s="261"/>
    </row>
    <row r="10191" spans="2:20" x14ac:dyDescent="0.2">
      <c r="B10191" s="245"/>
      <c r="C10191" s="248"/>
      <c r="D10191" s="249"/>
      <c r="E10191" s="249"/>
      <c r="T10191" s="261"/>
    </row>
    <row r="10192" spans="2:20" x14ac:dyDescent="0.2">
      <c r="B10192" s="245"/>
      <c r="C10192" s="248"/>
      <c r="D10192" s="249"/>
      <c r="E10192" s="249"/>
      <c r="T10192" s="261"/>
    </row>
    <row r="10193" spans="2:20" x14ac:dyDescent="0.2">
      <c r="B10193" s="245"/>
      <c r="C10193" s="248"/>
      <c r="D10193" s="249"/>
      <c r="E10193" s="249"/>
      <c r="T10193" s="261"/>
    </row>
    <row r="10194" spans="2:20" x14ac:dyDescent="0.2">
      <c r="B10194" s="245"/>
      <c r="C10194" s="248"/>
      <c r="D10194" s="249"/>
      <c r="E10194" s="249"/>
      <c r="T10194" s="261"/>
    </row>
    <row r="10195" spans="2:20" x14ac:dyDescent="0.2">
      <c r="B10195" s="245"/>
      <c r="C10195" s="248"/>
      <c r="D10195" s="249"/>
      <c r="E10195" s="249"/>
      <c r="T10195" s="261"/>
    </row>
    <row r="10196" spans="2:20" x14ac:dyDescent="0.2">
      <c r="B10196" s="245"/>
      <c r="C10196" s="248"/>
      <c r="D10196" s="249"/>
      <c r="E10196" s="249"/>
      <c r="T10196" s="261"/>
    </row>
    <row r="10197" spans="2:20" x14ac:dyDescent="0.2">
      <c r="B10197" s="245"/>
      <c r="C10197" s="248"/>
      <c r="D10197" s="249"/>
      <c r="E10197" s="249"/>
      <c r="T10197" s="261"/>
    </row>
    <row r="10198" spans="2:20" x14ac:dyDescent="0.2">
      <c r="B10198" s="245"/>
      <c r="C10198" s="248"/>
      <c r="D10198" s="249"/>
      <c r="E10198" s="249"/>
      <c r="T10198" s="261"/>
    </row>
    <row r="10199" spans="2:20" x14ac:dyDescent="0.2">
      <c r="B10199" s="245"/>
      <c r="C10199" s="248"/>
      <c r="D10199" s="249"/>
      <c r="E10199" s="249"/>
      <c r="T10199" s="261"/>
    </row>
    <row r="10200" spans="2:20" x14ac:dyDescent="0.2">
      <c r="B10200" s="245"/>
      <c r="C10200" s="248"/>
      <c r="D10200" s="249"/>
      <c r="E10200" s="249"/>
      <c r="T10200" s="261"/>
    </row>
    <row r="10201" spans="2:20" x14ac:dyDescent="0.2">
      <c r="B10201" s="245"/>
      <c r="C10201" s="248"/>
      <c r="D10201" s="249"/>
      <c r="E10201" s="249"/>
      <c r="T10201" s="261"/>
    </row>
    <row r="10202" spans="2:20" x14ac:dyDescent="0.2">
      <c r="B10202" s="245"/>
      <c r="C10202" s="248"/>
      <c r="D10202" s="249"/>
      <c r="E10202" s="249"/>
      <c r="T10202" s="261"/>
    </row>
    <row r="10203" spans="2:20" x14ac:dyDescent="0.2">
      <c r="B10203" s="245"/>
      <c r="C10203" s="248"/>
      <c r="D10203" s="249"/>
      <c r="E10203" s="249"/>
      <c r="T10203" s="261"/>
    </row>
    <row r="10204" spans="2:20" x14ac:dyDescent="0.2">
      <c r="B10204" s="245"/>
      <c r="C10204" s="248"/>
      <c r="D10204" s="249"/>
      <c r="E10204" s="249"/>
      <c r="T10204" s="261"/>
    </row>
    <row r="10205" spans="2:20" x14ac:dyDescent="0.2">
      <c r="B10205" s="245"/>
      <c r="C10205" s="248"/>
      <c r="D10205" s="249"/>
      <c r="E10205" s="249"/>
      <c r="T10205" s="261"/>
    </row>
    <row r="10206" spans="2:20" x14ac:dyDescent="0.2">
      <c r="B10206" s="245"/>
      <c r="C10206" s="248"/>
      <c r="D10206" s="249"/>
      <c r="E10206" s="249"/>
      <c r="T10206" s="261"/>
    </row>
    <row r="10207" spans="2:20" x14ac:dyDescent="0.2">
      <c r="B10207" s="245"/>
      <c r="C10207" s="248"/>
      <c r="D10207" s="249"/>
      <c r="E10207" s="249"/>
      <c r="T10207" s="261"/>
    </row>
    <row r="10208" spans="2:20" x14ac:dyDescent="0.2">
      <c r="B10208" s="245"/>
      <c r="C10208" s="248"/>
      <c r="D10208" s="249"/>
      <c r="E10208" s="249"/>
      <c r="T10208" s="261"/>
    </row>
    <row r="10209" spans="2:20" x14ac:dyDescent="0.2">
      <c r="B10209" s="245"/>
      <c r="C10209" s="248"/>
      <c r="D10209" s="249"/>
      <c r="E10209" s="249"/>
      <c r="T10209" s="261"/>
    </row>
    <row r="10210" spans="2:20" x14ac:dyDescent="0.2">
      <c r="B10210" s="245"/>
      <c r="C10210" s="248"/>
      <c r="D10210" s="249"/>
      <c r="E10210" s="249"/>
      <c r="T10210" s="261"/>
    </row>
    <row r="10211" spans="2:20" x14ac:dyDescent="0.2">
      <c r="B10211" s="245"/>
      <c r="C10211" s="248"/>
      <c r="D10211" s="249"/>
      <c r="E10211" s="249"/>
      <c r="T10211" s="261"/>
    </row>
    <row r="10212" spans="2:20" x14ac:dyDescent="0.2">
      <c r="B10212" s="245"/>
      <c r="C10212" s="248"/>
      <c r="D10212" s="249"/>
      <c r="E10212" s="249"/>
      <c r="T10212" s="261"/>
    </row>
    <row r="10213" spans="2:20" x14ac:dyDescent="0.2">
      <c r="B10213" s="245"/>
      <c r="C10213" s="248"/>
      <c r="D10213" s="249"/>
      <c r="E10213" s="249"/>
      <c r="T10213" s="261"/>
    </row>
    <row r="10214" spans="2:20" x14ac:dyDescent="0.2">
      <c r="B10214" s="245"/>
      <c r="C10214" s="248"/>
      <c r="D10214" s="249"/>
      <c r="E10214" s="249"/>
      <c r="T10214" s="261"/>
    </row>
    <row r="10215" spans="2:20" x14ac:dyDescent="0.2">
      <c r="B10215" s="245"/>
      <c r="C10215" s="248"/>
      <c r="D10215" s="249"/>
      <c r="E10215" s="249"/>
      <c r="T10215" s="261"/>
    </row>
    <row r="10216" spans="2:20" x14ac:dyDescent="0.2">
      <c r="B10216" s="245"/>
      <c r="C10216" s="248"/>
      <c r="D10216" s="249"/>
      <c r="E10216" s="249"/>
      <c r="T10216" s="261"/>
    </row>
    <row r="10217" spans="2:20" x14ac:dyDescent="0.2">
      <c r="B10217" s="245"/>
      <c r="C10217" s="248"/>
      <c r="D10217" s="249"/>
      <c r="E10217" s="249"/>
      <c r="T10217" s="261"/>
    </row>
    <row r="10218" spans="2:20" x14ac:dyDescent="0.2">
      <c r="B10218" s="245"/>
      <c r="C10218" s="248"/>
      <c r="D10218" s="249"/>
      <c r="E10218" s="249"/>
      <c r="T10218" s="261"/>
    </row>
    <row r="10219" spans="2:20" x14ac:dyDescent="0.2">
      <c r="B10219" s="245"/>
      <c r="C10219" s="248"/>
      <c r="D10219" s="249"/>
      <c r="E10219" s="249"/>
      <c r="T10219" s="261"/>
    </row>
    <row r="10220" spans="2:20" x14ac:dyDescent="0.2">
      <c r="B10220" s="245"/>
      <c r="C10220" s="248"/>
      <c r="D10220" s="249"/>
      <c r="E10220" s="249"/>
      <c r="T10220" s="261"/>
    </row>
    <row r="10221" spans="2:20" x14ac:dyDescent="0.2">
      <c r="B10221" s="245"/>
      <c r="C10221" s="248"/>
      <c r="D10221" s="249"/>
      <c r="E10221" s="249"/>
      <c r="T10221" s="261"/>
    </row>
    <row r="10222" spans="2:20" x14ac:dyDescent="0.2">
      <c r="B10222" s="245"/>
      <c r="C10222" s="248"/>
      <c r="D10222" s="249"/>
      <c r="E10222" s="249"/>
      <c r="T10222" s="261"/>
    </row>
    <row r="10223" spans="2:20" x14ac:dyDescent="0.2">
      <c r="B10223" s="245"/>
      <c r="C10223" s="248"/>
      <c r="D10223" s="249"/>
      <c r="E10223" s="249"/>
      <c r="T10223" s="261"/>
    </row>
    <row r="10224" spans="2:20" x14ac:dyDescent="0.2">
      <c r="B10224" s="245"/>
      <c r="C10224" s="248"/>
      <c r="D10224" s="249"/>
      <c r="E10224" s="249"/>
      <c r="T10224" s="261"/>
    </row>
    <row r="10225" spans="2:20" x14ac:dyDescent="0.2">
      <c r="B10225" s="245"/>
      <c r="C10225" s="248"/>
      <c r="D10225" s="249"/>
      <c r="E10225" s="249"/>
      <c r="T10225" s="261"/>
    </row>
    <row r="10226" spans="2:20" x14ac:dyDescent="0.2">
      <c r="B10226" s="245"/>
      <c r="C10226" s="248"/>
      <c r="D10226" s="249"/>
      <c r="E10226" s="249"/>
      <c r="T10226" s="261"/>
    </row>
    <row r="10227" spans="2:20" x14ac:dyDescent="0.2">
      <c r="B10227" s="245"/>
      <c r="C10227" s="248"/>
      <c r="D10227" s="249"/>
      <c r="E10227" s="249"/>
      <c r="T10227" s="261"/>
    </row>
    <row r="10228" spans="2:20" x14ac:dyDescent="0.2">
      <c r="B10228" s="245"/>
      <c r="C10228" s="248"/>
      <c r="D10228" s="249"/>
      <c r="E10228" s="249"/>
      <c r="T10228" s="261"/>
    </row>
    <row r="10229" spans="2:20" x14ac:dyDescent="0.2">
      <c r="B10229" s="245"/>
      <c r="C10229" s="248"/>
      <c r="D10229" s="249"/>
      <c r="E10229" s="249"/>
      <c r="T10229" s="261"/>
    </row>
    <row r="10230" spans="2:20" x14ac:dyDescent="0.2">
      <c r="B10230" s="245"/>
      <c r="C10230" s="248"/>
      <c r="D10230" s="249"/>
      <c r="E10230" s="249"/>
      <c r="T10230" s="261"/>
    </row>
    <row r="10231" spans="2:20" x14ac:dyDescent="0.2">
      <c r="B10231" s="245"/>
      <c r="C10231" s="248"/>
      <c r="D10231" s="249"/>
      <c r="E10231" s="249"/>
      <c r="T10231" s="261"/>
    </row>
    <row r="10232" spans="2:20" x14ac:dyDescent="0.2">
      <c r="B10232" s="245"/>
      <c r="C10232" s="248"/>
      <c r="D10232" s="249"/>
      <c r="E10232" s="249"/>
      <c r="T10232" s="261"/>
    </row>
    <row r="10233" spans="2:20" x14ac:dyDescent="0.2">
      <c r="B10233" s="245"/>
      <c r="C10233" s="248"/>
      <c r="D10233" s="249"/>
      <c r="E10233" s="249"/>
      <c r="T10233" s="261"/>
    </row>
    <row r="10234" spans="2:20" x14ac:dyDescent="0.2">
      <c r="B10234" s="245"/>
      <c r="C10234" s="248"/>
      <c r="D10234" s="249"/>
      <c r="E10234" s="249"/>
      <c r="T10234" s="261"/>
    </row>
    <row r="10235" spans="2:20" x14ac:dyDescent="0.2">
      <c r="B10235" s="245"/>
      <c r="C10235" s="248"/>
      <c r="D10235" s="249"/>
      <c r="E10235" s="249"/>
      <c r="T10235" s="261"/>
    </row>
    <row r="10236" spans="2:20" x14ac:dyDescent="0.2">
      <c r="B10236" s="245"/>
      <c r="C10236" s="248"/>
      <c r="D10236" s="249"/>
      <c r="E10236" s="249"/>
      <c r="T10236" s="261"/>
    </row>
    <row r="10237" spans="2:20" x14ac:dyDescent="0.2">
      <c r="B10237" s="245"/>
      <c r="C10237" s="248"/>
      <c r="D10237" s="249"/>
      <c r="E10237" s="249"/>
      <c r="T10237" s="261"/>
    </row>
    <row r="10238" spans="2:20" x14ac:dyDescent="0.2">
      <c r="B10238" s="245"/>
      <c r="C10238" s="248"/>
      <c r="D10238" s="249"/>
      <c r="E10238" s="249"/>
      <c r="T10238" s="261"/>
    </row>
    <row r="10239" spans="2:20" x14ac:dyDescent="0.2">
      <c r="B10239" s="245"/>
      <c r="C10239" s="248"/>
      <c r="D10239" s="249"/>
      <c r="E10239" s="249"/>
      <c r="T10239" s="261"/>
    </row>
    <row r="10240" spans="2:20" x14ac:dyDescent="0.2">
      <c r="B10240" s="245"/>
      <c r="C10240" s="248"/>
      <c r="D10240" s="249"/>
      <c r="E10240" s="249"/>
      <c r="T10240" s="261"/>
    </row>
    <row r="10241" spans="2:20" x14ac:dyDescent="0.2">
      <c r="B10241" s="245"/>
      <c r="C10241" s="248"/>
      <c r="D10241" s="249"/>
      <c r="E10241" s="249"/>
      <c r="T10241" s="261"/>
    </row>
    <row r="10242" spans="2:20" x14ac:dyDescent="0.2">
      <c r="B10242" s="245"/>
      <c r="C10242" s="248"/>
      <c r="D10242" s="249"/>
      <c r="E10242" s="249"/>
      <c r="T10242" s="261"/>
    </row>
    <row r="10243" spans="2:20" x14ac:dyDescent="0.2">
      <c r="B10243" s="245"/>
      <c r="C10243" s="248"/>
      <c r="D10243" s="249"/>
      <c r="E10243" s="249"/>
      <c r="T10243" s="261"/>
    </row>
    <row r="10244" spans="2:20" x14ac:dyDescent="0.2">
      <c r="B10244" s="245"/>
      <c r="C10244" s="248"/>
      <c r="D10244" s="249"/>
      <c r="E10244" s="249"/>
      <c r="T10244" s="261"/>
    </row>
    <row r="10245" spans="2:20" x14ac:dyDescent="0.2">
      <c r="B10245" s="245"/>
      <c r="C10245" s="248"/>
      <c r="D10245" s="249"/>
      <c r="E10245" s="249"/>
      <c r="T10245" s="261"/>
    </row>
    <row r="10246" spans="2:20" x14ac:dyDescent="0.2">
      <c r="B10246" s="245"/>
      <c r="C10246" s="248"/>
      <c r="D10246" s="249"/>
      <c r="E10246" s="249"/>
      <c r="T10246" s="261"/>
    </row>
    <row r="10247" spans="2:20" x14ac:dyDescent="0.2">
      <c r="B10247" s="245"/>
      <c r="C10247" s="248"/>
      <c r="D10247" s="249"/>
      <c r="E10247" s="249"/>
      <c r="T10247" s="261"/>
    </row>
    <row r="10248" spans="2:20" x14ac:dyDescent="0.2">
      <c r="B10248" s="245"/>
      <c r="C10248" s="248"/>
      <c r="D10248" s="249"/>
      <c r="E10248" s="249"/>
      <c r="T10248" s="261"/>
    </row>
    <row r="10249" spans="2:20" x14ac:dyDescent="0.2">
      <c r="B10249" s="245"/>
      <c r="C10249" s="248"/>
      <c r="D10249" s="249"/>
      <c r="E10249" s="249"/>
      <c r="T10249" s="261"/>
    </row>
    <row r="10250" spans="2:20" x14ac:dyDescent="0.2">
      <c r="B10250" s="245"/>
      <c r="C10250" s="248"/>
      <c r="D10250" s="249"/>
      <c r="E10250" s="249"/>
      <c r="T10250" s="261"/>
    </row>
    <row r="10251" spans="2:20" x14ac:dyDescent="0.2">
      <c r="B10251" s="245"/>
      <c r="C10251" s="248"/>
      <c r="D10251" s="249"/>
      <c r="E10251" s="249"/>
      <c r="T10251" s="261"/>
    </row>
    <row r="10252" spans="2:20" x14ac:dyDescent="0.2">
      <c r="B10252" s="245"/>
      <c r="C10252" s="248"/>
      <c r="D10252" s="249"/>
      <c r="E10252" s="249"/>
      <c r="T10252" s="261"/>
    </row>
    <row r="10253" spans="2:20" x14ac:dyDescent="0.2">
      <c r="B10253" s="245"/>
      <c r="C10253" s="248"/>
      <c r="D10253" s="249"/>
      <c r="E10253" s="249"/>
      <c r="T10253" s="261"/>
    </row>
    <row r="10254" spans="2:20" x14ac:dyDescent="0.2">
      <c r="B10254" s="245"/>
      <c r="C10254" s="248"/>
      <c r="D10254" s="249"/>
      <c r="E10254" s="249"/>
      <c r="T10254" s="261"/>
    </row>
    <row r="10255" spans="2:20" x14ac:dyDescent="0.2">
      <c r="B10255" s="245"/>
      <c r="C10255" s="248"/>
      <c r="D10255" s="249"/>
      <c r="E10255" s="249"/>
      <c r="T10255" s="261"/>
    </row>
    <row r="10256" spans="2:20" x14ac:dyDescent="0.2">
      <c r="B10256" s="245"/>
      <c r="C10256" s="248"/>
      <c r="D10256" s="249"/>
      <c r="E10256" s="249"/>
      <c r="T10256" s="261"/>
    </row>
    <row r="10257" spans="2:20" x14ac:dyDescent="0.2">
      <c r="B10257" s="245"/>
      <c r="C10257" s="248"/>
      <c r="D10257" s="249"/>
      <c r="E10257" s="249"/>
      <c r="T10257" s="261"/>
    </row>
    <row r="10258" spans="2:20" x14ac:dyDescent="0.2">
      <c r="B10258" s="245"/>
      <c r="C10258" s="248"/>
      <c r="D10258" s="249"/>
      <c r="E10258" s="249"/>
      <c r="T10258" s="261"/>
    </row>
    <row r="10259" spans="2:20" x14ac:dyDescent="0.2">
      <c r="B10259" s="245"/>
      <c r="C10259" s="248"/>
      <c r="D10259" s="249"/>
      <c r="E10259" s="249"/>
      <c r="T10259" s="261"/>
    </row>
    <row r="10260" spans="2:20" x14ac:dyDescent="0.2">
      <c r="B10260" s="245"/>
      <c r="C10260" s="248"/>
      <c r="D10260" s="249"/>
      <c r="E10260" s="249"/>
      <c r="T10260" s="261"/>
    </row>
    <row r="10261" spans="2:20" x14ac:dyDescent="0.2">
      <c r="B10261" s="245"/>
      <c r="C10261" s="248"/>
      <c r="D10261" s="249"/>
      <c r="E10261" s="249"/>
      <c r="T10261" s="261"/>
    </row>
    <row r="10262" spans="2:20" x14ac:dyDescent="0.2">
      <c r="B10262" s="245"/>
      <c r="C10262" s="248"/>
      <c r="D10262" s="249"/>
      <c r="E10262" s="249"/>
      <c r="T10262" s="261"/>
    </row>
    <row r="10263" spans="2:20" x14ac:dyDescent="0.2">
      <c r="B10263" s="245"/>
      <c r="C10263" s="248"/>
      <c r="D10263" s="249"/>
      <c r="E10263" s="249"/>
      <c r="T10263" s="261"/>
    </row>
    <row r="10264" spans="2:20" x14ac:dyDescent="0.2">
      <c r="B10264" s="245"/>
      <c r="C10264" s="248"/>
      <c r="D10264" s="249"/>
      <c r="E10264" s="249"/>
      <c r="T10264" s="261"/>
    </row>
    <row r="10265" spans="2:20" x14ac:dyDescent="0.2">
      <c r="B10265" s="245"/>
      <c r="C10265" s="248"/>
      <c r="D10265" s="249"/>
      <c r="E10265" s="249"/>
      <c r="T10265" s="261"/>
    </row>
    <row r="10266" spans="2:20" x14ac:dyDescent="0.2">
      <c r="B10266" s="245"/>
      <c r="C10266" s="248"/>
      <c r="D10266" s="249"/>
      <c r="E10266" s="249"/>
      <c r="T10266" s="261"/>
    </row>
    <row r="10267" spans="2:20" x14ac:dyDescent="0.2">
      <c r="B10267" s="245"/>
      <c r="C10267" s="248"/>
      <c r="D10267" s="249"/>
      <c r="E10267" s="249"/>
      <c r="T10267" s="261"/>
    </row>
    <row r="10268" spans="2:20" x14ac:dyDescent="0.2">
      <c r="B10268" s="245"/>
      <c r="C10268" s="248"/>
      <c r="D10268" s="249"/>
      <c r="E10268" s="249"/>
      <c r="T10268" s="261"/>
    </row>
    <row r="10269" spans="2:20" x14ac:dyDescent="0.2">
      <c r="B10269" s="245"/>
      <c r="C10269" s="248"/>
      <c r="D10269" s="249"/>
      <c r="E10269" s="249"/>
      <c r="T10269" s="261"/>
    </row>
    <row r="10270" spans="2:20" x14ac:dyDescent="0.2">
      <c r="B10270" s="245"/>
      <c r="C10270" s="248"/>
      <c r="D10270" s="249"/>
      <c r="E10270" s="249"/>
      <c r="T10270" s="261"/>
    </row>
    <row r="10271" spans="2:20" x14ac:dyDescent="0.2">
      <c r="B10271" s="245"/>
      <c r="C10271" s="248"/>
      <c r="D10271" s="249"/>
      <c r="E10271" s="249"/>
      <c r="T10271" s="261"/>
    </row>
    <row r="10272" spans="2:20" x14ac:dyDescent="0.2">
      <c r="B10272" s="245"/>
      <c r="C10272" s="248"/>
      <c r="D10272" s="249"/>
      <c r="E10272" s="249"/>
      <c r="T10272" s="261"/>
    </row>
    <row r="10273" spans="2:20" x14ac:dyDescent="0.2">
      <c r="B10273" s="245"/>
      <c r="C10273" s="248"/>
      <c r="D10273" s="249"/>
      <c r="E10273" s="249"/>
      <c r="T10273" s="261"/>
    </row>
    <row r="10274" spans="2:20" x14ac:dyDescent="0.2">
      <c r="B10274" s="245"/>
      <c r="C10274" s="248"/>
      <c r="D10274" s="249"/>
      <c r="E10274" s="249"/>
      <c r="T10274" s="261"/>
    </row>
    <row r="10275" spans="2:20" x14ac:dyDescent="0.2">
      <c r="B10275" s="245"/>
      <c r="C10275" s="248"/>
      <c r="D10275" s="249"/>
      <c r="E10275" s="249"/>
      <c r="T10275" s="261"/>
    </row>
    <row r="10276" spans="2:20" x14ac:dyDescent="0.2">
      <c r="B10276" s="245"/>
      <c r="C10276" s="248"/>
      <c r="D10276" s="249"/>
      <c r="E10276" s="249"/>
      <c r="T10276" s="261"/>
    </row>
    <row r="10277" spans="2:20" x14ac:dyDescent="0.2">
      <c r="B10277" s="245"/>
      <c r="C10277" s="248"/>
      <c r="D10277" s="249"/>
      <c r="E10277" s="249"/>
      <c r="T10277" s="261"/>
    </row>
    <row r="10278" spans="2:20" x14ac:dyDescent="0.2">
      <c r="B10278" s="245"/>
      <c r="C10278" s="248"/>
      <c r="D10278" s="249"/>
      <c r="E10278" s="249"/>
      <c r="T10278" s="261"/>
    </row>
    <row r="10279" spans="2:20" x14ac:dyDescent="0.2">
      <c r="B10279" s="245"/>
      <c r="C10279" s="248"/>
      <c r="D10279" s="249"/>
      <c r="E10279" s="249"/>
      <c r="T10279" s="261"/>
    </row>
    <row r="10280" spans="2:20" x14ac:dyDescent="0.2">
      <c r="B10280" s="245"/>
      <c r="C10280" s="248"/>
      <c r="D10280" s="249"/>
      <c r="E10280" s="249"/>
      <c r="T10280" s="261"/>
    </row>
    <row r="10281" spans="2:20" x14ac:dyDescent="0.2">
      <c r="B10281" s="245"/>
      <c r="C10281" s="248"/>
      <c r="D10281" s="249"/>
      <c r="E10281" s="249"/>
      <c r="T10281" s="261"/>
    </row>
    <row r="10282" spans="2:20" x14ac:dyDescent="0.2">
      <c r="B10282" s="245"/>
      <c r="C10282" s="248"/>
      <c r="D10282" s="249"/>
      <c r="E10282" s="249"/>
      <c r="T10282" s="261"/>
    </row>
    <row r="10283" spans="2:20" x14ac:dyDescent="0.2">
      <c r="B10283" s="245"/>
      <c r="C10283" s="248"/>
      <c r="D10283" s="249"/>
      <c r="E10283" s="249"/>
      <c r="T10283" s="261"/>
    </row>
    <row r="10284" spans="2:20" x14ac:dyDescent="0.2">
      <c r="B10284" s="245"/>
      <c r="C10284" s="248"/>
      <c r="D10284" s="249"/>
      <c r="E10284" s="249"/>
      <c r="T10284" s="261"/>
    </row>
    <row r="10285" spans="2:20" x14ac:dyDescent="0.2">
      <c r="B10285" s="245"/>
      <c r="C10285" s="248"/>
      <c r="D10285" s="249"/>
      <c r="E10285" s="249"/>
      <c r="T10285" s="261"/>
    </row>
    <row r="10286" spans="2:20" x14ac:dyDescent="0.2">
      <c r="B10286" s="245"/>
      <c r="C10286" s="248"/>
      <c r="D10286" s="249"/>
      <c r="E10286" s="249"/>
      <c r="T10286" s="261"/>
    </row>
    <row r="10287" spans="2:20" x14ac:dyDescent="0.2">
      <c r="B10287" s="245"/>
      <c r="C10287" s="248"/>
      <c r="D10287" s="249"/>
      <c r="E10287" s="249"/>
      <c r="T10287" s="261"/>
    </row>
    <row r="10288" spans="2:20" x14ac:dyDescent="0.2">
      <c r="B10288" s="245"/>
      <c r="C10288" s="248"/>
      <c r="D10288" s="249"/>
      <c r="E10288" s="249"/>
      <c r="T10288" s="261"/>
    </row>
    <row r="10289" spans="2:20" x14ac:dyDescent="0.2">
      <c r="B10289" s="245"/>
      <c r="C10289" s="248"/>
      <c r="D10289" s="249"/>
      <c r="E10289" s="249"/>
      <c r="T10289" s="261"/>
    </row>
    <row r="10290" spans="2:20" x14ac:dyDescent="0.2">
      <c r="B10290" s="245"/>
      <c r="C10290" s="248"/>
      <c r="D10290" s="249"/>
      <c r="E10290" s="249"/>
      <c r="T10290" s="261"/>
    </row>
    <row r="10291" spans="2:20" x14ac:dyDescent="0.2">
      <c r="B10291" s="245"/>
      <c r="C10291" s="248"/>
      <c r="D10291" s="249"/>
      <c r="E10291" s="249"/>
      <c r="T10291" s="261"/>
    </row>
    <row r="10292" spans="2:20" x14ac:dyDescent="0.2">
      <c r="B10292" s="245"/>
      <c r="C10292" s="248"/>
      <c r="D10292" s="249"/>
      <c r="E10292" s="249"/>
      <c r="T10292" s="261"/>
    </row>
    <row r="10293" spans="2:20" x14ac:dyDescent="0.2">
      <c r="B10293" s="245"/>
      <c r="C10293" s="248"/>
      <c r="D10293" s="249"/>
      <c r="E10293" s="249"/>
      <c r="T10293" s="261"/>
    </row>
    <row r="10294" spans="2:20" x14ac:dyDescent="0.2">
      <c r="B10294" s="245"/>
      <c r="C10294" s="248"/>
      <c r="D10294" s="249"/>
      <c r="E10294" s="249"/>
      <c r="T10294" s="261"/>
    </row>
    <row r="10295" spans="2:20" x14ac:dyDescent="0.2">
      <c r="B10295" s="245"/>
      <c r="C10295" s="248"/>
      <c r="D10295" s="249"/>
      <c r="E10295" s="249"/>
      <c r="T10295" s="261"/>
    </row>
    <row r="10296" spans="2:20" x14ac:dyDescent="0.2">
      <c r="B10296" s="245"/>
      <c r="C10296" s="248"/>
      <c r="D10296" s="249"/>
      <c r="E10296" s="249"/>
      <c r="T10296" s="261"/>
    </row>
    <row r="10297" spans="2:20" x14ac:dyDescent="0.2">
      <c r="B10297" s="245"/>
      <c r="C10297" s="248"/>
      <c r="D10297" s="249"/>
      <c r="E10297" s="249"/>
      <c r="T10297" s="261"/>
    </row>
    <row r="10298" spans="2:20" x14ac:dyDescent="0.2">
      <c r="B10298" s="245"/>
      <c r="C10298" s="248"/>
      <c r="D10298" s="249"/>
      <c r="E10298" s="249"/>
      <c r="T10298" s="261"/>
    </row>
    <row r="10299" spans="2:20" x14ac:dyDescent="0.2">
      <c r="B10299" s="245"/>
      <c r="C10299" s="248"/>
      <c r="D10299" s="249"/>
      <c r="E10299" s="249"/>
      <c r="T10299" s="261"/>
    </row>
    <row r="10300" spans="2:20" x14ac:dyDescent="0.2">
      <c r="B10300" s="245"/>
      <c r="C10300" s="248"/>
      <c r="D10300" s="249"/>
      <c r="E10300" s="249"/>
      <c r="T10300" s="261"/>
    </row>
    <row r="10301" spans="2:20" x14ac:dyDescent="0.2">
      <c r="B10301" s="245"/>
      <c r="C10301" s="248"/>
      <c r="D10301" s="249"/>
      <c r="E10301" s="249"/>
      <c r="T10301" s="261"/>
    </row>
    <row r="10302" spans="2:20" x14ac:dyDescent="0.2">
      <c r="B10302" s="245"/>
      <c r="C10302" s="248"/>
      <c r="D10302" s="249"/>
      <c r="E10302" s="249"/>
      <c r="T10302" s="261"/>
    </row>
    <row r="10303" spans="2:20" x14ac:dyDescent="0.2">
      <c r="B10303" s="245"/>
      <c r="C10303" s="248"/>
      <c r="D10303" s="249"/>
      <c r="E10303" s="249"/>
      <c r="T10303" s="261"/>
    </row>
    <row r="10304" spans="2:20" x14ac:dyDescent="0.2">
      <c r="B10304" s="245"/>
      <c r="C10304" s="248"/>
      <c r="D10304" s="249"/>
      <c r="E10304" s="249"/>
      <c r="T10304" s="261"/>
    </row>
    <row r="10305" spans="2:20" x14ac:dyDescent="0.2">
      <c r="B10305" s="245"/>
      <c r="C10305" s="248"/>
      <c r="D10305" s="249"/>
      <c r="E10305" s="249"/>
      <c r="T10305" s="261"/>
    </row>
    <row r="10306" spans="2:20" x14ac:dyDescent="0.2">
      <c r="B10306" s="245"/>
      <c r="C10306" s="248"/>
      <c r="D10306" s="249"/>
      <c r="E10306" s="249"/>
      <c r="T10306" s="261"/>
    </row>
    <row r="10307" spans="2:20" x14ac:dyDescent="0.2">
      <c r="B10307" s="245"/>
      <c r="C10307" s="248"/>
      <c r="D10307" s="249"/>
      <c r="E10307" s="249"/>
      <c r="T10307" s="261"/>
    </row>
    <row r="10308" spans="2:20" x14ac:dyDescent="0.2">
      <c r="B10308" s="245"/>
      <c r="C10308" s="248"/>
      <c r="D10308" s="249"/>
      <c r="E10308" s="249"/>
      <c r="T10308" s="261"/>
    </row>
    <row r="10309" spans="2:20" x14ac:dyDescent="0.2">
      <c r="B10309" s="245"/>
      <c r="C10309" s="248"/>
      <c r="D10309" s="249"/>
      <c r="E10309" s="249"/>
      <c r="T10309" s="261"/>
    </row>
    <row r="10310" spans="2:20" x14ac:dyDescent="0.2">
      <c r="B10310" s="245"/>
      <c r="C10310" s="248"/>
      <c r="D10310" s="249"/>
      <c r="E10310" s="249"/>
      <c r="T10310" s="261"/>
    </row>
    <row r="10311" spans="2:20" x14ac:dyDescent="0.2">
      <c r="B10311" s="245"/>
      <c r="C10311" s="248"/>
      <c r="D10311" s="249"/>
      <c r="E10311" s="249"/>
      <c r="T10311" s="261"/>
    </row>
    <row r="10312" spans="2:20" x14ac:dyDescent="0.2">
      <c r="B10312" s="245"/>
      <c r="C10312" s="248"/>
      <c r="D10312" s="249"/>
      <c r="E10312" s="249"/>
      <c r="T10312" s="261"/>
    </row>
    <row r="10313" spans="2:20" x14ac:dyDescent="0.2">
      <c r="B10313" s="245"/>
      <c r="C10313" s="248"/>
      <c r="D10313" s="249"/>
      <c r="E10313" s="249"/>
      <c r="T10313" s="261"/>
    </row>
    <row r="10314" spans="2:20" x14ac:dyDescent="0.2">
      <c r="B10314" s="245"/>
      <c r="C10314" s="248"/>
      <c r="D10314" s="249"/>
      <c r="E10314" s="249"/>
      <c r="T10314" s="261"/>
    </row>
    <row r="10315" spans="2:20" x14ac:dyDescent="0.2">
      <c r="B10315" s="245"/>
      <c r="C10315" s="248"/>
      <c r="D10315" s="249"/>
      <c r="E10315" s="249"/>
      <c r="T10315" s="261"/>
    </row>
    <row r="10316" spans="2:20" x14ac:dyDescent="0.2">
      <c r="B10316" s="245"/>
      <c r="C10316" s="248"/>
      <c r="D10316" s="249"/>
      <c r="E10316" s="249"/>
      <c r="T10316" s="261"/>
    </row>
    <row r="10317" spans="2:20" x14ac:dyDescent="0.2">
      <c r="B10317" s="245"/>
      <c r="C10317" s="248"/>
      <c r="D10317" s="249"/>
      <c r="E10317" s="249"/>
      <c r="T10317" s="261"/>
    </row>
    <row r="10318" spans="2:20" x14ac:dyDescent="0.2">
      <c r="B10318" s="245"/>
      <c r="C10318" s="248"/>
      <c r="D10318" s="249"/>
      <c r="E10318" s="249"/>
      <c r="T10318" s="261"/>
    </row>
    <row r="10319" spans="2:20" x14ac:dyDescent="0.2">
      <c r="B10319" s="245"/>
      <c r="C10319" s="248"/>
      <c r="D10319" s="249"/>
      <c r="E10319" s="249"/>
      <c r="T10319" s="261"/>
    </row>
    <row r="10320" spans="2:20" x14ac:dyDescent="0.2">
      <c r="B10320" s="245"/>
      <c r="C10320" s="248"/>
      <c r="D10320" s="249"/>
      <c r="E10320" s="249"/>
      <c r="T10320" s="261"/>
    </row>
    <row r="10321" spans="2:20" x14ac:dyDescent="0.2">
      <c r="B10321" s="245"/>
      <c r="C10321" s="248"/>
      <c r="D10321" s="249"/>
      <c r="E10321" s="249"/>
      <c r="T10321" s="261"/>
    </row>
    <row r="10322" spans="2:20" x14ac:dyDescent="0.2">
      <c r="B10322" s="245"/>
      <c r="C10322" s="248"/>
      <c r="D10322" s="249"/>
      <c r="E10322" s="249"/>
      <c r="T10322" s="261"/>
    </row>
    <row r="10323" spans="2:20" x14ac:dyDescent="0.2">
      <c r="B10323" s="245"/>
      <c r="C10323" s="248"/>
      <c r="D10323" s="249"/>
      <c r="E10323" s="249"/>
      <c r="T10323" s="261"/>
    </row>
    <row r="10324" spans="2:20" x14ac:dyDescent="0.2">
      <c r="B10324" s="245"/>
      <c r="C10324" s="248"/>
      <c r="D10324" s="249"/>
      <c r="E10324" s="249"/>
      <c r="T10324" s="261"/>
    </row>
    <row r="10325" spans="2:20" x14ac:dyDescent="0.2">
      <c r="B10325" s="245"/>
      <c r="C10325" s="248"/>
      <c r="D10325" s="249"/>
      <c r="E10325" s="249"/>
      <c r="T10325" s="261"/>
    </row>
    <row r="10326" spans="2:20" x14ac:dyDescent="0.2">
      <c r="B10326" s="245"/>
      <c r="C10326" s="248"/>
      <c r="D10326" s="249"/>
      <c r="E10326" s="249"/>
      <c r="T10326" s="261"/>
    </row>
    <row r="10327" spans="2:20" x14ac:dyDescent="0.2">
      <c r="B10327" s="245"/>
      <c r="C10327" s="248"/>
      <c r="D10327" s="249"/>
      <c r="E10327" s="249"/>
      <c r="T10327" s="261"/>
    </row>
    <row r="10328" spans="2:20" x14ac:dyDescent="0.2">
      <c r="B10328" s="245"/>
      <c r="C10328" s="248"/>
      <c r="D10328" s="249"/>
      <c r="E10328" s="249"/>
      <c r="T10328" s="261"/>
    </row>
    <row r="10329" spans="2:20" x14ac:dyDescent="0.2">
      <c r="B10329" s="245"/>
      <c r="C10329" s="248"/>
      <c r="D10329" s="249"/>
      <c r="E10329" s="249"/>
      <c r="T10329" s="261"/>
    </row>
    <row r="10330" spans="2:20" x14ac:dyDescent="0.2">
      <c r="B10330" s="245"/>
      <c r="C10330" s="248"/>
      <c r="D10330" s="249"/>
      <c r="E10330" s="249"/>
      <c r="T10330" s="261"/>
    </row>
    <row r="10331" spans="2:20" x14ac:dyDescent="0.2">
      <c r="B10331" s="245"/>
      <c r="C10331" s="248"/>
      <c r="D10331" s="249"/>
      <c r="E10331" s="249"/>
      <c r="T10331" s="261"/>
    </row>
    <row r="10332" spans="2:20" x14ac:dyDescent="0.2">
      <c r="B10332" s="245"/>
      <c r="C10332" s="248"/>
      <c r="D10332" s="249"/>
      <c r="E10332" s="249"/>
      <c r="T10332" s="261"/>
    </row>
    <row r="10333" spans="2:20" x14ac:dyDescent="0.2">
      <c r="B10333" s="245"/>
      <c r="C10333" s="248"/>
      <c r="D10333" s="249"/>
      <c r="E10333" s="249"/>
      <c r="T10333" s="261"/>
    </row>
    <row r="10334" spans="2:20" x14ac:dyDescent="0.2">
      <c r="B10334" s="245"/>
      <c r="C10334" s="248"/>
      <c r="D10334" s="249"/>
      <c r="E10334" s="249"/>
      <c r="T10334" s="261"/>
    </row>
    <row r="10335" spans="2:20" x14ac:dyDescent="0.2">
      <c r="B10335" s="245"/>
      <c r="C10335" s="248"/>
      <c r="D10335" s="249"/>
      <c r="E10335" s="249"/>
      <c r="T10335" s="261"/>
    </row>
    <row r="10336" spans="2:20" x14ac:dyDescent="0.2">
      <c r="B10336" s="245"/>
      <c r="C10336" s="248"/>
      <c r="D10336" s="249"/>
      <c r="E10336" s="249"/>
      <c r="T10336" s="261"/>
    </row>
    <row r="10337" spans="2:20" x14ac:dyDescent="0.2">
      <c r="B10337" s="245"/>
      <c r="C10337" s="248"/>
      <c r="D10337" s="249"/>
      <c r="E10337" s="249"/>
      <c r="T10337" s="261"/>
    </row>
    <row r="10338" spans="2:20" x14ac:dyDescent="0.2">
      <c r="B10338" s="245"/>
      <c r="C10338" s="248"/>
      <c r="D10338" s="249"/>
      <c r="E10338" s="249"/>
      <c r="T10338" s="261"/>
    </row>
    <row r="10339" spans="2:20" x14ac:dyDescent="0.2">
      <c r="B10339" s="245"/>
      <c r="C10339" s="248"/>
      <c r="D10339" s="249"/>
      <c r="E10339" s="249"/>
      <c r="T10339" s="261"/>
    </row>
    <row r="10340" spans="2:20" x14ac:dyDescent="0.2">
      <c r="B10340" s="245"/>
      <c r="C10340" s="248"/>
      <c r="D10340" s="249"/>
      <c r="E10340" s="249"/>
      <c r="T10340" s="261"/>
    </row>
    <row r="10341" spans="2:20" x14ac:dyDescent="0.2">
      <c r="B10341" s="245"/>
      <c r="C10341" s="248"/>
      <c r="D10341" s="249"/>
      <c r="E10341" s="249"/>
      <c r="T10341" s="261"/>
    </row>
    <row r="10342" spans="2:20" x14ac:dyDescent="0.2">
      <c r="B10342" s="245"/>
      <c r="C10342" s="248"/>
      <c r="D10342" s="249"/>
      <c r="E10342" s="249"/>
      <c r="T10342" s="261"/>
    </row>
    <row r="10343" spans="2:20" x14ac:dyDescent="0.2">
      <c r="B10343" s="245"/>
      <c r="C10343" s="248"/>
      <c r="D10343" s="249"/>
      <c r="E10343" s="249"/>
      <c r="T10343" s="261"/>
    </row>
    <row r="10344" spans="2:20" x14ac:dyDescent="0.2">
      <c r="B10344" s="245"/>
      <c r="C10344" s="248"/>
      <c r="D10344" s="249"/>
      <c r="E10344" s="249"/>
      <c r="T10344" s="261"/>
    </row>
    <row r="10345" spans="2:20" x14ac:dyDescent="0.2">
      <c r="B10345" s="245"/>
      <c r="C10345" s="248"/>
      <c r="D10345" s="249"/>
      <c r="E10345" s="249"/>
      <c r="T10345" s="261"/>
    </row>
    <row r="10346" spans="2:20" x14ac:dyDescent="0.2">
      <c r="B10346" s="245"/>
      <c r="C10346" s="248"/>
      <c r="D10346" s="249"/>
      <c r="E10346" s="249"/>
      <c r="T10346" s="261"/>
    </row>
    <row r="10347" spans="2:20" x14ac:dyDescent="0.2">
      <c r="B10347" s="245"/>
      <c r="C10347" s="248"/>
      <c r="D10347" s="249"/>
      <c r="E10347" s="249"/>
      <c r="T10347" s="261"/>
    </row>
    <row r="10348" spans="2:20" x14ac:dyDescent="0.2">
      <c r="B10348" s="245"/>
      <c r="C10348" s="248"/>
      <c r="D10348" s="249"/>
      <c r="E10348" s="249"/>
      <c r="T10348" s="261"/>
    </row>
    <row r="10349" spans="2:20" x14ac:dyDescent="0.2">
      <c r="B10349" s="245"/>
      <c r="C10349" s="248"/>
      <c r="D10349" s="249"/>
      <c r="E10349" s="249"/>
      <c r="T10349" s="261"/>
    </row>
    <row r="10350" spans="2:20" x14ac:dyDescent="0.2">
      <c r="B10350" s="245"/>
      <c r="C10350" s="248"/>
      <c r="D10350" s="249"/>
      <c r="E10350" s="249"/>
      <c r="T10350" s="261"/>
    </row>
    <row r="10351" spans="2:20" x14ac:dyDescent="0.2">
      <c r="B10351" s="245"/>
      <c r="C10351" s="248"/>
      <c r="D10351" s="249"/>
      <c r="E10351" s="249"/>
      <c r="T10351" s="261"/>
    </row>
    <row r="10352" spans="2:20" x14ac:dyDescent="0.2">
      <c r="B10352" s="245"/>
      <c r="C10352" s="248"/>
      <c r="D10352" s="249"/>
      <c r="E10352" s="249"/>
      <c r="T10352" s="261"/>
    </row>
    <row r="10353" spans="2:20" x14ac:dyDescent="0.2">
      <c r="B10353" s="245"/>
      <c r="C10353" s="248"/>
      <c r="D10353" s="249"/>
      <c r="E10353" s="249"/>
      <c r="T10353" s="261"/>
    </row>
    <row r="10354" spans="2:20" x14ac:dyDescent="0.2">
      <c r="B10354" s="245"/>
      <c r="C10354" s="248"/>
      <c r="D10354" s="249"/>
      <c r="E10354" s="249"/>
      <c r="T10354" s="261"/>
    </row>
    <row r="10355" spans="2:20" x14ac:dyDescent="0.2">
      <c r="B10355" s="245"/>
      <c r="C10355" s="248"/>
      <c r="D10355" s="249"/>
      <c r="E10355" s="249"/>
      <c r="T10355" s="261"/>
    </row>
    <row r="10356" spans="2:20" x14ac:dyDescent="0.2">
      <c r="B10356" s="245"/>
      <c r="C10356" s="248"/>
      <c r="D10356" s="249"/>
      <c r="E10356" s="249"/>
      <c r="T10356" s="261"/>
    </row>
    <row r="10357" spans="2:20" x14ac:dyDescent="0.2">
      <c r="B10357" s="245"/>
      <c r="C10357" s="248"/>
      <c r="D10357" s="249"/>
      <c r="E10357" s="249"/>
      <c r="T10357" s="261"/>
    </row>
    <row r="10358" spans="2:20" x14ac:dyDescent="0.2">
      <c r="B10358" s="245"/>
      <c r="C10358" s="248"/>
      <c r="D10358" s="249"/>
      <c r="E10358" s="249"/>
      <c r="T10358" s="261"/>
    </row>
    <row r="10359" spans="2:20" x14ac:dyDescent="0.2">
      <c r="B10359" s="245"/>
      <c r="C10359" s="248"/>
      <c r="D10359" s="249"/>
      <c r="E10359" s="249"/>
      <c r="T10359" s="261"/>
    </row>
    <row r="10360" spans="2:20" x14ac:dyDescent="0.2">
      <c r="B10360" s="245"/>
      <c r="C10360" s="248"/>
      <c r="D10360" s="249"/>
      <c r="E10360" s="249"/>
      <c r="T10360" s="261"/>
    </row>
    <row r="10361" spans="2:20" x14ac:dyDescent="0.2">
      <c r="B10361" s="245"/>
      <c r="C10361" s="248"/>
      <c r="D10361" s="249"/>
      <c r="E10361" s="249"/>
      <c r="T10361" s="261"/>
    </row>
    <row r="10362" spans="2:20" x14ac:dyDescent="0.2">
      <c r="B10362" s="245"/>
      <c r="C10362" s="248"/>
      <c r="D10362" s="249"/>
      <c r="E10362" s="249"/>
      <c r="T10362" s="261"/>
    </row>
    <row r="10363" spans="2:20" x14ac:dyDescent="0.2">
      <c r="B10363" s="245"/>
      <c r="C10363" s="248"/>
      <c r="D10363" s="249"/>
      <c r="E10363" s="249"/>
      <c r="T10363" s="261"/>
    </row>
    <row r="10364" spans="2:20" x14ac:dyDescent="0.2">
      <c r="B10364" s="245"/>
      <c r="C10364" s="248"/>
      <c r="D10364" s="249"/>
      <c r="E10364" s="249"/>
      <c r="T10364" s="261"/>
    </row>
    <row r="10365" spans="2:20" x14ac:dyDescent="0.2">
      <c r="B10365" s="245"/>
      <c r="C10365" s="248"/>
      <c r="D10365" s="249"/>
      <c r="E10365" s="249"/>
      <c r="T10365" s="261"/>
    </row>
    <row r="10366" spans="2:20" x14ac:dyDescent="0.2">
      <c r="B10366" s="245"/>
      <c r="C10366" s="248"/>
      <c r="D10366" s="249"/>
      <c r="E10366" s="249"/>
      <c r="T10366" s="261"/>
    </row>
    <row r="10367" spans="2:20" x14ac:dyDescent="0.2">
      <c r="B10367" s="245"/>
      <c r="C10367" s="248"/>
      <c r="D10367" s="249"/>
      <c r="E10367" s="249"/>
      <c r="T10367" s="261"/>
    </row>
    <row r="10368" spans="2:20" x14ac:dyDescent="0.2">
      <c r="B10368" s="245"/>
      <c r="C10368" s="248"/>
      <c r="D10368" s="249"/>
      <c r="E10368" s="249"/>
      <c r="T10368" s="261"/>
    </row>
    <row r="10369" spans="2:20" x14ac:dyDescent="0.2">
      <c r="B10369" s="245"/>
      <c r="C10369" s="248"/>
      <c r="D10369" s="249"/>
      <c r="E10369" s="249"/>
      <c r="T10369" s="261"/>
    </row>
    <row r="10370" spans="2:20" x14ac:dyDescent="0.2">
      <c r="B10370" s="245"/>
      <c r="C10370" s="248"/>
      <c r="D10370" s="249"/>
      <c r="E10370" s="249"/>
      <c r="T10370" s="261"/>
    </row>
    <row r="10371" spans="2:20" x14ac:dyDescent="0.2">
      <c r="B10371" s="245"/>
      <c r="C10371" s="248"/>
      <c r="D10371" s="249"/>
      <c r="E10371" s="249"/>
      <c r="T10371" s="261"/>
    </row>
    <row r="10372" spans="2:20" x14ac:dyDescent="0.2">
      <c r="B10372" s="245"/>
      <c r="C10372" s="248"/>
      <c r="D10372" s="249"/>
      <c r="E10372" s="249"/>
      <c r="T10372" s="261"/>
    </row>
    <row r="10373" spans="2:20" x14ac:dyDescent="0.2">
      <c r="B10373" s="245"/>
      <c r="C10373" s="248"/>
      <c r="D10373" s="249"/>
      <c r="E10373" s="249"/>
      <c r="T10373" s="261"/>
    </row>
    <row r="10374" spans="2:20" x14ac:dyDescent="0.2">
      <c r="B10374" s="245"/>
      <c r="C10374" s="248"/>
      <c r="D10374" s="249"/>
      <c r="E10374" s="249"/>
      <c r="T10374" s="261"/>
    </row>
    <row r="10375" spans="2:20" x14ac:dyDescent="0.2">
      <c r="B10375" s="245"/>
      <c r="C10375" s="248"/>
      <c r="D10375" s="249"/>
      <c r="E10375" s="249"/>
      <c r="T10375" s="261"/>
    </row>
    <row r="10376" spans="2:20" x14ac:dyDescent="0.2">
      <c r="B10376" s="245"/>
      <c r="C10376" s="248"/>
      <c r="D10376" s="249"/>
      <c r="E10376" s="249"/>
      <c r="T10376" s="261"/>
    </row>
    <row r="10377" spans="2:20" x14ac:dyDescent="0.2">
      <c r="B10377" s="245"/>
      <c r="C10377" s="248"/>
      <c r="D10377" s="249"/>
      <c r="E10377" s="249"/>
      <c r="T10377" s="261"/>
    </row>
    <row r="10378" spans="2:20" x14ac:dyDescent="0.2">
      <c r="B10378" s="245"/>
      <c r="C10378" s="248"/>
      <c r="D10378" s="249"/>
      <c r="E10378" s="249"/>
      <c r="T10378" s="261"/>
    </row>
    <row r="10379" spans="2:20" x14ac:dyDescent="0.2">
      <c r="B10379" s="245"/>
      <c r="C10379" s="248"/>
      <c r="D10379" s="249"/>
      <c r="E10379" s="249"/>
      <c r="T10379" s="261"/>
    </row>
    <row r="10380" spans="2:20" x14ac:dyDescent="0.2">
      <c r="B10380" s="245"/>
      <c r="C10380" s="248"/>
      <c r="D10380" s="249"/>
      <c r="E10380" s="249"/>
      <c r="T10380" s="261"/>
    </row>
    <row r="10381" spans="2:20" x14ac:dyDescent="0.2">
      <c r="B10381" s="245"/>
      <c r="C10381" s="248"/>
      <c r="D10381" s="249"/>
      <c r="E10381" s="249"/>
      <c r="T10381" s="261"/>
    </row>
    <row r="10382" spans="2:20" x14ac:dyDescent="0.2">
      <c r="B10382" s="245"/>
      <c r="C10382" s="248"/>
      <c r="D10382" s="249"/>
      <c r="E10382" s="249"/>
      <c r="T10382" s="261"/>
    </row>
    <row r="10383" spans="2:20" x14ac:dyDescent="0.2">
      <c r="B10383" s="245"/>
      <c r="C10383" s="248"/>
      <c r="D10383" s="249"/>
      <c r="E10383" s="249"/>
      <c r="T10383" s="261"/>
    </row>
    <row r="10384" spans="2:20" x14ac:dyDescent="0.2">
      <c r="B10384" s="245"/>
      <c r="C10384" s="248"/>
      <c r="D10384" s="249"/>
      <c r="E10384" s="249"/>
      <c r="T10384" s="261"/>
    </row>
    <row r="10385" spans="2:20" x14ac:dyDescent="0.2">
      <c r="B10385" s="245"/>
      <c r="C10385" s="248"/>
      <c r="D10385" s="249"/>
      <c r="E10385" s="249"/>
      <c r="T10385" s="261"/>
    </row>
    <row r="10386" spans="2:20" x14ac:dyDescent="0.2">
      <c r="B10386" s="245"/>
      <c r="C10386" s="248"/>
      <c r="D10386" s="249"/>
      <c r="E10386" s="249"/>
      <c r="T10386" s="261"/>
    </row>
    <row r="10387" spans="2:20" x14ac:dyDescent="0.2">
      <c r="B10387" s="245"/>
      <c r="C10387" s="248"/>
      <c r="D10387" s="249"/>
      <c r="E10387" s="249"/>
      <c r="T10387" s="261"/>
    </row>
    <row r="10388" spans="2:20" x14ac:dyDescent="0.2">
      <c r="B10388" s="245"/>
      <c r="C10388" s="248"/>
      <c r="D10388" s="249"/>
      <c r="E10388" s="249"/>
      <c r="T10388" s="261"/>
    </row>
    <row r="10389" spans="2:20" x14ac:dyDescent="0.2">
      <c r="B10389" s="245"/>
      <c r="C10389" s="248"/>
      <c r="D10389" s="249"/>
      <c r="E10389" s="249"/>
      <c r="T10389" s="261"/>
    </row>
    <row r="10390" spans="2:20" x14ac:dyDescent="0.2">
      <c r="B10390" s="245"/>
      <c r="C10390" s="248"/>
      <c r="D10390" s="249"/>
      <c r="E10390" s="249"/>
      <c r="T10390" s="261"/>
    </row>
    <row r="10391" spans="2:20" x14ac:dyDescent="0.2">
      <c r="B10391" s="245"/>
      <c r="C10391" s="248"/>
      <c r="D10391" s="249"/>
      <c r="E10391" s="249"/>
      <c r="T10391" s="261"/>
    </row>
    <row r="10392" spans="2:20" x14ac:dyDescent="0.2">
      <c r="B10392" s="245"/>
      <c r="C10392" s="248"/>
      <c r="D10392" s="249"/>
      <c r="E10392" s="249"/>
      <c r="T10392" s="261"/>
    </row>
    <row r="10393" spans="2:20" x14ac:dyDescent="0.2">
      <c r="B10393" s="245"/>
      <c r="C10393" s="248"/>
      <c r="D10393" s="249"/>
      <c r="E10393" s="249"/>
      <c r="T10393" s="261"/>
    </row>
    <row r="10394" spans="2:20" x14ac:dyDescent="0.2">
      <c r="B10394" s="245"/>
      <c r="C10394" s="248"/>
      <c r="D10394" s="249"/>
      <c r="E10394" s="249"/>
      <c r="T10394" s="261"/>
    </row>
    <row r="10395" spans="2:20" x14ac:dyDescent="0.2">
      <c r="B10395" s="245"/>
      <c r="C10395" s="248"/>
      <c r="D10395" s="249"/>
      <c r="E10395" s="249"/>
      <c r="T10395" s="261"/>
    </row>
    <row r="10396" spans="2:20" x14ac:dyDescent="0.2">
      <c r="B10396" s="245"/>
      <c r="C10396" s="248"/>
      <c r="D10396" s="249"/>
      <c r="E10396" s="249"/>
      <c r="T10396" s="261"/>
    </row>
    <row r="10397" spans="2:20" x14ac:dyDescent="0.2">
      <c r="B10397" s="245"/>
      <c r="C10397" s="248"/>
      <c r="D10397" s="249"/>
      <c r="E10397" s="249"/>
      <c r="T10397" s="261"/>
    </row>
    <row r="10398" spans="2:20" x14ac:dyDescent="0.2">
      <c r="B10398" s="245"/>
      <c r="C10398" s="248"/>
      <c r="D10398" s="249"/>
      <c r="E10398" s="249"/>
      <c r="T10398" s="261"/>
    </row>
    <row r="10399" spans="2:20" x14ac:dyDescent="0.2">
      <c r="B10399" s="245"/>
      <c r="C10399" s="248"/>
      <c r="D10399" s="249"/>
      <c r="E10399" s="249"/>
      <c r="T10399" s="261"/>
    </row>
    <row r="10400" spans="2:20" x14ac:dyDescent="0.2">
      <c r="B10400" s="245"/>
      <c r="C10400" s="248"/>
      <c r="D10400" s="249"/>
      <c r="E10400" s="249"/>
      <c r="T10400" s="261"/>
    </row>
    <row r="10401" spans="2:20" x14ac:dyDescent="0.2">
      <c r="B10401" s="245"/>
      <c r="C10401" s="248"/>
      <c r="D10401" s="249"/>
      <c r="E10401" s="249"/>
      <c r="T10401" s="261"/>
    </row>
    <row r="10402" spans="2:20" x14ac:dyDescent="0.2">
      <c r="B10402" s="245"/>
      <c r="C10402" s="248"/>
      <c r="D10402" s="249"/>
      <c r="E10402" s="249"/>
      <c r="T10402" s="261"/>
    </row>
    <row r="10403" spans="2:20" x14ac:dyDescent="0.2">
      <c r="B10403" s="245"/>
      <c r="C10403" s="248"/>
      <c r="D10403" s="249"/>
      <c r="E10403" s="249"/>
      <c r="T10403" s="261"/>
    </row>
    <row r="10404" spans="2:20" x14ac:dyDescent="0.2">
      <c r="B10404" s="245"/>
      <c r="C10404" s="248"/>
      <c r="D10404" s="249"/>
      <c r="E10404" s="249"/>
      <c r="T10404" s="261"/>
    </row>
    <row r="10405" spans="2:20" x14ac:dyDescent="0.2">
      <c r="B10405" s="245"/>
      <c r="C10405" s="248"/>
      <c r="D10405" s="249"/>
      <c r="E10405" s="249"/>
      <c r="T10405" s="261"/>
    </row>
    <row r="10406" spans="2:20" x14ac:dyDescent="0.2">
      <c r="B10406" s="245"/>
      <c r="C10406" s="248"/>
      <c r="D10406" s="249"/>
      <c r="E10406" s="249"/>
      <c r="T10406" s="261"/>
    </row>
    <row r="10407" spans="2:20" x14ac:dyDescent="0.2">
      <c r="B10407" s="245"/>
      <c r="C10407" s="248"/>
      <c r="D10407" s="249"/>
      <c r="E10407" s="249"/>
      <c r="T10407" s="261"/>
    </row>
    <row r="10408" spans="2:20" x14ac:dyDescent="0.2">
      <c r="B10408" s="245"/>
      <c r="C10408" s="248"/>
      <c r="D10408" s="249"/>
      <c r="E10408" s="249"/>
      <c r="T10408" s="261"/>
    </row>
    <row r="10409" spans="2:20" x14ac:dyDescent="0.2">
      <c r="B10409" s="245"/>
      <c r="C10409" s="248"/>
      <c r="D10409" s="249"/>
      <c r="E10409" s="249"/>
      <c r="T10409" s="261"/>
    </row>
    <row r="10410" spans="2:20" x14ac:dyDescent="0.2">
      <c r="B10410" s="245"/>
      <c r="C10410" s="248"/>
      <c r="D10410" s="249"/>
      <c r="E10410" s="249"/>
      <c r="T10410" s="261"/>
    </row>
    <row r="10411" spans="2:20" x14ac:dyDescent="0.2">
      <c r="B10411" s="245"/>
      <c r="C10411" s="248"/>
      <c r="D10411" s="249"/>
      <c r="E10411" s="249"/>
      <c r="T10411" s="261"/>
    </row>
    <row r="10412" spans="2:20" x14ac:dyDescent="0.2">
      <c r="B10412" s="245"/>
      <c r="C10412" s="248"/>
      <c r="D10412" s="249"/>
      <c r="E10412" s="249"/>
      <c r="T10412" s="261"/>
    </row>
    <row r="10413" spans="2:20" x14ac:dyDescent="0.2">
      <c r="B10413" s="245"/>
      <c r="C10413" s="248"/>
      <c r="D10413" s="249"/>
      <c r="E10413" s="249"/>
      <c r="T10413" s="261"/>
    </row>
    <row r="10414" spans="2:20" x14ac:dyDescent="0.2">
      <c r="B10414" s="245"/>
      <c r="C10414" s="248"/>
      <c r="D10414" s="249"/>
      <c r="E10414" s="249"/>
      <c r="T10414" s="261"/>
    </row>
    <row r="10415" spans="2:20" x14ac:dyDescent="0.2">
      <c r="B10415" s="245"/>
      <c r="C10415" s="248"/>
      <c r="D10415" s="249"/>
      <c r="E10415" s="249"/>
      <c r="T10415" s="261"/>
    </row>
    <row r="10416" spans="2:20" x14ac:dyDescent="0.2">
      <c r="B10416" s="245"/>
      <c r="C10416" s="248"/>
      <c r="D10416" s="249"/>
      <c r="E10416" s="249"/>
      <c r="T10416" s="261"/>
    </row>
    <row r="10417" spans="2:20" x14ac:dyDescent="0.2">
      <c r="B10417" s="245"/>
      <c r="C10417" s="248"/>
      <c r="D10417" s="249"/>
      <c r="E10417" s="249"/>
      <c r="T10417" s="261"/>
    </row>
    <row r="10418" spans="2:20" x14ac:dyDescent="0.2">
      <c r="B10418" s="245"/>
      <c r="C10418" s="248"/>
      <c r="D10418" s="249"/>
      <c r="E10418" s="249"/>
      <c r="T10418" s="261"/>
    </row>
    <row r="10419" spans="2:20" x14ac:dyDescent="0.2">
      <c r="B10419" s="245"/>
      <c r="C10419" s="248"/>
      <c r="D10419" s="249"/>
      <c r="E10419" s="249"/>
      <c r="T10419" s="261"/>
    </row>
    <row r="10420" spans="2:20" x14ac:dyDescent="0.2">
      <c r="B10420" s="245"/>
      <c r="C10420" s="248"/>
      <c r="D10420" s="249"/>
      <c r="E10420" s="249"/>
      <c r="T10420" s="261"/>
    </row>
    <row r="10421" spans="2:20" x14ac:dyDescent="0.2">
      <c r="B10421" s="245"/>
      <c r="C10421" s="248"/>
      <c r="D10421" s="249"/>
      <c r="E10421" s="249"/>
      <c r="T10421" s="261"/>
    </row>
    <row r="10422" spans="2:20" x14ac:dyDescent="0.2">
      <c r="B10422" s="245"/>
      <c r="C10422" s="248"/>
      <c r="D10422" s="249"/>
      <c r="E10422" s="249"/>
      <c r="T10422" s="261"/>
    </row>
    <row r="10423" spans="2:20" x14ac:dyDescent="0.2">
      <c r="B10423" s="245"/>
      <c r="C10423" s="248"/>
      <c r="D10423" s="249"/>
      <c r="E10423" s="249"/>
      <c r="T10423" s="261"/>
    </row>
    <row r="10424" spans="2:20" x14ac:dyDescent="0.2">
      <c r="B10424" s="245"/>
      <c r="C10424" s="248"/>
      <c r="D10424" s="249"/>
      <c r="E10424" s="249"/>
      <c r="T10424" s="261"/>
    </row>
    <row r="10425" spans="2:20" x14ac:dyDescent="0.2">
      <c r="B10425" s="245"/>
      <c r="C10425" s="248"/>
      <c r="D10425" s="249"/>
      <c r="E10425" s="249"/>
      <c r="T10425" s="261"/>
    </row>
    <row r="10426" spans="2:20" x14ac:dyDescent="0.2">
      <c r="B10426" s="245"/>
      <c r="C10426" s="248"/>
      <c r="D10426" s="249"/>
      <c r="E10426" s="249"/>
      <c r="T10426" s="261"/>
    </row>
    <row r="10427" spans="2:20" x14ac:dyDescent="0.2">
      <c r="B10427" s="245"/>
      <c r="C10427" s="248"/>
      <c r="D10427" s="249"/>
      <c r="E10427" s="249"/>
      <c r="T10427" s="261"/>
    </row>
    <row r="10428" spans="2:20" x14ac:dyDescent="0.2">
      <c r="B10428" s="245"/>
      <c r="C10428" s="248"/>
      <c r="D10428" s="249"/>
      <c r="E10428" s="249"/>
      <c r="T10428" s="261"/>
    </row>
    <row r="10429" spans="2:20" x14ac:dyDescent="0.2">
      <c r="B10429" s="245"/>
      <c r="C10429" s="248"/>
      <c r="D10429" s="249"/>
      <c r="E10429" s="249"/>
      <c r="T10429" s="261"/>
    </row>
    <row r="10430" spans="2:20" x14ac:dyDescent="0.2">
      <c r="B10430" s="245"/>
      <c r="C10430" s="248"/>
      <c r="D10430" s="249"/>
      <c r="E10430" s="249"/>
      <c r="T10430" s="261"/>
    </row>
    <row r="10431" spans="2:20" x14ac:dyDescent="0.2">
      <c r="B10431" s="245"/>
      <c r="C10431" s="248"/>
      <c r="D10431" s="249"/>
      <c r="E10431" s="249"/>
      <c r="T10431" s="261"/>
    </row>
    <row r="10432" spans="2:20" x14ac:dyDescent="0.2">
      <c r="B10432" s="245"/>
      <c r="C10432" s="248"/>
      <c r="D10432" s="249"/>
      <c r="E10432" s="249"/>
      <c r="T10432" s="261"/>
    </row>
    <row r="10433" spans="2:20" x14ac:dyDescent="0.2">
      <c r="B10433" s="245"/>
      <c r="C10433" s="248"/>
      <c r="D10433" s="249"/>
      <c r="E10433" s="249"/>
      <c r="T10433" s="261"/>
    </row>
    <row r="10434" spans="2:20" x14ac:dyDescent="0.2">
      <c r="B10434" s="245"/>
      <c r="C10434" s="248"/>
      <c r="D10434" s="249"/>
      <c r="E10434" s="249"/>
      <c r="T10434" s="261"/>
    </row>
    <row r="10435" spans="2:20" x14ac:dyDescent="0.2">
      <c r="B10435" s="245"/>
      <c r="C10435" s="248"/>
      <c r="D10435" s="249"/>
      <c r="E10435" s="249"/>
      <c r="T10435" s="261"/>
    </row>
    <row r="10436" spans="2:20" x14ac:dyDescent="0.2">
      <c r="B10436" s="245"/>
      <c r="C10436" s="248"/>
      <c r="D10436" s="249"/>
      <c r="E10436" s="249"/>
      <c r="T10436" s="261"/>
    </row>
    <row r="10437" spans="2:20" x14ac:dyDescent="0.2">
      <c r="B10437" s="245"/>
      <c r="C10437" s="248"/>
      <c r="D10437" s="249"/>
      <c r="E10437" s="249"/>
      <c r="T10437" s="261"/>
    </row>
    <row r="10438" spans="2:20" x14ac:dyDescent="0.2">
      <c r="B10438" s="245"/>
      <c r="C10438" s="248"/>
      <c r="D10438" s="249"/>
      <c r="E10438" s="249"/>
      <c r="T10438" s="261"/>
    </row>
    <row r="10439" spans="2:20" x14ac:dyDescent="0.2">
      <c r="B10439" s="245"/>
      <c r="C10439" s="248"/>
      <c r="D10439" s="249"/>
      <c r="E10439" s="249"/>
      <c r="T10439" s="261"/>
    </row>
    <row r="10440" spans="2:20" x14ac:dyDescent="0.2">
      <c r="B10440" s="245"/>
      <c r="C10440" s="248"/>
      <c r="D10440" s="249"/>
      <c r="E10440" s="249"/>
      <c r="T10440" s="261"/>
    </row>
    <row r="10441" spans="2:20" x14ac:dyDescent="0.2">
      <c r="B10441" s="245"/>
      <c r="C10441" s="248"/>
      <c r="D10441" s="249"/>
      <c r="E10441" s="249"/>
      <c r="T10441" s="261"/>
    </row>
    <row r="10442" spans="2:20" x14ac:dyDescent="0.2">
      <c r="B10442" s="245"/>
      <c r="C10442" s="248"/>
      <c r="D10442" s="249"/>
      <c r="E10442" s="249"/>
      <c r="T10442" s="261"/>
    </row>
    <row r="10443" spans="2:20" x14ac:dyDescent="0.2">
      <c r="B10443" s="245"/>
      <c r="C10443" s="248"/>
      <c r="D10443" s="249"/>
      <c r="E10443" s="249"/>
      <c r="T10443" s="261"/>
    </row>
    <row r="10444" spans="2:20" x14ac:dyDescent="0.2">
      <c r="B10444" s="245"/>
      <c r="C10444" s="248"/>
      <c r="D10444" s="249"/>
      <c r="E10444" s="249"/>
      <c r="T10444" s="261"/>
    </row>
    <row r="10445" spans="2:20" x14ac:dyDescent="0.2">
      <c r="B10445" s="245"/>
      <c r="C10445" s="248"/>
      <c r="D10445" s="249"/>
      <c r="E10445" s="249"/>
      <c r="T10445" s="261"/>
    </row>
    <row r="10446" spans="2:20" x14ac:dyDescent="0.2">
      <c r="B10446" s="245"/>
      <c r="C10446" s="248"/>
      <c r="D10446" s="249"/>
      <c r="E10446" s="249"/>
      <c r="T10446" s="261"/>
    </row>
    <row r="10447" spans="2:20" x14ac:dyDescent="0.2">
      <c r="B10447" s="245"/>
      <c r="C10447" s="248"/>
      <c r="D10447" s="249"/>
      <c r="E10447" s="249"/>
      <c r="T10447" s="261"/>
    </row>
    <row r="10448" spans="2:20" x14ac:dyDescent="0.2">
      <c r="B10448" s="245"/>
      <c r="C10448" s="248"/>
      <c r="D10448" s="249"/>
      <c r="E10448" s="249"/>
      <c r="T10448" s="261"/>
    </row>
    <row r="10449" spans="2:20" x14ac:dyDescent="0.2">
      <c r="B10449" s="245"/>
      <c r="C10449" s="248"/>
      <c r="D10449" s="249"/>
      <c r="E10449" s="249"/>
      <c r="T10449" s="261"/>
    </row>
    <row r="10450" spans="2:20" x14ac:dyDescent="0.2">
      <c r="B10450" s="245"/>
      <c r="C10450" s="248"/>
      <c r="D10450" s="249"/>
      <c r="E10450" s="249"/>
      <c r="T10450" s="261"/>
    </row>
    <row r="10451" spans="2:20" x14ac:dyDescent="0.2">
      <c r="B10451" s="245"/>
      <c r="C10451" s="248"/>
      <c r="D10451" s="249"/>
      <c r="E10451" s="249"/>
      <c r="T10451" s="261"/>
    </row>
    <row r="10452" spans="2:20" x14ac:dyDescent="0.2">
      <c r="B10452" s="245"/>
      <c r="C10452" s="248"/>
      <c r="D10452" s="249"/>
      <c r="E10452" s="249"/>
      <c r="T10452" s="261"/>
    </row>
    <row r="10453" spans="2:20" x14ac:dyDescent="0.2">
      <c r="B10453" s="245"/>
      <c r="C10453" s="248"/>
      <c r="D10453" s="249"/>
      <c r="E10453" s="249"/>
      <c r="T10453" s="261"/>
    </row>
    <row r="10454" spans="2:20" x14ac:dyDescent="0.2">
      <c r="B10454" s="245"/>
      <c r="C10454" s="248"/>
      <c r="D10454" s="249"/>
      <c r="E10454" s="249"/>
      <c r="T10454" s="261"/>
    </row>
    <row r="10455" spans="2:20" x14ac:dyDescent="0.2">
      <c r="B10455" s="245"/>
      <c r="C10455" s="248"/>
      <c r="D10455" s="249"/>
      <c r="E10455" s="249"/>
      <c r="T10455" s="261"/>
    </row>
    <row r="10456" spans="2:20" x14ac:dyDescent="0.2">
      <c r="B10456" s="245"/>
      <c r="C10456" s="248"/>
      <c r="D10456" s="249"/>
      <c r="E10456" s="249"/>
      <c r="T10456" s="261"/>
    </row>
    <row r="10457" spans="2:20" x14ac:dyDescent="0.2">
      <c r="B10457" s="245"/>
      <c r="C10457" s="248"/>
      <c r="D10457" s="249"/>
      <c r="E10457" s="249"/>
      <c r="T10457" s="261"/>
    </row>
    <row r="10458" spans="2:20" x14ac:dyDescent="0.2">
      <c r="B10458" s="245"/>
      <c r="C10458" s="248"/>
      <c r="D10458" s="249"/>
      <c r="E10458" s="249"/>
      <c r="T10458" s="261"/>
    </row>
    <row r="10459" spans="2:20" x14ac:dyDescent="0.2">
      <c r="B10459" s="245"/>
      <c r="C10459" s="248"/>
      <c r="D10459" s="249"/>
      <c r="E10459" s="249"/>
      <c r="T10459" s="261"/>
    </row>
    <row r="10460" spans="2:20" x14ac:dyDescent="0.2">
      <c r="B10460" s="245"/>
      <c r="C10460" s="248"/>
      <c r="D10460" s="249"/>
      <c r="E10460" s="249"/>
      <c r="T10460" s="261"/>
    </row>
    <row r="10461" spans="2:20" x14ac:dyDescent="0.2">
      <c r="B10461" s="245"/>
      <c r="C10461" s="248"/>
      <c r="D10461" s="249"/>
      <c r="E10461" s="249"/>
      <c r="T10461" s="261"/>
    </row>
    <row r="10462" spans="2:20" x14ac:dyDescent="0.2">
      <c r="B10462" s="245"/>
      <c r="C10462" s="248"/>
      <c r="D10462" s="249"/>
      <c r="E10462" s="249"/>
      <c r="T10462" s="261"/>
    </row>
    <row r="10463" spans="2:20" x14ac:dyDescent="0.2">
      <c r="B10463" s="245"/>
      <c r="C10463" s="248"/>
      <c r="D10463" s="249"/>
      <c r="E10463" s="249"/>
      <c r="T10463" s="261"/>
    </row>
    <row r="10464" spans="2:20" x14ac:dyDescent="0.2">
      <c r="B10464" s="245"/>
      <c r="C10464" s="248"/>
      <c r="D10464" s="249"/>
      <c r="E10464" s="249"/>
      <c r="T10464" s="261"/>
    </row>
    <row r="10465" spans="2:20" x14ac:dyDescent="0.2">
      <c r="B10465" s="245"/>
      <c r="C10465" s="248"/>
      <c r="D10465" s="249"/>
      <c r="E10465" s="249"/>
      <c r="T10465" s="261"/>
    </row>
    <row r="10466" spans="2:20" x14ac:dyDescent="0.2">
      <c r="B10466" s="245"/>
      <c r="C10466" s="248"/>
      <c r="D10466" s="249"/>
      <c r="E10466" s="249"/>
      <c r="T10466" s="261"/>
    </row>
    <row r="10467" spans="2:20" x14ac:dyDescent="0.2">
      <c r="B10467" s="245"/>
      <c r="C10467" s="248"/>
      <c r="D10467" s="249"/>
      <c r="E10467" s="249"/>
      <c r="T10467" s="261"/>
    </row>
    <row r="10468" spans="2:20" x14ac:dyDescent="0.2">
      <c r="B10468" s="245"/>
      <c r="C10468" s="248"/>
      <c r="D10468" s="249"/>
      <c r="E10468" s="249"/>
      <c r="T10468" s="261"/>
    </row>
    <row r="10469" spans="2:20" x14ac:dyDescent="0.2">
      <c r="B10469" s="245"/>
      <c r="C10469" s="248"/>
      <c r="D10469" s="249"/>
      <c r="E10469" s="249"/>
      <c r="T10469" s="261"/>
    </row>
    <row r="10470" spans="2:20" x14ac:dyDescent="0.2">
      <c r="B10470" s="245"/>
      <c r="C10470" s="248"/>
      <c r="D10470" s="249"/>
      <c r="E10470" s="249"/>
      <c r="T10470" s="261"/>
    </row>
    <row r="10471" spans="2:20" x14ac:dyDescent="0.2">
      <c r="B10471" s="245"/>
      <c r="C10471" s="248"/>
      <c r="D10471" s="249"/>
      <c r="E10471" s="249"/>
      <c r="T10471" s="261"/>
    </row>
    <row r="10472" spans="2:20" x14ac:dyDescent="0.2">
      <c r="B10472" s="245"/>
      <c r="C10472" s="248"/>
      <c r="D10472" s="249"/>
      <c r="E10472" s="249"/>
      <c r="T10472" s="261"/>
    </row>
    <row r="10473" spans="2:20" x14ac:dyDescent="0.2">
      <c r="B10473" s="245"/>
      <c r="C10473" s="248"/>
      <c r="D10473" s="249"/>
      <c r="E10473" s="249"/>
      <c r="T10473" s="261"/>
    </row>
    <row r="10474" spans="2:20" x14ac:dyDescent="0.2">
      <c r="B10474" s="245"/>
      <c r="C10474" s="248"/>
      <c r="D10474" s="249"/>
      <c r="E10474" s="249"/>
      <c r="T10474" s="261"/>
    </row>
    <row r="10475" spans="2:20" x14ac:dyDescent="0.2">
      <c r="B10475" s="245"/>
      <c r="C10475" s="248"/>
      <c r="D10475" s="249"/>
      <c r="E10475" s="249"/>
      <c r="T10475" s="261"/>
    </row>
    <row r="10476" spans="2:20" x14ac:dyDescent="0.2">
      <c r="B10476" s="245"/>
      <c r="C10476" s="248"/>
      <c r="D10476" s="249"/>
      <c r="E10476" s="249"/>
      <c r="T10476" s="261"/>
    </row>
    <row r="10477" spans="2:20" x14ac:dyDescent="0.2">
      <c r="B10477" s="245"/>
      <c r="C10477" s="248"/>
      <c r="D10477" s="249"/>
      <c r="E10477" s="249"/>
      <c r="T10477" s="261"/>
    </row>
    <row r="10478" spans="2:20" x14ac:dyDescent="0.2">
      <c r="B10478" s="245"/>
      <c r="C10478" s="248"/>
      <c r="D10478" s="249"/>
      <c r="E10478" s="249"/>
      <c r="T10478" s="261"/>
    </row>
    <row r="10479" spans="2:20" x14ac:dyDescent="0.2">
      <c r="B10479" s="245"/>
      <c r="C10479" s="248"/>
      <c r="D10479" s="249"/>
      <c r="E10479" s="249"/>
      <c r="T10479" s="261"/>
    </row>
    <row r="10480" spans="2:20" x14ac:dyDescent="0.2">
      <c r="B10480" s="245"/>
      <c r="C10480" s="248"/>
      <c r="D10480" s="249"/>
      <c r="E10480" s="249"/>
      <c r="T10480" s="261"/>
    </row>
    <row r="10481" spans="2:20" x14ac:dyDescent="0.2">
      <c r="B10481" s="245"/>
      <c r="C10481" s="248"/>
      <c r="D10481" s="249"/>
      <c r="E10481" s="249"/>
      <c r="T10481" s="261"/>
    </row>
    <row r="10482" spans="2:20" x14ac:dyDescent="0.2">
      <c r="B10482" s="245"/>
      <c r="C10482" s="248"/>
      <c r="D10482" s="249"/>
      <c r="E10482" s="249"/>
      <c r="T10482" s="261"/>
    </row>
    <row r="10483" spans="2:20" x14ac:dyDescent="0.2">
      <c r="B10483" s="245"/>
      <c r="C10483" s="248"/>
      <c r="D10483" s="249"/>
      <c r="E10483" s="249"/>
      <c r="T10483" s="261"/>
    </row>
    <row r="10484" spans="2:20" x14ac:dyDescent="0.2">
      <c r="B10484" s="245"/>
      <c r="C10484" s="248"/>
      <c r="D10484" s="249"/>
      <c r="E10484" s="249"/>
      <c r="T10484" s="261"/>
    </row>
    <row r="10485" spans="2:20" x14ac:dyDescent="0.2">
      <c r="B10485" s="245"/>
      <c r="C10485" s="248"/>
      <c r="D10485" s="249"/>
      <c r="E10485" s="249"/>
      <c r="T10485" s="261"/>
    </row>
    <row r="10486" spans="2:20" x14ac:dyDescent="0.2">
      <c r="B10486" s="245"/>
      <c r="C10486" s="248"/>
      <c r="D10486" s="249"/>
      <c r="E10486" s="249"/>
      <c r="T10486" s="261"/>
    </row>
    <row r="10487" spans="2:20" x14ac:dyDescent="0.2">
      <c r="B10487" s="245"/>
      <c r="C10487" s="248"/>
      <c r="D10487" s="249"/>
      <c r="E10487" s="249"/>
      <c r="T10487" s="261"/>
    </row>
    <row r="10488" spans="2:20" x14ac:dyDescent="0.2">
      <c r="B10488" s="245"/>
      <c r="C10488" s="248"/>
      <c r="D10488" s="249"/>
      <c r="E10488" s="249"/>
      <c r="T10488" s="261"/>
    </row>
    <row r="10489" spans="2:20" x14ac:dyDescent="0.2">
      <c r="B10489" s="245"/>
      <c r="C10489" s="248"/>
      <c r="D10489" s="249"/>
      <c r="E10489" s="249"/>
      <c r="T10489" s="261"/>
    </row>
    <row r="10490" spans="2:20" x14ac:dyDescent="0.2">
      <c r="B10490" s="245"/>
      <c r="C10490" s="248"/>
      <c r="D10490" s="249"/>
      <c r="E10490" s="249"/>
      <c r="T10490" s="261"/>
    </row>
    <row r="10491" spans="2:20" x14ac:dyDescent="0.2">
      <c r="B10491" s="245"/>
      <c r="C10491" s="248"/>
      <c r="D10491" s="249"/>
      <c r="E10491" s="249"/>
      <c r="T10491" s="261"/>
    </row>
    <row r="10492" spans="2:20" x14ac:dyDescent="0.2">
      <c r="B10492" s="245"/>
      <c r="C10492" s="248"/>
      <c r="D10492" s="249"/>
      <c r="E10492" s="249"/>
      <c r="T10492" s="261"/>
    </row>
    <row r="10493" spans="2:20" x14ac:dyDescent="0.2">
      <c r="B10493" s="245"/>
      <c r="C10493" s="248"/>
      <c r="D10493" s="249"/>
      <c r="E10493" s="249"/>
      <c r="T10493" s="261"/>
    </row>
    <row r="10494" spans="2:20" x14ac:dyDescent="0.2">
      <c r="B10494" s="245"/>
      <c r="C10494" s="248"/>
      <c r="D10494" s="249"/>
      <c r="E10494" s="249"/>
      <c r="T10494" s="261"/>
    </row>
    <row r="10495" spans="2:20" x14ac:dyDescent="0.2">
      <c r="B10495" s="245"/>
      <c r="C10495" s="248"/>
      <c r="D10495" s="249"/>
      <c r="E10495" s="249"/>
      <c r="T10495" s="261"/>
    </row>
    <row r="10496" spans="2:20" x14ac:dyDescent="0.2">
      <c r="B10496" s="245"/>
      <c r="C10496" s="248"/>
      <c r="D10496" s="249"/>
      <c r="E10496" s="249"/>
      <c r="T10496" s="261"/>
    </row>
    <row r="10497" spans="2:20" x14ac:dyDescent="0.2">
      <c r="B10497" s="245"/>
      <c r="C10497" s="248"/>
      <c r="D10497" s="249"/>
      <c r="E10497" s="249"/>
      <c r="T10497" s="261"/>
    </row>
    <row r="10498" spans="2:20" x14ac:dyDescent="0.2">
      <c r="B10498" s="245"/>
      <c r="C10498" s="248"/>
      <c r="D10498" s="249"/>
      <c r="E10498" s="249"/>
      <c r="T10498" s="261"/>
    </row>
    <row r="10499" spans="2:20" x14ac:dyDescent="0.2">
      <c r="B10499" s="245"/>
      <c r="C10499" s="248"/>
      <c r="D10499" s="249"/>
      <c r="E10499" s="249"/>
      <c r="T10499" s="261"/>
    </row>
    <row r="10500" spans="2:20" x14ac:dyDescent="0.2">
      <c r="B10500" s="245"/>
      <c r="C10500" s="248"/>
      <c r="D10500" s="249"/>
      <c r="E10500" s="249"/>
      <c r="T10500" s="261"/>
    </row>
    <row r="10501" spans="2:20" x14ac:dyDescent="0.2">
      <c r="B10501" s="245"/>
      <c r="C10501" s="248"/>
      <c r="D10501" s="249"/>
      <c r="E10501" s="249"/>
      <c r="T10501" s="261"/>
    </row>
    <row r="10502" spans="2:20" x14ac:dyDescent="0.2">
      <c r="B10502" s="245"/>
      <c r="C10502" s="248"/>
      <c r="D10502" s="249"/>
      <c r="E10502" s="249"/>
      <c r="T10502" s="261"/>
    </row>
    <row r="10503" spans="2:20" x14ac:dyDescent="0.2">
      <c r="B10503" s="245"/>
      <c r="C10503" s="248"/>
      <c r="D10503" s="249"/>
      <c r="E10503" s="249"/>
      <c r="T10503" s="261"/>
    </row>
    <row r="10504" spans="2:20" x14ac:dyDescent="0.2">
      <c r="B10504" s="245"/>
      <c r="C10504" s="248"/>
      <c r="D10504" s="249"/>
      <c r="E10504" s="249"/>
      <c r="T10504" s="261"/>
    </row>
    <row r="10505" spans="2:20" x14ac:dyDescent="0.2">
      <c r="B10505" s="245"/>
      <c r="C10505" s="248"/>
      <c r="D10505" s="249"/>
      <c r="E10505" s="249"/>
      <c r="T10505" s="261"/>
    </row>
    <row r="10506" spans="2:20" x14ac:dyDescent="0.2">
      <c r="B10506" s="245"/>
      <c r="C10506" s="248"/>
      <c r="D10506" s="249"/>
      <c r="E10506" s="249"/>
      <c r="T10506" s="261"/>
    </row>
    <row r="10507" spans="2:20" x14ac:dyDescent="0.2">
      <c r="B10507" s="245"/>
      <c r="C10507" s="248"/>
      <c r="D10507" s="249"/>
      <c r="E10507" s="249"/>
      <c r="T10507" s="261"/>
    </row>
    <row r="10508" spans="2:20" x14ac:dyDescent="0.2">
      <c r="B10508" s="245"/>
      <c r="C10508" s="248"/>
      <c r="D10508" s="249"/>
      <c r="E10508" s="249"/>
      <c r="T10508" s="261"/>
    </row>
    <row r="10509" spans="2:20" x14ac:dyDescent="0.2">
      <c r="B10509" s="245"/>
      <c r="C10509" s="248"/>
      <c r="D10509" s="249"/>
      <c r="E10509" s="249"/>
      <c r="T10509" s="261"/>
    </row>
    <row r="10510" spans="2:20" x14ac:dyDescent="0.2">
      <c r="B10510" s="245"/>
      <c r="C10510" s="248"/>
      <c r="D10510" s="249"/>
      <c r="E10510" s="249"/>
      <c r="T10510" s="261"/>
    </row>
    <row r="10511" spans="2:20" x14ac:dyDescent="0.2">
      <c r="B10511" s="245"/>
      <c r="C10511" s="248"/>
      <c r="D10511" s="249"/>
      <c r="E10511" s="249"/>
      <c r="T10511" s="261"/>
    </row>
    <row r="10512" spans="2:20" x14ac:dyDescent="0.2">
      <c r="B10512" s="245"/>
      <c r="C10512" s="248"/>
      <c r="D10512" s="249"/>
      <c r="E10512" s="249"/>
      <c r="T10512" s="261"/>
    </row>
    <row r="10513" spans="2:20" x14ac:dyDescent="0.2">
      <c r="B10513" s="245"/>
      <c r="C10513" s="248"/>
      <c r="D10513" s="249"/>
      <c r="E10513" s="249"/>
      <c r="T10513" s="261"/>
    </row>
    <row r="10514" spans="2:20" x14ac:dyDescent="0.2">
      <c r="B10514" s="245"/>
      <c r="C10514" s="248"/>
      <c r="D10514" s="249"/>
      <c r="E10514" s="249"/>
      <c r="T10514" s="261"/>
    </row>
    <row r="10515" spans="2:20" x14ac:dyDescent="0.2">
      <c r="B10515" s="245"/>
      <c r="C10515" s="248"/>
      <c r="D10515" s="249"/>
      <c r="E10515" s="249"/>
      <c r="T10515" s="261"/>
    </row>
    <row r="10516" spans="2:20" x14ac:dyDescent="0.2">
      <c r="B10516" s="245"/>
      <c r="C10516" s="248"/>
      <c r="D10516" s="249"/>
      <c r="E10516" s="249"/>
      <c r="T10516" s="261"/>
    </row>
    <row r="10517" spans="2:20" x14ac:dyDescent="0.2">
      <c r="B10517" s="245"/>
      <c r="C10517" s="248"/>
      <c r="D10517" s="249"/>
      <c r="E10517" s="249"/>
      <c r="T10517" s="261"/>
    </row>
    <row r="10518" spans="2:20" x14ac:dyDescent="0.2">
      <c r="B10518" s="245"/>
      <c r="C10518" s="248"/>
      <c r="D10518" s="249"/>
      <c r="E10518" s="249"/>
      <c r="T10518" s="261"/>
    </row>
    <row r="10519" spans="2:20" x14ac:dyDescent="0.2">
      <c r="B10519" s="245"/>
      <c r="C10519" s="248"/>
      <c r="D10519" s="249"/>
      <c r="E10519" s="249"/>
      <c r="T10519" s="261"/>
    </row>
    <row r="10520" spans="2:20" x14ac:dyDescent="0.2">
      <c r="B10520" s="245"/>
      <c r="C10520" s="248"/>
      <c r="D10520" s="249"/>
      <c r="E10520" s="249"/>
      <c r="T10520" s="261"/>
    </row>
    <row r="10521" spans="2:20" x14ac:dyDescent="0.2">
      <c r="B10521" s="245"/>
      <c r="C10521" s="248"/>
      <c r="D10521" s="249"/>
      <c r="E10521" s="249"/>
      <c r="T10521" s="261"/>
    </row>
    <row r="10522" spans="2:20" x14ac:dyDescent="0.2">
      <c r="B10522" s="245"/>
      <c r="C10522" s="248"/>
      <c r="D10522" s="249"/>
      <c r="E10522" s="249"/>
      <c r="T10522" s="261"/>
    </row>
    <row r="10523" spans="2:20" x14ac:dyDescent="0.2">
      <c r="B10523" s="245"/>
      <c r="C10523" s="248"/>
      <c r="D10523" s="249"/>
      <c r="E10523" s="249"/>
      <c r="T10523" s="261"/>
    </row>
    <row r="10524" spans="2:20" x14ac:dyDescent="0.2">
      <c r="B10524" s="245"/>
      <c r="C10524" s="248"/>
      <c r="D10524" s="249"/>
      <c r="E10524" s="249"/>
      <c r="T10524" s="261"/>
    </row>
    <row r="10525" spans="2:20" x14ac:dyDescent="0.2">
      <c r="B10525" s="245"/>
      <c r="C10525" s="248"/>
      <c r="D10525" s="249"/>
      <c r="E10525" s="249"/>
      <c r="T10525" s="261"/>
    </row>
    <row r="10526" spans="2:20" x14ac:dyDescent="0.2">
      <c r="B10526" s="245"/>
      <c r="C10526" s="248"/>
      <c r="D10526" s="249"/>
      <c r="E10526" s="249"/>
      <c r="T10526" s="261"/>
    </row>
    <row r="10527" spans="2:20" x14ac:dyDescent="0.2">
      <c r="B10527" s="245"/>
      <c r="C10527" s="248"/>
      <c r="D10527" s="249"/>
      <c r="E10527" s="249"/>
      <c r="T10527" s="261"/>
    </row>
    <row r="10528" spans="2:20" x14ac:dyDescent="0.2">
      <c r="B10528" s="245"/>
      <c r="C10528" s="248"/>
      <c r="D10528" s="249"/>
      <c r="E10528" s="249"/>
      <c r="T10528" s="261"/>
    </row>
    <row r="10529" spans="2:20" x14ac:dyDescent="0.2">
      <c r="B10529" s="245"/>
      <c r="C10529" s="248"/>
      <c r="D10529" s="249"/>
      <c r="E10529" s="249"/>
      <c r="T10529" s="261"/>
    </row>
    <row r="10530" spans="2:20" x14ac:dyDescent="0.2">
      <c r="B10530" s="245"/>
      <c r="C10530" s="248"/>
      <c r="D10530" s="249"/>
      <c r="E10530" s="249"/>
      <c r="T10530" s="261"/>
    </row>
    <row r="10531" spans="2:20" x14ac:dyDescent="0.2">
      <c r="B10531" s="245"/>
      <c r="C10531" s="248"/>
      <c r="D10531" s="249"/>
      <c r="E10531" s="249"/>
      <c r="T10531" s="261"/>
    </row>
    <row r="10532" spans="2:20" x14ac:dyDescent="0.2">
      <c r="B10532" s="245"/>
      <c r="C10532" s="248"/>
      <c r="D10532" s="249"/>
      <c r="E10532" s="249"/>
      <c r="T10532" s="261"/>
    </row>
    <row r="10533" spans="2:20" x14ac:dyDescent="0.2">
      <c r="B10533" s="245"/>
      <c r="C10533" s="248"/>
      <c r="D10533" s="249"/>
      <c r="E10533" s="249"/>
      <c r="T10533" s="261"/>
    </row>
    <row r="10534" spans="2:20" x14ac:dyDescent="0.2">
      <c r="B10534" s="245"/>
      <c r="C10534" s="248"/>
      <c r="D10534" s="249"/>
      <c r="E10534" s="249"/>
      <c r="T10534" s="261"/>
    </row>
    <row r="10535" spans="2:20" x14ac:dyDescent="0.2">
      <c r="B10535" s="245"/>
      <c r="C10535" s="248"/>
      <c r="D10535" s="249"/>
      <c r="E10535" s="249"/>
      <c r="T10535" s="261"/>
    </row>
    <row r="10536" spans="2:20" x14ac:dyDescent="0.2">
      <c r="B10536" s="245"/>
      <c r="C10536" s="248"/>
      <c r="D10536" s="249"/>
      <c r="E10536" s="249"/>
      <c r="T10536" s="261"/>
    </row>
    <row r="10537" spans="2:20" x14ac:dyDescent="0.2">
      <c r="B10537" s="245"/>
      <c r="C10537" s="248"/>
      <c r="D10537" s="249"/>
      <c r="E10537" s="249"/>
      <c r="T10537" s="261"/>
    </row>
    <row r="10538" spans="2:20" x14ac:dyDescent="0.2">
      <c r="B10538" s="245"/>
      <c r="C10538" s="248"/>
      <c r="D10538" s="249"/>
      <c r="E10538" s="249"/>
      <c r="T10538" s="261"/>
    </row>
    <row r="10539" spans="2:20" x14ac:dyDescent="0.2">
      <c r="B10539" s="245"/>
      <c r="C10539" s="248"/>
      <c r="D10539" s="249"/>
      <c r="E10539" s="249"/>
      <c r="T10539" s="261"/>
    </row>
    <row r="10540" spans="2:20" x14ac:dyDescent="0.2">
      <c r="B10540" s="245"/>
      <c r="C10540" s="248"/>
      <c r="D10540" s="249"/>
      <c r="E10540" s="249"/>
      <c r="T10540" s="261"/>
    </row>
    <row r="10541" spans="2:20" x14ac:dyDescent="0.2">
      <c r="B10541" s="245"/>
      <c r="C10541" s="248"/>
      <c r="D10541" s="249"/>
      <c r="E10541" s="249"/>
      <c r="T10541" s="261"/>
    </row>
    <row r="10542" spans="2:20" x14ac:dyDescent="0.2">
      <c r="B10542" s="245"/>
      <c r="C10542" s="248"/>
      <c r="D10542" s="249"/>
      <c r="E10542" s="249"/>
      <c r="T10542" s="261"/>
    </row>
    <row r="10543" spans="2:20" x14ac:dyDescent="0.2">
      <c r="B10543" s="245"/>
      <c r="C10543" s="248"/>
      <c r="D10543" s="249"/>
      <c r="E10543" s="249"/>
      <c r="T10543" s="261"/>
    </row>
    <row r="10544" spans="2:20" x14ac:dyDescent="0.2">
      <c r="B10544" s="245"/>
      <c r="C10544" s="248"/>
      <c r="D10544" s="249"/>
      <c r="E10544" s="249"/>
      <c r="T10544" s="261"/>
    </row>
    <row r="10545" spans="2:20" x14ac:dyDescent="0.2">
      <c r="B10545" s="245"/>
      <c r="C10545" s="248"/>
      <c r="D10545" s="249"/>
      <c r="E10545" s="249"/>
      <c r="T10545" s="261"/>
    </row>
    <row r="10546" spans="2:20" x14ac:dyDescent="0.2">
      <c r="B10546" s="245"/>
      <c r="C10546" s="248"/>
      <c r="D10546" s="249"/>
      <c r="E10546" s="249"/>
      <c r="T10546" s="261"/>
    </row>
    <row r="10547" spans="2:20" x14ac:dyDescent="0.2">
      <c r="B10547" s="245"/>
      <c r="C10547" s="248"/>
      <c r="D10547" s="249"/>
      <c r="E10547" s="249"/>
      <c r="T10547" s="261"/>
    </row>
    <row r="10548" spans="2:20" x14ac:dyDescent="0.2">
      <c r="B10548" s="245"/>
      <c r="C10548" s="248"/>
      <c r="D10548" s="249"/>
      <c r="E10548" s="249"/>
      <c r="T10548" s="261"/>
    </row>
    <row r="10549" spans="2:20" x14ac:dyDescent="0.2">
      <c r="B10549" s="245"/>
      <c r="C10549" s="248"/>
      <c r="D10549" s="249"/>
      <c r="E10549" s="249"/>
      <c r="T10549" s="261"/>
    </row>
    <row r="10550" spans="2:20" x14ac:dyDescent="0.2">
      <c r="B10550" s="245"/>
      <c r="C10550" s="248"/>
      <c r="D10550" s="249"/>
      <c r="E10550" s="249"/>
      <c r="T10550" s="261"/>
    </row>
    <row r="10551" spans="2:20" x14ac:dyDescent="0.2">
      <c r="B10551" s="245"/>
      <c r="C10551" s="248"/>
      <c r="D10551" s="249"/>
      <c r="E10551" s="249"/>
      <c r="T10551" s="261"/>
    </row>
    <row r="10552" spans="2:20" x14ac:dyDescent="0.2">
      <c r="B10552" s="245"/>
      <c r="C10552" s="248"/>
      <c r="D10552" s="249"/>
      <c r="E10552" s="249"/>
      <c r="T10552" s="261"/>
    </row>
    <row r="10553" spans="2:20" x14ac:dyDescent="0.2">
      <c r="B10553" s="245"/>
      <c r="C10553" s="248"/>
      <c r="D10553" s="249"/>
      <c r="E10553" s="249"/>
      <c r="T10553" s="261"/>
    </row>
    <row r="10554" spans="2:20" x14ac:dyDescent="0.2">
      <c r="B10554" s="245"/>
      <c r="C10554" s="248"/>
      <c r="D10554" s="249"/>
      <c r="E10554" s="249"/>
      <c r="T10554" s="261"/>
    </row>
    <row r="10555" spans="2:20" x14ac:dyDescent="0.2">
      <c r="B10555" s="245"/>
      <c r="C10555" s="248"/>
      <c r="D10555" s="249"/>
      <c r="E10555" s="249"/>
      <c r="T10555" s="261"/>
    </row>
    <row r="10556" spans="2:20" x14ac:dyDescent="0.2">
      <c r="B10556" s="245"/>
      <c r="C10556" s="248"/>
      <c r="D10556" s="249"/>
      <c r="E10556" s="249"/>
      <c r="T10556" s="261"/>
    </row>
    <row r="10557" spans="2:20" x14ac:dyDescent="0.2">
      <c r="B10557" s="245"/>
      <c r="C10557" s="248"/>
      <c r="D10557" s="249"/>
      <c r="E10557" s="249"/>
      <c r="T10557" s="261"/>
    </row>
    <row r="10558" spans="2:20" x14ac:dyDescent="0.2">
      <c r="B10558" s="245"/>
      <c r="C10558" s="248"/>
      <c r="D10558" s="249"/>
      <c r="E10558" s="249"/>
      <c r="T10558" s="261"/>
    </row>
    <row r="10559" spans="2:20" x14ac:dyDescent="0.2">
      <c r="B10559" s="245"/>
      <c r="C10559" s="248"/>
      <c r="D10559" s="249"/>
      <c r="E10559" s="249"/>
      <c r="T10559" s="261"/>
    </row>
    <row r="10560" spans="2:20" x14ac:dyDescent="0.2">
      <c r="B10560" s="245"/>
      <c r="C10560" s="248"/>
      <c r="D10560" s="249"/>
      <c r="E10560" s="249"/>
      <c r="T10560" s="261"/>
    </row>
    <row r="10561" spans="2:20" x14ac:dyDescent="0.2">
      <c r="B10561" s="245"/>
      <c r="C10561" s="248"/>
      <c r="D10561" s="249"/>
      <c r="E10561" s="249"/>
      <c r="T10561" s="261"/>
    </row>
    <row r="10562" spans="2:20" x14ac:dyDescent="0.2">
      <c r="B10562" s="245"/>
      <c r="C10562" s="248"/>
      <c r="D10562" s="249"/>
      <c r="E10562" s="249"/>
      <c r="T10562" s="261"/>
    </row>
    <row r="10563" spans="2:20" x14ac:dyDescent="0.2">
      <c r="B10563" s="245"/>
      <c r="C10563" s="248"/>
      <c r="D10563" s="249"/>
      <c r="E10563" s="249"/>
      <c r="T10563" s="261"/>
    </row>
    <row r="10564" spans="2:20" x14ac:dyDescent="0.2">
      <c r="B10564" s="245"/>
      <c r="C10564" s="248"/>
      <c r="D10564" s="249"/>
      <c r="E10564" s="249"/>
      <c r="T10564" s="261"/>
    </row>
    <row r="10565" spans="2:20" x14ac:dyDescent="0.2">
      <c r="B10565" s="245"/>
      <c r="C10565" s="248"/>
      <c r="D10565" s="249"/>
      <c r="E10565" s="249"/>
      <c r="T10565" s="261"/>
    </row>
    <row r="10566" spans="2:20" x14ac:dyDescent="0.2">
      <c r="B10566" s="245"/>
      <c r="C10566" s="248"/>
      <c r="D10566" s="249"/>
      <c r="E10566" s="249"/>
      <c r="T10566" s="261"/>
    </row>
    <row r="10567" spans="2:20" x14ac:dyDescent="0.2">
      <c r="B10567" s="245"/>
      <c r="C10567" s="248"/>
      <c r="D10567" s="249"/>
      <c r="E10567" s="249"/>
      <c r="T10567" s="261"/>
    </row>
    <row r="10568" spans="2:20" x14ac:dyDescent="0.2">
      <c r="B10568" s="245"/>
      <c r="C10568" s="248"/>
      <c r="D10568" s="249"/>
      <c r="E10568" s="249"/>
      <c r="T10568" s="261"/>
    </row>
    <row r="10569" spans="2:20" x14ac:dyDescent="0.2">
      <c r="B10569" s="245"/>
      <c r="C10569" s="248"/>
      <c r="D10569" s="249"/>
      <c r="E10569" s="249"/>
      <c r="T10569" s="261"/>
    </row>
    <row r="10570" spans="2:20" x14ac:dyDescent="0.2">
      <c r="B10570" s="245"/>
      <c r="C10570" s="248"/>
      <c r="D10570" s="249"/>
      <c r="E10570" s="249"/>
      <c r="T10570" s="261"/>
    </row>
    <row r="10571" spans="2:20" x14ac:dyDescent="0.2">
      <c r="B10571" s="245"/>
      <c r="C10571" s="248"/>
      <c r="D10571" s="249"/>
      <c r="E10571" s="249"/>
      <c r="T10571" s="261"/>
    </row>
    <row r="10572" spans="2:20" x14ac:dyDescent="0.2">
      <c r="B10572" s="245"/>
      <c r="C10572" s="248"/>
      <c r="D10572" s="249"/>
      <c r="E10572" s="249"/>
      <c r="T10572" s="261"/>
    </row>
    <row r="10573" spans="2:20" x14ac:dyDescent="0.2">
      <c r="B10573" s="245"/>
      <c r="C10573" s="248"/>
      <c r="D10573" s="249"/>
      <c r="E10573" s="249"/>
      <c r="T10573" s="261"/>
    </row>
    <row r="10574" spans="2:20" x14ac:dyDescent="0.2">
      <c r="B10574" s="245"/>
      <c r="C10574" s="248"/>
      <c r="D10574" s="249"/>
      <c r="E10574" s="249"/>
      <c r="T10574" s="261"/>
    </row>
    <row r="10575" spans="2:20" x14ac:dyDescent="0.2">
      <c r="B10575" s="245"/>
      <c r="C10575" s="248"/>
      <c r="D10575" s="249"/>
      <c r="E10575" s="249"/>
      <c r="T10575" s="261"/>
    </row>
    <row r="10576" spans="2:20" x14ac:dyDescent="0.2">
      <c r="B10576" s="245"/>
      <c r="C10576" s="248"/>
      <c r="D10576" s="249"/>
      <c r="E10576" s="249"/>
      <c r="T10576" s="261"/>
    </row>
    <row r="10577" spans="2:20" x14ac:dyDescent="0.2">
      <c r="B10577" s="245"/>
      <c r="C10577" s="248"/>
      <c r="D10577" s="249"/>
      <c r="E10577" s="249"/>
      <c r="T10577" s="261"/>
    </row>
    <row r="10578" spans="2:20" x14ac:dyDescent="0.2">
      <c r="B10578" s="245"/>
      <c r="C10578" s="248"/>
      <c r="D10578" s="249"/>
      <c r="E10578" s="249"/>
      <c r="T10578" s="261"/>
    </row>
    <row r="10579" spans="2:20" x14ac:dyDescent="0.2">
      <c r="B10579" s="245"/>
      <c r="C10579" s="248"/>
      <c r="D10579" s="249"/>
      <c r="E10579" s="249"/>
      <c r="T10579" s="261"/>
    </row>
    <row r="10580" spans="2:20" x14ac:dyDescent="0.2">
      <c r="B10580" s="245"/>
      <c r="C10580" s="248"/>
      <c r="D10580" s="249"/>
      <c r="E10580" s="249"/>
      <c r="T10580" s="261"/>
    </row>
    <row r="10581" spans="2:20" x14ac:dyDescent="0.2">
      <c r="B10581" s="245"/>
      <c r="C10581" s="248"/>
      <c r="D10581" s="249"/>
      <c r="E10581" s="249"/>
      <c r="T10581" s="261"/>
    </row>
    <row r="10582" spans="2:20" x14ac:dyDescent="0.2">
      <c r="B10582" s="245"/>
      <c r="C10582" s="248"/>
      <c r="D10582" s="249"/>
      <c r="E10582" s="249"/>
      <c r="T10582" s="261"/>
    </row>
    <row r="10583" spans="2:20" x14ac:dyDescent="0.2">
      <c r="B10583" s="245"/>
      <c r="C10583" s="248"/>
      <c r="D10583" s="249"/>
      <c r="E10583" s="249"/>
      <c r="T10583" s="261"/>
    </row>
    <row r="10584" spans="2:20" x14ac:dyDescent="0.2">
      <c r="B10584" s="245"/>
      <c r="C10584" s="248"/>
      <c r="D10584" s="249"/>
      <c r="E10584" s="249"/>
      <c r="T10584" s="261"/>
    </row>
    <row r="10585" spans="2:20" x14ac:dyDescent="0.2">
      <c r="B10585" s="245"/>
      <c r="C10585" s="248"/>
      <c r="D10585" s="249"/>
      <c r="E10585" s="249"/>
      <c r="T10585" s="261"/>
    </row>
    <row r="10586" spans="2:20" x14ac:dyDescent="0.2">
      <c r="B10586" s="245"/>
      <c r="C10586" s="248"/>
      <c r="D10586" s="249"/>
      <c r="E10586" s="249"/>
      <c r="T10586" s="261"/>
    </row>
    <row r="10587" spans="2:20" x14ac:dyDescent="0.2">
      <c r="B10587" s="245"/>
      <c r="C10587" s="248"/>
      <c r="D10587" s="249"/>
      <c r="E10587" s="249"/>
      <c r="T10587" s="261"/>
    </row>
    <row r="10588" spans="2:20" x14ac:dyDescent="0.2">
      <c r="B10588" s="245"/>
      <c r="C10588" s="248"/>
      <c r="D10588" s="249"/>
      <c r="E10588" s="249"/>
      <c r="T10588" s="261"/>
    </row>
    <row r="10589" spans="2:20" x14ac:dyDescent="0.2">
      <c r="B10589" s="245"/>
      <c r="C10589" s="248"/>
      <c r="D10589" s="249"/>
      <c r="E10589" s="249"/>
      <c r="T10589" s="261"/>
    </row>
    <row r="10590" spans="2:20" x14ac:dyDescent="0.2">
      <c r="B10590" s="245"/>
      <c r="C10590" s="248"/>
      <c r="D10590" s="249"/>
      <c r="E10590" s="249"/>
      <c r="T10590" s="261"/>
    </row>
    <row r="10591" spans="2:20" x14ac:dyDescent="0.2">
      <c r="B10591" s="245"/>
      <c r="C10591" s="248"/>
      <c r="D10591" s="249"/>
      <c r="E10591" s="249"/>
      <c r="T10591" s="261"/>
    </row>
    <row r="10592" spans="2:20" x14ac:dyDescent="0.2">
      <c r="B10592" s="245"/>
      <c r="C10592" s="248"/>
      <c r="D10592" s="249"/>
      <c r="E10592" s="249"/>
      <c r="T10592" s="261"/>
    </row>
    <row r="10593" spans="2:20" x14ac:dyDescent="0.2">
      <c r="B10593" s="245"/>
      <c r="C10593" s="248"/>
      <c r="D10593" s="249"/>
      <c r="E10593" s="249"/>
      <c r="T10593" s="261"/>
    </row>
    <row r="10594" spans="2:20" x14ac:dyDescent="0.2">
      <c r="B10594" s="245"/>
      <c r="C10594" s="248"/>
      <c r="D10594" s="249"/>
      <c r="E10594" s="249"/>
      <c r="T10594" s="261"/>
    </row>
    <row r="10595" spans="2:20" x14ac:dyDescent="0.2">
      <c r="B10595" s="245"/>
      <c r="C10595" s="248"/>
      <c r="D10595" s="249"/>
      <c r="E10595" s="249"/>
      <c r="T10595" s="261"/>
    </row>
    <row r="10596" spans="2:20" x14ac:dyDescent="0.2">
      <c r="B10596" s="245"/>
      <c r="C10596" s="248"/>
      <c r="D10596" s="249"/>
      <c r="E10596" s="249"/>
      <c r="T10596" s="261"/>
    </row>
    <row r="10597" spans="2:20" x14ac:dyDescent="0.2">
      <c r="B10597" s="245"/>
      <c r="C10597" s="248"/>
      <c r="D10597" s="249"/>
      <c r="E10597" s="249"/>
      <c r="T10597" s="261"/>
    </row>
    <row r="10598" spans="2:20" x14ac:dyDescent="0.2">
      <c r="B10598" s="245"/>
      <c r="C10598" s="248"/>
      <c r="D10598" s="249"/>
      <c r="E10598" s="249"/>
      <c r="T10598" s="261"/>
    </row>
    <row r="10599" spans="2:20" x14ac:dyDescent="0.2">
      <c r="B10599" s="245"/>
      <c r="C10599" s="248"/>
      <c r="D10599" s="249"/>
      <c r="E10599" s="249"/>
      <c r="T10599" s="261"/>
    </row>
    <row r="10600" spans="2:20" x14ac:dyDescent="0.2">
      <c r="B10600" s="245"/>
      <c r="C10600" s="248"/>
      <c r="D10600" s="249"/>
      <c r="E10600" s="249"/>
      <c r="T10600" s="261"/>
    </row>
    <row r="10601" spans="2:20" x14ac:dyDescent="0.2">
      <c r="B10601" s="245"/>
      <c r="C10601" s="248"/>
      <c r="D10601" s="249"/>
      <c r="E10601" s="249"/>
      <c r="T10601" s="261"/>
    </row>
    <row r="10602" spans="2:20" x14ac:dyDescent="0.2">
      <c r="B10602" s="245"/>
      <c r="C10602" s="248"/>
      <c r="D10602" s="249"/>
      <c r="E10602" s="249"/>
      <c r="T10602" s="261"/>
    </row>
    <row r="10603" spans="2:20" x14ac:dyDescent="0.2">
      <c r="B10603" s="245"/>
      <c r="C10603" s="248"/>
      <c r="D10603" s="249"/>
      <c r="E10603" s="249"/>
      <c r="T10603" s="261"/>
    </row>
    <row r="10604" spans="2:20" x14ac:dyDescent="0.2">
      <c r="B10604" s="245"/>
      <c r="C10604" s="248"/>
      <c r="D10604" s="249"/>
      <c r="E10604" s="249"/>
      <c r="T10604" s="261"/>
    </row>
    <row r="10605" spans="2:20" x14ac:dyDescent="0.2">
      <c r="B10605" s="245"/>
      <c r="C10605" s="248"/>
      <c r="D10605" s="249"/>
      <c r="E10605" s="249"/>
      <c r="T10605" s="261"/>
    </row>
    <row r="10606" spans="2:20" x14ac:dyDescent="0.2">
      <c r="B10606" s="245"/>
      <c r="C10606" s="248"/>
      <c r="D10606" s="249"/>
      <c r="E10606" s="249"/>
      <c r="T10606" s="261"/>
    </row>
    <row r="10607" spans="2:20" x14ac:dyDescent="0.2">
      <c r="B10607" s="245"/>
      <c r="C10607" s="248"/>
      <c r="D10607" s="249"/>
      <c r="E10607" s="249"/>
      <c r="T10607" s="261"/>
    </row>
    <row r="10608" spans="2:20" x14ac:dyDescent="0.2">
      <c r="B10608" s="245"/>
      <c r="C10608" s="248"/>
      <c r="D10608" s="249"/>
      <c r="E10608" s="249"/>
      <c r="T10608" s="261"/>
    </row>
    <row r="10609" spans="2:20" x14ac:dyDescent="0.2">
      <c r="B10609" s="245"/>
      <c r="C10609" s="248"/>
      <c r="D10609" s="249"/>
      <c r="E10609" s="249"/>
      <c r="T10609" s="261"/>
    </row>
    <row r="10610" spans="2:20" x14ac:dyDescent="0.2">
      <c r="B10610" s="245"/>
      <c r="C10610" s="248"/>
      <c r="D10610" s="249"/>
      <c r="E10610" s="249"/>
      <c r="T10610" s="261"/>
    </row>
    <row r="10611" spans="2:20" x14ac:dyDescent="0.2">
      <c r="B10611" s="245"/>
      <c r="C10611" s="248"/>
      <c r="D10611" s="249"/>
      <c r="E10611" s="249"/>
      <c r="T10611" s="261"/>
    </row>
    <row r="10612" spans="2:20" x14ac:dyDescent="0.2">
      <c r="B10612" s="245"/>
      <c r="C10612" s="248"/>
      <c r="D10612" s="249"/>
      <c r="E10612" s="249"/>
      <c r="T10612" s="261"/>
    </row>
    <row r="10613" spans="2:20" x14ac:dyDescent="0.2">
      <c r="B10613" s="245"/>
      <c r="C10613" s="248"/>
      <c r="D10613" s="249"/>
      <c r="E10613" s="249"/>
      <c r="T10613" s="261"/>
    </row>
    <row r="10614" spans="2:20" x14ac:dyDescent="0.2">
      <c r="B10614" s="245"/>
      <c r="C10614" s="248"/>
      <c r="D10614" s="249"/>
      <c r="E10614" s="249"/>
      <c r="T10614" s="261"/>
    </row>
    <row r="10615" spans="2:20" x14ac:dyDescent="0.2">
      <c r="B10615" s="245"/>
      <c r="C10615" s="248"/>
      <c r="D10615" s="249"/>
      <c r="E10615" s="249"/>
      <c r="T10615" s="261"/>
    </row>
    <row r="10616" spans="2:20" x14ac:dyDescent="0.2">
      <c r="B10616" s="245"/>
      <c r="C10616" s="248"/>
      <c r="D10616" s="249"/>
      <c r="E10616" s="249"/>
      <c r="T10616" s="261"/>
    </row>
    <row r="10617" spans="2:20" x14ac:dyDescent="0.2">
      <c r="B10617" s="245"/>
      <c r="C10617" s="248"/>
      <c r="D10617" s="249"/>
      <c r="E10617" s="249"/>
      <c r="T10617" s="261"/>
    </row>
    <row r="10618" spans="2:20" x14ac:dyDescent="0.2">
      <c r="B10618" s="245"/>
      <c r="C10618" s="248"/>
      <c r="D10618" s="249"/>
      <c r="E10618" s="249"/>
      <c r="T10618" s="261"/>
    </row>
    <row r="10619" spans="2:20" x14ac:dyDescent="0.2">
      <c r="B10619" s="245"/>
      <c r="C10619" s="248"/>
      <c r="D10619" s="249"/>
      <c r="E10619" s="249"/>
      <c r="T10619" s="261"/>
    </row>
    <row r="10620" spans="2:20" x14ac:dyDescent="0.2">
      <c r="B10620" s="245"/>
      <c r="C10620" s="248"/>
      <c r="D10620" s="249"/>
      <c r="E10620" s="249"/>
      <c r="T10620" s="261"/>
    </row>
    <row r="10621" spans="2:20" x14ac:dyDescent="0.2">
      <c r="B10621" s="245"/>
      <c r="C10621" s="248"/>
      <c r="D10621" s="249"/>
      <c r="E10621" s="249"/>
      <c r="T10621" s="261"/>
    </row>
    <row r="10622" spans="2:20" x14ac:dyDescent="0.2">
      <c r="B10622" s="245"/>
      <c r="C10622" s="248"/>
      <c r="D10622" s="249"/>
      <c r="E10622" s="249"/>
      <c r="T10622" s="261"/>
    </row>
    <row r="10623" spans="2:20" x14ac:dyDescent="0.2">
      <c r="B10623" s="245"/>
      <c r="C10623" s="248"/>
      <c r="D10623" s="249"/>
      <c r="E10623" s="249"/>
      <c r="T10623" s="261"/>
    </row>
    <row r="10624" spans="2:20" x14ac:dyDescent="0.2">
      <c r="B10624" s="245"/>
      <c r="C10624" s="248"/>
      <c r="D10624" s="249"/>
      <c r="E10624" s="249"/>
      <c r="T10624" s="261"/>
    </row>
    <row r="10625" spans="2:20" x14ac:dyDescent="0.2">
      <c r="B10625" s="245"/>
      <c r="C10625" s="248"/>
      <c r="D10625" s="249"/>
      <c r="E10625" s="249"/>
      <c r="T10625" s="261"/>
    </row>
    <row r="10626" spans="2:20" x14ac:dyDescent="0.2">
      <c r="B10626" s="245"/>
      <c r="C10626" s="248"/>
      <c r="D10626" s="249"/>
      <c r="E10626" s="249"/>
      <c r="T10626" s="261"/>
    </row>
    <row r="10627" spans="2:20" x14ac:dyDescent="0.2">
      <c r="B10627" s="245"/>
      <c r="C10627" s="248"/>
      <c r="D10627" s="249"/>
      <c r="E10627" s="249"/>
      <c r="T10627" s="261"/>
    </row>
    <row r="10628" spans="2:20" x14ac:dyDescent="0.2">
      <c r="B10628" s="245"/>
      <c r="C10628" s="248"/>
      <c r="D10628" s="249"/>
      <c r="E10628" s="249"/>
      <c r="T10628" s="261"/>
    </row>
    <row r="10629" spans="2:20" x14ac:dyDescent="0.2">
      <c r="B10629" s="245"/>
      <c r="C10629" s="248"/>
      <c r="D10629" s="249"/>
      <c r="E10629" s="249"/>
      <c r="T10629" s="261"/>
    </row>
    <row r="10630" spans="2:20" x14ac:dyDescent="0.2">
      <c r="B10630" s="245"/>
      <c r="C10630" s="248"/>
      <c r="D10630" s="249"/>
      <c r="E10630" s="249"/>
      <c r="T10630" s="261"/>
    </row>
    <row r="10631" spans="2:20" x14ac:dyDescent="0.2">
      <c r="B10631" s="245"/>
      <c r="C10631" s="248"/>
      <c r="D10631" s="249"/>
      <c r="E10631" s="249"/>
      <c r="T10631" s="261"/>
    </row>
    <row r="10632" spans="2:20" x14ac:dyDescent="0.2">
      <c r="B10632" s="245"/>
      <c r="C10632" s="248"/>
      <c r="D10632" s="249"/>
      <c r="E10632" s="249"/>
      <c r="T10632" s="261"/>
    </row>
    <row r="10633" spans="2:20" x14ac:dyDescent="0.2">
      <c r="B10633" s="245"/>
      <c r="C10633" s="248"/>
      <c r="D10633" s="249"/>
      <c r="E10633" s="249"/>
      <c r="T10633" s="261"/>
    </row>
    <row r="10634" spans="2:20" x14ac:dyDescent="0.2">
      <c r="B10634" s="245"/>
      <c r="C10634" s="248"/>
      <c r="D10634" s="249"/>
      <c r="E10634" s="249"/>
      <c r="T10634" s="261"/>
    </row>
    <row r="10635" spans="2:20" x14ac:dyDescent="0.2">
      <c r="B10635" s="245"/>
      <c r="C10635" s="248"/>
      <c r="D10635" s="249"/>
      <c r="E10635" s="249"/>
      <c r="T10635" s="261"/>
    </row>
    <row r="10636" spans="2:20" x14ac:dyDescent="0.2">
      <c r="B10636" s="245"/>
      <c r="C10636" s="248"/>
      <c r="D10636" s="249"/>
      <c r="E10636" s="249"/>
      <c r="T10636" s="261"/>
    </row>
    <row r="10637" spans="2:20" x14ac:dyDescent="0.2">
      <c r="B10637" s="245"/>
      <c r="C10637" s="248"/>
      <c r="D10637" s="249"/>
      <c r="E10637" s="249"/>
      <c r="T10637" s="261"/>
    </row>
    <row r="10638" spans="2:20" x14ac:dyDescent="0.2">
      <c r="B10638" s="245"/>
      <c r="C10638" s="248"/>
      <c r="D10638" s="249"/>
      <c r="E10638" s="249"/>
      <c r="T10638" s="261"/>
    </row>
    <row r="10639" spans="2:20" x14ac:dyDescent="0.2">
      <c r="B10639" s="245"/>
      <c r="C10639" s="248"/>
      <c r="D10639" s="249"/>
      <c r="E10639" s="249"/>
      <c r="T10639" s="261"/>
    </row>
    <row r="10640" spans="2:20" x14ac:dyDescent="0.2">
      <c r="B10640" s="245"/>
      <c r="C10640" s="248"/>
      <c r="D10640" s="249"/>
      <c r="E10640" s="249"/>
      <c r="T10640" s="261"/>
    </row>
    <row r="10641" spans="2:20" x14ac:dyDescent="0.2">
      <c r="B10641" s="245"/>
      <c r="C10641" s="248"/>
      <c r="D10641" s="249"/>
      <c r="E10641" s="249"/>
      <c r="T10641" s="261"/>
    </row>
    <row r="10642" spans="2:20" x14ac:dyDescent="0.2">
      <c r="B10642" s="245"/>
      <c r="C10642" s="248"/>
      <c r="D10642" s="249"/>
      <c r="E10642" s="249"/>
      <c r="T10642" s="261"/>
    </row>
    <row r="10643" spans="2:20" x14ac:dyDescent="0.2">
      <c r="B10643" s="245"/>
      <c r="C10643" s="248"/>
      <c r="D10643" s="249"/>
      <c r="E10643" s="249"/>
      <c r="T10643" s="261"/>
    </row>
    <row r="10644" spans="2:20" x14ac:dyDescent="0.2">
      <c r="B10644" s="245"/>
      <c r="C10644" s="248"/>
      <c r="D10644" s="249"/>
      <c r="E10644" s="249"/>
      <c r="T10644" s="261"/>
    </row>
    <row r="10645" spans="2:20" x14ac:dyDescent="0.2">
      <c r="B10645" s="245"/>
      <c r="C10645" s="248"/>
      <c r="D10645" s="249"/>
      <c r="E10645" s="249"/>
      <c r="T10645" s="261"/>
    </row>
    <row r="10646" spans="2:20" x14ac:dyDescent="0.2">
      <c r="B10646" s="245"/>
      <c r="C10646" s="248"/>
      <c r="D10646" s="249"/>
      <c r="E10646" s="249"/>
      <c r="T10646" s="261"/>
    </row>
    <row r="10647" spans="2:20" x14ac:dyDescent="0.2">
      <c r="B10647" s="245"/>
      <c r="C10647" s="248"/>
      <c r="D10647" s="249"/>
      <c r="E10647" s="249"/>
      <c r="T10647" s="261"/>
    </row>
    <row r="10648" spans="2:20" x14ac:dyDescent="0.2">
      <c r="B10648" s="245"/>
      <c r="C10648" s="248"/>
      <c r="D10648" s="249"/>
      <c r="E10648" s="249"/>
      <c r="T10648" s="261"/>
    </row>
    <row r="10649" spans="2:20" x14ac:dyDescent="0.2">
      <c r="B10649" s="245"/>
      <c r="C10649" s="248"/>
      <c r="D10649" s="249"/>
      <c r="E10649" s="249"/>
      <c r="T10649" s="261"/>
    </row>
    <row r="10650" spans="2:20" x14ac:dyDescent="0.2">
      <c r="B10650" s="245"/>
      <c r="C10650" s="248"/>
      <c r="D10650" s="249"/>
      <c r="E10650" s="249"/>
      <c r="T10650" s="261"/>
    </row>
    <row r="10651" spans="2:20" x14ac:dyDescent="0.2">
      <c r="B10651" s="245"/>
      <c r="C10651" s="248"/>
      <c r="D10651" s="249"/>
      <c r="E10651" s="249"/>
      <c r="T10651" s="261"/>
    </row>
    <row r="10652" spans="2:20" x14ac:dyDescent="0.2">
      <c r="B10652" s="245"/>
      <c r="C10652" s="248"/>
      <c r="D10652" s="249"/>
      <c r="E10652" s="249"/>
      <c r="T10652" s="261"/>
    </row>
    <row r="10653" spans="2:20" x14ac:dyDescent="0.2">
      <c r="B10653" s="245"/>
      <c r="C10653" s="248"/>
      <c r="D10653" s="249"/>
      <c r="E10653" s="249"/>
      <c r="T10653" s="261"/>
    </row>
    <row r="10654" spans="2:20" x14ac:dyDescent="0.2">
      <c r="B10654" s="245"/>
      <c r="C10654" s="248"/>
      <c r="D10654" s="249"/>
      <c r="E10654" s="249"/>
      <c r="T10654" s="261"/>
    </row>
    <row r="10655" spans="2:20" x14ac:dyDescent="0.2">
      <c r="B10655" s="245"/>
      <c r="C10655" s="248"/>
      <c r="D10655" s="249"/>
      <c r="E10655" s="249"/>
      <c r="T10655" s="261"/>
    </row>
    <row r="10656" spans="2:20" x14ac:dyDescent="0.2">
      <c r="B10656" s="245"/>
      <c r="C10656" s="248"/>
      <c r="D10656" s="249"/>
      <c r="E10656" s="249"/>
      <c r="T10656" s="261"/>
    </row>
    <row r="10657" spans="2:20" x14ac:dyDescent="0.2">
      <c r="B10657" s="245"/>
      <c r="C10657" s="248"/>
      <c r="D10657" s="249"/>
      <c r="E10657" s="249"/>
      <c r="T10657" s="261"/>
    </row>
    <row r="10658" spans="2:20" x14ac:dyDescent="0.2">
      <c r="B10658" s="245"/>
      <c r="C10658" s="248"/>
      <c r="D10658" s="249"/>
      <c r="E10658" s="249"/>
      <c r="T10658" s="261"/>
    </row>
    <row r="10659" spans="2:20" x14ac:dyDescent="0.2">
      <c r="B10659" s="245"/>
      <c r="C10659" s="248"/>
      <c r="D10659" s="249"/>
      <c r="E10659" s="249"/>
      <c r="T10659" s="261"/>
    </row>
    <row r="10660" spans="2:20" x14ac:dyDescent="0.2">
      <c r="B10660" s="245"/>
      <c r="C10660" s="248"/>
      <c r="D10660" s="249"/>
      <c r="E10660" s="249"/>
      <c r="T10660" s="261"/>
    </row>
    <row r="10661" spans="2:20" x14ac:dyDescent="0.2">
      <c r="B10661" s="245"/>
      <c r="C10661" s="248"/>
      <c r="D10661" s="249"/>
      <c r="E10661" s="249"/>
      <c r="T10661" s="261"/>
    </row>
    <row r="10662" spans="2:20" x14ac:dyDescent="0.2">
      <c r="B10662" s="245"/>
      <c r="C10662" s="248"/>
      <c r="D10662" s="249"/>
      <c r="E10662" s="249"/>
      <c r="T10662" s="261"/>
    </row>
    <row r="10663" spans="2:20" x14ac:dyDescent="0.2">
      <c r="B10663" s="245"/>
      <c r="C10663" s="248"/>
      <c r="D10663" s="249"/>
      <c r="E10663" s="249"/>
      <c r="T10663" s="261"/>
    </row>
    <row r="10664" spans="2:20" x14ac:dyDescent="0.2">
      <c r="B10664" s="245"/>
      <c r="C10664" s="248"/>
      <c r="D10664" s="249"/>
      <c r="E10664" s="249"/>
      <c r="T10664" s="261"/>
    </row>
    <row r="10665" spans="2:20" x14ac:dyDescent="0.2">
      <c r="B10665" s="245"/>
      <c r="C10665" s="248"/>
      <c r="D10665" s="249"/>
      <c r="E10665" s="249"/>
      <c r="T10665" s="261"/>
    </row>
    <row r="10666" spans="2:20" x14ac:dyDescent="0.2">
      <c r="B10666" s="245"/>
      <c r="C10666" s="248"/>
      <c r="D10666" s="249"/>
      <c r="E10666" s="249"/>
      <c r="T10666" s="261"/>
    </row>
    <row r="10667" spans="2:20" x14ac:dyDescent="0.2">
      <c r="B10667" s="245"/>
      <c r="C10667" s="248"/>
      <c r="D10667" s="249"/>
      <c r="E10667" s="249"/>
      <c r="T10667" s="261"/>
    </row>
    <row r="10668" spans="2:20" x14ac:dyDescent="0.2">
      <c r="B10668" s="245"/>
      <c r="C10668" s="248"/>
      <c r="D10668" s="249"/>
      <c r="E10668" s="249"/>
      <c r="T10668" s="261"/>
    </row>
    <row r="10669" spans="2:20" x14ac:dyDescent="0.2">
      <c r="B10669" s="245"/>
      <c r="C10669" s="248"/>
      <c r="D10669" s="249"/>
      <c r="E10669" s="249"/>
      <c r="T10669" s="261"/>
    </row>
    <row r="10670" spans="2:20" x14ac:dyDescent="0.2">
      <c r="B10670" s="245"/>
      <c r="C10670" s="248"/>
      <c r="D10670" s="249"/>
      <c r="E10670" s="249"/>
      <c r="T10670" s="261"/>
    </row>
    <row r="10671" spans="2:20" x14ac:dyDescent="0.2">
      <c r="B10671" s="245"/>
      <c r="C10671" s="248"/>
      <c r="D10671" s="249"/>
      <c r="E10671" s="249"/>
      <c r="T10671" s="261"/>
    </row>
    <row r="10672" spans="2:20" x14ac:dyDescent="0.2">
      <c r="B10672" s="245"/>
      <c r="C10672" s="248"/>
      <c r="D10672" s="249"/>
      <c r="E10672" s="249"/>
      <c r="T10672" s="261"/>
    </row>
    <row r="10673" spans="2:20" x14ac:dyDescent="0.2">
      <c r="B10673" s="245"/>
      <c r="C10673" s="248"/>
      <c r="D10673" s="249"/>
      <c r="E10673" s="249"/>
      <c r="T10673" s="261"/>
    </row>
    <row r="10674" spans="2:20" x14ac:dyDescent="0.2">
      <c r="B10674" s="245"/>
      <c r="C10674" s="248"/>
      <c r="D10674" s="249"/>
      <c r="E10674" s="249"/>
      <c r="T10674" s="261"/>
    </row>
    <row r="10675" spans="2:20" x14ac:dyDescent="0.2">
      <c r="B10675" s="245"/>
      <c r="C10675" s="248"/>
      <c r="D10675" s="249"/>
      <c r="E10675" s="249"/>
      <c r="T10675" s="261"/>
    </row>
    <row r="10676" spans="2:20" x14ac:dyDescent="0.2">
      <c r="B10676" s="245"/>
      <c r="C10676" s="248"/>
      <c r="D10676" s="249"/>
      <c r="E10676" s="249"/>
      <c r="T10676" s="261"/>
    </row>
    <row r="10677" spans="2:20" x14ac:dyDescent="0.2">
      <c r="B10677" s="245"/>
      <c r="C10677" s="248"/>
      <c r="D10677" s="249"/>
      <c r="E10677" s="249"/>
      <c r="T10677" s="261"/>
    </row>
    <row r="10678" spans="2:20" x14ac:dyDescent="0.2">
      <c r="B10678" s="245"/>
      <c r="C10678" s="248"/>
      <c r="D10678" s="249"/>
      <c r="E10678" s="249"/>
      <c r="T10678" s="261"/>
    </row>
    <row r="10679" spans="2:20" x14ac:dyDescent="0.2">
      <c r="B10679" s="245"/>
      <c r="C10679" s="248"/>
      <c r="D10679" s="249"/>
      <c r="E10679" s="249"/>
      <c r="T10679" s="261"/>
    </row>
    <row r="10680" spans="2:20" x14ac:dyDescent="0.2">
      <c r="B10680" s="245"/>
      <c r="C10680" s="248"/>
      <c r="D10680" s="249"/>
      <c r="E10680" s="249"/>
      <c r="T10680" s="261"/>
    </row>
    <row r="10681" spans="2:20" x14ac:dyDescent="0.2">
      <c r="B10681" s="245"/>
      <c r="C10681" s="248"/>
      <c r="D10681" s="249"/>
      <c r="E10681" s="249"/>
      <c r="T10681" s="261"/>
    </row>
    <row r="10682" spans="2:20" x14ac:dyDescent="0.2">
      <c r="B10682" s="245"/>
      <c r="C10682" s="248"/>
      <c r="D10682" s="249"/>
      <c r="E10682" s="249"/>
      <c r="T10682" s="261"/>
    </row>
    <row r="10683" spans="2:20" x14ac:dyDescent="0.2">
      <c r="B10683" s="245"/>
      <c r="C10683" s="248"/>
      <c r="D10683" s="249"/>
      <c r="E10683" s="249"/>
      <c r="T10683" s="261"/>
    </row>
    <row r="10684" spans="2:20" x14ac:dyDescent="0.2">
      <c r="B10684" s="245"/>
      <c r="C10684" s="248"/>
      <c r="D10684" s="249"/>
      <c r="E10684" s="249"/>
      <c r="T10684" s="261"/>
    </row>
    <row r="10685" spans="2:20" x14ac:dyDescent="0.2">
      <c r="B10685" s="245"/>
      <c r="C10685" s="248"/>
      <c r="D10685" s="249"/>
      <c r="E10685" s="249"/>
      <c r="T10685" s="261"/>
    </row>
    <row r="10686" spans="2:20" x14ac:dyDescent="0.2">
      <c r="B10686" s="245"/>
      <c r="C10686" s="248"/>
      <c r="D10686" s="249"/>
      <c r="E10686" s="249"/>
      <c r="T10686" s="261"/>
    </row>
    <row r="10687" spans="2:20" x14ac:dyDescent="0.2">
      <c r="B10687" s="245"/>
      <c r="C10687" s="248"/>
      <c r="D10687" s="249"/>
      <c r="E10687" s="249"/>
      <c r="T10687" s="261"/>
    </row>
    <row r="10688" spans="2:20" x14ac:dyDescent="0.2">
      <c r="B10688" s="245"/>
      <c r="C10688" s="248"/>
      <c r="D10688" s="249"/>
      <c r="E10688" s="249"/>
      <c r="T10688" s="261"/>
    </row>
    <row r="10689" spans="2:20" x14ac:dyDescent="0.2">
      <c r="B10689" s="245"/>
      <c r="C10689" s="248"/>
      <c r="D10689" s="249"/>
      <c r="E10689" s="249"/>
      <c r="T10689" s="261"/>
    </row>
    <row r="10690" spans="2:20" x14ac:dyDescent="0.2">
      <c r="B10690" s="245"/>
      <c r="C10690" s="248"/>
      <c r="D10690" s="249"/>
      <c r="E10690" s="249"/>
      <c r="T10690" s="261"/>
    </row>
    <row r="10691" spans="2:20" x14ac:dyDescent="0.2">
      <c r="B10691" s="245"/>
      <c r="C10691" s="248"/>
      <c r="D10691" s="249"/>
      <c r="E10691" s="249"/>
      <c r="T10691" s="261"/>
    </row>
    <row r="10692" spans="2:20" x14ac:dyDescent="0.2">
      <c r="B10692" s="245"/>
      <c r="C10692" s="248"/>
      <c r="D10692" s="249"/>
      <c r="E10692" s="249"/>
      <c r="T10692" s="261"/>
    </row>
    <row r="10693" spans="2:20" x14ac:dyDescent="0.2">
      <c r="B10693" s="245"/>
      <c r="C10693" s="248"/>
      <c r="D10693" s="249"/>
      <c r="E10693" s="249"/>
      <c r="T10693" s="261"/>
    </row>
    <row r="10694" spans="2:20" x14ac:dyDescent="0.2">
      <c r="B10694" s="245"/>
      <c r="C10694" s="248"/>
      <c r="D10694" s="249"/>
      <c r="E10694" s="249"/>
      <c r="T10694" s="261"/>
    </row>
    <row r="10695" spans="2:20" x14ac:dyDescent="0.2">
      <c r="B10695" s="245"/>
      <c r="C10695" s="248"/>
      <c r="D10695" s="249"/>
      <c r="E10695" s="249"/>
      <c r="T10695" s="261"/>
    </row>
    <row r="10696" spans="2:20" x14ac:dyDescent="0.2">
      <c r="B10696" s="245"/>
      <c r="C10696" s="248"/>
      <c r="D10696" s="249"/>
      <c r="E10696" s="249"/>
      <c r="T10696" s="261"/>
    </row>
    <row r="10697" spans="2:20" x14ac:dyDescent="0.2">
      <c r="B10697" s="245"/>
      <c r="C10697" s="248"/>
      <c r="D10697" s="249"/>
      <c r="E10697" s="249"/>
      <c r="T10697" s="261"/>
    </row>
    <row r="10698" spans="2:20" x14ac:dyDescent="0.2">
      <c r="B10698" s="245"/>
      <c r="C10698" s="248"/>
      <c r="D10698" s="249"/>
      <c r="E10698" s="249"/>
      <c r="T10698" s="261"/>
    </row>
    <row r="10699" spans="2:20" x14ac:dyDescent="0.2">
      <c r="B10699" s="245"/>
      <c r="C10699" s="248"/>
      <c r="D10699" s="249"/>
      <c r="E10699" s="249"/>
      <c r="T10699" s="261"/>
    </row>
    <row r="10700" spans="2:20" x14ac:dyDescent="0.2">
      <c r="B10700" s="245"/>
      <c r="C10700" s="248"/>
      <c r="D10700" s="249"/>
      <c r="E10700" s="249"/>
      <c r="T10700" s="261"/>
    </row>
    <row r="10701" spans="2:20" x14ac:dyDescent="0.2">
      <c r="B10701" s="245"/>
      <c r="C10701" s="248"/>
      <c r="D10701" s="249"/>
      <c r="E10701" s="249"/>
      <c r="T10701" s="261"/>
    </row>
    <row r="10702" spans="2:20" x14ac:dyDescent="0.2">
      <c r="B10702" s="245"/>
      <c r="C10702" s="248"/>
      <c r="D10702" s="249"/>
      <c r="E10702" s="249"/>
      <c r="T10702" s="261"/>
    </row>
    <row r="10703" spans="2:20" x14ac:dyDescent="0.2">
      <c r="B10703" s="245"/>
      <c r="C10703" s="248"/>
      <c r="D10703" s="249"/>
      <c r="E10703" s="249"/>
      <c r="T10703" s="261"/>
    </row>
    <row r="10704" spans="2:20" x14ac:dyDescent="0.2">
      <c r="B10704" s="245"/>
      <c r="C10704" s="248"/>
      <c r="D10704" s="249"/>
      <c r="E10704" s="249"/>
      <c r="T10704" s="261"/>
    </row>
    <row r="10705" spans="2:20" x14ac:dyDescent="0.2">
      <c r="B10705" s="245"/>
      <c r="C10705" s="248"/>
      <c r="D10705" s="249"/>
      <c r="E10705" s="249"/>
      <c r="T10705" s="261"/>
    </row>
    <row r="10706" spans="2:20" x14ac:dyDescent="0.2">
      <c r="B10706" s="245"/>
      <c r="C10706" s="248"/>
      <c r="D10706" s="249"/>
      <c r="E10706" s="249"/>
      <c r="T10706" s="261"/>
    </row>
    <row r="10707" spans="2:20" x14ac:dyDescent="0.2">
      <c r="B10707" s="245"/>
      <c r="C10707" s="248"/>
      <c r="D10707" s="249"/>
      <c r="E10707" s="249"/>
      <c r="T10707" s="261"/>
    </row>
    <row r="10708" spans="2:20" x14ac:dyDescent="0.2">
      <c r="B10708" s="245"/>
      <c r="C10708" s="248"/>
      <c r="D10708" s="249"/>
      <c r="E10708" s="249"/>
      <c r="T10708" s="261"/>
    </row>
    <row r="10709" spans="2:20" x14ac:dyDescent="0.2">
      <c r="B10709" s="245"/>
      <c r="C10709" s="248"/>
      <c r="D10709" s="249"/>
      <c r="E10709" s="249"/>
      <c r="T10709" s="261"/>
    </row>
    <row r="10710" spans="2:20" x14ac:dyDescent="0.2">
      <c r="B10710" s="245"/>
      <c r="C10710" s="248"/>
      <c r="D10710" s="249"/>
      <c r="E10710" s="249"/>
      <c r="T10710" s="261"/>
    </row>
    <row r="10711" spans="2:20" x14ac:dyDescent="0.2">
      <c r="B10711" s="245"/>
      <c r="C10711" s="248"/>
      <c r="D10711" s="249"/>
      <c r="E10711" s="249"/>
      <c r="T10711" s="261"/>
    </row>
    <row r="10712" spans="2:20" x14ac:dyDescent="0.2">
      <c r="B10712" s="245"/>
      <c r="C10712" s="248"/>
      <c r="D10712" s="249"/>
      <c r="E10712" s="249"/>
      <c r="T10712" s="261"/>
    </row>
    <row r="10713" spans="2:20" x14ac:dyDescent="0.2">
      <c r="B10713" s="245"/>
      <c r="C10713" s="248"/>
      <c r="D10713" s="249"/>
      <c r="E10713" s="249"/>
      <c r="T10713" s="261"/>
    </row>
    <row r="10714" spans="2:20" x14ac:dyDescent="0.2">
      <c r="B10714" s="245"/>
      <c r="C10714" s="248"/>
      <c r="D10714" s="249"/>
      <c r="E10714" s="249"/>
      <c r="T10714" s="261"/>
    </row>
    <row r="10715" spans="2:20" x14ac:dyDescent="0.2">
      <c r="B10715" s="245"/>
      <c r="C10715" s="248"/>
      <c r="D10715" s="249"/>
      <c r="E10715" s="249"/>
      <c r="T10715" s="261"/>
    </row>
    <row r="10716" spans="2:20" x14ac:dyDescent="0.2">
      <c r="B10716" s="245"/>
      <c r="C10716" s="248"/>
      <c r="D10716" s="249"/>
      <c r="E10716" s="249"/>
      <c r="T10716" s="261"/>
    </row>
    <row r="10717" spans="2:20" x14ac:dyDescent="0.2">
      <c r="B10717" s="245"/>
      <c r="C10717" s="248"/>
      <c r="D10717" s="249"/>
      <c r="E10717" s="249"/>
      <c r="T10717" s="261"/>
    </row>
    <row r="10718" spans="2:20" x14ac:dyDescent="0.2">
      <c r="B10718" s="245"/>
      <c r="C10718" s="248"/>
      <c r="D10718" s="249"/>
      <c r="E10718" s="249"/>
      <c r="T10718" s="261"/>
    </row>
    <row r="10719" spans="2:20" x14ac:dyDescent="0.2">
      <c r="B10719" s="245"/>
      <c r="C10719" s="248"/>
      <c r="D10719" s="249"/>
      <c r="E10719" s="249"/>
      <c r="T10719" s="261"/>
    </row>
    <row r="10720" spans="2:20" x14ac:dyDescent="0.2">
      <c r="B10720" s="245"/>
      <c r="C10720" s="248"/>
      <c r="D10720" s="249"/>
      <c r="E10720" s="249"/>
      <c r="T10720" s="261"/>
    </row>
    <row r="10721" spans="2:20" x14ac:dyDescent="0.2">
      <c r="B10721" s="245"/>
      <c r="C10721" s="248"/>
      <c r="D10721" s="249"/>
      <c r="E10721" s="249"/>
      <c r="T10721" s="261"/>
    </row>
    <row r="10722" spans="2:20" x14ac:dyDescent="0.2">
      <c r="B10722" s="245"/>
      <c r="C10722" s="248"/>
      <c r="D10722" s="249"/>
      <c r="E10722" s="249"/>
      <c r="T10722" s="261"/>
    </row>
    <row r="10723" spans="2:20" x14ac:dyDescent="0.2">
      <c r="B10723" s="245"/>
      <c r="C10723" s="248"/>
      <c r="D10723" s="249"/>
      <c r="E10723" s="249"/>
      <c r="T10723" s="261"/>
    </row>
    <row r="10724" spans="2:20" x14ac:dyDescent="0.2">
      <c r="B10724" s="245"/>
      <c r="C10724" s="248"/>
      <c r="D10724" s="249"/>
      <c r="E10724" s="249"/>
      <c r="T10724" s="261"/>
    </row>
    <row r="10725" spans="2:20" x14ac:dyDescent="0.2">
      <c r="B10725" s="245"/>
      <c r="C10725" s="248"/>
      <c r="D10725" s="249"/>
      <c r="E10725" s="249"/>
      <c r="T10725" s="261"/>
    </row>
    <row r="10726" spans="2:20" x14ac:dyDescent="0.2">
      <c r="B10726" s="245"/>
      <c r="C10726" s="248"/>
      <c r="D10726" s="249"/>
      <c r="E10726" s="249"/>
      <c r="T10726" s="261"/>
    </row>
    <row r="10727" spans="2:20" x14ac:dyDescent="0.2">
      <c r="B10727" s="245"/>
      <c r="C10727" s="248"/>
      <c r="D10727" s="249"/>
      <c r="E10727" s="249"/>
      <c r="T10727" s="261"/>
    </row>
    <row r="10728" spans="2:20" x14ac:dyDescent="0.2">
      <c r="B10728" s="245"/>
      <c r="C10728" s="248"/>
      <c r="D10728" s="249"/>
      <c r="E10728" s="249"/>
      <c r="T10728" s="261"/>
    </row>
    <row r="10729" spans="2:20" x14ac:dyDescent="0.2">
      <c r="B10729" s="245"/>
      <c r="C10729" s="248"/>
      <c r="D10729" s="249"/>
      <c r="E10729" s="249"/>
      <c r="T10729" s="261"/>
    </row>
    <row r="10730" spans="2:20" x14ac:dyDescent="0.2">
      <c r="B10730" s="245"/>
      <c r="C10730" s="248"/>
      <c r="D10730" s="249"/>
      <c r="E10730" s="249"/>
      <c r="T10730" s="261"/>
    </row>
    <row r="10731" spans="2:20" x14ac:dyDescent="0.2">
      <c r="B10731" s="245"/>
      <c r="C10731" s="248"/>
      <c r="D10731" s="249"/>
      <c r="E10731" s="249"/>
      <c r="T10731" s="261"/>
    </row>
    <row r="10732" spans="2:20" x14ac:dyDescent="0.2">
      <c r="B10732" s="245"/>
      <c r="C10732" s="248"/>
      <c r="D10732" s="249"/>
      <c r="E10732" s="249"/>
      <c r="T10732" s="261"/>
    </row>
    <row r="10733" spans="2:20" x14ac:dyDescent="0.2">
      <c r="B10733" s="245"/>
      <c r="C10733" s="248"/>
      <c r="D10733" s="249"/>
      <c r="E10733" s="249"/>
      <c r="T10733" s="261"/>
    </row>
    <row r="10734" spans="2:20" x14ac:dyDescent="0.2">
      <c r="B10734" s="245"/>
      <c r="C10734" s="248"/>
      <c r="D10734" s="249"/>
      <c r="E10734" s="249"/>
      <c r="T10734" s="261"/>
    </row>
    <row r="10735" spans="2:20" x14ac:dyDescent="0.2">
      <c r="B10735" s="245"/>
      <c r="C10735" s="248"/>
      <c r="D10735" s="249"/>
      <c r="E10735" s="249"/>
      <c r="T10735" s="261"/>
    </row>
    <row r="10736" spans="2:20" x14ac:dyDescent="0.2">
      <c r="B10736" s="245"/>
      <c r="C10736" s="248"/>
      <c r="D10736" s="249"/>
      <c r="E10736" s="249"/>
      <c r="T10736" s="261"/>
    </row>
    <row r="10737" spans="2:20" x14ac:dyDescent="0.2">
      <c r="B10737" s="245"/>
      <c r="C10737" s="248"/>
      <c r="D10737" s="249"/>
      <c r="E10737" s="249"/>
      <c r="T10737" s="261"/>
    </row>
    <row r="10738" spans="2:20" x14ac:dyDescent="0.2">
      <c r="B10738" s="245"/>
      <c r="C10738" s="248"/>
      <c r="D10738" s="249"/>
      <c r="E10738" s="249"/>
      <c r="T10738" s="261"/>
    </row>
    <row r="10739" spans="2:20" x14ac:dyDescent="0.2">
      <c r="B10739" s="245"/>
      <c r="C10739" s="248"/>
      <c r="D10739" s="249"/>
      <c r="E10739" s="249"/>
      <c r="T10739" s="261"/>
    </row>
    <row r="10740" spans="2:20" x14ac:dyDescent="0.2">
      <c r="B10740" s="245"/>
      <c r="C10740" s="248"/>
      <c r="D10740" s="249"/>
      <c r="E10740" s="249"/>
      <c r="T10740" s="261"/>
    </row>
    <row r="10741" spans="2:20" x14ac:dyDescent="0.2">
      <c r="B10741" s="245"/>
      <c r="C10741" s="248"/>
      <c r="D10741" s="249"/>
      <c r="E10741" s="249"/>
      <c r="T10741" s="261"/>
    </row>
    <row r="10742" spans="2:20" x14ac:dyDescent="0.2">
      <c r="B10742" s="245"/>
      <c r="C10742" s="248"/>
      <c r="D10742" s="249"/>
      <c r="E10742" s="249"/>
      <c r="T10742" s="261"/>
    </row>
    <row r="10743" spans="2:20" x14ac:dyDescent="0.2">
      <c r="B10743" s="245"/>
      <c r="C10743" s="248"/>
      <c r="D10743" s="249"/>
      <c r="E10743" s="249"/>
      <c r="T10743" s="261"/>
    </row>
    <row r="10744" spans="2:20" x14ac:dyDescent="0.2">
      <c r="B10744" s="245"/>
      <c r="C10744" s="248"/>
      <c r="D10744" s="249"/>
      <c r="E10744" s="249"/>
      <c r="T10744" s="261"/>
    </row>
    <row r="10745" spans="2:20" x14ac:dyDescent="0.2">
      <c r="B10745" s="245"/>
      <c r="C10745" s="248"/>
      <c r="D10745" s="249"/>
      <c r="E10745" s="249"/>
      <c r="T10745" s="261"/>
    </row>
    <row r="10746" spans="2:20" x14ac:dyDescent="0.2">
      <c r="B10746" s="245"/>
      <c r="C10746" s="248"/>
      <c r="D10746" s="249"/>
      <c r="E10746" s="249"/>
      <c r="T10746" s="261"/>
    </row>
    <row r="10747" spans="2:20" x14ac:dyDescent="0.2">
      <c r="B10747" s="245"/>
      <c r="C10747" s="248"/>
      <c r="D10747" s="249"/>
      <c r="E10747" s="249"/>
      <c r="T10747" s="261"/>
    </row>
    <row r="10748" spans="2:20" x14ac:dyDescent="0.2">
      <c r="B10748" s="245"/>
      <c r="C10748" s="248"/>
      <c r="D10748" s="249"/>
      <c r="E10748" s="249"/>
      <c r="T10748" s="261"/>
    </row>
    <row r="10749" spans="2:20" x14ac:dyDescent="0.2">
      <c r="B10749" s="245"/>
      <c r="C10749" s="248"/>
      <c r="D10749" s="249"/>
      <c r="E10749" s="249"/>
      <c r="T10749" s="261"/>
    </row>
    <row r="10750" spans="2:20" x14ac:dyDescent="0.2">
      <c r="B10750" s="245"/>
      <c r="C10750" s="248"/>
      <c r="D10750" s="249"/>
      <c r="E10750" s="249"/>
      <c r="T10750" s="261"/>
    </row>
    <row r="10751" spans="2:20" x14ac:dyDescent="0.2">
      <c r="B10751" s="245"/>
      <c r="C10751" s="248"/>
      <c r="D10751" s="249"/>
      <c r="E10751" s="249"/>
      <c r="T10751" s="261"/>
    </row>
    <row r="10752" spans="2:20" x14ac:dyDescent="0.2">
      <c r="B10752" s="245"/>
      <c r="C10752" s="248"/>
      <c r="D10752" s="249"/>
      <c r="E10752" s="249"/>
      <c r="T10752" s="261"/>
    </row>
    <row r="10753" spans="2:20" x14ac:dyDescent="0.2">
      <c r="B10753" s="245"/>
      <c r="C10753" s="248"/>
      <c r="D10753" s="249"/>
      <c r="E10753" s="249"/>
      <c r="T10753" s="261"/>
    </row>
    <row r="10754" spans="2:20" x14ac:dyDescent="0.2">
      <c r="B10754" s="245"/>
      <c r="C10754" s="248"/>
      <c r="D10754" s="249"/>
      <c r="E10754" s="249"/>
      <c r="T10754" s="261"/>
    </row>
    <row r="10755" spans="2:20" x14ac:dyDescent="0.2">
      <c r="B10755" s="245"/>
      <c r="C10755" s="248"/>
      <c r="D10755" s="249"/>
      <c r="E10755" s="249"/>
      <c r="T10755" s="261"/>
    </row>
    <row r="10756" spans="2:20" x14ac:dyDescent="0.2">
      <c r="B10756" s="245"/>
      <c r="C10756" s="248"/>
      <c r="D10756" s="249"/>
      <c r="E10756" s="249"/>
      <c r="T10756" s="261"/>
    </row>
    <row r="10757" spans="2:20" x14ac:dyDescent="0.2">
      <c r="B10757" s="245"/>
      <c r="C10757" s="248"/>
      <c r="D10757" s="249"/>
      <c r="E10757" s="249"/>
      <c r="T10757" s="261"/>
    </row>
    <row r="10758" spans="2:20" x14ac:dyDescent="0.2">
      <c r="B10758" s="245"/>
      <c r="C10758" s="248"/>
      <c r="D10758" s="249"/>
      <c r="E10758" s="249"/>
      <c r="T10758" s="261"/>
    </row>
    <row r="10759" spans="2:20" x14ac:dyDescent="0.2">
      <c r="B10759" s="245"/>
      <c r="C10759" s="248"/>
      <c r="D10759" s="249"/>
      <c r="E10759" s="249"/>
      <c r="T10759" s="261"/>
    </row>
    <row r="10760" spans="2:20" x14ac:dyDescent="0.2">
      <c r="B10760" s="245"/>
      <c r="C10760" s="248"/>
      <c r="D10760" s="249"/>
      <c r="E10760" s="249"/>
      <c r="T10760" s="261"/>
    </row>
    <row r="10761" spans="2:20" x14ac:dyDescent="0.2">
      <c r="B10761" s="245"/>
      <c r="C10761" s="248"/>
      <c r="D10761" s="249"/>
      <c r="E10761" s="249"/>
      <c r="T10761" s="261"/>
    </row>
    <row r="10762" spans="2:20" x14ac:dyDescent="0.2">
      <c r="B10762" s="245"/>
      <c r="C10762" s="248"/>
      <c r="D10762" s="249"/>
      <c r="E10762" s="249"/>
      <c r="T10762" s="261"/>
    </row>
    <row r="10763" spans="2:20" x14ac:dyDescent="0.2">
      <c r="B10763" s="245"/>
      <c r="C10763" s="248"/>
      <c r="D10763" s="249"/>
      <c r="E10763" s="249"/>
      <c r="T10763" s="261"/>
    </row>
    <row r="10764" spans="2:20" x14ac:dyDescent="0.2">
      <c r="B10764" s="245"/>
      <c r="C10764" s="248"/>
      <c r="D10764" s="249"/>
      <c r="E10764" s="249"/>
      <c r="T10764" s="261"/>
    </row>
    <row r="10765" spans="2:20" x14ac:dyDescent="0.2">
      <c r="B10765" s="245"/>
      <c r="C10765" s="248"/>
      <c r="D10765" s="249"/>
      <c r="E10765" s="249"/>
      <c r="T10765" s="261"/>
    </row>
    <row r="10766" spans="2:20" x14ac:dyDescent="0.2">
      <c r="B10766" s="245"/>
      <c r="C10766" s="248"/>
      <c r="D10766" s="249"/>
      <c r="E10766" s="249"/>
      <c r="T10766" s="261"/>
    </row>
    <row r="10767" spans="2:20" x14ac:dyDescent="0.2">
      <c r="B10767" s="245"/>
      <c r="C10767" s="248"/>
      <c r="D10767" s="249"/>
      <c r="E10767" s="249"/>
      <c r="T10767" s="261"/>
    </row>
    <row r="10768" spans="2:20" x14ac:dyDescent="0.2">
      <c r="B10768" s="245"/>
      <c r="C10768" s="248"/>
      <c r="D10768" s="249"/>
      <c r="E10768" s="249"/>
      <c r="T10768" s="261"/>
    </row>
    <row r="10769" spans="2:20" x14ac:dyDescent="0.2">
      <c r="B10769" s="245"/>
      <c r="C10769" s="248"/>
      <c r="D10769" s="249"/>
      <c r="E10769" s="249"/>
      <c r="T10769" s="261"/>
    </row>
    <row r="10770" spans="2:20" x14ac:dyDescent="0.2">
      <c r="B10770" s="245"/>
      <c r="C10770" s="248"/>
      <c r="D10770" s="249"/>
      <c r="E10770" s="249"/>
      <c r="T10770" s="261"/>
    </row>
    <row r="10771" spans="2:20" x14ac:dyDescent="0.2">
      <c r="B10771" s="245"/>
      <c r="C10771" s="248"/>
      <c r="D10771" s="249"/>
      <c r="E10771" s="249"/>
      <c r="T10771" s="261"/>
    </row>
    <row r="10772" spans="2:20" x14ac:dyDescent="0.2">
      <c r="B10772" s="245"/>
      <c r="C10772" s="248"/>
      <c r="D10772" s="249"/>
      <c r="E10772" s="249"/>
      <c r="T10772" s="261"/>
    </row>
    <row r="10773" spans="2:20" x14ac:dyDescent="0.2">
      <c r="B10773" s="245"/>
      <c r="C10773" s="248"/>
      <c r="D10773" s="249"/>
      <c r="E10773" s="249"/>
      <c r="T10773" s="261"/>
    </row>
    <row r="10774" spans="2:20" x14ac:dyDescent="0.2">
      <c r="B10774" s="245"/>
      <c r="C10774" s="248"/>
      <c r="D10774" s="249"/>
      <c r="E10774" s="249"/>
      <c r="T10774" s="261"/>
    </row>
    <row r="10775" spans="2:20" x14ac:dyDescent="0.2">
      <c r="B10775" s="245"/>
      <c r="C10775" s="248"/>
      <c r="D10775" s="249"/>
      <c r="E10775" s="249"/>
      <c r="T10775" s="261"/>
    </row>
    <row r="10776" spans="2:20" x14ac:dyDescent="0.2">
      <c r="B10776" s="245"/>
      <c r="C10776" s="248"/>
      <c r="D10776" s="249"/>
      <c r="E10776" s="249"/>
      <c r="T10776" s="261"/>
    </row>
    <row r="10777" spans="2:20" x14ac:dyDescent="0.2">
      <c r="B10777" s="245"/>
      <c r="C10777" s="248"/>
      <c r="D10777" s="249"/>
      <c r="E10777" s="249"/>
      <c r="T10777" s="261"/>
    </row>
    <row r="10778" spans="2:20" x14ac:dyDescent="0.2">
      <c r="B10778" s="245"/>
      <c r="C10778" s="248"/>
      <c r="D10778" s="249"/>
      <c r="E10778" s="249"/>
      <c r="T10778" s="261"/>
    </row>
    <row r="10779" spans="2:20" x14ac:dyDescent="0.2">
      <c r="B10779" s="245"/>
      <c r="C10779" s="248"/>
      <c r="D10779" s="249"/>
      <c r="E10779" s="249"/>
      <c r="T10779" s="261"/>
    </row>
    <row r="10780" spans="2:20" x14ac:dyDescent="0.2">
      <c r="B10780" s="245"/>
      <c r="C10780" s="248"/>
      <c r="D10780" s="249"/>
      <c r="E10780" s="249"/>
      <c r="T10780" s="261"/>
    </row>
    <row r="10781" spans="2:20" x14ac:dyDescent="0.2">
      <c r="B10781" s="245"/>
      <c r="C10781" s="248"/>
      <c r="D10781" s="249"/>
      <c r="E10781" s="249"/>
      <c r="T10781" s="261"/>
    </row>
    <row r="10782" spans="2:20" x14ac:dyDescent="0.2">
      <c r="B10782" s="245"/>
      <c r="C10782" s="248"/>
      <c r="D10782" s="249"/>
      <c r="E10782" s="249"/>
      <c r="T10782" s="261"/>
    </row>
    <row r="10783" spans="2:20" x14ac:dyDescent="0.2">
      <c r="B10783" s="245"/>
      <c r="C10783" s="248"/>
      <c r="D10783" s="249"/>
      <c r="E10783" s="249"/>
      <c r="T10783" s="261"/>
    </row>
    <row r="10784" spans="2:20" x14ac:dyDescent="0.2">
      <c r="B10784" s="245"/>
      <c r="C10784" s="248"/>
      <c r="D10784" s="249"/>
      <c r="E10784" s="249"/>
      <c r="T10784" s="261"/>
    </row>
    <row r="10785" spans="2:20" x14ac:dyDescent="0.2">
      <c r="B10785" s="245"/>
      <c r="C10785" s="248"/>
      <c r="D10785" s="249"/>
      <c r="E10785" s="249"/>
      <c r="T10785" s="261"/>
    </row>
    <row r="10786" spans="2:20" x14ac:dyDescent="0.2">
      <c r="B10786" s="245"/>
      <c r="C10786" s="248"/>
      <c r="D10786" s="249"/>
      <c r="E10786" s="249"/>
      <c r="T10786" s="261"/>
    </row>
    <row r="10787" spans="2:20" x14ac:dyDescent="0.2">
      <c r="B10787" s="245"/>
      <c r="C10787" s="248"/>
      <c r="D10787" s="249"/>
      <c r="E10787" s="249"/>
      <c r="T10787" s="261"/>
    </row>
    <row r="10788" spans="2:20" x14ac:dyDescent="0.2">
      <c r="B10788" s="245"/>
      <c r="C10788" s="248"/>
      <c r="D10788" s="249"/>
      <c r="E10788" s="249"/>
      <c r="T10788" s="261"/>
    </row>
    <row r="10789" spans="2:20" x14ac:dyDescent="0.2">
      <c r="B10789" s="245"/>
      <c r="C10789" s="248"/>
      <c r="D10789" s="249"/>
      <c r="E10789" s="249"/>
      <c r="T10789" s="261"/>
    </row>
    <row r="10790" spans="2:20" x14ac:dyDescent="0.2">
      <c r="B10790" s="245"/>
      <c r="C10790" s="248"/>
      <c r="D10790" s="249"/>
      <c r="E10790" s="249"/>
      <c r="T10790" s="261"/>
    </row>
    <row r="10791" spans="2:20" x14ac:dyDescent="0.2">
      <c r="B10791" s="245"/>
      <c r="C10791" s="248"/>
      <c r="D10791" s="249"/>
      <c r="E10791" s="249"/>
      <c r="T10791" s="261"/>
    </row>
    <row r="10792" spans="2:20" x14ac:dyDescent="0.2">
      <c r="B10792" s="245"/>
      <c r="C10792" s="248"/>
      <c r="D10792" s="249"/>
      <c r="E10792" s="249"/>
      <c r="T10792" s="261"/>
    </row>
    <row r="10793" spans="2:20" x14ac:dyDescent="0.2">
      <c r="B10793" s="245"/>
      <c r="C10793" s="248"/>
      <c r="D10793" s="249"/>
      <c r="E10793" s="249"/>
      <c r="T10793" s="261"/>
    </row>
    <row r="10794" spans="2:20" x14ac:dyDescent="0.2">
      <c r="B10794" s="245"/>
      <c r="C10794" s="248"/>
      <c r="D10794" s="249"/>
      <c r="E10794" s="249"/>
      <c r="T10794" s="261"/>
    </row>
    <row r="10795" spans="2:20" x14ac:dyDescent="0.2">
      <c r="B10795" s="245"/>
      <c r="C10795" s="248"/>
      <c r="D10795" s="249"/>
      <c r="E10795" s="249"/>
      <c r="T10795" s="261"/>
    </row>
    <row r="10796" spans="2:20" x14ac:dyDescent="0.2">
      <c r="B10796" s="245"/>
      <c r="C10796" s="248"/>
      <c r="D10796" s="249"/>
      <c r="E10796" s="249"/>
      <c r="T10796" s="261"/>
    </row>
    <row r="10797" spans="2:20" x14ac:dyDescent="0.2">
      <c r="B10797" s="245"/>
      <c r="C10797" s="248"/>
      <c r="D10797" s="249"/>
      <c r="E10797" s="249"/>
      <c r="T10797" s="261"/>
    </row>
    <row r="10798" spans="2:20" x14ac:dyDescent="0.2">
      <c r="B10798" s="245"/>
      <c r="C10798" s="248"/>
      <c r="D10798" s="249"/>
      <c r="E10798" s="249"/>
      <c r="T10798" s="261"/>
    </row>
    <row r="10799" spans="2:20" x14ac:dyDescent="0.2">
      <c r="B10799" s="245"/>
      <c r="C10799" s="248"/>
      <c r="D10799" s="249"/>
      <c r="E10799" s="249"/>
      <c r="T10799" s="261"/>
    </row>
    <row r="10800" spans="2:20" x14ac:dyDescent="0.2">
      <c r="B10800" s="245"/>
      <c r="C10800" s="248"/>
      <c r="D10800" s="249"/>
      <c r="E10800" s="249"/>
      <c r="T10800" s="261"/>
    </row>
    <row r="10801" spans="2:20" x14ac:dyDescent="0.2">
      <c r="B10801" s="245"/>
      <c r="C10801" s="248"/>
      <c r="D10801" s="249"/>
      <c r="E10801" s="249"/>
      <c r="T10801" s="261"/>
    </row>
    <row r="10802" spans="2:20" x14ac:dyDescent="0.2">
      <c r="B10802" s="245"/>
      <c r="C10802" s="248"/>
      <c r="D10802" s="249"/>
      <c r="E10802" s="249"/>
      <c r="T10802" s="261"/>
    </row>
    <row r="10803" spans="2:20" x14ac:dyDescent="0.2">
      <c r="B10803" s="245"/>
      <c r="C10803" s="248"/>
      <c r="D10803" s="249"/>
      <c r="E10803" s="249"/>
      <c r="T10803" s="261"/>
    </row>
    <row r="10804" spans="2:20" x14ac:dyDescent="0.2">
      <c r="B10804" s="245"/>
      <c r="C10804" s="248"/>
      <c r="D10804" s="249"/>
      <c r="E10804" s="249"/>
      <c r="T10804" s="261"/>
    </row>
    <row r="10805" spans="2:20" x14ac:dyDescent="0.2">
      <c r="B10805" s="245"/>
      <c r="C10805" s="248"/>
      <c r="D10805" s="249"/>
      <c r="E10805" s="249"/>
      <c r="T10805" s="261"/>
    </row>
    <row r="10806" spans="2:20" x14ac:dyDescent="0.2">
      <c r="B10806" s="245"/>
      <c r="C10806" s="248"/>
      <c r="D10806" s="249"/>
      <c r="E10806" s="249"/>
      <c r="T10806" s="261"/>
    </row>
    <row r="10807" spans="2:20" x14ac:dyDescent="0.2">
      <c r="B10807" s="245"/>
      <c r="C10807" s="248"/>
      <c r="D10807" s="249"/>
      <c r="E10807" s="249"/>
      <c r="T10807" s="261"/>
    </row>
    <row r="10808" spans="2:20" x14ac:dyDescent="0.2">
      <c r="B10808" s="245"/>
      <c r="C10808" s="248"/>
      <c r="D10808" s="249"/>
      <c r="E10808" s="249"/>
      <c r="T10808" s="261"/>
    </row>
    <row r="10809" spans="2:20" x14ac:dyDescent="0.2">
      <c r="B10809" s="245"/>
      <c r="C10809" s="248"/>
      <c r="D10809" s="249"/>
      <c r="E10809" s="249"/>
      <c r="T10809" s="261"/>
    </row>
    <row r="10810" spans="2:20" x14ac:dyDescent="0.2">
      <c r="B10810" s="245"/>
      <c r="C10810" s="248"/>
      <c r="D10810" s="249"/>
      <c r="E10810" s="249"/>
      <c r="T10810" s="261"/>
    </row>
    <row r="10811" spans="2:20" x14ac:dyDescent="0.2">
      <c r="B10811" s="245"/>
      <c r="C10811" s="248"/>
      <c r="D10811" s="249"/>
      <c r="E10811" s="249"/>
      <c r="T10811" s="261"/>
    </row>
    <row r="10812" spans="2:20" x14ac:dyDescent="0.2">
      <c r="B10812" s="245"/>
      <c r="C10812" s="248"/>
      <c r="D10812" s="249"/>
      <c r="E10812" s="249"/>
      <c r="T10812" s="261"/>
    </row>
    <row r="10813" spans="2:20" x14ac:dyDescent="0.2">
      <c r="B10813" s="245"/>
      <c r="C10813" s="248"/>
      <c r="D10813" s="249"/>
      <c r="E10813" s="249"/>
      <c r="T10813" s="261"/>
    </row>
    <row r="10814" spans="2:20" x14ac:dyDescent="0.2">
      <c r="B10814" s="245"/>
      <c r="C10814" s="248"/>
      <c r="D10814" s="249"/>
      <c r="E10814" s="249"/>
      <c r="T10814" s="261"/>
    </row>
    <row r="10815" spans="2:20" x14ac:dyDescent="0.2">
      <c r="B10815" s="245"/>
      <c r="C10815" s="248"/>
      <c r="D10815" s="249"/>
      <c r="E10815" s="249"/>
      <c r="T10815" s="261"/>
    </row>
    <row r="10816" spans="2:20" x14ac:dyDescent="0.2">
      <c r="B10816" s="245"/>
      <c r="C10816" s="248"/>
      <c r="D10816" s="249"/>
      <c r="E10816" s="249"/>
      <c r="T10816" s="261"/>
    </row>
    <row r="10817" spans="2:20" x14ac:dyDescent="0.2">
      <c r="B10817" s="245"/>
      <c r="C10817" s="248"/>
      <c r="D10817" s="249"/>
      <c r="E10817" s="249"/>
      <c r="T10817" s="261"/>
    </row>
    <row r="10818" spans="2:20" x14ac:dyDescent="0.2">
      <c r="B10818" s="245"/>
      <c r="C10818" s="248"/>
      <c r="D10818" s="249"/>
      <c r="E10818" s="249"/>
      <c r="T10818" s="261"/>
    </row>
    <row r="10819" spans="2:20" x14ac:dyDescent="0.2">
      <c r="B10819" s="245"/>
      <c r="C10819" s="248"/>
      <c r="D10819" s="249"/>
      <c r="E10819" s="249"/>
      <c r="T10819" s="261"/>
    </row>
    <row r="10820" spans="2:20" x14ac:dyDescent="0.2">
      <c r="B10820" s="245"/>
      <c r="C10820" s="248"/>
      <c r="D10820" s="249"/>
      <c r="E10820" s="249"/>
      <c r="T10820" s="261"/>
    </row>
    <row r="10821" spans="2:20" x14ac:dyDescent="0.2">
      <c r="B10821" s="245"/>
      <c r="C10821" s="248"/>
      <c r="D10821" s="249"/>
      <c r="E10821" s="249"/>
      <c r="T10821" s="261"/>
    </row>
    <row r="10822" spans="2:20" x14ac:dyDescent="0.2">
      <c r="B10822" s="245"/>
      <c r="C10822" s="248"/>
      <c r="D10822" s="249"/>
      <c r="E10822" s="249"/>
      <c r="T10822" s="261"/>
    </row>
    <row r="10823" spans="2:20" x14ac:dyDescent="0.2">
      <c r="B10823" s="245"/>
      <c r="C10823" s="248"/>
      <c r="D10823" s="249"/>
      <c r="E10823" s="249"/>
      <c r="T10823" s="261"/>
    </row>
    <row r="10824" spans="2:20" x14ac:dyDescent="0.2">
      <c r="B10824" s="245"/>
      <c r="C10824" s="248"/>
      <c r="D10824" s="249"/>
      <c r="E10824" s="249"/>
      <c r="T10824" s="261"/>
    </row>
    <row r="10825" spans="2:20" x14ac:dyDescent="0.2">
      <c r="B10825" s="245"/>
      <c r="C10825" s="248"/>
      <c r="D10825" s="249"/>
      <c r="E10825" s="249"/>
      <c r="T10825" s="261"/>
    </row>
    <row r="10826" spans="2:20" x14ac:dyDescent="0.2">
      <c r="B10826" s="245"/>
      <c r="C10826" s="248"/>
      <c r="D10826" s="249"/>
      <c r="E10826" s="249"/>
      <c r="T10826" s="261"/>
    </row>
    <row r="10827" spans="2:20" x14ac:dyDescent="0.2">
      <c r="B10827" s="245"/>
      <c r="C10827" s="248"/>
      <c r="D10827" s="249"/>
      <c r="E10827" s="249"/>
      <c r="T10827" s="261"/>
    </row>
    <row r="10828" spans="2:20" x14ac:dyDescent="0.2">
      <c r="B10828" s="245"/>
      <c r="C10828" s="248"/>
      <c r="D10828" s="249"/>
      <c r="E10828" s="249"/>
      <c r="T10828" s="261"/>
    </row>
    <row r="10829" spans="2:20" x14ac:dyDescent="0.2">
      <c r="B10829" s="245"/>
      <c r="C10829" s="248"/>
      <c r="D10829" s="249"/>
      <c r="E10829" s="249"/>
      <c r="T10829" s="261"/>
    </row>
    <row r="10830" spans="2:20" x14ac:dyDescent="0.2">
      <c r="B10830" s="245"/>
      <c r="C10830" s="248"/>
      <c r="D10830" s="249"/>
      <c r="E10830" s="249"/>
      <c r="T10830" s="261"/>
    </row>
    <row r="10831" spans="2:20" x14ac:dyDescent="0.2">
      <c r="B10831" s="245"/>
      <c r="C10831" s="248"/>
      <c r="D10831" s="249"/>
      <c r="E10831" s="249"/>
      <c r="T10831" s="261"/>
    </row>
    <row r="10832" spans="2:20" x14ac:dyDescent="0.2">
      <c r="B10832" s="245"/>
      <c r="C10832" s="248"/>
      <c r="D10832" s="249"/>
      <c r="E10832" s="249"/>
      <c r="T10832" s="261"/>
    </row>
    <row r="10833" spans="2:20" x14ac:dyDescent="0.2">
      <c r="B10833" s="245"/>
      <c r="C10833" s="248"/>
      <c r="D10833" s="249"/>
      <c r="E10833" s="249"/>
      <c r="T10833" s="261"/>
    </row>
    <row r="10834" spans="2:20" x14ac:dyDescent="0.2">
      <c r="B10834" s="245"/>
      <c r="C10834" s="248"/>
      <c r="D10834" s="249"/>
      <c r="E10834" s="249"/>
      <c r="T10834" s="261"/>
    </row>
    <row r="10835" spans="2:20" x14ac:dyDescent="0.2">
      <c r="B10835" s="245"/>
      <c r="C10835" s="248"/>
      <c r="D10835" s="249"/>
      <c r="E10835" s="249"/>
      <c r="T10835" s="261"/>
    </row>
    <row r="10836" spans="2:20" x14ac:dyDescent="0.2">
      <c r="B10836" s="245"/>
      <c r="C10836" s="248"/>
      <c r="D10836" s="249"/>
      <c r="E10836" s="249"/>
      <c r="T10836" s="261"/>
    </row>
    <row r="10837" spans="2:20" x14ac:dyDescent="0.2">
      <c r="B10837" s="245"/>
      <c r="C10837" s="248"/>
      <c r="D10837" s="249"/>
      <c r="E10837" s="249"/>
      <c r="T10837" s="261"/>
    </row>
    <row r="10838" spans="2:20" x14ac:dyDescent="0.2">
      <c r="B10838" s="245"/>
      <c r="C10838" s="248"/>
      <c r="D10838" s="249"/>
      <c r="E10838" s="249"/>
      <c r="T10838" s="261"/>
    </row>
    <row r="10839" spans="2:20" x14ac:dyDescent="0.2">
      <c r="B10839" s="245"/>
      <c r="C10839" s="248"/>
      <c r="D10839" s="249"/>
      <c r="E10839" s="249"/>
      <c r="T10839" s="261"/>
    </row>
    <row r="10840" spans="2:20" x14ac:dyDescent="0.2">
      <c r="B10840" s="245"/>
      <c r="C10840" s="248"/>
      <c r="D10840" s="249"/>
      <c r="E10840" s="249"/>
      <c r="T10840" s="261"/>
    </row>
    <row r="10841" spans="2:20" x14ac:dyDescent="0.2">
      <c r="B10841" s="245"/>
      <c r="C10841" s="248"/>
      <c r="D10841" s="249"/>
      <c r="E10841" s="249"/>
      <c r="T10841" s="261"/>
    </row>
    <row r="10842" spans="2:20" x14ac:dyDescent="0.2">
      <c r="B10842" s="245"/>
      <c r="C10842" s="248"/>
      <c r="D10842" s="249"/>
      <c r="E10842" s="249"/>
      <c r="T10842" s="261"/>
    </row>
    <row r="10843" spans="2:20" x14ac:dyDescent="0.2">
      <c r="B10843" s="245"/>
      <c r="C10843" s="248"/>
      <c r="D10843" s="249"/>
      <c r="E10843" s="249"/>
      <c r="T10843" s="261"/>
    </row>
    <row r="10844" spans="2:20" x14ac:dyDescent="0.2">
      <c r="B10844" s="245"/>
      <c r="C10844" s="248"/>
      <c r="D10844" s="249"/>
      <c r="E10844" s="249"/>
      <c r="T10844" s="261"/>
    </row>
    <row r="10845" spans="2:20" x14ac:dyDescent="0.2">
      <c r="B10845" s="245"/>
      <c r="C10845" s="248"/>
      <c r="D10845" s="249"/>
      <c r="E10845" s="249"/>
      <c r="T10845" s="261"/>
    </row>
    <row r="10846" spans="2:20" x14ac:dyDescent="0.2">
      <c r="B10846" s="245"/>
      <c r="C10846" s="248"/>
      <c r="D10846" s="249"/>
      <c r="E10846" s="249"/>
      <c r="T10846" s="261"/>
    </row>
    <row r="10847" spans="2:20" x14ac:dyDescent="0.2">
      <c r="B10847" s="245"/>
      <c r="C10847" s="248"/>
      <c r="D10847" s="249"/>
      <c r="E10847" s="249"/>
      <c r="T10847" s="261"/>
    </row>
    <row r="10848" spans="2:20" x14ac:dyDescent="0.2">
      <c r="B10848" s="245"/>
      <c r="C10848" s="248"/>
      <c r="D10848" s="249"/>
      <c r="E10848" s="249"/>
      <c r="T10848" s="261"/>
    </row>
    <row r="10849" spans="2:20" x14ac:dyDescent="0.2">
      <c r="B10849" s="245"/>
      <c r="C10849" s="248"/>
      <c r="D10849" s="249"/>
      <c r="E10849" s="249"/>
      <c r="T10849" s="261"/>
    </row>
    <row r="10850" spans="2:20" x14ac:dyDescent="0.2">
      <c r="B10850" s="245"/>
      <c r="C10850" s="248"/>
      <c r="D10850" s="249"/>
      <c r="E10850" s="249"/>
      <c r="T10850" s="261"/>
    </row>
    <row r="10851" spans="2:20" x14ac:dyDescent="0.2">
      <c r="B10851" s="245"/>
      <c r="C10851" s="248"/>
      <c r="D10851" s="249"/>
      <c r="E10851" s="249"/>
      <c r="T10851" s="261"/>
    </row>
    <row r="10852" spans="2:20" x14ac:dyDescent="0.2">
      <c r="B10852" s="245"/>
      <c r="C10852" s="248"/>
      <c r="D10852" s="249"/>
      <c r="E10852" s="249"/>
      <c r="T10852" s="261"/>
    </row>
    <row r="10853" spans="2:20" x14ac:dyDescent="0.2">
      <c r="B10853" s="245"/>
      <c r="C10853" s="248"/>
      <c r="D10853" s="249"/>
      <c r="E10853" s="249"/>
      <c r="T10853" s="261"/>
    </row>
    <row r="10854" spans="2:20" x14ac:dyDescent="0.2">
      <c r="B10854" s="245"/>
      <c r="C10854" s="248"/>
      <c r="D10854" s="249"/>
      <c r="E10854" s="249"/>
      <c r="T10854" s="261"/>
    </row>
    <row r="10855" spans="2:20" x14ac:dyDescent="0.2">
      <c r="B10855" s="245"/>
      <c r="C10855" s="248"/>
      <c r="D10855" s="249"/>
      <c r="E10855" s="249"/>
      <c r="T10855" s="261"/>
    </row>
    <row r="10856" spans="2:20" x14ac:dyDescent="0.2">
      <c r="B10856" s="245"/>
      <c r="C10856" s="248"/>
      <c r="D10856" s="249"/>
      <c r="E10856" s="249"/>
      <c r="T10856" s="261"/>
    </row>
    <row r="10857" spans="2:20" x14ac:dyDescent="0.2">
      <c r="B10857" s="245"/>
      <c r="C10857" s="248"/>
      <c r="D10857" s="249"/>
      <c r="E10857" s="249"/>
      <c r="T10857" s="261"/>
    </row>
    <row r="10858" spans="2:20" x14ac:dyDescent="0.2">
      <c r="B10858" s="245"/>
      <c r="C10858" s="248"/>
      <c r="D10858" s="249"/>
      <c r="E10858" s="249"/>
      <c r="T10858" s="261"/>
    </row>
    <row r="10859" spans="2:20" x14ac:dyDescent="0.2">
      <c r="B10859" s="245"/>
      <c r="C10859" s="248"/>
      <c r="D10859" s="249"/>
      <c r="E10859" s="249"/>
      <c r="T10859" s="261"/>
    </row>
    <row r="10860" spans="2:20" x14ac:dyDescent="0.2">
      <c r="B10860" s="245"/>
      <c r="C10860" s="248"/>
      <c r="D10860" s="249"/>
      <c r="E10860" s="249"/>
      <c r="T10860" s="261"/>
    </row>
    <row r="10861" spans="2:20" x14ac:dyDescent="0.2">
      <c r="B10861" s="245"/>
      <c r="C10861" s="248"/>
      <c r="D10861" s="249"/>
      <c r="E10861" s="249"/>
      <c r="T10861" s="261"/>
    </row>
    <row r="10862" spans="2:20" x14ac:dyDescent="0.2">
      <c r="B10862" s="245"/>
      <c r="C10862" s="248"/>
      <c r="D10862" s="249"/>
      <c r="E10862" s="249"/>
      <c r="T10862" s="261"/>
    </row>
    <row r="10863" spans="2:20" x14ac:dyDescent="0.2">
      <c r="B10863" s="245"/>
      <c r="C10863" s="248"/>
      <c r="D10863" s="249"/>
      <c r="E10863" s="249"/>
      <c r="T10863" s="261"/>
    </row>
    <row r="10864" spans="2:20" x14ac:dyDescent="0.2">
      <c r="B10864" s="245"/>
      <c r="C10864" s="248"/>
      <c r="D10864" s="249"/>
      <c r="E10864" s="249"/>
      <c r="T10864" s="261"/>
    </row>
    <row r="10865" spans="2:20" x14ac:dyDescent="0.2">
      <c r="B10865" s="245"/>
      <c r="C10865" s="248"/>
      <c r="D10865" s="249"/>
      <c r="E10865" s="249"/>
      <c r="T10865" s="261"/>
    </row>
    <row r="10866" spans="2:20" x14ac:dyDescent="0.2">
      <c r="B10866" s="245"/>
      <c r="C10866" s="248"/>
      <c r="D10866" s="249"/>
      <c r="E10866" s="249"/>
      <c r="T10866" s="261"/>
    </row>
    <row r="10867" spans="2:20" x14ac:dyDescent="0.2">
      <c r="B10867" s="245"/>
      <c r="C10867" s="248"/>
      <c r="D10867" s="249"/>
      <c r="E10867" s="249"/>
      <c r="T10867" s="261"/>
    </row>
    <row r="10868" spans="2:20" x14ac:dyDescent="0.2">
      <c r="B10868" s="245"/>
      <c r="C10868" s="248"/>
      <c r="D10868" s="249"/>
      <c r="E10868" s="249"/>
      <c r="T10868" s="261"/>
    </row>
    <row r="10869" spans="2:20" x14ac:dyDescent="0.2">
      <c r="B10869" s="245"/>
      <c r="C10869" s="248"/>
      <c r="D10869" s="249"/>
      <c r="E10869" s="249"/>
      <c r="T10869" s="261"/>
    </row>
    <row r="10870" spans="2:20" x14ac:dyDescent="0.2">
      <c r="B10870" s="245"/>
      <c r="C10870" s="248"/>
      <c r="D10870" s="249"/>
      <c r="E10870" s="249"/>
      <c r="T10870" s="261"/>
    </row>
    <row r="10871" spans="2:20" x14ac:dyDescent="0.2">
      <c r="B10871" s="245"/>
      <c r="C10871" s="248"/>
      <c r="D10871" s="249"/>
      <c r="E10871" s="249"/>
      <c r="T10871" s="261"/>
    </row>
    <row r="10872" spans="2:20" x14ac:dyDescent="0.2">
      <c r="B10872" s="245"/>
      <c r="C10872" s="248"/>
      <c r="D10872" s="249"/>
      <c r="E10872" s="249"/>
      <c r="T10872" s="261"/>
    </row>
    <row r="10873" spans="2:20" x14ac:dyDescent="0.2">
      <c r="B10873" s="245"/>
      <c r="C10873" s="248"/>
      <c r="D10873" s="249"/>
      <c r="E10873" s="249"/>
      <c r="T10873" s="261"/>
    </row>
    <row r="10874" spans="2:20" x14ac:dyDescent="0.2">
      <c r="B10874" s="245"/>
      <c r="C10874" s="248"/>
      <c r="D10874" s="249"/>
      <c r="E10874" s="249"/>
      <c r="T10874" s="261"/>
    </row>
    <row r="10875" spans="2:20" x14ac:dyDescent="0.2">
      <c r="B10875" s="245"/>
      <c r="C10875" s="248"/>
      <c r="D10875" s="249"/>
      <c r="E10875" s="249"/>
      <c r="T10875" s="261"/>
    </row>
    <row r="10876" spans="2:20" x14ac:dyDescent="0.2">
      <c r="B10876" s="245"/>
      <c r="C10876" s="248"/>
      <c r="D10876" s="249"/>
      <c r="E10876" s="249"/>
      <c r="T10876" s="261"/>
    </row>
    <row r="10877" spans="2:20" x14ac:dyDescent="0.2">
      <c r="B10877" s="245"/>
      <c r="C10877" s="248"/>
      <c r="D10877" s="249"/>
      <c r="E10877" s="249"/>
      <c r="T10877" s="261"/>
    </row>
    <row r="10878" spans="2:20" x14ac:dyDescent="0.2">
      <c r="B10878" s="245"/>
      <c r="C10878" s="248"/>
      <c r="D10878" s="249"/>
      <c r="E10878" s="249"/>
      <c r="T10878" s="261"/>
    </row>
    <row r="10879" spans="2:20" x14ac:dyDescent="0.2">
      <c r="B10879" s="245"/>
      <c r="C10879" s="248"/>
      <c r="D10879" s="249"/>
      <c r="E10879" s="249"/>
      <c r="T10879" s="261"/>
    </row>
    <row r="10880" spans="2:20" x14ac:dyDescent="0.2">
      <c r="B10880" s="245"/>
      <c r="C10880" s="248"/>
      <c r="D10880" s="249"/>
      <c r="E10880" s="249"/>
      <c r="T10880" s="261"/>
    </row>
    <row r="10881" spans="2:20" x14ac:dyDescent="0.2">
      <c r="B10881" s="245"/>
      <c r="C10881" s="248"/>
      <c r="D10881" s="249"/>
      <c r="E10881" s="249"/>
      <c r="T10881" s="261"/>
    </row>
    <row r="10882" spans="2:20" x14ac:dyDescent="0.2">
      <c r="B10882" s="245"/>
      <c r="C10882" s="248"/>
      <c r="D10882" s="249"/>
      <c r="E10882" s="249"/>
      <c r="T10882" s="261"/>
    </row>
    <row r="10883" spans="2:20" x14ac:dyDescent="0.2">
      <c r="B10883" s="245"/>
      <c r="C10883" s="248"/>
      <c r="D10883" s="249"/>
      <c r="E10883" s="249"/>
      <c r="T10883" s="261"/>
    </row>
    <row r="10884" spans="2:20" x14ac:dyDescent="0.2">
      <c r="B10884" s="245"/>
      <c r="C10884" s="248"/>
      <c r="D10884" s="249"/>
      <c r="E10884" s="249"/>
      <c r="T10884" s="261"/>
    </row>
    <row r="10885" spans="2:20" x14ac:dyDescent="0.2">
      <c r="B10885" s="245"/>
      <c r="C10885" s="248"/>
      <c r="D10885" s="249"/>
      <c r="E10885" s="249"/>
      <c r="T10885" s="261"/>
    </row>
    <row r="10886" spans="2:20" x14ac:dyDescent="0.2">
      <c r="B10886" s="245"/>
      <c r="C10886" s="248"/>
      <c r="D10886" s="249"/>
      <c r="E10886" s="249"/>
      <c r="T10886" s="261"/>
    </row>
    <row r="10887" spans="2:20" x14ac:dyDescent="0.2">
      <c r="B10887" s="245"/>
      <c r="C10887" s="248"/>
      <c r="D10887" s="249"/>
      <c r="E10887" s="249"/>
      <c r="T10887" s="261"/>
    </row>
    <row r="10888" spans="2:20" x14ac:dyDescent="0.2">
      <c r="B10888" s="245"/>
      <c r="C10888" s="248"/>
      <c r="D10888" s="249"/>
      <c r="E10888" s="249"/>
      <c r="T10888" s="261"/>
    </row>
    <row r="10889" spans="2:20" x14ac:dyDescent="0.2">
      <c r="B10889" s="245"/>
      <c r="C10889" s="248"/>
      <c r="D10889" s="249"/>
      <c r="E10889" s="249"/>
      <c r="T10889" s="261"/>
    </row>
    <row r="10890" spans="2:20" x14ac:dyDescent="0.2">
      <c r="B10890" s="245"/>
      <c r="C10890" s="248"/>
      <c r="D10890" s="249"/>
      <c r="E10890" s="249"/>
      <c r="T10890" s="261"/>
    </row>
    <row r="10891" spans="2:20" x14ac:dyDescent="0.2">
      <c r="B10891" s="245"/>
      <c r="C10891" s="248"/>
      <c r="D10891" s="249"/>
      <c r="E10891" s="249"/>
      <c r="T10891" s="261"/>
    </row>
    <row r="10892" spans="2:20" x14ac:dyDescent="0.2">
      <c r="B10892" s="245"/>
      <c r="C10892" s="248"/>
      <c r="D10892" s="249"/>
      <c r="E10892" s="249"/>
      <c r="T10892" s="261"/>
    </row>
    <row r="10893" spans="2:20" x14ac:dyDescent="0.2">
      <c r="B10893" s="245"/>
      <c r="C10893" s="248"/>
      <c r="D10893" s="249"/>
      <c r="E10893" s="249"/>
      <c r="T10893" s="261"/>
    </row>
    <row r="10894" spans="2:20" x14ac:dyDescent="0.2">
      <c r="B10894" s="245"/>
      <c r="C10894" s="248"/>
      <c r="D10894" s="249"/>
      <c r="E10894" s="249"/>
      <c r="T10894" s="261"/>
    </row>
    <row r="10895" spans="2:20" x14ac:dyDescent="0.2">
      <c r="B10895" s="245"/>
      <c r="C10895" s="248"/>
      <c r="D10895" s="249"/>
      <c r="E10895" s="249"/>
      <c r="T10895" s="261"/>
    </row>
    <row r="10896" spans="2:20" x14ac:dyDescent="0.2">
      <c r="B10896" s="245"/>
      <c r="C10896" s="248"/>
      <c r="D10896" s="249"/>
      <c r="E10896" s="249"/>
      <c r="T10896" s="261"/>
    </row>
    <row r="10897" spans="2:20" x14ac:dyDescent="0.2">
      <c r="B10897" s="245"/>
      <c r="C10897" s="248"/>
      <c r="D10897" s="249"/>
      <c r="E10897" s="249"/>
      <c r="T10897" s="261"/>
    </row>
    <row r="10898" spans="2:20" x14ac:dyDescent="0.2">
      <c r="B10898" s="245"/>
      <c r="C10898" s="248"/>
      <c r="D10898" s="249"/>
      <c r="E10898" s="249"/>
      <c r="T10898" s="261"/>
    </row>
    <row r="10899" spans="2:20" x14ac:dyDescent="0.2">
      <c r="B10899" s="245"/>
      <c r="C10899" s="248"/>
      <c r="D10899" s="249"/>
      <c r="E10899" s="249"/>
      <c r="T10899" s="261"/>
    </row>
    <row r="10900" spans="2:20" x14ac:dyDescent="0.2">
      <c r="B10900" s="245"/>
      <c r="C10900" s="248"/>
      <c r="D10900" s="249"/>
      <c r="E10900" s="249"/>
      <c r="T10900" s="261"/>
    </row>
    <row r="10901" spans="2:20" x14ac:dyDescent="0.2">
      <c r="B10901" s="245"/>
      <c r="C10901" s="248"/>
      <c r="D10901" s="249"/>
      <c r="E10901" s="249"/>
      <c r="T10901" s="261"/>
    </row>
    <row r="10902" spans="2:20" x14ac:dyDescent="0.2">
      <c r="B10902" s="245"/>
      <c r="C10902" s="248"/>
      <c r="D10902" s="249"/>
      <c r="E10902" s="249"/>
      <c r="T10902" s="261"/>
    </row>
    <row r="10903" spans="2:20" x14ac:dyDescent="0.2">
      <c r="B10903" s="245"/>
      <c r="C10903" s="248"/>
      <c r="D10903" s="249"/>
      <c r="E10903" s="249"/>
      <c r="T10903" s="261"/>
    </row>
    <row r="10904" spans="2:20" x14ac:dyDescent="0.2">
      <c r="B10904" s="245"/>
      <c r="C10904" s="248"/>
      <c r="D10904" s="249"/>
      <c r="E10904" s="249"/>
      <c r="T10904" s="261"/>
    </row>
    <row r="10905" spans="2:20" x14ac:dyDescent="0.2">
      <c r="B10905" s="245"/>
      <c r="C10905" s="248"/>
      <c r="D10905" s="249"/>
      <c r="E10905" s="249"/>
      <c r="T10905" s="261"/>
    </row>
    <row r="10906" spans="2:20" x14ac:dyDescent="0.2">
      <c r="B10906" s="245"/>
      <c r="C10906" s="248"/>
      <c r="D10906" s="249"/>
      <c r="E10906" s="249"/>
      <c r="T10906" s="261"/>
    </row>
    <row r="10907" spans="2:20" x14ac:dyDescent="0.2">
      <c r="B10907" s="245"/>
      <c r="C10907" s="248"/>
      <c r="D10907" s="249"/>
      <c r="E10907" s="249"/>
      <c r="T10907" s="261"/>
    </row>
    <row r="10908" spans="2:20" x14ac:dyDescent="0.2">
      <c r="B10908" s="245"/>
      <c r="C10908" s="248"/>
      <c r="D10908" s="249"/>
      <c r="E10908" s="249"/>
      <c r="T10908" s="261"/>
    </row>
    <row r="10909" spans="2:20" x14ac:dyDescent="0.2">
      <c r="B10909" s="245"/>
      <c r="C10909" s="248"/>
      <c r="D10909" s="249"/>
      <c r="E10909" s="249"/>
      <c r="T10909" s="261"/>
    </row>
    <row r="10910" spans="2:20" x14ac:dyDescent="0.2">
      <c r="B10910" s="245"/>
      <c r="C10910" s="248"/>
      <c r="D10910" s="249"/>
      <c r="E10910" s="249"/>
      <c r="T10910" s="261"/>
    </row>
    <row r="10911" spans="2:20" x14ac:dyDescent="0.2">
      <c r="B10911" s="245"/>
      <c r="C10911" s="248"/>
      <c r="D10911" s="249"/>
      <c r="E10911" s="249"/>
      <c r="T10911" s="261"/>
    </row>
    <row r="10912" spans="2:20" x14ac:dyDescent="0.2">
      <c r="B10912" s="245"/>
      <c r="C10912" s="248"/>
      <c r="D10912" s="249"/>
      <c r="E10912" s="249"/>
      <c r="T10912" s="261"/>
    </row>
    <row r="10913" spans="2:20" x14ac:dyDescent="0.2">
      <c r="B10913" s="245"/>
      <c r="C10913" s="248"/>
      <c r="D10913" s="249"/>
      <c r="E10913" s="249"/>
      <c r="T10913" s="261"/>
    </row>
    <row r="10914" spans="2:20" x14ac:dyDescent="0.2">
      <c r="B10914" s="245"/>
      <c r="C10914" s="248"/>
      <c r="D10914" s="249"/>
      <c r="E10914" s="249"/>
      <c r="T10914" s="261"/>
    </row>
    <row r="10915" spans="2:20" x14ac:dyDescent="0.2">
      <c r="B10915" s="245"/>
      <c r="C10915" s="248"/>
      <c r="D10915" s="249"/>
      <c r="E10915" s="249"/>
      <c r="T10915" s="261"/>
    </row>
    <row r="10916" spans="2:20" x14ac:dyDescent="0.2">
      <c r="B10916" s="245"/>
      <c r="C10916" s="248"/>
      <c r="D10916" s="249"/>
      <c r="E10916" s="249"/>
      <c r="T10916" s="261"/>
    </row>
    <row r="10917" spans="2:20" x14ac:dyDescent="0.2">
      <c r="B10917" s="245"/>
      <c r="C10917" s="248"/>
      <c r="D10917" s="249"/>
      <c r="E10917" s="249"/>
      <c r="T10917" s="261"/>
    </row>
    <row r="10918" spans="2:20" x14ac:dyDescent="0.2">
      <c r="B10918" s="245"/>
      <c r="C10918" s="248"/>
      <c r="D10918" s="249"/>
      <c r="E10918" s="249"/>
      <c r="T10918" s="261"/>
    </row>
    <row r="10919" spans="2:20" x14ac:dyDescent="0.2">
      <c r="B10919" s="245"/>
      <c r="C10919" s="248"/>
      <c r="D10919" s="249"/>
      <c r="E10919" s="249"/>
      <c r="T10919" s="261"/>
    </row>
    <row r="10920" spans="2:20" x14ac:dyDescent="0.2">
      <c r="B10920" s="245"/>
      <c r="C10920" s="248"/>
      <c r="D10920" s="249"/>
      <c r="E10920" s="249"/>
      <c r="T10920" s="261"/>
    </row>
    <row r="10921" spans="2:20" x14ac:dyDescent="0.2">
      <c r="B10921" s="245"/>
      <c r="C10921" s="248"/>
      <c r="D10921" s="249"/>
      <c r="E10921" s="249"/>
      <c r="T10921" s="261"/>
    </row>
    <row r="10922" spans="2:20" x14ac:dyDescent="0.2">
      <c r="B10922" s="245"/>
      <c r="C10922" s="248"/>
      <c r="D10922" s="249"/>
      <c r="E10922" s="249"/>
      <c r="T10922" s="261"/>
    </row>
    <row r="10923" spans="2:20" x14ac:dyDescent="0.2">
      <c r="B10923" s="245"/>
      <c r="C10923" s="248"/>
      <c r="D10923" s="249"/>
      <c r="E10923" s="249"/>
      <c r="T10923" s="261"/>
    </row>
    <row r="10924" spans="2:20" x14ac:dyDescent="0.2">
      <c r="B10924" s="245"/>
      <c r="C10924" s="248"/>
      <c r="D10924" s="249"/>
      <c r="E10924" s="249"/>
      <c r="T10924" s="261"/>
    </row>
    <row r="10925" spans="2:20" x14ac:dyDescent="0.2">
      <c r="B10925" s="245"/>
      <c r="C10925" s="248"/>
      <c r="D10925" s="249"/>
      <c r="E10925" s="249"/>
      <c r="T10925" s="261"/>
    </row>
    <row r="10926" spans="2:20" x14ac:dyDescent="0.2">
      <c r="B10926" s="245"/>
      <c r="C10926" s="248"/>
      <c r="D10926" s="249"/>
      <c r="E10926" s="249"/>
      <c r="T10926" s="261"/>
    </row>
    <row r="10927" spans="2:20" x14ac:dyDescent="0.2">
      <c r="B10927" s="245"/>
      <c r="C10927" s="248"/>
      <c r="D10927" s="249"/>
      <c r="E10927" s="249"/>
      <c r="T10927" s="261"/>
    </row>
    <row r="10928" spans="2:20" x14ac:dyDescent="0.2">
      <c r="B10928" s="245"/>
      <c r="C10928" s="248"/>
      <c r="D10928" s="249"/>
      <c r="E10928" s="249"/>
      <c r="T10928" s="261"/>
    </row>
    <row r="10929" spans="2:20" x14ac:dyDescent="0.2">
      <c r="B10929" s="245"/>
      <c r="C10929" s="248"/>
      <c r="D10929" s="249"/>
      <c r="E10929" s="249"/>
      <c r="T10929" s="261"/>
    </row>
    <row r="10930" spans="2:20" x14ac:dyDescent="0.2">
      <c r="B10930" s="245"/>
      <c r="C10930" s="248"/>
      <c r="D10930" s="249"/>
      <c r="E10930" s="249"/>
      <c r="T10930" s="261"/>
    </row>
    <row r="10931" spans="2:20" x14ac:dyDescent="0.2">
      <c r="B10931" s="245"/>
      <c r="C10931" s="248"/>
      <c r="D10931" s="249"/>
      <c r="E10931" s="249"/>
      <c r="T10931" s="261"/>
    </row>
    <row r="10932" spans="2:20" x14ac:dyDescent="0.2">
      <c r="B10932" s="245"/>
      <c r="C10932" s="248"/>
      <c r="D10932" s="249"/>
      <c r="E10932" s="249"/>
      <c r="T10932" s="261"/>
    </row>
    <row r="10933" spans="2:20" x14ac:dyDescent="0.2">
      <c r="B10933" s="245"/>
      <c r="C10933" s="248"/>
      <c r="D10933" s="249"/>
      <c r="E10933" s="249"/>
      <c r="T10933" s="261"/>
    </row>
    <row r="10934" spans="2:20" x14ac:dyDescent="0.2">
      <c r="B10934" s="245"/>
      <c r="C10934" s="248"/>
      <c r="D10934" s="249"/>
      <c r="E10934" s="249"/>
      <c r="T10934" s="261"/>
    </row>
    <row r="10935" spans="2:20" x14ac:dyDescent="0.2">
      <c r="B10935" s="245"/>
      <c r="C10935" s="248"/>
      <c r="D10935" s="249"/>
      <c r="E10935" s="249"/>
      <c r="T10935" s="261"/>
    </row>
    <row r="10936" spans="2:20" x14ac:dyDescent="0.2">
      <c r="B10936" s="245"/>
      <c r="C10936" s="248"/>
      <c r="D10936" s="249"/>
      <c r="E10936" s="249"/>
      <c r="T10936" s="261"/>
    </row>
    <row r="10937" spans="2:20" x14ac:dyDescent="0.2">
      <c r="B10937" s="245"/>
      <c r="C10937" s="248"/>
      <c r="D10937" s="249"/>
      <c r="E10937" s="249"/>
      <c r="T10937" s="261"/>
    </row>
    <row r="10938" spans="2:20" x14ac:dyDescent="0.2">
      <c r="B10938" s="245"/>
      <c r="C10938" s="248"/>
      <c r="D10938" s="249"/>
      <c r="E10938" s="249"/>
      <c r="T10938" s="261"/>
    </row>
    <row r="10939" spans="2:20" x14ac:dyDescent="0.2">
      <c r="B10939" s="245"/>
      <c r="C10939" s="248"/>
      <c r="D10939" s="249"/>
      <c r="E10939" s="249"/>
      <c r="T10939" s="261"/>
    </row>
    <row r="10940" spans="2:20" x14ac:dyDescent="0.2">
      <c r="B10940" s="245"/>
      <c r="C10940" s="248"/>
      <c r="D10940" s="249"/>
      <c r="E10940" s="249"/>
      <c r="T10940" s="261"/>
    </row>
    <row r="10941" spans="2:20" x14ac:dyDescent="0.2">
      <c r="B10941" s="245"/>
      <c r="C10941" s="248"/>
      <c r="D10941" s="249"/>
      <c r="E10941" s="249"/>
      <c r="T10941" s="261"/>
    </row>
    <row r="10942" spans="2:20" x14ac:dyDescent="0.2">
      <c r="B10942" s="245"/>
      <c r="C10942" s="248"/>
      <c r="D10942" s="249"/>
      <c r="E10942" s="249"/>
      <c r="T10942" s="261"/>
    </row>
    <row r="10943" spans="2:20" x14ac:dyDescent="0.2">
      <c r="B10943" s="245"/>
      <c r="C10943" s="248"/>
      <c r="D10943" s="249"/>
      <c r="E10943" s="249"/>
      <c r="T10943" s="261"/>
    </row>
    <row r="10944" spans="2:20" x14ac:dyDescent="0.2">
      <c r="B10944" s="245"/>
      <c r="C10944" s="248"/>
      <c r="D10944" s="249"/>
      <c r="E10944" s="249"/>
      <c r="T10944" s="261"/>
    </row>
    <row r="10945" spans="2:20" x14ac:dyDescent="0.2">
      <c r="B10945" s="245"/>
      <c r="C10945" s="248"/>
      <c r="D10945" s="249"/>
      <c r="E10945" s="249"/>
      <c r="T10945" s="261"/>
    </row>
    <row r="10946" spans="2:20" x14ac:dyDescent="0.2">
      <c r="B10946" s="245"/>
      <c r="C10946" s="248"/>
      <c r="D10946" s="249"/>
      <c r="E10946" s="249"/>
      <c r="T10946" s="261"/>
    </row>
    <row r="10947" spans="2:20" x14ac:dyDescent="0.2">
      <c r="B10947" s="245"/>
      <c r="C10947" s="248"/>
      <c r="D10947" s="249"/>
      <c r="E10947" s="249"/>
      <c r="T10947" s="261"/>
    </row>
    <row r="10948" spans="2:20" x14ac:dyDescent="0.2">
      <c r="B10948" s="245"/>
      <c r="C10948" s="248"/>
      <c r="D10948" s="249"/>
      <c r="E10948" s="249"/>
      <c r="T10948" s="261"/>
    </row>
    <row r="10949" spans="2:20" x14ac:dyDescent="0.2">
      <c r="B10949" s="245"/>
      <c r="C10949" s="248"/>
      <c r="D10949" s="249"/>
      <c r="E10949" s="249"/>
      <c r="T10949" s="261"/>
    </row>
    <row r="10950" spans="2:20" x14ac:dyDescent="0.2">
      <c r="B10950" s="245"/>
      <c r="C10950" s="248"/>
      <c r="D10950" s="249"/>
      <c r="E10950" s="249"/>
      <c r="T10950" s="261"/>
    </row>
    <row r="10951" spans="2:20" x14ac:dyDescent="0.2">
      <c r="B10951" s="245"/>
      <c r="C10951" s="248"/>
      <c r="D10951" s="249"/>
      <c r="E10951" s="249"/>
      <c r="T10951" s="261"/>
    </row>
    <row r="10952" spans="2:20" x14ac:dyDescent="0.2">
      <c r="B10952" s="245"/>
      <c r="C10952" s="248"/>
      <c r="D10952" s="249"/>
      <c r="E10952" s="249"/>
      <c r="T10952" s="261"/>
    </row>
    <row r="10953" spans="2:20" x14ac:dyDescent="0.2">
      <c r="B10953" s="245"/>
      <c r="C10953" s="248"/>
      <c r="D10953" s="249"/>
      <c r="E10953" s="249"/>
      <c r="T10953" s="261"/>
    </row>
    <row r="10954" spans="2:20" x14ac:dyDescent="0.2">
      <c r="B10954" s="245"/>
      <c r="C10954" s="248"/>
      <c r="D10954" s="249"/>
      <c r="E10954" s="249"/>
      <c r="T10954" s="261"/>
    </row>
    <row r="10955" spans="2:20" x14ac:dyDescent="0.2">
      <c r="B10955" s="245"/>
      <c r="C10955" s="248"/>
      <c r="D10955" s="249"/>
      <c r="E10955" s="249"/>
      <c r="T10955" s="261"/>
    </row>
    <row r="10956" spans="2:20" x14ac:dyDescent="0.2">
      <c r="B10956" s="245"/>
      <c r="C10956" s="248"/>
      <c r="D10956" s="249"/>
      <c r="E10956" s="249"/>
      <c r="T10956" s="261"/>
    </row>
    <row r="10957" spans="2:20" x14ac:dyDescent="0.2">
      <c r="B10957" s="245"/>
      <c r="C10957" s="248"/>
      <c r="D10957" s="249"/>
      <c r="E10957" s="249"/>
      <c r="T10957" s="261"/>
    </row>
    <row r="10958" spans="2:20" x14ac:dyDescent="0.2">
      <c r="B10958" s="245"/>
      <c r="C10958" s="248"/>
      <c r="D10958" s="249"/>
      <c r="E10958" s="249"/>
      <c r="T10958" s="261"/>
    </row>
    <row r="10959" spans="2:20" x14ac:dyDescent="0.2">
      <c r="B10959" s="245"/>
      <c r="C10959" s="248"/>
      <c r="D10959" s="249"/>
      <c r="E10959" s="249"/>
      <c r="T10959" s="261"/>
    </row>
    <row r="10960" spans="2:20" x14ac:dyDescent="0.2">
      <c r="B10960" s="245"/>
      <c r="C10960" s="248"/>
      <c r="D10960" s="249"/>
      <c r="E10960" s="249"/>
      <c r="T10960" s="261"/>
    </row>
    <row r="10961" spans="2:20" x14ac:dyDescent="0.2">
      <c r="B10961" s="245"/>
      <c r="C10961" s="248"/>
      <c r="D10961" s="249"/>
      <c r="E10961" s="249"/>
      <c r="T10961" s="261"/>
    </row>
    <row r="10962" spans="2:20" x14ac:dyDescent="0.2">
      <c r="B10962" s="245"/>
      <c r="C10962" s="248"/>
      <c r="D10962" s="249"/>
      <c r="E10962" s="249"/>
      <c r="T10962" s="261"/>
    </row>
    <row r="10963" spans="2:20" x14ac:dyDescent="0.2">
      <c r="B10963" s="245"/>
      <c r="C10963" s="248"/>
      <c r="D10963" s="249"/>
      <c r="E10963" s="249"/>
      <c r="T10963" s="261"/>
    </row>
    <row r="10964" spans="2:20" x14ac:dyDescent="0.2">
      <c r="B10964" s="245"/>
      <c r="C10964" s="248"/>
      <c r="D10964" s="249"/>
      <c r="E10964" s="249"/>
      <c r="T10964" s="261"/>
    </row>
    <row r="10965" spans="2:20" x14ac:dyDescent="0.2">
      <c r="B10965" s="245"/>
      <c r="C10965" s="248"/>
      <c r="D10965" s="249"/>
      <c r="E10965" s="249"/>
      <c r="T10965" s="261"/>
    </row>
    <row r="10966" spans="2:20" x14ac:dyDescent="0.2">
      <c r="B10966" s="245"/>
      <c r="C10966" s="248"/>
      <c r="D10966" s="249"/>
      <c r="E10966" s="249"/>
      <c r="T10966" s="261"/>
    </row>
    <row r="10967" spans="2:20" x14ac:dyDescent="0.2">
      <c r="B10967" s="245"/>
      <c r="C10967" s="248"/>
      <c r="D10967" s="249"/>
      <c r="E10967" s="249"/>
      <c r="T10967" s="261"/>
    </row>
    <row r="10968" spans="2:20" x14ac:dyDescent="0.2">
      <c r="B10968" s="245"/>
      <c r="C10968" s="248"/>
      <c r="D10968" s="249"/>
      <c r="E10968" s="249"/>
      <c r="T10968" s="261"/>
    </row>
    <row r="10969" spans="2:20" x14ac:dyDescent="0.2">
      <c r="B10969" s="245"/>
      <c r="C10969" s="248"/>
      <c r="D10969" s="249"/>
      <c r="E10969" s="249"/>
      <c r="T10969" s="261"/>
    </row>
    <row r="10970" spans="2:20" x14ac:dyDescent="0.2">
      <c r="B10970" s="245"/>
      <c r="C10970" s="248"/>
      <c r="D10970" s="249"/>
      <c r="E10970" s="249"/>
      <c r="T10970" s="261"/>
    </row>
    <row r="10971" spans="2:20" x14ac:dyDescent="0.2">
      <c r="B10971" s="245"/>
      <c r="C10971" s="248"/>
      <c r="D10971" s="249"/>
      <c r="E10971" s="249"/>
      <c r="T10971" s="261"/>
    </row>
    <row r="10972" spans="2:20" x14ac:dyDescent="0.2">
      <c r="B10972" s="245"/>
      <c r="C10972" s="248"/>
      <c r="D10972" s="249"/>
      <c r="E10972" s="249"/>
      <c r="T10972" s="261"/>
    </row>
    <row r="10973" spans="2:20" x14ac:dyDescent="0.2">
      <c r="B10973" s="245"/>
      <c r="C10973" s="248"/>
      <c r="D10973" s="249"/>
      <c r="E10973" s="249"/>
      <c r="T10973" s="261"/>
    </row>
    <row r="10974" spans="2:20" x14ac:dyDescent="0.2">
      <c r="B10974" s="245"/>
      <c r="C10974" s="248"/>
      <c r="D10974" s="249"/>
      <c r="E10974" s="249"/>
      <c r="T10974" s="261"/>
    </row>
    <row r="10975" spans="2:20" x14ac:dyDescent="0.2">
      <c r="B10975" s="245"/>
      <c r="C10975" s="248"/>
      <c r="D10975" s="249"/>
      <c r="E10975" s="249"/>
      <c r="T10975" s="261"/>
    </row>
    <row r="10976" spans="2:20" x14ac:dyDescent="0.2">
      <c r="B10976" s="245"/>
      <c r="C10976" s="248"/>
      <c r="D10976" s="249"/>
      <c r="E10976" s="249"/>
      <c r="T10976" s="261"/>
    </row>
    <row r="10977" spans="2:20" x14ac:dyDescent="0.2">
      <c r="B10977" s="245"/>
      <c r="C10977" s="248"/>
      <c r="D10977" s="249"/>
      <c r="E10977" s="249"/>
      <c r="T10977" s="261"/>
    </row>
    <row r="10978" spans="2:20" x14ac:dyDescent="0.2">
      <c r="B10978" s="245"/>
      <c r="C10978" s="248"/>
      <c r="D10978" s="249"/>
      <c r="E10978" s="249"/>
      <c r="T10978" s="261"/>
    </row>
    <row r="10979" spans="2:20" x14ac:dyDescent="0.2">
      <c r="B10979" s="245"/>
      <c r="C10979" s="248"/>
      <c r="D10979" s="249"/>
      <c r="E10979" s="249"/>
      <c r="T10979" s="261"/>
    </row>
    <row r="10980" spans="2:20" x14ac:dyDescent="0.2">
      <c r="B10980" s="245"/>
      <c r="C10980" s="248"/>
      <c r="D10980" s="249"/>
      <c r="E10980" s="249"/>
      <c r="T10980" s="261"/>
    </row>
    <row r="10981" spans="2:20" x14ac:dyDescent="0.2">
      <c r="B10981" s="245"/>
      <c r="C10981" s="248"/>
      <c r="D10981" s="249"/>
      <c r="E10981" s="249"/>
      <c r="T10981" s="261"/>
    </row>
    <row r="10982" spans="2:20" x14ac:dyDescent="0.2">
      <c r="B10982" s="245"/>
      <c r="C10982" s="248"/>
      <c r="D10982" s="249"/>
      <c r="E10982" s="249"/>
      <c r="T10982" s="261"/>
    </row>
    <row r="10983" spans="2:20" x14ac:dyDescent="0.2">
      <c r="B10983" s="245"/>
      <c r="C10983" s="248"/>
      <c r="D10983" s="249"/>
      <c r="E10983" s="249"/>
      <c r="T10983" s="261"/>
    </row>
    <row r="10984" spans="2:20" x14ac:dyDescent="0.2">
      <c r="B10984" s="245"/>
      <c r="C10984" s="248"/>
      <c r="D10984" s="249"/>
      <c r="E10984" s="249"/>
      <c r="T10984" s="261"/>
    </row>
    <row r="10985" spans="2:20" x14ac:dyDescent="0.2">
      <c r="B10985" s="245"/>
      <c r="C10985" s="248"/>
      <c r="D10985" s="249"/>
      <c r="E10985" s="249"/>
      <c r="T10985" s="261"/>
    </row>
    <row r="10986" spans="2:20" x14ac:dyDescent="0.2">
      <c r="B10986" s="245"/>
      <c r="C10986" s="248"/>
      <c r="D10986" s="249"/>
      <c r="E10986" s="249"/>
      <c r="T10986" s="261"/>
    </row>
    <row r="10987" spans="2:20" x14ac:dyDescent="0.2">
      <c r="B10987" s="245"/>
      <c r="C10987" s="248"/>
      <c r="D10987" s="249"/>
      <c r="E10987" s="249"/>
      <c r="T10987" s="261"/>
    </row>
    <row r="10988" spans="2:20" x14ac:dyDescent="0.2">
      <c r="B10988" s="245"/>
      <c r="C10988" s="248"/>
      <c r="D10988" s="249"/>
      <c r="E10988" s="249"/>
      <c r="T10988" s="261"/>
    </row>
    <row r="10989" spans="2:20" x14ac:dyDescent="0.2">
      <c r="B10989" s="245"/>
      <c r="C10989" s="248"/>
      <c r="D10989" s="249"/>
      <c r="E10989" s="249"/>
      <c r="T10989" s="261"/>
    </row>
    <row r="10990" spans="2:20" x14ac:dyDescent="0.2">
      <c r="B10990" s="245"/>
      <c r="C10990" s="248"/>
      <c r="D10990" s="249"/>
      <c r="E10990" s="249"/>
      <c r="T10990" s="261"/>
    </row>
    <row r="10991" spans="2:20" x14ac:dyDescent="0.2">
      <c r="B10991" s="245"/>
      <c r="C10991" s="248"/>
      <c r="D10991" s="249"/>
      <c r="E10991" s="249"/>
      <c r="T10991" s="261"/>
    </row>
    <row r="10992" spans="2:20" x14ac:dyDescent="0.2">
      <c r="B10992" s="245"/>
      <c r="C10992" s="248"/>
      <c r="D10992" s="249"/>
      <c r="E10992" s="249"/>
      <c r="T10992" s="261"/>
    </row>
    <row r="10993" spans="2:20" x14ac:dyDescent="0.2">
      <c r="B10993" s="245"/>
      <c r="C10993" s="248"/>
      <c r="D10993" s="249"/>
      <c r="E10993" s="249"/>
      <c r="T10993" s="261"/>
    </row>
    <row r="10994" spans="2:20" x14ac:dyDescent="0.2">
      <c r="B10994" s="245"/>
      <c r="C10994" s="248"/>
      <c r="D10994" s="249"/>
      <c r="E10994" s="249"/>
      <c r="T10994" s="261"/>
    </row>
    <row r="10995" spans="2:20" x14ac:dyDescent="0.2">
      <c r="B10995" s="245"/>
      <c r="C10995" s="248"/>
      <c r="D10995" s="249"/>
      <c r="E10995" s="249"/>
      <c r="T10995" s="261"/>
    </row>
    <row r="10996" spans="2:20" x14ac:dyDescent="0.2">
      <c r="B10996" s="245"/>
      <c r="C10996" s="248"/>
      <c r="D10996" s="249"/>
      <c r="E10996" s="249"/>
      <c r="T10996" s="261"/>
    </row>
    <row r="10997" spans="2:20" x14ac:dyDescent="0.2">
      <c r="B10997" s="245"/>
      <c r="C10997" s="248"/>
      <c r="D10997" s="249"/>
      <c r="E10997" s="249"/>
      <c r="T10997" s="261"/>
    </row>
    <row r="10998" spans="2:20" x14ac:dyDescent="0.2">
      <c r="B10998" s="245"/>
      <c r="C10998" s="248"/>
      <c r="D10998" s="249"/>
      <c r="E10998" s="249"/>
      <c r="T10998" s="261"/>
    </row>
    <row r="10999" spans="2:20" x14ac:dyDescent="0.2">
      <c r="B10999" s="245"/>
      <c r="C10999" s="248"/>
      <c r="D10999" s="249"/>
      <c r="E10999" s="249"/>
      <c r="T10999" s="261"/>
    </row>
    <row r="11000" spans="2:20" x14ac:dyDescent="0.2">
      <c r="B11000" s="245"/>
      <c r="C11000" s="248"/>
      <c r="D11000" s="249"/>
      <c r="E11000" s="249"/>
      <c r="T11000" s="261"/>
    </row>
    <row r="11001" spans="2:20" x14ac:dyDescent="0.2">
      <c r="B11001" s="245"/>
      <c r="C11001" s="248"/>
      <c r="D11001" s="249"/>
      <c r="E11001" s="249"/>
      <c r="T11001" s="261"/>
    </row>
    <row r="11002" spans="2:20" x14ac:dyDescent="0.2">
      <c r="B11002" s="245"/>
      <c r="C11002" s="248"/>
      <c r="D11002" s="249"/>
      <c r="E11002" s="249"/>
      <c r="T11002" s="261"/>
    </row>
    <row r="11003" spans="2:20" x14ac:dyDescent="0.2">
      <c r="B11003" s="245"/>
      <c r="C11003" s="248"/>
      <c r="D11003" s="249"/>
      <c r="E11003" s="249"/>
      <c r="T11003" s="261"/>
    </row>
    <row r="11004" spans="2:20" x14ac:dyDescent="0.2">
      <c r="B11004" s="245"/>
      <c r="C11004" s="248"/>
      <c r="D11004" s="249"/>
      <c r="E11004" s="249"/>
      <c r="T11004" s="261"/>
    </row>
    <row r="11005" spans="2:20" x14ac:dyDescent="0.2">
      <c r="B11005" s="245"/>
      <c r="C11005" s="248"/>
      <c r="D11005" s="249"/>
      <c r="E11005" s="249"/>
      <c r="T11005" s="261"/>
    </row>
    <row r="11006" spans="2:20" x14ac:dyDescent="0.2">
      <c r="B11006" s="245"/>
      <c r="C11006" s="248"/>
      <c r="D11006" s="249"/>
      <c r="E11006" s="249"/>
      <c r="T11006" s="261"/>
    </row>
    <row r="11007" spans="2:20" x14ac:dyDescent="0.2">
      <c r="B11007" s="245"/>
      <c r="C11007" s="248"/>
      <c r="D11007" s="249"/>
      <c r="E11007" s="249"/>
      <c r="T11007" s="261"/>
    </row>
    <row r="11008" spans="2:20" x14ac:dyDescent="0.2">
      <c r="B11008" s="245"/>
      <c r="C11008" s="248"/>
      <c r="D11008" s="249"/>
      <c r="E11008" s="249"/>
      <c r="T11008" s="261"/>
    </row>
    <row r="11009" spans="2:20" x14ac:dyDescent="0.2">
      <c r="B11009" s="245"/>
      <c r="C11009" s="248"/>
      <c r="D11009" s="249"/>
      <c r="E11009" s="249"/>
      <c r="T11009" s="261"/>
    </row>
    <row r="11010" spans="2:20" x14ac:dyDescent="0.2">
      <c r="B11010" s="245"/>
      <c r="C11010" s="248"/>
      <c r="D11010" s="249"/>
      <c r="E11010" s="249"/>
      <c r="T11010" s="261"/>
    </row>
    <row r="11011" spans="2:20" x14ac:dyDescent="0.2">
      <c r="B11011" s="245"/>
      <c r="C11011" s="248"/>
      <c r="D11011" s="249"/>
      <c r="E11011" s="249"/>
      <c r="T11011" s="261"/>
    </row>
    <row r="11012" spans="2:20" x14ac:dyDescent="0.2">
      <c r="B11012" s="245"/>
      <c r="C11012" s="248"/>
      <c r="D11012" s="249"/>
      <c r="E11012" s="249"/>
      <c r="T11012" s="261"/>
    </row>
    <row r="11013" spans="2:20" x14ac:dyDescent="0.2">
      <c r="B11013" s="245"/>
      <c r="C11013" s="248"/>
      <c r="D11013" s="249"/>
      <c r="E11013" s="249"/>
      <c r="T11013" s="261"/>
    </row>
    <row r="11014" spans="2:20" x14ac:dyDescent="0.2">
      <c r="B11014" s="245"/>
      <c r="C11014" s="248"/>
      <c r="D11014" s="249"/>
      <c r="E11014" s="249"/>
      <c r="T11014" s="261"/>
    </row>
    <row r="11015" spans="2:20" x14ac:dyDescent="0.2">
      <c r="B11015" s="245"/>
      <c r="C11015" s="248"/>
      <c r="D11015" s="249"/>
      <c r="E11015" s="249"/>
      <c r="T11015" s="261"/>
    </row>
    <row r="11016" spans="2:20" x14ac:dyDescent="0.2">
      <c r="B11016" s="245"/>
      <c r="C11016" s="248"/>
      <c r="D11016" s="249"/>
      <c r="E11016" s="249"/>
      <c r="T11016" s="261"/>
    </row>
    <row r="11017" spans="2:20" x14ac:dyDescent="0.2">
      <c r="B11017" s="245"/>
      <c r="C11017" s="248"/>
      <c r="D11017" s="249"/>
      <c r="E11017" s="249"/>
      <c r="T11017" s="261"/>
    </row>
    <row r="11018" spans="2:20" x14ac:dyDescent="0.2">
      <c r="B11018" s="245"/>
      <c r="C11018" s="248"/>
      <c r="D11018" s="249"/>
      <c r="E11018" s="249"/>
      <c r="T11018" s="261"/>
    </row>
    <row r="11019" spans="2:20" x14ac:dyDescent="0.2">
      <c r="B11019" s="245"/>
      <c r="C11019" s="248"/>
      <c r="D11019" s="249"/>
      <c r="E11019" s="249"/>
      <c r="T11019" s="261"/>
    </row>
    <row r="11020" spans="2:20" x14ac:dyDescent="0.2">
      <c r="B11020" s="245"/>
      <c r="C11020" s="248"/>
      <c r="D11020" s="249"/>
      <c r="E11020" s="249"/>
      <c r="T11020" s="261"/>
    </row>
    <row r="11021" spans="2:20" x14ac:dyDescent="0.2">
      <c r="B11021" s="245"/>
      <c r="C11021" s="248"/>
      <c r="D11021" s="249"/>
      <c r="E11021" s="249"/>
      <c r="T11021" s="261"/>
    </row>
    <row r="11022" spans="2:20" x14ac:dyDescent="0.2">
      <c r="B11022" s="245"/>
      <c r="C11022" s="248"/>
      <c r="D11022" s="249"/>
      <c r="E11022" s="249"/>
      <c r="T11022" s="261"/>
    </row>
    <row r="11023" spans="2:20" x14ac:dyDescent="0.2">
      <c r="B11023" s="245"/>
      <c r="C11023" s="248"/>
      <c r="D11023" s="249"/>
      <c r="E11023" s="249"/>
      <c r="T11023" s="261"/>
    </row>
    <row r="11024" spans="2:20" x14ac:dyDescent="0.2">
      <c r="B11024" s="245"/>
      <c r="C11024" s="248"/>
      <c r="D11024" s="249"/>
      <c r="E11024" s="249"/>
      <c r="T11024" s="261"/>
    </row>
    <row r="11025" spans="2:20" x14ac:dyDescent="0.2">
      <c r="B11025" s="245"/>
      <c r="C11025" s="248"/>
      <c r="D11025" s="249"/>
      <c r="E11025" s="249"/>
      <c r="T11025" s="261"/>
    </row>
    <row r="11026" spans="2:20" x14ac:dyDescent="0.2">
      <c r="B11026" s="245"/>
      <c r="C11026" s="248"/>
      <c r="D11026" s="249"/>
      <c r="E11026" s="249"/>
      <c r="T11026" s="261"/>
    </row>
    <row r="11027" spans="2:20" x14ac:dyDescent="0.2">
      <c r="B11027" s="245"/>
      <c r="C11027" s="248"/>
      <c r="D11027" s="249"/>
      <c r="E11027" s="249"/>
      <c r="T11027" s="261"/>
    </row>
    <row r="11028" spans="2:20" x14ac:dyDescent="0.2">
      <c r="B11028" s="245"/>
      <c r="C11028" s="248"/>
      <c r="D11028" s="249"/>
      <c r="E11028" s="249"/>
      <c r="T11028" s="261"/>
    </row>
    <row r="11029" spans="2:20" x14ac:dyDescent="0.2">
      <c r="B11029" s="245"/>
      <c r="C11029" s="248"/>
      <c r="D11029" s="249"/>
      <c r="E11029" s="249"/>
      <c r="T11029" s="261"/>
    </row>
    <row r="11030" spans="2:20" x14ac:dyDescent="0.2">
      <c r="B11030" s="245"/>
      <c r="C11030" s="248"/>
      <c r="D11030" s="249"/>
      <c r="E11030" s="249"/>
      <c r="T11030" s="261"/>
    </row>
    <row r="11031" spans="2:20" x14ac:dyDescent="0.2">
      <c r="B11031" s="245"/>
      <c r="C11031" s="248"/>
      <c r="D11031" s="249"/>
      <c r="E11031" s="249"/>
      <c r="T11031" s="261"/>
    </row>
    <row r="11032" spans="2:20" x14ac:dyDescent="0.2">
      <c r="B11032" s="245"/>
      <c r="C11032" s="248"/>
      <c r="D11032" s="249"/>
      <c r="E11032" s="249"/>
      <c r="T11032" s="261"/>
    </row>
    <row r="11033" spans="2:20" x14ac:dyDescent="0.2">
      <c r="B11033" s="245"/>
      <c r="C11033" s="248"/>
      <c r="D11033" s="249"/>
      <c r="E11033" s="249"/>
      <c r="T11033" s="261"/>
    </row>
    <row r="11034" spans="2:20" x14ac:dyDescent="0.2">
      <c r="B11034" s="245"/>
      <c r="C11034" s="248"/>
      <c r="D11034" s="249"/>
      <c r="E11034" s="249"/>
      <c r="T11034" s="261"/>
    </row>
    <row r="11035" spans="2:20" x14ac:dyDescent="0.2">
      <c r="B11035" s="245"/>
      <c r="C11035" s="248"/>
      <c r="D11035" s="249"/>
      <c r="E11035" s="249"/>
      <c r="T11035" s="261"/>
    </row>
    <row r="11036" spans="2:20" x14ac:dyDescent="0.2">
      <c r="B11036" s="245"/>
      <c r="C11036" s="248"/>
      <c r="D11036" s="249"/>
      <c r="E11036" s="249"/>
      <c r="T11036" s="261"/>
    </row>
    <row r="11037" spans="2:20" x14ac:dyDescent="0.2">
      <c r="B11037" s="245"/>
      <c r="C11037" s="248"/>
      <c r="D11037" s="249"/>
      <c r="E11037" s="249"/>
      <c r="T11037" s="261"/>
    </row>
    <row r="11038" spans="2:20" x14ac:dyDescent="0.2">
      <c r="B11038" s="245"/>
      <c r="C11038" s="248"/>
      <c r="D11038" s="249"/>
      <c r="E11038" s="249"/>
      <c r="T11038" s="261"/>
    </row>
    <row r="11039" spans="2:20" x14ac:dyDescent="0.2">
      <c r="B11039" s="245"/>
      <c r="C11039" s="248"/>
      <c r="D11039" s="249"/>
      <c r="E11039" s="249"/>
      <c r="T11039" s="261"/>
    </row>
    <row r="11040" spans="2:20" x14ac:dyDescent="0.2">
      <c r="B11040" s="245"/>
      <c r="C11040" s="248"/>
      <c r="D11040" s="249"/>
      <c r="E11040" s="249"/>
      <c r="T11040" s="261"/>
    </row>
    <row r="11041" spans="2:20" x14ac:dyDescent="0.2">
      <c r="B11041" s="245"/>
      <c r="C11041" s="248"/>
      <c r="D11041" s="249"/>
      <c r="E11041" s="249"/>
      <c r="T11041" s="261"/>
    </row>
    <row r="11042" spans="2:20" x14ac:dyDescent="0.2">
      <c r="B11042" s="245"/>
      <c r="C11042" s="248"/>
      <c r="D11042" s="249"/>
      <c r="E11042" s="249"/>
      <c r="T11042" s="261"/>
    </row>
    <row r="11043" spans="2:20" x14ac:dyDescent="0.2">
      <c r="B11043" s="245"/>
      <c r="C11043" s="248"/>
      <c r="D11043" s="249"/>
      <c r="E11043" s="249"/>
      <c r="T11043" s="261"/>
    </row>
    <row r="11044" spans="2:20" x14ac:dyDescent="0.2">
      <c r="B11044" s="245"/>
      <c r="C11044" s="248"/>
      <c r="D11044" s="249"/>
      <c r="E11044" s="249"/>
      <c r="T11044" s="261"/>
    </row>
    <row r="11045" spans="2:20" x14ac:dyDescent="0.2">
      <c r="B11045" s="245"/>
      <c r="C11045" s="248"/>
      <c r="D11045" s="249"/>
      <c r="E11045" s="249"/>
      <c r="T11045" s="261"/>
    </row>
    <row r="11046" spans="2:20" x14ac:dyDescent="0.2">
      <c r="B11046" s="245"/>
      <c r="C11046" s="248"/>
      <c r="D11046" s="249"/>
      <c r="E11046" s="249"/>
      <c r="T11046" s="261"/>
    </row>
    <row r="11047" spans="2:20" x14ac:dyDescent="0.2">
      <c r="B11047" s="245"/>
      <c r="C11047" s="248"/>
      <c r="D11047" s="249"/>
      <c r="E11047" s="249"/>
      <c r="T11047" s="261"/>
    </row>
    <row r="11048" spans="2:20" x14ac:dyDescent="0.2">
      <c r="B11048" s="245"/>
      <c r="C11048" s="248"/>
      <c r="D11048" s="249"/>
      <c r="E11048" s="249"/>
      <c r="T11048" s="261"/>
    </row>
    <row r="11049" spans="2:20" x14ac:dyDescent="0.2">
      <c r="B11049" s="245"/>
      <c r="C11049" s="248"/>
      <c r="D11049" s="249"/>
      <c r="E11049" s="249"/>
      <c r="T11049" s="261"/>
    </row>
    <row r="11050" spans="2:20" x14ac:dyDescent="0.2">
      <c r="B11050" s="245"/>
      <c r="C11050" s="248"/>
      <c r="D11050" s="249"/>
      <c r="E11050" s="249"/>
      <c r="T11050" s="261"/>
    </row>
    <row r="11051" spans="2:20" x14ac:dyDescent="0.2">
      <c r="B11051" s="245"/>
      <c r="C11051" s="248"/>
      <c r="D11051" s="249"/>
      <c r="E11051" s="249"/>
      <c r="T11051" s="261"/>
    </row>
    <row r="11052" spans="2:20" x14ac:dyDescent="0.2">
      <c r="B11052" s="245"/>
      <c r="C11052" s="248"/>
      <c r="D11052" s="249"/>
      <c r="E11052" s="249"/>
      <c r="T11052" s="261"/>
    </row>
    <row r="11053" spans="2:20" x14ac:dyDescent="0.2">
      <c r="B11053" s="245"/>
      <c r="C11053" s="248"/>
      <c r="D11053" s="249"/>
      <c r="E11053" s="249"/>
      <c r="T11053" s="261"/>
    </row>
    <row r="11054" spans="2:20" x14ac:dyDescent="0.2">
      <c r="B11054" s="245"/>
      <c r="C11054" s="248"/>
      <c r="D11054" s="249"/>
      <c r="E11054" s="249"/>
      <c r="T11054" s="261"/>
    </row>
    <row r="11055" spans="2:20" x14ac:dyDescent="0.2">
      <c r="B11055" s="245"/>
      <c r="C11055" s="248"/>
      <c r="D11055" s="249"/>
      <c r="E11055" s="249"/>
      <c r="T11055" s="261"/>
    </row>
    <row r="11056" spans="2:20" x14ac:dyDescent="0.2">
      <c r="B11056" s="245"/>
      <c r="C11056" s="248"/>
      <c r="D11056" s="249"/>
      <c r="E11056" s="249"/>
      <c r="T11056" s="261"/>
    </row>
    <row r="11057" spans="2:20" x14ac:dyDescent="0.2">
      <c r="B11057" s="245"/>
      <c r="C11057" s="248"/>
      <c r="D11057" s="249"/>
      <c r="E11057" s="249"/>
      <c r="T11057" s="261"/>
    </row>
    <row r="11058" spans="2:20" x14ac:dyDescent="0.2">
      <c r="B11058" s="245"/>
      <c r="C11058" s="248"/>
      <c r="D11058" s="249"/>
      <c r="E11058" s="249"/>
      <c r="T11058" s="261"/>
    </row>
    <row r="11059" spans="2:20" x14ac:dyDescent="0.2">
      <c r="B11059" s="245"/>
      <c r="C11059" s="248"/>
      <c r="D11059" s="249"/>
      <c r="E11059" s="249"/>
      <c r="T11059" s="261"/>
    </row>
    <row r="11060" spans="2:20" x14ac:dyDescent="0.2">
      <c r="B11060" s="245"/>
      <c r="C11060" s="248"/>
      <c r="D11060" s="249"/>
      <c r="E11060" s="249"/>
      <c r="T11060" s="261"/>
    </row>
    <row r="11061" spans="2:20" x14ac:dyDescent="0.2">
      <c r="B11061" s="245"/>
      <c r="C11061" s="248"/>
      <c r="D11061" s="249"/>
      <c r="E11061" s="249"/>
      <c r="T11061" s="261"/>
    </row>
    <row r="11062" spans="2:20" x14ac:dyDescent="0.2">
      <c r="B11062" s="245"/>
      <c r="C11062" s="248"/>
      <c r="D11062" s="249"/>
      <c r="E11062" s="249"/>
      <c r="T11062" s="261"/>
    </row>
    <row r="11063" spans="2:20" x14ac:dyDescent="0.2">
      <c r="B11063" s="245"/>
      <c r="C11063" s="248"/>
      <c r="D11063" s="249"/>
      <c r="E11063" s="249"/>
      <c r="T11063" s="261"/>
    </row>
    <row r="11064" spans="2:20" x14ac:dyDescent="0.2">
      <c r="B11064" s="245"/>
      <c r="C11064" s="248"/>
      <c r="D11064" s="249"/>
      <c r="E11064" s="249"/>
      <c r="T11064" s="261"/>
    </row>
    <row r="11065" spans="2:20" x14ac:dyDescent="0.2">
      <c r="B11065" s="245"/>
      <c r="C11065" s="248"/>
      <c r="D11065" s="249"/>
      <c r="E11065" s="249"/>
      <c r="T11065" s="261"/>
    </row>
    <row r="11066" spans="2:20" x14ac:dyDescent="0.2">
      <c r="B11066" s="245"/>
      <c r="C11066" s="248"/>
      <c r="D11066" s="249"/>
      <c r="E11066" s="249"/>
      <c r="T11066" s="261"/>
    </row>
    <row r="11067" spans="2:20" x14ac:dyDescent="0.2">
      <c r="B11067" s="245"/>
      <c r="C11067" s="248"/>
      <c r="D11067" s="249"/>
      <c r="E11067" s="249"/>
      <c r="T11067" s="261"/>
    </row>
    <row r="11068" spans="2:20" x14ac:dyDescent="0.2">
      <c r="B11068" s="245"/>
      <c r="C11068" s="248"/>
      <c r="D11068" s="249"/>
      <c r="E11068" s="249"/>
      <c r="T11068" s="261"/>
    </row>
    <row r="11069" spans="2:20" x14ac:dyDescent="0.2">
      <c r="B11069" s="245"/>
      <c r="C11069" s="248"/>
      <c r="D11069" s="249"/>
      <c r="E11069" s="249"/>
      <c r="T11069" s="261"/>
    </row>
    <row r="11070" spans="2:20" x14ac:dyDescent="0.2">
      <c r="B11070" s="245"/>
      <c r="C11070" s="248"/>
      <c r="D11070" s="249"/>
      <c r="E11070" s="249"/>
      <c r="T11070" s="261"/>
    </row>
    <row r="11071" spans="2:20" x14ac:dyDescent="0.2">
      <c r="B11071" s="245"/>
      <c r="C11071" s="248"/>
      <c r="D11071" s="249"/>
      <c r="E11071" s="249"/>
      <c r="T11071" s="261"/>
    </row>
    <row r="11072" spans="2:20" x14ac:dyDescent="0.2">
      <c r="B11072" s="245"/>
      <c r="C11072" s="248"/>
      <c r="D11072" s="249"/>
      <c r="E11072" s="249"/>
      <c r="T11072" s="261"/>
    </row>
    <row r="11073" spans="2:20" x14ac:dyDescent="0.2">
      <c r="B11073" s="245"/>
      <c r="C11073" s="248"/>
      <c r="D11073" s="249"/>
      <c r="E11073" s="249"/>
      <c r="T11073" s="261"/>
    </row>
    <row r="11074" spans="2:20" x14ac:dyDescent="0.2">
      <c r="B11074" s="245"/>
      <c r="C11074" s="248"/>
      <c r="D11074" s="249"/>
      <c r="E11074" s="249"/>
      <c r="T11074" s="261"/>
    </row>
    <row r="11075" spans="2:20" x14ac:dyDescent="0.2">
      <c r="B11075" s="245"/>
      <c r="C11075" s="248"/>
      <c r="D11075" s="249"/>
      <c r="E11075" s="249"/>
      <c r="T11075" s="261"/>
    </row>
    <row r="11076" spans="2:20" x14ac:dyDescent="0.2">
      <c r="B11076" s="245"/>
      <c r="C11076" s="248"/>
      <c r="D11076" s="249"/>
      <c r="E11076" s="249"/>
      <c r="T11076" s="261"/>
    </row>
    <row r="11077" spans="2:20" x14ac:dyDescent="0.2">
      <c r="B11077" s="245"/>
      <c r="C11077" s="248"/>
      <c r="D11077" s="249"/>
      <c r="E11077" s="249"/>
      <c r="T11077" s="261"/>
    </row>
    <row r="11078" spans="2:20" x14ac:dyDescent="0.2">
      <c r="B11078" s="245"/>
      <c r="C11078" s="248"/>
      <c r="D11078" s="249"/>
      <c r="E11078" s="249"/>
      <c r="T11078" s="261"/>
    </row>
    <row r="11079" spans="2:20" x14ac:dyDescent="0.2">
      <c r="B11079" s="245"/>
      <c r="C11079" s="248"/>
      <c r="D11079" s="249"/>
      <c r="E11079" s="249"/>
      <c r="T11079" s="261"/>
    </row>
    <row r="11080" spans="2:20" x14ac:dyDescent="0.2">
      <c r="B11080" s="245"/>
      <c r="C11080" s="248"/>
      <c r="D11080" s="249"/>
      <c r="E11080" s="249"/>
      <c r="T11080" s="261"/>
    </row>
    <row r="11081" spans="2:20" x14ac:dyDescent="0.2">
      <c r="B11081" s="245"/>
      <c r="C11081" s="248"/>
      <c r="D11081" s="249"/>
      <c r="E11081" s="249"/>
      <c r="T11081" s="261"/>
    </row>
    <row r="11082" spans="2:20" x14ac:dyDescent="0.2">
      <c r="B11082" s="245"/>
      <c r="C11082" s="248"/>
      <c r="D11082" s="249"/>
      <c r="E11082" s="249"/>
      <c r="T11082" s="261"/>
    </row>
    <row r="11083" spans="2:20" x14ac:dyDescent="0.2">
      <c r="B11083" s="245"/>
      <c r="C11083" s="248"/>
      <c r="D11083" s="249"/>
      <c r="E11083" s="249"/>
      <c r="T11083" s="261"/>
    </row>
    <row r="11084" spans="2:20" x14ac:dyDescent="0.2">
      <c r="B11084" s="245"/>
      <c r="C11084" s="248"/>
      <c r="D11084" s="249"/>
      <c r="E11084" s="249"/>
      <c r="T11084" s="261"/>
    </row>
    <row r="11085" spans="2:20" x14ac:dyDescent="0.2">
      <c r="B11085" s="245"/>
      <c r="C11085" s="248"/>
      <c r="D11085" s="249"/>
      <c r="E11085" s="249"/>
      <c r="T11085" s="261"/>
    </row>
    <row r="11086" spans="2:20" x14ac:dyDescent="0.2">
      <c r="B11086" s="245"/>
      <c r="C11086" s="248"/>
      <c r="D11086" s="249"/>
      <c r="E11086" s="249"/>
      <c r="T11086" s="261"/>
    </row>
    <row r="11087" spans="2:20" x14ac:dyDescent="0.2">
      <c r="B11087" s="245"/>
      <c r="C11087" s="248"/>
      <c r="D11087" s="249"/>
      <c r="E11087" s="249"/>
      <c r="T11087" s="261"/>
    </row>
    <row r="11088" spans="2:20" x14ac:dyDescent="0.2">
      <c r="B11088" s="245"/>
      <c r="C11088" s="248"/>
      <c r="D11088" s="249"/>
      <c r="E11088" s="249"/>
      <c r="T11088" s="261"/>
    </row>
    <row r="11089" spans="2:20" x14ac:dyDescent="0.2">
      <c r="B11089" s="245"/>
      <c r="C11089" s="248"/>
      <c r="D11089" s="249"/>
      <c r="E11089" s="249"/>
      <c r="T11089" s="261"/>
    </row>
    <row r="11090" spans="2:20" x14ac:dyDescent="0.2">
      <c r="B11090" s="245"/>
      <c r="C11090" s="248"/>
      <c r="D11090" s="249"/>
      <c r="E11090" s="249"/>
      <c r="T11090" s="261"/>
    </row>
    <row r="11091" spans="2:20" x14ac:dyDescent="0.2">
      <c r="B11091" s="245"/>
      <c r="C11091" s="248"/>
      <c r="D11091" s="249"/>
      <c r="E11091" s="249"/>
      <c r="T11091" s="261"/>
    </row>
    <row r="11092" spans="2:20" x14ac:dyDescent="0.2">
      <c r="B11092" s="245"/>
      <c r="C11092" s="248"/>
      <c r="D11092" s="249"/>
      <c r="E11092" s="249"/>
      <c r="T11092" s="261"/>
    </row>
    <row r="11093" spans="2:20" x14ac:dyDescent="0.2">
      <c r="B11093" s="245"/>
      <c r="C11093" s="248"/>
      <c r="D11093" s="249"/>
      <c r="E11093" s="249"/>
      <c r="T11093" s="261"/>
    </row>
    <row r="11094" spans="2:20" x14ac:dyDescent="0.2">
      <c r="B11094" s="245"/>
      <c r="C11094" s="248"/>
      <c r="D11094" s="249"/>
      <c r="E11094" s="249"/>
      <c r="T11094" s="261"/>
    </row>
    <row r="11095" spans="2:20" x14ac:dyDescent="0.2">
      <c r="B11095" s="245"/>
      <c r="C11095" s="248"/>
      <c r="D11095" s="249"/>
      <c r="E11095" s="249"/>
      <c r="T11095" s="261"/>
    </row>
    <row r="11096" spans="2:20" x14ac:dyDescent="0.2">
      <c r="B11096" s="245"/>
      <c r="C11096" s="248"/>
      <c r="D11096" s="249"/>
      <c r="E11096" s="249"/>
      <c r="T11096" s="261"/>
    </row>
    <row r="11097" spans="2:20" x14ac:dyDescent="0.2">
      <c r="B11097" s="245"/>
      <c r="C11097" s="248"/>
      <c r="D11097" s="249"/>
      <c r="E11097" s="249"/>
      <c r="T11097" s="261"/>
    </row>
    <row r="11098" spans="2:20" x14ac:dyDescent="0.2">
      <c r="B11098" s="245"/>
      <c r="C11098" s="248"/>
      <c r="D11098" s="249"/>
      <c r="E11098" s="249"/>
      <c r="T11098" s="261"/>
    </row>
    <row r="11099" spans="2:20" x14ac:dyDescent="0.2">
      <c r="B11099" s="245"/>
      <c r="C11099" s="248"/>
      <c r="D11099" s="249"/>
      <c r="E11099" s="249"/>
      <c r="T11099" s="261"/>
    </row>
    <row r="11100" spans="2:20" x14ac:dyDescent="0.2">
      <c r="B11100" s="245"/>
      <c r="C11100" s="248"/>
      <c r="D11100" s="249"/>
      <c r="E11100" s="249"/>
      <c r="T11100" s="261"/>
    </row>
    <row r="11101" spans="2:20" x14ac:dyDescent="0.2">
      <c r="B11101" s="245"/>
      <c r="C11101" s="248"/>
      <c r="D11101" s="249"/>
      <c r="E11101" s="249"/>
      <c r="T11101" s="261"/>
    </row>
    <row r="11102" spans="2:20" x14ac:dyDescent="0.2">
      <c r="B11102" s="245"/>
      <c r="C11102" s="248"/>
      <c r="D11102" s="249"/>
      <c r="E11102" s="249"/>
      <c r="T11102" s="261"/>
    </row>
    <row r="11103" spans="2:20" x14ac:dyDescent="0.2">
      <c r="B11103" s="245"/>
      <c r="C11103" s="248"/>
      <c r="D11103" s="249"/>
      <c r="E11103" s="249"/>
      <c r="T11103" s="261"/>
    </row>
    <row r="11104" spans="2:20" x14ac:dyDescent="0.2">
      <c r="B11104" s="245"/>
      <c r="C11104" s="248"/>
      <c r="D11104" s="249"/>
      <c r="E11104" s="249"/>
      <c r="T11104" s="261"/>
    </row>
    <row r="11105" spans="2:20" x14ac:dyDescent="0.2">
      <c r="B11105" s="245"/>
      <c r="C11105" s="248"/>
      <c r="D11105" s="249"/>
      <c r="E11105" s="249"/>
      <c r="T11105" s="261"/>
    </row>
    <row r="11106" spans="2:20" x14ac:dyDescent="0.2">
      <c r="B11106" s="245"/>
      <c r="C11106" s="248"/>
      <c r="D11106" s="249"/>
      <c r="E11106" s="249"/>
      <c r="T11106" s="261"/>
    </row>
    <row r="11107" spans="2:20" x14ac:dyDescent="0.2">
      <c r="B11107" s="245"/>
      <c r="C11107" s="248"/>
      <c r="D11107" s="249"/>
      <c r="E11107" s="249"/>
      <c r="T11107" s="261"/>
    </row>
    <row r="11108" spans="2:20" x14ac:dyDescent="0.2">
      <c r="B11108" s="245"/>
      <c r="C11108" s="248"/>
      <c r="D11108" s="249"/>
      <c r="E11108" s="249"/>
      <c r="T11108" s="261"/>
    </row>
    <row r="11109" spans="2:20" x14ac:dyDescent="0.2">
      <c r="B11109" s="245"/>
      <c r="C11109" s="248"/>
      <c r="D11109" s="249"/>
      <c r="E11109" s="249"/>
      <c r="T11109" s="261"/>
    </row>
    <row r="11110" spans="2:20" x14ac:dyDescent="0.2">
      <c r="B11110" s="245"/>
      <c r="C11110" s="248"/>
      <c r="D11110" s="249"/>
      <c r="E11110" s="249"/>
      <c r="T11110" s="261"/>
    </row>
    <row r="11111" spans="2:20" x14ac:dyDescent="0.2">
      <c r="B11111" s="245"/>
      <c r="C11111" s="248"/>
      <c r="D11111" s="249"/>
      <c r="E11111" s="249"/>
      <c r="T11111" s="261"/>
    </row>
    <row r="11112" spans="2:20" x14ac:dyDescent="0.2">
      <c r="B11112" s="245"/>
      <c r="C11112" s="248"/>
      <c r="D11112" s="249"/>
      <c r="E11112" s="249"/>
      <c r="T11112" s="261"/>
    </row>
    <row r="11113" spans="2:20" x14ac:dyDescent="0.2">
      <c r="B11113" s="245"/>
      <c r="C11113" s="248"/>
      <c r="D11113" s="249"/>
      <c r="E11113" s="249"/>
      <c r="T11113" s="261"/>
    </row>
    <row r="11114" spans="2:20" x14ac:dyDescent="0.2">
      <c r="B11114" s="245"/>
      <c r="C11114" s="248"/>
      <c r="D11114" s="249"/>
      <c r="E11114" s="249"/>
      <c r="T11114" s="261"/>
    </row>
    <row r="11115" spans="2:20" x14ac:dyDescent="0.2">
      <c r="B11115" s="245"/>
      <c r="C11115" s="248"/>
      <c r="D11115" s="249"/>
      <c r="E11115" s="249"/>
      <c r="T11115" s="261"/>
    </row>
    <row r="11116" spans="2:20" x14ac:dyDescent="0.2">
      <c r="B11116" s="245"/>
      <c r="C11116" s="248"/>
      <c r="D11116" s="249"/>
      <c r="E11116" s="249"/>
      <c r="T11116" s="261"/>
    </row>
    <row r="11117" spans="2:20" x14ac:dyDescent="0.2">
      <c r="B11117" s="245"/>
      <c r="C11117" s="248"/>
      <c r="D11117" s="249"/>
      <c r="E11117" s="249"/>
      <c r="T11117" s="261"/>
    </row>
    <row r="11118" spans="2:20" x14ac:dyDescent="0.2">
      <c r="B11118" s="245"/>
      <c r="C11118" s="248"/>
      <c r="D11118" s="249"/>
      <c r="E11118" s="249"/>
      <c r="T11118" s="261"/>
    </row>
    <row r="11119" spans="2:20" x14ac:dyDescent="0.2">
      <c r="B11119" s="245"/>
      <c r="C11119" s="248"/>
      <c r="D11119" s="249"/>
      <c r="E11119" s="249"/>
      <c r="T11119" s="261"/>
    </row>
    <row r="11120" spans="2:20" x14ac:dyDescent="0.2">
      <c r="B11120" s="245"/>
      <c r="C11120" s="248"/>
      <c r="D11120" s="249"/>
      <c r="E11120" s="249"/>
      <c r="T11120" s="261"/>
    </row>
    <row r="11121" spans="2:20" x14ac:dyDescent="0.2">
      <c r="B11121" s="245"/>
      <c r="C11121" s="248"/>
      <c r="D11121" s="249"/>
      <c r="E11121" s="249"/>
      <c r="T11121" s="261"/>
    </row>
    <row r="11122" spans="2:20" x14ac:dyDescent="0.2">
      <c r="B11122" s="245"/>
      <c r="C11122" s="248"/>
      <c r="D11122" s="249"/>
      <c r="E11122" s="249"/>
      <c r="T11122" s="261"/>
    </row>
    <row r="11123" spans="2:20" x14ac:dyDescent="0.2">
      <c r="B11123" s="245"/>
      <c r="C11123" s="248"/>
      <c r="D11123" s="249"/>
      <c r="E11123" s="249"/>
      <c r="T11123" s="261"/>
    </row>
    <row r="11124" spans="2:20" x14ac:dyDescent="0.2">
      <c r="B11124" s="245"/>
      <c r="C11124" s="248"/>
      <c r="D11124" s="249"/>
      <c r="E11124" s="249"/>
      <c r="T11124" s="261"/>
    </row>
    <row r="11125" spans="2:20" x14ac:dyDescent="0.2">
      <c r="B11125" s="245"/>
      <c r="C11125" s="248"/>
      <c r="D11125" s="249"/>
      <c r="E11125" s="249"/>
      <c r="T11125" s="261"/>
    </row>
    <row r="11126" spans="2:20" x14ac:dyDescent="0.2">
      <c r="B11126" s="245"/>
      <c r="C11126" s="248"/>
      <c r="D11126" s="249"/>
      <c r="E11126" s="249"/>
      <c r="T11126" s="261"/>
    </row>
    <row r="11127" spans="2:20" x14ac:dyDescent="0.2">
      <c r="B11127" s="245"/>
      <c r="C11127" s="248"/>
      <c r="D11127" s="249"/>
      <c r="E11127" s="249"/>
      <c r="T11127" s="261"/>
    </row>
    <row r="11128" spans="2:20" x14ac:dyDescent="0.2">
      <c r="B11128" s="245"/>
      <c r="C11128" s="248"/>
      <c r="D11128" s="249"/>
      <c r="E11128" s="249"/>
      <c r="T11128" s="261"/>
    </row>
    <row r="11129" spans="2:20" x14ac:dyDescent="0.2">
      <c r="B11129" s="245"/>
      <c r="C11129" s="248"/>
      <c r="D11129" s="249"/>
      <c r="E11129" s="249"/>
      <c r="T11129" s="261"/>
    </row>
    <row r="11130" spans="2:20" x14ac:dyDescent="0.2">
      <c r="B11130" s="245"/>
      <c r="C11130" s="248"/>
      <c r="D11130" s="249"/>
      <c r="E11130" s="249"/>
      <c r="T11130" s="261"/>
    </row>
    <row r="11131" spans="2:20" x14ac:dyDescent="0.2">
      <c r="B11131" s="245"/>
      <c r="C11131" s="248"/>
      <c r="D11131" s="249"/>
      <c r="E11131" s="249"/>
      <c r="T11131" s="261"/>
    </row>
    <row r="11132" spans="2:20" x14ac:dyDescent="0.2">
      <c r="B11132" s="245"/>
      <c r="C11132" s="248"/>
      <c r="D11132" s="249"/>
      <c r="E11132" s="249"/>
      <c r="T11132" s="261"/>
    </row>
    <row r="11133" spans="2:20" x14ac:dyDescent="0.2">
      <c r="B11133" s="245"/>
      <c r="C11133" s="248"/>
      <c r="D11133" s="249"/>
      <c r="E11133" s="249"/>
      <c r="T11133" s="261"/>
    </row>
    <row r="11134" spans="2:20" x14ac:dyDescent="0.2">
      <c r="B11134" s="245"/>
      <c r="C11134" s="248"/>
      <c r="D11134" s="249"/>
      <c r="E11134" s="249"/>
      <c r="T11134" s="261"/>
    </row>
    <row r="11135" spans="2:20" x14ac:dyDescent="0.2">
      <c r="B11135" s="245"/>
      <c r="C11135" s="248"/>
      <c r="D11135" s="249"/>
      <c r="E11135" s="249"/>
      <c r="T11135" s="261"/>
    </row>
    <row r="11136" spans="2:20" x14ac:dyDescent="0.2">
      <c r="B11136" s="245"/>
      <c r="C11136" s="248"/>
      <c r="D11136" s="249"/>
      <c r="E11136" s="249"/>
      <c r="T11136" s="261"/>
    </row>
    <row r="11137" spans="2:20" x14ac:dyDescent="0.2">
      <c r="B11137" s="245"/>
      <c r="C11137" s="248"/>
      <c r="D11137" s="249"/>
      <c r="E11137" s="249"/>
      <c r="T11137" s="261"/>
    </row>
    <row r="11138" spans="2:20" x14ac:dyDescent="0.2">
      <c r="B11138" s="245"/>
      <c r="C11138" s="248"/>
      <c r="D11138" s="249"/>
      <c r="E11138" s="249"/>
      <c r="T11138" s="261"/>
    </row>
    <row r="11139" spans="2:20" x14ac:dyDescent="0.2">
      <c r="B11139" s="245"/>
      <c r="C11139" s="248"/>
      <c r="D11139" s="249"/>
      <c r="E11139" s="249"/>
      <c r="T11139" s="261"/>
    </row>
    <row r="11140" spans="2:20" x14ac:dyDescent="0.2">
      <c r="B11140" s="245"/>
      <c r="C11140" s="248"/>
      <c r="D11140" s="249"/>
      <c r="E11140" s="249"/>
      <c r="T11140" s="261"/>
    </row>
    <row r="11141" spans="2:20" x14ac:dyDescent="0.2">
      <c r="B11141" s="245"/>
      <c r="C11141" s="248"/>
      <c r="D11141" s="249"/>
      <c r="E11141" s="249"/>
      <c r="T11141" s="261"/>
    </row>
    <row r="11142" spans="2:20" x14ac:dyDescent="0.2">
      <c r="B11142" s="245"/>
      <c r="C11142" s="248"/>
      <c r="D11142" s="249"/>
      <c r="E11142" s="249"/>
      <c r="T11142" s="261"/>
    </row>
    <row r="11143" spans="2:20" x14ac:dyDescent="0.2">
      <c r="B11143" s="245"/>
      <c r="C11143" s="248"/>
      <c r="D11143" s="249"/>
      <c r="E11143" s="249"/>
      <c r="T11143" s="261"/>
    </row>
    <row r="11144" spans="2:20" x14ac:dyDescent="0.2">
      <c r="B11144" s="245"/>
      <c r="C11144" s="248"/>
      <c r="D11144" s="249"/>
      <c r="E11144" s="249"/>
      <c r="T11144" s="261"/>
    </row>
    <row r="11145" spans="2:20" x14ac:dyDescent="0.2">
      <c r="B11145" s="245"/>
      <c r="C11145" s="248"/>
      <c r="D11145" s="249"/>
      <c r="E11145" s="249"/>
      <c r="T11145" s="261"/>
    </row>
    <row r="11146" spans="2:20" x14ac:dyDescent="0.2">
      <c r="B11146" s="245"/>
      <c r="C11146" s="248"/>
      <c r="D11146" s="249"/>
      <c r="E11146" s="249"/>
      <c r="T11146" s="261"/>
    </row>
    <row r="11147" spans="2:20" x14ac:dyDescent="0.2">
      <c r="B11147" s="245"/>
      <c r="C11147" s="248"/>
      <c r="D11147" s="249"/>
      <c r="E11147" s="249"/>
      <c r="T11147" s="261"/>
    </row>
    <row r="11148" spans="2:20" x14ac:dyDescent="0.2">
      <c r="B11148" s="245"/>
      <c r="C11148" s="248"/>
      <c r="D11148" s="249"/>
      <c r="E11148" s="249"/>
      <c r="T11148" s="261"/>
    </row>
    <row r="11149" spans="2:20" x14ac:dyDescent="0.2">
      <c r="B11149" s="245"/>
      <c r="C11149" s="248"/>
      <c r="D11149" s="249"/>
      <c r="E11149" s="249"/>
      <c r="T11149" s="261"/>
    </row>
    <row r="11150" spans="2:20" x14ac:dyDescent="0.2">
      <c r="B11150" s="245"/>
      <c r="C11150" s="248"/>
      <c r="D11150" s="249"/>
      <c r="E11150" s="249"/>
      <c r="T11150" s="261"/>
    </row>
    <row r="11151" spans="2:20" x14ac:dyDescent="0.2">
      <c r="B11151" s="245"/>
      <c r="C11151" s="248"/>
      <c r="D11151" s="249"/>
      <c r="E11151" s="249"/>
      <c r="T11151" s="261"/>
    </row>
    <row r="11152" spans="2:20" x14ac:dyDescent="0.2">
      <c r="B11152" s="245"/>
      <c r="C11152" s="248"/>
      <c r="D11152" s="249"/>
      <c r="E11152" s="249"/>
      <c r="T11152" s="261"/>
    </row>
    <row r="11153" spans="2:20" x14ac:dyDescent="0.2">
      <c r="B11153" s="245"/>
      <c r="C11153" s="248"/>
      <c r="D11153" s="249"/>
      <c r="E11153" s="249"/>
      <c r="T11153" s="261"/>
    </row>
    <row r="11154" spans="2:20" x14ac:dyDescent="0.2">
      <c r="B11154" s="245"/>
      <c r="C11154" s="248"/>
      <c r="D11154" s="249"/>
      <c r="E11154" s="249"/>
      <c r="T11154" s="261"/>
    </row>
    <row r="11155" spans="2:20" x14ac:dyDescent="0.2">
      <c r="B11155" s="245"/>
      <c r="C11155" s="248"/>
      <c r="D11155" s="249"/>
      <c r="E11155" s="249"/>
      <c r="T11155" s="261"/>
    </row>
    <row r="11156" spans="2:20" x14ac:dyDescent="0.2">
      <c r="B11156" s="245"/>
      <c r="C11156" s="248"/>
      <c r="D11156" s="249"/>
      <c r="E11156" s="249"/>
      <c r="T11156" s="261"/>
    </row>
    <row r="11157" spans="2:20" x14ac:dyDescent="0.2">
      <c r="B11157" s="245"/>
      <c r="C11157" s="248"/>
      <c r="D11157" s="249"/>
      <c r="E11157" s="249"/>
      <c r="T11157" s="261"/>
    </row>
    <row r="11158" spans="2:20" x14ac:dyDescent="0.2">
      <c r="B11158" s="245"/>
      <c r="C11158" s="248"/>
      <c r="D11158" s="249"/>
      <c r="E11158" s="249"/>
      <c r="T11158" s="261"/>
    </row>
    <row r="11159" spans="2:20" x14ac:dyDescent="0.2">
      <c r="B11159" s="245"/>
      <c r="C11159" s="248"/>
      <c r="D11159" s="249"/>
      <c r="E11159" s="249"/>
      <c r="T11159" s="261"/>
    </row>
    <row r="11160" spans="2:20" x14ac:dyDescent="0.2">
      <c r="B11160" s="245"/>
      <c r="C11160" s="248"/>
      <c r="D11160" s="249"/>
      <c r="E11160" s="249"/>
      <c r="T11160" s="261"/>
    </row>
    <row r="11161" spans="2:20" x14ac:dyDescent="0.2">
      <c r="B11161" s="245"/>
      <c r="C11161" s="248"/>
      <c r="D11161" s="249"/>
      <c r="E11161" s="249"/>
      <c r="T11161" s="261"/>
    </row>
    <row r="11162" spans="2:20" x14ac:dyDescent="0.2">
      <c r="B11162" s="245"/>
      <c r="C11162" s="248"/>
      <c r="D11162" s="249"/>
      <c r="E11162" s="249"/>
      <c r="T11162" s="261"/>
    </row>
    <row r="11163" spans="2:20" x14ac:dyDescent="0.2">
      <c r="B11163" s="245"/>
      <c r="C11163" s="248"/>
      <c r="D11163" s="249"/>
      <c r="E11163" s="249"/>
      <c r="T11163" s="261"/>
    </row>
    <row r="11164" spans="2:20" x14ac:dyDescent="0.2">
      <c r="B11164" s="245"/>
      <c r="C11164" s="248"/>
      <c r="D11164" s="249"/>
      <c r="E11164" s="249"/>
      <c r="T11164" s="261"/>
    </row>
    <row r="11165" spans="2:20" x14ac:dyDescent="0.2">
      <c r="B11165" s="245"/>
      <c r="C11165" s="248"/>
      <c r="D11165" s="249"/>
      <c r="E11165" s="249"/>
      <c r="T11165" s="261"/>
    </row>
    <row r="11166" spans="2:20" x14ac:dyDescent="0.2">
      <c r="B11166" s="245"/>
      <c r="C11166" s="248"/>
      <c r="D11166" s="249"/>
      <c r="E11166" s="249"/>
      <c r="T11166" s="261"/>
    </row>
    <row r="11167" spans="2:20" x14ac:dyDescent="0.2">
      <c r="B11167" s="245"/>
      <c r="C11167" s="248"/>
      <c r="D11167" s="249"/>
      <c r="E11167" s="249"/>
      <c r="T11167" s="261"/>
    </row>
    <row r="11168" spans="2:20" x14ac:dyDescent="0.2">
      <c r="B11168" s="245"/>
      <c r="C11168" s="248"/>
      <c r="D11168" s="249"/>
      <c r="E11168" s="249"/>
      <c r="T11168" s="261"/>
    </row>
    <row r="11169" spans="2:20" x14ac:dyDescent="0.2">
      <c r="B11169" s="245"/>
      <c r="C11169" s="248"/>
      <c r="D11169" s="249"/>
      <c r="E11169" s="249"/>
      <c r="T11169" s="261"/>
    </row>
    <row r="11170" spans="2:20" x14ac:dyDescent="0.2">
      <c r="B11170" s="245"/>
      <c r="C11170" s="248"/>
      <c r="D11170" s="249"/>
      <c r="E11170" s="249"/>
      <c r="T11170" s="261"/>
    </row>
    <row r="11171" spans="2:20" x14ac:dyDescent="0.2">
      <c r="B11171" s="245"/>
      <c r="C11171" s="248"/>
      <c r="D11171" s="249"/>
      <c r="E11171" s="249"/>
      <c r="T11171" s="261"/>
    </row>
    <row r="11172" spans="2:20" x14ac:dyDescent="0.2">
      <c r="B11172" s="245"/>
      <c r="C11172" s="248"/>
      <c r="D11172" s="249"/>
      <c r="E11172" s="249"/>
      <c r="T11172" s="261"/>
    </row>
    <row r="11173" spans="2:20" x14ac:dyDescent="0.2">
      <c r="B11173" s="245"/>
      <c r="C11173" s="248"/>
      <c r="D11173" s="249"/>
      <c r="E11173" s="249"/>
      <c r="T11173" s="261"/>
    </row>
    <row r="11174" spans="2:20" x14ac:dyDescent="0.2">
      <c r="B11174" s="245"/>
      <c r="C11174" s="248"/>
      <c r="D11174" s="249"/>
      <c r="E11174" s="249"/>
      <c r="T11174" s="261"/>
    </row>
    <row r="11175" spans="2:20" x14ac:dyDescent="0.2">
      <c r="B11175" s="245"/>
      <c r="C11175" s="248"/>
      <c r="D11175" s="249"/>
      <c r="E11175" s="249"/>
      <c r="T11175" s="261"/>
    </row>
    <row r="11176" spans="2:20" x14ac:dyDescent="0.2">
      <c r="B11176" s="245"/>
      <c r="C11176" s="248"/>
      <c r="D11176" s="249"/>
      <c r="E11176" s="249"/>
      <c r="T11176" s="261"/>
    </row>
    <row r="11177" spans="2:20" x14ac:dyDescent="0.2">
      <c r="B11177" s="245"/>
      <c r="C11177" s="248"/>
      <c r="D11177" s="249"/>
      <c r="E11177" s="249"/>
      <c r="T11177" s="261"/>
    </row>
    <row r="11178" spans="2:20" x14ac:dyDescent="0.2">
      <c r="B11178" s="245"/>
      <c r="C11178" s="248"/>
      <c r="D11178" s="249"/>
      <c r="E11178" s="249"/>
      <c r="T11178" s="261"/>
    </row>
    <row r="11179" spans="2:20" x14ac:dyDescent="0.2">
      <c r="B11179" s="245"/>
      <c r="C11179" s="248"/>
      <c r="D11179" s="249"/>
      <c r="E11179" s="249"/>
      <c r="T11179" s="261"/>
    </row>
    <row r="11180" spans="2:20" x14ac:dyDescent="0.2">
      <c r="B11180" s="245"/>
      <c r="C11180" s="248"/>
      <c r="D11180" s="249"/>
      <c r="E11180" s="249"/>
      <c r="T11180" s="261"/>
    </row>
    <row r="11181" spans="2:20" x14ac:dyDescent="0.2">
      <c r="B11181" s="245"/>
      <c r="C11181" s="248"/>
      <c r="D11181" s="249"/>
      <c r="E11181" s="249"/>
      <c r="T11181" s="261"/>
    </row>
    <row r="11182" spans="2:20" x14ac:dyDescent="0.2">
      <c r="B11182" s="245"/>
      <c r="C11182" s="248"/>
      <c r="D11182" s="249"/>
      <c r="E11182" s="249"/>
      <c r="T11182" s="261"/>
    </row>
    <row r="11183" spans="2:20" x14ac:dyDescent="0.2">
      <c r="B11183" s="245"/>
      <c r="C11183" s="248"/>
      <c r="D11183" s="249"/>
      <c r="E11183" s="249"/>
      <c r="T11183" s="261"/>
    </row>
    <row r="11184" spans="2:20" x14ac:dyDescent="0.2">
      <c r="B11184" s="245"/>
      <c r="C11184" s="248"/>
      <c r="D11184" s="249"/>
      <c r="E11184" s="249"/>
      <c r="T11184" s="261"/>
    </row>
    <row r="11185" spans="2:20" x14ac:dyDescent="0.2">
      <c r="B11185" s="245"/>
      <c r="C11185" s="248"/>
      <c r="D11185" s="249"/>
      <c r="E11185" s="249"/>
      <c r="T11185" s="261"/>
    </row>
    <row r="11186" spans="2:20" x14ac:dyDescent="0.2">
      <c r="B11186" s="245"/>
      <c r="C11186" s="248"/>
      <c r="D11186" s="249"/>
      <c r="E11186" s="249"/>
      <c r="T11186" s="261"/>
    </row>
    <row r="11187" spans="2:20" x14ac:dyDescent="0.2">
      <c r="B11187" s="245"/>
      <c r="C11187" s="248"/>
      <c r="D11187" s="249"/>
      <c r="E11187" s="249"/>
      <c r="T11187" s="261"/>
    </row>
    <row r="11188" spans="2:20" x14ac:dyDescent="0.2">
      <c r="B11188" s="245"/>
      <c r="C11188" s="248"/>
      <c r="D11188" s="249"/>
      <c r="E11188" s="249"/>
      <c r="T11188" s="261"/>
    </row>
    <row r="11189" spans="2:20" x14ac:dyDescent="0.2">
      <c r="B11189" s="245"/>
      <c r="C11189" s="248"/>
      <c r="D11189" s="249"/>
      <c r="E11189" s="249"/>
      <c r="T11189" s="261"/>
    </row>
    <row r="11190" spans="2:20" x14ac:dyDescent="0.2">
      <c r="B11190" s="245"/>
      <c r="C11190" s="248"/>
      <c r="D11190" s="249"/>
      <c r="E11190" s="249"/>
      <c r="T11190" s="261"/>
    </row>
    <row r="11191" spans="2:20" x14ac:dyDescent="0.2">
      <c r="B11191" s="245"/>
      <c r="C11191" s="248"/>
      <c r="D11191" s="249"/>
      <c r="E11191" s="249"/>
      <c r="T11191" s="261"/>
    </row>
    <row r="11192" spans="2:20" x14ac:dyDescent="0.2">
      <c r="B11192" s="245"/>
      <c r="C11192" s="248"/>
      <c r="D11192" s="249"/>
      <c r="E11192" s="249"/>
      <c r="T11192" s="261"/>
    </row>
    <row r="11193" spans="2:20" x14ac:dyDescent="0.2">
      <c r="B11193" s="245"/>
      <c r="C11193" s="248"/>
      <c r="D11193" s="249"/>
      <c r="E11193" s="249"/>
      <c r="T11193" s="261"/>
    </row>
    <row r="11194" spans="2:20" x14ac:dyDescent="0.2">
      <c r="B11194" s="245"/>
      <c r="C11194" s="248"/>
      <c r="D11194" s="249"/>
      <c r="E11194" s="249"/>
      <c r="T11194" s="261"/>
    </row>
    <row r="11195" spans="2:20" x14ac:dyDescent="0.2">
      <c r="B11195" s="245"/>
      <c r="C11195" s="248"/>
      <c r="D11195" s="249"/>
      <c r="E11195" s="249"/>
      <c r="T11195" s="261"/>
    </row>
    <row r="11196" spans="2:20" x14ac:dyDescent="0.2">
      <c r="B11196" s="245"/>
      <c r="C11196" s="248"/>
      <c r="D11196" s="249"/>
      <c r="E11196" s="249"/>
      <c r="T11196" s="261"/>
    </row>
    <row r="11197" spans="2:20" x14ac:dyDescent="0.2">
      <c r="B11197" s="245"/>
      <c r="C11197" s="248"/>
      <c r="D11197" s="249"/>
      <c r="E11197" s="249"/>
      <c r="T11197" s="261"/>
    </row>
    <row r="11198" spans="2:20" x14ac:dyDescent="0.2">
      <c r="B11198" s="245"/>
      <c r="C11198" s="248"/>
      <c r="D11198" s="249"/>
      <c r="E11198" s="249"/>
      <c r="T11198" s="261"/>
    </row>
    <row r="11199" spans="2:20" x14ac:dyDescent="0.2">
      <c r="B11199" s="245"/>
      <c r="C11199" s="248"/>
      <c r="D11199" s="249"/>
      <c r="E11199" s="249"/>
      <c r="T11199" s="261"/>
    </row>
    <row r="11200" spans="2:20" x14ac:dyDescent="0.2">
      <c r="B11200" s="245"/>
      <c r="C11200" s="248"/>
      <c r="D11200" s="249"/>
      <c r="E11200" s="249"/>
      <c r="T11200" s="261"/>
    </row>
    <row r="11201" spans="2:20" x14ac:dyDescent="0.2">
      <c r="B11201" s="245"/>
      <c r="C11201" s="248"/>
      <c r="D11201" s="249"/>
      <c r="E11201" s="249"/>
      <c r="T11201" s="261"/>
    </row>
    <row r="11202" spans="2:20" x14ac:dyDescent="0.2">
      <c r="B11202" s="245"/>
      <c r="C11202" s="248"/>
      <c r="D11202" s="249"/>
      <c r="E11202" s="249"/>
      <c r="T11202" s="261"/>
    </row>
    <row r="11203" spans="2:20" x14ac:dyDescent="0.2">
      <c r="B11203" s="245"/>
      <c r="C11203" s="248"/>
      <c r="D11203" s="249"/>
      <c r="E11203" s="249"/>
      <c r="T11203" s="261"/>
    </row>
    <row r="11204" spans="2:20" x14ac:dyDescent="0.2">
      <c r="B11204" s="245"/>
      <c r="C11204" s="248"/>
      <c r="D11204" s="249"/>
      <c r="E11204" s="249"/>
      <c r="T11204" s="261"/>
    </row>
    <row r="11205" spans="2:20" x14ac:dyDescent="0.2">
      <c r="B11205" s="245"/>
      <c r="C11205" s="248"/>
      <c r="D11205" s="249"/>
      <c r="E11205" s="249"/>
      <c r="T11205" s="261"/>
    </row>
    <row r="11206" spans="2:20" x14ac:dyDescent="0.2">
      <c r="B11206" s="245"/>
      <c r="C11206" s="248"/>
      <c r="D11206" s="249"/>
      <c r="E11206" s="249"/>
      <c r="T11206" s="261"/>
    </row>
    <row r="11207" spans="2:20" x14ac:dyDescent="0.2">
      <c r="B11207" s="245"/>
      <c r="C11207" s="248"/>
      <c r="D11207" s="249"/>
      <c r="E11207" s="249"/>
      <c r="T11207" s="261"/>
    </row>
    <row r="11208" spans="2:20" x14ac:dyDescent="0.2">
      <c r="B11208" s="245"/>
      <c r="C11208" s="248"/>
      <c r="D11208" s="249"/>
      <c r="E11208" s="249"/>
      <c r="T11208" s="261"/>
    </row>
    <row r="11209" spans="2:20" x14ac:dyDescent="0.2">
      <c r="B11209" s="245"/>
      <c r="C11209" s="248"/>
      <c r="D11209" s="249"/>
      <c r="E11209" s="249"/>
      <c r="T11209" s="261"/>
    </row>
    <row r="11210" spans="2:20" x14ac:dyDescent="0.2">
      <c r="B11210" s="245"/>
      <c r="C11210" s="248"/>
      <c r="D11210" s="249"/>
      <c r="E11210" s="249"/>
      <c r="T11210" s="261"/>
    </row>
    <row r="11211" spans="2:20" x14ac:dyDescent="0.2">
      <c r="B11211" s="245"/>
      <c r="C11211" s="248"/>
      <c r="D11211" s="249"/>
      <c r="E11211" s="249"/>
      <c r="T11211" s="261"/>
    </row>
    <row r="11212" spans="2:20" x14ac:dyDescent="0.2">
      <c r="B11212" s="245"/>
      <c r="C11212" s="248"/>
      <c r="D11212" s="249"/>
      <c r="E11212" s="249"/>
      <c r="T11212" s="261"/>
    </row>
    <row r="11213" spans="2:20" x14ac:dyDescent="0.2">
      <c r="B11213" s="245"/>
      <c r="C11213" s="248"/>
      <c r="D11213" s="249"/>
      <c r="E11213" s="249"/>
      <c r="T11213" s="261"/>
    </row>
    <row r="11214" spans="2:20" x14ac:dyDescent="0.2">
      <c r="B11214" s="245"/>
      <c r="C11214" s="248"/>
      <c r="D11214" s="249"/>
      <c r="E11214" s="249"/>
      <c r="T11214" s="261"/>
    </row>
    <row r="11215" spans="2:20" x14ac:dyDescent="0.2">
      <c r="B11215" s="245"/>
      <c r="C11215" s="248"/>
      <c r="D11215" s="249"/>
      <c r="E11215" s="249"/>
      <c r="T11215" s="261"/>
    </row>
    <row r="11216" spans="2:20" x14ac:dyDescent="0.2">
      <c r="B11216" s="245"/>
      <c r="C11216" s="248"/>
      <c r="D11216" s="249"/>
      <c r="E11216" s="249"/>
      <c r="T11216" s="261"/>
    </row>
    <row r="11217" spans="2:20" x14ac:dyDescent="0.2">
      <c r="B11217" s="245"/>
      <c r="C11217" s="248"/>
      <c r="D11217" s="249"/>
      <c r="E11217" s="249"/>
      <c r="T11217" s="261"/>
    </row>
    <row r="11218" spans="2:20" x14ac:dyDescent="0.2">
      <c r="B11218" s="245"/>
      <c r="C11218" s="248"/>
      <c r="D11218" s="249"/>
      <c r="E11218" s="249"/>
      <c r="T11218" s="261"/>
    </row>
    <row r="11219" spans="2:20" x14ac:dyDescent="0.2">
      <c r="B11219" s="245"/>
      <c r="C11219" s="248"/>
      <c r="D11219" s="249"/>
      <c r="E11219" s="249"/>
      <c r="T11219" s="261"/>
    </row>
    <row r="11220" spans="2:20" x14ac:dyDescent="0.2">
      <c r="B11220" s="245"/>
      <c r="C11220" s="248"/>
      <c r="D11220" s="249"/>
      <c r="E11220" s="249"/>
      <c r="T11220" s="261"/>
    </row>
    <row r="11221" spans="2:20" x14ac:dyDescent="0.2">
      <c r="B11221" s="245"/>
      <c r="C11221" s="248"/>
      <c r="D11221" s="249"/>
      <c r="E11221" s="249"/>
      <c r="T11221" s="261"/>
    </row>
    <row r="11222" spans="2:20" x14ac:dyDescent="0.2">
      <c r="B11222" s="245"/>
      <c r="C11222" s="248"/>
      <c r="D11222" s="249"/>
      <c r="E11222" s="249"/>
      <c r="T11222" s="261"/>
    </row>
    <row r="11223" spans="2:20" x14ac:dyDescent="0.2">
      <c r="B11223" s="245"/>
      <c r="C11223" s="248"/>
      <c r="D11223" s="249"/>
      <c r="E11223" s="249"/>
      <c r="T11223" s="261"/>
    </row>
    <row r="11224" spans="2:20" x14ac:dyDescent="0.2">
      <c r="B11224" s="245"/>
      <c r="C11224" s="248"/>
      <c r="D11224" s="249"/>
      <c r="E11224" s="249"/>
      <c r="T11224" s="261"/>
    </row>
    <row r="11225" spans="2:20" x14ac:dyDescent="0.2">
      <c r="B11225" s="245"/>
      <c r="C11225" s="248"/>
      <c r="D11225" s="249"/>
      <c r="E11225" s="249"/>
      <c r="T11225" s="261"/>
    </row>
    <row r="11226" spans="2:20" x14ac:dyDescent="0.2">
      <c r="B11226" s="245"/>
      <c r="C11226" s="248"/>
      <c r="D11226" s="249"/>
      <c r="E11226" s="249"/>
      <c r="T11226" s="261"/>
    </row>
    <row r="11227" spans="2:20" x14ac:dyDescent="0.2">
      <c r="B11227" s="245"/>
      <c r="C11227" s="248"/>
      <c r="D11227" s="249"/>
      <c r="E11227" s="249"/>
      <c r="T11227" s="261"/>
    </row>
    <row r="11228" spans="2:20" x14ac:dyDescent="0.2">
      <c r="B11228" s="245"/>
      <c r="C11228" s="248"/>
      <c r="D11228" s="249"/>
      <c r="E11228" s="249"/>
      <c r="T11228" s="261"/>
    </row>
    <row r="11229" spans="2:20" x14ac:dyDescent="0.2">
      <c r="B11229" s="245"/>
      <c r="C11229" s="248"/>
      <c r="D11229" s="249"/>
      <c r="E11229" s="249"/>
      <c r="T11229" s="261"/>
    </row>
    <row r="11230" spans="2:20" x14ac:dyDescent="0.2">
      <c r="B11230" s="245"/>
      <c r="C11230" s="248"/>
      <c r="D11230" s="249"/>
      <c r="E11230" s="249"/>
      <c r="T11230" s="261"/>
    </row>
    <row r="11231" spans="2:20" x14ac:dyDescent="0.2">
      <c r="B11231" s="245"/>
      <c r="C11231" s="248"/>
      <c r="D11231" s="249"/>
      <c r="E11231" s="249"/>
      <c r="T11231" s="261"/>
    </row>
    <row r="11232" spans="2:20" x14ac:dyDescent="0.2">
      <c r="B11232" s="245"/>
      <c r="C11232" s="248"/>
      <c r="D11232" s="249"/>
      <c r="E11232" s="249"/>
      <c r="T11232" s="261"/>
    </row>
    <row r="11233" spans="2:20" x14ac:dyDescent="0.2">
      <c r="B11233" s="245"/>
      <c r="C11233" s="248"/>
      <c r="D11233" s="249"/>
      <c r="E11233" s="249"/>
      <c r="T11233" s="261"/>
    </row>
    <row r="11234" spans="2:20" x14ac:dyDescent="0.2">
      <c r="B11234" s="245"/>
      <c r="C11234" s="248"/>
      <c r="D11234" s="249"/>
      <c r="E11234" s="249"/>
      <c r="T11234" s="261"/>
    </row>
    <row r="11235" spans="2:20" x14ac:dyDescent="0.2">
      <c r="B11235" s="245"/>
      <c r="C11235" s="248"/>
      <c r="D11235" s="249"/>
      <c r="E11235" s="249"/>
      <c r="T11235" s="261"/>
    </row>
    <row r="11236" spans="2:20" x14ac:dyDescent="0.2">
      <c r="B11236" s="245"/>
      <c r="C11236" s="248"/>
      <c r="D11236" s="249"/>
      <c r="E11236" s="249"/>
      <c r="T11236" s="261"/>
    </row>
    <row r="11237" spans="2:20" x14ac:dyDescent="0.2">
      <c r="B11237" s="245"/>
      <c r="C11237" s="248"/>
      <c r="D11237" s="249"/>
      <c r="E11237" s="249"/>
      <c r="T11237" s="261"/>
    </row>
    <row r="11238" spans="2:20" x14ac:dyDescent="0.2">
      <c r="B11238" s="245"/>
      <c r="C11238" s="248"/>
      <c r="D11238" s="249"/>
      <c r="E11238" s="249"/>
      <c r="T11238" s="261"/>
    </row>
    <row r="11239" spans="2:20" x14ac:dyDescent="0.2">
      <c r="B11239" s="245"/>
      <c r="C11239" s="248"/>
      <c r="D11239" s="249"/>
      <c r="E11239" s="249"/>
      <c r="T11239" s="261"/>
    </row>
    <row r="11240" spans="2:20" x14ac:dyDescent="0.2">
      <c r="B11240" s="245"/>
      <c r="C11240" s="248"/>
      <c r="D11240" s="249"/>
      <c r="E11240" s="249"/>
      <c r="T11240" s="261"/>
    </row>
    <row r="11241" spans="2:20" x14ac:dyDescent="0.2">
      <c r="B11241" s="245"/>
      <c r="C11241" s="248"/>
      <c r="D11241" s="249"/>
      <c r="E11241" s="249"/>
      <c r="T11241" s="261"/>
    </row>
    <row r="11242" spans="2:20" x14ac:dyDescent="0.2">
      <c r="B11242" s="245"/>
      <c r="C11242" s="248"/>
      <c r="D11242" s="249"/>
      <c r="E11242" s="249"/>
      <c r="T11242" s="261"/>
    </row>
    <row r="11243" spans="2:20" x14ac:dyDescent="0.2">
      <c r="B11243" s="245"/>
      <c r="C11243" s="248"/>
      <c r="D11243" s="249"/>
      <c r="E11243" s="249"/>
      <c r="T11243" s="261"/>
    </row>
    <row r="11244" spans="2:20" x14ac:dyDescent="0.2">
      <c r="B11244" s="245"/>
      <c r="C11244" s="248"/>
      <c r="D11244" s="249"/>
      <c r="E11244" s="249"/>
      <c r="T11244" s="261"/>
    </row>
    <row r="11245" spans="2:20" x14ac:dyDescent="0.2">
      <c r="B11245" s="245"/>
      <c r="C11245" s="248"/>
      <c r="D11245" s="249"/>
      <c r="E11245" s="249"/>
      <c r="T11245" s="261"/>
    </row>
    <row r="11246" spans="2:20" x14ac:dyDescent="0.2">
      <c r="B11246" s="245"/>
      <c r="C11246" s="248"/>
      <c r="D11246" s="249"/>
      <c r="E11246" s="249"/>
      <c r="T11246" s="261"/>
    </row>
    <row r="11247" spans="2:20" x14ac:dyDescent="0.2">
      <c r="B11247" s="245"/>
      <c r="C11247" s="248"/>
      <c r="D11247" s="249"/>
      <c r="E11247" s="249"/>
      <c r="T11247" s="261"/>
    </row>
    <row r="11248" spans="2:20" x14ac:dyDescent="0.2">
      <c r="B11248" s="245"/>
      <c r="C11248" s="248"/>
      <c r="D11248" s="249"/>
      <c r="E11248" s="249"/>
      <c r="T11248" s="261"/>
    </row>
    <row r="11249" spans="2:20" x14ac:dyDescent="0.2">
      <c r="B11249" s="245"/>
      <c r="C11249" s="248"/>
      <c r="D11249" s="249"/>
      <c r="E11249" s="249"/>
      <c r="T11249" s="261"/>
    </row>
    <row r="11250" spans="2:20" x14ac:dyDescent="0.2">
      <c r="B11250" s="245"/>
      <c r="C11250" s="248"/>
      <c r="D11250" s="249"/>
      <c r="E11250" s="249"/>
      <c r="T11250" s="261"/>
    </row>
    <row r="11251" spans="2:20" x14ac:dyDescent="0.2">
      <c r="B11251" s="245"/>
      <c r="C11251" s="248"/>
      <c r="D11251" s="249"/>
      <c r="E11251" s="249"/>
      <c r="T11251" s="261"/>
    </row>
    <row r="11252" spans="2:20" x14ac:dyDescent="0.2">
      <c r="B11252" s="245"/>
      <c r="C11252" s="248"/>
      <c r="D11252" s="249"/>
      <c r="E11252" s="249"/>
      <c r="T11252" s="261"/>
    </row>
    <row r="11253" spans="2:20" x14ac:dyDescent="0.2">
      <c r="B11253" s="245"/>
      <c r="C11253" s="248"/>
      <c r="D11253" s="249"/>
      <c r="E11253" s="249"/>
      <c r="T11253" s="261"/>
    </row>
    <row r="11254" spans="2:20" x14ac:dyDescent="0.2">
      <c r="B11254" s="245"/>
      <c r="C11254" s="248"/>
      <c r="D11254" s="249"/>
      <c r="E11254" s="249"/>
      <c r="T11254" s="261"/>
    </row>
    <row r="11255" spans="2:20" x14ac:dyDescent="0.2">
      <c r="B11255" s="245"/>
      <c r="C11255" s="248"/>
      <c r="D11255" s="249"/>
      <c r="E11255" s="249"/>
      <c r="T11255" s="261"/>
    </row>
    <row r="11256" spans="2:20" x14ac:dyDescent="0.2">
      <c r="B11256" s="245"/>
      <c r="C11256" s="248"/>
      <c r="D11256" s="249"/>
      <c r="E11256" s="249"/>
      <c r="T11256" s="261"/>
    </row>
    <row r="11257" spans="2:20" x14ac:dyDescent="0.2">
      <c r="B11257" s="245"/>
      <c r="C11257" s="248"/>
      <c r="D11257" s="249"/>
      <c r="E11257" s="249"/>
      <c r="T11257" s="261"/>
    </row>
    <row r="11258" spans="2:20" x14ac:dyDescent="0.2">
      <c r="B11258" s="245"/>
      <c r="C11258" s="248"/>
      <c r="D11258" s="249"/>
      <c r="E11258" s="249"/>
      <c r="T11258" s="261"/>
    </row>
    <row r="11259" spans="2:20" x14ac:dyDescent="0.2">
      <c r="B11259" s="245"/>
      <c r="C11259" s="248"/>
      <c r="D11259" s="249"/>
      <c r="E11259" s="249"/>
      <c r="T11259" s="261"/>
    </row>
    <row r="11260" spans="2:20" x14ac:dyDescent="0.2">
      <c r="B11260" s="245"/>
      <c r="C11260" s="248"/>
      <c r="D11260" s="249"/>
      <c r="E11260" s="249"/>
      <c r="T11260" s="261"/>
    </row>
    <row r="11261" spans="2:20" x14ac:dyDescent="0.2">
      <c r="B11261" s="245"/>
      <c r="C11261" s="248"/>
      <c r="D11261" s="249"/>
      <c r="E11261" s="249"/>
      <c r="T11261" s="261"/>
    </row>
    <row r="11262" spans="2:20" x14ac:dyDescent="0.2">
      <c r="B11262" s="245"/>
      <c r="C11262" s="248"/>
      <c r="D11262" s="249"/>
      <c r="E11262" s="249"/>
      <c r="T11262" s="261"/>
    </row>
    <row r="11263" spans="2:20" x14ac:dyDescent="0.2">
      <c r="B11263" s="245"/>
      <c r="C11263" s="248"/>
      <c r="D11263" s="249"/>
      <c r="E11263" s="249"/>
      <c r="T11263" s="261"/>
    </row>
    <row r="11264" spans="2:20" x14ac:dyDescent="0.2">
      <c r="B11264" s="245"/>
      <c r="C11264" s="248"/>
      <c r="D11264" s="249"/>
      <c r="E11264" s="249"/>
      <c r="T11264" s="261"/>
    </row>
    <row r="11265" spans="2:20" x14ac:dyDescent="0.2">
      <c r="B11265" s="245"/>
      <c r="C11265" s="248"/>
      <c r="D11265" s="249"/>
      <c r="E11265" s="249"/>
      <c r="T11265" s="261"/>
    </row>
    <row r="11266" spans="2:20" x14ac:dyDescent="0.2">
      <c r="B11266" s="245"/>
      <c r="C11266" s="248"/>
      <c r="D11266" s="249"/>
      <c r="E11266" s="249"/>
      <c r="T11266" s="261"/>
    </row>
    <row r="11267" spans="2:20" x14ac:dyDescent="0.2">
      <c r="B11267" s="245"/>
      <c r="C11267" s="248"/>
      <c r="D11267" s="249"/>
      <c r="E11267" s="249"/>
      <c r="T11267" s="261"/>
    </row>
    <row r="11268" spans="2:20" x14ac:dyDescent="0.2">
      <c r="B11268" s="245"/>
      <c r="C11268" s="248"/>
      <c r="D11268" s="249"/>
      <c r="E11268" s="249"/>
      <c r="T11268" s="261"/>
    </row>
    <row r="11269" spans="2:20" x14ac:dyDescent="0.2">
      <c r="B11269" s="245"/>
      <c r="C11269" s="248"/>
      <c r="D11269" s="249"/>
      <c r="E11269" s="249"/>
      <c r="T11269" s="261"/>
    </row>
    <row r="11270" spans="2:20" x14ac:dyDescent="0.2">
      <c r="B11270" s="245"/>
      <c r="C11270" s="248"/>
      <c r="D11270" s="249"/>
      <c r="E11270" s="249"/>
      <c r="T11270" s="261"/>
    </row>
    <row r="11271" spans="2:20" x14ac:dyDescent="0.2">
      <c r="B11271" s="245"/>
      <c r="C11271" s="248"/>
      <c r="D11271" s="249"/>
      <c r="E11271" s="249"/>
      <c r="T11271" s="261"/>
    </row>
    <row r="11272" spans="2:20" x14ac:dyDescent="0.2">
      <c r="B11272" s="245"/>
      <c r="C11272" s="248"/>
      <c r="D11272" s="249"/>
      <c r="E11272" s="249"/>
      <c r="T11272" s="261"/>
    </row>
    <row r="11273" spans="2:20" x14ac:dyDescent="0.2">
      <c r="B11273" s="245"/>
      <c r="C11273" s="248"/>
      <c r="D11273" s="249"/>
      <c r="E11273" s="249"/>
      <c r="T11273" s="261"/>
    </row>
    <row r="11274" spans="2:20" x14ac:dyDescent="0.2">
      <c r="B11274" s="245"/>
      <c r="C11274" s="248"/>
      <c r="D11274" s="249"/>
      <c r="E11274" s="249"/>
      <c r="T11274" s="261"/>
    </row>
    <row r="11275" spans="2:20" x14ac:dyDescent="0.2">
      <c r="B11275" s="245"/>
      <c r="C11275" s="248"/>
      <c r="D11275" s="249"/>
      <c r="E11275" s="249"/>
      <c r="T11275" s="261"/>
    </row>
    <row r="11276" spans="2:20" x14ac:dyDescent="0.2">
      <c r="B11276" s="245"/>
      <c r="C11276" s="248"/>
      <c r="D11276" s="249"/>
      <c r="E11276" s="249"/>
      <c r="T11276" s="261"/>
    </row>
    <row r="11277" spans="2:20" x14ac:dyDescent="0.2">
      <c r="B11277" s="245"/>
      <c r="C11277" s="248"/>
      <c r="D11277" s="249"/>
      <c r="E11277" s="249"/>
      <c r="T11277" s="261"/>
    </row>
    <row r="11278" spans="2:20" x14ac:dyDescent="0.2">
      <c r="B11278" s="245"/>
      <c r="C11278" s="248"/>
      <c r="D11278" s="249"/>
      <c r="E11278" s="249"/>
      <c r="T11278" s="261"/>
    </row>
    <row r="11279" spans="2:20" x14ac:dyDescent="0.2">
      <c r="B11279" s="245"/>
      <c r="C11279" s="248"/>
      <c r="D11279" s="249"/>
      <c r="E11279" s="249"/>
      <c r="T11279" s="261"/>
    </row>
    <row r="11280" spans="2:20" x14ac:dyDescent="0.2">
      <c r="B11280" s="245"/>
      <c r="C11280" s="248"/>
      <c r="D11280" s="249"/>
      <c r="E11280" s="249"/>
      <c r="T11280" s="261"/>
    </row>
    <row r="11281" spans="2:20" x14ac:dyDescent="0.2">
      <c r="B11281" s="245"/>
      <c r="C11281" s="248"/>
      <c r="D11281" s="249"/>
      <c r="E11281" s="249"/>
      <c r="T11281" s="261"/>
    </row>
    <row r="11282" spans="2:20" x14ac:dyDescent="0.2">
      <c r="B11282" s="245"/>
      <c r="C11282" s="248"/>
      <c r="D11282" s="249"/>
      <c r="E11282" s="249"/>
      <c r="T11282" s="261"/>
    </row>
    <row r="11283" spans="2:20" x14ac:dyDescent="0.2">
      <c r="B11283" s="245"/>
      <c r="C11283" s="248"/>
      <c r="D11283" s="249"/>
      <c r="E11283" s="249"/>
      <c r="T11283" s="261"/>
    </row>
    <row r="11284" spans="2:20" x14ac:dyDescent="0.2">
      <c r="B11284" s="245"/>
      <c r="C11284" s="248"/>
      <c r="D11284" s="249"/>
      <c r="E11284" s="249"/>
      <c r="T11284" s="261"/>
    </row>
    <row r="11285" spans="2:20" x14ac:dyDescent="0.2">
      <c r="B11285" s="245"/>
      <c r="C11285" s="248"/>
      <c r="D11285" s="249"/>
      <c r="E11285" s="249"/>
      <c r="T11285" s="261"/>
    </row>
    <row r="11286" spans="2:20" x14ac:dyDescent="0.2">
      <c r="B11286" s="245"/>
      <c r="C11286" s="248"/>
      <c r="D11286" s="249"/>
      <c r="E11286" s="249"/>
      <c r="T11286" s="261"/>
    </row>
    <row r="11287" spans="2:20" x14ac:dyDescent="0.2">
      <c r="B11287" s="245"/>
      <c r="C11287" s="248"/>
      <c r="D11287" s="249"/>
      <c r="E11287" s="249"/>
      <c r="T11287" s="261"/>
    </row>
    <row r="11288" spans="2:20" x14ac:dyDescent="0.2">
      <c r="B11288" s="245"/>
      <c r="C11288" s="248"/>
      <c r="D11288" s="249"/>
      <c r="E11288" s="249"/>
      <c r="T11288" s="261"/>
    </row>
    <row r="11289" spans="2:20" x14ac:dyDescent="0.2">
      <c r="B11289" s="245"/>
      <c r="C11289" s="248"/>
      <c r="D11289" s="249"/>
      <c r="E11289" s="249"/>
      <c r="T11289" s="261"/>
    </row>
    <row r="11290" spans="2:20" x14ac:dyDescent="0.2">
      <c r="B11290" s="245"/>
      <c r="C11290" s="248"/>
      <c r="D11290" s="249"/>
      <c r="E11290" s="249"/>
      <c r="T11290" s="261"/>
    </row>
    <row r="11291" spans="2:20" x14ac:dyDescent="0.2">
      <c r="B11291" s="245"/>
      <c r="C11291" s="248"/>
      <c r="D11291" s="249"/>
      <c r="E11291" s="249"/>
      <c r="T11291" s="261"/>
    </row>
    <row r="11292" spans="2:20" x14ac:dyDescent="0.2">
      <c r="B11292" s="245"/>
      <c r="C11292" s="248"/>
      <c r="D11292" s="249"/>
      <c r="E11292" s="249"/>
      <c r="T11292" s="261"/>
    </row>
    <row r="11293" spans="2:20" x14ac:dyDescent="0.2">
      <c r="B11293" s="245"/>
      <c r="C11293" s="248"/>
      <c r="D11293" s="249"/>
      <c r="E11293" s="249"/>
      <c r="T11293" s="261"/>
    </row>
    <row r="11294" spans="2:20" x14ac:dyDescent="0.2">
      <c r="B11294" s="245"/>
      <c r="C11294" s="248"/>
      <c r="D11294" s="249"/>
      <c r="E11294" s="249"/>
      <c r="T11294" s="261"/>
    </row>
    <row r="11295" spans="2:20" x14ac:dyDescent="0.2">
      <c r="B11295" s="245"/>
      <c r="C11295" s="248"/>
      <c r="D11295" s="249"/>
      <c r="E11295" s="249"/>
      <c r="T11295" s="261"/>
    </row>
    <row r="11296" spans="2:20" x14ac:dyDescent="0.2">
      <c r="B11296" s="245"/>
      <c r="C11296" s="248"/>
      <c r="D11296" s="249"/>
      <c r="E11296" s="249"/>
      <c r="T11296" s="261"/>
    </row>
    <row r="11297" spans="2:20" x14ac:dyDescent="0.2">
      <c r="B11297" s="245"/>
      <c r="C11297" s="248"/>
      <c r="D11297" s="249"/>
      <c r="E11297" s="249"/>
      <c r="T11297" s="261"/>
    </row>
    <row r="11298" spans="2:20" x14ac:dyDescent="0.2">
      <c r="B11298" s="245"/>
      <c r="C11298" s="248"/>
      <c r="D11298" s="249"/>
      <c r="E11298" s="249"/>
      <c r="T11298" s="261"/>
    </row>
    <row r="11299" spans="2:20" x14ac:dyDescent="0.2">
      <c r="B11299" s="245"/>
      <c r="C11299" s="248"/>
      <c r="D11299" s="249"/>
      <c r="E11299" s="249"/>
      <c r="T11299" s="261"/>
    </row>
    <row r="11300" spans="2:20" x14ac:dyDescent="0.2">
      <c r="B11300" s="245"/>
      <c r="C11300" s="248"/>
      <c r="D11300" s="249"/>
      <c r="E11300" s="249"/>
      <c r="T11300" s="261"/>
    </row>
    <row r="11301" spans="2:20" x14ac:dyDescent="0.2">
      <c r="B11301" s="245"/>
      <c r="C11301" s="248"/>
      <c r="D11301" s="249"/>
      <c r="E11301" s="249"/>
      <c r="T11301" s="261"/>
    </row>
    <row r="11302" spans="2:20" x14ac:dyDescent="0.2">
      <c r="B11302" s="245"/>
      <c r="C11302" s="248"/>
      <c r="D11302" s="249"/>
      <c r="E11302" s="249"/>
      <c r="T11302" s="261"/>
    </row>
    <row r="11303" spans="2:20" x14ac:dyDescent="0.2">
      <c r="B11303" s="245"/>
      <c r="C11303" s="248"/>
      <c r="D11303" s="249"/>
      <c r="E11303" s="249"/>
      <c r="T11303" s="261"/>
    </row>
    <row r="11304" spans="2:20" x14ac:dyDescent="0.2">
      <c r="B11304" s="245"/>
      <c r="C11304" s="248"/>
      <c r="D11304" s="249"/>
      <c r="E11304" s="249"/>
      <c r="T11304" s="261"/>
    </row>
    <row r="11305" spans="2:20" x14ac:dyDescent="0.2">
      <c r="B11305" s="245"/>
      <c r="C11305" s="248"/>
      <c r="D11305" s="249"/>
      <c r="E11305" s="249"/>
      <c r="T11305" s="261"/>
    </row>
    <row r="11306" spans="2:20" x14ac:dyDescent="0.2">
      <c r="B11306" s="245"/>
      <c r="C11306" s="248"/>
      <c r="D11306" s="249"/>
      <c r="E11306" s="249"/>
      <c r="T11306" s="261"/>
    </row>
    <row r="11307" spans="2:20" x14ac:dyDescent="0.2">
      <c r="B11307" s="245"/>
      <c r="C11307" s="248"/>
      <c r="D11307" s="249"/>
      <c r="E11307" s="249"/>
      <c r="T11307" s="261"/>
    </row>
    <row r="11308" spans="2:20" x14ac:dyDescent="0.2">
      <c r="B11308" s="245"/>
      <c r="C11308" s="248"/>
      <c r="D11308" s="249"/>
      <c r="E11308" s="249"/>
      <c r="T11308" s="261"/>
    </row>
    <row r="11309" spans="2:20" x14ac:dyDescent="0.2">
      <c r="B11309" s="245"/>
      <c r="C11309" s="248"/>
      <c r="D11309" s="249"/>
      <c r="E11309" s="249"/>
      <c r="T11309" s="261"/>
    </row>
    <row r="11310" spans="2:20" x14ac:dyDescent="0.2">
      <c r="B11310" s="245"/>
      <c r="C11310" s="248"/>
      <c r="D11310" s="249"/>
      <c r="E11310" s="249"/>
      <c r="T11310" s="261"/>
    </row>
    <row r="11311" spans="2:20" x14ac:dyDescent="0.2">
      <c r="B11311" s="245"/>
      <c r="C11311" s="248"/>
      <c r="D11311" s="249"/>
      <c r="E11311" s="249"/>
      <c r="T11311" s="261"/>
    </row>
    <row r="11312" spans="2:20" x14ac:dyDescent="0.2">
      <c r="B11312" s="245"/>
      <c r="C11312" s="248"/>
      <c r="D11312" s="249"/>
      <c r="E11312" s="249"/>
      <c r="T11312" s="261"/>
    </row>
    <row r="11313" spans="2:20" x14ac:dyDescent="0.2">
      <c r="B11313" s="245"/>
      <c r="C11313" s="248"/>
      <c r="D11313" s="249"/>
      <c r="E11313" s="249"/>
      <c r="T11313" s="261"/>
    </row>
    <row r="11314" spans="2:20" x14ac:dyDescent="0.2">
      <c r="B11314" s="245"/>
      <c r="C11314" s="248"/>
      <c r="D11314" s="249"/>
      <c r="E11314" s="249"/>
      <c r="T11314" s="261"/>
    </row>
    <row r="11315" spans="2:20" x14ac:dyDescent="0.2">
      <c r="B11315" s="245"/>
      <c r="C11315" s="248"/>
      <c r="D11315" s="249"/>
      <c r="E11315" s="249"/>
      <c r="T11315" s="261"/>
    </row>
    <row r="11316" spans="2:20" x14ac:dyDescent="0.2">
      <c r="B11316" s="245"/>
      <c r="C11316" s="248"/>
      <c r="D11316" s="249"/>
      <c r="E11316" s="249"/>
      <c r="T11316" s="261"/>
    </row>
    <row r="11317" spans="2:20" x14ac:dyDescent="0.2">
      <c r="B11317" s="245"/>
      <c r="C11317" s="248"/>
      <c r="D11317" s="249"/>
      <c r="E11317" s="249"/>
      <c r="T11317" s="261"/>
    </row>
    <row r="11318" spans="2:20" x14ac:dyDescent="0.2">
      <c r="B11318" s="245"/>
      <c r="C11318" s="248"/>
      <c r="D11318" s="249"/>
      <c r="E11318" s="249"/>
      <c r="T11318" s="261"/>
    </row>
    <row r="11319" spans="2:20" x14ac:dyDescent="0.2">
      <c r="B11319" s="245"/>
      <c r="C11319" s="248"/>
      <c r="D11319" s="249"/>
      <c r="E11319" s="249"/>
      <c r="T11319" s="261"/>
    </row>
    <row r="11320" spans="2:20" x14ac:dyDescent="0.2">
      <c r="B11320" s="245"/>
      <c r="C11320" s="248"/>
      <c r="D11320" s="249"/>
      <c r="E11320" s="249"/>
      <c r="T11320" s="261"/>
    </row>
    <row r="11321" spans="2:20" x14ac:dyDescent="0.2">
      <c r="B11321" s="245"/>
      <c r="C11321" s="248"/>
      <c r="D11321" s="249"/>
      <c r="E11321" s="249"/>
      <c r="T11321" s="261"/>
    </row>
    <row r="11322" spans="2:20" x14ac:dyDescent="0.2">
      <c r="B11322" s="245"/>
      <c r="C11322" s="248"/>
      <c r="D11322" s="249"/>
      <c r="E11322" s="249"/>
      <c r="T11322" s="261"/>
    </row>
    <row r="11323" spans="2:20" x14ac:dyDescent="0.2">
      <c r="B11323" s="245"/>
      <c r="C11323" s="248"/>
      <c r="D11323" s="249"/>
      <c r="E11323" s="249"/>
      <c r="T11323" s="261"/>
    </row>
    <row r="11324" spans="2:20" x14ac:dyDescent="0.2">
      <c r="B11324" s="245"/>
      <c r="C11324" s="248"/>
      <c r="D11324" s="249"/>
      <c r="E11324" s="249"/>
      <c r="T11324" s="261"/>
    </row>
    <row r="11325" spans="2:20" x14ac:dyDescent="0.2">
      <c r="B11325" s="245"/>
      <c r="C11325" s="248"/>
      <c r="D11325" s="249"/>
      <c r="E11325" s="249"/>
      <c r="T11325" s="261"/>
    </row>
    <row r="11326" spans="2:20" x14ac:dyDescent="0.2">
      <c r="B11326" s="245"/>
      <c r="C11326" s="248"/>
      <c r="D11326" s="249"/>
      <c r="E11326" s="249"/>
      <c r="T11326" s="261"/>
    </row>
    <row r="11327" spans="2:20" x14ac:dyDescent="0.2">
      <c r="B11327" s="245"/>
      <c r="C11327" s="248"/>
      <c r="D11327" s="249"/>
      <c r="E11327" s="249"/>
      <c r="T11327" s="261"/>
    </row>
    <row r="11328" spans="2:20" x14ac:dyDescent="0.2">
      <c r="B11328" s="245"/>
      <c r="C11328" s="248"/>
      <c r="D11328" s="249"/>
      <c r="E11328" s="249"/>
      <c r="T11328" s="261"/>
    </row>
    <row r="11329" spans="2:20" x14ac:dyDescent="0.2">
      <c r="B11329" s="245"/>
      <c r="C11329" s="248"/>
      <c r="D11329" s="249"/>
      <c r="E11329" s="249"/>
      <c r="T11329" s="261"/>
    </row>
    <row r="11330" spans="2:20" x14ac:dyDescent="0.2">
      <c r="B11330" s="245"/>
      <c r="C11330" s="248"/>
      <c r="D11330" s="249"/>
      <c r="E11330" s="249"/>
      <c r="T11330" s="261"/>
    </row>
    <row r="11331" spans="2:20" x14ac:dyDescent="0.2">
      <c r="B11331" s="245"/>
      <c r="C11331" s="248"/>
      <c r="D11331" s="249"/>
      <c r="E11331" s="249"/>
      <c r="T11331" s="261"/>
    </row>
    <row r="11332" spans="2:20" x14ac:dyDescent="0.2">
      <c r="B11332" s="245"/>
      <c r="C11332" s="248"/>
      <c r="D11332" s="249"/>
      <c r="E11332" s="249"/>
      <c r="T11332" s="261"/>
    </row>
    <row r="11333" spans="2:20" x14ac:dyDescent="0.2">
      <c r="B11333" s="245"/>
      <c r="C11333" s="248"/>
      <c r="D11333" s="249"/>
      <c r="E11333" s="249"/>
      <c r="T11333" s="261"/>
    </row>
    <row r="11334" spans="2:20" x14ac:dyDescent="0.2">
      <c r="B11334" s="245"/>
      <c r="C11334" s="248"/>
      <c r="D11334" s="249"/>
      <c r="E11334" s="249"/>
      <c r="T11334" s="261"/>
    </row>
    <row r="11335" spans="2:20" x14ac:dyDescent="0.2">
      <c r="B11335" s="245"/>
      <c r="C11335" s="248"/>
      <c r="D11335" s="249"/>
      <c r="E11335" s="249"/>
      <c r="T11335" s="261"/>
    </row>
    <row r="11336" spans="2:20" x14ac:dyDescent="0.2">
      <c r="B11336" s="245"/>
      <c r="C11336" s="248"/>
      <c r="D11336" s="249"/>
      <c r="E11336" s="249"/>
      <c r="T11336" s="261"/>
    </row>
    <row r="11337" spans="2:20" x14ac:dyDescent="0.2">
      <c r="B11337" s="245"/>
      <c r="C11337" s="248"/>
      <c r="D11337" s="249"/>
      <c r="E11337" s="249"/>
      <c r="T11337" s="261"/>
    </row>
    <row r="11338" spans="2:20" x14ac:dyDescent="0.2">
      <c r="B11338" s="245"/>
      <c r="C11338" s="248"/>
      <c r="D11338" s="249"/>
      <c r="E11338" s="249"/>
      <c r="T11338" s="261"/>
    </row>
    <row r="11339" spans="2:20" x14ac:dyDescent="0.2">
      <c r="B11339" s="245"/>
      <c r="C11339" s="248"/>
      <c r="D11339" s="249"/>
      <c r="E11339" s="249"/>
      <c r="T11339" s="261"/>
    </row>
    <row r="11340" spans="2:20" x14ac:dyDescent="0.2">
      <c r="B11340" s="245"/>
      <c r="C11340" s="248"/>
      <c r="D11340" s="249"/>
      <c r="E11340" s="249"/>
      <c r="T11340" s="261"/>
    </row>
    <row r="11341" spans="2:20" x14ac:dyDescent="0.2">
      <c r="B11341" s="245"/>
      <c r="C11341" s="248"/>
      <c r="D11341" s="249"/>
      <c r="E11341" s="249"/>
      <c r="T11341" s="261"/>
    </row>
    <row r="11342" spans="2:20" x14ac:dyDescent="0.2">
      <c r="B11342" s="245"/>
      <c r="C11342" s="248"/>
      <c r="D11342" s="249"/>
      <c r="E11342" s="249"/>
      <c r="T11342" s="261"/>
    </row>
    <row r="11343" spans="2:20" x14ac:dyDescent="0.2">
      <c r="B11343" s="245"/>
      <c r="C11343" s="248"/>
      <c r="D11343" s="249"/>
      <c r="E11343" s="249"/>
      <c r="T11343" s="261"/>
    </row>
    <row r="11344" spans="2:20" x14ac:dyDescent="0.2">
      <c r="B11344" s="245"/>
      <c r="C11344" s="248"/>
      <c r="D11344" s="249"/>
      <c r="E11344" s="249"/>
      <c r="T11344" s="261"/>
    </row>
    <row r="11345" spans="2:20" x14ac:dyDescent="0.2">
      <c r="B11345" s="245"/>
      <c r="C11345" s="248"/>
      <c r="D11345" s="249"/>
      <c r="E11345" s="249"/>
      <c r="T11345" s="261"/>
    </row>
    <row r="11346" spans="2:20" x14ac:dyDescent="0.2">
      <c r="B11346" s="245"/>
      <c r="C11346" s="248"/>
      <c r="D11346" s="249"/>
      <c r="E11346" s="249"/>
      <c r="T11346" s="261"/>
    </row>
    <row r="11347" spans="2:20" x14ac:dyDescent="0.2">
      <c r="B11347" s="245"/>
      <c r="C11347" s="248"/>
      <c r="D11347" s="249"/>
      <c r="E11347" s="249"/>
      <c r="T11347" s="261"/>
    </row>
    <row r="11348" spans="2:20" x14ac:dyDescent="0.2">
      <c r="B11348" s="245"/>
      <c r="C11348" s="248"/>
      <c r="D11348" s="249"/>
      <c r="E11348" s="249"/>
      <c r="T11348" s="261"/>
    </row>
    <row r="11349" spans="2:20" x14ac:dyDescent="0.2">
      <c r="B11349" s="245"/>
      <c r="C11349" s="248"/>
      <c r="D11349" s="249"/>
      <c r="E11349" s="249"/>
      <c r="T11349" s="261"/>
    </row>
    <row r="11350" spans="2:20" x14ac:dyDescent="0.2">
      <c r="B11350" s="245"/>
      <c r="C11350" s="248"/>
      <c r="D11350" s="249"/>
      <c r="E11350" s="249"/>
      <c r="T11350" s="261"/>
    </row>
    <row r="11351" spans="2:20" x14ac:dyDescent="0.2">
      <c r="B11351" s="245"/>
      <c r="C11351" s="248"/>
      <c r="D11351" s="249"/>
      <c r="E11351" s="249"/>
      <c r="T11351" s="261"/>
    </row>
    <row r="11352" spans="2:20" x14ac:dyDescent="0.2">
      <c r="B11352" s="245"/>
      <c r="C11352" s="248"/>
      <c r="D11352" s="249"/>
      <c r="E11352" s="249"/>
      <c r="T11352" s="261"/>
    </row>
    <row r="11353" spans="2:20" x14ac:dyDescent="0.2">
      <c r="B11353" s="245"/>
      <c r="C11353" s="248"/>
      <c r="D11353" s="249"/>
      <c r="E11353" s="249"/>
      <c r="T11353" s="261"/>
    </row>
    <row r="11354" spans="2:20" x14ac:dyDescent="0.2">
      <c r="B11354" s="245"/>
      <c r="C11354" s="248"/>
      <c r="D11354" s="249"/>
      <c r="E11354" s="249"/>
      <c r="T11354" s="261"/>
    </row>
    <row r="11355" spans="2:20" x14ac:dyDescent="0.2">
      <c r="B11355" s="245"/>
      <c r="C11355" s="248"/>
      <c r="D11355" s="249"/>
      <c r="E11355" s="249"/>
      <c r="T11355" s="261"/>
    </row>
    <row r="11356" spans="2:20" x14ac:dyDescent="0.2">
      <c r="B11356" s="245"/>
      <c r="C11356" s="248"/>
      <c r="D11356" s="249"/>
      <c r="E11356" s="249"/>
      <c r="T11356" s="261"/>
    </row>
    <row r="11357" spans="2:20" x14ac:dyDescent="0.2">
      <c r="B11357" s="245"/>
      <c r="C11357" s="248"/>
      <c r="D11357" s="249"/>
      <c r="E11357" s="249"/>
      <c r="T11357" s="261"/>
    </row>
    <row r="11358" spans="2:20" x14ac:dyDescent="0.2">
      <c r="B11358" s="245"/>
      <c r="C11358" s="248"/>
      <c r="D11358" s="249"/>
      <c r="E11358" s="249"/>
      <c r="T11358" s="261"/>
    </row>
    <row r="11359" spans="2:20" x14ac:dyDescent="0.2">
      <c r="B11359" s="245"/>
      <c r="C11359" s="248"/>
      <c r="D11359" s="249"/>
      <c r="E11359" s="249"/>
      <c r="T11359" s="261"/>
    </row>
    <row r="11360" spans="2:20" x14ac:dyDescent="0.2">
      <c r="B11360" s="245"/>
      <c r="C11360" s="248"/>
      <c r="D11360" s="249"/>
      <c r="E11360" s="249"/>
      <c r="T11360" s="261"/>
    </row>
    <row r="11361" spans="2:20" x14ac:dyDescent="0.2">
      <c r="B11361" s="245"/>
      <c r="C11361" s="248"/>
      <c r="D11361" s="249"/>
      <c r="E11361" s="249"/>
      <c r="T11361" s="261"/>
    </row>
    <row r="11362" spans="2:20" x14ac:dyDescent="0.2">
      <c r="B11362" s="245"/>
      <c r="C11362" s="248"/>
      <c r="D11362" s="249"/>
      <c r="E11362" s="249"/>
      <c r="T11362" s="261"/>
    </row>
    <row r="11363" spans="2:20" x14ac:dyDescent="0.2">
      <c r="B11363" s="245"/>
      <c r="C11363" s="248"/>
      <c r="D11363" s="249"/>
      <c r="E11363" s="249"/>
      <c r="T11363" s="261"/>
    </row>
    <row r="11364" spans="2:20" x14ac:dyDescent="0.2">
      <c r="B11364" s="245"/>
      <c r="C11364" s="248"/>
      <c r="D11364" s="249"/>
      <c r="E11364" s="249"/>
      <c r="T11364" s="261"/>
    </row>
    <row r="11365" spans="2:20" x14ac:dyDescent="0.2">
      <c r="B11365" s="245"/>
      <c r="C11365" s="248"/>
      <c r="D11365" s="249"/>
      <c r="E11365" s="249"/>
      <c r="T11365" s="261"/>
    </row>
    <row r="11366" spans="2:20" x14ac:dyDescent="0.2">
      <c r="B11366" s="245"/>
      <c r="C11366" s="248"/>
      <c r="D11366" s="249"/>
      <c r="E11366" s="249"/>
      <c r="T11366" s="261"/>
    </row>
    <row r="11367" spans="2:20" x14ac:dyDescent="0.2">
      <c r="B11367" s="245"/>
      <c r="C11367" s="248"/>
      <c r="D11367" s="249"/>
      <c r="E11367" s="249"/>
      <c r="T11367" s="261"/>
    </row>
    <row r="11368" spans="2:20" x14ac:dyDescent="0.2">
      <c r="B11368" s="245"/>
      <c r="C11368" s="248"/>
      <c r="D11368" s="249"/>
      <c r="E11368" s="249"/>
      <c r="T11368" s="261"/>
    </row>
    <row r="11369" spans="2:20" x14ac:dyDescent="0.2">
      <c r="B11369" s="245"/>
      <c r="C11369" s="248"/>
      <c r="D11369" s="249"/>
      <c r="E11369" s="249"/>
      <c r="T11369" s="261"/>
    </row>
    <row r="11370" spans="2:20" x14ac:dyDescent="0.2">
      <c r="B11370" s="245"/>
      <c r="C11370" s="248"/>
      <c r="D11370" s="249"/>
      <c r="E11370" s="249"/>
      <c r="T11370" s="261"/>
    </row>
    <row r="11371" spans="2:20" x14ac:dyDescent="0.2">
      <c r="B11371" s="245"/>
      <c r="C11371" s="248"/>
      <c r="D11371" s="249"/>
      <c r="E11371" s="249"/>
      <c r="T11371" s="261"/>
    </row>
    <row r="11372" spans="2:20" x14ac:dyDescent="0.2">
      <c r="B11372" s="245"/>
      <c r="C11372" s="248"/>
      <c r="D11372" s="249"/>
      <c r="E11372" s="249"/>
      <c r="T11372" s="261"/>
    </row>
    <row r="11373" spans="2:20" x14ac:dyDescent="0.2">
      <c r="B11373" s="245"/>
      <c r="C11373" s="248"/>
      <c r="D11373" s="249"/>
      <c r="E11373" s="249"/>
      <c r="T11373" s="261"/>
    </row>
    <row r="11374" spans="2:20" x14ac:dyDescent="0.2">
      <c r="B11374" s="245"/>
      <c r="C11374" s="248"/>
      <c r="D11374" s="249"/>
      <c r="E11374" s="249"/>
      <c r="T11374" s="261"/>
    </row>
    <row r="11375" spans="2:20" x14ac:dyDescent="0.2">
      <c r="B11375" s="245"/>
      <c r="C11375" s="248"/>
      <c r="D11375" s="249"/>
      <c r="E11375" s="249"/>
      <c r="T11375" s="261"/>
    </row>
    <row r="11376" spans="2:20" x14ac:dyDescent="0.2">
      <c r="B11376" s="245"/>
      <c r="C11376" s="248"/>
      <c r="D11376" s="249"/>
      <c r="E11376" s="249"/>
      <c r="T11376" s="261"/>
    </row>
    <row r="11377" spans="2:20" x14ac:dyDescent="0.2">
      <c r="B11377" s="245"/>
      <c r="C11377" s="248"/>
      <c r="D11377" s="249"/>
      <c r="E11377" s="249"/>
      <c r="T11377" s="261"/>
    </row>
    <row r="11378" spans="2:20" x14ac:dyDescent="0.2">
      <c r="B11378" s="245"/>
      <c r="C11378" s="248"/>
      <c r="D11378" s="249"/>
      <c r="E11378" s="249"/>
      <c r="T11378" s="261"/>
    </row>
    <row r="11379" spans="2:20" x14ac:dyDescent="0.2">
      <c r="B11379" s="245"/>
      <c r="C11379" s="248"/>
      <c r="D11379" s="249"/>
      <c r="E11379" s="249"/>
      <c r="T11379" s="261"/>
    </row>
    <row r="11380" spans="2:20" x14ac:dyDescent="0.2">
      <c r="B11380" s="245"/>
      <c r="C11380" s="248"/>
      <c r="D11380" s="249"/>
      <c r="E11380" s="249"/>
      <c r="T11380" s="261"/>
    </row>
    <row r="11381" spans="2:20" x14ac:dyDescent="0.2">
      <c r="B11381" s="245"/>
      <c r="C11381" s="248"/>
      <c r="D11381" s="249"/>
      <c r="E11381" s="249"/>
      <c r="T11381" s="261"/>
    </row>
    <row r="11382" spans="2:20" x14ac:dyDescent="0.2">
      <c r="B11382" s="245"/>
      <c r="C11382" s="248"/>
      <c r="D11382" s="249"/>
      <c r="E11382" s="249"/>
      <c r="T11382" s="261"/>
    </row>
    <row r="11383" spans="2:20" x14ac:dyDescent="0.2">
      <c r="B11383" s="245"/>
      <c r="C11383" s="248"/>
      <c r="D11383" s="249"/>
      <c r="E11383" s="249"/>
      <c r="T11383" s="261"/>
    </row>
    <row r="11384" spans="2:20" x14ac:dyDescent="0.2">
      <c r="B11384" s="245"/>
      <c r="C11384" s="248"/>
      <c r="D11384" s="249"/>
      <c r="E11384" s="249"/>
      <c r="T11384" s="261"/>
    </row>
    <row r="11385" spans="2:20" x14ac:dyDescent="0.2">
      <c r="B11385" s="245"/>
      <c r="C11385" s="248"/>
      <c r="D11385" s="249"/>
      <c r="E11385" s="249"/>
      <c r="T11385" s="261"/>
    </row>
    <row r="11386" spans="2:20" x14ac:dyDescent="0.2">
      <c r="B11386" s="245"/>
      <c r="C11386" s="248"/>
      <c r="D11386" s="249"/>
      <c r="E11386" s="249"/>
      <c r="T11386" s="261"/>
    </row>
    <row r="11387" spans="2:20" x14ac:dyDescent="0.2">
      <c r="B11387" s="245"/>
      <c r="C11387" s="248"/>
      <c r="D11387" s="249"/>
      <c r="E11387" s="249"/>
      <c r="T11387" s="261"/>
    </row>
    <row r="11388" spans="2:20" x14ac:dyDescent="0.2">
      <c r="B11388" s="245"/>
      <c r="C11388" s="248"/>
      <c r="D11388" s="249"/>
      <c r="E11388" s="249"/>
      <c r="T11388" s="261"/>
    </row>
    <row r="11389" spans="2:20" x14ac:dyDescent="0.2">
      <c r="B11389" s="245"/>
      <c r="C11389" s="248"/>
      <c r="D11389" s="249"/>
      <c r="E11389" s="249"/>
      <c r="T11389" s="261"/>
    </row>
    <row r="11390" spans="2:20" x14ac:dyDescent="0.2">
      <c r="B11390" s="245"/>
      <c r="C11390" s="248"/>
      <c r="D11390" s="249"/>
      <c r="E11390" s="249"/>
      <c r="T11390" s="261"/>
    </row>
    <row r="11391" spans="2:20" x14ac:dyDescent="0.2">
      <c r="B11391" s="245"/>
      <c r="C11391" s="248"/>
      <c r="D11391" s="249"/>
      <c r="E11391" s="249"/>
      <c r="T11391" s="261"/>
    </row>
    <row r="11392" spans="2:20" x14ac:dyDescent="0.2">
      <c r="B11392" s="245"/>
      <c r="C11392" s="248"/>
      <c r="D11392" s="249"/>
      <c r="E11392" s="249"/>
      <c r="T11392" s="261"/>
    </row>
    <row r="11393" spans="2:20" x14ac:dyDescent="0.2">
      <c r="B11393" s="245"/>
      <c r="C11393" s="248"/>
      <c r="D11393" s="249"/>
      <c r="E11393" s="249"/>
      <c r="T11393" s="261"/>
    </row>
    <row r="11394" spans="2:20" x14ac:dyDescent="0.2">
      <c r="B11394" s="245"/>
      <c r="C11394" s="248"/>
      <c r="D11394" s="249"/>
      <c r="E11394" s="249"/>
      <c r="T11394" s="261"/>
    </row>
    <row r="11395" spans="2:20" x14ac:dyDescent="0.2">
      <c r="B11395" s="245"/>
      <c r="C11395" s="248"/>
      <c r="D11395" s="249"/>
      <c r="E11395" s="249"/>
      <c r="T11395" s="261"/>
    </row>
    <row r="11396" spans="2:20" x14ac:dyDescent="0.2">
      <c r="B11396" s="245"/>
      <c r="C11396" s="248"/>
      <c r="D11396" s="249"/>
      <c r="E11396" s="249"/>
      <c r="T11396" s="261"/>
    </row>
    <row r="11397" spans="2:20" x14ac:dyDescent="0.2">
      <c r="B11397" s="245"/>
      <c r="C11397" s="248"/>
      <c r="D11397" s="249"/>
      <c r="E11397" s="249"/>
      <c r="T11397" s="261"/>
    </row>
    <row r="11398" spans="2:20" x14ac:dyDescent="0.2">
      <c r="B11398" s="245"/>
      <c r="C11398" s="248"/>
      <c r="D11398" s="249"/>
      <c r="E11398" s="249"/>
      <c r="T11398" s="261"/>
    </row>
    <row r="11399" spans="2:20" x14ac:dyDescent="0.2">
      <c r="B11399" s="245"/>
      <c r="C11399" s="248"/>
      <c r="D11399" s="249"/>
      <c r="E11399" s="249"/>
      <c r="T11399" s="261"/>
    </row>
    <row r="11400" spans="2:20" x14ac:dyDescent="0.2">
      <c r="B11400" s="245"/>
      <c r="C11400" s="248"/>
      <c r="D11400" s="249"/>
      <c r="E11400" s="249"/>
      <c r="T11400" s="261"/>
    </row>
    <row r="11401" spans="2:20" x14ac:dyDescent="0.2">
      <c r="B11401" s="245"/>
      <c r="C11401" s="248"/>
      <c r="D11401" s="249"/>
      <c r="E11401" s="249"/>
      <c r="T11401" s="261"/>
    </row>
    <row r="11402" spans="2:20" x14ac:dyDescent="0.2">
      <c r="B11402" s="245"/>
      <c r="C11402" s="248"/>
      <c r="D11402" s="249"/>
      <c r="E11402" s="249"/>
      <c r="T11402" s="261"/>
    </row>
    <row r="11403" spans="2:20" x14ac:dyDescent="0.2">
      <c r="B11403" s="245"/>
      <c r="C11403" s="248"/>
      <c r="D11403" s="249"/>
      <c r="E11403" s="249"/>
      <c r="T11403" s="261"/>
    </row>
    <row r="11404" spans="2:20" x14ac:dyDescent="0.2">
      <c r="B11404" s="245"/>
      <c r="C11404" s="248"/>
      <c r="D11404" s="249"/>
      <c r="E11404" s="249"/>
      <c r="T11404" s="261"/>
    </row>
    <row r="11405" spans="2:20" x14ac:dyDescent="0.2">
      <c r="B11405" s="245"/>
      <c r="C11405" s="248"/>
      <c r="D11405" s="249"/>
      <c r="E11405" s="249"/>
      <c r="T11405" s="261"/>
    </row>
    <row r="11406" spans="2:20" x14ac:dyDescent="0.2">
      <c r="B11406" s="245"/>
      <c r="C11406" s="248"/>
      <c r="D11406" s="249"/>
      <c r="E11406" s="249"/>
      <c r="T11406" s="261"/>
    </row>
    <row r="11407" spans="2:20" x14ac:dyDescent="0.2">
      <c r="B11407" s="245"/>
      <c r="C11407" s="248"/>
      <c r="D11407" s="249"/>
      <c r="E11407" s="249"/>
      <c r="T11407" s="261"/>
    </row>
    <row r="11408" spans="2:20" x14ac:dyDescent="0.2">
      <c r="B11408" s="245"/>
      <c r="C11408" s="248"/>
      <c r="D11408" s="249"/>
      <c r="E11408" s="249"/>
      <c r="T11408" s="261"/>
    </row>
    <row r="11409" spans="2:20" x14ac:dyDescent="0.2">
      <c r="B11409" s="245"/>
      <c r="C11409" s="248"/>
      <c r="D11409" s="249"/>
      <c r="E11409" s="249"/>
      <c r="T11409" s="261"/>
    </row>
    <row r="11410" spans="2:20" x14ac:dyDescent="0.2">
      <c r="B11410" s="245"/>
      <c r="C11410" s="248"/>
      <c r="D11410" s="249"/>
      <c r="E11410" s="249"/>
      <c r="T11410" s="261"/>
    </row>
    <row r="11411" spans="2:20" x14ac:dyDescent="0.2">
      <c r="B11411" s="245"/>
      <c r="C11411" s="248"/>
      <c r="D11411" s="249"/>
      <c r="E11411" s="249"/>
      <c r="T11411" s="261"/>
    </row>
    <row r="11412" spans="2:20" x14ac:dyDescent="0.2">
      <c r="B11412" s="245"/>
      <c r="C11412" s="248"/>
      <c r="D11412" s="249"/>
      <c r="E11412" s="249"/>
      <c r="T11412" s="261"/>
    </row>
    <row r="11413" spans="2:20" x14ac:dyDescent="0.2">
      <c r="B11413" s="245"/>
      <c r="C11413" s="248"/>
      <c r="D11413" s="249"/>
      <c r="E11413" s="249"/>
      <c r="T11413" s="261"/>
    </row>
    <row r="11414" spans="2:20" x14ac:dyDescent="0.2">
      <c r="B11414" s="245"/>
      <c r="C11414" s="248"/>
      <c r="D11414" s="249"/>
      <c r="E11414" s="249"/>
      <c r="T11414" s="261"/>
    </row>
    <row r="11415" spans="2:20" x14ac:dyDescent="0.2">
      <c r="B11415" s="245"/>
      <c r="C11415" s="248"/>
      <c r="D11415" s="249"/>
      <c r="E11415" s="249"/>
      <c r="T11415" s="261"/>
    </row>
    <row r="11416" spans="2:20" x14ac:dyDescent="0.2">
      <c r="B11416" s="245"/>
      <c r="C11416" s="248"/>
      <c r="D11416" s="249"/>
      <c r="E11416" s="249"/>
      <c r="T11416" s="261"/>
    </row>
    <row r="11417" spans="2:20" x14ac:dyDescent="0.2">
      <c r="B11417" s="245"/>
      <c r="C11417" s="248"/>
      <c r="D11417" s="249"/>
      <c r="E11417" s="249"/>
      <c r="T11417" s="261"/>
    </row>
    <row r="11418" spans="2:20" x14ac:dyDescent="0.2">
      <c r="B11418" s="245"/>
      <c r="C11418" s="248"/>
      <c r="D11418" s="249"/>
      <c r="E11418" s="249"/>
      <c r="T11418" s="261"/>
    </row>
    <row r="11419" spans="2:20" x14ac:dyDescent="0.2">
      <c r="B11419" s="245"/>
      <c r="C11419" s="248"/>
      <c r="D11419" s="249"/>
      <c r="E11419" s="249"/>
      <c r="T11419" s="261"/>
    </row>
    <row r="11420" spans="2:20" x14ac:dyDescent="0.2">
      <c r="B11420" s="245"/>
      <c r="C11420" s="248"/>
      <c r="D11420" s="249"/>
      <c r="E11420" s="249"/>
      <c r="T11420" s="261"/>
    </row>
    <row r="11421" spans="2:20" x14ac:dyDescent="0.2">
      <c r="B11421" s="245"/>
      <c r="C11421" s="248"/>
      <c r="D11421" s="249"/>
      <c r="E11421" s="249"/>
      <c r="T11421" s="261"/>
    </row>
    <row r="11422" spans="2:20" x14ac:dyDescent="0.2">
      <c r="B11422" s="245"/>
      <c r="C11422" s="248"/>
      <c r="D11422" s="249"/>
      <c r="E11422" s="249"/>
      <c r="T11422" s="261"/>
    </row>
    <row r="11423" spans="2:20" x14ac:dyDescent="0.2">
      <c r="B11423" s="245"/>
      <c r="C11423" s="248"/>
      <c r="D11423" s="249"/>
      <c r="E11423" s="249"/>
      <c r="T11423" s="261"/>
    </row>
    <row r="11424" spans="2:20" x14ac:dyDescent="0.2">
      <c r="B11424" s="245"/>
      <c r="C11424" s="248"/>
      <c r="D11424" s="249"/>
      <c r="E11424" s="249"/>
      <c r="T11424" s="261"/>
    </row>
    <row r="11425" spans="2:20" x14ac:dyDescent="0.2">
      <c r="B11425" s="245"/>
      <c r="C11425" s="248"/>
      <c r="D11425" s="249"/>
      <c r="E11425" s="249"/>
      <c r="T11425" s="261"/>
    </row>
    <row r="11426" spans="2:20" x14ac:dyDescent="0.2">
      <c r="B11426" s="245"/>
      <c r="C11426" s="248"/>
      <c r="D11426" s="249"/>
      <c r="E11426" s="249"/>
      <c r="T11426" s="261"/>
    </row>
    <row r="11427" spans="2:20" x14ac:dyDescent="0.2">
      <c r="B11427" s="245"/>
      <c r="C11427" s="248"/>
      <c r="D11427" s="249"/>
      <c r="E11427" s="249"/>
      <c r="T11427" s="261"/>
    </row>
    <row r="11428" spans="2:20" x14ac:dyDescent="0.2">
      <c r="B11428" s="245"/>
      <c r="C11428" s="248"/>
      <c r="D11428" s="249"/>
      <c r="E11428" s="249"/>
      <c r="T11428" s="261"/>
    </row>
    <row r="11429" spans="2:20" x14ac:dyDescent="0.2">
      <c r="B11429" s="245"/>
      <c r="C11429" s="248"/>
      <c r="D11429" s="249"/>
      <c r="E11429" s="249"/>
      <c r="T11429" s="261"/>
    </row>
    <row r="11430" spans="2:20" x14ac:dyDescent="0.2">
      <c r="B11430" s="245"/>
      <c r="C11430" s="248"/>
      <c r="D11430" s="249"/>
      <c r="E11430" s="249"/>
      <c r="T11430" s="261"/>
    </row>
    <row r="11431" spans="2:20" x14ac:dyDescent="0.2">
      <c r="B11431" s="245"/>
      <c r="C11431" s="248"/>
      <c r="D11431" s="249"/>
      <c r="E11431" s="249"/>
      <c r="T11431" s="261"/>
    </row>
    <row r="11432" spans="2:20" x14ac:dyDescent="0.2">
      <c r="B11432" s="245"/>
      <c r="C11432" s="248"/>
      <c r="D11432" s="249"/>
      <c r="E11432" s="249"/>
      <c r="T11432" s="261"/>
    </row>
    <row r="11433" spans="2:20" x14ac:dyDescent="0.2">
      <c r="B11433" s="245"/>
      <c r="C11433" s="248"/>
      <c r="D11433" s="249"/>
      <c r="E11433" s="249"/>
      <c r="T11433" s="261"/>
    </row>
    <row r="11434" spans="2:20" x14ac:dyDescent="0.2">
      <c r="B11434" s="245"/>
      <c r="C11434" s="248"/>
      <c r="D11434" s="249"/>
      <c r="E11434" s="249"/>
      <c r="T11434" s="261"/>
    </row>
    <row r="11435" spans="2:20" x14ac:dyDescent="0.2">
      <c r="B11435" s="245"/>
      <c r="C11435" s="248"/>
      <c r="D11435" s="249"/>
      <c r="E11435" s="249"/>
      <c r="T11435" s="261"/>
    </row>
    <row r="11436" spans="2:20" x14ac:dyDescent="0.2">
      <c r="B11436" s="245"/>
      <c r="C11436" s="248"/>
      <c r="D11436" s="249"/>
      <c r="E11436" s="249"/>
      <c r="T11436" s="261"/>
    </row>
    <row r="11437" spans="2:20" x14ac:dyDescent="0.2">
      <c r="B11437" s="245"/>
      <c r="C11437" s="248"/>
      <c r="D11437" s="249"/>
      <c r="E11437" s="249"/>
      <c r="T11437" s="261"/>
    </row>
    <row r="11438" spans="2:20" x14ac:dyDescent="0.2">
      <c r="B11438" s="245"/>
      <c r="C11438" s="248"/>
      <c r="D11438" s="249"/>
      <c r="E11438" s="249"/>
      <c r="T11438" s="261"/>
    </row>
    <row r="11439" spans="2:20" x14ac:dyDescent="0.2">
      <c r="B11439" s="245"/>
      <c r="C11439" s="248"/>
      <c r="D11439" s="249"/>
      <c r="E11439" s="249"/>
      <c r="T11439" s="261"/>
    </row>
    <row r="11440" spans="2:20" x14ac:dyDescent="0.2">
      <c r="B11440" s="245"/>
      <c r="C11440" s="248"/>
      <c r="D11440" s="249"/>
      <c r="E11440" s="249"/>
      <c r="T11440" s="261"/>
    </row>
    <row r="11441" spans="2:20" x14ac:dyDescent="0.2">
      <c r="B11441" s="245"/>
      <c r="C11441" s="248"/>
      <c r="D11441" s="249"/>
      <c r="E11441" s="249"/>
      <c r="T11441" s="261"/>
    </row>
    <row r="11442" spans="2:20" x14ac:dyDescent="0.2">
      <c r="B11442" s="245"/>
      <c r="C11442" s="248"/>
      <c r="D11442" s="249"/>
      <c r="E11442" s="249"/>
      <c r="T11442" s="261"/>
    </row>
    <row r="11443" spans="2:20" x14ac:dyDescent="0.2">
      <c r="B11443" s="245"/>
      <c r="C11443" s="248"/>
      <c r="D11443" s="249"/>
      <c r="E11443" s="249"/>
      <c r="T11443" s="261"/>
    </row>
    <row r="11444" spans="2:20" x14ac:dyDescent="0.2">
      <c r="B11444" s="245"/>
      <c r="C11444" s="248"/>
      <c r="D11444" s="249"/>
      <c r="E11444" s="249"/>
      <c r="T11444" s="261"/>
    </row>
    <row r="11445" spans="2:20" x14ac:dyDescent="0.2">
      <c r="B11445" s="245"/>
      <c r="C11445" s="248"/>
      <c r="D11445" s="249"/>
      <c r="E11445" s="249"/>
      <c r="T11445" s="261"/>
    </row>
    <row r="11446" spans="2:20" x14ac:dyDescent="0.2">
      <c r="B11446" s="245"/>
      <c r="C11446" s="248"/>
      <c r="D11446" s="249"/>
      <c r="E11446" s="249"/>
      <c r="T11446" s="261"/>
    </row>
    <row r="11447" spans="2:20" x14ac:dyDescent="0.2">
      <c r="B11447" s="245"/>
      <c r="C11447" s="248"/>
      <c r="D11447" s="249"/>
      <c r="E11447" s="249"/>
      <c r="T11447" s="261"/>
    </row>
    <row r="11448" spans="2:20" x14ac:dyDescent="0.2">
      <c r="B11448" s="245"/>
      <c r="C11448" s="248"/>
      <c r="D11448" s="249"/>
      <c r="E11448" s="249"/>
      <c r="T11448" s="261"/>
    </row>
    <row r="11449" spans="2:20" x14ac:dyDescent="0.2">
      <c r="B11449" s="245"/>
      <c r="C11449" s="248"/>
      <c r="D11449" s="249"/>
      <c r="E11449" s="249"/>
      <c r="T11449" s="261"/>
    </row>
    <row r="11450" spans="2:20" x14ac:dyDescent="0.2">
      <c r="B11450" s="245"/>
      <c r="C11450" s="248"/>
      <c r="D11450" s="249"/>
      <c r="E11450" s="249"/>
      <c r="T11450" s="261"/>
    </row>
    <row r="11451" spans="2:20" x14ac:dyDescent="0.2">
      <c r="B11451" s="245"/>
      <c r="C11451" s="248"/>
      <c r="D11451" s="249"/>
      <c r="E11451" s="249"/>
      <c r="T11451" s="261"/>
    </row>
    <row r="11452" spans="2:20" x14ac:dyDescent="0.2">
      <c r="B11452" s="245"/>
      <c r="C11452" s="248"/>
      <c r="D11452" s="249"/>
      <c r="E11452" s="249"/>
      <c r="T11452" s="261"/>
    </row>
    <row r="11453" spans="2:20" x14ac:dyDescent="0.2">
      <c r="B11453" s="245"/>
      <c r="C11453" s="248"/>
      <c r="D11453" s="249"/>
      <c r="E11453" s="249"/>
      <c r="T11453" s="261"/>
    </row>
    <row r="11454" spans="2:20" x14ac:dyDescent="0.2">
      <c r="B11454" s="245"/>
      <c r="C11454" s="248"/>
      <c r="D11454" s="249"/>
      <c r="E11454" s="249"/>
      <c r="T11454" s="261"/>
    </row>
    <row r="11455" spans="2:20" x14ac:dyDescent="0.2">
      <c r="B11455" s="245"/>
      <c r="C11455" s="248"/>
      <c r="D11455" s="249"/>
      <c r="E11455" s="249"/>
      <c r="T11455" s="261"/>
    </row>
    <row r="11456" spans="2:20" x14ac:dyDescent="0.2">
      <c r="B11456" s="245"/>
      <c r="C11456" s="248"/>
      <c r="D11456" s="249"/>
      <c r="E11456" s="249"/>
      <c r="T11456" s="261"/>
    </row>
    <row r="11457" spans="2:20" x14ac:dyDescent="0.2">
      <c r="B11457" s="245"/>
      <c r="C11457" s="248"/>
      <c r="D11457" s="249"/>
      <c r="E11457" s="249"/>
      <c r="T11457" s="261"/>
    </row>
    <row r="11458" spans="2:20" x14ac:dyDescent="0.2">
      <c r="B11458" s="245"/>
      <c r="C11458" s="248"/>
      <c r="D11458" s="249"/>
      <c r="E11458" s="249"/>
      <c r="T11458" s="261"/>
    </row>
    <row r="11459" spans="2:20" x14ac:dyDescent="0.2">
      <c r="B11459" s="245"/>
      <c r="C11459" s="248"/>
      <c r="D11459" s="249"/>
      <c r="E11459" s="249"/>
      <c r="T11459" s="261"/>
    </row>
    <row r="11460" spans="2:20" x14ac:dyDescent="0.2">
      <c r="B11460" s="245"/>
      <c r="C11460" s="248"/>
      <c r="D11460" s="249"/>
      <c r="E11460" s="249"/>
      <c r="T11460" s="261"/>
    </row>
    <row r="11461" spans="2:20" x14ac:dyDescent="0.2">
      <c r="B11461" s="245"/>
      <c r="C11461" s="248"/>
      <c r="D11461" s="249"/>
      <c r="E11461" s="249"/>
      <c r="T11461" s="261"/>
    </row>
    <row r="11462" spans="2:20" x14ac:dyDescent="0.2">
      <c r="B11462" s="245"/>
      <c r="C11462" s="248"/>
      <c r="D11462" s="249"/>
      <c r="E11462" s="249"/>
      <c r="T11462" s="261"/>
    </row>
    <row r="11463" spans="2:20" x14ac:dyDescent="0.2">
      <c r="B11463" s="245"/>
      <c r="C11463" s="248"/>
      <c r="D11463" s="249"/>
      <c r="E11463" s="249"/>
      <c r="T11463" s="261"/>
    </row>
    <row r="11464" spans="2:20" x14ac:dyDescent="0.2">
      <c r="B11464" s="245"/>
      <c r="C11464" s="248"/>
      <c r="D11464" s="249"/>
      <c r="E11464" s="249"/>
      <c r="T11464" s="261"/>
    </row>
    <row r="11465" spans="2:20" x14ac:dyDescent="0.2">
      <c r="B11465" s="245"/>
      <c r="C11465" s="248"/>
      <c r="D11465" s="249"/>
      <c r="E11465" s="249"/>
      <c r="T11465" s="261"/>
    </row>
    <row r="11466" spans="2:20" x14ac:dyDescent="0.2">
      <c r="B11466" s="245"/>
      <c r="C11466" s="248"/>
      <c r="D11466" s="249"/>
      <c r="E11466" s="249"/>
      <c r="T11466" s="261"/>
    </row>
    <row r="11467" spans="2:20" x14ac:dyDescent="0.2">
      <c r="B11467" s="245"/>
      <c r="C11467" s="248"/>
      <c r="D11467" s="249"/>
      <c r="E11467" s="249"/>
      <c r="T11467" s="261"/>
    </row>
    <row r="11468" spans="2:20" x14ac:dyDescent="0.2">
      <c r="B11468" s="245"/>
      <c r="C11468" s="248"/>
      <c r="D11468" s="249"/>
      <c r="E11468" s="249"/>
      <c r="T11468" s="261"/>
    </row>
    <row r="11469" spans="2:20" x14ac:dyDescent="0.2">
      <c r="B11469" s="245"/>
      <c r="C11469" s="248"/>
      <c r="D11469" s="249"/>
      <c r="E11469" s="249"/>
      <c r="T11469" s="261"/>
    </row>
    <row r="11470" spans="2:20" x14ac:dyDescent="0.2">
      <c r="B11470" s="245"/>
      <c r="C11470" s="248"/>
      <c r="D11470" s="249"/>
      <c r="E11470" s="249"/>
      <c r="T11470" s="261"/>
    </row>
    <row r="11471" spans="2:20" x14ac:dyDescent="0.2">
      <c r="B11471" s="245"/>
      <c r="C11471" s="248"/>
      <c r="D11471" s="249"/>
      <c r="E11471" s="249"/>
      <c r="T11471" s="261"/>
    </row>
    <row r="11472" spans="2:20" x14ac:dyDescent="0.2">
      <c r="B11472" s="245"/>
      <c r="C11472" s="248"/>
      <c r="D11472" s="249"/>
      <c r="E11472" s="249"/>
      <c r="T11472" s="261"/>
    </row>
    <row r="11473" spans="2:20" x14ac:dyDescent="0.2">
      <c r="B11473" s="245"/>
      <c r="C11473" s="248"/>
      <c r="D11473" s="249"/>
      <c r="E11473" s="249"/>
      <c r="T11473" s="261"/>
    </row>
    <row r="11474" spans="2:20" x14ac:dyDescent="0.2">
      <c r="B11474" s="245"/>
      <c r="C11474" s="248"/>
      <c r="D11474" s="249"/>
      <c r="E11474" s="249"/>
      <c r="T11474" s="261"/>
    </row>
    <row r="11475" spans="2:20" x14ac:dyDescent="0.2">
      <c r="B11475" s="245"/>
      <c r="C11475" s="248"/>
      <c r="D11475" s="249"/>
      <c r="E11475" s="249"/>
      <c r="T11475" s="261"/>
    </row>
    <row r="11476" spans="2:20" x14ac:dyDescent="0.2">
      <c r="B11476" s="245"/>
      <c r="C11476" s="248"/>
      <c r="D11476" s="249"/>
      <c r="E11476" s="249"/>
      <c r="T11476" s="261"/>
    </row>
    <row r="11477" spans="2:20" x14ac:dyDescent="0.2">
      <c r="B11477" s="245"/>
      <c r="C11477" s="248"/>
      <c r="D11477" s="249"/>
      <c r="E11477" s="249"/>
      <c r="T11477" s="261"/>
    </row>
    <row r="11478" spans="2:20" x14ac:dyDescent="0.2">
      <c r="B11478" s="245"/>
      <c r="C11478" s="248"/>
      <c r="D11478" s="249"/>
      <c r="E11478" s="249"/>
      <c r="T11478" s="261"/>
    </row>
    <row r="11479" spans="2:20" x14ac:dyDescent="0.2">
      <c r="B11479" s="245"/>
      <c r="C11479" s="248"/>
      <c r="D11479" s="249"/>
      <c r="E11479" s="249"/>
      <c r="T11479" s="261"/>
    </row>
    <row r="11480" spans="2:20" x14ac:dyDescent="0.2">
      <c r="B11480" s="245"/>
      <c r="C11480" s="248"/>
      <c r="D11480" s="249"/>
      <c r="E11480" s="249"/>
      <c r="T11480" s="261"/>
    </row>
    <row r="11481" spans="2:20" x14ac:dyDescent="0.2">
      <c r="B11481" s="245"/>
      <c r="C11481" s="248"/>
      <c r="D11481" s="249"/>
      <c r="E11481" s="249"/>
      <c r="T11481" s="261"/>
    </row>
    <row r="11482" spans="2:20" x14ac:dyDescent="0.2">
      <c r="B11482" s="245"/>
      <c r="C11482" s="248"/>
      <c r="D11482" s="249"/>
      <c r="E11482" s="249"/>
      <c r="T11482" s="261"/>
    </row>
    <row r="11483" spans="2:20" x14ac:dyDescent="0.2">
      <c r="B11483" s="245"/>
      <c r="C11483" s="248"/>
      <c r="D11483" s="249"/>
      <c r="E11483" s="249"/>
      <c r="T11483" s="261"/>
    </row>
    <row r="11484" spans="2:20" x14ac:dyDescent="0.2">
      <c r="B11484" s="245"/>
      <c r="C11484" s="248"/>
      <c r="D11484" s="249"/>
      <c r="E11484" s="249"/>
      <c r="T11484" s="261"/>
    </row>
    <row r="11485" spans="2:20" x14ac:dyDescent="0.2">
      <c r="B11485" s="245"/>
      <c r="C11485" s="248"/>
      <c r="D11485" s="249"/>
      <c r="E11485" s="249"/>
      <c r="T11485" s="261"/>
    </row>
    <row r="11486" spans="2:20" x14ac:dyDescent="0.2">
      <c r="B11486" s="245"/>
      <c r="C11486" s="248"/>
      <c r="D11486" s="249"/>
      <c r="E11486" s="249"/>
      <c r="T11486" s="261"/>
    </row>
    <row r="11487" spans="2:20" x14ac:dyDescent="0.2">
      <c r="B11487" s="245"/>
      <c r="C11487" s="248"/>
      <c r="D11487" s="249"/>
      <c r="E11487" s="249"/>
      <c r="T11487" s="261"/>
    </row>
    <row r="11488" spans="2:20" x14ac:dyDescent="0.2">
      <c r="B11488" s="245"/>
      <c r="C11488" s="248"/>
      <c r="D11488" s="249"/>
      <c r="E11488" s="249"/>
      <c r="T11488" s="261"/>
    </row>
    <row r="11489" spans="2:20" x14ac:dyDescent="0.2">
      <c r="B11489" s="245"/>
      <c r="C11489" s="248"/>
      <c r="D11489" s="249"/>
      <c r="E11489" s="249"/>
      <c r="T11489" s="261"/>
    </row>
    <row r="11490" spans="2:20" x14ac:dyDescent="0.2">
      <c r="B11490" s="245"/>
      <c r="C11490" s="248"/>
      <c r="D11490" s="249"/>
      <c r="E11490" s="249"/>
      <c r="T11490" s="261"/>
    </row>
    <row r="11491" spans="2:20" x14ac:dyDescent="0.2">
      <c r="B11491" s="245"/>
      <c r="C11491" s="248"/>
      <c r="D11491" s="249"/>
      <c r="E11491" s="249"/>
      <c r="T11491" s="261"/>
    </row>
    <row r="11492" spans="2:20" x14ac:dyDescent="0.2">
      <c r="B11492" s="245"/>
      <c r="C11492" s="248"/>
      <c r="D11492" s="249"/>
      <c r="E11492" s="249"/>
      <c r="T11492" s="261"/>
    </row>
    <row r="11493" spans="2:20" x14ac:dyDescent="0.2">
      <c r="B11493" s="245"/>
      <c r="C11493" s="248"/>
      <c r="D11493" s="249"/>
      <c r="E11493" s="249"/>
      <c r="T11493" s="261"/>
    </row>
    <row r="11494" spans="2:20" x14ac:dyDescent="0.2">
      <c r="B11494" s="245"/>
      <c r="C11494" s="248"/>
      <c r="D11494" s="249"/>
      <c r="E11494" s="249"/>
      <c r="T11494" s="261"/>
    </row>
    <row r="11495" spans="2:20" x14ac:dyDescent="0.2">
      <c r="B11495" s="245"/>
      <c r="C11495" s="248"/>
      <c r="D11495" s="249"/>
      <c r="E11495" s="249"/>
      <c r="T11495" s="261"/>
    </row>
    <row r="11496" spans="2:20" x14ac:dyDescent="0.2">
      <c r="B11496" s="245"/>
      <c r="C11496" s="248"/>
      <c r="D11496" s="249"/>
      <c r="E11496" s="249"/>
      <c r="T11496" s="261"/>
    </row>
    <row r="11497" spans="2:20" x14ac:dyDescent="0.2">
      <c r="B11497" s="245"/>
      <c r="C11497" s="248"/>
      <c r="D11497" s="249"/>
      <c r="E11497" s="249"/>
      <c r="T11497" s="261"/>
    </row>
    <row r="11498" spans="2:20" x14ac:dyDescent="0.2">
      <c r="B11498" s="245"/>
      <c r="C11498" s="248"/>
      <c r="D11498" s="249"/>
      <c r="E11498" s="249"/>
      <c r="T11498" s="261"/>
    </row>
    <row r="11499" spans="2:20" x14ac:dyDescent="0.2">
      <c r="B11499" s="245"/>
      <c r="C11499" s="248"/>
      <c r="D11499" s="249"/>
      <c r="E11499" s="249"/>
      <c r="T11499" s="261"/>
    </row>
    <row r="11500" spans="2:20" x14ac:dyDescent="0.2">
      <c r="B11500" s="245"/>
      <c r="C11500" s="248"/>
      <c r="D11500" s="249"/>
      <c r="E11500" s="249"/>
      <c r="T11500" s="261"/>
    </row>
    <row r="11501" spans="2:20" x14ac:dyDescent="0.2">
      <c r="B11501" s="245"/>
      <c r="C11501" s="248"/>
      <c r="D11501" s="249"/>
      <c r="E11501" s="249"/>
      <c r="T11501" s="261"/>
    </row>
    <row r="11502" spans="2:20" x14ac:dyDescent="0.2">
      <c r="B11502" s="245"/>
      <c r="C11502" s="248"/>
      <c r="D11502" s="249"/>
      <c r="E11502" s="249"/>
      <c r="T11502" s="261"/>
    </row>
    <row r="11503" spans="2:20" x14ac:dyDescent="0.2">
      <c r="B11503" s="245"/>
      <c r="C11503" s="248"/>
      <c r="D11503" s="249"/>
      <c r="E11503" s="249"/>
      <c r="T11503" s="261"/>
    </row>
    <row r="11504" spans="2:20" x14ac:dyDescent="0.2">
      <c r="B11504" s="245"/>
      <c r="C11504" s="248"/>
      <c r="D11504" s="249"/>
      <c r="E11504" s="249"/>
      <c r="T11504" s="261"/>
    </row>
    <row r="11505" spans="2:20" x14ac:dyDescent="0.2">
      <c r="B11505" s="245"/>
      <c r="C11505" s="248"/>
      <c r="D11505" s="249"/>
      <c r="E11505" s="249"/>
      <c r="T11505" s="261"/>
    </row>
    <row r="11506" spans="2:20" x14ac:dyDescent="0.2">
      <c r="B11506" s="245"/>
      <c r="C11506" s="248"/>
      <c r="D11506" s="249"/>
      <c r="E11506" s="249"/>
      <c r="T11506" s="261"/>
    </row>
    <row r="11507" spans="2:20" x14ac:dyDescent="0.2">
      <c r="B11507" s="245"/>
      <c r="C11507" s="248"/>
      <c r="D11507" s="249"/>
      <c r="E11507" s="249"/>
      <c r="T11507" s="261"/>
    </row>
    <row r="11508" spans="2:20" x14ac:dyDescent="0.2">
      <c r="B11508" s="245"/>
      <c r="C11508" s="248"/>
      <c r="D11508" s="249"/>
      <c r="E11508" s="249"/>
      <c r="T11508" s="261"/>
    </row>
    <row r="11509" spans="2:20" x14ac:dyDescent="0.2">
      <c r="B11509" s="245"/>
      <c r="C11509" s="248"/>
      <c r="D11509" s="249"/>
      <c r="E11509" s="249"/>
      <c r="T11509" s="261"/>
    </row>
    <row r="11510" spans="2:20" x14ac:dyDescent="0.2">
      <c r="B11510" s="245"/>
      <c r="C11510" s="248"/>
      <c r="D11510" s="249"/>
      <c r="E11510" s="249"/>
      <c r="T11510" s="261"/>
    </row>
    <row r="11511" spans="2:20" x14ac:dyDescent="0.2">
      <c r="B11511" s="245"/>
      <c r="C11511" s="248"/>
      <c r="D11511" s="249"/>
      <c r="E11511" s="249"/>
      <c r="T11511" s="261"/>
    </row>
    <row r="11512" spans="2:20" x14ac:dyDescent="0.2">
      <c r="B11512" s="245"/>
      <c r="C11512" s="248"/>
      <c r="D11512" s="249"/>
      <c r="E11512" s="249"/>
      <c r="T11512" s="261"/>
    </row>
    <row r="11513" spans="2:20" x14ac:dyDescent="0.2">
      <c r="B11513" s="245"/>
      <c r="C11513" s="248"/>
      <c r="D11513" s="249"/>
      <c r="E11513" s="249"/>
      <c r="T11513" s="261"/>
    </row>
    <row r="11514" spans="2:20" x14ac:dyDescent="0.2">
      <c r="B11514" s="245"/>
      <c r="C11514" s="248"/>
      <c r="D11514" s="249"/>
      <c r="E11514" s="249"/>
      <c r="T11514" s="261"/>
    </row>
    <row r="11515" spans="2:20" x14ac:dyDescent="0.2">
      <c r="B11515" s="245"/>
      <c r="C11515" s="248"/>
      <c r="D11515" s="249"/>
      <c r="E11515" s="249"/>
      <c r="T11515" s="261"/>
    </row>
    <row r="11516" spans="2:20" x14ac:dyDescent="0.2">
      <c r="B11516" s="245"/>
      <c r="C11516" s="248"/>
      <c r="D11516" s="249"/>
      <c r="E11516" s="249"/>
      <c r="T11516" s="261"/>
    </row>
    <row r="11517" spans="2:20" x14ac:dyDescent="0.2">
      <c r="B11517" s="245"/>
      <c r="C11517" s="248"/>
      <c r="D11517" s="249"/>
      <c r="E11517" s="249"/>
      <c r="T11517" s="261"/>
    </row>
    <row r="11518" spans="2:20" x14ac:dyDescent="0.2">
      <c r="B11518" s="245"/>
      <c r="C11518" s="248"/>
      <c r="D11518" s="249"/>
      <c r="E11518" s="249"/>
      <c r="T11518" s="261"/>
    </row>
    <row r="11519" spans="2:20" x14ac:dyDescent="0.2">
      <c r="B11519" s="245"/>
      <c r="C11519" s="248"/>
      <c r="D11519" s="249"/>
      <c r="E11519" s="249"/>
      <c r="T11519" s="261"/>
    </row>
    <row r="11520" spans="2:20" x14ac:dyDescent="0.2">
      <c r="B11520" s="245"/>
      <c r="C11520" s="248"/>
      <c r="D11520" s="249"/>
      <c r="E11520" s="249"/>
      <c r="T11520" s="261"/>
    </row>
    <row r="11521" spans="2:20" x14ac:dyDescent="0.2">
      <c r="B11521" s="245"/>
      <c r="C11521" s="248"/>
      <c r="D11521" s="249"/>
      <c r="E11521" s="249"/>
      <c r="T11521" s="261"/>
    </row>
    <row r="11522" spans="2:20" x14ac:dyDescent="0.2">
      <c r="B11522" s="245"/>
      <c r="C11522" s="248"/>
      <c r="D11522" s="249"/>
      <c r="E11522" s="249"/>
      <c r="T11522" s="261"/>
    </row>
    <row r="11523" spans="2:20" x14ac:dyDescent="0.2">
      <c r="B11523" s="245"/>
      <c r="C11523" s="248"/>
      <c r="D11523" s="249"/>
      <c r="E11523" s="249"/>
      <c r="T11523" s="261"/>
    </row>
    <row r="11524" spans="2:20" x14ac:dyDescent="0.2">
      <c r="B11524" s="245"/>
      <c r="C11524" s="248"/>
      <c r="D11524" s="249"/>
      <c r="E11524" s="249"/>
      <c r="T11524" s="261"/>
    </row>
    <row r="11525" spans="2:20" x14ac:dyDescent="0.2">
      <c r="B11525" s="245"/>
      <c r="C11525" s="248"/>
      <c r="D11525" s="249"/>
      <c r="E11525" s="249"/>
      <c r="T11525" s="261"/>
    </row>
    <row r="11526" spans="2:20" x14ac:dyDescent="0.2">
      <c r="B11526" s="245"/>
      <c r="C11526" s="248"/>
      <c r="D11526" s="249"/>
      <c r="E11526" s="249"/>
      <c r="T11526" s="261"/>
    </row>
    <row r="11527" spans="2:20" x14ac:dyDescent="0.2">
      <c r="B11527" s="245"/>
      <c r="C11527" s="248"/>
      <c r="D11527" s="249"/>
      <c r="E11527" s="249"/>
      <c r="T11527" s="261"/>
    </row>
    <row r="11528" spans="2:20" x14ac:dyDescent="0.2">
      <c r="B11528" s="245"/>
      <c r="C11528" s="248"/>
      <c r="D11528" s="249"/>
      <c r="E11528" s="249"/>
      <c r="T11528" s="261"/>
    </row>
    <row r="11529" spans="2:20" x14ac:dyDescent="0.2">
      <c r="B11529" s="245"/>
      <c r="C11529" s="248"/>
      <c r="D11529" s="249"/>
      <c r="E11529" s="249"/>
      <c r="T11529" s="261"/>
    </row>
    <row r="11530" spans="2:20" x14ac:dyDescent="0.2">
      <c r="B11530" s="245"/>
      <c r="C11530" s="248"/>
      <c r="D11530" s="249"/>
      <c r="E11530" s="249"/>
      <c r="T11530" s="261"/>
    </row>
    <row r="11531" spans="2:20" x14ac:dyDescent="0.2">
      <c r="B11531" s="245"/>
      <c r="C11531" s="248"/>
      <c r="D11531" s="249"/>
      <c r="E11531" s="249"/>
      <c r="T11531" s="261"/>
    </row>
    <row r="11532" spans="2:20" x14ac:dyDescent="0.2">
      <c r="B11532" s="245"/>
      <c r="C11532" s="248"/>
      <c r="D11532" s="249"/>
      <c r="E11532" s="249"/>
      <c r="T11532" s="261"/>
    </row>
    <row r="11533" spans="2:20" x14ac:dyDescent="0.2">
      <c r="B11533" s="245"/>
      <c r="C11533" s="248"/>
      <c r="D11533" s="249"/>
      <c r="E11533" s="249"/>
      <c r="T11533" s="261"/>
    </row>
    <row r="11534" spans="2:20" x14ac:dyDescent="0.2">
      <c r="B11534" s="245"/>
      <c r="C11534" s="248"/>
      <c r="D11534" s="249"/>
      <c r="E11534" s="249"/>
      <c r="T11534" s="261"/>
    </row>
    <row r="11535" spans="2:20" x14ac:dyDescent="0.2">
      <c r="B11535" s="245"/>
      <c r="C11535" s="248"/>
      <c r="D11535" s="249"/>
      <c r="E11535" s="249"/>
      <c r="T11535" s="261"/>
    </row>
    <row r="11536" spans="2:20" x14ac:dyDescent="0.2">
      <c r="B11536" s="245"/>
      <c r="C11536" s="248"/>
      <c r="D11536" s="249"/>
      <c r="E11536" s="249"/>
      <c r="T11536" s="261"/>
    </row>
    <row r="11537" spans="2:20" x14ac:dyDescent="0.2">
      <c r="B11537" s="245"/>
      <c r="C11537" s="248"/>
      <c r="D11537" s="249"/>
      <c r="E11537" s="249"/>
      <c r="T11537" s="261"/>
    </row>
    <row r="11538" spans="2:20" x14ac:dyDescent="0.2">
      <c r="B11538" s="245"/>
      <c r="C11538" s="248"/>
      <c r="D11538" s="249"/>
      <c r="E11538" s="249"/>
      <c r="T11538" s="261"/>
    </row>
    <row r="11539" spans="2:20" x14ac:dyDescent="0.2">
      <c r="B11539" s="245"/>
      <c r="C11539" s="248"/>
      <c r="D11539" s="249"/>
      <c r="E11539" s="249"/>
      <c r="T11539" s="261"/>
    </row>
    <row r="11540" spans="2:20" x14ac:dyDescent="0.2">
      <c r="B11540" s="245"/>
      <c r="C11540" s="248"/>
      <c r="D11540" s="249"/>
      <c r="E11540" s="249"/>
      <c r="T11540" s="261"/>
    </row>
    <row r="11541" spans="2:20" x14ac:dyDescent="0.2">
      <c r="B11541" s="245"/>
      <c r="C11541" s="248"/>
      <c r="D11541" s="249"/>
      <c r="E11541" s="249"/>
      <c r="T11541" s="261"/>
    </row>
    <row r="11542" spans="2:20" x14ac:dyDescent="0.2">
      <c r="B11542" s="245"/>
      <c r="C11542" s="248"/>
      <c r="D11542" s="249"/>
      <c r="E11542" s="249"/>
      <c r="T11542" s="261"/>
    </row>
    <row r="11543" spans="2:20" x14ac:dyDescent="0.2">
      <c r="B11543" s="245"/>
      <c r="C11543" s="248"/>
      <c r="D11543" s="249"/>
      <c r="E11543" s="249"/>
      <c r="T11543" s="261"/>
    </row>
    <row r="11544" spans="2:20" x14ac:dyDescent="0.2">
      <c r="B11544" s="245"/>
      <c r="C11544" s="248"/>
      <c r="D11544" s="249"/>
      <c r="E11544" s="249"/>
      <c r="T11544" s="261"/>
    </row>
    <row r="11545" spans="2:20" x14ac:dyDescent="0.2">
      <c r="B11545" s="245"/>
      <c r="C11545" s="248"/>
      <c r="D11545" s="249"/>
      <c r="E11545" s="249"/>
      <c r="T11545" s="261"/>
    </row>
    <row r="11546" spans="2:20" x14ac:dyDescent="0.2">
      <c r="B11546" s="245"/>
      <c r="C11546" s="248"/>
      <c r="D11546" s="249"/>
      <c r="E11546" s="249"/>
      <c r="T11546" s="261"/>
    </row>
    <row r="11547" spans="2:20" x14ac:dyDescent="0.2">
      <c r="B11547" s="245"/>
      <c r="C11547" s="248"/>
      <c r="D11547" s="249"/>
      <c r="E11547" s="249"/>
      <c r="T11547" s="261"/>
    </row>
    <row r="11548" spans="2:20" x14ac:dyDescent="0.2">
      <c r="B11548" s="245"/>
      <c r="C11548" s="248"/>
      <c r="D11548" s="249"/>
      <c r="E11548" s="249"/>
      <c r="T11548" s="261"/>
    </row>
    <row r="11549" spans="2:20" x14ac:dyDescent="0.2">
      <c r="B11549" s="245"/>
      <c r="C11549" s="248"/>
      <c r="D11549" s="249"/>
      <c r="E11549" s="249"/>
      <c r="T11549" s="261"/>
    </row>
    <row r="11550" spans="2:20" x14ac:dyDescent="0.2">
      <c r="B11550" s="245"/>
      <c r="C11550" s="248"/>
      <c r="D11550" s="249"/>
      <c r="E11550" s="249"/>
      <c r="T11550" s="261"/>
    </row>
    <row r="11551" spans="2:20" x14ac:dyDescent="0.2">
      <c r="B11551" s="245"/>
      <c r="C11551" s="248"/>
      <c r="D11551" s="249"/>
      <c r="E11551" s="249"/>
      <c r="T11551" s="261"/>
    </row>
    <row r="11552" spans="2:20" x14ac:dyDescent="0.2">
      <c r="B11552" s="245"/>
      <c r="C11552" s="248"/>
      <c r="D11552" s="249"/>
      <c r="E11552" s="249"/>
      <c r="T11552" s="261"/>
    </row>
    <row r="11553" spans="2:20" x14ac:dyDescent="0.2">
      <c r="B11553" s="245"/>
      <c r="C11553" s="248"/>
      <c r="D11553" s="249"/>
      <c r="E11553" s="249"/>
      <c r="T11553" s="261"/>
    </row>
    <row r="11554" spans="2:20" x14ac:dyDescent="0.2">
      <c r="B11554" s="245"/>
      <c r="C11554" s="248"/>
      <c r="D11554" s="249"/>
      <c r="E11554" s="249"/>
      <c r="T11554" s="261"/>
    </row>
    <row r="11555" spans="2:20" x14ac:dyDescent="0.2">
      <c r="B11555" s="245"/>
      <c r="C11555" s="248"/>
      <c r="D11555" s="249"/>
      <c r="E11555" s="249"/>
      <c r="T11555" s="261"/>
    </row>
    <row r="11556" spans="2:20" x14ac:dyDescent="0.2">
      <c r="B11556" s="245"/>
      <c r="C11556" s="248"/>
      <c r="D11556" s="249"/>
      <c r="E11556" s="249"/>
      <c r="T11556" s="261"/>
    </row>
    <row r="11557" spans="2:20" x14ac:dyDescent="0.2">
      <c r="B11557" s="245"/>
      <c r="C11557" s="248"/>
      <c r="D11557" s="249"/>
      <c r="E11557" s="249"/>
      <c r="T11557" s="261"/>
    </row>
    <row r="11558" spans="2:20" x14ac:dyDescent="0.2">
      <c r="B11558" s="245"/>
      <c r="C11558" s="248"/>
      <c r="D11558" s="249"/>
      <c r="E11558" s="249"/>
      <c r="T11558" s="261"/>
    </row>
    <row r="11559" spans="2:20" x14ac:dyDescent="0.2">
      <c r="B11559" s="245"/>
      <c r="C11559" s="248"/>
      <c r="D11559" s="249"/>
      <c r="E11559" s="249"/>
      <c r="T11559" s="261"/>
    </row>
    <row r="11560" spans="2:20" x14ac:dyDescent="0.2">
      <c r="B11560" s="245"/>
      <c r="C11560" s="248"/>
      <c r="D11560" s="249"/>
      <c r="E11560" s="249"/>
      <c r="T11560" s="261"/>
    </row>
    <row r="11561" spans="2:20" x14ac:dyDescent="0.2">
      <c r="B11561" s="245"/>
      <c r="C11561" s="248"/>
      <c r="D11561" s="249"/>
      <c r="E11561" s="249"/>
      <c r="T11561" s="261"/>
    </row>
    <row r="11562" spans="2:20" x14ac:dyDescent="0.2">
      <c r="B11562" s="245"/>
      <c r="C11562" s="248"/>
      <c r="D11562" s="249"/>
      <c r="E11562" s="249"/>
      <c r="T11562" s="261"/>
    </row>
    <row r="11563" spans="2:20" x14ac:dyDescent="0.2">
      <c r="B11563" s="245"/>
      <c r="C11563" s="248"/>
      <c r="D11563" s="249"/>
      <c r="E11563" s="249"/>
      <c r="T11563" s="261"/>
    </row>
    <row r="11564" spans="2:20" x14ac:dyDescent="0.2">
      <c r="B11564" s="245"/>
      <c r="C11564" s="248"/>
      <c r="D11564" s="249"/>
      <c r="E11564" s="249"/>
      <c r="T11564" s="261"/>
    </row>
    <row r="11565" spans="2:20" x14ac:dyDescent="0.2">
      <c r="B11565" s="245"/>
      <c r="C11565" s="248"/>
      <c r="D11565" s="249"/>
      <c r="E11565" s="249"/>
      <c r="T11565" s="261"/>
    </row>
    <row r="11566" spans="2:20" x14ac:dyDescent="0.2">
      <c r="B11566" s="245"/>
      <c r="C11566" s="248"/>
      <c r="D11566" s="249"/>
      <c r="E11566" s="249"/>
      <c r="T11566" s="261"/>
    </row>
    <row r="11567" spans="2:20" x14ac:dyDescent="0.2">
      <c r="B11567" s="245"/>
      <c r="C11567" s="248"/>
      <c r="D11567" s="249"/>
      <c r="E11567" s="249"/>
      <c r="T11567" s="261"/>
    </row>
    <row r="11568" spans="2:20" x14ac:dyDescent="0.2">
      <c r="B11568" s="245"/>
      <c r="C11568" s="248"/>
      <c r="D11568" s="249"/>
      <c r="E11568" s="249"/>
      <c r="T11568" s="261"/>
    </row>
    <row r="11569" spans="2:20" x14ac:dyDescent="0.2">
      <c r="B11569" s="245"/>
      <c r="C11569" s="248"/>
      <c r="D11569" s="249"/>
      <c r="E11569" s="249"/>
      <c r="T11569" s="261"/>
    </row>
    <row r="11570" spans="2:20" x14ac:dyDescent="0.2">
      <c r="B11570" s="245"/>
      <c r="C11570" s="248"/>
      <c r="D11570" s="249"/>
      <c r="E11570" s="249"/>
      <c r="T11570" s="261"/>
    </row>
    <row r="11571" spans="2:20" x14ac:dyDescent="0.2">
      <c r="B11571" s="245"/>
      <c r="C11571" s="248"/>
      <c r="D11571" s="249"/>
      <c r="E11571" s="249"/>
      <c r="T11571" s="261"/>
    </row>
    <row r="11572" spans="2:20" x14ac:dyDescent="0.2">
      <c r="B11572" s="245"/>
      <c r="C11572" s="248"/>
      <c r="D11572" s="249"/>
      <c r="E11572" s="249"/>
      <c r="T11572" s="261"/>
    </row>
    <row r="11573" spans="2:20" x14ac:dyDescent="0.2">
      <c r="B11573" s="245"/>
      <c r="C11573" s="248"/>
      <c r="D11573" s="249"/>
      <c r="E11573" s="249"/>
      <c r="T11573" s="261"/>
    </row>
    <row r="11574" spans="2:20" x14ac:dyDescent="0.2">
      <c r="B11574" s="245"/>
      <c r="C11574" s="248"/>
      <c r="D11574" s="249"/>
      <c r="E11574" s="249"/>
      <c r="T11574" s="261"/>
    </row>
    <row r="11575" spans="2:20" x14ac:dyDescent="0.2">
      <c r="B11575" s="245"/>
      <c r="C11575" s="248"/>
      <c r="D11575" s="249"/>
      <c r="E11575" s="249"/>
      <c r="T11575" s="261"/>
    </row>
    <row r="11576" spans="2:20" x14ac:dyDescent="0.2">
      <c r="B11576" s="245"/>
      <c r="C11576" s="248"/>
      <c r="D11576" s="249"/>
      <c r="E11576" s="249"/>
      <c r="T11576" s="261"/>
    </row>
    <row r="11577" spans="2:20" x14ac:dyDescent="0.2">
      <c r="B11577" s="245"/>
      <c r="C11577" s="248"/>
      <c r="D11577" s="249"/>
      <c r="E11577" s="249"/>
      <c r="T11577" s="261"/>
    </row>
    <row r="11578" spans="2:20" x14ac:dyDescent="0.2">
      <c r="B11578" s="245"/>
      <c r="C11578" s="248"/>
      <c r="D11578" s="249"/>
      <c r="E11578" s="249"/>
      <c r="T11578" s="261"/>
    </row>
    <row r="11579" spans="2:20" x14ac:dyDescent="0.2">
      <c r="B11579" s="245"/>
      <c r="C11579" s="248"/>
      <c r="D11579" s="249"/>
      <c r="E11579" s="249"/>
      <c r="T11579" s="261"/>
    </row>
    <row r="11580" spans="2:20" x14ac:dyDescent="0.2">
      <c r="B11580" s="245"/>
      <c r="C11580" s="248"/>
      <c r="D11580" s="249"/>
      <c r="E11580" s="249"/>
      <c r="T11580" s="261"/>
    </row>
    <row r="11581" spans="2:20" x14ac:dyDescent="0.2">
      <c r="B11581" s="245"/>
      <c r="C11581" s="248"/>
      <c r="D11581" s="249"/>
      <c r="E11581" s="249"/>
      <c r="T11581" s="261"/>
    </row>
    <row r="11582" spans="2:20" x14ac:dyDescent="0.2">
      <c r="B11582" s="245"/>
      <c r="C11582" s="248"/>
      <c r="D11582" s="249"/>
      <c r="E11582" s="249"/>
      <c r="T11582" s="261"/>
    </row>
    <row r="11583" spans="2:20" x14ac:dyDescent="0.2">
      <c r="B11583" s="245"/>
      <c r="C11583" s="248"/>
      <c r="D11583" s="249"/>
      <c r="E11583" s="249"/>
      <c r="T11583" s="261"/>
    </row>
    <row r="11584" spans="2:20" x14ac:dyDescent="0.2">
      <c r="B11584" s="245"/>
      <c r="C11584" s="248"/>
      <c r="D11584" s="249"/>
      <c r="E11584" s="249"/>
      <c r="T11584" s="261"/>
    </row>
    <row r="11585" spans="2:20" x14ac:dyDescent="0.2">
      <c r="B11585" s="245"/>
      <c r="C11585" s="248"/>
      <c r="D11585" s="249"/>
      <c r="E11585" s="249"/>
      <c r="T11585" s="261"/>
    </row>
    <row r="11586" spans="2:20" x14ac:dyDescent="0.2">
      <c r="B11586" s="245"/>
      <c r="C11586" s="248"/>
      <c r="D11586" s="249"/>
      <c r="E11586" s="249"/>
      <c r="T11586" s="261"/>
    </row>
    <row r="11587" spans="2:20" x14ac:dyDescent="0.2">
      <c r="B11587" s="245"/>
      <c r="C11587" s="248"/>
      <c r="D11587" s="249"/>
      <c r="E11587" s="249"/>
      <c r="T11587" s="261"/>
    </row>
    <row r="11588" spans="2:20" x14ac:dyDescent="0.2">
      <c r="B11588" s="245"/>
      <c r="C11588" s="248"/>
      <c r="D11588" s="249"/>
      <c r="E11588" s="249"/>
      <c r="T11588" s="261"/>
    </row>
    <row r="11589" spans="2:20" x14ac:dyDescent="0.2">
      <c r="B11589" s="245"/>
      <c r="C11589" s="248"/>
      <c r="D11589" s="249"/>
      <c r="E11589" s="249"/>
      <c r="T11589" s="261"/>
    </row>
    <row r="11590" spans="2:20" x14ac:dyDescent="0.2">
      <c r="B11590" s="245"/>
      <c r="C11590" s="248"/>
      <c r="D11590" s="249"/>
      <c r="E11590" s="249"/>
      <c r="T11590" s="261"/>
    </row>
    <row r="11591" spans="2:20" x14ac:dyDescent="0.2">
      <c r="B11591" s="245"/>
      <c r="C11591" s="248"/>
      <c r="D11591" s="249"/>
      <c r="E11591" s="249"/>
      <c r="T11591" s="261"/>
    </row>
    <row r="11592" spans="2:20" x14ac:dyDescent="0.2">
      <c r="B11592" s="245"/>
      <c r="C11592" s="248"/>
      <c r="D11592" s="249"/>
      <c r="E11592" s="249"/>
      <c r="T11592" s="261"/>
    </row>
    <row r="11593" spans="2:20" x14ac:dyDescent="0.2">
      <c r="B11593" s="245"/>
      <c r="C11593" s="248"/>
      <c r="D11593" s="249"/>
      <c r="E11593" s="249"/>
      <c r="T11593" s="261"/>
    </row>
    <row r="11594" spans="2:20" x14ac:dyDescent="0.2">
      <c r="B11594" s="245"/>
      <c r="C11594" s="248"/>
      <c r="D11594" s="249"/>
      <c r="E11594" s="249"/>
      <c r="T11594" s="261"/>
    </row>
    <row r="11595" spans="2:20" x14ac:dyDescent="0.2">
      <c r="B11595" s="245"/>
      <c r="C11595" s="248"/>
      <c r="D11595" s="249"/>
      <c r="E11595" s="249"/>
      <c r="T11595" s="261"/>
    </row>
    <row r="11596" spans="2:20" x14ac:dyDescent="0.2">
      <c r="B11596" s="245"/>
      <c r="C11596" s="248"/>
      <c r="D11596" s="249"/>
      <c r="E11596" s="249"/>
      <c r="T11596" s="261"/>
    </row>
    <row r="11597" spans="2:20" x14ac:dyDescent="0.2">
      <c r="B11597" s="245"/>
      <c r="C11597" s="248"/>
      <c r="D11597" s="249"/>
      <c r="E11597" s="249"/>
      <c r="T11597" s="261"/>
    </row>
    <row r="11598" spans="2:20" x14ac:dyDescent="0.2">
      <c r="B11598" s="245"/>
      <c r="C11598" s="248"/>
      <c r="D11598" s="249"/>
      <c r="E11598" s="249"/>
      <c r="T11598" s="261"/>
    </row>
    <row r="11599" spans="2:20" x14ac:dyDescent="0.2">
      <c r="B11599" s="245"/>
      <c r="C11599" s="248"/>
      <c r="D11599" s="249"/>
      <c r="E11599" s="249"/>
      <c r="T11599" s="261"/>
    </row>
    <row r="11600" spans="2:20" x14ac:dyDescent="0.2">
      <c r="B11600" s="245"/>
      <c r="C11600" s="248"/>
      <c r="D11600" s="249"/>
      <c r="E11600" s="249"/>
      <c r="T11600" s="261"/>
    </row>
    <row r="11601" spans="2:20" x14ac:dyDescent="0.2">
      <c r="B11601" s="245"/>
      <c r="C11601" s="248"/>
      <c r="D11601" s="249"/>
      <c r="E11601" s="249"/>
      <c r="T11601" s="261"/>
    </row>
    <row r="11602" spans="2:20" x14ac:dyDescent="0.2">
      <c r="B11602" s="245"/>
      <c r="C11602" s="248"/>
      <c r="D11602" s="249"/>
      <c r="E11602" s="249"/>
      <c r="T11602" s="261"/>
    </row>
    <row r="11603" spans="2:20" x14ac:dyDescent="0.2">
      <c r="B11603" s="245"/>
      <c r="C11603" s="248"/>
      <c r="D11603" s="249"/>
      <c r="E11603" s="249"/>
      <c r="T11603" s="261"/>
    </row>
    <row r="11604" spans="2:20" x14ac:dyDescent="0.2">
      <c r="B11604" s="245"/>
      <c r="C11604" s="248"/>
      <c r="D11604" s="249"/>
      <c r="E11604" s="249"/>
      <c r="T11604" s="261"/>
    </row>
    <row r="11605" spans="2:20" x14ac:dyDescent="0.2">
      <c r="B11605" s="245"/>
      <c r="C11605" s="248"/>
      <c r="D11605" s="249"/>
      <c r="E11605" s="249"/>
      <c r="T11605" s="261"/>
    </row>
    <row r="11606" spans="2:20" x14ac:dyDescent="0.2">
      <c r="B11606" s="245"/>
      <c r="C11606" s="248"/>
      <c r="D11606" s="249"/>
      <c r="E11606" s="249"/>
      <c r="T11606" s="261"/>
    </row>
    <row r="11607" spans="2:20" x14ac:dyDescent="0.2">
      <c r="B11607" s="245"/>
      <c r="C11607" s="248"/>
      <c r="D11607" s="249"/>
      <c r="E11607" s="249"/>
      <c r="T11607" s="261"/>
    </row>
    <row r="11608" spans="2:20" x14ac:dyDescent="0.2">
      <c r="B11608" s="245"/>
      <c r="C11608" s="248"/>
      <c r="D11608" s="249"/>
      <c r="E11608" s="249"/>
      <c r="T11608" s="261"/>
    </row>
    <row r="11609" spans="2:20" x14ac:dyDescent="0.2">
      <c r="B11609" s="245"/>
      <c r="C11609" s="248"/>
      <c r="D11609" s="249"/>
      <c r="E11609" s="249"/>
      <c r="T11609" s="261"/>
    </row>
    <row r="11610" spans="2:20" x14ac:dyDescent="0.2">
      <c r="B11610" s="245"/>
      <c r="C11610" s="248"/>
      <c r="D11610" s="249"/>
      <c r="E11610" s="249"/>
      <c r="T11610" s="261"/>
    </row>
    <row r="11611" spans="2:20" x14ac:dyDescent="0.2">
      <c r="B11611" s="245"/>
      <c r="C11611" s="248"/>
      <c r="D11611" s="249"/>
      <c r="E11611" s="249"/>
      <c r="T11611" s="261"/>
    </row>
    <row r="11612" spans="2:20" x14ac:dyDescent="0.2">
      <c r="B11612" s="245"/>
      <c r="C11612" s="248"/>
      <c r="D11612" s="249"/>
      <c r="E11612" s="249"/>
      <c r="T11612" s="261"/>
    </row>
    <row r="11613" spans="2:20" x14ac:dyDescent="0.2">
      <c r="B11613" s="245"/>
      <c r="C11613" s="248"/>
      <c r="D11613" s="249"/>
      <c r="E11613" s="249"/>
      <c r="T11613" s="261"/>
    </row>
    <row r="11614" spans="2:20" x14ac:dyDescent="0.2">
      <c r="B11614" s="245"/>
      <c r="C11614" s="248"/>
      <c r="D11614" s="249"/>
      <c r="E11614" s="249"/>
      <c r="T11614" s="261"/>
    </row>
    <row r="11615" spans="2:20" x14ac:dyDescent="0.2">
      <c r="B11615" s="245"/>
      <c r="C11615" s="248"/>
      <c r="D11615" s="249"/>
      <c r="E11615" s="249"/>
      <c r="T11615" s="261"/>
    </row>
    <row r="11616" spans="2:20" x14ac:dyDescent="0.2">
      <c r="B11616" s="245"/>
      <c r="C11616" s="248"/>
      <c r="D11616" s="249"/>
      <c r="E11616" s="249"/>
      <c r="T11616" s="261"/>
    </row>
    <row r="11617" spans="2:20" x14ac:dyDescent="0.2">
      <c r="B11617" s="245"/>
      <c r="C11617" s="248"/>
      <c r="D11617" s="249"/>
      <c r="E11617" s="249"/>
      <c r="T11617" s="261"/>
    </row>
    <row r="11618" spans="2:20" x14ac:dyDescent="0.2">
      <c r="B11618" s="245"/>
      <c r="C11618" s="248"/>
      <c r="D11618" s="249"/>
      <c r="E11618" s="249"/>
      <c r="T11618" s="261"/>
    </row>
    <row r="11619" spans="2:20" x14ac:dyDescent="0.2">
      <c r="B11619" s="245"/>
      <c r="C11619" s="248"/>
      <c r="D11619" s="249"/>
      <c r="E11619" s="249"/>
      <c r="T11619" s="261"/>
    </row>
    <row r="11620" spans="2:20" x14ac:dyDescent="0.2">
      <c r="B11620" s="245"/>
      <c r="C11620" s="248"/>
      <c r="D11620" s="249"/>
      <c r="E11620" s="249"/>
      <c r="T11620" s="261"/>
    </row>
    <row r="11621" spans="2:20" x14ac:dyDescent="0.2">
      <c r="B11621" s="245"/>
      <c r="C11621" s="248"/>
      <c r="D11621" s="249"/>
      <c r="E11621" s="249"/>
      <c r="T11621" s="261"/>
    </row>
    <row r="11622" spans="2:20" x14ac:dyDescent="0.2">
      <c r="B11622" s="245"/>
      <c r="C11622" s="248"/>
      <c r="D11622" s="249"/>
      <c r="E11622" s="249"/>
      <c r="T11622" s="261"/>
    </row>
    <row r="11623" spans="2:20" x14ac:dyDescent="0.2">
      <c r="B11623" s="245"/>
      <c r="C11623" s="248"/>
      <c r="D11623" s="249"/>
      <c r="E11623" s="249"/>
      <c r="T11623" s="261"/>
    </row>
    <row r="11624" spans="2:20" x14ac:dyDescent="0.2">
      <c r="B11624" s="245"/>
      <c r="C11624" s="248"/>
      <c r="D11624" s="249"/>
      <c r="E11624" s="249"/>
      <c r="T11624" s="261"/>
    </row>
    <row r="11625" spans="2:20" x14ac:dyDescent="0.2">
      <c r="B11625" s="245"/>
      <c r="C11625" s="248"/>
      <c r="D11625" s="249"/>
      <c r="E11625" s="249"/>
      <c r="T11625" s="261"/>
    </row>
    <row r="11626" spans="2:20" x14ac:dyDescent="0.2">
      <c r="B11626" s="245"/>
      <c r="C11626" s="248"/>
      <c r="D11626" s="249"/>
      <c r="E11626" s="249"/>
      <c r="T11626" s="261"/>
    </row>
    <row r="11627" spans="2:20" x14ac:dyDescent="0.2">
      <c r="B11627" s="245"/>
      <c r="C11627" s="248"/>
      <c r="D11627" s="249"/>
      <c r="E11627" s="249"/>
      <c r="T11627" s="261"/>
    </row>
    <row r="11628" spans="2:20" x14ac:dyDescent="0.2">
      <c r="B11628" s="245"/>
      <c r="C11628" s="248"/>
      <c r="D11628" s="249"/>
      <c r="E11628" s="249"/>
      <c r="T11628" s="261"/>
    </row>
    <row r="11629" spans="2:20" x14ac:dyDescent="0.2">
      <c r="B11629" s="245"/>
      <c r="C11629" s="248"/>
      <c r="D11629" s="249"/>
      <c r="E11629" s="249"/>
      <c r="T11629" s="261"/>
    </row>
    <row r="11630" spans="2:20" x14ac:dyDescent="0.2">
      <c r="B11630" s="245"/>
      <c r="C11630" s="248"/>
      <c r="D11630" s="249"/>
      <c r="E11630" s="249"/>
      <c r="T11630" s="261"/>
    </row>
    <row r="11631" spans="2:20" x14ac:dyDescent="0.2">
      <c r="B11631" s="245"/>
      <c r="C11631" s="248"/>
      <c r="D11631" s="249"/>
      <c r="E11631" s="249"/>
      <c r="T11631" s="261"/>
    </row>
    <row r="11632" spans="2:20" x14ac:dyDescent="0.2">
      <c r="B11632" s="245"/>
      <c r="C11632" s="248"/>
      <c r="D11632" s="249"/>
      <c r="E11632" s="249"/>
      <c r="T11632" s="261"/>
    </row>
    <row r="11633" spans="2:20" x14ac:dyDescent="0.2">
      <c r="B11633" s="245"/>
      <c r="C11633" s="248"/>
      <c r="D11633" s="249"/>
      <c r="E11633" s="249"/>
      <c r="T11633" s="261"/>
    </row>
    <row r="11634" spans="2:20" x14ac:dyDescent="0.2">
      <c r="B11634" s="245"/>
      <c r="C11634" s="248"/>
      <c r="D11634" s="249"/>
      <c r="E11634" s="249"/>
      <c r="T11634" s="261"/>
    </row>
    <row r="11635" spans="2:20" x14ac:dyDescent="0.2">
      <c r="B11635" s="245"/>
      <c r="C11635" s="248"/>
      <c r="D11635" s="249"/>
      <c r="E11635" s="249"/>
      <c r="T11635" s="261"/>
    </row>
    <row r="11636" spans="2:20" x14ac:dyDescent="0.2">
      <c r="B11636" s="245"/>
      <c r="C11636" s="248"/>
      <c r="D11636" s="249"/>
      <c r="E11636" s="249"/>
      <c r="T11636" s="261"/>
    </row>
    <row r="11637" spans="2:20" x14ac:dyDescent="0.2">
      <c r="B11637" s="245"/>
      <c r="C11637" s="248"/>
      <c r="D11637" s="249"/>
      <c r="E11637" s="249"/>
      <c r="T11637" s="261"/>
    </row>
    <row r="11638" spans="2:20" x14ac:dyDescent="0.2">
      <c r="B11638" s="245"/>
      <c r="C11638" s="248"/>
      <c r="D11638" s="249"/>
      <c r="E11638" s="249"/>
      <c r="T11638" s="261"/>
    </row>
    <row r="11639" spans="2:20" x14ac:dyDescent="0.2">
      <c r="B11639" s="245"/>
      <c r="C11639" s="248"/>
      <c r="D11639" s="249"/>
      <c r="E11639" s="249"/>
      <c r="T11639" s="261"/>
    </row>
    <row r="11640" spans="2:20" x14ac:dyDescent="0.2">
      <c r="B11640" s="245"/>
      <c r="C11640" s="248"/>
      <c r="D11640" s="249"/>
      <c r="E11640" s="249"/>
      <c r="T11640" s="261"/>
    </row>
    <row r="11641" spans="2:20" x14ac:dyDescent="0.2">
      <c r="B11641" s="245"/>
      <c r="C11641" s="248"/>
      <c r="D11641" s="249"/>
      <c r="E11641" s="249"/>
      <c r="T11641" s="261"/>
    </row>
    <row r="11642" spans="2:20" x14ac:dyDescent="0.2">
      <c r="B11642" s="245"/>
      <c r="C11642" s="248"/>
      <c r="D11642" s="249"/>
      <c r="E11642" s="249"/>
      <c r="T11642" s="261"/>
    </row>
    <row r="11643" spans="2:20" x14ac:dyDescent="0.2">
      <c r="B11643" s="245"/>
      <c r="C11643" s="248"/>
      <c r="D11643" s="249"/>
      <c r="E11643" s="249"/>
      <c r="T11643" s="261"/>
    </row>
    <row r="11644" spans="2:20" x14ac:dyDescent="0.2">
      <c r="B11644" s="245"/>
      <c r="C11644" s="248"/>
      <c r="D11644" s="249"/>
      <c r="E11644" s="249"/>
      <c r="T11644" s="261"/>
    </row>
    <row r="11645" spans="2:20" x14ac:dyDescent="0.2">
      <c r="B11645" s="245"/>
      <c r="C11645" s="248"/>
      <c r="D11645" s="249"/>
      <c r="E11645" s="249"/>
      <c r="T11645" s="261"/>
    </row>
    <row r="11646" spans="2:20" x14ac:dyDescent="0.2">
      <c r="B11646" s="245"/>
      <c r="C11646" s="248"/>
      <c r="D11646" s="249"/>
      <c r="E11646" s="249"/>
      <c r="T11646" s="261"/>
    </row>
    <row r="11647" spans="2:20" x14ac:dyDescent="0.2">
      <c r="B11647" s="245"/>
      <c r="C11647" s="248"/>
      <c r="D11647" s="249"/>
      <c r="E11647" s="249"/>
      <c r="T11647" s="261"/>
    </row>
    <row r="11648" spans="2:20" x14ac:dyDescent="0.2">
      <c r="B11648" s="245"/>
      <c r="C11648" s="248"/>
      <c r="D11648" s="249"/>
      <c r="E11648" s="249"/>
      <c r="T11648" s="261"/>
    </row>
    <row r="11649" spans="2:20" x14ac:dyDescent="0.2">
      <c r="B11649" s="245"/>
      <c r="C11649" s="248"/>
      <c r="D11649" s="249"/>
      <c r="E11649" s="249"/>
      <c r="T11649" s="261"/>
    </row>
    <row r="11650" spans="2:20" x14ac:dyDescent="0.2">
      <c r="B11650" s="245"/>
      <c r="C11650" s="248"/>
      <c r="D11650" s="249"/>
      <c r="E11650" s="249"/>
      <c r="T11650" s="261"/>
    </row>
    <row r="11651" spans="2:20" x14ac:dyDescent="0.2">
      <c r="B11651" s="245"/>
      <c r="C11651" s="248"/>
      <c r="D11651" s="249"/>
      <c r="E11651" s="249"/>
      <c r="T11651" s="261"/>
    </row>
    <row r="11652" spans="2:20" x14ac:dyDescent="0.2">
      <c r="B11652" s="245"/>
      <c r="C11652" s="248"/>
      <c r="D11652" s="249"/>
      <c r="E11652" s="249"/>
      <c r="T11652" s="261"/>
    </row>
    <row r="11653" spans="2:20" x14ac:dyDescent="0.2">
      <c r="B11653" s="245"/>
      <c r="C11653" s="248"/>
      <c r="D11653" s="249"/>
      <c r="E11653" s="249"/>
      <c r="T11653" s="261"/>
    </row>
    <row r="11654" spans="2:20" x14ac:dyDescent="0.2">
      <c r="B11654" s="245"/>
      <c r="C11654" s="248"/>
      <c r="D11654" s="249"/>
      <c r="E11654" s="249"/>
      <c r="T11654" s="261"/>
    </row>
    <row r="11655" spans="2:20" x14ac:dyDescent="0.2">
      <c r="B11655" s="245"/>
      <c r="C11655" s="248"/>
      <c r="D11655" s="249"/>
      <c r="E11655" s="249"/>
      <c r="T11655" s="261"/>
    </row>
    <row r="11656" spans="2:20" x14ac:dyDescent="0.2">
      <c r="B11656" s="245"/>
      <c r="C11656" s="248"/>
      <c r="D11656" s="249"/>
      <c r="E11656" s="249"/>
      <c r="T11656" s="261"/>
    </row>
    <row r="11657" spans="2:20" x14ac:dyDescent="0.2">
      <c r="B11657" s="245"/>
      <c r="C11657" s="248"/>
      <c r="D11657" s="249"/>
      <c r="E11657" s="249"/>
      <c r="T11657" s="261"/>
    </row>
    <row r="11658" spans="2:20" x14ac:dyDescent="0.2">
      <c r="B11658" s="245"/>
      <c r="C11658" s="248"/>
      <c r="D11658" s="249"/>
      <c r="E11658" s="249"/>
      <c r="T11658" s="261"/>
    </row>
    <row r="11659" spans="2:20" x14ac:dyDescent="0.2">
      <c r="B11659" s="245"/>
      <c r="C11659" s="248"/>
      <c r="D11659" s="249"/>
      <c r="E11659" s="249"/>
      <c r="T11659" s="261"/>
    </row>
    <row r="11660" spans="2:20" x14ac:dyDescent="0.2">
      <c r="B11660" s="245"/>
      <c r="C11660" s="248"/>
      <c r="D11660" s="249"/>
      <c r="E11660" s="249"/>
      <c r="T11660" s="261"/>
    </row>
    <row r="11661" spans="2:20" x14ac:dyDescent="0.2">
      <c r="B11661" s="245"/>
      <c r="C11661" s="248"/>
      <c r="D11661" s="249"/>
      <c r="E11661" s="249"/>
      <c r="T11661" s="261"/>
    </row>
    <row r="11662" spans="2:20" x14ac:dyDescent="0.2">
      <c r="B11662" s="245"/>
      <c r="C11662" s="248"/>
      <c r="D11662" s="249"/>
      <c r="E11662" s="249"/>
      <c r="T11662" s="261"/>
    </row>
    <row r="11663" spans="2:20" x14ac:dyDescent="0.2">
      <c r="B11663" s="245"/>
      <c r="C11663" s="248"/>
      <c r="D11663" s="249"/>
      <c r="E11663" s="249"/>
      <c r="T11663" s="261"/>
    </row>
    <row r="11664" spans="2:20" x14ac:dyDescent="0.2">
      <c r="B11664" s="245"/>
      <c r="C11664" s="248"/>
      <c r="D11664" s="249"/>
      <c r="E11664" s="249"/>
      <c r="T11664" s="261"/>
    </row>
    <row r="11665" spans="2:20" x14ac:dyDescent="0.2">
      <c r="B11665" s="245"/>
      <c r="C11665" s="248"/>
      <c r="D11665" s="249"/>
      <c r="E11665" s="249"/>
      <c r="T11665" s="261"/>
    </row>
    <row r="11666" spans="2:20" x14ac:dyDescent="0.2">
      <c r="B11666" s="245"/>
      <c r="C11666" s="248"/>
      <c r="D11666" s="249"/>
      <c r="E11666" s="249"/>
      <c r="T11666" s="261"/>
    </row>
    <row r="11667" spans="2:20" x14ac:dyDescent="0.2">
      <c r="B11667" s="245"/>
      <c r="C11667" s="248"/>
      <c r="D11667" s="249"/>
      <c r="E11667" s="249"/>
      <c r="T11667" s="261"/>
    </row>
    <row r="11668" spans="2:20" x14ac:dyDescent="0.2">
      <c r="B11668" s="245"/>
      <c r="C11668" s="248"/>
      <c r="D11668" s="249"/>
      <c r="E11668" s="249"/>
      <c r="T11668" s="261"/>
    </row>
    <row r="11669" spans="2:20" x14ac:dyDescent="0.2">
      <c r="B11669" s="245"/>
      <c r="C11669" s="248"/>
      <c r="D11669" s="249"/>
      <c r="E11669" s="249"/>
      <c r="T11669" s="261"/>
    </row>
    <row r="11670" spans="2:20" x14ac:dyDescent="0.2">
      <c r="B11670" s="245"/>
      <c r="C11670" s="248"/>
      <c r="D11670" s="249"/>
      <c r="E11670" s="249"/>
      <c r="T11670" s="261"/>
    </row>
    <row r="11671" spans="2:20" x14ac:dyDescent="0.2">
      <c r="B11671" s="245"/>
      <c r="C11671" s="248"/>
      <c r="D11671" s="249"/>
      <c r="E11671" s="249"/>
      <c r="T11671" s="261"/>
    </row>
    <row r="11672" spans="2:20" x14ac:dyDescent="0.2">
      <c r="B11672" s="245"/>
      <c r="C11672" s="248"/>
      <c r="D11672" s="249"/>
      <c r="E11672" s="249"/>
      <c r="T11672" s="261"/>
    </row>
    <row r="11673" spans="2:20" x14ac:dyDescent="0.2">
      <c r="B11673" s="245"/>
      <c r="C11673" s="248"/>
      <c r="D11673" s="249"/>
      <c r="E11673" s="249"/>
      <c r="T11673" s="261"/>
    </row>
    <row r="11674" spans="2:20" x14ac:dyDescent="0.2">
      <c r="B11674" s="245"/>
      <c r="C11674" s="248"/>
      <c r="D11674" s="249"/>
      <c r="E11674" s="249"/>
      <c r="T11674" s="261"/>
    </row>
    <row r="11675" spans="2:20" x14ac:dyDescent="0.2">
      <c r="B11675" s="245"/>
      <c r="C11675" s="248"/>
      <c r="D11675" s="249"/>
      <c r="E11675" s="249"/>
      <c r="T11675" s="261"/>
    </row>
    <row r="11676" spans="2:20" x14ac:dyDescent="0.2">
      <c r="B11676" s="245"/>
      <c r="C11676" s="248"/>
      <c r="D11676" s="249"/>
      <c r="E11676" s="249"/>
      <c r="T11676" s="261"/>
    </row>
    <row r="11677" spans="2:20" x14ac:dyDescent="0.2">
      <c r="B11677" s="245"/>
      <c r="C11677" s="248"/>
      <c r="D11677" s="249"/>
      <c r="E11677" s="249"/>
      <c r="T11677" s="261"/>
    </row>
    <row r="11678" spans="2:20" x14ac:dyDescent="0.2">
      <c r="B11678" s="245"/>
      <c r="C11678" s="248"/>
      <c r="D11678" s="249"/>
      <c r="E11678" s="249"/>
      <c r="T11678" s="261"/>
    </row>
    <row r="11679" spans="2:20" x14ac:dyDescent="0.2">
      <c r="B11679" s="245"/>
      <c r="C11679" s="248"/>
      <c r="D11679" s="249"/>
      <c r="E11679" s="249"/>
      <c r="T11679" s="261"/>
    </row>
    <row r="11680" spans="2:20" x14ac:dyDescent="0.2">
      <c r="B11680" s="245"/>
      <c r="C11680" s="248"/>
      <c r="D11680" s="249"/>
      <c r="E11680" s="249"/>
      <c r="T11680" s="261"/>
    </row>
    <row r="11681" spans="2:20" x14ac:dyDescent="0.2">
      <c r="B11681" s="245"/>
      <c r="C11681" s="248"/>
      <c r="D11681" s="249"/>
      <c r="E11681" s="249"/>
      <c r="T11681" s="261"/>
    </row>
    <row r="11682" spans="2:20" x14ac:dyDescent="0.2">
      <c r="B11682" s="245"/>
      <c r="C11682" s="248"/>
      <c r="D11682" s="249"/>
      <c r="E11682" s="249"/>
      <c r="T11682" s="261"/>
    </row>
    <row r="11683" spans="2:20" x14ac:dyDescent="0.2">
      <c r="B11683" s="245"/>
      <c r="C11683" s="248"/>
      <c r="D11683" s="249"/>
      <c r="E11683" s="249"/>
      <c r="T11683" s="261"/>
    </row>
    <row r="11684" spans="2:20" x14ac:dyDescent="0.2">
      <c r="B11684" s="245"/>
      <c r="C11684" s="248"/>
      <c r="D11684" s="249"/>
      <c r="E11684" s="249"/>
      <c r="T11684" s="261"/>
    </row>
    <row r="11685" spans="2:20" x14ac:dyDescent="0.2">
      <c r="B11685" s="245"/>
      <c r="C11685" s="248"/>
      <c r="D11685" s="249"/>
      <c r="E11685" s="249"/>
      <c r="T11685" s="261"/>
    </row>
    <row r="11686" spans="2:20" x14ac:dyDescent="0.2">
      <c r="B11686" s="245"/>
      <c r="C11686" s="248"/>
      <c r="D11686" s="249"/>
      <c r="E11686" s="249"/>
      <c r="T11686" s="261"/>
    </row>
    <row r="11687" spans="2:20" x14ac:dyDescent="0.2">
      <c r="B11687" s="245"/>
      <c r="C11687" s="248"/>
      <c r="D11687" s="249"/>
      <c r="E11687" s="249"/>
      <c r="T11687" s="261"/>
    </row>
    <row r="11688" spans="2:20" x14ac:dyDescent="0.2">
      <c r="B11688" s="245"/>
      <c r="C11688" s="248"/>
      <c r="D11688" s="249"/>
      <c r="E11688" s="249"/>
      <c r="T11688" s="261"/>
    </row>
    <row r="11689" spans="2:20" x14ac:dyDescent="0.2">
      <c r="B11689" s="245"/>
      <c r="C11689" s="248"/>
      <c r="D11689" s="249"/>
      <c r="E11689" s="249"/>
      <c r="T11689" s="261"/>
    </row>
    <row r="11690" spans="2:20" x14ac:dyDescent="0.2">
      <c r="B11690" s="245"/>
      <c r="C11690" s="248"/>
      <c r="D11690" s="249"/>
      <c r="E11690" s="249"/>
      <c r="T11690" s="261"/>
    </row>
    <row r="11691" spans="2:20" x14ac:dyDescent="0.2">
      <c r="B11691" s="245"/>
      <c r="C11691" s="248"/>
      <c r="D11691" s="249"/>
      <c r="E11691" s="249"/>
      <c r="T11691" s="261"/>
    </row>
    <row r="11692" spans="2:20" x14ac:dyDescent="0.2">
      <c r="B11692" s="245"/>
      <c r="C11692" s="248"/>
      <c r="D11692" s="249"/>
      <c r="E11692" s="249"/>
      <c r="T11692" s="261"/>
    </row>
    <row r="11693" spans="2:20" x14ac:dyDescent="0.2">
      <c r="B11693" s="245"/>
      <c r="C11693" s="248"/>
      <c r="D11693" s="249"/>
      <c r="E11693" s="249"/>
      <c r="T11693" s="261"/>
    </row>
    <row r="11694" spans="2:20" x14ac:dyDescent="0.2">
      <c r="B11694" s="245"/>
      <c r="C11694" s="248"/>
      <c r="D11694" s="249"/>
      <c r="E11694" s="249"/>
      <c r="T11694" s="261"/>
    </row>
    <row r="11695" spans="2:20" x14ac:dyDescent="0.2">
      <c r="B11695" s="245"/>
      <c r="C11695" s="248"/>
      <c r="D11695" s="249"/>
      <c r="E11695" s="249"/>
      <c r="T11695" s="261"/>
    </row>
    <row r="11696" spans="2:20" x14ac:dyDescent="0.2">
      <c r="B11696" s="245"/>
      <c r="C11696" s="248"/>
      <c r="D11696" s="249"/>
      <c r="E11696" s="249"/>
      <c r="T11696" s="261"/>
    </row>
    <row r="11697" spans="2:20" x14ac:dyDescent="0.2">
      <c r="B11697" s="245"/>
      <c r="C11697" s="248"/>
      <c r="D11697" s="249"/>
      <c r="E11697" s="249"/>
      <c r="T11697" s="261"/>
    </row>
    <row r="11698" spans="2:20" x14ac:dyDescent="0.2">
      <c r="B11698" s="245"/>
      <c r="C11698" s="248"/>
      <c r="D11698" s="249"/>
      <c r="E11698" s="249"/>
      <c r="T11698" s="261"/>
    </row>
    <row r="11699" spans="2:20" x14ac:dyDescent="0.2">
      <c r="B11699" s="245"/>
      <c r="C11699" s="248"/>
      <c r="D11699" s="249"/>
      <c r="E11699" s="249"/>
      <c r="T11699" s="261"/>
    </row>
    <row r="11700" spans="2:20" x14ac:dyDescent="0.2">
      <c r="B11700" s="245"/>
      <c r="C11700" s="248"/>
      <c r="D11700" s="249"/>
      <c r="E11700" s="249"/>
      <c r="T11700" s="261"/>
    </row>
    <row r="11701" spans="2:20" x14ac:dyDescent="0.2">
      <c r="B11701" s="245"/>
      <c r="C11701" s="248"/>
      <c r="D11701" s="249"/>
      <c r="E11701" s="249"/>
      <c r="T11701" s="261"/>
    </row>
    <row r="11702" spans="2:20" x14ac:dyDescent="0.2">
      <c r="B11702" s="245"/>
      <c r="C11702" s="248"/>
      <c r="D11702" s="249"/>
      <c r="E11702" s="249"/>
      <c r="T11702" s="261"/>
    </row>
    <row r="11703" spans="2:20" x14ac:dyDescent="0.2">
      <c r="B11703" s="245"/>
      <c r="C11703" s="248"/>
      <c r="D11703" s="249"/>
      <c r="E11703" s="249"/>
      <c r="T11703" s="261"/>
    </row>
    <row r="11704" spans="2:20" x14ac:dyDescent="0.2">
      <c r="B11704" s="245"/>
      <c r="C11704" s="248"/>
      <c r="D11704" s="249"/>
      <c r="E11704" s="249"/>
      <c r="T11704" s="261"/>
    </row>
    <row r="11705" spans="2:20" x14ac:dyDescent="0.2">
      <c r="B11705" s="245"/>
      <c r="C11705" s="248"/>
      <c r="D11705" s="249"/>
      <c r="E11705" s="249"/>
      <c r="T11705" s="261"/>
    </row>
    <row r="11706" spans="2:20" x14ac:dyDescent="0.2">
      <c r="B11706" s="245"/>
      <c r="C11706" s="248"/>
      <c r="D11706" s="249"/>
      <c r="E11706" s="249"/>
      <c r="T11706" s="261"/>
    </row>
    <row r="11707" spans="2:20" x14ac:dyDescent="0.2">
      <c r="B11707" s="245"/>
      <c r="C11707" s="248"/>
      <c r="D11707" s="249"/>
      <c r="E11707" s="249"/>
      <c r="T11707" s="261"/>
    </row>
    <row r="11708" spans="2:20" x14ac:dyDescent="0.2">
      <c r="B11708" s="245"/>
      <c r="C11708" s="248"/>
      <c r="D11708" s="249"/>
      <c r="E11708" s="249"/>
      <c r="T11708" s="261"/>
    </row>
    <row r="11709" spans="2:20" x14ac:dyDescent="0.2">
      <c r="B11709" s="245"/>
      <c r="C11709" s="248"/>
      <c r="D11709" s="249"/>
      <c r="E11709" s="249"/>
      <c r="T11709" s="261"/>
    </row>
    <row r="11710" spans="2:20" x14ac:dyDescent="0.2">
      <c r="B11710" s="245"/>
      <c r="C11710" s="248"/>
      <c r="D11710" s="249"/>
      <c r="E11710" s="249"/>
      <c r="T11710" s="261"/>
    </row>
    <row r="11711" spans="2:20" x14ac:dyDescent="0.2">
      <c r="B11711" s="245"/>
      <c r="C11711" s="248"/>
      <c r="D11711" s="249"/>
      <c r="E11711" s="249"/>
      <c r="T11711" s="261"/>
    </row>
    <row r="11712" spans="2:20" x14ac:dyDescent="0.2">
      <c r="B11712" s="245"/>
      <c r="C11712" s="248"/>
      <c r="D11712" s="249"/>
      <c r="E11712" s="249"/>
      <c r="T11712" s="261"/>
    </row>
    <row r="11713" spans="2:20" x14ac:dyDescent="0.2">
      <c r="B11713" s="245"/>
      <c r="C11713" s="248"/>
      <c r="D11713" s="249"/>
      <c r="E11713" s="249"/>
      <c r="T11713" s="261"/>
    </row>
    <row r="11714" spans="2:20" x14ac:dyDescent="0.2">
      <c r="B11714" s="245"/>
      <c r="C11714" s="248"/>
      <c r="D11714" s="249"/>
      <c r="E11714" s="249"/>
      <c r="T11714" s="261"/>
    </row>
    <row r="11715" spans="2:20" x14ac:dyDescent="0.2">
      <c r="B11715" s="245"/>
      <c r="C11715" s="248"/>
      <c r="D11715" s="249"/>
      <c r="E11715" s="249"/>
      <c r="T11715" s="261"/>
    </row>
    <row r="11716" spans="2:20" x14ac:dyDescent="0.2">
      <c r="B11716" s="245"/>
      <c r="C11716" s="248"/>
      <c r="D11716" s="249"/>
      <c r="E11716" s="249"/>
      <c r="T11716" s="261"/>
    </row>
    <row r="11717" spans="2:20" x14ac:dyDescent="0.2">
      <c r="B11717" s="245"/>
      <c r="C11717" s="248"/>
      <c r="D11717" s="249"/>
      <c r="E11717" s="249"/>
      <c r="T11717" s="261"/>
    </row>
    <row r="11718" spans="2:20" x14ac:dyDescent="0.2">
      <c r="B11718" s="245"/>
      <c r="C11718" s="248"/>
      <c r="D11718" s="249"/>
      <c r="E11718" s="249"/>
      <c r="T11718" s="261"/>
    </row>
    <row r="11719" spans="2:20" x14ac:dyDescent="0.2">
      <c r="B11719" s="245"/>
      <c r="C11719" s="248"/>
      <c r="D11719" s="249"/>
      <c r="E11719" s="249"/>
      <c r="T11719" s="261"/>
    </row>
    <row r="11720" spans="2:20" x14ac:dyDescent="0.2">
      <c r="B11720" s="245"/>
      <c r="C11720" s="248"/>
      <c r="D11720" s="249"/>
      <c r="E11720" s="249"/>
      <c r="T11720" s="261"/>
    </row>
    <row r="11721" spans="2:20" x14ac:dyDescent="0.2">
      <c r="B11721" s="245"/>
      <c r="C11721" s="248"/>
      <c r="D11721" s="249"/>
      <c r="E11721" s="249"/>
      <c r="T11721" s="261"/>
    </row>
    <row r="11722" spans="2:20" x14ac:dyDescent="0.2">
      <c r="B11722" s="245"/>
      <c r="C11722" s="248"/>
      <c r="D11722" s="249"/>
      <c r="E11722" s="249"/>
      <c r="T11722" s="261"/>
    </row>
    <row r="11723" spans="2:20" x14ac:dyDescent="0.2">
      <c r="B11723" s="245"/>
      <c r="C11723" s="248"/>
      <c r="D11723" s="249"/>
      <c r="E11723" s="249"/>
      <c r="T11723" s="261"/>
    </row>
    <row r="11724" spans="2:20" x14ac:dyDescent="0.2">
      <c r="B11724" s="245"/>
      <c r="C11724" s="248"/>
      <c r="D11724" s="249"/>
      <c r="E11724" s="249"/>
      <c r="T11724" s="261"/>
    </row>
    <row r="11725" spans="2:20" x14ac:dyDescent="0.2">
      <c r="B11725" s="245"/>
      <c r="C11725" s="248"/>
      <c r="D11725" s="249"/>
      <c r="E11725" s="249"/>
      <c r="T11725" s="261"/>
    </row>
    <row r="11726" spans="2:20" x14ac:dyDescent="0.2">
      <c r="B11726" s="245"/>
      <c r="C11726" s="248"/>
      <c r="D11726" s="249"/>
      <c r="E11726" s="249"/>
      <c r="T11726" s="261"/>
    </row>
    <row r="11727" spans="2:20" x14ac:dyDescent="0.2">
      <c r="B11727" s="245"/>
      <c r="C11727" s="248"/>
      <c r="D11727" s="249"/>
      <c r="E11727" s="249"/>
      <c r="T11727" s="261"/>
    </row>
    <row r="11728" spans="2:20" x14ac:dyDescent="0.2">
      <c r="B11728" s="245"/>
      <c r="C11728" s="248"/>
      <c r="D11728" s="249"/>
      <c r="E11728" s="249"/>
      <c r="T11728" s="261"/>
    </row>
    <row r="11729" spans="2:20" x14ac:dyDescent="0.2">
      <c r="B11729" s="245"/>
      <c r="C11729" s="248"/>
      <c r="D11729" s="249"/>
      <c r="E11729" s="249"/>
      <c r="T11729" s="261"/>
    </row>
    <row r="11730" spans="2:20" x14ac:dyDescent="0.2">
      <c r="B11730" s="245"/>
      <c r="C11730" s="248"/>
      <c r="D11730" s="249"/>
      <c r="E11730" s="249"/>
      <c r="T11730" s="261"/>
    </row>
    <row r="11731" spans="2:20" x14ac:dyDescent="0.2">
      <c r="B11731" s="245"/>
      <c r="C11731" s="248"/>
      <c r="D11731" s="249"/>
      <c r="E11731" s="249"/>
      <c r="T11731" s="261"/>
    </row>
    <row r="11732" spans="2:20" x14ac:dyDescent="0.2">
      <c r="B11732" s="245"/>
      <c r="C11732" s="248"/>
      <c r="D11732" s="249"/>
      <c r="E11732" s="249"/>
      <c r="T11732" s="261"/>
    </row>
    <row r="11733" spans="2:20" x14ac:dyDescent="0.2">
      <c r="B11733" s="245"/>
      <c r="C11733" s="248"/>
      <c r="D11733" s="249"/>
      <c r="E11733" s="249"/>
      <c r="T11733" s="261"/>
    </row>
    <row r="11734" spans="2:20" x14ac:dyDescent="0.2">
      <c r="B11734" s="245"/>
      <c r="C11734" s="248"/>
      <c r="D11734" s="249"/>
      <c r="E11734" s="249"/>
      <c r="T11734" s="261"/>
    </row>
    <row r="11735" spans="2:20" x14ac:dyDescent="0.2">
      <c r="B11735" s="245"/>
      <c r="C11735" s="248"/>
      <c r="D11735" s="249"/>
      <c r="E11735" s="249"/>
      <c r="T11735" s="261"/>
    </row>
    <row r="11736" spans="2:20" x14ac:dyDescent="0.2">
      <c r="B11736" s="245"/>
      <c r="C11736" s="248"/>
      <c r="D11736" s="249"/>
      <c r="E11736" s="249"/>
      <c r="T11736" s="261"/>
    </row>
    <row r="11737" spans="2:20" x14ac:dyDescent="0.2">
      <c r="B11737" s="245"/>
      <c r="C11737" s="248"/>
      <c r="D11737" s="249"/>
      <c r="E11737" s="249"/>
      <c r="T11737" s="261"/>
    </row>
    <row r="11738" spans="2:20" x14ac:dyDescent="0.2">
      <c r="B11738" s="245"/>
      <c r="C11738" s="248"/>
      <c r="D11738" s="249"/>
      <c r="E11738" s="249"/>
      <c r="T11738" s="261"/>
    </row>
    <row r="11739" spans="2:20" x14ac:dyDescent="0.2">
      <c r="B11739" s="245"/>
      <c r="C11739" s="248"/>
      <c r="D11739" s="249"/>
      <c r="E11739" s="249"/>
      <c r="T11739" s="261"/>
    </row>
    <row r="11740" spans="2:20" x14ac:dyDescent="0.2">
      <c r="B11740" s="245"/>
      <c r="C11740" s="248"/>
      <c r="D11740" s="249"/>
      <c r="E11740" s="249"/>
      <c r="T11740" s="261"/>
    </row>
    <row r="11741" spans="2:20" x14ac:dyDescent="0.2">
      <c r="B11741" s="245"/>
      <c r="C11741" s="248"/>
      <c r="D11741" s="249"/>
      <c r="E11741" s="249"/>
      <c r="T11741" s="261"/>
    </row>
    <row r="11742" spans="2:20" x14ac:dyDescent="0.2">
      <c r="B11742" s="245"/>
      <c r="C11742" s="248"/>
      <c r="D11742" s="249"/>
      <c r="E11742" s="249"/>
      <c r="T11742" s="261"/>
    </row>
    <row r="11743" spans="2:20" x14ac:dyDescent="0.2">
      <c r="B11743" s="245"/>
      <c r="C11743" s="248"/>
      <c r="D11743" s="249"/>
      <c r="E11743" s="249"/>
      <c r="T11743" s="261"/>
    </row>
    <row r="11744" spans="2:20" x14ac:dyDescent="0.2">
      <c r="B11744" s="245"/>
      <c r="C11744" s="248"/>
      <c r="D11744" s="249"/>
      <c r="E11744" s="249"/>
      <c r="T11744" s="261"/>
    </row>
    <row r="11745" spans="2:20" x14ac:dyDescent="0.2">
      <c r="B11745" s="245"/>
      <c r="C11745" s="248"/>
      <c r="D11745" s="249"/>
      <c r="E11745" s="249"/>
      <c r="T11745" s="261"/>
    </row>
    <row r="11746" spans="2:20" x14ac:dyDescent="0.2">
      <c r="B11746" s="245"/>
      <c r="C11746" s="248"/>
      <c r="D11746" s="249"/>
      <c r="E11746" s="249"/>
      <c r="T11746" s="261"/>
    </row>
    <row r="11747" spans="2:20" x14ac:dyDescent="0.2">
      <c r="B11747" s="245"/>
      <c r="C11747" s="248"/>
      <c r="D11747" s="249"/>
      <c r="E11747" s="249"/>
      <c r="T11747" s="261"/>
    </row>
    <row r="11748" spans="2:20" x14ac:dyDescent="0.2">
      <c r="B11748" s="245"/>
      <c r="C11748" s="248"/>
      <c r="D11748" s="249"/>
      <c r="E11748" s="249"/>
      <c r="T11748" s="261"/>
    </row>
    <row r="11749" spans="2:20" x14ac:dyDescent="0.2">
      <c r="B11749" s="245"/>
      <c r="C11749" s="248"/>
      <c r="D11749" s="249"/>
      <c r="E11749" s="249"/>
      <c r="T11749" s="261"/>
    </row>
    <row r="11750" spans="2:20" x14ac:dyDescent="0.2">
      <c r="B11750" s="245"/>
      <c r="C11750" s="248"/>
      <c r="D11750" s="249"/>
      <c r="E11750" s="249"/>
      <c r="T11750" s="261"/>
    </row>
    <row r="11751" spans="2:20" x14ac:dyDescent="0.2">
      <c r="B11751" s="245"/>
      <c r="C11751" s="248"/>
      <c r="D11751" s="249"/>
      <c r="E11751" s="249"/>
      <c r="T11751" s="261"/>
    </row>
    <row r="11752" spans="2:20" x14ac:dyDescent="0.2">
      <c r="B11752" s="245"/>
      <c r="C11752" s="248"/>
      <c r="D11752" s="249"/>
      <c r="E11752" s="249"/>
      <c r="T11752" s="261"/>
    </row>
    <row r="11753" spans="2:20" x14ac:dyDescent="0.2">
      <c r="B11753" s="245"/>
      <c r="C11753" s="248"/>
      <c r="D11753" s="249"/>
      <c r="E11753" s="249"/>
      <c r="T11753" s="261"/>
    </row>
    <row r="11754" spans="2:20" x14ac:dyDescent="0.2">
      <c r="B11754" s="245"/>
      <c r="C11754" s="248"/>
      <c r="D11754" s="249"/>
      <c r="E11754" s="249"/>
      <c r="T11754" s="261"/>
    </row>
    <row r="11755" spans="2:20" x14ac:dyDescent="0.2">
      <c r="B11755" s="245"/>
      <c r="C11755" s="248"/>
      <c r="D11755" s="249"/>
      <c r="E11755" s="249"/>
      <c r="T11755" s="261"/>
    </row>
    <row r="11756" spans="2:20" x14ac:dyDescent="0.2">
      <c r="B11756" s="245"/>
      <c r="C11756" s="248"/>
      <c r="D11756" s="249"/>
      <c r="E11756" s="249"/>
      <c r="T11756" s="261"/>
    </row>
    <row r="11757" spans="2:20" x14ac:dyDescent="0.2">
      <c r="B11757" s="245"/>
      <c r="C11757" s="248"/>
      <c r="D11757" s="249"/>
      <c r="E11757" s="249"/>
      <c r="T11757" s="261"/>
    </row>
    <row r="11758" spans="2:20" x14ac:dyDescent="0.2">
      <c r="B11758" s="245"/>
      <c r="C11758" s="248"/>
      <c r="D11758" s="249"/>
      <c r="E11758" s="249"/>
      <c r="T11758" s="261"/>
    </row>
    <row r="11759" spans="2:20" x14ac:dyDescent="0.2">
      <c r="B11759" s="245"/>
      <c r="C11759" s="248"/>
      <c r="D11759" s="249"/>
      <c r="E11759" s="249"/>
      <c r="T11759" s="261"/>
    </row>
    <row r="11760" spans="2:20" x14ac:dyDescent="0.2">
      <c r="B11760" s="245"/>
      <c r="C11760" s="248"/>
      <c r="D11760" s="249"/>
      <c r="E11760" s="249"/>
      <c r="T11760" s="261"/>
    </row>
    <row r="11761" spans="2:20" x14ac:dyDescent="0.2">
      <c r="B11761" s="245"/>
      <c r="C11761" s="248"/>
      <c r="D11761" s="249"/>
      <c r="E11761" s="249"/>
      <c r="T11761" s="261"/>
    </row>
    <row r="11762" spans="2:20" x14ac:dyDescent="0.2">
      <c r="B11762" s="245"/>
      <c r="C11762" s="248"/>
      <c r="D11762" s="249"/>
      <c r="E11762" s="249"/>
      <c r="T11762" s="261"/>
    </row>
    <row r="11763" spans="2:20" x14ac:dyDescent="0.2">
      <c r="B11763" s="245"/>
      <c r="C11763" s="248"/>
      <c r="D11763" s="249"/>
      <c r="E11763" s="249"/>
      <c r="T11763" s="261"/>
    </row>
    <row r="11764" spans="2:20" x14ac:dyDescent="0.2">
      <c r="B11764" s="245"/>
      <c r="C11764" s="248"/>
      <c r="D11764" s="249"/>
      <c r="E11764" s="249"/>
      <c r="T11764" s="261"/>
    </row>
    <row r="11765" spans="2:20" x14ac:dyDescent="0.2">
      <c r="B11765" s="245"/>
      <c r="C11765" s="248"/>
      <c r="D11765" s="249"/>
      <c r="E11765" s="249"/>
      <c r="T11765" s="261"/>
    </row>
    <row r="11766" spans="2:20" x14ac:dyDescent="0.2">
      <c r="B11766" s="245"/>
      <c r="C11766" s="248"/>
      <c r="D11766" s="249"/>
      <c r="E11766" s="249"/>
      <c r="T11766" s="261"/>
    </row>
    <row r="11767" spans="2:20" x14ac:dyDescent="0.2">
      <c r="B11767" s="245"/>
      <c r="C11767" s="248"/>
      <c r="D11767" s="249"/>
      <c r="E11767" s="249"/>
      <c r="T11767" s="261"/>
    </row>
    <row r="11768" spans="2:20" x14ac:dyDescent="0.2">
      <c r="B11768" s="245"/>
      <c r="C11768" s="248"/>
      <c r="D11768" s="249"/>
      <c r="E11768" s="249"/>
      <c r="T11768" s="261"/>
    </row>
    <row r="11769" spans="2:20" x14ac:dyDescent="0.2">
      <c r="B11769" s="245"/>
      <c r="C11769" s="248"/>
      <c r="D11769" s="249"/>
      <c r="E11769" s="249"/>
      <c r="T11769" s="261"/>
    </row>
    <row r="11770" spans="2:20" x14ac:dyDescent="0.2">
      <c r="B11770" s="245"/>
      <c r="C11770" s="248"/>
      <c r="D11770" s="249"/>
      <c r="E11770" s="249"/>
      <c r="T11770" s="261"/>
    </row>
    <row r="11771" spans="2:20" x14ac:dyDescent="0.2">
      <c r="B11771" s="245"/>
      <c r="C11771" s="248"/>
      <c r="D11771" s="249"/>
      <c r="E11771" s="249"/>
      <c r="T11771" s="261"/>
    </row>
    <row r="11772" spans="2:20" x14ac:dyDescent="0.2">
      <c r="B11772" s="245"/>
      <c r="C11772" s="248"/>
      <c r="D11772" s="249"/>
      <c r="E11772" s="249"/>
      <c r="T11772" s="261"/>
    </row>
    <row r="11773" spans="2:20" x14ac:dyDescent="0.2">
      <c r="B11773" s="245"/>
      <c r="C11773" s="248"/>
      <c r="D11773" s="249"/>
      <c r="E11773" s="249"/>
      <c r="T11773" s="261"/>
    </row>
    <row r="11774" spans="2:20" x14ac:dyDescent="0.2">
      <c r="B11774" s="245"/>
      <c r="C11774" s="248"/>
      <c r="D11774" s="249"/>
      <c r="E11774" s="249"/>
      <c r="T11774" s="261"/>
    </row>
    <row r="11775" spans="2:20" x14ac:dyDescent="0.2">
      <c r="B11775" s="245"/>
      <c r="C11775" s="248"/>
      <c r="D11775" s="249"/>
      <c r="E11775" s="249"/>
      <c r="T11775" s="261"/>
    </row>
    <row r="11776" spans="2:20" x14ac:dyDescent="0.2">
      <c r="B11776" s="245"/>
      <c r="C11776" s="248"/>
      <c r="D11776" s="249"/>
      <c r="E11776" s="249"/>
      <c r="T11776" s="261"/>
    </row>
    <row r="11777" spans="2:20" x14ac:dyDescent="0.2">
      <c r="B11777" s="245"/>
      <c r="C11777" s="248"/>
      <c r="D11777" s="249"/>
      <c r="E11777" s="249"/>
      <c r="T11777" s="261"/>
    </row>
    <row r="11778" spans="2:20" x14ac:dyDescent="0.2">
      <c r="B11778" s="245"/>
      <c r="C11778" s="248"/>
      <c r="D11778" s="249"/>
      <c r="E11778" s="249"/>
      <c r="T11778" s="261"/>
    </row>
    <row r="11779" spans="2:20" x14ac:dyDescent="0.2">
      <c r="B11779" s="245"/>
      <c r="C11779" s="248"/>
      <c r="D11779" s="249"/>
      <c r="E11779" s="249"/>
      <c r="T11779" s="261"/>
    </row>
    <row r="11780" spans="2:20" x14ac:dyDescent="0.2">
      <c r="B11780" s="245"/>
      <c r="C11780" s="248"/>
      <c r="D11780" s="249"/>
      <c r="E11780" s="249"/>
      <c r="T11780" s="261"/>
    </row>
    <row r="11781" spans="2:20" x14ac:dyDescent="0.2">
      <c r="B11781" s="245"/>
      <c r="C11781" s="248"/>
      <c r="D11781" s="249"/>
      <c r="E11781" s="249"/>
      <c r="T11781" s="261"/>
    </row>
    <row r="11782" spans="2:20" x14ac:dyDescent="0.2">
      <c r="B11782" s="245"/>
      <c r="C11782" s="248"/>
      <c r="D11782" s="249"/>
      <c r="E11782" s="249"/>
      <c r="T11782" s="261"/>
    </row>
    <row r="11783" spans="2:20" x14ac:dyDescent="0.2">
      <c r="B11783" s="245"/>
      <c r="C11783" s="248"/>
      <c r="D11783" s="249"/>
      <c r="E11783" s="249"/>
      <c r="T11783" s="261"/>
    </row>
    <row r="11784" spans="2:20" x14ac:dyDescent="0.2">
      <c r="B11784" s="245"/>
      <c r="C11784" s="248"/>
      <c r="D11784" s="249"/>
      <c r="E11784" s="249"/>
      <c r="T11784" s="261"/>
    </row>
    <row r="11785" spans="2:20" x14ac:dyDescent="0.2">
      <c r="B11785" s="245"/>
      <c r="C11785" s="248"/>
      <c r="D11785" s="249"/>
      <c r="E11785" s="249"/>
      <c r="T11785" s="261"/>
    </row>
    <row r="11786" spans="2:20" x14ac:dyDescent="0.2">
      <c r="B11786" s="245"/>
      <c r="C11786" s="248"/>
      <c r="D11786" s="249"/>
      <c r="E11786" s="249"/>
      <c r="T11786" s="261"/>
    </row>
    <row r="11787" spans="2:20" x14ac:dyDescent="0.2">
      <c r="B11787" s="245"/>
      <c r="C11787" s="248"/>
      <c r="D11787" s="249"/>
      <c r="E11787" s="249"/>
      <c r="T11787" s="261"/>
    </row>
    <row r="11788" spans="2:20" x14ac:dyDescent="0.2">
      <c r="B11788" s="245"/>
      <c r="C11788" s="248"/>
      <c r="D11788" s="249"/>
      <c r="E11788" s="249"/>
      <c r="T11788" s="261"/>
    </row>
    <row r="11789" spans="2:20" x14ac:dyDescent="0.2">
      <c r="B11789" s="245"/>
      <c r="C11789" s="248"/>
      <c r="D11789" s="249"/>
      <c r="E11789" s="249"/>
      <c r="T11789" s="261"/>
    </row>
    <row r="11790" spans="2:20" x14ac:dyDescent="0.2">
      <c r="B11790" s="245"/>
      <c r="C11790" s="248"/>
      <c r="D11790" s="249"/>
      <c r="E11790" s="249"/>
      <c r="T11790" s="261"/>
    </row>
    <row r="11791" spans="2:20" x14ac:dyDescent="0.2">
      <c r="B11791" s="245"/>
      <c r="C11791" s="248"/>
      <c r="D11791" s="249"/>
      <c r="E11791" s="249"/>
      <c r="T11791" s="261"/>
    </row>
    <row r="11792" spans="2:20" x14ac:dyDescent="0.2">
      <c r="B11792" s="245"/>
      <c r="C11792" s="248"/>
      <c r="D11792" s="249"/>
      <c r="E11792" s="249"/>
      <c r="T11792" s="261"/>
    </row>
    <row r="11793" spans="2:20" x14ac:dyDescent="0.2">
      <c r="B11793" s="245"/>
      <c r="C11793" s="248"/>
      <c r="D11793" s="249"/>
      <c r="E11793" s="249"/>
      <c r="T11793" s="261"/>
    </row>
    <row r="11794" spans="2:20" x14ac:dyDescent="0.2">
      <c r="B11794" s="245"/>
      <c r="C11794" s="248"/>
      <c r="D11794" s="249"/>
      <c r="E11794" s="249"/>
      <c r="T11794" s="261"/>
    </row>
    <row r="11795" spans="2:20" x14ac:dyDescent="0.2">
      <c r="B11795" s="245"/>
      <c r="C11795" s="248"/>
      <c r="D11795" s="249"/>
      <c r="E11795" s="249"/>
      <c r="T11795" s="261"/>
    </row>
    <row r="11796" spans="2:20" x14ac:dyDescent="0.2">
      <c r="B11796" s="245"/>
      <c r="C11796" s="248"/>
      <c r="D11796" s="249"/>
      <c r="E11796" s="249"/>
      <c r="T11796" s="261"/>
    </row>
    <row r="11797" spans="2:20" x14ac:dyDescent="0.2">
      <c r="B11797" s="245"/>
      <c r="C11797" s="248"/>
      <c r="D11797" s="249"/>
      <c r="E11797" s="249"/>
      <c r="T11797" s="261"/>
    </row>
    <row r="11798" spans="2:20" x14ac:dyDescent="0.2">
      <c r="B11798" s="245"/>
      <c r="C11798" s="248"/>
      <c r="D11798" s="249"/>
      <c r="E11798" s="249"/>
      <c r="T11798" s="261"/>
    </row>
    <row r="11799" spans="2:20" x14ac:dyDescent="0.2">
      <c r="B11799" s="245"/>
      <c r="C11799" s="248"/>
      <c r="D11799" s="249"/>
      <c r="E11799" s="249"/>
      <c r="T11799" s="261"/>
    </row>
    <row r="11800" spans="2:20" x14ac:dyDescent="0.2">
      <c r="B11800" s="245"/>
      <c r="C11800" s="248"/>
      <c r="D11800" s="249"/>
      <c r="E11800" s="249"/>
      <c r="T11800" s="261"/>
    </row>
    <row r="11801" spans="2:20" x14ac:dyDescent="0.2">
      <c r="B11801" s="245"/>
      <c r="C11801" s="248"/>
      <c r="D11801" s="249"/>
      <c r="E11801" s="249"/>
      <c r="T11801" s="261"/>
    </row>
    <row r="11802" spans="2:20" x14ac:dyDescent="0.2">
      <c r="B11802" s="245"/>
      <c r="C11802" s="248"/>
      <c r="D11802" s="249"/>
      <c r="E11802" s="249"/>
      <c r="T11802" s="261"/>
    </row>
    <row r="11803" spans="2:20" x14ac:dyDescent="0.2">
      <c r="B11803" s="245"/>
      <c r="C11803" s="248"/>
      <c r="D11803" s="249"/>
      <c r="E11803" s="249"/>
      <c r="T11803" s="261"/>
    </row>
    <row r="11804" spans="2:20" x14ac:dyDescent="0.2">
      <c r="B11804" s="245"/>
      <c r="C11804" s="248"/>
      <c r="D11804" s="249"/>
      <c r="E11804" s="249"/>
      <c r="T11804" s="261"/>
    </row>
    <row r="11805" spans="2:20" x14ac:dyDescent="0.2">
      <c r="B11805" s="245"/>
      <c r="C11805" s="248"/>
      <c r="D11805" s="249"/>
      <c r="E11805" s="249"/>
      <c r="T11805" s="261"/>
    </row>
    <row r="11806" spans="2:20" x14ac:dyDescent="0.2">
      <c r="B11806" s="245"/>
      <c r="C11806" s="248"/>
      <c r="D11806" s="249"/>
      <c r="E11806" s="249"/>
      <c r="T11806" s="261"/>
    </row>
    <row r="11807" spans="2:20" x14ac:dyDescent="0.2">
      <c r="B11807" s="245"/>
      <c r="C11807" s="248"/>
      <c r="D11807" s="249"/>
      <c r="E11807" s="249"/>
      <c r="T11807" s="261"/>
    </row>
    <row r="11808" spans="2:20" x14ac:dyDescent="0.2">
      <c r="B11808" s="245"/>
      <c r="C11808" s="248"/>
      <c r="D11808" s="249"/>
      <c r="E11808" s="249"/>
      <c r="T11808" s="261"/>
    </row>
    <row r="11809" spans="2:20" x14ac:dyDescent="0.2">
      <c r="B11809" s="245"/>
      <c r="C11809" s="248"/>
      <c r="D11809" s="249"/>
      <c r="E11809" s="249"/>
      <c r="T11809" s="261"/>
    </row>
    <row r="11810" spans="2:20" x14ac:dyDescent="0.2">
      <c r="B11810" s="245"/>
      <c r="C11810" s="248"/>
      <c r="D11810" s="249"/>
      <c r="E11810" s="249"/>
      <c r="T11810" s="261"/>
    </row>
    <row r="11811" spans="2:20" x14ac:dyDescent="0.2">
      <c r="B11811" s="245"/>
      <c r="C11811" s="248"/>
      <c r="D11811" s="249"/>
      <c r="E11811" s="249"/>
      <c r="T11811" s="261"/>
    </row>
    <row r="11812" spans="2:20" x14ac:dyDescent="0.2">
      <c r="B11812" s="245"/>
      <c r="C11812" s="248"/>
      <c r="D11812" s="249"/>
      <c r="E11812" s="249"/>
      <c r="T11812" s="261"/>
    </row>
    <row r="11813" spans="2:20" x14ac:dyDescent="0.2">
      <c r="B11813" s="245"/>
      <c r="C11813" s="248"/>
      <c r="D11813" s="249"/>
      <c r="E11813" s="249"/>
      <c r="T11813" s="261"/>
    </row>
    <row r="11814" spans="2:20" x14ac:dyDescent="0.2">
      <c r="B11814" s="245"/>
      <c r="C11814" s="248"/>
      <c r="D11814" s="249"/>
      <c r="E11814" s="249"/>
      <c r="T11814" s="261"/>
    </row>
    <row r="11815" spans="2:20" x14ac:dyDescent="0.2">
      <c r="B11815" s="245"/>
      <c r="C11815" s="248"/>
      <c r="D11815" s="249"/>
      <c r="E11815" s="249"/>
      <c r="T11815" s="261"/>
    </row>
    <row r="11816" spans="2:20" x14ac:dyDescent="0.2">
      <c r="B11816" s="245"/>
      <c r="C11816" s="248"/>
      <c r="D11816" s="249"/>
      <c r="E11816" s="249"/>
      <c r="T11816" s="261"/>
    </row>
    <row r="11817" spans="2:20" x14ac:dyDescent="0.2">
      <c r="B11817" s="245"/>
      <c r="C11817" s="248"/>
      <c r="D11817" s="249"/>
      <c r="E11817" s="249"/>
      <c r="T11817" s="261"/>
    </row>
    <row r="11818" spans="2:20" x14ac:dyDescent="0.2">
      <c r="B11818" s="245"/>
      <c r="C11818" s="248"/>
      <c r="D11818" s="249"/>
      <c r="E11818" s="249"/>
      <c r="T11818" s="261"/>
    </row>
    <row r="11819" spans="2:20" x14ac:dyDescent="0.2">
      <c r="B11819" s="245"/>
      <c r="C11819" s="248"/>
      <c r="D11819" s="249"/>
      <c r="E11819" s="249"/>
      <c r="T11819" s="261"/>
    </row>
    <row r="11820" spans="2:20" x14ac:dyDescent="0.2">
      <c r="B11820" s="245"/>
      <c r="C11820" s="248"/>
      <c r="D11820" s="249"/>
      <c r="E11820" s="249"/>
      <c r="T11820" s="261"/>
    </row>
    <row r="11821" spans="2:20" x14ac:dyDescent="0.2">
      <c r="B11821" s="245"/>
      <c r="C11821" s="248"/>
      <c r="D11821" s="249"/>
      <c r="E11821" s="249"/>
      <c r="T11821" s="261"/>
    </row>
    <row r="11822" spans="2:20" x14ac:dyDescent="0.2">
      <c r="B11822" s="245"/>
      <c r="C11822" s="248"/>
      <c r="D11822" s="249"/>
      <c r="E11822" s="249"/>
      <c r="T11822" s="261"/>
    </row>
    <row r="11823" spans="2:20" x14ac:dyDescent="0.2">
      <c r="B11823" s="245"/>
      <c r="C11823" s="248"/>
      <c r="D11823" s="249"/>
      <c r="E11823" s="249"/>
      <c r="T11823" s="261"/>
    </row>
    <row r="11824" spans="2:20" x14ac:dyDescent="0.2">
      <c r="B11824" s="245"/>
      <c r="C11824" s="248"/>
      <c r="D11824" s="249"/>
      <c r="E11824" s="249"/>
      <c r="T11824" s="261"/>
    </row>
    <row r="11825" spans="2:20" x14ac:dyDescent="0.2">
      <c r="B11825" s="245"/>
      <c r="C11825" s="248"/>
      <c r="D11825" s="249"/>
      <c r="E11825" s="249"/>
      <c r="T11825" s="261"/>
    </row>
    <row r="11826" spans="2:20" x14ac:dyDescent="0.2">
      <c r="B11826" s="245"/>
      <c r="C11826" s="248"/>
      <c r="D11826" s="249"/>
      <c r="E11826" s="249"/>
      <c r="T11826" s="261"/>
    </row>
    <row r="11827" spans="2:20" x14ac:dyDescent="0.2">
      <c r="B11827" s="245"/>
      <c r="C11827" s="248"/>
      <c r="D11827" s="249"/>
      <c r="E11827" s="249"/>
      <c r="T11827" s="261"/>
    </row>
    <row r="11828" spans="2:20" x14ac:dyDescent="0.2">
      <c r="B11828" s="245"/>
      <c r="C11828" s="248"/>
      <c r="D11828" s="249"/>
      <c r="E11828" s="249"/>
      <c r="T11828" s="261"/>
    </row>
    <row r="11829" spans="2:20" x14ac:dyDescent="0.2">
      <c r="B11829" s="245"/>
      <c r="C11829" s="248"/>
      <c r="D11829" s="249"/>
      <c r="E11829" s="249"/>
      <c r="T11829" s="261"/>
    </row>
    <row r="11830" spans="2:20" x14ac:dyDescent="0.2">
      <c r="B11830" s="245"/>
      <c r="C11830" s="248"/>
      <c r="D11830" s="249"/>
      <c r="E11830" s="249"/>
      <c r="T11830" s="261"/>
    </row>
    <row r="11831" spans="2:20" x14ac:dyDescent="0.2">
      <c r="B11831" s="245"/>
      <c r="C11831" s="248"/>
      <c r="D11831" s="249"/>
      <c r="E11831" s="249"/>
      <c r="T11831" s="261"/>
    </row>
    <row r="11832" spans="2:20" x14ac:dyDescent="0.2">
      <c r="B11832" s="245"/>
      <c r="C11832" s="248"/>
      <c r="D11832" s="249"/>
      <c r="E11832" s="249"/>
      <c r="T11832" s="261"/>
    </row>
    <row r="11833" spans="2:20" x14ac:dyDescent="0.2">
      <c r="B11833" s="245"/>
      <c r="C11833" s="248"/>
      <c r="D11833" s="249"/>
      <c r="E11833" s="249"/>
      <c r="T11833" s="261"/>
    </row>
    <row r="11834" spans="2:20" x14ac:dyDescent="0.2">
      <c r="B11834" s="245"/>
      <c r="C11834" s="248"/>
      <c r="D11834" s="249"/>
      <c r="E11834" s="249"/>
      <c r="T11834" s="261"/>
    </row>
    <row r="11835" spans="2:20" x14ac:dyDescent="0.2">
      <c r="B11835" s="245"/>
      <c r="C11835" s="248"/>
      <c r="D11835" s="249"/>
      <c r="E11835" s="249"/>
      <c r="T11835" s="261"/>
    </row>
    <row r="11836" spans="2:20" x14ac:dyDescent="0.2">
      <c r="B11836" s="245"/>
      <c r="C11836" s="248"/>
      <c r="D11836" s="249"/>
      <c r="E11836" s="249"/>
      <c r="T11836" s="261"/>
    </row>
    <row r="11837" spans="2:20" x14ac:dyDescent="0.2">
      <c r="B11837" s="245"/>
      <c r="C11837" s="248"/>
      <c r="D11837" s="249"/>
      <c r="E11837" s="249"/>
      <c r="T11837" s="261"/>
    </row>
    <row r="11838" spans="2:20" x14ac:dyDescent="0.2">
      <c r="B11838" s="245"/>
      <c r="C11838" s="248"/>
      <c r="D11838" s="249"/>
      <c r="E11838" s="249"/>
      <c r="T11838" s="261"/>
    </row>
    <row r="11839" spans="2:20" x14ac:dyDescent="0.2">
      <c r="B11839" s="245"/>
      <c r="C11839" s="248"/>
      <c r="D11839" s="249"/>
      <c r="E11839" s="249"/>
      <c r="T11839" s="261"/>
    </row>
    <row r="11840" spans="2:20" x14ac:dyDescent="0.2">
      <c r="B11840" s="245"/>
      <c r="C11840" s="248"/>
      <c r="D11840" s="249"/>
      <c r="E11840" s="249"/>
      <c r="T11840" s="261"/>
    </row>
    <row r="11841" spans="2:20" x14ac:dyDescent="0.2">
      <c r="B11841" s="245"/>
      <c r="C11841" s="248"/>
      <c r="D11841" s="249"/>
      <c r="E11841" s="249"/>
      <c r="T11841" s="261"/>
    </row>
    <row r="11842" spans="2:20" x14ac:dyDescent="0.2">
      <c r="B11842" s="245"/>
      <c r="C11842" s="248"/>
      <c r="D11842" s="249"/>
      <c r="E11842" s="249"/>
      <c r="T11842" s="261"/>
    </row>
    <row r="11843" spans="2:20" x14ac:dyDescent="0.2">
      <c r="B11843" s="245"/>
      <c r="C11843" s="248"/>
      <c r="D11843" s="249"/>
      <c r="E11843" s="249"/>
      <c r="T11843" s="261"/>
    </row>
    <row r="11844" spans="2:20" x14ac:dyDescent="0.2">
      <c r="B11844" s="245"/>
      <c r="C11844" s="248"/>
      <c r="D11844" s="249"/>
      <c r="E11844" s="249"/>
      <c r="T11844" s="261"/>
    </row>
    <row r="11845" spans="2:20" x14ac:dyDescent="0.2">
      <c r="B11845" s="245"/>
      <c r="C11845" s="248"/>
      <c r="D11845" s="249"/>
      <c r="E11845" s="249"/>
      <c r="T11845" s="261"/>
    </row>
    <row r="11846" spans="2:20" x14ac:dyDescent="0.2">
      <c r="B11846" s="245"/>
      <c r="C11846" s="248"/>
      <c r="D11846" s="249"/>
      <c r="E11846" s="249"/>
      <c r="T11846" s="261"/>
    </row>
    <row r="11847" spans="2:20" x14ac:dyDescent="0.2">
      <c r="B11847" s="245"/>
      <c r="C11847" s="248"/>
      <c r="D11847" s="249"/>
      <c r="E11847" s="249"/>
      <c r="T11847" s="261"/>
    </row>
    <row r="11848" spans="2:20" x14ac:dyDescent="0.2">
      <c r="B11848" s="245"/>
      <c r="C11848" s="248"/>
      <c r="D11848" s="249"/>
      <c r="E11848" s="249"/>
      <c r="T11848" s="261"/>
    </row>
    <row r="11849" spans="2:20" x14ac:dyDescent="0.2">
      <c r="B11849" s="245"/>
      <c r="C11849" s="248"/>
      <c r="D11849" s="249"/>
      <c r="E11849" s="249"/>
      <c r="T11849" s="261"/>
    </row>
    <row r="11850" spans="2:20" x14ac:dyDescent="0.2">
      <c r="B11850" s="245"/>
      <c r="C11850" s="248"/>
      <c r="D11850" s="249"/>
      <c r="E11850" s="249"/>
      <c r="T11850" s="261"/>
    </row>
    <row r="11851" spans="2:20" x14ac:dyDescent="0.2">
      <c r="B11851" s="245"/>
      <c r="C11851" s="248"/>
      <c r="D11851" s="249"/>
      <c r="E11851" s="249"/>
      <c r="T11851" s="261"/>
    </row>
    <row r="11852" spans="2:20" x14ac:dyDescent="0.2">
      <c r="B11852" s="245"/>
      <c r="C11852" s="248"/>
      <c r="D11852" s="249"/>
      <c r="E11852" s="249"/>
      <c r="T11852" s="261"/>
    </row>
    <row r="11853" spans="2:20" x14ac:dyDescent="0.2">
      <c r="B11853" s="245"/>
      <c r="C11853" s="248"/>
      <c r="D11853" s="249"/>
      <c r="E11853" s="249"/>
      <c r="T11853" s="261"/>
    </row>
    <row r="11854" spans="2:20" x14ac:dyDescent="0.2">
      <c r="B11854" s="245"/>
      <c r="C11854" s="248"/>
      <c r="D11854" s="249"/>
      <c r="E11854" s="249"/>
      <c r="T11854" s="261"/>
    </row>
    <row r="11855" spans="2:20" x14ac:dyDescent="0.2">
      <c r="B11855" s="245"/>
      <c r="C11855" s="248"/>
      <c r="D11855" s="249"/>
      <c r="E11855" s="249"/>
      <c r="T11855" s="261"/>
    </row>
    <row r="11856" spans="2:20" x14ac:dyDescent="0.2">
      <c r="B11856" s="245"/>
      <c r="C11856" s="248"/>
      <c r="D11856" s="249"/>
      <c r="E11856" s="249"/>
      <c r="T11856" s="261"/>
    </row>
    <row r="11857" spans="2:20" x14ac:dyDescent="0.2">
      <c r="B11857" s="245"/>
      <c r="C11857" s="248"/>
      <c r="D11857" s="249"/>
      <c r="E11857" s="249"/>
      <c r="T11857" s="261"/>
    </row>
    <row r="11858" spans="2:20" x14ac:dyDescent="0.2">
      <c r="B11858" s="245"/>
      <c r="C11858" s="248"/>
      <c r="D11858" s="249"/>
      <c r="E11858" s="249"/>
      <c r="T11858" s="261"/>
    </row>
    <row r="11859" spans="2:20" x14ac:dyDescent="0.2">
      <c r="B11859" s="245"/>
      <c r="C11859" s="248"/>
      <c r="D11859" s="249"/>
      <c r="E11859" s="249"/>
      <c r="T11859" s="261"/>
    </row>
    <row r="11860" spans="2:20" x14ac:dyDescent="0.2">
      <c r="B11860" s="245"/>
      <c r="C11860" s="248"/>
      <c r="D11860" s="249"/>
      <c r="E11860" s="249"/>
      <c r="T11860" s="261"/>
    </row>
    <row r="11861" spans="2:20" x14ac:dyDescent="0.2">
      <c r="B11861" s="245"/>
      <c r="C11861" s="248"/>
      <c r="D11861" s="249"/>
      <c r="E11861" s="249"/>
      <c r="T11861" s="261"/>
    </row>
    <row r="11862" spans="2:20" x14ac:dyDescent="0.2">
      <c r="B11862" s="245"/>
      <c r="C11862" s="248"/>
      <c r="D11862" s="249"/>
      <c r="E11862" s="249"/>
      <c r="T11862" s="261"/>
    </row>
    <row r="11863" spans="2:20" x14ac:dyDescent="0.2">
      <c r="B11863" s="245"/>
      <c r="C11863" s="248"/>
      <c r="D11863" s="249"/>
      <c r="E11863" s="249"/>
      <c r="T11863" s="261"/>
    </row>
    <row r="11864" spans="2:20" x14ac:dyDescent="0.2">
      <c r="B11864" s="245"/>
      <c r="C11864" s="248"/>
      <c r="D11864" s="249"/>
      <c r="E11864" s="249"/>
      <c r="T11864" s="261"/>
    </row>
    <row r="11865" spans="2:20" x14ac:dyDescent="0.2">
      <c r="B11865" s="245"/>
      <c r="C11865" s="248"/>
      <c r="D11865" s="249"/>
      <c r="E11865" s="249"/>
      <c r="T11865" s="261"/>
    </row>
    <row r="11866" spans="2:20" x14ac:dyDescent="0.2">
      <c r="B11866" s="245"/>
      <c r="C11866" s="248"/>
      <c r="D11866" s="249"/>
      <c r="E11866" s="249"/>
      <c r="T11866" s="261"/>
    </row>
    <row r="11867" spans="2:20" x14ac:dyDescent="0.2">
      <c r="B11867" s="245"/>
      <c r="C11867" s="248"/>
      <c r="D11867" s="249"/>
      <c r="E11867" s="249"/>
      <c r="T11867" s="261"/>
    </row>
    <row r="11868" spans="2:20" x14ac:dyDescent="0.2">
      <c r="B11868" s="245"/>
      <c r="C11868" s="248"/>
      <c r="D11868" s="249"/>
      <c r="E11868" s="249"/>
      <c r="T11868" s="261"/>
    </row>
    <row r="11869" spans="2:20" x14ac:dyDescent="0.2">
      <c r="B11869" s="245"/>
      <c r="C11869" s="248"/>
      <c r="D11869" s="249"/>
      <c r="E11869" s="249"/>
      <c r="T11869" s="261"/>
    </row>
    <row r="11870" spans="2:20" x14ac:dyDescent="0.2">
      <c r="B11870" s="245"/>
      <c r="C11870" s="248"/>
      <c r="D11870" s="249"/>
      <c r="E11870" s="249"/>
      <c r="T11870" s="261"/>
    </row>
    <row r="11871" spans="2:20" x14ac:dyDescent="0.2">
      <c r="B11871" s="245"/>
      <c r="C11871" s="248"/>
      <c r="D11871" s="249"/>
      <c r="E11871" s="249"/>
      <c r="T11871" s="261"/>
    </row>
    <row r="11872" spans="2:20" x14ac:dyDescent="0.2">
      <c r="B11872" s="245"/>
      <c r="C11872" s="248"/>
      <c r="D11872" s="249"/>
      <c r="E11872" s="249"/>
      <c r="T11872" s="261"/>
    </row>
    <row r="11873" spans="2:20" x14ac:dyDescent="0.2">
      <c r="B11873" s="245"/>
      <c r="C11873" s="248"/>
      <c r="D11873" s="249"/>
      <c r="E11873" s="249"/>
      <c r="T11873" s="261"/>
    </row>
    <row r="11874" spans="2:20" x14ac:dyDescent="0.2">
      <c r="B11874" s="245"/>
      <c r="C11874" s="248"/>
      <c r="D11874" s="249"/>
      <c r="E11874" s="249"/>
      <c r="T11874" s="261"/>
    </row>
    <row r="11875" spans="2:20" x14ac:dyDescent="0.2">
      <c r="B11875" s="245"/>
      <c r="C11875" s="248"/>
      <c r="D11875" s="249"/>
      <c r="E11875" s="249"/>
      <c r="T11875" s="261"/>
    </row>
    <row r="11876" spans="2:20" x14ac:dyDescent="0.2">
      <c r="B11876" s="245"/>
      <c r="C11876" s="248"/>
      <c r="D11876" s="249"/>
      <c r="E11876" s="249"/>
      <c r="T11876" s="261"/>
    </row>
    <row r="11877" spans="2:20" x14ac:dyDescent="0.2">
      <c r="B11877" s="245"/>
      <c r="C11877" s="248"/>
      <c r="D11877" s="249"/>
      <c r="E11877" s="249"/>
      <c r="T11877" s="261"/>
    </row>
    <row r="11878" spans="2:20" x14ac:dyDescent="0.2">
      <c r="B11878" s="245"/>
      <c r="C11878" s="248"/>
      <c r="D11878" s="249"/>
      <c r="E11878" s="249"/>
      <c r="T11878" s="261"/>
    </row>
    <row r="11879" spans="2:20" x14ac:dyDescent="0.2">
      <c r="B11879" s="245"/>
      <c r="C11879" s="248"/>
      <c r="D11879" s="249"/>
      <c r="E11879" s="249"/>
      <c r="T11879" s="261"/>
    </row>
    <row r="11880" spans="2:20" x14ac:dyDescent="0.2">
      <c r="B11880" s="245"/>
      <c r="C11880" s="248"/>
      <c r="D11880" s="249"/>
      <c r="E11880" s="249"/>
      <c r="T11880" s="261"/>
    </row>
    <row r="11881" spans="2:20" x14ac:dyDescent="0.2">
      <c r="B11881" s="245"/>
      <c r="C11881" s="248"/>
      <c r="D11881" s="249"/>
      <c r="E11881" s="249"/>
      <c r="T11881" s="261"/>
    </row>
    <row r="11882" spans="2:20" x14ac:dyDescent="0.2">
      <c r="B11882" s="245"/>
      <c r="C11882" s="248"/>
      <c r="D11882" s="249"/>
      <c r="E11882" s="249"/>
      <c r="T11882" s="261"/>
    </row>
    <row r="11883" spans="2:20" x14ac:dyDescent="0.2">
      <c r="B11883" s="245"/>
      <c r="C11883" s="248"/>
      <c r="D11883" s="249"/>
      <c r="E11883" s="249"/>
      <c r="T11883" s="261"/>
    </row>
    <row r="11884" spans="2:20" x14ac:dyDescent="0.2">
      <c r="B11884" s="245"/>
      <c r="C11884" s="248"/>
      <c r="D11884" s="249"/>
      <c r="E11884" s="249"/>
      <c r="T11884" s="261"/>
    </row>
    <row r="11885" spans="2:20" x14ac:dyDescent="0.2">
      <c r="B11885" s="245"/>
      <c r="C11885" s="248"/>
      <c r="D11885" s="249"/>
      <c r="E11885" s="249"/>
      <c r="T11885" s="261"/>
    </row>
    <row r="11886" spans="2:20" x14ac:dyDescent="0.2">
      <c r="B11886" s="245"/>
      <c r="C11886" s="248"/>
      <c r="D11886" s="249"/>
      <c r="E11886" s="249"/>
      <c r="T11886" s="261"/>
    </row>
    <row r="11887" spans="2:20" x14ac:dyDescent="0.2">
      <c r="B11887" s="245"/>
      <c r="C11887" s="248"/>
      <c r="D11887" s="249"/>
      <c r="E11887" s="249"/>
      <c r="T11887" s="261"/>
    </row>
    <row r="11888" spans="2:20" x14ac:dyDescent="0.2">
      <c r="B11888" s="245"/>
      <c r="C11888" s="248"/>
      <c r="D11888" s="249"/>
      <c r="E11888" s="249"/>
      <c r="T11888" s="261"/>
    </row>
    <row r="11889" spans="2:20" x14ac:dyDescent="0.2">
      <c r="B11889" s="245"/>
      <c r="C11889" s="248"/>
      <c r="D11889" s="249"/>
      <c r="E11889" s="249"/>
      <c r="T11889" s="261"/>
    </row>
    <row r="11890" spans="2:20" x14ac:dyDescent="0.2">
      <c r="B11890" s="245"/>
      <c r="C11890" s="248"/>
      <c r="D11890" s="249"/>
      <c r="E11890" s="249"/>
      <c r="T11890" s="261"/>
    </row>
    <row r="11891" spans="2:20" x14ac:dyDescent="0.2">
      <c r="B11891" s="245"/>
      <c r="C11891" s="248"/>
      <c r="D11891" s="249"/>
      <c r="E11891" s="249"/>
      <c r="T11891" s="261"/>
    </row>
    <row r="11892" spans="2:20" x14ac:dyDescent="0.2">
      <c r="B11892" s="245"/>
      <c r="C11892" s="248"/>
      <c r="D11892" s="249"/>
      <c r="E11892" s="249"/>
      <c r="T11892" s="261"/>
    </row>
    <row r="11893" spans="2:20" x14ac:dyDescent="0.2">
      <c r="B11893" s="245"/>
      <c r="C11893" s="248"/>
      <c r="D11893" s="249"/>
      <c r="E11893" s="249"/>
      <c r="T11893" s="261"/>
    </row>
    <row r="11894" spans="2:20" x14ac:dyDescent="0.2">
      <c r="B11894" s="245"/>
      <c r="C11894" s="248"/>
      <c r="D11894" s="249"/>
      <c r="E11894" s="249"/>
      <c r="T11894" s="261"/>
    </row>
    <row r="11895" spans="2:20" x14ac:dyDescent="0.2">
      <c r="B11895" s="245"/>
      <c r="C11895" s="248"/>
      <c r="D11895" s="249"/>
      <c r="E11895" s="249"/>
      <c r="T11895" s="261"/>
    </row>
    <row r="11896" spans="2:20" x14ac:dyDescent="0.2">
      <c r="B11896" s="245"/>
      <c r="C11896" s="248"/>
      <c r="D11896" s="249"/>
      <c r="E11896" s="249"/>
      <c r="T11896" s="261"/>
    </row>
    <row r="11897" spans="2:20" x14ac:dyDescent="0.2">
      <c r="B11897" s="245"/>
      <c r="C11897" s="248"/>
      <c r="D11897" s="249"/>
      <c r="E11897" s="249"/>
      <c r="T11897" s="261"/>
    </row>
    <row r="11898" spans="2:20" x14ac:dyDescent="0.2">
      <c r="B11898" s="245"/>
      <c r="C11898" s="248"/>
      <c r="D11898" s="249"/>
      <c r="E11898" s="249"/>
      <c r="T11898" s="261"/>
    </row>
    <row r="11899" spans="2:20" x14ac:dyDescent="0.2">
      <c r="B11899" s="245"/>
      <c r="C11899" s="248"/>
      <c r="D11899" s="249"/>
      <c r="E11899" s="249"/>
      <c r="T11899" s="261"/>
    </row>
    <row r="11900" spans="2:20" x14ac:dyDescent="0.2">
      <c r="B11900" s="245"/>
      <c r="C11900" s="248"/>
      <c r="D11900" s="249"/>
      <c r="E11900" s="249"/>
      <c r="T11900" s="261"/>
    </row>
    <row r="11901" spans="2:20" x14ac:dyDescent="0.2">
      <c r="B11901" s="245"/>
      <c r="C11901" s="248"/>
      <c r="D11901" s="249"/>
      <c r="E11901" s="249"/>
      <c r="T11901" s="261"/>
    </row>
    <row r="11902" spans="2:20" x14ac:dyDescent="0.2">
      <c r="B11902" s="245"/>
      <c r="C11902" s="248"/>
      <c r="D11902" s="249"/>
      <c r="E11902" s="249"/>
      <c r="T11902" s="261"/>
    </row>
    <row r="11903" spans="2:20" x14ac:dyDescent="0.2">
      <c r="B11903" s="245"/>
      <c r="C11903" s="248"/>
      <c r="D11903" s="249"/>
      <c r="E11903" s="249"/>
      <c r="T11903" s="261"/>
    </row>
    <row r="11904" spans="2:20" x14ac:dyDescent="0.2">
      <c r="B11904" s="245"/>
      <c r="C11904" s="248"/>
      <c r="D11904" s="249"/>
      <c r="E11904" s="249"/>
      <c r="T11904" s="261"/>
    </row>
    <row r="11905" spans="2:20" x14ac:dyDescent="0.2">
      <c r="B11905" s="245"/>
      <c r="C11905" s="248"/>
      <c r="D11905" s="249"/>
      <c r="E11905" s="249"/>
      <c r="T11905" s="261"/>
    </row>
    <row r="11906" spans="2:20" x14ac:dyDescent="0.2">
      <c r="B11906" s="245"/>
      <c r="C11906" s="248"/>
      <c r="D11906" s="249"/>
      <c r="E11906" s="249"/>
      <c r="T11906" s="261"/>
    </row>
    <row r="11907" spans="2:20" x14ac:dyDescent="0.2">
      <c r="B11907" s="245"/>
      <c r="C11907" s="248"/>
      <c r="D11907" s="249"/>
      <c r="E11907" s="249"/>
      <c r="T11907" s="261"/>
    </row>
    <row r="11908" spans="2:20" x14ac:dyDescent="0.2">
      <c r="B11908" s="245"/>
      <c r="C11908" s="248"/>
      <c r="D11908" s="249"/>
      <c r="E11908" s="249"/>
      <c r="T11908" s="261"/>
    </row>
    <row r="11909" spans="2:20" x14ac:dyDescent="0.2">
      <c r="B11909" s="245"/>
      <c r="C11909" s="248"/>
      <c r="D11909" s="249"/>
      <c r="E11909" s="249"/>
      <c r="T11909" s="261"/>
    </row>
    <row r="11910" spans="2:20" x14ac:dyDescent="0.2">
      <c r="B11910" s="245"/>
      <c r="C11910" s="248"/>
      <c r="D11910" s="249"/>
      <c r="E11910" s="249"/>
      <c r="T11910" s="261"/>
    </row>
    <row r="11911" spans="2:20" x14ac:dyDescent="0.2">
      <c r="B11911" s="245"/>
      <c r="C11911" s="248"/>
      <c r="D11911" s="249"/>
      <c r="E11911" s="249"/>
      <c r="T11911" s="261"/>
    </row>
    <row r="11912" spans="2:20" x14ac:dyDescent="0.2">
      <c r="B11912" s="245"/>
      <c r="C11912" s="248"/>
      <c r="D11912" s="249"/>
      <c r="E11912" s="249"/>
      <c r="T11912" s="261"/>
    </row>
    <row r="11913" spans="2:20" x14ac:dyDescent="0.2">
      <c r="B11913" s="245"/>
      <c r="C11913" s="248"/>
      <c r="D11913" s="249"/>
      <c r="E11913" s="249"/>
      <c r="T11913" s="261"/>
    </row>
    <row r="11914" spans="2:20" x14ac:dyDescent="0.2">
      <c r="B11914" s="245"/>
      <c r="C11914" s="248"/>
      <c r="D11914" s="249"/>
      <c r="E11914" s="249"/>
      <c r="T11914" s="261"/>
    </row>
    <row r="11915" spans="2:20" x14ac:dyDescent="0.2">
      <c r="B11915" s="245"/>
      <c r="C11915" s="248"/>
      <c r="D11915" s="249"/>
      <c r="E11915" s="249"/>
      <c r="T11915" s="261"/>
    </row>
    <row r="11916" spans="2:20" x14ac:dyDescent="0.2">
      <c r="B11916" s="245"/>
      <c r="C11916" s="248"/>
      <c r="D11916" s="249"/>
      <c r="E11916" s="249"/>
      <c r="T11916" s="261"/>
    </row>
    <row r="11917" spans="2:20" x14ac:dyDescent="0.2">
      <c r="B11917" s="245"/>
      <c r="C11917" s="248"/>
      <c r="D11917" s="249"/>
      <c r="E11917" s="249"/>
      <c r="T11917" s="261"/>
    </row>
    <row r="11918" spans="2:20" x14ac:dyDescent="0.2">
      <c r="B11918" s="245"/>
      <c r="C11918" s="248"/>
      <c r="D11918" s="249"/>
      <c r="E11918" s="249"/>
      <c r="T11918" s="261"/>
    </row>
    <row r="11919" spans="2:20" x14ac:dyDescent="0.2">
      <c r="B11919" s="245"/>
      <c r="C11919" s="248"/>
      <c r="D11919" s="249"/>
      <c r="E11919" s="249"/>
      <c r="T11919" s="261"/>
    </row>
    <row r="11920" spans="2:20" x14ac:dyDescent="0.2">
      <c r="B11920" s="245"/>
      <c r="C11920" s="248"/>
      <c r="D11920" s="249"/>
      <c r="E11920" s="249"/>
      <c r="T11920" s="261"/>
    </row>
    <row r="11921" spans="2:20" x14ac:dyDescent="0.2">
      <c r="B11921" s="245"/>
      <c r="C11921" s="248"/>
      <c r="D11921" s="249"/>
      <c r="E11921" s="249"/>
      <c r="T11921" s="261"/>
    </row>
    <row r="11922" spans="2:20" x14ac:dyDescent="0.2">
      <c r="B11922" s="245"/>
      <c r="C11922" s="248"/>
      <c r="D11922" s="249"/>
      <c r="E11922" s="249"/>
      <c r="T11922" s="261"/>
    </row>
    <row r="11923" spans="2:20" x14ac:dyDescent="0.2">
      <c r="B11923" s="245"/>
      <c r="C11923" s="248"/>
      <c r="D11923" s="249"/>
      <c r="E11923" s="249"/>
      <c r="T11923" s="261"/>
    </row>
    <row r="11924" spans="2:20" x14ac:dyDescent="0.2">
      <c r="B11924" s="245"/>
      <c r="C11924" s="248"/>
      <c r="D11924" s="249"/>
      <c r="E11924" s="249"/>
      <c r="T11924" s="261"/>
    </row>
    <row r="11925" spans="2:20" x14ac:dyDescent="0.2">
      <c r="B11925" s="245"/>
      <c r="C11925" s="248"/>
      <c r="D11925" s="249"/>
      <c r="E11925" s="249"/>
      <c r="T11925" s="261"/>
    </row>
    <row r="11926" spans="2:20" x14ac:dyDescent="0.2">
      <c r="B11926" s="245"/>
      <c r="C11926" s="248"/>
      <c r="D11926" s="249"/>
      <c r="E11926" s="249"/>
      <c r="T11926" s="261"/>
    </row>
    <row r="11927" spans="2:20" x14ac:dyDescent="0.2">
      <c r="B11927" s="245"/>
      <c r="C11927" s="248"/>
      <c r="D11927" s="249"/>
      <c r="E11927" s="249"/>
      <c r="T11927" s="261"/>
    </row>
    <row r="11928" spans="2:20" x14ac:dyDescent="0.2">
      <c r="B11928" s="245"/>
      <c r="C11928" s="248"/>
      <c r="D11928" s="249"/>
      <c r="E11928" s="249"/>
      <c r="T11928" s="261"/>
    </row>
    <row r="11929" spans="2:20" x14ac:dyDescent="0.2">
      <c r="B11929" s="245"/>
      <c r="C11929" s="248"/>
      <c r="D11929" s="249"/>
      <c r="E11929" s="249"/>
      <c r="T11929" s="261"/>
    </row>
    <row r="11930" spans="2:20" x14ac:dyDescent="0.2">
      <c r="B11930" s="245"/>
      <c r="C11930" s="248"/>
      <c r="D11930" s="249"/>
      <c r="E11930" s="249"/>
      <c r="T11930" s="261"/>
    </row>
    <row r="11931" spans="2:20" x14ac:dyDescent="0.2">
      <c r="B11931" s="245"/>
      <c r="C11931" s="248"/>
      <c r="D11931" s="249"/>
      <c r="E11931" s="249"/>
      <c r="T11931" s="261"/>
    </row>
    <row r="11932" spans="2:20" x14ac:dyDescent="0.2">
      <c r="B11932" s="245"/>
      <c r="C11932" s="248"/>
      <c r="D11932" s="249"/>
      <c r="E11932" s="249"/>
      <c r="T11932" s="261"/>
    </row>
    <row r="11933" spans="2:20" x14ac:dyDescent="0.2">
      <c r="B11933" s="245"/>
      <c r="C11933" s="248"/>
      <c r="D11933" s="249"/>
      <c r="E11933" s="249"/>
      <c r="T11933" s="261"/>
    </row>
    <row r="11934" spans="2:20" x14ac:dyDescent="0.2">
      <c r="B11934" s="245"/>
      <c r="C11934" s="248"/>
      <c r="D11934" s="249"/>
      <c r="E11934" s="249"/>
      <c r="T11934" s="261"/>
    </row>
    <row r="11935" spans="2:20" x14ac:dyDescent="0.2">
      <c r="B11935" s="245"/>
      <c r="C11935" s="248"/>
      <c r="D11935" s="249"/>
      <c r="E11935" s="249"/>
      <c r="T11935" s="261"/>
    </row>
    <row r="11936" spans="2:20" x14ac:dyDescent="0.2">
      <c r="B11936" s="245"/>
      <c r="C11936" s="248"/>
      <c r="D11936" s="249"/>
      <c r="E11936" s="249"/>
      <c r="T11936" s="261"/>
    </row>
    <row r="11937" spans="2:20" x14ac:dyDescent="0.2">
      <c r="B11937" s="245"/>
      <c r="C11937" s="248"/>
      <c r="D11937" s="249"/>
      <c r="E11937" s="249"/>
      <c r="T11937" s="261"/>
    </row>
    <row r="11938" spans="2:20" x14ac:dyDescent="0.2">
      <c r="B11938" s="245"/>
      <c r="C11938" s="248"/>
      <c r="D11938" s="249"/>
      <c r="E11938" s="249"/>
      <c r="T11938" s="261"/>
    </row>
    <row r="11939" spans="2:20" x14ac:dyDescent="0.2">
      <c r="B11939" s="245"/>
      <c r="C11939" s="248"/>
      <c r="D11939" s="249"/>
      <c r="E11939" s="249"/>
      <c r="T11939" s="261"/>
    </row>
    <row r="11940" spans="2:20" x14ac:dyDescent="0.2">
      <c r="B11940" s="245"/>
      <c r="C11940" s="248"/>
      <c r="D11940" s="249"/>
      <c r="E11940" s="249"/>
      <c r="T11940" s="261"/>
    </row>
    <row r="11941" spans="2:20" x14ac:dyDescent="0.2">
      <c r="B11941" s="245"/>
      <c r="C11941" s="248"/>
      <c r="D11941" s="249"/>
      <c r="E11941" s="249"/>
      <c r="T11941" s="261"/>
    </row>
    <row r="11942" spans="2:20" x14ac:dyDescent="0.2">
      <c r="B11942" s="245"/>
      <c r="C11942" s="248"/>
      <c r="D11942" s="249"/>
      <c r="E11942" s="249"/>
      <c r="T11942" s="261"/>
    </row>
    <row r="11943" spans="2:20" x14ac:dyDescent="0.2">
      <c r="B11943" s="245"/>
      <c r="C11943" s="248"/>
      <c r="D11943" s="249"/>
      <c r="E11943" s="249"/>
      <c r="T11943" s="261"/>
    </row>
    <row r="11944" spans="2:20" x14ac:dyDescent="0.2">
      <c r="B11944" s="245"/>
      <c r="C11944" s="248"/>
      <c r="D11944" s="249"/>
      <c r="E11944" s="249"/>
      <c r="T11944" s="261"/>
    </row>
    <row r="11945" spans="2:20" x14ac:dyDescent="0.2">
      <c r="B11945" s="245"/>
      <c r="C11945" s="248"/>
      <c r="D11945" s="249"/>
      <c r="E11945" s="249"/>
      <c r="T11945" s="261"/>
    </row>
    <row r="11946" spans="2:20" x14ac:dyDescent="0.2">
      <c r="B11946" s="245"/>
      <c r="C11946" s="248"/>
      <c r="D11946" s="249"/>
      <c r="E11946" s="249"/>
      <c r="T11946" s="261"/>
    </row>
    <row r="11947" spans="2:20" x14ac:dyDescent="0.2">
      <c r="B11947" s="245"/>
      <c r="C11947" s="248"/>
      <c r="D11947" s="249"/>
      <c r="E11947" s="249"/>
      <c r="T11947" s="261"/>
    </row>
    <row r="11948" spans="2:20" x14ac:dyDescent="0.2">
      <c r="B11948" s="245"/>
      <c r="C11948" s="248"/>
      <c r="D11948" s="249"/>
      <c r="E11948" s="249"/>
      <c r="T11948" s="261"/>
    </row>
    <row r="11949" spans="2:20" x14ac:dyDescent="0.2">
      <c r="B11949" s="245"/>
      <c r="C11949" s="248"/>
      <c r="D11949" s="249"/>
      <c r="E11949" s="249"/>
      <c r="T11949" s="261"/>
    </row>
    <row r="11950" spans="2:20" x14ac:dyDescent="0.2">
      <c r="B11950" s="245"/>
      <c r="C11950" s="248"/>
      <c r="D11950" s="249"/>
      <c r="E11950" s="249"/>
      <c r="T11950" s="261"/>
    </row>
    <row r="11951" spans="2:20" x14ac:dyDescent="0.2">
      <c r="B11951" s="245"/>
      <c r="C11951" s="248"/>
      <c r="D11951" s="249"/>
      <c r="E11951" s="249"/>
      <c r="T11951" s="261"/>
    </row>
    <row r="11952" spans="2:20" x14ac:dyDescent="0.2">
      <c r="B11952" s="245"/>
      <c r="C11952" s="248"/>
      <c r="D11952" s="249"/>
      <c r="E11952" s="249"/>
      <c r="T11952" s="261"/>
    </row>
    <row r="11953" spans="2:20" x14ac:dyDescent="0.2">
      <c r="B11953" s="245"/>
      <c r="C11953" s="248"/>
      <c r="D11953" s="249"/>
      <c r="E11953" s="249"/>
      <c r="T11953" s="261"/>
    </row>
    <row r="11954" spans="2:20" x14ac:dyDescent="0.2">
      <c r="B11954" s="245"/>
      <c r="C11954" s="248"/>
      <c r="D11954" s="249"/>
      <c r="E11954" s="249"/>
      <c r="T11954" s="261"/>
    </row>
    <row r="11955" spans="2:20" x14ac:dyDescent="0.2">
      <c r="B11955" s="245"/>
      <c r="C11955" s="248"/>
      <c r="D11955" s="249"/>
      <c r="E11955" s="249"/>
      <c r="T11955" s="261"/>
    </row>
    <row r="11956" spans="2:20" x14ac:dyDescent="0.2">
      <c r="B11956" s="245"/>
      <c r="C11956" s="248"/>
      <c r="D11956" s="249"/>
      <c r="E11956" s="249"/>
      <c r="T11956" s="261"/>
    </row>
    <row r="11957" spans="2:20" x14ac:dyDescent="0.2">
      <c r="B11957" s="245"/>
      <c r="C11957" s="248"/>
      <c r="D11957" s="249"/>
      <c r="E11957" s="249"/>
      <c r="T11957" s="261"/>
    </row>
    <row r="11958" spans="2:20" x14ac:dyDescent="0.2">
      <c r="B11958" s="245"/>
      <c r="C11958" s="248"/>
      <c r="D11958" s="249"/>
      <c r="E11958" s="249"/>
      <c r="T11958" s="261"/>
    </row>
    <row r="11959" spans="2:20" x14ac:dyDescent="0.2">
      <c r="B11959" s="245"/>
      <c r="C11959" s="248"/>
      <c r="D11959" s="249"/>
      <c r="E11959" s="249"/>
      <c r="T11959" s="261"/>
    </row>
    <row r="11960" spans="2:20" x14ac:dyDescent="0.2">
      <c r="B11960" s="245"/>
      <c r="C11960" s="248"/>
      <c r="D11960" s="249"/>
      <c r="E11960" s="249"/>
      <c r="T11960" s="261"/>
    </row>
    <row r="11961" spans="2:20" x14ac:dyDescent="0.2">
      <c r="B11961" s="245"/>
      <c r="C11961" s="248"/>
      <c r="D11961" s="249"/>
      <c r="E11961" s="249"/>
      <c r="T11961" s="261"/>
    </row>
    <row r="11962" spans="2:20" x14ac:dyDescent="0.2">
      <c r="B11962" s="245"/>
      <c r="C11962" s="248"/>
      <c r="D11962" s="249"/>
      <c r="E11962" s="249"/>
      <c r="T11962" s="261"/>
    </row>
    <row r="11963" spans="2:20" x14ac:dyDescent="0.2">
      <c r="B11963" s="245"/>
      <c r="C11963" s="248"/>
      <c r="D11963" s="249"/>
      <c r="E11963" s="249"/>
      <c r="T11963" s="261"/>
    </row>
    <row r="11964" spans="2:20" x14ac:dyDescent="0.2">
      <c r="B11964" s="245"/>
      <c r="C11964" s="248"/>
      <c r="D11964" s="249"/>
      <c r="E11964" s="249"/>
      <c r="T11964" s="261"/>
    </row>
    <row r="11965" spans="2:20" x14ac:dyDescent="0.2">
      <c r="B11965" s="245"/>
      <c r="C11965" s="248"/>
      <c r="D11965" s="249"/>
      <c r="E11965" s="249"/>
      <c r="T11965" s="261"/>
    </row>
    <row r="11966" spans="2:20" x14ac:dyDescent="0.2">
      <c r="B11966" s="245"/>
      <c r="C11966" s="248"/>
      <c r="D11966" s="249"/>
      <c r="E11966" s="249"/>
      <c r="T11966" s="261"/>
    </row>
    <row r="11967" spans="2:20" x14ac:dyDescent="0.2">
      <c r="B11967" s="245"/>
      <c r="C11967" s="248"/>
      <c r="D11967" s="249"/>
      <c r="E11967" s="249"/>
      <c r="T11967" s="261"/>
    </row>
    <row r="11968" spans="2:20" x14ac:dyDescent="0.2">
      <c r="B11968" s="245"/>
      <c r="C11968" s="248"/>
      <c r="D11968" s="249"/>
      <c r="E11968" s="249"/>
      <c r="T11968" s="261"/>
    </row>
    <row r="11969" spans="2:20" x14ac:dyDescent="0.2">
      <c r="B11969" s="245"/>
      <c r="C11969" s="248"/>
      <c r="D11969" s="249"/>
      <c r="E11969" s="249"/>
      <c r="T11969" s="261"/>
    </row>
    <row r="11970" spans="2:20" x14ac:dyDescent="0.2">
      <c r="B11970" s="245"/>
      <c r="C11970" s="248"/>
      <c r="D11970" s="249"/>
      <c r="E11970" s="249"/>
      <c r="T11970" s="261"/>
    </row>
    <row r="11971" spans="2:20" x14ac:dyDescent="0.2">
      <c r="B11971" s="245"/>
      <c r="C11971" s="248"/>
      <c r="D11971" s="249"/>
      <c r="E11971" s="249"/>
      <c r="T11971" s="261"/>
    </row>
    <row r="11972" spans="2:20" x14ac:dyDescent="0.2">
      <c r="B11972" s="245"/>
      <c r="C11972" s="248"/>
      <c r="D11972" s="249"/>
      <c r="E11972" s="249"/>
      <c r="T11972" s="261"/>
    </row>
    <row r="11973" spans="2:20" x14ac:dyDescent="0.2">
      <c r="B11973" s="245"/>
      <c r="C11973" s="248"/>
      <c r="D11973" s="249"/>
      <c r="E11973" s="249"/>
      <c r="T11973" s="261"/>
    </row>
    <row r="11974" spans="2:20" x14ac:dyDescent="0.2">
      <c r="B11974" s="245"/>
      <c r="C11974" s="248"/>
      <c r="D11974" s="249"/>
      <c r="E11974" s="249"/>
      <c r="T11974" s="261"/>
    </row>
    <row r="11975" spans="2:20" x14ac:dyDescent="0.2">
      <c r="B11975" s="245"/>
      <c r="C11975" s="248"/>
      <c r="D11975" s="249"/>
      <c r="E11975" s="249"/>
      <c r="T11975" s="261"/>
    </row>
    <row r="11976" spans="2:20" x14ac:dyDescent="0.2">
      <c r="B11976" s="245"/>
      <c r="C11976" s="248"/>
      <c r="D11976" s="249"/>
      <c r="E11976" s="249"/>
      <c r="T11976" s="261"/>
    </row>
    <row r="11977" spans="2:20" x14ac:dyDescent="0.2">
      <c r="B11977" s="245"/>
      <c r="C11977" s="248"/>
      <c r="D11977" s="249"/>
      <c r="E11977" s="249"/>
      <c r="T11977" s="261"/>
    </row>
    <row r="11978" spans="2:20" x14ac:dyDescent="0.2">
      <c r="B11978" s="245"/>
      <c r="C11978" s="248"/>
      <c r="D11978" s="249"/>
      <c r="E11978" s="249"/>
      <c r="T11978" s="261"/>
    </row>
    <row r="11979" spans="2:20" x14ac:dyDescent="0.2">
      <c r="B11979" s="245"/>
      <c r="C11979" s="248"/>
      <c r="D11979" s="249"/>
      <c r="E11979" s="249"/>
      <c r="T11979" s="261"/>
    </row>
    <row r="11980" spans="2:20" x14ac:dyDescent="0.2">
      <c r="B11980" s="245"/>
      <c r="C11980" s="248"/>
      <c r="D11980" s="249"/>
      <c r="E11980" s="249"/>
      <c r="T11980" s="261"/>
    </row>
    <row r="11981" spans="2:20" x14ac:dyDescent="0.2">
      <c r="B11981" s="245"/>
      <c r="C11981" s="248"/>
      <c r="D11981" s="249"/>
      <c r="E11981" s="249"/>
      <c r="T11981" s="261"/>
    </row>
    <row r="11982" spans="2:20" x14ac:dyDescent="0.2">
      <c r="B11982" s="245"/>
      <c r="C11982" s="248"/>
      <c r="D11982" s="249"/>
      <c r="E11982" s="249"/>
      <c r="T11982" s="261"/>
    </row>
    <row r="11983" spans="2:20" x14ac:dyDescent="0.2">
      <c r="B11983" s="245"/>
      <c r="C11983" s="248"/>
      <c r="D11983" s="249"/>
      <c r="E11983" s="249"/>
      <c r="T11983" s="261"/>
    </row>
    <row r="11984" spans="2:20" x14ac:dyDescent="0.2">
      <c r="B11984" s="245"/>
      <c r="C11984" s="248"/>
      <c r="D11984" s="249"/>
      <c r="E11984" s="249"/>
      <c r="T11984" s="261"/>
    </row>
    <row r="11985" spans="2:20" x14ac:dyDescent="0.2">
      <c r="B11985" s="245"/>
      <c r="C11985" s="248"/>
      <c r="D11985" s="249"/>
      <c r="E11985" s="249"/>
      <c r="T11985" s="261"/>
    </row>
    <row r="11986" spans="2:20" x14ac:dyDescent="0.2">
      <c r="B11986" s="245"/>
      <c r="C11986" s="248"/>
      <c r="D11986" s="249"/>
      <c r="E11986" s="249"/>
      <c r="T11986" s="261"/>
    </row>
    <row r="11987" spans="2:20" x14ac:dyDescent="0.2">
      <c r="B11987" s="245"/>
      <c r="C11987" s="248"/>
      <c r="D11987" s="249"/>
      <c r="E11987" s="249"/>
      <c r="T11987" s="261"/>
    </row>
    <row r="11988" spans="2:20" x14ac:dyDescent="0.2">
      <c r="B11988" s="245"/>
      <c r="C11988" s="248"/>
      <c r="D11988" s="249"/>
      <c r="E11988" s="249"/>
      <c r="T11988" s="261"/>
    </row>
    <row r="11989" spans="2:20" x14ac:dyDescent="0.2">
      <c r="B11989" s="245"/>
      <c r="C11989" s="248"/>
      <c r="D11989" s="249"/>
      <c r="E11989" s="249"/>
      <c r="T11989" s="261"/>
    </row>
    <row r="11990" spans="2:20" x14ac:dyDescent="0.2">
      <c r="B11990" s="245"/>
      <c r="C11990" s="248"/>
      <c r="D11990" s="249"/>
      <c r="E11990" s="249"/>
      <c r="T11990" s="261"/>
    </row>
    <row r="11991" spans="2:20" x14ac:dyDescent="0.2">
      <c r="B11991" s="245"/>
      <c r="C11991" s="248"/>
      <c r="D11991" s="249"/>
      <c r="E11991" s="249"/>
      <c r="T11991" s="261"/>
    </row>
    <row r="11992" spans="2:20" x14ac:dyDescent="0.2">
      <c r="B11992" s="245"/>
      <c r="C11992" s="248"/>
      <c r="D11992" s="249"/>
      <c r="E11992" s="249"/>
      <c r="T11992" s="261"/>
    </row>
    <row r="11993" spans="2:20" x14ac:dyDescent="0.2">
      <c r="B11993" s="245"/>
      <c r="C11993" s="248"/>
      <c r="D11993" s="249"/>
      <c r="E11993" s="249"/>
      <c r="T11993" s="261"/>
    </row>
    <row r="11994" spans="2:20" x14ac:dyDescent="0.2">
      <c r="B11994" s="245"/>
      <c r="C11994" s="248"/>
      <c r="D11994" s="249"/>
      <c r="E11994" s="249"/>
      <c r="T11994" s="261"/>
    </row>
    <row r="11995" spans="2:20" x14ac:dyDescent="0.2">
      <c r="B11995" s="245"/>
      <c r="C11995" s="248"/>
      <c r="D11995" s="249"/>
      <c r="E11995" s="249"/>
      <c r="T11995" s="261"/>
    </row>
    <row r="11996" spans="2:20" x14ac:dyDescent="0.2">
      <c r="B11996" s="245"/>
      <c r="C11996" s="248"/>
      <c r="D11996" s="249"/>
      <c r="E11996" s="249"/>
      <c r="T11996" s="261"/>
    </row>
    <row r="11997" spans="2:20" x14ac:dyDescent="0.2">
      <c r="B11997" s="245"/>
      <c r="C11997" s="248"/>
      <c r="D11997" s="249"/>
      <c r="E11997" s="249"/>
      <c r="T11997" s="261"/>
    </row>
    <row r="11998" spans="2:20" x14ac:dyDescent="0.2">
      <c r="B11998" s="245"/>
      <c r="C11998" s="248"/>
      <c r="D11998" s="249"/>
      <c r="E11998" s="249"/>
      <c r="T11998" s="261"/>
    </row>
    <row r="11999" spans="2:20" x14ac:dyDescent="0.2">
      <c r="B11999" s="245"/>
      <c r="C11999" s="248"/>
      <c r="D11999" s="249"/>
      <c r="E11999" s="249"/>
      <c r="T11999" s="261"/>
    </row>
    <row r="12000" spans="2:20" x14ac:dyDescent="0.2">
      <c r="B12000" s="245"/>
      <c r="C12000" s="248"/>
      <c r="D12000" s="249"/>
      <c r="E12000" s="249"/>
      <c r="T12000" s="261"/>
    </row>
    <row r="12001" spans="2:20" x14ac:dyDescent="0.2">
      <c r="B12001" s="245"/>
      <c r="C12001" s="248"/>
      <c r="D12001" s="249"/>
      <c r="E12001" s="249"/>
      <c r="T12001" s="261"/>
    </row>
    <row r="12002" spans="2:20" x14ac:dyDescent="0.2">
      <c r="B12002" s="245"/>
      <c r="C12002" s="248"/>
      <c r="D12002" s="249"/>
      <c r="E12002" s="249"/>
      <c r="T12002" s="261"/>
    </row>
    <row r="12003" spans="2:20" x14ac:dyDescent="0.2">
      <c r="B12003" s="245"/>
      <c r="C12003" s="248"/>
      <c r="D12003" s="249"/>
      <c r="E12003" s="249"/>
      <c r="T12003" s="261"/>
    </row>
    <row r="12004" spans="2:20" x14ac:dyDescent="0.2">
      <c r="B12004" s="245"/>
      <c r="C12004" s="248"/>
      <c r="D12004" s="249"/>
      <c r="E12004" s="249"/>
      <c r="T12004" s="261"/>
    </row>
    <row r="12005" spans="2:20" x14ac:dyDescent="0.2">
      <c r="B12005" s="245"/>
      <c r="C12005" s="248"/>
      <c r="D12005" s="249"/>
      <c r="E12005" s="249"/>
      <c r="T12005" s="261"/>
    </row>
    <row r="12006" spans="2:20" x14ac:dyDescent="0.2">
      <c r="B12006" s="245"/>
      <c r="C12006" s="248"/>
      <c r="D12006" s="249"/>
      <c r="E12006" s="249"/>
      <c r="T12006" s="261"/>
    </row>
    <row r="12007" spans="2:20" x14ac:dyDescent="0.2">
      <c r="B12007" s="245"/>
      <c r="C12007" s="248"/>
      <c r="D12007" s="249"/>
      <c r="E12007" s="249"/>
      <c r="T12007" s="261"/>
    </row>
    <row r="12008" spans="2:20" x14ac:dyDescent="0.2">
      <c r="B12008" s="245"/>
      <c r="C12008" s="248"/>
      <c r="D12008" s="249"/>
      <c r="E12008" s="249"/>
      <c r="T12008" s="261"/>
    </row>
    <row r="12009" spans="2:20" x14ac:dyDescent="0.2">
      <c r="B12009" s="245"/>
      <c r="C12009" s="248"/>
      <c r="D12009" s="249"/>
      <c r="E12009" s="249"/>
      <c r="T12009" s="261"/>
    </row>
    <row r="12010" spans="2:20" x14ac:dyDescent="0.2">
      <c r="B12010" s="245"/>
      <c r="C12010" s="248"/>
      <c r="D12010" s="249"/>
      <c r="E12010" s="249"/>
      <c r="T12010" s="261"/>
    </row>
    <row r="12011" spans="2:20" x14ac:dyDescent="0.2">
      <c r="B12011" s="245"/>
      <c r="C12011" s="248"/>
      <c r="D12011" s="249"/>
      <c r="E12011" s="249"/>
      <c r="T12011" s="261"/>
    </row>
    <row r="12012" spans="2:20" x14ac:dyDescent="0.2">
      <c r="B12012" s="245"/>
      <c r="C12012" s="248"/>
      <c r="D12012" s="249"/>
      <c r="E12012" s="249"/>
      <c r="T12012" s="261"/>
    </row>
    <row r="12013" spans="2:20" x14ac:dyDescent="0.2">
      <c r="B12013" s="245"/>
      <c r="C12013" s="248"/>
      <c r="D12013" s="249"/>
      <c r="E12013" s="249"/>
      <c r="T12013" s="261"/>
    </row>
    <row r="12014" spans="2:20" x14ac:dyDescent="0.2">
      <c r="B12014" s="245"/>
      <c r="C12014" s="248"/>
      <c r="D12014" s="249"/>
      <c r="E12014" s="249"/>
      <c r="T12014" s="261"/>
    </row>
    <row r="12015" spans="2:20" x14ac:dyDescent="0.2">
      <c r="B12015" s="245"/>
      <c r="C12015" s="248"/>
      <c r="D12015" s="249"/>
      <c r="E12015" s="249"/>
      <c r="T12015" s="261"/>
    </row>
    <row r="12016" spans="2:20" x14ac:dyDescent="0.2">
      <c r="B12016" s="245"/>
      <c r="C12016" s="248"/>
      <c r="D12016" s="249"/>
      <c r="E12016" s="249"/>
      <c r="T12016" s="261"/>
    </row>
    <row r="12017" spans="2:20" x14ac:dyDescent="0.2">
      <c r="B12017" s="245"/>
      <c r="C12017" s="248"/>
      <c r="D12017" s="249"/>
      <c r="E12017" s="249"/>
      <c r="T12017" s="261"/>
    </row>
    <row r="12018" spans="2:20" x14ac:dyDescent="0.2">
      <c r="B12018" s="245"/>
      <c r="C12018" s="248"/>
      <c r="D12018" s="249"/>
      <c r="E12018" s="249"/>
      <c r="T12018" s="261"/>
    </row>
    <row r="12019" spans="2:20" x14ac:dyDescent="0.2">
      <c r="B12019" s="245"/>
      <c r="C12019" s="248"/>
      <c r="D12019" s="249"/>
      <c r="E12019" s="249"/>
      <c r="T12019" s="261"/>
    </row>
    <row r="12020" spans="2:20" x14ac:dyDescent="0.2">
      <c r="B12020" s="245"/>
      <c r="C12020" s="248"/>
      <c r="D12020" s="249"/>
      <c r="E12020" s="249"/>
      <c r="T12020" s="261"/>
    </row>
    <row r="12021" spans="2:20" x14ac:dyDescent="0.2">
      <c r="B12021" s="245"/>
      <c r="C12021" s="248"/>
      <c r="D12021" s="249"/>
      <c r="E12021" s="249"/>
      <c r="T12021" s="261"/>
    </row>
    <row r="12022" spans="2:20" x14ac:dyDescent="0.2">
      <c r="B12022" s="245"/>
      <c r="C12022" s="248"/>
      <c r="D12022" s="249"/>
      <c r="E12022" s="249"/>
      <c r="T12022" s="261"/>
    </row>
    <row r="12023" spans="2:20" x14ac:dyDescent="0.2">
      <c r="B12023" s="245"/>
      <c r="C12023" s="248"/>
      <c r="D12023" s="249"/>
      <c r="E12023" s="249"/>
      <c r="T12023" s="261"/>
    </row>
    <row r="12024" spans="2:20" x14ac:dyDescent="0.2">
      <c r="B12024" s="245"/>
      <c r="C12024" s="248"/>
      <c r="D12024" s="249"/>
      <c r="E12024" s="249"/>
      <c r="T12024" s="261"/>
    </row>
    <row r="12025" spans="2:20" x14ac:dyDescent="0.2">
      <c r="B12025" s="245"/>
      <c r="C12025" s="248"/>
      <c r="D12025" s="249"/>
      <c r="E12025" s="249"/>
      <c r="T12025" s="261"/>
    </row>
    <row r="12026" spans="2:20" x14ac:dyDescent="0.2">
      <c r="B12026" s="245"/>
      <c r="C12026" s="248"/>
      <c r="D12026" s="249"/>
      <c r="E12026" s="249"/>
      <c r="T12026" s="261"/>
    </row>
    <row r="12027" spans="2:20" x14ac:dyDescent="0.2">
      <c r="B12027" s="245"/>
      <c r="C12027" s="248"/>
      <c r="D12027" s="249"/>
      <c r="E12027" s="249"/>
      <c r="T12027" s="261"/>
    </row>
    <row r="12028" spans="2:20" x14ac:dyDescent="0.2">
      <c r="B12028" s="245"/>
      <c r="C12028" s="248"/>
      <c r="D12028" s="249"/>
      <c r="E12028" s="249"/>
      <c r="T12028" s="261"/>
    </row>
    <row r="12029" spans="2:20" x14ac:dyDescent="0.2">
      <c r="B12029" s="245"/>
      <c r="C12029" s="248"/>
      <c r="D12029" s="249"/>
      <c r="E12029" s="249"/>
      <c r="T12029" s="261"/>
    </row>
    <row r="12030" spans="2:20" x14ac:dyDescent="0.2">
      <c r="B12030" s="245"/>
      <c r="C12030" s="248"/>
      <c r="D12030" s="249"/>
      <c r="E12030" s="249"/>
      <c r="T12030" s="261"/>
    </row>
    <row r="12031" spans="2:20" x14ac:dyDescent="0.2">
      <c r="B12031" s="245"/>
      <c r="C12031" s="248"/>
      <c r="D12031" s="249"/>
      <c r="E12031" s="249"/>
      <c r="T12031" s="261"/>
    </row>
    <row r="12032" spans="2:20" x14ac:dyDescent="0.2">
      <c r="B12032" s="245"/>
      <c r="C12032" s="248"/>
      <c r="D12032" s="249"/>
      <c r="E12032" s="249"/>
      <c r="T12032" s="261"/>
    </row>
    <row r="12033" spans="2:20" x14ac:dyDescent="0.2">
      <c r="B12033" s="245"/>
      <c r="C12033" s="248"/>
      <c r="D12033" s="249"/>
      <c r="E12033" s="249"/>
      <c r="T12033" s="261"/>
    </row>
    <row r="12034" spans="2:20" x14ac:dyDescent="0.2">
      <c r="B12034" s="245"/>
      <c r="C12034" s="248"/>
      <c r="D12034" s="249"/>
      <c r="E12034" s="249"/>
      <c r="T12034" s="261"/>
    </row>
    <row r="12035" spans="2:20" x14ac:dyDescent="0.2">
      <c r="B12035" s="245"/>
      <c r="C12035" s="248"/>
      <c r="D12035" s="249"/>
      <c r="E12035" s="249"/>
      <c r="T12035" s="261"/>
    </row>
    <row r="12036" spans="2:20" x14ac:dyDescent="0.2">
      <c r="B12036" s="245"/>
      <c r="C12036" s="248"/>
      <c r="D12036" s="249"/>
      <c r="E12036" s="249"/>
      <c r="T12036" s="261"/>
    </row>
    <row r="12037" spans="2:20" x14ac:dyDescent="0.2">
      <c r="B12037" s="245"/>
      <c r="C12037" s="248"/>
      <c r="D12037" s="249"/>
      <c r="E12037" s="249"/>
      <c r="T12037" s="261"/>
    </row>
    <row r="12038" spans="2:20" x14ac:dyDescent="0.2">
      <c r="B12038" s="245"/>
      <c r="C12038" s="248"/>
      <c r="D12038" s="249"/>
      <c r="E12038" s="249"/>
      <c r="T12038" s="261"/>
    </row>
    <row r="12039" spans="2:20" x14ac:dyDescent="0.2">
      <c r="B12039" s="245"/>
      <c r="C12039" s="248"/>
      <c r="D12039" s="249"/>
      <c r="E12039" s="249"/>
      <c r="T12039" s="261"/>
    </row>
    <row r="12040" spans="2:20" x14ac:dyDescent="0.2">
      <c r="B12040" s="245"/>
      <c r="C12040" s="248"/>
      <c r="D12040" s="249"/>
      <c r="E12040" s="249"/>
      <c r="T12040" s="261"/>
    </row>
    <row r="12041" spans="2:20" x14ac:dyDescent="0.2">
      <c r="B12041" s="245"/>
      <c r="C12041" s="248"/>
      <c r="D12041" s="249"/>
      <c r="E12041" s="249"/>
      <c r="T12041" s="261"/>
    </row>
    <row r="12042" spans="2:20" x14ac:dyDescent="0.2">
      <c r="B12042" s="245"/>
      <c r="C12042" s="248"/>
      <c r="D12042" s="249"/>
      <c r="E12042" s="249"/>
      <c r="T12042" s="261"/>
    </row>
    <row r="12043" spans="2:20" x14ac:dyDescent="0.2">
      <c r="B12043" s="245"/>
      <c r="C12043" s="248"/>
      <c r="D12043" s="249"/>
      <c r="E12043" s="249"/>
      <c r="T12043" s="261"/>
    </row>
    <row r="12044" spans="2:20" x14ac:dyDescent="0.2">
      <c r="B12044" s="245"/>
      <c r="C12044" s="248"/>
      <c r="D12044" s="249"/>
      <c r="E12044" s="249"/>
      <c r="T12044" s="261"/>
    </row>
    <row r="12045" spans="2:20" x14ac:dyDescent="0.2">
      <c r="B12045" s="245"/>
      <c r="C12045" s="248"/>
      <c r="D12045" s="249"/>
      <c r="E12045" s="249"/>
      <c r="T12045" s="261"/>
    </row>
    <row r="12046" spans="2:20" x14ac:dyDescent="0.2">
      <c r="B12046" s="245"/>
      <c r="C12046" s="248"/>
      <c r="D12046" s="249"/>
      <c r="E12046" s="249"/>
      <c r="T12046" s="261"/>
    </row>
    <row r="12047" spans="2:20" x14ac:dyDescent="0.2">
      <c r="B12047" s="245"/>
      <c r="C12047" s="248"/>
      <c r="D12047" s="249"/>
      <c r="E12047" s="249"/>
      <c r="T12047" s="261"/>
    </row>
    <row r="12048" spans="2:20" x14ac:dyDescent="0.2">
      <c r="B12048" s="245"/>
      <c r="C12048" s="248"/>
      <c r="D12048" s="249"/>
      <c r="E12048" s="249"/>
      <c r="T12048" s="261"/>
    </row>
    <row r="12049" spans="2:20" x14ac:dyDescent="0.2">
      <c r="B12049" s="245"/>
      <c r="C12049" s="248"/>
      <c r="D12049" s="249"/>
      <c r="E12049" s="249"/>
      <c r="T12049" s="261"/>
    </row>
    <row r="12050" spans="2:20" x14ac:dyDescent="0.2">
      <c r="B12050" s="245"/>
      <c r="C12050" s="248"/>
      <c r="D12050" s="249"/>
      <c r="E12050" s="249"/>
      <c r="T12050" s="261"/>
    </row>
    <row r="12051" spans="2:20" x14ac:dyDescent="0.2">
      <c r="B12051" s="245"/>
      <c r="C12051" s="248"/>
      <c r="D12051" s="249"/>
      <c r="E12051" s="249"/>
      <c r="T12051" s="261"/>
    </row>
    <row r="12052" spans="2:20" x14ac:dyDescent="0.2">
      <c r="B12052" s="245"/>
      <c r="C12052" s="248"/>
      <c r="D12052" s="249"/>
      <c r="E12052" s="249"/>
      <c r="T12052" s="261"/>
    </row>
    <row r="12053" spans="2:20" x14ac:dyDescent="0.2">
      <c r="B12053" s="245"/>
      <c r="C12053" s="248"/>
      <c r="D12053" s="249"/>
      <c r="E12053" s="249"/>
      <c r="T12053" s="261"/>
    </row>
    <row r="12054" spans="2:20" x14ac:dyDescent="0.2">
      <c r="B12054" s="245"/>
      <c r="C12054" s="248"/>
      <c r="D12054" s="249"/>
      <c r="E12054" s="249"/>
      <c r="T12054" s="261"/>
    </row>
    <row r="12055" spans="2:20" x14ac:dyDescent="0.2">
      <c r="B12055" s="245"/>
      <c r="C12055" s="248"/>
      <c r="D12055" s="249"/>
      <c r="E12055" s="249"/>
      <c r="T12055" s="261"/>
    </row>
    <row r="12056" spans="2:20" x14ac:dyDescent="0.2">
      <c r="B12056" s="245"/>
      <c r="C12056" s="248"/>
      <c r="D12056" s="249"/>
      <c r="E12056" s="249"/>
      <c r="T12056" s="261"/>
    </row>
    <row r="12057" spans="2:20" x14ac:dyDescent="0.2">
      <c r="B12057" s="245"/>
      <c r="C12057" s="248"/>
      <c r="D12057" s="249"/>
      <c r="E12057" s="249"/>
      <c r="T12057" s="261"/>
    </row>
    <row r="12058" spans="2:20" x14ac:dyDescent="0.2">
      <c r="B12058" s="245"/>
      <c r="C12058" s="248"/>
      <c r="D12058" s="249"/>
      <c r="E12058" s="249"/>
      <c r="T12058" s="261"/>
    </row>
    <row r="12059" spans="2:20" x14ac:dyDescent="0.2">
      <c r="B12059" s="245"/>
      <c r="C12059" s="248"/>
      <c r="D12059" s="249"/>
      <c r="E12059" s="249"/>
      <c r="T12059" s="261"/>
    </row>
    <row r="12060" spans="2:20" x14ac:dyDescent="0.2">
      <c r="B12060" s="245"/>
      <c r="C12060" s="248"/>
      <c r="D12060" s="249"/>
      <c r="E12060" s="249"/>
      <c r="T12060" s="261"/>
    </row>
    <row r="12061" spans="2:20" x14ac:dyDescent="0.2">
      <c r="B12061" s="245"/>
      <c r="C12061" s="248"/>
      <c r="D12061" s="249"/>
      <c r="E12061" s="249"/>
      <c r="T12061" s="261"/>
    </row>
    <row r="12062" spans="2:20" x14ac:dyDescent="0.2">
      <c r="B12062" s="245"/>
      <c r="C12062" s="248"/>
      <c r="D12062" s="249"/>
      <c r="E12062" s="249"/>
      <c r="T12062" s="261"/>
    </row>
    <row r="12063" spans="2:20" x14ac:dyDescent="0.2">
      <c r="B12063" s="245"/>
      <c r="C12063" s="248"/>
      <c r="D12063" s="249"/>
      <c r="E12063" s="249"/>
      <c r="T12063" s="261"/>
    </row>
    <row r="12064" spans="2:20" x14ac:dyDescent="0.2">
      <c r="B12064" s="245"/>
      <c r="C12064" s="248"/>
      <c r="D12064" s="249"/>
      <c r="E12064" s="249"/>
      <c r="T12064" s="261"/>
    </row>
    <row r="12065" spans="2:20" x14ac:dyDescent="0.2">
      <c r="B12065" s="245"/>
      <c r="C12065" s="248"/>
      <c r="D12065" s="249"/>
      <c r="E12065" s="249"/>
      <c r="T12065" s="261"/>
    </row>
    <row r="12066" spans="2:20" x14ac:dyDescent="0.2">
      <c r="B12066" s="245"/>
      <c r="C12066" s="248"/>
      <c r="D12066" s="249"/>
      <c r="E12066" s="249"/>
      <c r="T12066" s="261"/>
    </row>
    <row r="12067" spans="2:20" x14ac:dyDescent="0.2">
      <c r="B12067" s="245"/>
      <c r="C12067" s="248"/>
      <c r="D12067" s="249"/>
      <c r="E12067" s="249"/>
      <c r="T12067" s="261"/>
    </row>
    <row r="12068" spans="2:20" x14ac:dyDescent="0.2">
      <c r="B12068" s="245"/>
      <c r="C12068" s="248"/>
      <c r="D12068" s="249"/>
      <c r="E12068" s="249"/>
      <c r="T12068" s="261"/>
    </row>
    <row r="12069" spans="2:20" x14ac:dyDescent="0.2">
      <c r="B12069" s="245"/>
      <c r="C12069" s="248"/>
      <c r="D12069" s="249"/>
      <c r="E12069" s="249"/>
      <c r="T12069" s="261"/>
    </row>
    <row r="12070" spans="2:20" x14ac:dyDescent="0.2">
      <c r="B12070" s="245"/>
      <c r="C12070" s="248"/>
      <c r="D12070" s="249"/>
      <c r="E12070" s="249"/>
      <c r="T12070" s="261"/>
    </row>
    <row r="12071" spans="2:20" x14ac:dyDescent="0.2">
      <c r="B12071" s="245"/>
      <c r="C12071" s="248"/>
      <c r="D12071" s="249"/>
      <c r="E12071" s="249"/>
      <c r="T12071" s="261"/>
    </row>
    <row r="12072" spans="2:20" x14ac:dyDescent="0.2">
      <c r="B12072" s="245"/>
      <c r="C12072" s="248"/>
      <c r="D12072" s="249"/>
      <c r="E12072" s="249"/>
      <c r="T12072" s="261"/>
    </row>
    <row r="12073" spans="2:20" x14ac:dyDescent="0.2">
      <c r="B12073" s="245"/>
      <c r="C12073" s="248"/>
      <c r="D12073" s="249"/>
      <c r="E12073" s="249"/>
      <c r="T12073" s="261"/>
    </row>
    <row r="12074" spans="2:20" x14ac:dyDescent="0.2">
      <c r="B12074" s="245"/>
      <c r="C12074" s="248"/>
      <c r="D12074" s="249"/>
      <c r="E12074" s="249"/>
      <c r="T12074" s="261"/>
    </row>
    <row r="12075" spans="2:20" x14ac:dyDescent="0.2">
      <c r="B12075" s="245"/>
      <c r="C12075" s="248"/>
      <c r="D12075" s="249"/>
      <c r="E12075" s="249"/>
      <c r="T12075" s="261"/>
    </row>
    <row r="12076" spans="2:20" x14ac:dyDescent="0.2">
      <c r="B12076" s="245"/>
      <c r="C12076" s="248"/>
      <c r="D12076" s="249"/>
      <c r="E12076" s="249"/>
      <c r="T12076" s="261"/>
    </row>
    <row r="12077" spans="2:20" x14ac:dyDescent="0.2">
      <c r="B12077" s="245"/>
      <c r="C12077" s="248"/>
      <c r="D12077" s="249"/>
      <c r="E12077" s="249"/>
      <c r="T12077" s="261"/>
    </row>
    <row r="12078" spans="2:20" x14ac:dyDescent="0.2">
      <c r="B12078" s="245"/>
      <c r="C12078" s="248"/>
      <c r="D12078" s="249"/>
      <c r="E12078" s="249"/>
      <c r="T12078" s="261"/>
    </row>
    <row r="12079" spans="2:20" x14ac:dyDescent="0.2">
      <c r="B12079" s="245"/>
      <c r="C12079" s="248"/>
      <c r="D12079" s="249"/>
      <c r="E12079" s="249"/>
      <c r="T12079" s="261"/>
    </row>
    <row r="12080" spans="2:20" x14ac:dyDescent="0.2">
      <c r="B12080" s="245"/>
      <c r="C12080" s="248"/>
      <c r="D12080" s="249"/>
      <c r="E12080" s="249"/>
      <c r="T12080" s="261"/>
    </row>
    <row r="12081" spans="2:20" x14ac:dyDescent="0.2">
      <c r="B12081" s="245"/>
      <c r="C12081" s="248"/>
      <c r="D12081" s="249"/>
      <c r="E12081" s="249"/>
      <c r="T12081" s="261"/>
    </row>
    <row r="12082" spans="2:20" x14ac:dyDescent="0.2">
      <c r="B12082" s="245"/>
      <c r="C12082" s="248"/>
      <c r="D12082" s="249"/>
      <c r="E12082" s="249"/>
      <c r="T12082" s="261"/>
    </row>
    <row r="12083" spans="2:20" x14ac:dyDescent="0.2">
      <c r="B12083" s="245"/>
      <c r="C12083" s="248"/>
      <c r="D12083" s="249"/>
      <c r="E12083" s="249"/>
      <c r="T12083" s="261"/>
    </row>
    <row r="12084" spans="2:20" x14ac:dyDescent="0.2">
      <c r="B12084" s="245"/>
      <c r="C12084" s="248"/>
      <c r="D12084" s="249"/>
      <c r="E12084" s="249"/>
      <c r="T12084" s="261"/>
    </row>
    <row r="12085" spans="2:20" x14ac:dyDescent="0.2">
      <c r="B12085" s="245"/>
      <c r="C12085" s="248"/>
      <c r="D12085" s="249"/>
      <c r="E12085" s="249"/>
      <c r="T12085" s="261"/>
    </row>
    <row r="12086" spans="2:20" x14ac:dyDescent="0.2">
      <c r="B12086" s="245"/>
      <c r="C12086" s="248"/>
      <c r="D12086" s="249"/>
      <c r="E12086" s="249"/>
      <c r="T12086" s="261"/>
    </row>
    <row r="12087" spans="2:20" x14ac:dyDescent="0.2">
      <c r="B12087" s="245"/>
      <c r="C12087" s="248"/>
      <c r="D12087" s="249"/>
      <c r="E12087" s="249"/>
      <c r="T12087" s="261"/>
    </row>
    <row r="12088" spans="2:20" x14ac:dyDescent="0.2">
      <c r="B12088" s="245"/>
      <c r="C12088" s="248"/>
      <c r="D12088" s="249"/>
      <c r="E12088" s="249"/>
      <c r="T12088" s="261"/>
    </row>
    <row r="12089" spans="2:20" x14ac:dyDescent="0.2">
      <c r="B12089" s="245"/>
      <c r="C12089" s="248"/>
      <c r="D12089" s="249"/>
      <c r="E12089" s="249"/>
      <c r="T12089" s="261"/>
    </row>
    <row r="12090" spans="2:20" x14ac:dyDescent="0.2">
      <c r="B12090" s="245"/>
      <c r="C12090" s="248"/>
      <c r="D12090" s="249"/>
      <c r="E12090" s="249"/>
      <c r="T12090" s="261"/>
    </row>
    <row r="12091" spans="2:20" x14ac:dyDescent="0.2">
      <c r="B12091" s="245"/>
      <c r="C12091" s="248"/>
      <c r="D12091" s="249"/>
      <c r="E12091" s="249"/>
      <c r="T12091" s="261"/>
    </row>
    <row r="12092" spans="2:20" x14ac:dyDescent="0.2">
      <c r="B12092" s="245"/>
      <c r="C12092" s="248"/>
      <c r="D12092" s="249"/>
      <c r="E12092" s="249"/>
      <c r="T12092" s="261"/>
    </row>
    <row r="12093" spans="2:20" x14ac:dyDescent="0.2">
      <c r="B12093" s="245"/>
      <c r="C12093" s="248"/>
      <c r="D12093" s="249"/>
      <c r="E12093" s="249"/>
      <c r="T12093" s="261"/>
    </row>
    <row r="12094" spans="2:20" x14ac:dyDescent="0.2">
      <c r="B12094" s="245"/>
      <c r="C12094" s="248"/>
      <c r="D12094" s="249"/>
      <c r="E12094" s="249"/>
      <c r="T12094" s="261"/>
    </row>
    <row r="12095" spans="2:20" x14ac:dyDescent="0.2">
      <c r="B12095" s="245"/>
      <c r="C12095" s="248"/>
      <c r="D12095" s="249"/>
      <c r="E12095" s="249"/>
      <c r="T12095" s="261"/>
    </row>
    <row r="12096" spans="2:20" x14ac:dyDescent="0.2">
      <c r="B12096" s="245"/>
      <c r="C12096" s="248"/>
      <c r="D12096" s="249"/>
      <c r="E12096" s="249"/>
      <c r="T12096" s="261"/>
    </row>
    <row r="12097" spans="2:20" x14ac:dyDescent="0.2">
      <c r="B12097" s="245"/>
      <c r="C12097" s="248"/>
      <c r="D12097" s="249"/>
      <c r="E12097" s="249"/>
      <c r="T12097" s="261"/>
    </row>
    <row r="12098" spans="2:20" x14ac:dyDescent="0.2">
      <c r="B12098" s="245"/>
      <c r="C12098" s="248"/>
      <c r="D12098" s="249"/>
      <c r="E12098" s="249"/>
      <c r="T12098" s="261"/>
    </row>
    <row r="12099" spans="2:20" x14ac:dyDescent="0.2">
      <c r="B12099" s="245"/>
      <c r="C12099" s="248"/>
      <c r="D12099" s="249"/>
      <c r="E12099" s="249"/>
      <c r="T12099" s="261"/>
    </row>
    <row r="12100" spans="2:20" x14ac:dyDescent="0.2">
      <c r="B12100" s="245"/>
      <c r="C12100" s="248"/>
      <c r="D12100" s="249"/>
      <c r="E12100" s="249"/>
      <c r="T12100" s="261"/>
    </row>
    <row r="12101" spans="2:20" x14ac:dyDescent="0.2">
      <c r="B12101" s="245"/>
      <c r="C12101" s="248"/>
      <c r="D12101" s="249"/>
      <c r="E12101" s="249"/>
      <c r="T12101" s="261"/>
    </row>
    <row r="12102" spans="2:20" x14ac:dyDescent="0.2">
      <c r="B12102" s="245"/>
      <c r="C12102" s="248"/>
      <c r="D12102" s="249"/>
      <c r="E12102" s="249"/>
      <c r="T12102" s="261"/>
    </row>
    <row r="12103" spans="2:20" x14ac:dyDescent="0.2">
      <c r="B12103" s="245"/>
      <c r="C12103" s="248"/>
      <c r="D12103" s="249"/>
      <c r="E12103" s="249"/>
      <c r="T12103" s="261"/>
    </row>
    <row r="12104" spans="2:20" x14ac:dyDescent="0.2">
      <c r="B12104" s="245"/>
      <c r="C12104" s="248"/>
      <c r="D12104" s="249"/>
      <c r="E12104" s="249"/>
      <c r="T12104" s="261"/>
    </row>
    <row r="12105" spans="2:20" x14ac:dyDescent="0.2">
      <c r="B12105" s="245"/>
      <c r="C12105" s="248"/>
      <c r="D12105" s="249"/>
      <c r="E12105" s="249"/>
      <c r="T12105" s="261"/>
    </row>
    <row r="12106" spans="2:20" x14ac:dyDescent="0.2">
      <c r="B12106" s="245"/>
      <c r="C12106" s="248"/>
      <c r="D12106" s="249"/>
      <c r="E12106" s="249"/>
      <c r="T12106" s="261"/>
    </row>
    <row r="12107" spans="2:20" x14ac:dyDescent="0.2">
      <c r="B12107" s="245"/>
      <c r="C12107" s="248"/>
      <c r="D12107" s="249"/>
      <c r="E12107" s="249"/>
      <c r="T12107" s="261"/>
    </row>
    <row r="12108" spans="2:20" x14ac:dyDescent="0.2">
      <c r="B12108" s="245"/>
      <c r="C12108" s="248"/>
      <c r="D12108" s="249"/>
      <c r="E12108" s="249"/>
      <c r="T12108" s="261"/>
    </row>
    <row r="12109" spans="2:20" x14ac:dyDescent="0.2">
      <c r="B12109" s="245"/>
      <c r="C12109" s="248"/>
      <c r="D12109" s="249"/>
      <c r="E12109" s="249"/>
      <c r="T12109" s="261"/>
    </row>
    <row r="12110" spans="2:20" x14ac:dyDescent="0.2">
      <c r="B12110" s="245"/>
      <c r="C12110" s="248"/>
      <c r="D12110" s="249"/>
      <c r="E12110" s="249"/>
      <c r="T12110" s="261"/>
    </row>
    <row r="12111" spans="2:20" x14ac:dyDescent="0.2">
      <c r="B12111" s="245"/>
      <c r="C12111" s="248"/>
      <c r="D12111" s="249"/>
      <c r="E12111" s="249"/>
      <c r="T12111" s="261"/>
    </row>
    <row r="12112" spans="2:20" x14ac:dyDescent="0.2">
      <c r="B12112" s="245"/>
      <c r="C12112" s="248"/>
      <c r="D12112" s="249"/>
      <c r="E12112" s="249"/>
      <c r="T12112" s="261"/>
    </row>
    <row r="12113" spans="2:20" x14ac:dyDescent="0.2">
      <c r="B12113" s="245"/>
      <c r="C12113" s="248"/>
      <c r="D12113" s="249"/>
      <c r="E12113" s="249"/>
      <c r="T12113" s="261"/>
    </row>
    <row r="12114" spans="2:20" x14ac:dyDescent="0.2">
      <c r="B12114" s="245"/>
      <c r="C12114" s="248"/>
      <c r="D12114" s="249"/>
      <c r="E12114" s="249"/>
      <c r="T12114" s="261"/>
    </row>
    <row r="12115" spans="2:20" x14ac:dyDescent="0.2">
      <c r="B12115" s="245"/>
      <c r="C12115" s="248"/>
      <c r="D12115" s="249"/>
      <c r="E12115" s="249"/>
      <c r="T12115" s="261"/>
    </row>
    <row r="12116" spans="2:20" x14ac:dyDescent="0.2">
      <c r="B12116" s="245"/>
      <c r="C12116" s="248"/>
      <c r="D12116" s="249"/>
      <c r="E12116" s="249"/>
      <c r="T12116" s="261"/>
    </row>
    <row r="12117" spans="2:20" x14ac:dyDescent="0.2">
      <c r="B12117" s="245"/>
      <c r="C12117" s="248"/>
      <c r="D12117" s="249"/>
      <c r="E12117" s="249"/>
      <c r="T12117" s="261"/>
    </row>
    <row r="12118" spans="2:20" x14ac:dyDescent="0.2">
      <c r="B12118" s="245"/>
      <c r="C12118" s="248"/>
      <c r="D12118" s="249"/>
      <c r="E12118" s="249"/>
      <c r="T12118" s="261"/>
    </row>
    <row r="12119" spans="2:20" x14ac:dyDescent="0.2">
      <c r="B12119" s="245"/>
      <c r="C12119" s="248"/>
      <c r="D12119" s="249"/>
      <c r="E12119" s="249"/>
      <c r="T12119" s="261"/>
    </row>
    <row r="12120" spans="2:20" x14ac:dyDescent="0.2">
      <c r="B12120" s="245"/>
      <c r="C12120" s="248"/>
      <c r="D12120" s="249"/>
      <c r="E12120" s="249"/>
      <c r="T12120" s="261"/>
    </row>
    <row r="12121" spans="2:20" x14ac:dyDescent="0.2">
      <c r="B12121" s="245"/>
      <c r="C12121" s="248"/>
      <c r="D12121" s="249"/>
      <c r="E12121" s="249"/>
      <c r="T12121" s="261"/>
    </row>
    <row r="12122" spans="2:20" x14ac:dyDescent="0.2">
      <c r="B12122" s="245"/>
      <c r="C12122" s="248"/>
      <c r="D12122" s="249"/>
      <c r="E12122" s="249"/>
      <c r="T12122" s="261"/>
    </row>
    <row r="12123" spans="2:20" x14ac:dyDescent="0.2">
      <c r="B12123" s="245"/>
      <c r="C12123" s="248"/>
      <c r="D12123" s="249"/>
      <c r="E12123" s="249"/>
      <c r="T12123" s="261"/>
    </row>
    <row r="12124" spans="2:20" x14ac:dyDescent="0.2">
      <c r="B12124" s="245"/>
      <c r="C12124" s="248"/>
      <c r="D12124" s="249"/>
      <c r="E12124" s="249"/>
      <c r="T12124" s="261"/>
    </row>
    <row r="12125" spans="2:20" x14ac:dyDescent="0.2">
      <c r="B12125" s="245"/>
      <c r="C12125" s="248"/>
      <c r="D12125" s="249"/>
      <c r="E12125" s="249"/>
      <c r="T12125" s="261"/>
    </row>
    <row r="12126" spans="2:20" x14ac:dyDescent="0.2">
      <c r="B12126" s="245"/>
      <c r="C12126" s="248"/>
      <c r="D12126" s="249"/>
      <c r="E12126" s="249"/>
      <c r="T12126" s="261"/>
    </row>
    <row r="12127" spans="2:20" x14ac:dyDescent="0.2">
      <c r="B12127" s="245"/>
      <c r="C12127" s="248"/>
      <c r="D12127" s="249"/>
      <c r="E12127" s="249"/>
      <c r="T12127" s="261"/>
    </row>
    <row r="12128" spans="2:20" x14ac:dyDescent="0.2">
      <c r="B12128" s="245"/>
      <c r="C12128" s="248"/>
      <c r="D12128" s="249"/>
      <c r="E12128" s="249"/>
      <c r="T12128" s="261"/>
    </row>
    <row r="12129" spans="2:20" x14ac:dyDescent="0.2">
      <c r="B12129" s="245"/>
      <c r="C12129" s="248"/>
      <c r="D12129" s="249"/>
      <c r="E12129" s="249"/>
      <c r="T12129" s="261"/>
    </row>
    <row r="12130" spans="2:20" x14ac:dyDescent="0.2">
      <c r="B12130" s="245"/>
      <c r="C12130" s="248"/>
      <c r="D12130" s="249"/>
      <c r="E12130" s="249"/>
      <c r="T12130" s="261"/>
    </row>
    <row r="12131" spans="2:20" x14ac:dyDescent="0.2">
      <c r="B12131" s="245"/>
      <c r="C12131" s="248"/>
      <c r="D12131" s="249"/>
      <c r="E12131" s="249"/>
      <c r="T12131" s="261"/>
    </row>
    <row r="12132" spans="2:20" x14ac:dyDescent="0.2">
      <c r="B12132" s="245"/>
      <c r="C12132" s="248"/>
      <c r="D12132" s="249"/>
      <c r="E12132" s="249"/>
      <c r="T12132" s="261"/>
    </row>
    <row r="12133" spans="2:20" x14ac:dyDescent="0.2">
      <c r="B12133" s="245"/>
      <c r="C12133" s="248"/>
      <c r="D12133" s="249"/>
      <c r="E12133" s="249"/>
      <c r="T12133" s="261"/>
    </row>
    <row r="12134" spans="2:20" x14ac:dyDescent="0.2">
      <c r="B12134" s="245"/>
      <c r="C12134" s="248"/>
      <c r="D12134" s="249"/>
      <c r="E12134" s="249"/>
      <c r="T12134" s="261"/>
    </row>
    <row r="12135" spans="2:20" x14ac:dyDescent="0.2">
      <c r="B12135" s="245"/>
      <c r="C12135" s="248"/>
      <c r="D12135" s="249"/>
      <c r="E12135" s="249"/>
      <c r="T12135" s="261"/>
    </row>
    <row r="12136" spans="2:20" x14ac:dyDescent="0.2">
      <c r="B12136" s="245"/>
      <c r="C12136" s="248"/>
      <c r="D12136" s="249"/>
      <c r="E12136" s="249"/>
      <c r="T12136" s="261"/>
    </row>
    <row r="12137" spans="2:20" x14ac:dyDescent="0.2">
      <c r="B12137" s="245"/>
      <c r="C12137" s="248"/>
      <c r="D12137" s="249"/>
      <c r="E12137" s="249"/>
      <c r="T12137" s="261"/>
    </row>
    <row r="12138" spans="2:20" x14ac:dyDescent="0.2">
      <c r="B12138" s="245"/>
      <c r="C12138" s="248"/>
      <c r="D12138" s="249"/>
      <c r="E12138" s="249"/>
      <c r="T12138" s="261"/>
    </row>
    <row r="12139" spans="2:20" x14ac:dyDescent="0.2">
      <c r="B12139" s="245"/>
      <c r="C12139" s="248"/>
      <c r="D12139" s="249"/>
      <c r="E12139" s="249"/>
      <c r="T12139" s="261"/>
    </row>
    <row r="12140" spans="2:20" x14ac:dyDescent="0.2">
      <c r="B12140" s="245"/>
      <c r="C12140" s="248"/>
      <c r="D12140" s="249"/>
      <c r="E12140" s="249"/>
      <c r="T12140" s="261"/>
    </row>
    <row r="12141" spans="2:20" x14ac:dyDescent="0.2">
      <c r="B12141" s="245"/>
      <c r="C12141" s="248"/>
      <c r="D12141" s="249"/>
      <c r="E12141" s="249"/>
      <c r="T12141" s="261"/>
    </row>
    <row r="12142" spans="2:20" x14ac:dyDescent="0.2">
      <c r="B12142" s="245"/>
      <c r="C12142" s="248"/>
      <c r="D12142" s="249"/>
      <c r="E12142" s="249"/>
      <c r="T12142" s="261"/>
    </row>
    <row r="12143" spans="2:20" x14ac:dyDescent="0.2">
      <c r="B12143" s="245"/>
      <c r="C12143" s="248"/>
      <c r="D12143" s="249"/>
      <c r="E12143" s="249"/>
      <c r="T12143" s="261"/>
    </row>
    <row r="12144" spans="2:20" x14ac:dyDescent="0.2">
      <c r="B12144" s="245"/>
      <c r="C12144" s="248"/>
      <c r="D12144" s="249"/>
      <c r="E12144" s="249"/>
      <c r="T12144" s="261"/>
    </row>
    <row r="12145" spans="2:20" x14ac:dyDescent="0.2">
      <c r="B12145" s="245"/>
      <c r="C12145" s="248"/>
      <c r="D12145" s="249"/>
      <c r="E12145" s="249"/>
      <c r="T12145" s="261"/>
    </row>
    <row r="12146" spans="2:20" x14ac:dyDescent="0.2">
      <c r="B12146" s="245"/>
      <c r="C12146" s="248"/>
      <c r="D12146" s="249"/>
      <c r="E12146" s="249"/>
      <c r="T12146" s="261"/>
    </row>
    <row r="12147" spans="2:20" x14ac:dyDescent="0.2">
      <c r="B12147" s="245"/>
      <c r="C12147" s="248"/>
      <c r="D12147" s="249"/>
      <c r="E12147" s="249"/>
      <c r="T12147" s="261"/>
    </row>
    <row r="12148" spans="2:20" x14ac:dyDescent="0.2">
      <c r="B12148" s="245"/>
      <c r="C12148" s="248"/>
      <c r="D12148" s="249"/>
      <c r="E12148" s="249"/>
      <c r="T12148" s="261"/>
    </row>
    <row r="12149" spans="2:20" x14ac:dyDescent="0.2">
      <c r="B12149" s="245"/>
      <c r="C12149" s="248"/>
      <c r="D12149" s="249"/>
      <c r="E12149" s="249"/>
      <c r="T12149" s="261"/>
    </row>
    <row r="12150" spans="2:20" x14ac:dyDescent="0.2">
      <c r="B12150" s="245"/>
      <c r="C12150" s="248"/>
      <c r="D12150" s="249"/>
      <c r="E12150" s="249"/>
      <c r="T12150" s="261"/>
    </row>
    <row r="12151" spans="2:20" x14ac:dyDescent="0.2">
      <c r="B12151" s="245"/>
      <c r="C12151" s="248"/>
      <c r="D12151" s="249"/>
      <c r="E12151" s="249"/>
      <c r="T12151" s="261"/>
    </row>
    <row r="12152" spans="2:20" x14ac:dyDescent="0.2">
      <c r="B12152" s="245"/>
      <c r="C12152" s="248"/>
      <c r="D12152" s="249"/>
      <c r="E12152" s="249"/>
      <c r="T12152" s="261"/>
    </row>
    <row r="12153" spans="2:20" x14ac:dyDescent="0.2">
      <c r="B12153" s="245"/>
      <c r="C12153" s="248"/>
      <c r="D12153" s="249"/>
      <c r="E12153" s="249"/>
      <c r="T12153" s="261"/>
    </row>
    <row r="12154" spans="2:20" x14ac:dyDescent="0.2">
      <c r="B12154" s="245"/>
      <c r="C12154" s="248"/>
      <c r="D12154" s="249"/>
      <c r="E12154" s="249"/>
      <c r="T12154" s="261"/>
    </row>
    <row r="12155" spans="2:20" x14ac:dyDescent="0.2">
      <c r="B12155" s="245"/>
      <c r="C12155" s="248"/>
      <c r="D12155" s="249"/>
      <c r="E12155" s="249"/>
      <c r="T12155" s="261"/>
    </row>
    <row r="12156" spans="2:20" x14ac:dyDescent="0.2">
      <c r="B12156" s="245"/>
      <c r="C12156" s="248"/>
      <c r="D12156" s="249"/>
      <c r="E12156" s="249"/>
      <c r="T12156" s="261"/>
    </row>
    <row r="12157" spans="2:20" x14ac:dyDescent="0.2">
      <c r="B12157" s="245"/>
      <c r="C12157" s="248"/>
      <c r="D12157" s="249"/>
      <c r="E12157" s="249"/>
      <c r="T12157" s="261"/>
    </row>
    <row r="12158" spans="2:20" x14ac:dyDescent="0.2">
      <c r="B12158" s="245"/>
      <c r="C12158" s="248"/>
      <c r="D12158" s="249"/>
      <c r="E12158" s="249"/>
      <c r="T12158" s="261"/>
    </row>
    <row r="12159" spans="2:20" x14ac:dyDescent="0.2">
      <c r="B12159" s="245"/>
      <c r="C12159" s="248"/>
      <c r="D12159" s="249"/>
      <c r="E12159" s="249"/>
      <c r="T12159" s="261"/>
    </row>
    <row r="12160" spans="2:20" x14ac:dyDescent="0.2">
      <c r="B12160" s="245"/>
      <c r="C12160" s="248"/>
      <c r="D12160" s="249"/>
      <c r="E12160" s="249"/>
      <c r="T12160" s="261"/>
    </row>
    <row r="12161" spans="2:20" x14ac:dyDescent="0.2">
      <c r="B12161" s="245"/>
      <c r="C12161" s="248"/>
      <c r="D12161" s="249"/>
      <c r="E12161" s="249"/>
      <c r="T12161" s="261"/>
    </row>
    <row r="12162" spans="2:20" x14ac:dyDescent="0.2">
      <c r="B12162" s="245"/>
      <c r="C12162" s="248"/>
      <c r="D12162" s="249"/>
      <c r="E12162" s="249"/>
      <c r="T12162" s="261"/>
    </row>
    <row r="12163" spans="2:20" x14ac:dyDescent="0.2">
      <c r="B12163" s="245"/>
      <c r="C12163" s="248"/>
      <c r="D12163" s="249"/>
      <c r="E12163" s="249"/>
      <c r="T12163" s="261"/>
    </row>
    <row r="12164" spans="2:20" x14ac:dyDescent="0.2">
      <c r="B12164" s="245"/>
      <c r="C12164" s="248"/>
      <c r="D12164" s="249"/>
      <c r="E12164" s="249"/>
      <c r="T12164" s="261"/>
    </row>
    <row r="12165" spans="2:20" x14ac:dyDescent="0.2">
      <c r="B12165" s="245"/>
      <c r="C12165" s="248"/>
      <c r="D12165" s="249"/>
      <c r="E12165" s="249"/>
      <c r="T12165" s="261"/>
    </row>
    <row r="12166" spans="2:20" x14ac:dyDescent="0.2">
      <c r="B12166" s="245"/>
      <c r="C12166" s="248"/>
      <c r="D12166" s="249"/>
      <c r="E12166" s="249"/>
      <c r="T12166" s="261"/>
    </row>
    <row r="12167" spans="2:20" x14ac:dyDescent="0.2">
      <c r="B12167" s="245"/>
      <c r="C12167" s="248"/>
      <c r="D12167" s="249"/>
      <c r="E12167" s="249"/>
      <c r="T12167" s="261"/>
    </row>
    <row r="12168" spans="2:20" x14ac:dyDescent="0.2">
      <c r="B12168" s="245"/>
      <c r="C12168" s="248"/>
      <c r="D12168" s="249"/>
      <c r="E12168" s="249"/>
      <c r="T12168" s="261"/>
    </row>
    <row r="12169" spans="2:20" x14ac:dyDescent="0.2">
      <c r="B12169" s="245"/>
      <c r="C12169" s="248"/>
      <c r="D12169" s="249"/>
      <c r="E12169" s="249"/>
      <c r="T12169" s="261"/>
    </row>
    <row r="12170" spans="2:20" x14ac:dyDescent="0.2">
      <c r="B12170" s="245"/>
      <c r="C12170" s="248"/>
      <c r="D12170" s="249"/>
      <c r="E12170" s="249"/>
      <c r="T12170" s="261"/>
    </row>
    <row r="12171" spans="2:20" x14ac:dyDescent="0.2">
      <c r="B12171" s="245"/>
      <c r="C12171" s="248"/>
      <c r="D12171" s="249"/>
      <c r="E12171" s="249"/>
      <c r="T12171" s="261"/>
    </row>
    <row r="12172" spans="2:20" x14ac:dyDescent="0.2">
      <c r="B12172" s="245"/>
      <c r="C12172" s="248"/>
      <c r="D12172" s="249"/>
      <c r="E12172" s="249"/>
      <c r="T12172" s="261"/>
    </row>
    <row r="12173" spans="2:20" x14ac:dyDescent="0.2">
      <c r="B12173" s="245"/>
      <c r="C12173" s="248"/>
      <c r="D12173" s="249"/>
      <c r="E12173" s="249"/>
      <c r="T12173" s="261"/>
    </row>
    <row r="12174" spans="2:20" x14ac:dyDescent="0.2">
      <c r="B12174" s="245"/>
      <c r="C12174" s="248"/>
      <c r="D12174" s="249"/>
      <c r="E12174" s="249"/>
      <c r="T12174" s="261"/>
    </row>
    <row r="12175" spans="2:20" x14ac:dyDescent="0.2">
      <c r="B12175" s="245"/>
      <c r="C12175" s="248"/>
      <c r="D12175" s="249"/>
      <c r="E12175" s="249"/>
      <c r="T12175" s="261"/>
    </row>
    <row r="12176" spans="2:20" x14ac:dyDescent="0.2">
      <c r="B12176" s="245"/>
      <c r="C12176" s="248"/>
      <c r="D12176" s="249"/>
      <c r="E12176" s="249"/>
      <c r="T12176" s="261"/>
    </row>
    <row r="12177" spans="2:20" x14ac:dyDescent="0.2">
      <c r="B12177" s="245"/>
      <c r="C12177" s="248"/>
      <c r="D12177" s="249"/>
      <c r="E12177" s="249"/>
      <c r="T12177" s="261"/>
    </row>
    <row r="12178" spans="2:20" x14ac:dyDescent="0.2">
      <c r="B12178" s="245"/>
      <c r="C12178" s="248"/>
      <c r="D12178" s="249"/>
      <c r="E12178" s="249"/>
      <c r="T12178" s="261"/>
    </row>
    <row r="12179" spans="2:20" x14ac:dyDescent="0.2">
      <c r="B12179" s="245"/>
      <c r="C12179" s="248"/>
      <c r="D12179" s="249"/>
      <c r="E12179" s="249"/>
      <c r="T12179" s="261"/>
    </row>
    <row r="12180" spans="2:20" x14ac:dyDescent="0.2">
      <c r="B12180" s="245"/>
      <c r="C12180" s="248"/>
      <c r="D12180" s="249"/>
      <c r="E12180" s="249"/>
      <c r="T12180" s="261"/>
    </row>
    <row r="12181" spans="2:20" x14ac:dyDescent="0.2">
      <c r="B12181" s="245"/>
      <c r="C12181" s="248"/>
      <c r="D12181" s="249"/>
      <c r="E12181" s="249"/>
      <c r="T12181" s="261"/>
    </row>
    <row r="12182" spans="2:20" x14ac:dyDescent="0.2">
      <c r="B12182" s="245"/>
      <c r="C12182" s="248"/>
      <c r="D12182" s="249"/>
      <c r="E12182" s="249"/>
      <c r="T12182" s="261"/>
    </row>
    <row r="12183" spans="2:20" x14ac:dyDescent="0.2">
      <c r="B12183" s="245"/>
      <c r="C12183" s="248"/>
      <c r="D12183" s="249"/>
      <c r="E12183" s="249"/>
      <c r="T12183" s="261"/>
    </row>
    <row r="12184" spans="2:20" x14ac:dyDescent="0.2">
      <c r="B12184" s="245"/>
      <c r="C12184" s="248"/>
      <c r="D12184" s="249"/>
      <c r="E12184" s="249"/>
      <c r="T12184" s="261"/>
    </row>
    <row r="12185" spans="2:20" x14ac:dyDescent="0.2">
      <c r="B12185" s="245"/>
      <c r="C12185" s="248"/>
      <c r="D12185" s="249"/>
      <c r="E12185" s="249"/>
      <c r="T12185" s="261"/>
    </row>
    <row r="12186" spans="2:20" x14ac:dyDescent="0.2">
      <c r="B12186" s="245"/>
      <c r="C12186" s="248"/>
      <c r="D12186" s="249"/>
      <c r="E12186" s="249"/>
      <c r="T12186" s="261"/>
    </row>
    <row r="12187" spans="2:20" x14ac:dyDescent="0.2">
      <c r="B12187" s="245"/>
      <c r="C12187" s="248"/>
      <c r="D12187" s="249"/>
      <c r="E12187" s="249"/>
      <c r="T12187" s="261"/>
    </row>
    <row r="12188" spans="2:20" x14ac:dyDescent="0.2">
      <c r="B12188" s="245"/>
      <c r="C12188" s="248"/>
      <c r="D12188" s="249"/>
      <c r="E12188" s="249"/>
      <c r="T12188" s="261"/>
    </row>
    <row r="12189" spans="2:20" x14ac:dyDescent="0.2">
      <c r="B12189" s="245"/>
      <c r="C12189" s="248"/>
      <c r="D12189" s="249"/>
      <c r="E12189" s="249"/>
      <c r="T12189" s="261"/>
    </row>
    <row r="12190" spans="2:20" x14ac:dyDescent="0.2">
      <c r="B12190" s="245"/>
      <c r="C12190" s="248"/>
      <c r="D12190" s="249"/>
      <c r="E12190" s="249"/>
      <c r="T12190" s="261"/>
    </row>
    <row r="12191" spans="2:20" x14ac:dyDescent="0.2">
      <c r="B12191" s="245"/>
      <c r="C12191" s="248"/>
      <c r="D12191" s="249"/>
      <c r="E12191" s="249"/>
      <c r="T12191" s="261"/>
    </row>
    <row r="12192" spans="2:20" x14ac:dyDescent="0.2">
      <c r="B12192" s="245"/>
      <c r="C12192" s="248"/>
      <c r="D12192" s="249"/>
      <c r="E12192" s="249"/>
      <c r="T12192" s="261"/>
    </row>
    <row r="12193" spans="2:20" x14ac:dyDescent="0.2">
      <c r="B12193" s="245"/>
      <c r="C12193" s="248"/>
      <c r="D12193" s="249"/>
      <c r="E12193" s="249"/>
      <c r="T12193" s="261"/>
    </row>
    <row r="12194" spans="2:20" x14ac:dyDescent="0.2">
      <c r="B12194" s="245"/>
      <c r="C12194" s="248"/>
      <c r="D12194" s="249"/>
      <c r="E12194" s="249"/>
      <c r="T12194" s="261"/>
    </row>
    <row r="12195" spans="2:20" x14ac:dyDescent="0.2">
      <c r="B12195" s="245"/>
      <c r="C12195" s="248"/>
      <c r="D12195" s="249"/>
      <c r="E12195" s="249"/>
      <c r="T12195" s="261"/>
    </row>
    <row r="12196" spans="2:20" x14ac:dyDescent="0.2">
      <c r="B12196" s="245"/>
      <c r="C12196" s="248"/>
      <c r="D12196" s="249"/>
      <c r="E12196" s="249"/>
      <c r="T12196" s="261"/>
    </row>
    <row r="12197" spans="2:20" x14ac:dyDescent="0.2">
      <c r="B12197" s="245"/>
      <c r="C12197" s="248"/>
      <c r="D12197" s="249"/>
      <c r="E12197" s="249"/>
      <c r="T12197" s="261"/>
    </row>
    <row r="12198" spans="2:20" x14ac:dyDescent="0.2">
      <c r="B12198" s="245"/>
      <c r="C12198" s="248"/>
      <c r="D12198" s="249"/>
      <c r="E12198" s="249"/>
      <c r="T12198" s="261"/>
    </row>
    <row r="12199" spans="2:20" x14ac:dyDescent="0.2">
      <c r="B12199" s="245"/>
      <c r="C12199" s="248"/>
      <c r="D12199" s="249"/>
      <c r="E12199" s="249"/>
      <c r="T12199" s="261"/>
    </row>
    <row r="12200" spans="2:20" x14ac:dyDescent="0.2">
      <c r="B12200" s="245"/>
      <c r="C12200" s="248"/>
      <c r="D12200" s="249"/>
      <c r="E12200" s="249"/>
      <c r="T12200" s="261"/>
    </row>
    <row r="12201" spans="2:20" x14ac:dyDescent="0.2">
      <c r="B12201" s="245"/>
      <c r="C12201" s="248"/>
      <c r="D12201" s="249"/>
      <c r="E12201" s="249"/>
      <c r="T12201" s="261"/>
    </row>
    <row r="12202" spans="2:20" x14ac:dyDescent="0.2">
      <c r="B12202" s="245"/>
      <c r="C12202" s="248"/>
      <c r="D12202" s="249"/>
      <c r="E12202" s="249"/>
      <c r="T12202" s="261"/>
    </row>
    <row r="12203" spans="2:20" x14ac:dyDescent="0.2">
      <c r="B12203" s="245"/>
      <c r="C12203" s="248"/>
      <c r="D12203" s="249"/>
      <c r="E12203" s="249"/>
      <c r="T12203" s="261"/>
    </row>
    <row r="12204" spans="2:20" x14ac:dyDescent="0.2">
      <c r="B12204" s="245"/>
      <c r="C12204" s="248"/>
      <c r="D12204" s="249"/>
      <c r="E12204" s="249"/>
      <c r="T12204" s="261"/>
    </row>
    <row r="12205" spans="2:20" x14ac:dyDescent="0.2">
      <c r="B12205" s="245"/>
      <c r="C12205" s="248"/>
      <c r="D12205" s="249"/>
      <c r="E12205" s="249"/>
      <c r="T12205" s="261"/>
    </row>
    <row r="12206" spans="2:20" x14ac:dyDescent="0.2">
      <c r="B12206" s="245"/>
      <c r="C12206" s="248"/>
      <c r="D12206" s="249"/>
      <c r="E12206" s="249"/>
      <c r="T12206" s="261"/>
    </row>
    <row r="12207" spans="2:20" x14ac:dyDescent="0.2">
      <c r="B12207" s="245"/>
      <c r="C12207" s="248"/>
      <c r="D12207" s="249"/>
      <c r="E12207" s="249"/>
      <c r="T12207" s="261"/>
    </row>
    <row r="12208" spans="2:20" x14ac:dyDescent="0.2">
      <c r="B12208" s="245"/>
      <c r="C12208" s="248"/>
      <c r="D12208" s="249"/>
      <c r="E12208" s="249"/>
      <c r="T12208" s="261"/>
    </row>
    <row r="12209" spans="2:20" x14ac:dyDescent="0.2">
      <c r="B12209" s="245"/>
      <c r="C12209" s="248"/>
      <c r="D12209" s="249"/>
      <c r="E12209" s="249"/>
      <c r="T12209" s="261"/>
    </row>
    <row r="12210" spans="2:20" x14ac:dyDescent="0.2">
      <c r="B12210" s="245"/>
      <c r="C12210" s="248"/>
      <c r="D12210" s="249"/>
      <c r="E12210" s="249"/>
      <c r="T12210" s="261"/>
    </row>
    <row r="12211" spans="2:20" x14ac:dyDescent="0.2">
      <c r="B12211" s="245"/>
      <c r="C12211" s="248"/>
      <c r="D12211" s="249"/>
      <c r="E12211" s="249"/>
      <c r="T12211" s="261"/>
    </row>
    <row r="12212" spans="2:20" x14ac:dyDescent="0.2">
      <c r="B12212" s="245"/>
      <c r="C12212" s="248"/>
      <c r="D12212" s="249"/>
      <c r="E12212" s="249"/>
      <c r="T12212" s="261"/>
    </row>
    <row r="12213" spans="2:20" x14ac:dyDescent="0.2">
      <c r="B12213" s="245"/>
      <c r="C12213" s="248"/>
      <c r="D12213" s="249"/>
      <c r="E12213" s="249"/>
      <c r="T12213" s="261"/>
    </row>
    <row r="12214" spans="2:20" x14ac:dyDescent="0.2">
      <c r="B12214" s="245"/>
      <c r="C12214" s="248"/>
      <c r="D12214" s="249"/>
      <c r="E12214" s="249"/>
      <c r="T12214" s="261"/>
    </row>
    <row r="12215" spans="2:20" x14ac:dyDescent="0.2">
      <c r="B12215" s="245"/>
      <c r="C12215" s="248"/>
      <c r="D12215" s="249"/>
      <c r="E12215" s="249"/>
      <c r="T12215" s="261"/>
    </row>
    <row r="12216" spans="2:20" x14ac:dyDescent="0.2">
      <c r="B12216" s="245"/>
      <c r="C12216" s="248"/>
      <c r="D12216" s="249"/>
      <c r="E12216" s="249"/>
      <c r="T12216" s="261"/>
    </row>
    <row r="12217" spans="2:20" x14ac:dyDescent="0.2">
      <c r="B12217" s="245"/>
      <c r="C12217" s="248"/>
      <c r="D12217" s="249"/>
      <c r="E12217" s="249"/>
      <c r="T12217" s="261"/>
    </row>
    <row r="12218" spans="2:20" x14ac:dyDescent="0.2">
      <c r="B12218" s="245"/>
      <c r="C12218" s="248"/>
      <c r="D12218" s="249"/>
      <c r="E12218" s="249"/>
      <c r="T12218" s="261"/>
    </row>
    <row r="12219" spans="2:20" x14ac:dyDescent="0.2">
      <c r="B12219" s="245"/>
      <c r="C12219" s="248"/>
      <c r="D12219" s="249"/>
      <c r="E12219" s="249"/>
      <c r="T12219" s="261"/>
    </row>
    <row r="12220" spans="2:20" x14ac:dyDescent="0.2">
      <c r="B12220" s="245"/>
      <c r="C12220" s="248"/>
      <c r="D12220" s="249"/>
      <c r="E12220" s="249"/>
      <c r="T12220" s="261"/>
    </row>
    <row r="12221" spans="2:20" x14ac:dyDescent="0.2">
      <c r="B12221" s="245"/>
      <c r="C12221" s="248"/>
      <c r="D12221" s="249"/>
      <c r="E12221" s="249"/>
      <c r="T12221" s="261"/>
    </row>
    <row r="12222" spans="2:20" x14ac:dyDescent="0.2">
      <c r="B12222" s="245"/>
      <c r="C12222" s="248"/>
      <c r="D12222" s="249"/>
      <c r="E12222" s="249"/>
      <c r="T12222" s="261"/>
    </row>
    <row r="12223" spans="2:20" x14ac:dyDescent="0.2">
      <c r="B12223" s="245"/>
      <c r="C12223" s="248"/>
      <c r="D12223" s="249"/>
      <c r="E12223" s="249"/>
      <c r="T12223" s="261"/>
    </row>
    <row r="12224" spans="2:20" x14ac:dyDescent="0.2">
      <c r="B12224" s="245"/>
      <c r="C12224" s="248"/>
      <c r="D12224" s="249"/>
      <c r="E12224" s="249"/>
      <c r="T12224" s="261"/>
    </row>
    <row r="12225" spans="2:20" x14ac:dyDescent="0.2">
      <c r="B12225" s="245"/>
      <c r="C12225" s="248"/>
      <c r="D12225" s="249"/>
      <c r="E12225" s="249"/>
      <c r="T12225" s="261"/>
    </row>
    <row r="12226" spans="2:20" x14ac:dyDescent="0.2">
      <c r="B12226" s="245"/>
      <c r="C12226" s="248"/>
      <c r="D12226" s="249"/>
      <c r="E12226" s="249"/>
      <c r="T12226" s="261"/>
    </row>
    <row r="12227" spans="2:20" x14ac:dyDescent="0.2">
      <c r="B12227" s="245"/>
      <c r="C12227" s="248"/>
      <c r="D12227" s="249"/>
      <c r="E12227" s="249"/>
      <c r="T12227" s="261"/>
    </row>
    <row r="12228" spans="2:20" x14ac:dyDescent="0.2">
      <c r="B12228" s="245"/>
      <c r="C12228" s="248"/>
      <c r="D12228" s="249"/>
      <c r="E12228" s="249"/>
      <c r="T12228" s="261"/>
    </row>
    <row r="12229" spans="2:20" x14ac:dyDescent="0.2">
      <c r="B12229" s="245"/>
      <c r="C12229" s="248"/>
      <c r="D12229" s="249"/>
      <c r="E12229" s="249"/>
      <c r="T12229" s="261"/>
    </row>
    <row r="12230" spans="2:20" x14ac:dyDescent="0.2">
      <c r="B12230" s="245"/>
      <c r="C12230" s="248"/>
      <c r="D12230" s="249"/>
      <c r="E12230" s="249"/>
      <c r="T12230" s="261"/>
    </row>
    <row r="12231" spans="2:20" x14ac:dyDescent="0.2">
      <c r="B12231" s="245"/>
      <c r="C12231" s="248"/>
      <c r="D12231" s="249"/>
      <c r="E12231" s="249"/>
      <c r="T12231" s="261"/>
    </row>
    <row r="12232" spans="2:20" x14ac:dyDescent="0.2">
      <c r="B12232" s="245"/>
      <c r="C12232" s="248"/>
      <c r="D12232" s="249"/>
      <c r="E12232" s="249"/>
      <c r="T12232" s="261"/>
    </row>
    <row r="12233" spans="2:20" x14ac:dyDescent="0.2">
      <c r="B12233" s="245"/>
      <c r="C12233" s="248"/>
      <c r="D12233" s="249"/>
      <c r="E12233" s="249"/>
      <c r="T12233" s="261"/>
    </row>
    <row r="12234" spans="2:20" x14ac:dyDescent="0.2">
      <c r="B12234" s="245"/>
      <c r="C12234" s="248"/>
      <c r="D12234" s="249"/>
      <c r="E12234" s="249"/>
      <c r="T12234" s="261"/>
    </row>
    <row r="12235" spans="2:20" x14ac:dyDescent="0.2">
      <c r="B12235" s="245"/>
      <c r="C12235" s="248"/>
      <c r="D12235" s="249"/>
      <c r="E12235" s="249"/>
      <c r="T12235" s="261"/>
    </row>
    <row r="12236" spans="2:20" x14ac:dyDescent="0.2">
      <c r="B12236" s="245"/>
      <c r="C12236" s="248"/>
      <c r="D12236" s="249"/>
      <c r="E12236" s="249"/>
      <c r="T12236" s="261"/>
    </row>
    <row r="12237" spans="2:20" x14ac:dyDescent="0.2">
      <c r="B12237" s="245"/>
      <c r="C12237" s="248"/>
      <c r="D12237" s="249"/>
      <c r="E12237" s="249"/>
      <c r="T12237" s="261"/>
    </row>
    <row r="12238" spans="2:20" x14ac:dyDescent="0.2">
      <c r="B12238" s="245"/>
      <c r="C12238" s="248"/>
      <c r="D12238" s="249"/>
      <c r="E12238" s="249"/>
      <c r="T12238" s="261"/>
    </row>
    <row r="12239" spans="2:20" x14ac:dyDescent="0.2">
      <c r="B12239" s="245"/>
      <c r="C12239" s="248"/>
      <c r="D12239" s="249"/>
      <c r="E12239" s="249"/>
      <c r="T12239" s="261"/>
    </row>
    <row r="12240" spans="2:20" x14ac:dyDescent="0.2">
      <c r="B12240" s="245"/>
      <c r="C12240" s="248"/>
      <c r="D12240" s="249"/>
      <c r="E12240" s="249"/>
      <c r="T12240" s="261"/>
    </row>
    <row r="12241" spans="2:20" x14ac:dyDescent="0.2">
      <c r="B12241" s="245"/>
      <c r="C12241" s="248"/>
      <c r="D12241" s="249"/>
      <c r="E12241" s="249"/>
      <c r="T12241" s="261"/>
    </row>
    <row r="12242" spans="2:20" x14ac:dyDescent="0.2">
      <c r="B12242" s="245"/>
      <c r="C12242" s="248"/>
      <c r="D12242" s="249"/>
      <c r="E12242" s="249"/>
      <c r="T12242" s="261"/>
    </row>
    <row r="12243" spans="2:20" x14ac:dyDescent="0.2">
      <c r="B12243" s="245"/>
      <c r="C12243" s="248"/>
      <c r="D12243" s="249"/>
      <c r="E12243" s="249"/>
      <c r="T12243" s="261"/>
    </row>
    <row r="12244" spans="2:20" x14ac:dyDescent="0.2">
      <c r="B12244" s="245"/>
      <c r="C12244" s="248"/>
      <c r="D12244" s="249"/>
      <c r="E12244" s="249"/>
      <c r="T12244" s="261"/>
    </row>
    <row r="12245" spans="2:20" x14ac:dyDescent="0.2">
      <c r="B12245" s="245"/>
      <c r="C12245" s="248"/>
      <c r="D12245" s="249"/>
      <c r="E12245" s="249"/>
      <c r="T12245" s="261"/>
    </row>
    <row r="12246" spans="2:20" x14ac:dyDescent="0.2">
      <c r="B12246" s="245"/>
      <c r="C12246" s="248"/>
      <c r="D12246" s="249"/>
      <c r="E12246" s="249"/>
      <c r="T12246" s="261"/>
    </row>
    <row r="12247" spans="2:20" x14ac:dyDescent="0.2">
      <c r="B12247" s="245"/>
      <c r="C12247" s="248"/>
      <c r="D12247" s="249"/>
      <c r="E12247" s="249"/>
      <c r="T12247" s="261"/>
    </row>
    <row r="12248" spans="2:20" x14ac:dyDescent="0.2">
      <c r="B12248" s="245"/>
      <c r="C12248" s="248"/>
      <c r="D12248" s="249"/>
      <c r="E12248" s="249"/>
      <c r="T12248" s="261"/>
    </row>
    <row r="12249" spans="2:20" x14ac:dyDescent="0.2">
      <c r="B12249" s="245"/>
      <c r="C12249" s="248"/>
      <c r="D12249" s="249"/>
      <c r="E12249" s="249"/>
      <c r="T12249" s="261"/>
    </row>
    <row r="12250" spans="2:20" x14ac:dyDescent="0.2">
      <c r="B12250" s="245"/>
      <c r="C12250" s="248"/>
      <c r="D12250" s="249"/>
      <c r="E12250" s="249"/>
      <c r="T12250" s="261"/>
    </row>
    <row r="12251" spans="2:20" x14ac:dyDescent="0.2">
      <c r="B12251" s="245"/>
      <c r="C12251" s="248"/>
      <c r="D12251" s="249"/>
      <c r="E12251" s="249"/>
      <c r="T12251" s="261"/>
    </row>
    <row r="12252" spans="2:20" x14ac:dyDescent="0.2">
      <c r="B12252" s="245"/>
      <c r="C12252" s="248"/>
      <c r="D12252" s="249"/>
      <c r="E12252" s="249"/>
      <c r="T12252" s="261"/>
    </row>
    <row r="12253" spans="2:20" x14ac:dyDescent="0.2">
      <c r="B12253" s="245"/>
      <c r="C12253" s="248"/>
      <c r="D12253" s="249"/>
      <c r="E12253" s="249"/>
      <c r="T12253" s="261"/>
    </row>
    <row r="12254" spans="2:20" x14ac:dyDescent="0.2">
      <c r="B12254" s="245"/>
      <c r="C12254" s="248"/>
      <c r="D12254" s="249"/>
      <c r="E12254" s="249"/>
      <c r="T12254" s="261"/>
    </row>
    <row r="12255" spans="2:20" x14ac:dyDescent="0.2">
      <c r="B12255" s="245"/>
      <c r="C12255" s="248"/>
      <c r="D12255" s="249"/>
      <c r="E12255" s="249"/>
      <c r="T12255" s="261"/>
    </row>
    <row r="12256" spans="2:20" x14ac:dyDescent="0.2">
      <c r="B12256" s="245"/>
      <c r="C12256" s="248"/>
      <c r="D12256" s="249"/>
      <c r="E12256" s="249"/>
      <c r="T12256" s="261"/>
    </row>
    <row r="12257" spans="2:20" x14ac:dyDescent="0.2">
      <c r="B12257" s="245"/>
      <c r="C12257" s="248"/>
      <c r="D12257" s="249"/>
      <c r="E12257" s="249"/>
      <c r="T12257" s="261"/>
    </row>
    <row r="12258" spans="2:20" x14ac:dyDescent="0.2">
      <c r="B12258" s="245"/>
      <c r="C12258" s="248"/>
      <c r="D12258" s="249"/>
      <c r="E12258" s="249"/>
      <c r="T12258" s="261"/>
    </row>
    <row r="12259" spans="2:20" x14ac:dyDescent="0.2">
      <c r="B12259" s="245"/>
      <c r="C12259" s="248"/>
      <c r="D12259" s="249"/>
      <c r="E12259" s="249"/>
      <c r="T12259" s="261"/>
    </row>
    <row r="12260" spans="2:20" x14ac:dyDescent="0.2">
      <c r="B12260" s="245"/>
      <c r="C12260" s="248"/>
      <c r="D12260" s="249"/>
      <c r="E12260" s="249"/>
      <c r="T12260" s="261"/>
    </row>
    <row r="12261" spans="2:20" x14ac:dyDescent="0.2">
      <c r="B12261" s="245"/>
      <c r="C12261" s="248"/>
      <c r="D12261" s="249"/>
      <c r="E12261" s="249"/>
      <c r="T12261" s="261"/>
    </row>
    <row r="12262" spans="2:20" x14ac:dyDescent="0.2">
      <c r="B12262" s="245"/>
      <c r="C12262" s="248"/>
      <c r="D12262" s="249"/>
      <c r="E12262" s="249"/>
      <c r="T12262" s="261"/>
    </row>
    <row r="12263" spans="2:20" x14ac:dyDescent="0.2">
      <c r="B12263" s="245"/>
      <c r="C12263" s="248"/>
      <c r="D12263" s="249"/>
      <c r="E12263" s="249"/>
      <c r="T12263" s="261"/>
    </row>
    <row r="12264" spans="2:20" x14ac:dyDescent="0.2">
      <c r="B12264" s="245"/>
      <c r="C12264" s="248"/>
      <c r="D12264" s="249"/>
      <c r="E12264" s="249"/>
      <c r="T12264" s="261"/>
    </row>
    <row r="12265" spans="2:20" x14ac:dyDescent="0.2">
      <c r="B12265" s="245"/>
      <c r="C12265" s="248"/>
      <c r="D12265" s="249"/>
      <c r="E12265" s="249"/>
      <c r="T12265" s="261"/>
    </row>
    <row r="12266" spans="2:20" x14ac:dyDescent="0.2">
      <c r="B12266" s="245"/>
      <c r="C12266" s="248"/>
      <c r="D12266" s="249"/>
      <c r="E12266" s="249"/>
      <c r="T12266" s="261"/>
    </row>
    <row r="12267" spans="2:20" x14ac:dyDescent="0.2">
      <c r="B12267" s="245"/>
      <c r="C12267" s="248"/>
      <c r="D12267" s="249"/>
      <c r="E12267" s="249"/>
      <c r="T12267" s="261"/>
    </row>
    <row r="12268" spans="2:20" x14ac:dyDescent="0.2">
      <c r="B12268" s="245"/>
      <c r="C12268" s="248"/>
      <c r="D12268" s="249"/>
      <c r="E12268" s="249"/>
      <c r="T12268" s="261"/>
    </row>
    <row r="12269" spans="2:20" x14ac:dyDescent="0.2">
      <c r="B12269" s="245"/>
      <c r="C12269" s="248"/>
      <c r="D12269" s="249"/>
      <c r="E12269" s="249"/>
      <c r="T12269" s="261"/>
    </row>
    <row r="12270" spans="2:20" x14ac:dyDescent="0.2">
      <c r="B12270" s="245"/>
      <c r="C12270" s="248"/>
      <c r="D12270" s="249"/>
      <c r="E12270" s="249"/>
      <c r="T12270" s="261"/>
    </row>
    <row r="12271" spans="2:20" x14ac:dyDescent="0.2">
      <c r="B12271" s="245"/>
      <c r="C12271" s="248"/>
      <c r="D12271" s="249"/>
      <c r="E12271" s="249"/>
      <c r="T12271" s="261"/>
    </row>
    <row r="12272" spans="2:20" x14ac:dyDescent="0.2">
      <c r="B12272" s="245"/>
      <c r="C12272" s="248"/>
      <c r="D12272" s="249"/>
      <c r="E12272" s="249"/>
      <c r="T12272" s="261"/>
    </row>
    <row r="12273" spans="2:20" x14ac:dyDescent="0.2">
      <c r="B12273" s="245"/>
      <c r="C12273" s="248"/>
      <c r="D12273" s="249"/>
      <c r="E12273" s="249"/>
      <c r="T12273" s="261"/>
    </row>
    <row r="12274" spans="2:20" x14ac:dyDescent="0.2">
      <c r="B12274" s="245"/>
      <c r="C12274" s="248"/>
      <c r="D12274" s="249"/>
      <c r="E12274" s="249"/>
      <c r="T12274" s="261"/>
    </row>
    <row r="12275" spans="2:20" x14ac:dyDescent="0.2">
      <c r="B12275" s="245"/>
      <c r="C12275" s="248"/>
      <c r="D12275" s="249"/>
      <c r="E12275" s="249"/>
      <c r="T12275" s="261"/>
    </row>
    <row r="12276" spans="2:20" x14ac:dyDescent="0.2">
      <c r="B12276" s="245"/>
      <c r="C12276" s="248"/>
      <c r="D12276" s="249"/>
      <c r="E12276" s="249"/>
      <c r="T12276" s="261"/>
    </row>
    <row r="12277" spans="2:20" x14ac:dyDescent="0.2">
      <c r="B12277" s="245"/>
      <c r="C12277" s="248"/>
      <c r="D12277" s="249"/>
      <c r="E12277" s="249"/>
      <c r="T12277" s="261"/>
    </row>
    <row r="12278" spans="2:20" x14ac:dyDescent="0.2">
      <c r="B12278" s="245"/>
      <c r="C12278" s="248"/>
      <c r="D12278" s="249"/>
      <c r="E12278" s="249"/>
      <c r="T12278" s="261"/>
    </row>
    <row r="12279" spans="2:20" x14ac:dyDescent="0.2">
      <c r="B12279" s="245"/>
      <c r="C12279" s="248"/>
      <c r="D12279" s="249"/>
      <c r="E12279" s="249"/>
      <c r="T12279" s="261"/>
    </row>
    <row r="12280" spans="2:20" x14ac:dyDescent="0.2">
      <c r="B12280" s="245"/>
      <c r="C12280" s="248"/>
      <c r="D12280" s="249"/>
      <c r="E12280" s="249"/>
      <c r="T12280" s="261"/>
    </row>
    <row r="12281" spans="2:20" x14ac:dyDescent="0.2">
      <c r="B12281" s="245"/>
      <c r="C12281" s="248"/>
      <c r="D12281" s="249"/>
      <c r="E12281" s="249"/>
      <c r="T12281" s="261"/>
    </row>
    <row r="12282" spans="2:20" x14ac:dyDescent="0.2">
      <c r="B12282" s="245"/>
      <c r="C12282" s="248"/>
      <c r="D12282" s="249"/>
      <c r="E12282" s="249"/>
      <c r="T12282" s="261"/>
    </row>
    <row r="12283" spans="2:20" x14ac:dyDescent="0.2">
      <c r="B12283" s="245"/>
      <c r="C12283" s="248"/>
      <c r="D12283" s="249"/>
      <c r="E12283" s="249"/>
      <c r="T12283" s="261"/>
    </row>
    <row r="12284" spans="2:20" x14ac:dyDescent="0.2">
      <c r="B12284" s="245"/>
      <c r="C12284" s="248"/>
      <c r="D12284" s="249"/>
      <c r="E12284" s="249"/>
      <c r="T12284" s="261"/>
    </row>
    <row r="12285" spans="2:20" x14ac:dyDescent="0.2">
      <c r="B12285" s="245"/>
      <c r="C12285" s="248"/>
      <c r="D12285" s="249"/>
      <c r="E12285" s="249"/>
      <c r="T12285" s="261"/>
    </row>
    <row r="12286" spans="2:20" x14ac:dyDescent="0.2">
      <c r="B12286" s="245"/>
      <c r="C12286" s="248"/>
      <c r="D12286" s="249"/>
      <c r="E12286" s="249"/>
      <c r="T12286" s="261"/>
    </row>
    <row r="12287" spans="2:20" x14ac:dyDescent="0.2">
      <c r="B12287" s="245"/>
      <c r="C12287" s="248"/>
      <c r="D12287" s="249"/>
      <c r="E12287" s="249"/>
      <c r="T12287" s="261"/>
    </row>
    <row r="12288" spans="2:20" x14ac:dyDescent="0.2">
      <c r="B12288" s="245"/>
      <c r="C12288" s="248"/>
      <c r="D12288" s="249"/>
      <c r="E12288" s="249"/>
      <c r="T12288" s="261"/>
    </row>
    <row r="12289" spans="2:20" x14ac:dyDescent="0.2">
      <c r="B12289" s="245"/>
      <c r="C12289" s="248"/>
      <c r="D12289" s="249"/>
      <c r="E12289" s="249"/>
      <c r="T12289" s="261"/>
    </row>
    <row r="12290" spans="2:20" x14ac:dyDescent="0.2">
      <c r="B12290" s="245"/>
      <c r="C12290" s="248"/>
      <c r="D12290" s="249"/>
      <c r="E12290" s="249"/>
      <c r="T12290" s="261"/>
    </row>
    <row r="12291" spans="2:20" x14ac:dyDescent="0.2">
      <c r="B12291" s="245"/>
      <c r="C12291" s="248"/>
      <c r="D12291" s="249"/>
      <c r="E12291" s="249"/>
      <c r="T12291" s="261"/>
    </row>
    <row r="12292" spans="2:20" x14ac:dyDescent="0.2">
      <c r="B12292" s="245"/>
      <c r="C12292" s="248"/>
      <c r="D12292" s="249"/>
      <c r="E12292" s="249"/>
      <c r="T12292" s="261"/>
    </row>
    <row r="12293" spans="2:20" x14ac:dyDescent="0.2">
      <c r="B12293" s="245"/>
      <c r="C12293" s="248"/>
      <c r="D12293" s="249"/>
      <c r="E12293" s="249"/>
      <c r="T12293" s="261"/>
    </row>
    <row r="12294" spans="2:20" x14ac:dyDescent="0.2">
      <c r="B12294" s="245"/>
      <c r="C12294" s="248"/>
      <c r="D12294" s="249"/>
      <c r="E12294" s="249"/>
      <c r="T12294" s="261"/>
    </row>
    <row r="12295" spans="2:20" x14ac:dyDescent="0.2">
      <c r="B12295" s="245"/>
      <c r="C12295" s="248"/>
      <c r="D12295" s="249"/>
      <c r="E12295" s="249"/>
      <c r="T12295" s="261"/>
    </row>
    <row r="12296" spans="2:20" x14ac:dyDescent="0.2">
      <c r="B12296" s="245"/>
      <c r="C12296" s="248"/>
      <c r="D12296" s="249"/>
      <c r="E12296" s="249"/>
      <c r="T12296" s="261"/>
    </row>
    <row r="12297" spans="2:20" x14ac:dyDescent="0.2">
      <c r="B12297" s="245"/>
      <c r="C12297" s="248"/>
      <c r="D12297" s="249"/>
      <c r="E12297" s="249"/>
      <c r="T12297" s="261"/>
    </row>
    <row r="12298" spans="2:20" x14ac:dyDescent="0.2">
      <c r="B12298" s="245"/>
      <c r="C12298" s="248"/>
      <c r="D12298" s="249"/>
      <c r="E12298" s="249"/>
      <c r="T12298" s="261"/>
    </row>
    <row r="12299" spans="2:20" x14ac:dyDescent="0.2">
      <c r="B12299" s="245"/>
      <c r="C12299" s="248"/>
      <c r="D12299" s="249"/>
      <c r="E12299" s="249"/>
      <c r="T12299" s="261"/>
    </row>
    <row r="12300" spans="2:20" x14ac:dyDescent="0.2">
      <c r="B12300" s="245"/>
      <c r="C12300" s="248"/>
      <c r="D12300" s="249"/>
      <c r="E12300" s="249"/>
      <c r="T12300" s="261"/>
    </row>
    <row r="12301" spans="2:20" x14ac:dyDescent="0.2">
      <c r="B12301" s="245"/>
      <c r="C12301" s="248"/>
      <c r="D12301" s="249"/>
      <c r="E12301" s="249"/>
      <c r="T12301" s="261"/>
    </row>
    <row r="12302" spans="2:20" x14ac:dyDescent="0.2">
      <c r="B12302" s="245"/>
      <c r="C12302" s="248"/>
      <c r="D12302" s="249"/>
      <c r="E12302" s="249"/>
      <c r="T12302" s="261"/>
    </row>
    <row r="12303" spans="2:20" x14ac:dyDescent="0.2">
      <c r="B12303" s="245"/>
      <c r="C12303" s="248"/>
      <c r="D12303" s="249"/>
      <c r="E12303" s="249"/>
      <c r="T12303" s="261"/>
    </row>
    <row r="12304" spans="2:20" x14ac:dyDescent="0.2">
      <c r="B12304" s="245"/>
      <c r="C12304" s="248"/>
      <c r="D12304" s="249"/>
      <c r="E12304" s="249"/>
      <c r="T12304" s="261"/>
    </row>
    <row r="12305" spans="2:20" x14ac:dyDescent="0.2">
      <c r="B12305" s="245"/>
      <c r="C12305" s="248"/>
      <c r="D12305" s="249"/>
      <c r="E12305" s="249"/>
      <c r="T12305" s="261"/>
    </row>
    <row r="12306" spans="2:20" x14ac:dyDescent="0.2">
      <c r="B12306" s="245"/>
      <c r="C12306" s="248"/>
      <c r="D12306" s="249"/>
      <c r="E12306" s="249"/>
      <c r="T12306" s="261"/>
    </row>
    <row r="12307" spans="2:20" x14ac:dyDescent="0.2">
      <c r="B12307" s="245"/>
      <c r="C12307" s="248"/>
      <c r="D12307" s="249"/>
      <c r="E12307" s="249"/>
      <c r="T12307" s="261"/>
    </row>
    <row r="12308" spans="2:20" x14ac:dyDescent="0.2">
      <c r="B12308" s="245"/>
      <c r="C12308" s="248"/>
      <c r="D12308" s="249"/>
      <c r="E12308" s="249"/>
      <c r="T12308" s="261"/>
    </row>
    <row r="12309" spans="2:20" x14ac:dyDescent="0.2">
      <c r="B12309" s="245"/>
      <c r="C12309" s="248"/>
      <c r="D12309" s="249"/>
      <c r="E12309" s="249"/>
      <c r="T12309" s="261"/>
    </row>
    <row r="12310" spans="2:20" x14ac:dyDescent="0.2">
      <c r="B12310" s="245"/>
      <c r="C12310" s="248"/>
      <c r="D12310" s="249"/>
      <c r="E12310" s="249"/>
      <c r="T12310" s="261"/>
    </row>
    <row r="12311" spans="2:20" x14ac:dyDescent="0.2">
      <c r="B12311" s="245"/>
      <c r="C12311" s="248"/>
      <c r="D12311" s="249"/>
      <c r="E12311" s="249"/>
      <c r="T12311" s="261"/>
    </row>
    <row r="12312" spans="2:20" x14ac:dyDescent="0.2">
      <c r="B12312" s="245"/>
      <c r="C12312" s="248"/>
      <c r="D12312" s="249"/>
      <c r="E12312" s="249"/>
      <c r="T12312" s="261"/>
    </row>
    <row r="12313" spans="2:20" x14ac:dyDescent="0.2">
      <c r="B12313" s="245"/>
      <c r="C12313" s="248"/>
      <c r="D12313" s="249"/>
      <c r="E12313" s="249"/>
      <c r="T12313" s="261"/>
    </row>
    <row r="12314" spans="2:20" x14ac:dyDescent="0.2">
      <c r="B12314" s="245"/>
      <c r="C12314" s="248"/>
      <c r="D12314" s="249"/>
      <c r="E12314" s="249"/>
      <c r="T12314" s="261"/>
    </row>
    <row r="12315" spans="2:20" x14ac:dyDescent="0.2">
      <c r="B12315" s="245"/>
      <c r="C12315" s="248"/>
      <c r="D12315" s="249"/>
      <c r="E12315" s="249"/>
      <c r="T12315" s="261"/>
    </row>
    <row r="12316" spans="2:20" x14ac:dyDescent="0.2">
      <c r="B12316" s="245"/>
      <c r="C12316" s="248"/>
      <c r="D12316" s="249"/>
      <c r="E12316" s="249"/>
      <c r="T12316" s="261"/>
    </row>
    <row r="12317" spans="2:20" x14ac:dyDescent="0.2">
      <c r="B12317" s="245"/>
      <c r="C12317" s="248"/>
      <c r="D12317" s="249"/>
      <c r="E12317" s="249"/>
      <c r="T12317" s="261"/>
    </row>
    <row r="12318" spans="2:20" x14ac:dyDescent="0.2">
      <c r="B12318" s="245"/>
      <c r="C12318" s="248"/>
      <c r="D12318" s="249"/>
      <c r="E12318" s="249"/>
      <c r="T12318" s="261"/>
    </row>
    <row r="12319" spans="2:20" x14ac:dyDescent="0.2">
      <c r="B12319" s="245"/>
      <c r="C12319" s="248"/>
      <c r="D12319" s="249"/>
      <c r="E12319" s="249"/>
      <c r="T12319" s="261"/>
    </row>
    <row r="12320" spans="2:20" x14ac:dyDescent="0.2">
      <c r="B12320" s="245"/>
      <c r="C12320" s="248"/>
      <c r="D12320" s="249"/>
      <c r="E12320" s="249"/>
      <c r="T12320" s="261"/>
    </row>
    <row r="12321" spans="2:20" x14ac:dyDescent="0.2">
      <c r="B12321" s="245"/>
      <c r="C12321" s="248"/>
      <c r="D12321" s="249"/>
      <c r="E12321" s="249"/>
      <c r="T12321" s="261"/>
    </row>
    <row r="12322" spans="2:20" x14ac:dyDescent="0.2">
      <c r="B12322" s="245"/>
      <c r="C12322" s="248"/>
      <c r="D12322" s="249"/>
      <c r="E12322" s="249"/>
      <c r="T12322" s="261"/>
    </row>
    <row r="12323" spans="2:20" x14ac:dyDescent="0.2">
      <c r="B12323" s="245"/>
      <c r="C12323" s="248"/>
      <c r="D12323" s="249"/>
      <c r="E12323" s="249"/>
      <c r="T12323" s="261"/>
    </row>
    <row r="12324" spans="2:20" x14ac:dyDescent="0.2">
      <c r="B12324" s="245"/>
      <c r="C12324" s="248"/>
      <c r="D12324" s="249"/>
      <c r="E12324" s="249"/>
      <c r="T12324" s="261"/>
    </row>
    <row r="12325" spans="2:20" x14ac:dyDescent="0.2">
      <c r="B12325" s="245"/>
      <c r="C12325" s="248"/>
      <c r="D12325" s="249"/>
      <c r="E12325" s="249"/>
      <c r="T12325" s="261"/>
    </row>
    <row r="12326" spans="2:20" x14ac:dyDescent="0.2">
      <c r="B12326" s="245"/>
      <c r="C12326" s="248"/>
      <c r="D12326" s="249"/>
      <c r="E12326" s="249"/>
      <c r="T12326" s="261"/>
    </row>
    <row r="12327" spans="2:20" x14ac:dyDescent="0.2">
      <c r="B12327" s="245"/>
      <c r="C12327" s="248"/>
      <c r="D12327" s="249"/>
      <c r="E12327" s="249"/>
      <c r="T12327" s="261"/>
    </row>
    <row r="12328" spans="2:20" x14ac:dyDescent="0.2">
      <c r="B12328" s="245"/>
      <c r="C12328" s="248"/>
      <c r="D12328" s="249"/>
      <c r="E12328" s="249"/>
      <c r="T12328" s="261"/>
    </row>
    <row r="12329" spans="2:20" x14ac:dyDescent="0.2">
      <c r="B12329" s="245"/>
      <c r="C12329" s="248"/>
      <c r="D12329" s="249"/>
      <c r="E12329" s="249"/>
      <c r="T12329" s="261"/>
    </row>
    <row r="12330" spans="2:20" x14ac:dyDescent="0.2">
      <c r="B12330" s="245"/>
      <c r="C12330" s="248"/>
      <c r="D12330" s="249"/>
      <c r="E12330" s="249"/>
      <c r="T12330" s="261"/>
    </row>
    <row r="12331" spans="2:20" x14ac:dyDescent="0.2">
      <c r="B12331" s="245"/>
      <c r="C12331" s="248"/>
      <c r="D12331" s="249"/>
      <c r="E12331" s="249"/>
      <c r="T12331" s="261"/>
    </row>
    <row r="12332" spans="2:20" x14ac:dyDescent="0.2">
      <c r="B12332" s="245"/>
      <c r="C12332" s="248"/>
      <c r="D12332" s="249"/>
      <c r="E12332" s="249"/>
      <c r="T12332" s="261"/>
    </row>
    <row r="12333" spans="2:20" x14ac:dyDescent="0.2">
      <c r="B12333" s="245"/>
      <c r="C12333" s="248"/>
      <c r="D12333" s="249"/>
      <c r="E12333" s="249"/>
      <c r="T12333" s="261"/>
    </row>
    <row r="12334" spans="2:20" x14ac:dyDescent="0.2">
      <c r="B12334" s="245"/>
      <c r="C12334" s="248"/>
      <c r="D12334" s="249"/>
      <c r="E12334" s="249"/>
      <c r="T12334" s="261"/>
    </row>
    <row r="12335" spans="2:20" x14ac:dyDescent="0.2">
      <c r="B12335" s="245"/>
      <c r="C12335" s="248"/>
      <c r="D12335" s="249"/>
      <c r="E12335" s="249"/>
      <c r="T12335" s="261"/>
    </row>
    <row r="12336" spans="2:20" x14ac:dyDescent="0.2">
      <c r="B12336" s="245"/>
      <c r="C12336" s="248"/>
      <c r="D12336" s="249"/>
      <c r="E12336" s="249"/>
      <c r="T12336" s="261"/>
    </row>
    <row r="12337" spans="2:20" x14ac:dyDescent="0.2">
      <c r="B12337" s="245"/>
      <c r="C12337" s="248"/>
      <c r="D12337" s="249"/>
      <c r="E12337" s="249"/>
      <c r="T12337" s="261"/>
    </row>
    <row r="12338" spans="2:20" x14ac:dyDescent="0.2">
      <c r="B12338" s="245"/>
      <c r="C12338" s="248"/>
      <c r="D12338" s="249"/>
      <c r="E12338" s="249"/>
      <c r="T12338" s="261"/>
    </row>
    <row r="12339" spans="2:20" x14ac:dyDescent="0.2">
      <c r="B12339" s="245"/>
      <c r="C12339" s="248"/>
      <c r="D12339" s="249"/>
      <c r="E12339" s="249"/>
      <c r="T12339" s="261"/>
    </row>
    <row r="12340" spans="2:20" x14ac:dyDescent="0.2">
      <c r="B12340" s="245"/>
      <c r="C12340" s="248"/>
      <c r="D12340" s="249"/>
      <c r="E12340" s="249"/>
      <c r="T12340" s="261"/>
    </row>
    <row r="12341" spans="2:20" x14ac:dyDescent="0.2">
      <c r="B12341" s="245"/>
      <c r="C12341" s="248"/>
      <c r="D12341" s="249"/>
      <c r="E12341" s="249"/>
      <c r="T12341" s="261"/>
    </row>
    <row r="12342" spans="2:20" x14ac:dyDescent="0.2">
      <c r="B12342" s="245"/>
      <c r="C12342" s="248"/>
      <c r="D12342" s="249"/>
      <c r="E12342" s="249"/>
      <c r="T12342" s="261"/>
    </row>
    <row r="12343" spans="2:20" x14ac:dyDescent="0.2">
      <c r="B12343" s="245"/>
      <c r="C12343" s="248"/>
      <c r="D12343" s="249"/>
      <c r="E12343" s="249"/>
      <c r="T12343" s="261"/>
    </row>
    <row r="12344" spans="2:20" x14ac:dyDescent="0.2">
      <c r="B12344" s="245"/>
      <c r="C12344" s="248"/>
      <c r="D12344" s="249"/>
      <c r="E12344" s="249"/>
      <c r="T12344" s="261"/>
    </row>
    <row r="12345" spans="2:20" x14ac:dyDescent="0.2">
      <c r="B12345" s="245"/>
      <c r="C12345" s="248"/>
      <c r="D12345" s="249"/>
      <c r="E12345" s="249"/>
      <c r="T12345" s="261"/>
    </row>
    <row r="12346" spans="2:20" x14ac:dyDescent="0.2">
      <c r="B12346" s="245"/>
      <c r="C12346" s="248"/>
      <c r="D12346" s="249"/>
      <c r="E12346" s="249"/>
      <c r="T12346" s="261"/>
    </row>
    <row r="12347" spans="2:20" x14ac:dyDescent="0.2">
      <c r="B12347" s="245"/>
      <c r="C12347" s="248"/>
      <c r="D12347" s="249"/>
      <c r="E12347" s="249"/>
      <c r="T12347" s="261"/>
    </row>
    <row r="12348" spans="2:20" x14ac:dyDescent="0.2">
      <c r="B12348" s="245"/>
      <c r="C12348" s="248"/>
      <c r="D12348" s="249"/>
      <c r="E12348" s="249"/>
      <c r="T12348" s="261"/>
    </row>
    <row r="12349" spans="2:20" x14ac:dyDescent="0.2">
      <c r="B12349" s="245"/>
      <c r="C12349" s="248"/>
      <c r="D12349" s="249"/>
      <c r="E12349" s="249"/>
      <c r="T12349" s="261"/>
    </row>
    <row r="12350" spans="2:20" x14ac:dyDescent="0.2">
      <c r="B12350" s="245"/>
      <c r="C12350" s="248"/>
      <c r="D12350" s="249"/>
      <c r="E12350" s="249"/>
      <c r="T12350" s="261"/>
    </row>
    <row r="12351" spans="2:20" x14ac:dyDescent="0.2">
      <c r="B12351" s="245"/>
      <c r="C12351" s="248"/>
      <c r="D12351" s="249"/>
      <c r="E12351" s="249"/>
      <c r="T12351" s="261"/>
    </row>
    <row r="12352" spans="2:20" x14ac:dyDescent="0.2">
      <c r="B12352" s="245"/>
      <c r="C12352" s="248"/>
      <c r="D12352" s="249"/>
      <c r="E12352" s="249"/>
      <c r="T12352" s="261"/>
    </row>
    <row r="12353" spans="2:20" x14ac:dyDescent="0.2">
      <c r="B12353" s="245"/>
      <c r="C12353" s="248"/>
      <c r="D12353" s="249"/>
      <c r="E12353" s="249"/>
      <c r="T12353" s="261"/>
    </row>
    <row r="12354" spans="2:20" x14ac:dyDescent="0.2">
      <c r="B12354" s="245"/>
      <c r="C12354" s="248"/>
      <c r="D12354" s="249"/>
      <c r="E12354" s="249"/>
      <c r="T12354" s="261"/>
    </row>
    <row r="12355" spans="2:20" x14ac:dyDescent="0.2">
      <c r="B12355" s="245"/>
      <c r="C12355" s="248"/>
      <c r="D12355" s="249"/>
      <c r="E12355" s="249"/>
      <c r="T12355" s="261"/>
    </row>
    <row r="12356" spans="2:20" x14ac:dyDescent="0.2">
      <c r="B12356" s="245"/>
      <c r="C12356" s="248"/>
      <c r="D12356" s="249"/>
      <c r="E12356" s="249"/>
      <c r="T12356" s="261"/>
    </row>
    <row r="12357" spans="2:20" x14ac:dyDescent="0.2">
      <c r="B12357" s="245"/>
      <c r="C12357" s="248"/>
      <c r="D12357" s="249"/>
      <c r="E12357" s="249"/>
      <c r="T12357" s="261"/>
    </row>
    <row r="12358" spans="2:20" x14ac:dyDescent="0.2">
      <c r="B12358" s="245"/>
      <c r="C12358" s="248"/>
      <c r="D12358" s="249"/>
      <c r="E12358" s="249"/>
      <c r="T12358" s="261"/>
    </row>
    <row r="12359" spans="2:20" x14ac:dyDescent="0.2">
      <c r="B12359" s="245"/>
      <c r="C12359" s="248"/>
      <c r="D12359" s="249"/>
      <c r="E12359" s="249"/>
      <c r="T12359" s="261"/>
    </row>
    <row r="12360" spans="2:20" x14ac:dyDescent="0.2">
      <c r="B12360" s="245"/>
      <c r="C12360" s="248"/>
      <c r="D12360" s="249"/>
      <c r="E12360" s="249"/>
      <c r="T12360" s="261"/>
    </row>
    <row r="12361" spans="2:20" x14ac:dyDescent="0.2">
      <c r="B12361" s="245"/>
      <c r="C12361" s="248"/>
      <c r="D12361" s="249"/>
      <c r="E12361" s="249"/>
      <c r="T12361" s="261"/>
    </row>
    <row r="12362" spans="2:20" x14ac:dyDescent="0.2">
      <c r="B12362" s="245"/>
      <c r="C12362" s="248"/>
      <c r="D12362" s="249"/>
      <c r="E12362" s="249"/>
      <c r="T12362" s="261"/>
    </row>
    <row r="12363" spans="2:20" x14ac:dyDescent="0.2">
      <c r="B12363" s="245"/>
      <c r="C12363" s="248"/>
      <c r="D12363" s="249"/>
      <c r="E12363" s="249"/>
      <c r="T12363" s="261"/>
    </row>
    <row r="12364" spans="2:20" x14ac:dyDescent="0.2">
      <c r="B12364" s="245"/>
      <c r="C12364" s="248"/>
      <c r="D12364" s="249"/>
      <c r="E12364" s="249"/>
      <c r="T12364" s="261"/>
    </row>
    <row r="12365" spans="2:20" x14ac:dyDescent="0.2">
      <c r="B12365" s="245"/>
      <c r="C12365" s="248"/>
      <c r="D12365" s="249"/>
      <c r="E12365" s="249"/>
      <c r="T12365" s="261"/>
    </row>
    <row r="12366" spans="2:20" x14ac:dyDescent="0.2">
      <c r="B12366" s="245"/>
      <c r="C12366" s="248"/>
      <c r="D12366" s="249"/>
      <c r="E12366" s="249"/>
      <c r="T12366" s="261"/>
    </row>
    <row r="12367" spans="2:20" x14ac:dyDescent="0.2">
      <c r="B12367" s="245"/>
      <c r="C12367" s="248"/>
      <c r="D12367" s="249"/>
      <c r="E12367" s="249"/>
      <c r="T12367" s="261"/>
    </row>
    <row r="12368" spans="2:20" x14ac:dyDescent="0.2">
      <c r="B12368" s="245"/>
      <c r="C12368" s="248"/>
      <c r="D12368" s="249"/>
      <c r="E12368" s="249"/>
      <c r="T12368" s="261"/>
    </row>
    <row r="12369" spans="2:20" x14ac:dyDescent="0.2">
      <c r="B12369" s="245"/>
      <c r="C12369" s="248"/>
      <c r="D12369" s="249"/>
      <c r="E12369" s="249"/>
      <c r="T12369" s="261"/>
    </row>
    <row r="12370" spans="2:20" x14ac:dyDescent="0.2">
      <c r="B12370" s="245"/>
      <c r="C12370" s="248"/>
      <c r="D12370" s="249"/>
      <c r="E12370" s="249"/>
      <c r="T12370" s="261"/>
    </row>
    <row r="12371" spans="2:20" x14ac:dyDescent="0.2">
      <c r="B12371" s="245"/>
      <c r="C12371" s="248"/>
      <c r="D12371" s="249"/>
      <c r="E12371" s="249"/>
      <c r="T12371" s="261"/>
    </row>
    <row r="12372" spans="2:20" x14ac:dyDescent="0.2">
      <c r="B12372" s="245"/>
      <c r="C12372" s="248"/>
      <c r="D12372" s="249"/>
      <c r="E12372" s="249"/>
      <c r="T12372" s="261"/>
    </row>
    <row r="12373" spans="2:20" x14ac:dyDescent="0.2">
      <c r="B12373" s="245"/>
      <c r="C12373" s="248"/>
      <c r="D12373" s="249"/>
      <c r="E12373" s="249"/>
      <c r="T12373" s="261"/>
    </row>
    <row r="12374" spans="2:20" x14ac:dyDescent="0.2">
      <c r="B12374" s="245"/>
      <c r="C12374" s="248"/>
      <c r="D12374" s="249"/>
      <c r="E12374" s="249"/>
      <c r="T12374" s="261"/>
    </row>
    <row r="12375" spans="2:20" x14ac:dyDescent="0.2">
      <c r="B12375" s="245"/>
      <c r="C12375" s="248"/>
      <c r="D12375" s="249"/>
      <c r="E12375" s="249"/>
      <c r="T12375" s="261"/>
    </row>
    <row r="12376" spans="2:20" x14ac:dyDescent="0.2">
      <c r="B12376" s="245"/>
      <c r="C12376" s="248"/>
      <c r="D12376" s="249"/>
      <c r="E12376" s="249"/>
      <c r="T12376" s="261"/>
    </row>
    <row r="12377" spans="2:20" x14ac:dyDescent="0.2">
      <c r="B12377" s="245"/>
      <c r="C12377" s="248"/>
      <c r="D12377" s="249"/>
      <c r="E12377" s="249"/>
      <c r="T12377" s="261"/>
    </row>
    <row r="12378" spans="2:20" x14ac:dyDescent="0.2">
      <c r="B12378" s="245"/>
      <c r="C12378" s="248"/>
      <c r="D12378" s="249"/>
      <c r="E12378" s="249"/>
      <c r="T12378" s="261"/>
    </row>
    <row r="12379" spans="2:20" x14ac:dyDescent="0.2">
      <c r="B12379" s="245"/>
      <c r="C12379" s="248"/>
      <c r="D12379" s="249"/>
      <c r="E12379" s="249"/>
      <c r="T12379" s="261"/>
    </row>
    <row r="12380" spans="2:20" x14ac:dyDescent="0.2">
      <c r="B12380" s="245"/>
      <c r="C12380" s="248"/>
      <c r="D12380" s="249"/>
      <c r="E12380" s="249"/>
      <c r="T12380" s="261"/>
    </row>
    <row r="12381" spans="2:20" x14ac:dyDescent="0.2">
      <c r="B12381" s="245"/>
      <c r="C12381" s="248"/>
      <c r="D12381" s="249"/>
      <c r="E12381" s="249"/>
      <c r="T12381" s="261"/>
    </row>
    <row r="12382" spans="2:20" x14ac:dyDescent="0.2">
      <c r="B12382" s="245"/>
      <c r="C12382" s="248"/>
      <c r="D12382" s="249"/>
      <c r="E12382" s="249"/>
      <c r="T12382" s="261"/>
    </row>
    <row r="12383" spans="2:20" x14ac:dyDescent="0.2">
      <c r="B12383" s="245"/>
      <c r="C12383" s="248"/>
      <c r="D12383" s="249"/>
      <c r="E12383" s="249"/>
      <c r="T12383" s="261"/>
    </row>
    <row r="12384" spans="2:20" x14ac:dyDescent="0.2">
      <c r="B12384" s="245"/>
      <c r="C12384" s="248"/>
      <c r="D12384" s="249"/>
      <c r="E12384" s="249"/>
      <c r="T12384" s="261"/>
    </row>
    <row r="12385" spans="2:20" x14ac:dyDescent="0.2">
      <c r="B12385" s="245"/>
      <c r="C12385" s="248"/>
      <c r="D12385" s="249"/>
      <c r="E12385" s="249"/>
      <c r="T12385" s="261"/>
    </row>
    <row r="12386" spans="2:20" x14ac:dyDescent="0.2">
      <c r="B12386" s="245"/>
      <c r="C12386" s="248"/>
      <c r="D12386" s="249"/>
      <c r="E12386" s="249"/>
      <c r="T12386" s="261"/>
    </row>
    <row r="12387" spans="2:20" x14ac:dyDescent="0.2">
      <c r="B12387" s="245"/>
      <c r="C12387" s="248"/>
      <c r="D12387" s="249"/>
      <c r="E12387" s="249"/>
      <c r="T12387" s="261"/>
    </row>
    <row r="12388" spans="2:20" x14ac:dyDescent="0.2">
      <c r="B12388" s="245"/>
      <c r="C12388" s="248"/>
      <c r="D12388" s="249"/>
      <c r="E12388" s="249"/>
      <c r="T12388" s="261"/>
    </row>
    <row r="12389" spans="2:20" x14ac:dyDescent="0.2">
      <c r="B12389" s="245"/>
      <c r="C12389" s="248"/>
      <c r="D12389" s="249"/>
      <c r="E12389" s="249"/>
      <c r="T12389" s="261"/>
    </row>
    <row r="12390" spans="2:20" x14ac:dyDescent="0.2">
      <c r="B12390" s="245"/>
      <c r="C12390" s="248"/>
      <c r="D12390" s="249"/>
      <c r="E12390" s="249"/>
      <c r="T12390" s="261"/>
    </row>
    <row r="12391" spans="2:20" x14ac:dyDescent="0.2">
      <c r="B12391" s="245"/>
      <c r="C12391" s="248"/>
      <c r="D12391" s="249"/>
      <c r="E12391" s="249"/>
      <c r="T12391" s="261"/>
    </row>
    <row r="12392" spans="2:20" x14ac:dyDescent="0.2">
      <c r="B12392" s="245"/>
      <c r="C12392" s="248"/>
      <c r="D12392" s="249"/>
      <c r="E12392" s="249"/>
      <c r="T12392" s="261"/>
    </row>
    <row r="12393" spans="2:20" x14ac:dyDescent="0.2">
      <c r="B12393" s="245"/>
      <c r="C12393" s="248"/>
      <c r="D12393" s="249"/>
      <c r="E12393" s="249"/>
      <c r="T12393" s="261"/>
    </row>
    <row r="12394" spans="2:20" x14ac:dyDescent="0.2">
      <c r="B12394" s="245"/>
      <c r="C12394" s="248"/>
      <c r="D12394" s="249"/>
      <c r="E12394" s="249"/>
      <c r="T12394" s="261"/>
    </row>
    <row r="12395" spans="2:20" x14ac:dyDescent="0.2">
      <c r="B12395" s="245"/>
      <c r="C12395" s="248"/>
      <c r="D12395" s="249"/>
      <c r="E12395" s="249"/>
      <c r="T12395" s="261"/>
    </row>
    <row r="12396" spans="2:20" x14ac:dyDescent="0.2">
      <c r="B12396" s="245"/>
      <c r="C12396" s="248"/>
      <c r="D12396" s="249"/>
      <c r="E12396" s="249"/>
      <c r="T12396" s="261"/>
    </row>
    <row r="12397" spans="2:20" x14ac:dyDescent="0.2">
      <c r="B12397" s="245"/>
      <c r="C12397" s="248"/>
      <c r="D12397" s="249"/>
      <c r="E12397" s="249"/>
      <c r="T12397" s="261"/>
    </row>
    <row r="12398" spans="2:20" x14ac:dyDescent="0.2">
      <c r="B12398" s="245"/>
      <c r="C12398" s="248"/>
      <c r="D12398" s="249"/>
      <c r="E12398" s="249"/>
      <c r="T12398" s="261"/>
    </row>
    <row r="12399" spans="2:20" x14ac:dyDescent="0.2">
      <c r="B12399" s="245"/>
      <c r="C12399" s="248"/>
      <c r="D12399" s="249"/>
      <c r="E12399" s="249"/>
      <c r="T12399" s="261"/>
    </row>
    <row r="12400" spans="2:20" x14ac:dyDescent="0.2">
      <c r="B12400" s="245"/>
      <c r="C12400" s="248"/>
      <c r="D12400" s="249"/>
      <c r="E12400" s="249"/>
      <c r="T12400" s="261"/>
    </row>
    <row r="12401" spans="2:20" x14ac:dyDescent="0.2">
      <c r="B12401" s="245"/>
      <c r="C12401" s="248"/>
      <c r="D12401" s="249"/>
      <c r="E12401" s="249"/>
      <c r="T12401" s="261"/>
    </row>
    <row r="12402" spans="2:20" x14ac:dyDescent="0.2">
      <c r="B12402" s="245"/>
      <c r="C12402" s="248"/>
      <c r="D12402" s="249"/>
      <c r="E12402" s="249"/>
      <c r="T12402" s="261"/>
    </row>
    <row r="12403" spans="2:20" x14ac:dyDescent="0.2">
      <c r="B12403" s="245"/>
      <c r="C12403" s="248"/>
      <c r="D12403" s="249"/>
      <c r="E12403" s="249"/>
      <c r="T12403" s="261"/>
    </row>
    <row r="12404" spans="2:20" x14ac:dyDescent="0.2">
      <c r="B12404" s="245"/>
      <c r="C12404" s="248"/>
      <c r="D12404" s="249"/>
      <c r="E12404" s="249"/>
      <c r="T12404" s="261"/>
    </row>
    <row r="12405" spans="2:20" x14ac:dyDescent="0.2">
      <c r="B12405" s="245"/>
      <c r="C12405" s="248"/>
      <c r="D12405" s="249"/>
      <c r="E12405" s="249"/>
      <c r="T12405" s="261"/>
    </row>
    <row r="12406" spans="2:20" x14ac:dyDescent="0.2">
      <c r="B12406" s="245"/>
      <c r="C12406" s="248"/>
      <c r="D12406" s="249"/>
      <c r="E12406" s="249"/>
      <c r="T12406" s="261"/>
    </row>
    <row r="12407" spans="2:20" x14ac:dyDescent="0.2">
      <c r="B12407" s="245"/>
      <c r="C12407" s="248"/>
      <c r="D12407" s="249"/>
      <c r="E12407" s="249"/>
      <c r="T12407" s="261"/>
    </row>
    <row r="12408" spans="2:20" x14ac:dyDescent="0.2">
      <c r="B12408" s="245"/>
      <c r="C12408" s="248"/>
      <c r="D12408" s="249"/>
      <c r="E12408" s="249"/>
      <c r="T12408" s="261"/>
    </row>
    <row r="12409" spans="2:20" x14ac:dyDescent="0.2">
      <c r="B12409" s="245"/>
      <c r="C12409" s="248"/>
      <c r="D12409" s="249"/>
      <c r="E12409" s="249"/>
      <c r="T12409" s="261"/>
    </row>
    <row r="12410" spans="2:20" x14ac:dyDescent="0.2">
      <c r="B12410" s="245"/>
      <c r="C12410" s="248"/>
      <c r="D12410" s="249"/>
      <c r="E12410" s="249"/>
      <c r="T12410" s="261"/>
    </row>
    <row r="12411" spans="2:20" x14ac:dyDescent="0.2">
      <c r="B12411" s="245"/>
      <c r="C12411" s="248"/>
      <c r="D12411" s="249"/>
      <c r="E12411" s="249"/>
      <c r="T12411" s="261"/>
    </row>
    <row r="12412" spans="2:20" x14ac:dyDescent="0.2">
      <c r="B12412" s="245"/>
      <c r="C12412" s="248"/>
      <c r="D12412" s="249"/>
      <c r="E12412" s="249"/>
      <c r="T12412" s="261"/>
    </row>
    <row r="12413" spans="2:20" x14ac:dyDescent="0.2">
      <c r="B12413" s="245"/>
      <c r="C12413" s="248"/>
      <c r="D12413" s="249"/>
      <c r="E12413" s="249"/>
      <c r="T12413" s="261"/>
    </row>
    <row r="12414" spans="2:20" x14ac:dyDescent="0.2">
      <c r="B12414" s="245"/>
      <c r="C12414" s="248"/>
      <c r="D12414" s="249"/>
      <c r="E12414" s="249"/>
      <c r="T12414" s="261"/>
    </row>
    <row r="12415" spans="2:20" x14ac:dyDescent="0.2">
      <c r="B12415" s="245"/>
      <c r="C12415" s="248"/>
      <c r="D12415" s="249"/>
      <c r="E12415" s="249"/>
      <c r="T12415" s="261"/>
    </row>
    <row r="12416" spans="2:20" x14ac:dyDescent="0.2">
      <c r="B12416" s="245"/>
      <c r="C12416" s="248"/>
      <c r="D12416" s="249"/>
      <c r="E12416" s="249"/>
      <c r="T12416" s="261"/>
    </row>
    <row r="12417" spans="2:20" x14ac:dyDescent="0.2">
      <c r="B12417" s="245"/>
      <c r="C12417" s="248"/>
      <c r="D12417" s="249"/>
      <c r="E12417" s="249"/>
      <c r="T12417" s="261"/>
    </row>
    <row r="12418" spans="2:20" x14ac:dyDescent="0.2">
      <c r="B12418" s="245"/>
      <c r="C12418" s="248"/>
      <c r="D12418" s="249"/>
      <c r="E12418" s="249"/>
      <c r="T12418" s="261"/>
    </row>
    <row r="12419" spans="2:20" x14ac:dyDescent="0.2">
      <c r="B12419" s="245"/>
      <c r="C12419" s="248"/>
      <c r="D12419" s="249"/>
      <c r="E12419" s="249"/>
      <c r="T12419" s="261"/>
    </row>
    <row r="12420" spans="2:20" x14ac:dyDescent="0.2">
      <c r="B12420" s="245"/>
      <c r="C12420" s="248"/>
      <c r="D12420" s="249"/>
      <c r="E12420" s="249"/>
      <c r="T12420" s="261"/>
    </row>
    <row r="12421" spans="2:20" x14ac:dyDescent="0.2">
      <c r="B12421" s="245"/>
      <c r="C12421" s="248"/>
      <c r="D12421" s="249"/>
      <c r="E12421" s="249"/>
      <c r="T12421" s="261"/>
    </row>
    <row r="12422" spans="2:20" x14ac:dyDescent="0.2">
      <c r="B12422" s="245"/>
      <c r="C12422" s="248"/>
      <c r="D12422" s="249"/>
      <c r="E12422" s="249"/>
      <c r="T12422" s="261"/>
    </row>
    <row r="12423" spans="2:20" x14ac:dyDescent="0.2">
      <c r="B12423" s="245"/>
      <c r="C12423" s="248"/>
      <c r="D12423" s="249"/>
      <c r="E12423" s="249"/>
      <c r="T12423" s="261"/>
    </row>
    <row r="12424" spans="2:20" x14ac:dyDescent="0.2">
      <c r="B12424" s="245"/>
      <c r="C12424" s="248"/>
      <c r="D12424" s="249"/>
      <c r="E12424" s="249"/>
      <c r="T12424" s="261"/>
    </row>
    <row r="12425" spans="2:20" x14ac:dyDescent="0.2">
      <c r="B12425" s="245"/>
      <c r="C12425" s="248"/>
      <c r="D12425" s="249"/>
      <c r="E12425" s="249"/>
      <c r="T12425" s="261"/>
    </row>
    <row r="12426" spans="2:20" x14ac:dyDescent="0.2">
      <c r="B12426" s="245"/>
      <c r="C12426" s="248"/>
      <c r="D12426" s="249"/>
      <c r="E12426" s="249"/>
      <c r="T12426" s="261"/>
    </row>
    <row r="12427" spans="2:20" x14ac:dyDescent="0.2">
      <c r="B12427" s="245"/>
      <c r="C12427" s="248"/>
      <c r="D12427" s="249"/>
      <c r="E12427" s="249"/>
      <c r="T12427" s="261"/>
    </row>
    <row r="12428" spans="2:20" x14ac:dyDescent="0.2">
      <c r="B12428" s="245"/>
      <c r="C12428" s="248"/>
      <c r="D12428" s="249"/>
      <c r="E12428" s="249"/>
      <c r="T12428" s="261"/>
    </row>
    <row r="12429" spans="2:20" x14ac:dyDescent="0.2">
      <c r="B12429" s="245"/>
      <c r="C12429" s="248"/>
      <c r="D12429" s="249"/>
      <c r="E12429" s="249"/>
      <c r="T12429" s="261"/>
    </row>
    <row r="12430" spans="2:20" x14ac:dyDescent="0.2">
      <c r="B12430" s="245"/>
      <c r="C12430" s="248"/>
      <c r="D12430" s="249"/>
      <c r="E12430" s="249"/>
      <c r="T12430" s="261"/>
    </row>
    <row r="12431" spans="2:20" x14ac:dyDescent="0.2">
      <c r="B12431" s="245"/>
      <c r="C12431" s="248"/>
      <c r="D12431" s="249"/>
      <c r="E12431" s="249"/>
      <c r="T12431" s="261"/>
    </row>
    <row r="12432" spans="2:20" x14ac:dyDescent="0.2">
      <c r="B12432" s="245"/>
      <c r="C12432" s="248"/>
      <c r="D12432" s="249"/>
      <c r="E12432" s="249"/>
      <c r="T12432" s="261"/>
    </row>
    <row r="12433" spans="2:20" x14ac:dyDescent="0.2">
      <c r="B12433" s="245"/>
      <c r="C12433" s="248"/>
      <c r="D12433" s="249"/>
      <c r="E12433" s="249"/>
      <c r="T12433" s="261"/>
    </row>
    <row r="12434" spans="2:20" x14ac:dyDescent="0.2">
      <c r="B12434" s="245"/>
      <c r="C12434" s="248"/>
      <c r="D12434" s="249"/>
      <c r="E12434" s="249"/>
      <c r="T12434" s="261"/>
    </row>
    <row r="12435" spans="2:20" x14ac:dyDescent="0.2">
      <c r="B12435" s="245"/>
      <c r="C12435" s="248"/>
      <c r="D12435" s="249"/>
      <c r="E12435" s="249"/>
      <c r="T12435" s="261"/>
    </row>
    <row r="12436" spans="2:20" x14ac:dyDescent="0.2">
      <c r="B12436" s="245"/>
      <c r="C12436" s="248"/>
      <c r="D12436" s="249"/>
      <c r="E12436" s="249"/>
      <c r="T12436" s="261"/>
    </row>
    <row r="12437" spans="2:20" x14ac:dyDescent="0.2">
      <c r="B12437" s="245"/>
      <c r="C12437" s="248"/>
      <c r="D12437" s="249"/>
      <c r="E12437" s="249"/>
      <c r="T12437" s="261"/>
    </row>
    <row r="12438" spans="2:20" x14ac:dyDescent="0.2">
      <c r="B12438" s="245"/>
      <c r="C12438" s="248"/>
      <c r="D12438" s="249"/>
      <c r="E12438" s="249"/>
      <c r="T12438" s="261"/>
    </row>
    <row r="12439" spans="2:20" x14ac:dyDescent="0.2">
      <c r="B12439" s="245"/>
      <c r="C12439" s="248"/>
      <c r="D12439" s="249"/>
      <c r="E12439" s="249"/>
      <c r="T12439" s="261"/>
    </row>
    <row r="12440" spans="2:20" x14ac:dyDescent="0.2">
      <c r="B12440" s="245"/>
      <c r="C12440" s="248"/>
      <c r="D12440" s="249"/>
      <c r="E12440" s="249"/>
      <c r="T12440" s="261"/>
    </row>
    <row r="12441" spans="2:20" x14ac:dyDescent="0.2">
      <c r="B12441" s="245"/>
      <c r="C12441" s="248"/>
      <c r="D12441" s="249"/>
      <c r="E12441" s="249"/>
      <c r="T12441" s="261"/>
    </row>
    <row r="12442" spans="2:20" x14ac:dyDescent="0.2">
      <c r="B12442" s="245"/>
      <c r="C12442" s="248"/>
      <c r="D12442" s="249"/>
      <c r="E12442" s="249"/>
      <c r="T12442" s="261"/>
    </row>
    <row r="12443" spans="2:20" x14ac:dyDescent="0.2">
      <c r="B12443" s="245"/>
      <c r="C12443" s="248"/>
      <c r="D12443" s="249"/>
      <c r="E12443" s="249"/>
      <c r="T12443" s="261"/>
    </row>
    <row r="12444" spans="2:20" x14ac:dyDescent="0.2">
      <c r="B12444" s="245"/>
      <c r="C12444" s="248"/>
      <c r="D12444" s="249"/>
      <c r="E12444" s="249"/>
      <c r="T12444" s="261"/>
    </row>
    <row r="12445" spans="2:20" x14ac:dyDescent="0.2">
      <c r="B12445" s="245"/>
      <c r="C12445" s="248"/>
      <c r="D12445" s="249"/>
      <c r="E12445" s="249"/>
      <c r="T12445" s="261"/>
    </row>
    <row r="12446" spans="2:20" x14ac:dyDescent="0.2">
      <c r="B12446" s="245"/>
      <c r="C12446" s="248"/>
      <c r="D12446" s="249"/>
      <c r="E12446" s="249"/>
      <c r="T12446" s="261"/>
    </row>
    <row r="12447" spans="2:20" x14ac:dyDescent="0.2">
      <c r="B12447" s="245"/>
      <c r="C12447" s="248"/>
      <c r="D12447" s="249"/>
      <c r="E12447" s="249"/>
      <c r="T12447" s="261"/>
    </row>
    <row r="12448" spans="2:20" x14ac:dyDescent="0.2">
      <c r="B12448" s="245"/>
      <c r="C12448" s="248"/>
      <c r="D12448" s="249"/>
      <c r="E12448" s="249"/>
      <c r="T12448" s="261"/>
    </row>
    <row r="12449" spans="2:20" x14ac:dyDescent="0.2">
      <c r="B12449" s="245"/>
      <c r="C12449" s="248"/>
      <c r="D12449" s="249"/>
      <c r="E12449" s="249"/>
      <c r="T12449" s="261"/>
    </row>
    <row r="12450" spans="2:20" x14ac:dyDescent="0.2">
      <c r="B12450" s="245"/>
      <c r="C12450" s="248"/>
      <c r="D12450" s="249"/>
      <c r="E12450" s="249"/>
      <c r="T12450" s="261"/>
    </row>
    <row r="12451" spans="2:20" x14ac:dyDescent="0.2">
      <c r="B12451" s="245"/>
      <c r="C12451" s="248"/>
      <c r="D12451" s="249"/>
      <c r="E12451" s="249"/>
      <c r="T12451" s="261"/>
    </row>
    <row r="12452" spans="2:20" x14ac:dyDescent="0.2">
      <c r="B12452" s="245"/>
      <c r="C12452" s="248"/>
      <c r="D12452" s="249"/>
      <c r="E12452" s="249"/>
      <c r="T12452" s="261"/>
    </row>
    <row r="12453" spans="2:20" x14ac:dyDescent="0.2">
      <c r="B12453" s="245"/>
      <c r="C12453" s="248"/>
      <c r="D12453" s="249"/>
      <c r="E12453" s="249"/>
      <c r="T12453" s="261"/>
    </row>
    <row r="12454" spans="2:20" x14ac:dyDescent="0.2">
      <c r="B12454" s="245"/>
      <c r="C12454" s="248"/>
      <c r="D12454" s="249"/>
      <c r="E12454" s="249"/>
      <c r="T12454" s="261"/>
    </row>
    <row r="12455" spans="2:20" x14ac:dyDescent="0.2">
      <c r="B12455" s="245"/>
      <c r="C12455" s="248"/>
      <c r="D12455" s="249"/>
      <c r="E12455" s="249"/>
      <c r="T12455" s="261"/>
    </row>
    <row r="12456" spans="2:20" x14ac:dyDescent="0.2">
      <c r="B12456" s="245"/>
      <c r="C12456" s="248"/>
      <c r="D12456" s="249"/>
      <c r="E12456" s="249"/>
      <c r="T12456" s="261"/>
    </row>
    <row r="12457" spans="2:20" x14ac:dyDescent="0.2">
      <c r="B12457" s="245"/>
      <c r="C12457" s="248"/>
      <c r="D12457" s="249"/>
      <c r="E12457" s="249"/>
      <c r="T12457" s="261"/>
    </row>
    <row r="12458" spans="2:20" x14ac:dyDescent="0.2">
      <c r="B12458" s="245"/>
      <c r="C12458" s="248"/>
      <c r="D12458" s="249"/>
      <c r="E12458" s="249"/>
      <c r="T12458" s="261"/>
    </row>
    <row r="12459" spans="2:20" x14ac:dyDescent="0.2">
      <c r="B12459" s="245"/>
      <c r="C12459" s="248"/>
      <c r="D12459" s="249"/>
      <c r="E12459" s="249"/>
      <c r="T12459" s="261"/>
    </row>
    <row r="12460" spans="2:20" x14ac:dyDescent="0.2">
      <c r="B12460" s="245"/>
      <c r="C12460" s="248"/>
      <c r="D12460" s="249"/>
      <c r="E12460" s="249"/>
      <c r="T12460" s="261"/>
    </row>
    <row r="12461" spans="2:20" x14ac:dyDescent="0.2">
      <c r="B12461" s="245"/>
      <c r="C12461" s="248"/>
      <c r="D12461" s="249"/>
      <c r="E12461" s="249"/>
      <c r="T12461" s="261"/>
    </row>
    <row r="12462" spans="2:20" x14ac:dyDescent="0.2">
      <c r="B12462" s="245"/>
      <c r="C12462" s="248"/>
      <c r="D12462" s="249"/>
      <c r="E12462" s="249"/>
      <c r="T12462" s="261"/>
    </row>
    <row r="12463" spans="2:20" x14ac:dyDescent="0.2">
      <c r="B12463" s="245"/>
      <c r="C12463" s="248"/>
      <c r="D12463" s="249"/>
      <c r="E12463" s="249"/>
      <c r="T12463" s="261"/>
    </row>
    <row r="12464" spans="2:20" x14ac:dyDescent="0.2">
      <c r="B12464" s="245"/>
      <c r="C12464" s="248"/>
      <c r="D12464" s="249"/>
      <c r="E12464" s="249"/>
      <c r="T12464" s="261"/>
    </row>
    <row r="12465" spans="2:20" x14ac:dyDescent="0.2">
      <c r="B12465" s="245"/>
      <c r="C12465" s="248"/>
      <c r="D12465" s="249"/>
      <c r="E12465" s="249"/>
      <c r="T12465" s="261"/>
    </row>
    <row r="12466" spans="2:20" x14ac:dyDescent="0.2">
      <c r="B12466" s="245"/>
      <c r="C12466" s="248"/>
      <c r="D12466" s="249"/>
      <c r="E12466" s="249"/>
      <c r="T12466" s="261"/>
    </row>
    <row r="12467" spans="2:20" x14ac:dyDescent="0.2">
      <c r="B12467" s="245"/>
      <c r="C12467" s="248"/>
      <c r="D12467" s="249"/>
      <c r="E12467" s="249"/>
      <c r="T12467" s="261"/>
    </row>
    <row r="12468" spans="2:20" x14ac:dyDescent="0.2">
      <c r="B12468" s="245"/>
      <c r="C12468" s="248"/>
      <c r="D12468" s="249"/>
      <c r="E12468" s="249"/>
      <c r="T12468" s="261"/>
    </row>
    <row r="12469" spans="2:20" x14ac:dyDescent="0.2">
      <c r="B12469" s="245"/>
      <c r="C12469" s="248"/>
      <c r="D12469" s="249"/>
      <c r="E12469" s="249"/>
      <c r="T12469" s="261"/>
    </row>
    <row r="12470" spans="2:20" x14ac:dyDescent="0.2">
      <c r="B12470" s="245"/>
      <c r="C12470" s="248"/>
      <c r="D12470" s="249"/>
      <c r="E12470" s="249"/>
      <c r="T12470" s="261"/>
    </row>
    <row r="12471" spans="2:20" x14ac:dyDescent="0.2">
      <c r="B12471" s="245"/>
      <c r="C12471" s="248"/>
      <c r="D12471" s="249"/>
      <c r="E12471" s="249"/>
      <c r="T12471" s="261"/>
    </row>
    <row r="12472" spans="2:20" x14ac:dyDescent="0.2">
      <c r="B12472" s="245"/>
      <c r="C12472" s="248"/>
      <c r="D12472" s="249"/>
      <c r="E12472" s="249"/>
      <c r="T12472" s="261"/>
    </row>
    <row r="12473" spans="2:20" x14ac:dyDescent="0.2">
      <c r="B12473" s="245"/>
      <c r="C12473" s="248"/>
      <c r="D12473" s="249"/>
      <c r="E12473" s="249"/>
      <c r="T12473" s="261"/>
    </row>
    <row r="12474" spans="2:20" x14ac:dyDescent="0.2">
      <c r="B12474" s="245"/>
      <c r="C12474" s="248"/>
      <c r="D12474" s="249"/>
      <c r="E12474" s="249"/>
      <c r="T12474" s="261"/>
    </row>
    <row r="12475" spans="2:20" x14ac:dyDescent="0.2">
      <c r="B12475" s="245"/>
      <c r="C12475" s="248"/>
      <c r="D12475" s="249"/>
      <c r="E12475" s="249"/>
      <c r="T12475" s="261"/>
    </row>
    <row r="12476" spans="2:20" x14ac:dyDescent="0.2">
      <c r="B12476" s="245"/>
      <c r="C12476" s="248"/>
      <c r="D12476" s="249"/>
      <c r="E12476" s="249"/>
      <c r="T12476" s="261"/>
    </row>
    <row r="12477" spans="2:20" x14ac:dyDescent="0.2">
      <c r="B12477" s="245"/>
      <c r="C12477" s="248"/>
      <c r="D12477" s="249"/>
      <c r="E12477" s="249"/>
      <c r="T12477" s="261"/>
    </row>
    <row r="12478" spans="2:20" x14ac:dyDescent="0.2">
      <c r="B12478" s="245"/>
      <c r="C12478" s="248"/>
      <c r="D12478" s="249"/>
      <c r="E12478" s="249"/>
      <c r="T12478" s="261"/>
    </row>
    <row r="12479" spans="2:20" x14ac:dyDescent="0.2">
      <c r="B12479" s="245"/>
      <c r="C12479" s="248"/>
      <c r="D12479" s="249"/>
      <c r="E12479" s="249"/>
      <c r="T12479" s="261"/>
    </row>
    <row r="12480" spans="2:20" x14ac:dyDescent="0.2">
      <c r="B12480" s="245"/>
      <c r="C12480" s="248"/>
      <c r="D12480" s="249"/>
      <c r="E12480" s="249"/>
      <c r="T12480" s="261"/>
    </row>
    <row r="12481" spans="2:20" x14ac:dyDescent="0.2">
      <c r="B12481" s="245"/>
      <c r="C12481" s="248"/>
      <c r="D12481" s="249"/>
      <c r="E12481" s="249"/>
      <c r="T12481" s="261"/>
    </row>
    <row r="12482" spans="2:20" x14ac:dyDescent="0.2">
      <c r="B12482" s="245"/>
      <c r="C12482" s="248"/>
      <c r="D12482" s="249"/>
      <c r="E12482" s="249"/>
      <c r="T12482" s="261"/>
    </row>
    <row r="12483" spans="2:20" x14ac:dyDescent="0.2">
      <c r="B12483" s="245"/>
      <c r="C12483" s="248"/>
      <c r="D12483" s="249"/>
      <c r="E12483" s="249"/>
      <c r="T12483" s="261"/>
    </row>
    <row r="12484" spans="2:20" x14ac:dyDescent="0.2">
      <c r="B12484" s="245"/>
      <c r="C12484" s="248"/>
      <c r="D12484" s="249"/>
      <c r="E12484" s="249"/>
      <c r="T12484" s="261"/>
    </row>
    <row r="12485" spans="2:20" x14ac:dyDescent="0.2">
      <c r="B12485" s="245"/>
      <c r="C12485" s="248"/>
      <c r="D12485" s="249"/>
      <c r="E12485" s="249"/>
      <c r="T12485" s="261"/>
    </row>
    <row r="12486" spans="2:20" x14ac:dyDescent="0.2">
      <c r="B12486" s="245"/>
      <c r="C12486" s="248"/>
      <c r="D12486" s="249"/>
      <c r="E12486" s="249"/>
      <c r="T12486" s="261"/>
    </row>
    <row r="12487" spans="2:20" x14ac:dyDescent="0.2">
      <c r="B12487" s="245"/>
      <c r="C12487" s="248"/>
      <c r="D12487" s="249"/>
      <c r="E12487" s="249"/>
      <c r="T12487" s="261"/>
    </row>
    <row r="12488" spans="2:20" x14ac:dyDescent="0.2">
      <c r="B12488" s="245"/>
      <c r="C12488" s="248"/>
      <c r="D12488" s="249"/>
      <c r="E12488" s="249"/>
      <c r="T12488" s="261"/>
    </row>
    <row r="12489" spans="2:20" x14ac:dyDescent="0.2">
      <c r="B12489" s="245"/>
      <c r="C12489" s="248"/>
      <c r="D12489" s="249"/>
      <c r="E12489" s="249"/>
      <c r="T12489" s="261"/>
    </row>
    <row r="12490" spans="2:20" x14ac:dyDescent="0.2">
      <c r="B12490" s="245"/>
      <c r="C12490" s="248"/>
      <c r="D12490" s="249"/>
      <c r="E12490" s="249"/>
      <c r="T12490" s="261"/>
    </row>
    <row r="12491" spans="2:20" x14ac:dyDescent="0.2">
      <c r="B12491" s="245"/>
      <c r="C12491" s="248"/>
      <c r="D12491" s="249"/>
      <c r="E12491" s="249"/>
      <c r="T12491" s="261"/>
    </row>
    <row r="12492" spans="2:20" x14ac:dyDescent="0.2">
      <c r="B12492" s="245"/>
      <c r="C12492" s="248"/>
      <c r="D12492" s="249"/>
      <c r="E12492" s="249"/>
      <c r="T12492" s="261"/>
    </row>
    <row r="12493" spans="2:20" x14ac:dyDescent="0.2">
      <c r="B12493" s="245"/>
      <c r="C12493" s="248"/>
      <c r="D12493" s="249"/>
      <c r="E12493" s="249"/>
      <c r="T12493" s="261"/>
    </row>
    <row r="12494" spans="2:20" x14ac:dyDescent="0.2">
      <c r="B12494" s="245"/>
      <c r="C12494" s="248"/>
      <c r="D12494" s="249"/>
      <c r="E12494" s="249"/>
      <c r="T12494" s="261"/>
    </row>
    <row r="12495" spans="2:20" x14ac:dyDescent="0.2">
      <c r="B12495" s="245"/>
      <c r="C12495" s="248"/>
      <c r="D12495" s="249"/>
      <c r="E12495" s="249"/>
      <c r="T12495" s="261"/>
    </row>
    <row r="12496" spans="2:20" x14ac:dyDescent="0.2">
      <c r="B12496" s="245"/>
      <c r="C12496" s="248"/>
      <c r="D12496" s="249"/>
      <c r="E12496" s="249"/>
      <c r="T12496" s="261"/>
    </row>
    <row r="12497" spans="2:20" x14ac:dyDescent="0.2">
      <c r="B12497" s="245"/>
      <c r="C12497" s="248"/>
      <c r="D12497" s="249"/>
      <c r="E12497" s="249"/>
      <c r="T12497" s="261"/>
    </row>
    <row r="12498" spans="2:20" x14ac:dyDescent="0.2">
      <c r="B12498" s="245"/>
      <c r="C12498" s="248"/>
      <c r="D12498" s="249"/>
      <c r="E12498" s="249"/>
      <c r="T12498" s="261"/>
    </row>
    <row r="12499" spans="2:20" x14ac:dyDescent="0.2">
      <c r="B12499" s="245"/>
      <c r="C12499" s="248"/>
      <c r="D12499" s="249"/>
      <c r="E12499" s="249"/>
      <c r="T12499" s="261"/>
    </row>
    <row r="12500" spans="2:20" x14ac:dyDescent="0.2">
      <c r="B12500" s="245"/>
      <c r="C12500" s="248"/>
      <c r="D12500" s="249"/>
      <c r="E12500" s="249"/>
      <c r="T12500" s="261"/>
    </row>
    <row r="12501" spans="2:20" x14ac:dyDescent="0.2">
      <c r="B12501" s="245"/>
      <c r="C12501" s="248"/>
      <c r="D12501" s="249"/>
      <c r="E12501" s="249"/>
      <c r="T12501" s="261"/>
    </row>
    <row r="12502" spans="2:20" x14ac:dyDescent="0.2">
      <c r="B12502" s="245"/>
      <c r="C12502" s="248"/>
      <c r="D12502" s="249"/>
      <c r="E12502" s="249"/>
      <c r="T12502" s="261"/>
    </row>
    <row r="12503" spans="2:20" x14ac:dyDescent="0.2">
      <c r="B12503" s="245"/>
      <c r="C12503" s="248"/>
      <c r="D12503" s="249"/>
      <c r="E12503" s="249"/>
      <c r="T12503" s="261"/>
    </row>
    <row r="12504" spans="2:20" x14ac:dyDescent="0.2">
      <c r="B12504" s="245"/>
      <c r="C12504" s="248"/>
      <c r="D12504" s="249"/>
      <c r="E12504" s="249"/>
      <c r="T12504" s="261"/>
    </row>
    <row r="12505" spans="2:20" x14ac:dyDescent="0.2">
      <c r="B12505" s="245"/>
      <c r="C12505" s="248"/>
      <c r="D12505" s="249"/>
      <c r="E12505" s="249"/>
      <c r="T12505" s="261"/>
    </row>
    <row r="12506" spans="2:20" x14ac:dyDescent="0.2">
      <c r="B12506" s="245"/>
      <c r="C12506" s="248"/>
      <c r="D12506" s="249"/>
      <c r="E12506" s="249"/>
      <c r="T12506" s="261"/>
    </row>
    <row r="12507" spans="2:20" x14ac:dyDescent="0.2">
      <c r="B12507" s="245"/>
      <c r="C12507" s="248"/>
      <c r="D12507" s="249"/>
      <c r="E12507" s="249"/>
      <c r="T12507" s="261"/>
    </row>
    <row r="12508" spans="2:20" x14ac:dyDescent="0.2">
      <c r="B12508" s="245"/>
      <c r="C12508" s="248"/>
      <c r="D12508" s="249"/>
      <c r="E12508" s="249"/>
      <c r="T12508" s="261"/>
    </row>
    <row r="12509" spans="2:20" x14ac:dyDescent="0.2">
      <c r="B12509" s="245"/>
      <c r="C12509" s="248"/>
      <c r="D12509" s="249"/>
      <c r="E12509" s="249"/>
      <c r="T12509" s="261"/>
    </row>
    <row r="12510" spans="2:20" x14ac:dyDescent="0.2">
      <c r="B12510" s="245"/>
      <c r="C12510" s="248"/>
      <c r="D12510" s="249"/>
      <c r="E12510" s="249"/>
      <c r="T12510" s="261"/>
    </row>
    <row r="12511" spans="2:20" x14ac:dyDescent="0.2">
      <c r="B12511" s="245"/>
      <c r="C12511" s="248"/>
      <c r="D12511" s="249"/>
      <c r="E12511" s="249"/>
      <c r="T12511" s="261"/>
    </row>
    <row r="12512" spans="2:20" x14ac:dyDescent="0.2">
      <c r="B12512" s="245"/>
      <c r="C12512" s="248"/>
      <c r="D12512" s="249"/>
      <c r="E12512" s="249"/>
      <c r="T12512" s="261"/>
    </row>
    <row r="12513" spans="2:20" x14ac:dyDescent="0.2">
      <c r="B12513" s="245"/>
      <c r="C12513" s="248"/>
      <c r="D12513" s="249"/>
      <c r="E12513" s="249"/>
      <c r="T12513" s="261"/>
    </row>
    <row r="12514" spans="2:20" x14ac:dyDescent="0.2">
      <c r="B12514" s="245"/>
      <c r="C12514" s="248"/>
      <c r="D12514" s="249"/>
      <c r="E12514" s="249"/>
      <c r="T12514" s="261"/>
    </row>
    <row r="12515" spans="2:20" x14ac:dyDescent="0.2">
      <c r="B12515" s="245"/>
      <c r="C12515" s="248"/>
      <c r="D12515" s="249"/>
      <c r="E12515" s="249"/>
      <c r="T12515" s="261"/>
    </row>
    <row r="12516" spans="2:20" x14ac:dyDescent="0.2">
      <c r="B12516" s="245"/>
      <c r="C12516" s="248"/>
      <c r="D12516" s="249"/>
      <c r="E12516" s="249"/>
      <c r="T12516" s="261"/>
    </row>
    <row r="12517" spans="2:20" x14ac:dyDescent="0.2">
      <c r="B12517" s="245"/>
      <c r="C12517" s="248"/>
      <c r="D12517" s="249"/>
      <c r="E12517" s="249"/>
      <c r="T12517" s="261"/>
    </row>
    <row r="12518" spans="2:20" x14ac:dyDescent="0.2">
      <c r="B12518" s="245"/>
      <c r="C12518" s="248"/>
      <c r="D12518" s="249"/>
      <c r="E12518" s="249"/>
      <c r="T12518" s="261"/>
    </row>
    <row r="12519" spans="2:20" x14ac:dyDescent="0.2">
      <c r="B12519" s="245"/>
      <c r="C12519" s="248"/>
      <c r="D12519" s="249"/>
      <c r="E12519" s="249"/>
      <c r="T12519" s="261"/>
    </row>
    <row r="12520" spans="2:20" x14ac:dyDescent="0.2">
      <c r="B12520" s="245"/>
      <c r="C12520" s="248"/>
      <c r="D12520" s="249"/>
      <c r="E12520" s="249"/>
      <c r="T12520" s="261"/>
    </row>
    <row r="12521" spans="2:20" x14ac:dyDescent="0.2">
      <c r="B12521" s="245"/>
      <c r="C12521" s="248"/>
      <c r="D12521" s="249"/>
      <c r="E12521" s="249"/>
      <c r="T12521" s="261"/>
    </row>
    <row r="12522" spans="2:20" x14ac:dyDescent="0.2">
      <c r="B12522" s="245"/>
      <c r="C12522" s="248"/>
      <c r="D12522" s="249"/>
      <c r="E12522" s="249"/>
      <c r="T12522" s="261"/>
    </row>
    <row r="12523" spans="2:20" x14ac:dyDescent="0.2">
      <c r="B12523" s="245"/>
      <c r="C12523" s="248"/>
      <c r="D12523" s="249"/>
      <c r="E12523" s="249"/>
      <c r="T12523" s="261"/>
    </row>
    <row r="12524" spans="2:20" x14ac:dyDescent="0.2">
      <c r="B12524" s="245"/>
      <c r="C12524" s="248"/>
      <c r="D12524" s="249"/>
      <c r="E12524" s="249"/>
      <c r="T12524" s="261"/>
    </row>
    <row r="12525" spans="2:20" x14ac:dyDescent="0.2">
      <c r="B12525" s="245"/>
      <c r="C12525" s="248"/>
      <c r="D12525" s="249"/>
      <c r="E12525" s="249"/>
      <c r="T12525" s="261"/>
    </row>
    <row r="12526" spans="2:20" x14ac:dyDescent="0.2">
      <c r="B12526" s="245"/>
      <c r="C12526" s="248"/>
      <c r="D12526" s="249"/>
      <c r="E12526" s="249"/>
      <c r="T12526" s="261"/>
    </row>
    <row r="12527" spans="2:20" x14ac:dyDescent="0.2">
      <c r="B12527" s="245"/>
      <c r="C12527" s="248"/>
      <c r="D12527" s="249"/>
      <c r="E12527" s="249"/>
      <c r="T12527" s="261"/>
    </row>
    <row r="12528" spans="2:20" x14ac:dyDescent="0.2">
      <c r="B12528" s="245"/>
      <c r="C12528" s="248"/>
      <c r="D12528" s="249"/>
      <c r="E12528" s="249"/>
      <c r="T12528" s="261"/>
    </row>
    <row r="12529" spans="2:20" x14ac:dyDescent="0.2">
      <c r="B12529" s="245"/>
      <c r="C12529" s="248"/>
      <c r="D12529" s="249"/>
      <c r="E12529" s="249"/>
      <c r="T12529" s="261"/>
    </row>
    <row r="12530" spans="2:20" x14ac:dyDescent="0.2">
      <c r="B12530" s="245"/>
      <c r="C12530" s="248"/>
      <c r="D12530" s="249"/>
      <c r="E12530" s="249"/>
      <c r="T12530" s="261"/>
    </row>
    <row r="12531" spans="2:20" x14ac:dyDescent="0.2">
      <c r="B12531" s="245"/>
      <c r="C12531" s="248"/>
      <c r="D12531" s="249"/>
      <c r="E12531" s="249"/>
      <c r="T12531" s="261"/>
    </row>
    <row r="12532" spans="2:20" x14ac:dyDescent="0.2">
      <c r="B12532" s="245"/>
      <c r="C12532" s="248"/>
      <c r="D12532" s="249"/>
      <c r="E12532" s="249"/>
      <c r="T12532" s="261"/>
    </row>
    <row r="12533" spans="2:20" x14ac:dyDescent="0.2">
      <c r="B12533" s="245"/>
      <c r="C12533" s="248"/>
      <c r="D12533" s="249"/>
      <c r="E12533" s="249"/>
      <c r="T12533" s="261"/>
    </row>
    <row r="12534" spans="2:20" x14ac:dyDescent="0.2">
      <c r="B12534" s="245"/>
      <c r="C12534" s="248"/>
      <c r="D12534" s="249"/>
      <c r="E12534" s="249"/>
      <c r="T12534" s="261"/>
    </row>
    <row r="12535" spans="2:20" x14ac:dyDescent="0.2">
      <c r="B12535" s="245"/>
      <c r="C12535" s="248"/>
      <c r="D12535" s="249"/>
      <c r="E12535" s="249"/>
      <c r="T12535" s="261"/>
    </row>
    <row r="12536" spans="2:20" x14ac:dyDescent="0.2">
      <c r="B12536" s="245"/>
      <c r="C12536" s="248"/>
      <c r="D12536" s="249"/>
      <c r="E12536" s="249"/>
      <c r="T12536" s="261"/>
    </row>
    <row r="12537" spans="2:20" x14ac:dyDescent="0.2">
      <c r="B12537" s="245"/>
      <c r="C12537" s="248"/>
      <c r="D12537" s="249"/>
      <c r="E12537" s="249"/>
      <c r="T12537" s="261"/>
    </row>
    <row r="12538" spans="2:20" x14ac:dyDescent="0.2">
      <c r="B12538" s="245"/>
      <c r="C12538" s="248"/>
      <c r="D12538" s="249"/>
      <c r="E12538" s="249"/>
      <c r="T12538" s="261"/>
    </row>
    <row r="12539" spans="2:20" x14ac:dyDescent="0.2">
      <c r="B12539" s="245"/>
      <c r="C12539" s="248"/>
      <c r="D12539" s="249"/>
      <c r="E12539" s="249"/>
      <c r="T12539" s="261"/>
    </row>
    <row r="12540" spans="2:20" x14ac:dyDescent="0.2">
      <c r="B12540" s="245"/>
      <c r="C12540" s="248"/>
      <c r="D12540" s="249"/>
      <c r="E12540" s="249"/>
      <c r="T12540" s="261"/>
    </row>
    <row r="12541" spans="2:20" x14ac:dyDescent="0.2">
      <c r="B12541" s="245"/>
      <c r="C12541" s="248"/>
      <c r="D12541" s="249"/>
      <c r="E12541" s="249"/>
      <c r="T12541" s="261"/>
    </row>
    <row r="12542" spans="2:20" x14ac:dyDescent="0.2">
      <c r="B12542" s="245"/>
      <c r="C12542" s="248"/>
      <c r="D12542" s="249"/>
      <c r="E12542" s="249"/>
      <c r="T12542" s="261"/>
    </row>
    <row r="12543" spans="2:20" x14ac:dyDescent="0.2">
      <c r="B12543" s="245"/>
      <c r="C12543" s="248"/>
      <c r="D12543" s="249"/>
      <c r="E12543" s="249"/>
      <c r="T12543" s="261"/>
    </row>
    <row r="12544" spans="2:20" x14ac:dyDescent="0.2">
      <c r="B12544" s="245"/>
      <c r="C12544" s="248"/>
      <c r="D12544" s="249"/>
      <c r="E12544" s="249"/>
      <c r="T12544" s="261"/>
    </row>
    <row r="12545" spans="2:20" x14ac:dyDescent="0.2">
      <c r="B12545" s="245"/>
      <c r="C12545" s="248"/>
      <c r="D12545" s="249"/>
      <c r="E12545" s="249"/>
      <c r="T12545" s="261"/>
    </row>
    <row r="12546" spans="2:20" x14ac:dyDescent="0.2">
      <c r="B12546" s="245"/>
      <c r="C12546" s="248"/>
      <c r="D12546" s="249"/>
      <c r="E12546" s="249"/>
      <c r="T12546" s="261"/>
    </row>
    <row r="12547" spans="2:20" x14ac:dyDescent="0.2">
      <c r="B12547" s="245"/>
      <c r="C12547" s="248"/>
      <c r="D12547" s="249"/>
      <c r="E12547" s="249"/>
      <c r="T12547" s="261"/>
    </row>
    <row r="12548" spans="2:20" x14ac:dyDescent="0.2">
      <c r="B12548" s="245"/>
      <c r="C12548" s="248"/>
      <c r="D12548" s="249"/>
      <c r="E12548" s="249"/>
      <c r="T12548" s="261"/>
    </row>
    <row r="12549" spans="2:20" x14ac:dyDescent="0.2">
      <c r="B12549" s="245"/>
      <c r="C12549" s="248"/>
      <c r="D12549" s="249"/>
      <c r="E12549" s="249"/>
      <c r="T12549" s="261"/>
    </row>
    <row r="12550" spans="2:20" x14ac:dyDescent="0.2">
      <c r="B12550" s="245"/>
      <c r="C12550" s="248"/>
      <c r="D12550" s="249"/>
      <c r="E12550" s="249"/>
      <c r="T12550" s="261"/>
    </row>
    <row r="12551" spans="2:20" x14ac:dyDescent="0.2">
      <c r="B12551" s="245"/>
      <c r="C12551" s="248"/>
      <c r="D12551" s="249"/>
      <c r="E12551" s="249"/>
      <c r="T12551" s="261"/>
    </row>
    <row r="12552" spans="2:20" x14ac:dyDescent="0.2">
      <c r="B12552" s="245"/>
      <c r="C12552" s="248"/>
      <c r="D12552" s="249"/>
      <c r="E12552" s="249"/>
      <c r="T12552" s="261"/>
    </row>
    <row r="12553" spans="2:20" x14ac:dyDescent="0.2">
      <c r="B12553" s="245"/>
      <c r="C12553" s="248"/>
      <c r="D12553" s="249"/>
      <c r="E12553" s="249"/>
      <c r="T12553" s="261"/>
    </row>
    <row r="12554" spans="2:20" x14ac:dyDescent="0.2">
      <c r="B12554" s="245"/>
      <c r="C12554" s="248"/>
      <c r="D12554" s="249"/>
      <c r="E12554" s="249"/>
      <c r="T12554" s="261"/>
    </row>
    <row r="12555" spans="2:20" x14ac:dyDescent="0.2">
      <c r="B12555" s="245"/>
      <c r="C12555" s="248"/>
      <c r="D12555" s="249"/>
      <c r="E12555" s="249"/>
      <c r="T12555" s="261"/>
    </row>
    <row r="12556" spans="2:20" x14ac:dyDescent="0.2">
      <c r="B12556" s="245"/>
      <c r="C12556" s="248"/>
      <c r="D12556" s="249"/>
      <c r="E12556" s="249"/>
      <c r="T12556" s="261"/>
    </row>
    <row r="12557" spans="2:20" x14ac:dyDescent="0.2">
      <c r="B12557" s="245"/>
      <c r="C12557" s="248"/>
      <c r="D12557" s="249"/>
      <c r="E12557" s="249"/>
      <c r="T12557" s="261"/>
    </row>
    <row r="12558" spans="2:20" x14ac:dyDescent="0.2">
      <c r="B12558" s="245"/>
      <c r="C12558" s="248"/>
      <c r="D12558" s="249"/>
      <c r="E12558" s="249"/>
      <c r="T12558" s="261"/>
    </row>
    <row r="12559" spans="2:20" x14ac:dyDescent="0.2">
      <c r="B12559" s="245"/>
      <c r="C12559" s="248"/>
      <c r="D12559" s="249"/>
      <c r="E12559" s="249"/>
      <c r="T12559" s="261"/>
    </row>
    <row r="12560" spans="2:20" x14ac:dyDescent="0.2">
      <c r="B12560" s="245"/>
      <c r="C12560" s="248"/>
      <c r="D12560" s="249"/>
      <c r="E12560" s="249"/>
      <c r="T12560" s="261"/>
    </row>
    <row r="12561" spans="2:20" x14ac:dyDescent="0.2">
      <c r="B12561" s="245"/>
      <c r="C12561" s="248"/>
      <c r="D12561" s="249"/>
      <c r="E12561" s="249"/>
      <c r="T12561" s="261"/>
    </row>
    <row r="12562" spans="2:20" x14ac:dyDescent="0.2">
      <c r="B12562" s="245"/>
      <c r="C12562" s="248"/>
      <c r="D12562" s="249"/>
      <c r="E12562" s="249"/>
      <c r="T12562" s="261"/>
    </row>
    <row r="12563" spans="2:20" x14ac:dyDescent="0.2">
      <c r="B12563" s="245"/>
      <c r="C12563" s="248"/>
      <c r="D12563" s="249"/>
      <c r="E12563" s="249"/>
      <c r="T12563" s="261"/>
    </row>
    <row r="12564" spans="2:20" x14ac:dyDescent="0.2">
      <c r="B12564" s="245"/>
      <c r="C12564" s="248"/>
      <c r="D12564" s="249"/>
      <c r="E12564" s="249"/>
      <c r="T12564" s="261"/>
    </row>
    <row r="12565" spans="2:20" x14ac:dyDescent="0.2">
      <c r="B12565" s="245"/>
      <c r="C12565" s="248"/>
      <c r="D12565" s="249"/>
      <c r="E12565" s="249"/>
      <c r="T12565" s="261"/>
    </row>
    <row r="12566" spans="2:20" x14ac:dyDescent="0.2">
      <c r="B12566" s="245"/>
      <c r="C12566" s="248"/>
      <c r="D12566" s="249"/>
      <c r="E12566" s="249"/>
      <c r="T12566" s="261"/>
    </row>
    <row r="12567" spans="2:20" x14ac:dyDescent="0.2">
      <c r="B12567" s="245"/>
      <c r="C12567" s="248"/>
      <c r="D12567" s="249"/>
      <c r="E12567" s="249"/>
      <c r="T12567" s="261"/>
    </row>
    <row r="12568" spans="2:20" x14ac:dyDescent="0.2">
      <c r="B12568" s="245"/>
      <c r="C12568" s="248"/>
      <c r="D12568" s="249"/>
      <c r="E12568" s="249"/>
      <c r="T12568" s="261"/>
    </row>
    <row r="12569" spans="2:20" x14ac:dyDescent="0.2">
      <c r="B12569" s="245"/>
      <c r="C12569" s="248"/>
      <c r="D12569" s="249"/>
      <c r="E12569" s="249"/>
      <c r="T12569" s="261"/>
    </row>
    <row r="12570" spans="2:20" x14ac:dyDescent="0.2">
      <c r="B12570" s="245"/>
      <c r="C12570" s="248"/>
      <c r="D12570" s="249"/>
      <c r="E12570" s="249"/>
      <c r="T12570" s="261"/>
    </row>
    <row r="12571" spans="2:20" x14ac:dyDescent="0.2">
      <c r="B12571" s="245"/>
      <c r="C12571" s="248"/>
      <c r="D12571" s="249"/>
      <c r="E12571" s="249"/>
      <c r="T12571" s="261"/>
    </row>
    <row r="12572" spans="2:20" x14ac:dyDescent="0.2">
      <c r="B12572" s="245"/>
      <c r="C12572" s="248"/>
      <c r="D12572" s="249"/>
      <c r="E12572" s="249"/>
      <c r="T12572" s="261"/>
    </row>
    <row r="12573" spans="2:20" x14ac:dyDescent="0.2">
      <c r="B12573" s="245"/>
      <c r="C12573" s="248"/>
      <c r="D12573" s="249"/>
      <c r="E12573" s="249"/>
      <c r="T12573" s="261"/>
    </row>
    <row r="12574" spans="2:20" x14ac:dyDescent="0.2">
      <c r="B12574" s="245"/>
      <c r="C12574" s="248"/>
      <c r="D12574" s="249"/>
      <c r="E12574" s="249"/>
      <c r="T12574" s="261"/>
    </row>
    <row r="12575" spans="2:20" x14ac:dyDescent="0.2">
      <c r="B12575" s="245"/>
      <c r="C12575" s="248"/>
      <c r="D12575" s="249"/>
      <c r="E12575" s="249"/>
      <c r="T12575" s="261"/>
    </row>
    <row r="12576" spans="2:20" x14ac:dyDescent="0.2">
      <c r="B12576" s="245"/>
      <c r="C12576" s="248"/>
      <c r="D12576" s="249"/>
      <c r="E12576" s="249"/>
      <c r="T12576" s="261"/>
    </row>
    <row r="12577" spans="2:20" x14ac:dyDescent="0.2">
      <c r="B12577" s="245"/>
      <c r="C12577" s="248"/>
      <c r="D12577" s="249"/>
      <c r="E12577" s="249"/>
      <c r="T12577" s="261"/>
    </row>
    <row r="12578" spans="2:20" x14ac:dyDescent="0.2">
      <c r="B12578" s="245"/>
      <c r="C12578" s="248"/>
      <c r="D12578" s="249"/>
      <c r="E12578" s="249"/>
      <c r="T12578" s="261"/>
    </row>
    <row r="12579" spans="2:20" x14ac:dyDescent="0.2">
      <c r="B12579" s="245"/>
      <c r="C12579" s="248"/>
      <c r="D12579" s="249"/>
      <c r="E12579" s="249"/>
      <c r="T12579" s="261"/>
    </row>
    <row r="12580" spans="2:20" x14ac:dyDescent="0.2">
      <c r="B12580" s="245"/>
      <c r="C12580" s="248"/>
      <c r="D12580" s="249"/>
      <c r="E12580" s="249"/>
      <c r="T12580" s="261"/>
    </row>
    <row r="12581" spans="2:20" x14ac:dyDescent="0.2">
      <c r="B12581" s="245"/>
      <c r="C12581" s="248"/>
      <c r="D12581" s="249"/>
      <c r="E12581" s="249"/>
      <c r="T12581" s="261"/>
    </row>
    <row r="12582" spans="2:20" x14ac:dyDescent="0.2">
      <c r="B12582" s="245"/>
      <c r="C12582" s="248"/>
      <c r="D12582" s="249"/>
      <c r="E12582" s="249"/>
      <c r="T12582" s="261"/>
    </row>
    <row r="12583" spans="2:20" x14ac:dyDescent="0.2">
      <c r="B12583" s="245"/>
      <c r="C12583" s="248"/>
      <c r="D12583" s="249"/>
      <c r="E12583" s="249"/>
      <c r="T12583" s="261"/>
    </row>
    <row r="12584" spans="2:20" x14ac:dyDescent="0.2">
      <c r="B12584" s="245"/>
      <c r="C12584" s="248"/>
      <c r="D12584" s="249"/>
      <c r="E12584" s="249"/>
      <c r="T12584" s="261"/>
    </row>
    <row r="12585" spans="2:20" x14ac:dyDescent="0.2">
      <c r="B12585" s="245"/>
      <c r="C12585" s="248"/>
      <c r="D12585" s="249"/>
      <c r="E12585" s="249"/>
      <c r="T12585" s="261"/>
    </row>
    <row r="12586" spans="2:20" x14ac:dyDescent="0.2">
      <c r="B12586" s="245"/>
      <c r="C12586" s="248"/>
      <c r="D12586" s="249"/>
      <c r="E12586" s="249"/>
      <c r="T12586" s="261"/>
    </row>
    <row r="12587" spans="2:20" x14ac:dyDescent="0.2">
      <c r="B12587" s="245"/>
      <c r="C12587" s="248"/>
      <c r="D12587" s="249"/>
      <c r="E12587" s="249"/>
      <c r="T12587" s="261"/>
    </row>
    <row r="12588" spans="2:20" x14ac:dyDescent="0.2">
      <c r="B12588" s="245"/>
      <c r="C12588" s="248"/>
      <c r="D12588" s="249"/>
      <c r="E12588" s="249"/>
      <c r="T12588" s="261"/>
    </row>
    <row r="12589" spans="2:20" x14ac:dyDescent="0.2">
      <c r="B12589" s="245"/>
      <c r="C12589" s="248"/>
      <c r="D12589" s="249"/>
      <c r="E12589" s="249"/>
      <c r="T12589" s="261"/>
    </row>
    <row r="12590" spans="2:20" x14ac:dyDescent="0.2">
      <c r="B12590" s="245"/>
      <c r="C12590" s="248"/>
      <c r="D12590" s="249"/>
      <c r="E12590" s="249"/>
      <c r="T12590" s="261"/>
    </row>
    <row r="12591" spans="2:20" x14ac:dyDescent="0.2">
      <c r="B12591" s="245"/>
      <c r="C12591" s="248"/>
      <c r="D12591" s="249"/>
      <c r="E12591" s="249"/>
      <c r="T12591" s="261"/>
    </row>
    <row r="12592" spans="2:20" x14ac:dyDescent="0.2">
      <c r="B12592" s="245"/>
      <c r="C12592" s="248"/>
      <c r="D12592" s="249"/>
      <c r="E12592" s="249"/>
      <c r="T12592" s="261"/>
    </row>
    <row r="12593" spans="2:20" x14ac:dyDescent="0.2">
      <c r="B12593" s="245"/>
      <c r="C12593" s="248"/>
      <c r="D12593" s="249"/>
      <c r="E12593" s="249"/>
      <c r="T12593" s="261"/>
    </row>
    <row r="12594" spans="2:20" x14ac:dyDescent="0.2">
      <c r="B12594" s="245"/>
      <c r="C12594" s="248"/>
      <c r="D12594" s="249"/>
      <c r="E12594" s="249"/>
      <c r="T12594" s="261"/>
    </row>
    <row r="12595" spans="2:20" x14ac:dyDescent="0.2">
      <c r="B12595" s="245"/>
      <c r="C12595" s="248"/>
      <c r="D12595" s="249"/>
      <c r="E12595" s="249"/>
      <c r="T12595" s="261"/>
    </row>
    <row r="12596" spans="2:20" x14ac:dyDescent="0.2">
      <c r="B12596" s="245"/>
      <c r="C12596" s="248"/>
      <c r="D12596" s="249"/>
      <c r="E12596" s="249"/>
      <c r="T12596" s="261"/>
    </row>
    <row r="12597" spans="2:20" x14ac:dyDescent="0.2">
      <c r="B12597" s="245"/>
      <c r="C12597" s="248"/>
      <c r="D12597" s="249"/>
      <c r="E12597" s="249"/>
      <c r="T12597" s="261"/>
    </row>
    <row r="12598" spans="2:20" x14ac:dyDescent="0.2">
      <c r="B12598" s="245"/>
      <c r="C12598" s="248"/>
      <c r="D12598" s="249"/>
      <c r="E12598" s="249"/>
      <c r="T12598" s="261"/>
    </row>
    <row r="12599" spans="2:20" x14ac:dyDescent="0.2">
      <c r="B12599" s="245"/>
      <c r="C12599" s="248"/>
      <c r="D12599" s="249"/>
      <c r="E12599" s="249"/>
      <c r="T12599" s="261"/>
    </row>
    <row r="12600" spans="2:20" x14ac:dyDescent="0.2">
      <c r="B12600" s="245"/>
      <c r="C12600" s="248"/>
      <c r="D12600" s="249"/>
      <c r="E12600" s="249"/>
      <c r="T12600" s="261"/>
    </row>
    <row r="12601" spans="2:20" x14ac:dyDescent="0.2">
      <c r="B12601" s="245"/>
      <c r="C12601" s="248"/>
      <c r="D12601" s="249"/>
      <c r="E12601" s="249"/>
      <c r="T12601" s="261"/>
    </row>
    <row r="12602" spans="2:20" x14ac:dyDescent="0.2">
      <c r="B12602" s="245"/>
      <c r="C12602" s="248"/>
      <c r="D12602" s="249"/>
      <c r="E12602" s="249"/>
      <c r="T12602" s="261"/>
    </row>
    <row r="12603" spans="2:20" x14ac:dyDescent="0.2">
      <c r="B12603" s="245"/>
      <c r="C12603" s="248"/>
      <c r="D12603" s="249"/>
      <c r="E12603" s="249"/>
      <c r="T12603" s="261"/>
    </row>
    <row r="12604" spans="2:20" x14ac:dyDescent="0.2">
      <c r="B12604" s="245"/>
      <c r="C12604" s="248"/>
      <c r="D12604" s="249"/>
      <c r="E12604" s="249"/>
      <c r="T12604" s="261"/>
    </row>
    <row r="12605" spans="2:20" x14ac:dyDescent="0.2">
      <c r="B12605" s="245"/>
      <c r="C12605" s="248"/>
      <c r="D12605" s="249"/>
      <c r="E12605" s="249"/>
      <c r="T12605" s="261"/>
    </row>
    <row r="12606" spans="2:20" x14ac:dyDescent="0.2">
      <c r="B12606" s="245"/>
      <c r="C12606" s="248"/>
      <c r="D12606" s="249"/>
      <c r="E12606" s="249"/>
      <c r="T12606" s="261"/>
    </row>
    <row r="12607" spans="2:20" x14ac:dyDescent="0.2">
      <c r="B12607" s="245"/>
      <c r="C12607" s="248"/>
      <c r="D12607" s="249"/>
      <c r="E12607" s="249"/>
      <c r="T12607" s="261"/>
    </row>
    <row r="12608" spans="2:20" x14ac:dyDescent="0.2">
      <c r="B12608" s="245"/>
      <c r="C12608" s="248"/>
      <c r="D12608" s="249"/>
      <c r="E12608" s="249"/>
      <c r="T12608" s="261"/>
    </row>
    <row r="12609" spans="2:20" x14ac:dyDescent="0.2">
      <c r="B12609" s="245"/>
      <c r="C12609" s="248"/>
      <c r="D12609" s="249"/>
      <c r="E12609" s="249"/>
      <c r="T12609" s="261"/>
    </row>
    <row r="12610" spans="2:20" x14ac:dyDescent="0.2">
      <c r="B12610" s="245"/>
      <c r="C12610" s="248"/>
      <c r="D12610" s="249"/>
      <c r="E12610" s="249"/>
      <c r="T12610" s="261"/>
    </row>
    <row r="12611" spans="2:20" x14ac:dyDescent="0.2">
      <c r="B12611" s="245"/>
      <c r="C12611" s="248"/>
      <c r="D12611" s="249"/>
      <c r="E12611" s="249"/>
      <c r="T12611" s="261"/>
    </row>
    <row r="12612" spans="2:20" x14ac:dyDescent="0.2">
      <c r="B12612" s="245"/>
      <c r="C12612" s="248"/>
      <c r="D12612" s="249"/>
      <c r="E12612" s="249"/>
      <c r="T12612" s="261"/>
    </row>
    <row r="12613" spans="2:20" x14ac:dyDescent="0.2">
      <c r="B12613" s="245"/>
      <c r="C12613" s="248"/>
      <c r="D12613" s="249"/>
      <c r="E12613" s="249"/>
      <c r="T12613" s="261"/>
    </row>
    <row r="12614" spans="2:20" x14ac:dyDescent="0.2">
      <c r="B12614" s="245"/>
      <c r="C12614" s="248"/>
      <c r="D12614" s="249"/>
      <c r="E12614" s="249"/>
      <c r="T12614" s="261"/>
    </row>
    <row r="12615" spans="2:20" x14ac:dyDescent="0.2">
      <c r="B12615" s="245"/>
      <c r="C12615" s="248"/>
      <c r="D12615" s="249"/>
      <c r="E12615" s="249"/>
      <c r="T12615" s="261"/>
    </row>
    <row r="12616" spans="2:20" x14ac:dyDescent="0.2">
      <c r="B12616" s="245"/>
      <c r="C12616" s="248"/>
      <c r="D12616" s="249"/>
      <c r="E12616" s="249"/>
      <c r="T12616" s="261"/>
    </row>
    <row r="12617" spans="2:20" x14ac:dyDescent="0.2">
      <c r="B12617" s="245"/>
      <c r="C12617" s="248"/>
      <c r="D12617" s="249"/>
      <c r="E12617" s="249"/>
      <c r="T12617" s="261"/>
    </row>
    <row r="12618" spans="2:20" x14ac:dyDescent="0.2">
      <c r="B12618" s="245"/>
      <c r="C12618" s="248"/>
      <c r="D12618" s="249"/>
      <c r="E12618" s="249"/>
      <c r="T12618" s="261"/>
    </row>
    <row r="12619" spans="2:20" x14ac:dyDescent="0.2">
      <c r="B12619" s="245"/>
      <c r="C12619" s="248"/>
      <c r="D12619" s="249"/>
      <c r="E12619" s="249"/>
      <c r="T12619" s="261"/>
    </row>
    <row r="12620" spans="2:20" x14ac:dyDescent="0.2">
      <c r="B12620" s="245"/>
      <c r="C12620" s="248"/>
      <c r="D12620" s="249"/>
      <c r="E12620" s="249"/>
      <c r="T12620" s="261"/>
    </row>
    <row r="12621" spans="2:20" x14ac:dyDescent="0.2">
      <c r="B12621" s="245"/>
      <c r="C12621" s="248"/>
      <c r="D12621" s="249"/>
      <c r="E12621" s="249"/>
      <c r="T12621" s="261"/>
    </row>
    <row r="12622" spans="2:20" x14ac:dyDescent="0.2">
      <c r="B12622" s="245"/>
      <c r="C12622" s="248"/>
      <c r="D12622" s="249"/>
      <c r="E12622" s="249"/>
      <c r="T12622" s="261"/>
    </row>
    <row r="12623" spans="2:20" x14ac:dyDescent="0.2">
      <c r="B12623" s="245"/>
      <c r="C12623" s="248"/>
      <c r="D12623" s="249"/>
      <c r="E12623" s="249"/>
      <c r="T12623" s="261"/>
    </row>
    <row r="12624" spans="2:20" x14ac:dyDescent="0.2">
      <c r="B12624" s="245"/>
      <c r="C12624" s="248"/>
      <c r="D12624" s="249"/>
      <c r="E12624" s="249"/>
      <c r="T12624" s="261"/>
    </row>
    <row r="12625" spans="2:20" x14ac:dyDescent="0.2">
      <c r="B12625" s="245"/>
      <c r="C12625" s="248"/>
      <c r="D12625" s="249"/>
      <c r="E12625" s="249"/>
      <c r="T12625" s="261"/>
    </row>
    <row r="12626" spans="2:20" x14ac:dyDescent="0.2">
      <c r="B12626" s="245"/>
      <c r="C12626" s="248"/>
      <c r="D12626" s="249"/>
      <c r="E12626" s="249"/>
      <c r="T12626" s="261"/>
    </row>
    <row r="12627" spans="2:20" x14ac:dyDescent="0.2">
      <c r="B12627" s="245"/>
      <c r="C12627" s="248"/>
      <c r="D12627" s="249"/>
      <c r="E12627" s="249"/>
      <c r="T12627" s="261"/>
    </row>
    <row r="12628" spans="2:20" x14ac:dyDescent="0.2">
      <c r="B12628" s="245"/>
      <c r="C12628" s="248"/>
      <c r="D12628" s="249"/>
      <c r="E12628" s="249"/>
      <c r="T12628" s="261"/>
    </row>
    <row r="12629" spans="2:20" x14ac:dyDescent="0.2">
      <c r="B12629" s="245"/>
      <c r="C12629" s="248"/>
      <c r="D12629" s="249"/>
      <c r="E12629" s="249"/>
      <c r="T12629" s="261"/>
    </row>
    <row r="12630" spans="2:20" x14ac:dyDescent="0.2">
      <c r="B12630" s="245"/>
      <c r="C12630" s="248"/>
      <c r="D12630" s="249"/>
      <c r="E12630" s="249"/>
      <c r="T12630" s="261"/>
    </row>
    <row r="12631" spans="2:20" x14ac:dyDescent="0.2">
      <c r="B12631" s="245"/>
      <c r="C12631" s="248"/>
      <c r="D12631" s="249"/>
      <c r="E12631" s="249"/>
      <c r="T12631" s="261"/>
    </row>
    <row r="12632" spans="2:20" x14ac:dyDescent="0.2">
      <c r="B12632" s="245"/>
      <c r="C12632" s="248"/>
      <c r="D12632" s="249"/>
      <c r="E12632" s="249"/>
      <c r="T12632" s="261"/>
    </row>
    <row r="12633" spans="2:20" x14ac:dyDescent="0.2">
      <c r="B12633" s="245"/>
      <c r="C12633" s="248"/>
      <c r="D12633" s="249"/>
      <c r="E12633" s="249"/>
      <c r="T12633" s="261"/>
    </row>
    <row r="12634" spans="2:20" x14ac:dyDescent="0.2">
      <c r="B12634" s="245"/>
      <c r="C12634" s="248"/>
      <c r="D12634" s="249"/>
      <c r="E12634" s="249"/>
      <c r="T12634" s="261"/>
    </row>
    <row r="12635" spans="2:20" x14ac:dyDescent="0.2">
      <c r="B12635" s="245"/>
      <c r="C12635" s="248"/>
      <c r="D12635" s="249"/>
      <c r="E12635" s="249"/>
      <c r="T12635" s="261"/>
    </row>
    <row r="12636" spans="2:20" x14ac:dyDescent="0.2">
      <c r="B12636" s="245"/>
      <c r="C12636" s="248"/>
      <c r="D12636" s="249"/>
      <c r="E12636" s="249"/>
      <c r="T12636" s="261"/>
    </row>
    <row r="12637" spans="2:20" x14ac:dyDescent="0.2">
      <c r="B12637" s="245"/>
      <c r="C12637" s="248"/>
      <c r="D12637" s="249"/>
      <c r="E12637" s="249"/>
      <c r="T12637" s="261"/>
    </row>
    <row r="12638" spans="2:20" x14ac:dyDescent="0.2">
      <c r="B12638" s="245"/>
      <c r="C12638" s="248"/>
      <c r="D12638" s="249"/>
      <c r="E12638" s="249"/>
      <c r="T12638" s="261"/>
    </row>
    <row r="12639" spans="2:20" x14ac:dyDescent="0.2">
      <c r="B12639" s="245"/>
      <c r="C12639" s="248"/>
      <c r="D12639" s="249"/>
      <c r="E12639" s="249"/>
      <c r="T12639" s="261"/>
    </row>
    <row r="12640" spans="2:20" x14ac:dyDescent="0.2">
      <c r="B12640" s="245"/>
      <c r="C12640" s="248"/>
      <c r="D12640" s="249"/>
      <c r="E12640" s="249"/>
      <c r="T12640" s="261"/>
    </row>
    <row r="12641" spans="2:20" x14ac:dyDescent="0.2">
      <c r="B12641" s="245"/>
      <c r="C12641" s="248"/>
      <c r="D12641" s="249"/>
      <c r="E12641" s="249"/>
      <c r="T12641" s="261"/>
    </row>
    <row r="12642" spans="2:20" x14ac:dyDescent="0.2">
      <c r="B12642" s="245"/>
      <c r="C12642" s="248"/>
      <c r="D12642" s="249"/>
      <c r="E12642" s="249"/>
      <c r="T12642" s="261"/>
    </row>
    <row r="12643" spans="2:20" x14ac:dyDescent="0.2">
      <c r="B12643" s="245"/>
      <c r="C12643" s="248"/>
      <c r="D12643" s="249"/>
      <c r="E12643" s="249"/>
      <c r="T12643" s="261"/>
    </row>
    <row r="12644" spans="2:20" x14ac:dyDescent="0.2">
      <c r="B12644" s="245"/>
      <c r="C12644" s="248"/>
      <c r="D12644" s="249"/>
      <c r="E12644" s="249"/>
      <c r="T12644" s="261"/>
    </row>
    <row r="12645" spans="2:20" x14ac:dyDescent="0.2">
      <c r="B12645" s="245"/>
      <c r="C12645" s="248"/>
      <c r="D12645" s="249"/>
      <c r="E12645" s="249"/>
      <c r="T12645" s="261"/>
    </row>
    <row r="12646" spans="2:20" x14ac:dyDescent="0.2">
      <c r="B12646" s="245"/>
      <c r="C12646" s="248"/>
      <c r="D12646" s="249"/>
      <c r="E12646" s="249"/>
      <c r="T12646" s="261"/>
    </row>
    <row r="12647" spans="2:20" x14ac:dyDescent="0.2">
      <c r="B12647" s="245"/>
      <c r="C12647" s="248"/>
      <c r="D12647" s="249"/>
      <c r="E12647" s="249"/>
      <c r="T12647" s="261"/>
    </row>
    <row r="12648" spans="2:20" x14ac:dyDescent="0.2">
      <c r="B12648" s="245"/>
      <c r="C12648" s="248"/>
      <c r="D12648" s="249"/>
      <c r="E12648" s="249"/>
      <c r="T12648" s="261"/>
    </row>
    <row r="12649" spans="2:20" x14ac:dyDescent="0.2">
      <c r="B12649" s="245"/>
      <c r="C12649" s="248"/>
      <c r="D12649" s="249"/>
      <c r="E12649" s="249"/>
      <c r="T12649" s="261"/>
    </row>
    <row r="12650" spans="2:20" x14ac:dyDescent="0.2">
      <c r="B12650" s="245"/>
      <c r="C12650" s="248"/>
      <c r="D12650" s="249"/>
      <c r="E12650" s="249"/>
      <c r="T12650" s="261"/>
    </row>
    <row r="12651" spans="2:20" x14ac:dyDescent="0.2">
      <c r="B12651" s="245"/>
      <c r="C12651" s="248"/>
      <c r="D12651" s="249"/>
      <c r="E12651" s="249"/>
      <c r="T12651" s="261"/>
    </row>
    <row r="12652" spans="2:20" x14ac:dyDescent="0.2">
      <c r="B12652" s="245"/>
      <c r="C12652" s="248"/>
      <c r="D12652" s="249"/>
      <c r="E12652" s="249"/>
      <c r="T12652" s="261"/>
    </row>
    <row r="12653" spans="2:20" x14ac:dyDescent="0.2">
      <c r="B12653" s="245"/>
      <c r="C12653" s="248"/>
      <c r="D12653" s="249"/>
      <c r="E12653" s="249"/>
      <c r="T12653" s="261"/>
    </row>
    <row r="12654" spans="2:20" x14ac:dyDescent="0.2">
      <c r="B12654" s="245"/>
      <c r="C12654" s="248"/>
      <c r="D12654" s="249"/>
      <c r="E12654" s="249"/>
      <c r="T12654" s="261"/>
    </row>
    <row r="12655" spans="2:20" x14ac:dyDescent="0.2">
      <c r="B12655" s="245"/>
      <c r="C12655" s="248"/>
      <c r="D12655" s="249"/>
      <c r="E12655" s="249"/>
      <c r="T12655" s="261"/>
    </row>
    <row r="12656" spans="2:20" x14ac:dyDescent="0.2">
      <c r="B12656" s="245"/>
      <c r="C12656" s="248"/>
      <c r="D12656" s="249"/>
      <c r="E12656" s="249"/>
      <c r="T12656" s="261"/>
    </row>
    <row r="12657" spans="2:20" x14ac:dyDescent="0.2">
      <c r="B12657" s="245"/>
      <c r="C12657" s="248"/>
      <c r="D12657" s="249"/>
      <c r="E12657" s="249"/>
      <c r="T12657" s="261"/>
    </row>
    <row r="12658" spans="2:20" x14ac:dyDescent="0.2">
      <c r="B12658" s="245"/>
      <c r="C12658" s="248"/>
      <c r="D12658" s="249"/>
      <c r="E12658" s="249"/>
      <c r="T12658" s="261"/>
    </row>
    <row r="12659" spans="2:20" x14ac:dyDescent="0.2">
      <c r="B12659" s="245"/>
      <c r="C12659" s="248"/>
      <c r="D12659" s="249"/>
      <c r="E12659" s="249"/>
      <c r="T12659" s="261"/>
    </row>
    <row r="12660" spans="2:20" x14ac:dyDescent="0.2">
      <c r="B12660" s="245"/>
      <c r="C12660" s="248"/>
      <c r="D12660" s="249"/>
      <c r="E12660" s="249"/>
      <c r="T12660" s="261"/>
    </row>
    <row r="12661" spans="2:20" x14ac:dyDescent="0.2">
      <c r="B12661" s="245"/>
      <c r="C12661" s="248"/>
      <c r="D12661" s="249"/>
      <c r="E12661" s="249"/>
      <c r="T12661" s="261"/>
    </row>
    <row r="12662" spans="2:20" x14ac:dyDescent="0.2">
      <c r="B12662" s="245"/>
      <c r="C12662" s="248"/>
      <c r="D12662" s="249"/>
      <c r="E12662" s="249"/>
      <c r="T12662" s="261"/>
    </row>
    <row r="12663" spans="2:20" x14ac:dyDescent="0.2">
      <c r="B12663" s="245"/>
      <c r="C12663" s="248"/>
      <c r="D12663" s="249"/>
      <c r="E12663" s="249"/>
      <c r="T12663" s="261"/>
    </row>
    <row r="12664" spans="2:20" x14ac:dyDescent="0.2">
      <c r="B12664" s="245"/>
      <c r="C12664" s="248"/>
      <c r="D12664" s="249"/>
      <c r="E12664" s="249"/>
      <c r="T12664" s="261"/>
    </row>
    <row r="12665" spans="2:20" x14ac:dyDescent="0.2">
      <c r="B12665" s="245"/>
      <c r="C12665" s="248"/>
      <c r="D12665" s="249"/>
      <c r="E12665" s="249"/>
      <c r="T12665" s="261"/>
    </row>
    <row r="12666" spans="2:20" x14ac:dyDescent="0.2">
      <c r="B12666" s="245"/>
      <c r="C12666" s="248"/>
      <c r="D12666" s="249"/>
      <c r="E12666" s="249"/>
      <c r="T12666" s="261"/>
    </row>
    <row r="12667" spans="2:20" x14ac:dyDescent="0.2">
      <c r="B12667" s="245"/>
      <c r="C12667" s="248"/>
      <c r="D12667" s="249"/>
      <c r="E12667" s="249"/>
      <c r="T12667" s="261"/>
    </row>
    <row r="12668" spans="2:20" x14ac:dyDescent="0.2">
      <c r="B12668" s="245"/>
      <c r="C12668" s="248"/>
      <c r="D12668" s="249"/>
      <c r="E12668" s="249"/>
      <c r="T12668" s="261"/>
    </row>
    <row r="12669" spans="2:20" x14ac:dyDescent="0.2">
      <c r="B12669" s="245"/>
      <c r="C12669" s="248"/>
      <c r="D12669" s="249"/>
      <c r="E12669" s="249"/>
      <c r="T12669" s="261"/>
    </row>
    <row r="12670" spans="2:20" x14ac:dyDescent="0.2">
      <c r="B12670" s="245"/>
      <c r="C12670" s="248"/>
      <c r="D12670" s="249"/>
      <c r="E12670" s="249"/>
      <c r="T12670" s="261"/>
    </row>
    <row r="12671" spans="2:20" x14ac:dyDescent="0.2">
      <c r="B12671" s="245"/>
      <c r="C12671" s="248"/>
      <c r="D12671" s="249"/>
      <c r="E12671" s="249"/>
      <c r="T12671" s="261"/>
    </row>
    <row r="12672" spans="2:20" x14ac:dyDescent="0.2">
      <c r="B12672" s="245"/>
      <c r="C12672" s="248"/>
      <c r="D12672" s="249"/>
      <c r="E12672" s="249"/>
      <c r="T12672" s="261"/>
    </row>
    <row r="12673" spans="2:20" x14ac:dyDescent="0.2">
      <c r="B12673" s="245"/>
      <c r="C12673" s="248"/>
      <c r="D12673" s="249"/>
      <c r="E12673" s="249"/>
      <c r="T12673" s="261"/>
    </row>
    <row r="12674" spans="2:20" x14ac:dyDescent="0.2">
      <c r="B12674" s="245"/>
      <c r="C12674" s="248"/>
      <c r="D12674" s="249"/>
      <c r="E12674" s="249"/>
      <c r="T12674" s="261"/>
    </row>
    <row r="12675" spans="2:20" x14ac:dyDescent="0.2">
      <c r="B12675" s="245"/>
      <c r="C12675" s="248"/>
      <c r="D12675" s="249"/>
      <c r="E12675" s="249"/>
      <c r="T12675" s="261"/>
    </row>
    <row r="12676" spans="2:20" x14ac:dyDescent="0.2">
      <c r="B12676" s="245"/>
      <c r="C12676" s="248"/>
      <c r="D12676" s="249"/>
      <c r="E12676" s="249"/>
      <c r="T12676" s="261"/>
    </row>
    <row r="12677" spans="2:20" x14ac:dyDescent="0.2">
      <c r="B12677" s="245"/>
      <c r="C12677" s="248"/>
      <c r="D12677" s="249"/>
      <c r="E12677" s="249"/>
      <c r="T12677" s="261"/>
    </row>
    <row r="12678" spans="2:20" x14ac:dyDescent="0.2">
      <c r="B12678" s="245"/>
      <c r="C12678" s="248"/>
      <c r="D12678" s="249"/>
      <c r="E12678" s="249"/>
      <c r="T12678" s="261"/>
    </row>
    <row r="12679" spans="2:20" x14ac:dyDescent="0.2">
      <c r="B12679" s="245"/>
      <c r="C12679" s="248"/>
      <c r="D12679" s="249"/>
      <c r="E12679" s="249"/>
      <c r="T12679" s="261"/>
    </row>
    <row r="12680" spans="2:20" x14ac:dyDescent="0.2">
      <c r="B12680" s="245"/>
      <c r="C12680" s="248"/>
      <c r="D12680" s="249"/>
      <c r="E12680" s="249"/>
      <c r="T12680" s="261"/>
    </row>
    <row r="12681" spans="2:20" x14ac:dyDescent="0.2">
      <c r="B12681" s="245"/>
      <c r="C12681" s="248"/>
      <c r="D12681" s="249"/>
      <c r="E12681" s="249"/>
      <c r="T12681" s="261"/>
    </row>
    <row r="12682" spans="2:20" x14ac:dyDescent="0.2">
      <c r="B12682" s="245"/>
      <c r="C12682" s="248"/>
      <c r="D12682" s="249"/>
      <c r="E12682" s="249"/>
      <c r="T12682" s="261"/>
    </row>
    <row r="12683" spans="2:20" x14ac:dyDescent="0.2">
      <c r="B12683" s="245"/>
      <c r="C12683" s="248"/>
      <c r="D12683" s="249"/>
      <c r="E12683" s="249"/>
      <c r="T12683" s="261"/>
    </row>
    <row r="12684" spans="2:20" x14ac:dyDescent="0.2">
      <c r="B12684" s="245"/>
      <c r="C12684" s="248"/>
      <c r="D12684" s="249"/>
      <c r="E12684" s="249"/>
      <c r="T12684" s="261"/>
    </row>
    <row r="12685" spans="2:20" x14ac:dyDescent="0.2">
      <c r="B12685" s="245"/>
      <c r="C12685" s="248"/>
      <c r="D12685" s="249"/>
      <c r="E12685" s="249"/>
      <c r="T12685" s="261"/>
    </row>
    <row r="12686" spans="2:20" x14ac:dyDescent="0.2">
      <c r="B12686" s="245"/>
      <c r="C12686" s="248"/>
      <c r="D12686" s="249"/>
      <c r="E12686" s="249"/>
      <c r="T12686" s="261"/>
    </row>
    <row r="12687" spans="2:20" x14ac:dyDescent="0.2">
      <c r="B12687" s="245"/>
      <c r="C12687" s="248"/>
      <c r="D12687" s="249"/>
      <c r="E12687" s="249"/>
      <c r="T12687" s="261"/>
    </row>
    <row r="12688" spans="2:20" x14ac:dyDescent="0.2">
      <c r="B12688" s="245"/>
      <c r="C12688" s="248"/>
      <c r="D12688" s="249"/>
      <c r="E12688" s="249"/>
      <c r="T12688" s="261"/>
    </row>
    <row r="12689" spans="2:20" x14ac:dyDescent="0.2">
      <c r="B12689" s="245"/>
      <c r="C12689" s="248"/>
      <c r="D12689" s="249"/>
      <c r="E12689" s="249"/>
      <c r="T12689" s="261"/>
    </row>
    <row r="12690" spans="2:20" x14ac:dyDescent="0.2">
      <c r="B12690" s="245"/>
      <c r="C12690" s="248"/>
      <c r="D12690" s="249"/>
      <c r="E12690" s="249"/>
      <c r="T12690" s="261"/>
    </row>
    <row r="12691" spans="2:20" x14ac:dyDescent="0.2">
      <c r="B12691" s="245"/>
      <c r="C12691" s="248"/>
      <c r="D12691" s="249"/>
      <c r="E12691" s="249"/>
      <c r="T12691" s="261"/>
    </row>
    <row r="12692" spans="2:20" x14ac:dyDescent="0.2">
      <c r="B12692" s="245"/>
      <c r="C12692" s="248"/>
      <c r="D12692" s="249"/>
      <c r="E12692" s="249"/>
      <c r="T12692" s="261"/>
    </row>
    <row r="12693" spans="2:20" x14ac:dyDescent="0.2">
      <c r="B12693" s="245"/>
      <c r="C12693" s="248"/>
      <c r="D12693" s="249"/>
      <c r="E12693" s="249"/>
      <c r="T12693" s="261"/>
    </row>
    <row r="12694" spans="2:20" x14ac:dyDescent="0.2">
      <c r="B12694" s="245"/>
      <c r="C12694" s="248"/>
      <c r="D12694" s="249"/>
      <c r="E12694" s="249"/>
      <c r="T12694" s="261"/>
    </row>
    <row r="12695" spans="2:20" x14ac:dyDescent="0.2">
      <c r="B12695" s="245"/>
      <c r="C12695" s="248"/>
      <c r="D12695" s="249"/>
      <c r="E12695" s="249"/>
      <c r="T12695" s="261"/>
    </row>
    <row r="12696" spans="2:20" x14ac:dyDescent="0.2">
      <c r="B12696" s="245"/>
      <c r="C12696" s="248"/>
      <c r="D12696" s="249"/>
      <c r="E12696" s="249"/>
      <c r="T12696" s="261"/>
    </row>
    <row r="12697" spans="2:20" x14ac:dyDescent="0.2">
      <c r="B12697" s="245"/>
      <c r="C12697" s="248"/>
      <c r="D12697" s="249"/>
      <c r="E12697" s="249"/>
      <c r="T12697" s="261"/>
    </row>
    <row r="12698" spans="2:20" x14ac:dyDescent="0.2">
      <c r="B12698" s="245"/>
      <c r="C12698" s="248"/>
      <c r="D12698" s="249"/>
      <c r="E12698" s="249"/>
      <c r="T12698" s="261"/>
    </row>
    <row r="12699" spans="2:20" x14ac:dyDescent="0.2">
      <c r="B12699" s="245"/>
      <c r="C12699" s="248"/>
      <c r="D12699" s="249"/>
      <c r="E12699" s="249"/>
      <c r="T12699" s="261"/>
    </row>
    <row r="12700" spans="2:20" x14ac:dyDescent="0.2">
      <c r="B12700" s="245"/>
      <c r="C12700" s="248"/>
      <c r="D12700" s="249"/>
      <c r="E12700" s="249"/>
      <c r="T12700" s="261"/>
    </row>
    <row r="12701" spans="2:20" x14ac:dyDescent="0.2">
      <c r="B12701" s="245"/>
      <c r="C12701" s="248"/>
      <c r="D12701" s="249"/>
      <c r="E12701" s="249"/>
      <c r="T12701" s="261"/>
    </row>
    <row r="12702" spans="2:20" x14ac:dyDescent="0.2">
      <c r="B12702" s="245"/>
      <c r="C12702" s="248"/>
      <c r="D12702" s="249"/>
      <c r="E12702" s="249"/>
      <c r="T12702" s="261"/>
    </row>
    <row r="12703" spans="2:20" x14ac:dyDescent="0.2">
      <c r="B12703" s="245"/>
      <c r="C12703" s="248"/>
      <c r="D12703" s="249"/>
      <c r="E12703" s="249"/>
      <c r="T12703" s="261"/>
    </row>
    <row r="12704" spans="2:20" x14ac:dyDescent="0.2">
      <c r="B12704" s="245"/>
      <c r="C12704" s="248"/>
      <c r="D12704" s="249"/>
      <c r="E12704" s="249"/>
      <c r="T12704" s="261"/>
    </row>
    <row r="12705" spans="2:20" x14ac:dyDescent="0.2">
      <c r="B12705" s="245"/>
      <c r="C12705" s="248"/>
      <c r="D12705" s="249"/>
      <c r="E12705" s="249"/>
      <c r="T12705" s="261"/>
    </row>
    <row r="12706" spans="2:20" x14ac:dyDescent="0.2">
      <c r="B12706" s="245"/>
      <c r="C12706" s="248"/>
      <c r="D12706" s="249"/>
      <c r="E12706" s="249"/>
      <c r="T12706" s="261"/>
    </row>
    <row r="12707" spans="2:20" x14ac:dyDescent="0.2">
      <c r="B12707" s="245"/>
      <c r="C12707" s="248"/>
      <c r="D12707" s="249"/>
      <c r="E12707" s="249"/>
      <c r="T12707" s="261"/>
    </row>
    <row r="12708" spans="2:20" x14ac:dyDescent="0.2">
      <c r="B12708" s="245"/>
      <c r="C12708" s="248"/>
      <c r="D12708" s="249"/>
      <c r="E12708" s="249"/>
      <c r="T12708" s="261"/>
    </row>
    <row r="12709" spans="2:20" x14ac:dyDescent="0.2">
      <c r="B12709" s="245"/>
      <c r="C12709" s="248"/>
      <c r="D12709" s="249"/>
      <c r="E12709" s="249"/>
      <c r="T12709" s="261"/>
    </row>
    <row r="12710" spans="2:20" x14ac:dyDescent="0.2">
      <c r="B12710" s="245"/>
      <c r="C12710" s="248"/>
      <c r="D12710" s="249"/>
      <c r="E12710" s="249"/>
      <c r="T12710" s="261"/>
    </row>
    <row r="12711" spans="2:20" x14ac:dyDescent="0.2">
      <c r="B12711" s="245"/>
      <c r="C12711" s="248"/>
      <c r="D12711" s="249"/>
      <c r="E12711" s="249"/>
      <c r="T12711" s="261"/>
    </row>
    <row r="12712" spans="2:20" x14ac:dyDescent="0.2">
      <c r="B12712" s="245"/>
      <c r="C12712" s="248"/>
      <c r="D12712" s="249"/>
      <c r="E12712" s="249"/>
      <c r="T12712" s="261"/>
    </row>
    <row r="12713" spans="2:20" x14ac:dyDescent="0.2">
      <c r="B12713" s="245"/>
      <c r="C12713" s="248"/>
      <c r="D12713" s="249"/>
      <c r="E12713" s="249"/>
      <c r="T12713" s="261"/>
    </row>
    <row r="12714" spans="2:20" x14ac:dyDescent="0.2">
      <c r="B12714" s="245"/>
      <c r="C12714" s="248"/>
      <c r="D12714" s="249"/>
      <c r="E12714" s="249"/>
      <c r="T12714" s="261"/>
    </row>
    <row r="12715" spans="2:20" x14ac:dyDescent="0.2">
      <c r="B12715" s="245"/>
      <c r="C12715" s="248"/>
      <c r="D12715" s="249"/>
      <c r="E12715" s="249"/>
      <c r="T12715" s="261"/>
    </row>
    <row r="12716" spans="2:20" x14ac:dyDescent="0.2">
      <c r="B12716" s="245"/>
      <c r="C12716" s="248"/>
      <c r="D12716" s="249"/>
      <c r="E12716" s="249"/>
      <c r="T12716" s="261"/>
    </row>
    <row r="12717" spans="2:20" x14ac:dyDescent="0.2">
      <c r="B12717" s="245"/>
      <c r="C12717" s="248"/>
      <c r="D12717" s="249"/>
      <c r="E12717" s="249"/>
      <c r="T12717" s="261"/>
    </row>
    <row r="12718" spans="2:20" x14ac:dyDescent="0.2">
      <c r="B12718" s="245"/>
      <c r="C12718" s="248"/>
      <c r="D12718" s="249"/>
      <c r="E12718" s="249"/>
      <c r="T12718" s="261"/>
    </row>
    <row r="12719" spans="2:20" x14ac:dyDescent="0.2">
      <c r="B12719" s="245"/>
      <c r="C12719" s="248"/>
      <c r="D12719" s="249"/>
      <c r="E12719" s="249"/>
      <c r="T12719" s="261"/>
    </row>
    <row r="12720" spans="2:20" x14ac:dyDescent="0.2">
      <c r="B12720" s="245"/>
      <c r="C12720" s="248"/>
      <c r="D12720" s="249"/>
      <c r="E12720" s="249"/>
      <c r="T12720" s="261"/>
    </row>
    <row r="12721" spans="2:20" x14ac:dyDescent="0.2">
      <c r="B12721" s="245"/>
      <c r="C12721" s="248"/>
      <c r="D12721" s="249"/>
      <c r="E12721" s="249"/>
      <c r="T12721" s="261"/>
    </row>
    <row r="12722" spans="2:20" x14ac:dyDescent="0.2">
      <c r="B12722" s="245"/>
      <c r="C12722" s="248"/>
      <c r="D12722" s="249"/>
      <c r="E12722" s="249"/>
      <c r="T12722" s="261"/>
    </row>
    <row r="12723" spans="2:20" x14ac:dyDescent="0.2">
      <c r="B12723" s="245"/>
      <c r="C12723" s="248"/>
      <c r="D12723" s="249"/>
      <c r="E12723" s="249"/>
      <c r="T12723" s="261"/>
    </row>
    <row r="12724" spans="2:20" x14ac:dyDescent="0.2">
      <c r="B12724" s="245"/>
      <c r="C12724" s="248"/>
      <c r="D12724" s="249"/>
      <c r="E12724" s="249"/>
      <c r="T12724" s="261"/>
    </row>
    <row r="12725" spans="2:20" x14ac:dyDescent="0.2">
      <c r="B12725" s="245"/>
      <c r="C12725" s="248"/>
      <c r="D12725" s="249"/>
      <c r="E12725" s="249"/>
      <c r="T12725" s="261"/>
    </row>
    <row r="12726" spans="2:20" x14ac:dyDescent="0.2">
      <c r="B12726" s="245"/>
      <c r="C12726" s="248"/>
      <c r="D12726" s="249"/>
      <c r="E12726" s="249"/>
      <c r="T12726" s="261"/>
    </row>
    <row r="12727" spans="2:20" x14ac:dyDescent="0.2">
      <c r="B12727" s="245"/>
      <c r="C12727" s="248"/>
      <c r="D12727" s="249"/>
      <c r="E12727" s="249"/>
      <c r="T12727" s="261"/>
    </row>
    <row r="12728" spans="2:20" x14ac:dyDescent="0.2">
      <c r="B12728" s="245"/>
      <c r="C12728" s="248"/>
      <c r="D12728" s="249"/>
      <c r="E12728" s="249"/>
      <c r="T12728" s="261"/>
    </row>
    <row r="12729" spans="2:20" x14ac:dyDescent="0.2">
      <c r="B12729" s="245"/>
      <c r="C12729" s="248"/>
      <c r="D12729" s="249"/>
      <c r="E12729" s="249"/>
      <c r="T12729" s="261"/>
    </row>
    <row r="12730" spans="2:20" x14ac:dyDescent="0.2">
      <c r="B12730" s="245"/>
      <c r="C12730" s="248"/>
      <c r="D12730" s="249"/>
      <c r="E12730" s="249"/>
      <c r="T12730" s="261"/>
    </row>
    <row r="12731" spans="2:20" x14ac:dyDescent="0.2">
      <c r="B12731" s="245"/>
      <c r="C12731" s="248"/>
      <c r="D12731" s="249"/>
      <c r="E12731" s="249"/>
      <c r="T12731" s="261"/>
    </row>
    <row r="12732" spans="2:20" x14ac:dyDescent="0.2">
      <c r="B12732" s="245"/>
      <c r="C12732" s="248"/>
      <c r="D12732" s="249"/>
      <c r="E12732" s="249"/>
      <c r="T12732" s="261"/>
    </row>
    <row r="12733" spans="2:20" x14ac:dyDescent="0.2">
      <c r="B12733" s="245"/>
      <c r="C12733" s="248"/>
      <c r="D12733" s="249"/>
      <c r="E12733" s="249"/>
      <c r="T12733" s="261"/>
    </row>
    <row r="12734" spans="2:20" x14ac:dyDescent="0.2">
      <c r="B12734" s="245"/>
      <c r="C12734" s="248"/>
      <c r="D12734" s="249"/>
      <c r="E12734" s="249"/>
      <c r="T12734" s="261"/>
    </row>
    <row r="12735" spans="2:20" x14ac:dyDescent="0.2">
      <c r="B12735" s="245"/>
      <c r="C12735" s="248"/>
      <c r="D12735" s="249"/>
      <c r="E12735" s="249"/>
      <c r="T12735" s="261"/>
    </row>
    <row r="12736" spans="2:20" x14ac:dyDescent="0.2">
      <c r="B12736" s="245"/>
      <c r="C12736" s="248"/>
      <c r="D12736" s="249"/>
      <c r="E12736" s="249"/>
      <c r="T12736" s="261"/>
    </row>
    <row r="12737" spans="2:20" x14ac:dyDescent="0.2">
      <c r="B12737" s="245"/>
      <c r="C12737" s="248"/>
      <c r="D12737" s="249"/>
      <c r="E12737" s="249"/>
      <c r="T12737" s="261"/>
    </row>
    <row r="12738" spans="2:20" x14ac:dyDescent="0.2">
      <c r="B12738" s="245"/>
      <c r="C12738" s="248"/>
      <c r="D12738" s="249"/>
      <c r="E12738" s="249"/>
      <c r="T12738" s="261"/>
    </row>
    <row r="12739" spans="2:20" x14ac:dyDescent="0.2">
      <c r="B12739" s="245"/>
      <c r="C12739" s="248"/>
      <c r="D12739" s="249"/>
      <c r="E12739" s="249"/>
      <c r="T12739" s="261"/>
    </row>
    <row r="12740" spans="2:20" x14ac:dyDescent="0.2">
      <c r="B12740" s="245"/>
      <c r="C12740" s="248"/>
      <c r="D12740" s="249"/>
      <c r="E12740" s="249"/>
      <c r="T12740" s="261"/>
    </row>
    <row r="12741" spans="2:20" x14ac:dyDescent="0.2">
      <c r="B12741" s="245"/>
      <c r="C12741" s="248"/>
      <c r="D12741" s="249"/>
      <c r="E12741" s="249"/>
      <c r="T12741" s="261"/>
    </row>
    <row r="12742" spans="2:20" x14ac:dyDescent="0.2">
      <c r="B12742" s="245"/>
      <c r="C12742" s="248"/>
      <c r="D12742" s="249"/>
      <c r="E12742" s="249"/>
      <c r="T12742" s="261"/>
    </row>
    <row r="12743" spans="2:20" x14ac:dyDescent="0.2">
      <c r="B12743" s="245"/>
      <c r="C12743" s="248"/>
      <c r="D12743" s="249"/>
      <c r="E12743" s="249"/>
      <c r="T12743" s="261"/>
    </row>
    <row r="12744" spans="2:20" x14ac:dyDescent="0.2">
      <c r="B12744" s="245"/>
      <c r="C12744" s="248"/>
      <c r="D12744" s="249"/>
      <c r="E12744" s="249"/>
      <c r="T12744" s="261"/>
    </row>
    <row r="12745" spans="2:20" x14ac:dyDescent="0.2">
      <c r="B12745" s="245"/>
      <c r="C12745" s="248"/>
      <c r="D12745" s="249"/>
      <c r="E12745" s="249"/>
      <c r="T12745" s="261"/>
    </row>
    <row r="12746" spans="2:20" x14ac:dyDescent="0.2">
      <c r="B12746" s="245"/>
      <c r="C12746" s="248"/>
      <c r="D12746" s="249"/>
      <c r="E12746" s="249"/>
      <c r="T12746" s="261"/>
    </row>
    <row r="12747" spans="2:20" x14ac:dyDescent="0.2">
      <c r="B12747" s="245"/>
      <c r="C12747" s="248"/>
      <c r="D12747" s="249"/>
      <c r="E12747" s="249"/>
      <c r="T12747" s="261"/>
    </row>
    <row r="12748" spans="2:20" x14ac:dyDescent="0.2">
      <c r="B12748" s="245"/>
      <c r="C12748" s="248"/>
      <c r="D12748" s="249"/>
      <c r="E12748" s="249"/>
      <c r="T12748" s="261"/>
    </row>
    <row r="12749" spans="2:20" x14ac:dyDescent="0.2">
      <c r="B12749" s="245"/>
      <c r="C12749" s="248"/>
      <c r="D12749" s="249"/>
      <c r="E12749" s="249"/>
      <c r="T12749" s="261"/>
    </row>
    <row r="12750" spans="2:20" x14ac:dyDescent="0.2">
      <c r="B12750" s="245"/>
      <c r="C12750" s="248"/>
      <c r="D12750" s="249"/>
      <c r="E12750" s="249"/>
      <c r="T12750" s="261"/>
    </row>
    <row r="12751" spans="2:20" x14ac:dyDescent="0.2">
      <c r="B12751" s="245"/>
      <c r="C12751" s="248"/>
      <c r="D12751" s="249"/>
      <c r="E12751" s="249"/>
      <c r="T12751" s="261"/>
    </row>
    <row r="12752" spans="2:20" x14ac:dyDescent="0.2">
      <c r="B12752" s="245"/>
      <c r="C12752" s="248"/>
      <c r="D12752" s="249"/>
      <c r="E12752" s="249"/>
      <c r="T12752" s="261"/>
    </row>
    <row r="12753" spans="2:20" x14ac:dyDescent="0.2">
      <c r="B12753" s="245"/>
      <c r="C12753" s="248"/>
      <c r="D12753" s="249"/>
      <c r="E12753" s="249"/>
      <c r="T12753" s="261"/>
    </row>
    <row r="12754" spans="2:20" x14ac:dyDescent="0.2">
      <c r="B12754" s="245"/>
      <c r="C12754" s="248"/>
      <c r="D12754" s="249"/>
      <c r="E12754" s="249"/>
      <c r="T12754" s="261"/>
    </row>
    <row r="12755" spans="2:20" x14ac:dyDescent="0.2">
      <c r="B12755" s="245"/>
      <c r="C12755" s="248"/>
      <c r="D12755" s="249"/>
      <c r="E12755" s="249"/>
      <c r="T12755" s="261"/>
    </row>
    <row r="12756" spans="2:20" x14ac:dyDescent="0.2">
      <c r="B12756" s="245"/>
      <c r="C12756" s="248"/>
      <c r="D12756" s="249"/>
      <c r="E12756" s="249"/>
      <c r="T12756" s="261"/>
    </row>
    <row r="12757" spans="2:20" x14ac:dyDescent="0.2">
      <c r="B12757" s="245"/>
      <c r="C12757" s="248"/>
      <c r="D12757" s="249"/>
      <c r="E12757" s="249"/>
      <c r="T12757" s="261"/>
    </row>
    <row r="12758" spans="2:20" x14ac:dyDescent="0.2">
      <c r="B12758" s="245"/>
      <c r="C12758" s="248"/>
      <c r="D12758" s="249"/>
      <c r="E12758" s="249"/>
      <c r="T12758" s="261"/>
    </row>
    <row r="12759" spans="2:20" x14ac:dyDescent="0.2">
      <c r="B12759" s="245"/>
      <c r="C12759" s="248"/>
      <c r="D12759" s="249"/>
      <c r="E12759" s="249"/>
      <c r="T12759" s="261"/>
    </row>
    <row r="12760" spans="2:20" x14ac:dyDescent="0.2">
      <c r="B12760" s="245"/>
      <c r="C12760" s="248"/>
      <c r="D12760" s="249"/>
      <c r="E12760" s="249"/>
      <c r="T12760" s="261"/>
    </row>
    <row r="12761" spans="2:20" x14ac:dyDescent="0.2">
      <c r="B12761" s="245"/>
      <c r="C12761" s="248"/>
      <c r="D12761" s="249"/>
      <c r="E12761" s="249"/>
      <c r="T12761" s="261"/>
    </row>
    <row r="12762" spans="2:20" x14ac:dyDescent="0.2">
      <c r="B12762" s="245"/>
      <c r="C12762" s="248"/>
      <c r="D12762" s="249"/>
      <c r="E12762" s="249"/>
      <c r="T12762" s="261"/>
    </row>
    <row r="12763" spans="2:20" x14ac:dyDescent="0.2">
      <c r="B12763" s="245"/>
      <c r="C12763" s="248"/>
      <c r="D12763" s="249"/>
      <c r="E12763" s="249"/>
      <c r="T12763" s="261"/>
    </row>
    <row r="12764" spans="2:20" x14ac:dyDescent="0.2">
      <c r="B12764" s="245"/>
      <c r="C12764" s="248"/>
      <c r="D12764" s="249"/>
      <c r="E12764" s="249"/>
      <c r="T12764" s="261"/>
    </row>
    <row r="12765" spans="2:20" x14ac:dyDescent="0.2">
      <c r="B12765" s="245"/>
      <c r="C12765" s="248"/>
      <c r="D12765" s="249"/>
      <c r="E12765" s="249"/>
      <c r="T12765" s="261"/>
    </row>
    <row r="12766" spans="2:20" x14ac:dyDescent="0.2">
      <c r="B12766" s="245"/>
      <c r="C12766" s="248"/>
      <c r="D12766" s="249"/>
      <c r="E12766" s="249"/>
      <c r="T12766" s="261"/>
    </row>
    <row r="12767" spans="2:20" x14ac:dyDescent="0.2">
      <c r="B12767" s="245"/>
      <c r="C12767" s="248"/>
      <c r="D12767" s="249"/>
      <c r="E12767" s="249"/>
      <c r="T12767" s="261"/>
    </row>
    <row r="12768" spans="2:20" x14ac:dyDescent="0.2">
      <c r="B12768" s="245"/>
      <c r="C12768" s="248"/>
      <c r="D12768" s="249"/>
      <c r="E12768" s="249"/>
      <c r="T12768" s="261"/>
    </row>
    <row r="12769" spans="2:20" x14ac:dyDescent="0.2">
      <c r="B12769" s="245"/>
      <c r="C12769" s="248"/>
      <c r="D12769" s="249"/>
      <c r="E12769" s="249"/>
      <c r="T12769" s="261"/>
    </row>
    <row r="12770" spans="2:20" x14ac:dyDescent="0.2">
      <c r="B12770" s="245"/>
      <c r="C12770" s="248"/>
      <c r="D12770" s="249"/>
      <c r="E12770" s="249"/>
      <c r="T12770" s="261"/>
    </row>
    <row r="12771" spans="2:20" x14ac:dyDescent="0.2">
      <c r="B12771" s="245"/>
      <c r="C12771" s="248"/>
      <c r="D12771" s="249"/>
      <c r="E12771" s="249"/>
      <c r="T12771" s="261"/>
    </row>
    <row r="12772" spans="2:20" x14ac:dyDescent="0.2">
      <c r="B12772" s="245"/>
      <c r="C12772" s="248"/>
      <c r="D12772" s="249"/>
      <c r="E12772" s="249"/>
      <c r="T12772" s="261"/>
    </row>
    <row r="12773" spans="2:20" x14ac:dyDescent="0.2">
      <c r="B12773" s="245"/>
      <c r="C12773" s="248"/>
      <c r="D12773" s="249"/>
      <c r="E12773" s="249"/>
      <c r="T12773" s="261"/>
    </row>
    <row r="12774" spans="2:20" x14ac:dyDescent="0.2">
      <c r="B12774" s="245"/>
      <c r="C12774" s="248"/>
      <c r="D12774" s="249"/>
      <c r="E12774" s="249"/>
      <c r="T12774" s="261"/>
    </row>
    <row r="12775" spans="2:20" x14ac:dyDescent="0.2">
      <c r="B12775" s="245"/>
      <c r="C12775" s="248"/>
      <c r="D12775" s="249"/>
      <c r="E12775" s="249"/>
      <c r="T12775" s="261"/>
    </row>
    <row r="12776" spans="2:20" x14ac:dyDescent="0.2">
      <c r="B12776" s="245"/>
      <c r="C12776" s="248"/>
      <c r="D12776" s="249"/>
      <c r="E12776" s="249"/>
      <c r="T12776" s="261"/>
    </row>
    <row r="12777" spans="2:20" x14ac:dyDescent="0.2">
      <c r="B12777" s="245"/>
      <c r="C12777" s="248"/>
      <c r="D12777" s="249"/>
      <c r="E12777" s="249"/>
      <c r="T12777" s="261"/>
    </row>
    <row r="12778" spans="2:20" x14ac:dyDescent="0.2">
      <c r="B12778" s="245"/>
      <c r="C12778" s="248"/>
      <c r="D12778" s="249"/>
      <c r="E12778" s="249"/>
      <c r="T12778" s="261"/>
    </row>
    <row r="12779" spans="2:20" x14ac:dyDescent="0.2">
      <c r="B12779" s="245"/>
      <c r="C12779" s="248"/>
      <c r="D12779" s="249"/>
      <c r="E12779" s="249"/>
      <c r="T12779" s="261"/>
    </row>
    <row r="12780" spans="2:20" x14ac:dyDescent="0.2">
      <c r="B12780" s="245"/>
      <c r="C12780" s="248"/>
      <c r="D12780" s="249"/>
      <c r="E12780" s="249"/>
      <c r="T12780" s="261"/>
    </row>
    <row r="12781" spans="2:20" x14ac:dyDescent="0.2">
      <c r="B12781" s="245"/>
      <c r="C12781" s="248"/>
      <c r="D12781" s="249"/>
      <c r="E12781" s="249"/>
      <c r="T12781" s="261"/>
    </row>
    <row r="12782" spans="2:20" x14ac:dyDescent="0.2">
      <c r="B12782" s="245"/>
      <c r="C12782" s="248"/>
      <c r="D12782" s="249"/>
      <c r="E12782" s="249"/>
      <c r="T12782" s="261"/>
    </row>
    <row r="12783" spans="2:20" x14ac:dyDescent="0.2">
      <c r="B12783" s="245"/>
      <c r="C12783" s="248"/>
      <c r="D12783" s="249"/>
      <c r="E12783" s="249"/>
      <c r="T12783" s="261"/>
    </row>
    <row r="12784" spans="2:20" x14ac:dyDescent="0.2">
      <c r="B12784" s="245"/>
      <c r="C12784" s="248"/>
      <c r="D12784" s="249"/>
      <c r="E12784" s="249"/>
      <c r="T12784" s="261"/>
    </row>
    <row r="12785" spans="2:20" x14ac:dyDescent="0.2">
      <c r="B12785" s="245"/>
      <c r="C12785" s="248"/>
      <c r="D12785" s="249"/>
      <c r="E12785" s="249"/>
      <c r="T12785" s="261"/>
    </row>
    <row r="12786" spans="2:20" x14ac:dyDescent="0.2">
      <c r="B12786" s="245"/>
      <c r="C12786" s="248"/>
      <c r="D12786" s="249"/>
      <c r="E12786" s="249"/>
      <c r="T12786" s="261"/>
    </row>
    <row r="12787" spans="2:20" x14ac:dyDescent="0.2">
      <c r="B12787" s="245"/>
      <c r="C12787" s="248"/>
      <c r="D12787" s="249"/>
      <c r="E12787" s="249"/>
      <c r="T12787" s="261"/>
    </row>
    <row r="12788" spans="2:20" x14ac:dyDescent="0.2">
      <c r="B12788" s="245"/>
      <c r="C12788" s="248"/>
      <c r="D12788" s="249"/>
      <c r="E12788" s="249"/>
      <c r="T12788" s="261"/>
    </row>
    <row r="12789" spans="2:20" x14ac:dyDescent="0.2">
      <c r="B12789" s="245"/>
      <c r="C12789" s="248"/>
      <c r="D12789" s="249"/>
      <c r="E12789" s="249"/>
      <c r="T12789" s="261"/>
    </row>
    <row r="12790" spans="2:20" x14ac:dyDescent="0.2">
      <c r="B12790" s="245"/>
      <c r="C12790" s="248"/>
      <c r="D12790" s="249"/>
      <c r="E12790" s="249"/>
      <c r="T12790" s="261"/>
    </row>
    <row r="12791" spans="2:20" x14ac:dyDescent="0.2">
      <c r="B12791" s="245"/>
      <c r="C12791" s="248"/>
      <c r="D12791" s="249"/>
      <c r="E12791" s="249"/>
      <c r="T12791" s="261"/>
    </row>
    <row r="12792" spans="2:20" x14ac:dyDescent="0.2">
      <c r="B12792" s="245"/>
      <c r="C12792" s="248"/>
      <c r="D12792" s="249"/>
      <c r="E12792" s="249"/>
      <c r="T12792" s="261"/>
    </row>
    <row r="12793" spans="2:20" x14ac:dyDescent="0.2">
      <c r="B12793" s="245"/>
      <c r="C12793" s="248"/>
      <c r="D12793" s="249"/>
      <c r="E12793" s="249"/>
      <c r="T12793" s="261"/>
    </row>
    <row r="12794" spans="2:20" x14ac:dyDescent="0.2">
      <c r="B12794" s="245"/>
      <c r="C12794" s="248"/>
      <c r="D12794" s="249"/>
      <c r="E12794" s="249"/>
      <c r="T12794" s="261"/>
    </row>
    <row r="12795" spans="2:20" x14ac:dyDescent="0.2">
      <c r="B12795" s="245"/>
      <c r="C12795" s="248"/>
      <c r="D12795" s="249"/>
      <c r="E12795" s="249"/>
      <c r="T12795" s="261"/>
    </row>
    <row r="12796" spans="2:20" x14ac:dyDescent="0.2">
      <c r="B12796" s="245"/>
      <c r="C12796" s="248"/>
      <c r="D12796" s="249"/>
      <c r="E12796" s="249"/>
      <c r="T12796" s="261"/>
    </row>
    <row r="12797" spans="2:20" x14ac:dyDescent="0.2">
      <c r="B12797" s="245"/>
      <c r="C12797" s="248"/>
      <c r="D12797" s="249"/>
      <c r="E12797" s="249"/>
      <c r="T12797" s="261"/>
    </row>
    <row r="12798" spans="2:20" x14ac:dyDescent="0.2">
      <c r="B12798" s="245"/>
      <c r="C12798" s="248"/>
      <c r="D12798" s="249"/>
      <c r="E12798" s="249"/>
      <c r="T12798" s="261"/>
    </row>
    <row r="12799" spans="2:20" x14ac:dyDescent="0.2">
      <c r="B12799" s="245"/>
      <c r="C12799" s="248"/>
      <c r="D12799" s="249"/>
      <c r="E12799" s="249"/>
      <c r="T12799" s="261"/>
    </row>
    <row r="12800" spans="2:20" x14ac:dyDescent="0.2">
      <c r="B12800" s="245"/>
      <c r="C12800" s="248"/>
      <c r="D12800" s="249"/>
      <c r="E12800" s="249"/>
      <c r="T12800" s="261"/>
    </row>
    <row r="12801" spans="2:20" x14ac:dyDescent="0.2">
      <c r="B12801" s="245"/>
      <c r="C12801" s="248"/>
      <c r="D12801" s="249"/>
      <c r="E12801" s="249"/>
      <c r="T12801" s="261"/>
    </row>
    <row r="12802" spans="2:20" x14ac:dyDescent="0.2">
      <c r="B12802" s="245"/>
      <c r="C12802" s="248"/>
      <c r="D12802" s="249"/>
      <c r="E12802" s="249"/>
      <c r="T12802" s="261"/>
    </row>
    <row r="12803" spans="2:20" x14ac:dyDescent="0.2">
      <c r="B12803" s="245"/>
      <c r="C12803" s="248"/>
      <c r="D12803" s="249"/>
      <c r="E12803" s="249"/>
      <c r="T12803" s="261"/>
    </row>
    <row r="12804" spans="2:20" x14ac:dyDescent="0.2">
      <c r="B12804" s="245"/>
      <c r="C12804" s="248"/>
      <c r="D12804" s="249"/>
      <c r="E12804" s="249"/>
      <c r="T12804" s="261"/>
    </row>
    <row r="12805" spans="2:20" x14ac:dyDescent="0.2">
      <c r="B12805" s="245"/>
      <c r="C12805" s="248"/>
      <c r="D12805" s="249"/>
      <c r="E12805" s="249"/>
      <c r="T12805" s="261"/>
    </row>
    <row r="12806" spans="2:20" x14ac:dyDescent="0.2">
      <c r="B12806" s="245"/>
      <c r="C12806" s="248"/>
      <c r="D12806" s="249"/>
      <c r="E12806" s="249"/>
      <c r="T12806" s="261"/>
    </row>
    <row r="12807" spans="2:20" x14ac:dyDescent="0.2">
      <c r="B12807" s="245"/>
      <c r="C12807" s="248"/>
      <c r="D12807" s="249"/>
      <c r="E12807" s="249"/>
      <c r="T12807" s="261"/>
    </row>
    <row r="12808" spans="2:20" x14ac:dyDescent="0.2">
      <c r="B12808" s="245"/>
      <c r="C12808" s="248"/>
      <c r="D12808" s="249"/>
      <c r="E12808" s="249"/>
      <c r="T12808" s="261"/>
    </row>
    <row r="12809" spans="2:20" x14ac:dyDescent="0.2">
      <c r="B12809" s="245"/>
      <c r="C12809" s="248"/>
      <c r="D12809" s="249"/>
      <c r="E12809" s="249"/>
      <c r="T12809" s="261"/>
    </row>
    <row r="12810" spans="2:20" x14ac:dyDescent="0.2">
      <c r="B12810" s="245"/>
      <c r="C12810" s="248"/>
      <c r="D12810" s="249"/>
      <c r="E12810" s="249"/>
      <c r="T12810" s="261"/>
    </row>
    <row r="12811" spans="2:20" x14ac:dyDescent="0.2">
      <c r="B12811" s="245"/>
      <c r="C12811" s="248"/>
      <c r="D12811" s="249"/>
      <c r="E12811" s="249"/>
      <c r="T12811" s="261"/>
    </row>
    <row r="12812" spans="2:20" x14ac:dyDescent="0.2">
      <c r="B12812" s="245"/>
      <c r="C12812" s="248"/>
      <c r="D12812" s="249"/>
      <c r="E12812" s="249"/>
      <c r="T12812" s="261"/>
    </row>
    <row r="12813" spans="2:20" x14ac:dyDescent="0.2">
      <c r="B12813" s="245"/>
      <c r="C12813" s="248"/>
      <c r="D12813" s="249"/>
      <c r="E12813" s="249"/>
      <c r="T12813" s="261"/>
    </row>
    <row r="12814" spans="2:20" x14ac:dyDescent="0.2">
      <c r="B12814" s="245"/>
      <c r="C12814" s="248"/>
      <c r="D12814" s="249"/>
      <c r="E12814" s="249"/>
      <c r="T12814" s="261"/>
    </row>
    <row r="12815" spans="2:20" x14ac:dyDescent="0.2">
      <c r="B12815" s="245"/>
      <c r="C12815" s="248"/>
      <c r="D12815" s="249"/>
      <c r="E12815" s="249"/>
      <c r="T12815" s="261"/>
    </row>
    <row r="12816" spans="2:20" x14ac:dyDescent="0.2">
      <c r="B12816" s="245"/>
      <c r="C12816" s="248"/>
      <c r="D12816" s="249"/>
      <c r="E12816" s="249"/>
      <c r="T12816" s="261"/>
    </row>
    <row r="12817" spans="2:20" x14ac:dyDescent="0.2">
      <c r="B12817" s="245"/>
      <c r="C12817" s="248"/>
      <c r="D12817" s="249"/>
      <c r="E12817" s="249"/>
      <c r="T12817" s="261"/>
    </row>
    <row r="12818" spans="2:20" x14ac:dyDescent="0.2">
      <c r="B12818" s="245"/>
      <c r="C12818" s="248"/>
      <c r="D12818" s="249"/>
      <c r="E12818" s="249"/>
      <c r="T12818" s="261"/>
    </row>
    <row r="12819" spans="2:20" x14ac:dyDescent="0.2">
      <c r="B12819" s="245"/>
      <c r="C12819" s="248"/>
      <c r="D12819" s="249"/>
      <c r="E12819" s="249"/>
      <c r="T12819" s="261"/>
    </row>
    <row r="12820" spans="2:20" x14ac:dyDescent="0.2">
      <c r="B12820" s="245"/>
      <c r="C12820" s="248"/>
      <c r="D12820" s="249"/>
      <c r="E12820" s="249"/>
      <c r="T12820" s="261"/>
    </row>
    <row r="12821" spans="2:20" x14ac:dyDescent="0.2">
      <c r="B12821" s="245"/>
      <c r="C12821" s="248"/>
      <c r="D12821" s="249"/>
      <c r="E12821" s="249"/>
      <c r="T12821" s="261"/>
    </row>
    <row r="12822" spans="2:20" x14ac:dyDescent="0.2">
      <c r="B12822" s="245"/>
      <c r="C12822" s="248"/>
      <c r="D12822" s="249"/>
      <c r="E12822" s="249"/>
      <c r="T12822" s="261"/>
    </row>
    <row r="12823" spans="2:20" x14ac:dyDescent="0.2">
      <c r="B12823" s="245"/>
      <c r="C12823" s="248"/>
      <c r="D12823" s="249"/>
      <c r="E12823" s="249"/>
      <c r="T12823" s="261"/>
    </row>
    <row r="12824" spans="2:20" x14ac:dyDescent="0.2">
      <c r="B12824" s="245"/>
      <c r="C12824" s="248"/>
      <c r="D12824" s="249"/>
      <c r="E12824" s="249"/>
      <c r="T12824" s="261"/>
    </row>
    <row r="12825" spans="2:20" x14ac:dyDescent="0.2">
      <c r="B12825" s="245"/>
      <c r="C12825" s="248"/>
      <c r="D12825" s="249"/>
      <c r="E12825" s="249"/>
      <c r="T12825" s="261"/>
    </row>
    <row r="12826" spans="2:20" x14ac:dyDescent="0.2">
      <c r="B12826" s="245"/>
      <c r="C12826" s="248"/>
      <c r="D12826" s="249"/>
      <c r="E12826" s="249"/>
      <c r="T12826" s="261"/>
    </row>
    <row r="12827" spans="2:20" x14ac:dyDescent="0.2">
      <c r="B12827" s="245"/>
      <c r="C12827" s="248"/>
      <c r="D12827" s="249"/>
      <c r="E12827" s="249"/>
      <c r="T12827" s="261"/>
    </row>
    <row r="12828" spans="2:20" x14ac:dyDescent="0.2">
      <c r="B12828" s="245"/>
      <c r="C12828" s="248"/>
      <c r="D12828" s="249"/>
      <c r="E12828" s="249"/>
      <c r="T12828" s="261"/>
    </row>
    <row r="12829" spans="2:20" x14ac:dyDescent="0.2">
      <c r="B12829" s="245"/>
      <c r="C12829" s="248"/>
      <c r="D12829" s="249"/>
      <c r="E12829" s="249"/>
      <c r="T12829" s="261"/>
    </row>
    <row r="12830" spans="2:20" x14ac:dyDescent="0.2">
      <c r="B12830" s="245"/>
      <c r="C12830" s="248"/>
      <c r="D12830" s="249"/>
      <c r="E12830" s="249"/>
      <c r="T12830" s="261"/>
    </row>
    <row r="12831" spans="2:20" x14ac:dyDescent="0.2">
      <c r="B12831" s="245"/>
      <c r="C12831" s="248"/>
      <c r="D12831" s="249"/>
      <c r="E12831" s="249"/>
      <c r="T12831" s="261"/>
    </row>
    <row r="12832" spans="2:20" x14ac:dyDescent="0.2">
      <c r="B12832" s="245"/>
      <c r="C12832" s="248"/>
      <c r="D12832" s="249"/>
      <c r="E12832" s="249"/>
      <c r="T12832" s="261"/>
    </row>
    <row r="12833" spans="2:20" x14ac:dyDescent="0.2">
      <c r="B12833" s="245"/>
      <c r="C12833" s="248"/>
      <c r="D12833" s="249"/>
      <c r="E12833" s="249"/>
      <c r="T12833" s="261"/>
    </row>
    <row r="12834" spans="2:20" x14ac:dyDescent="0.2">
      <c r="B12834" s="245"/>
      <c r="C12834" s="248"/>
      <c r="D12834" s="249"/>
      <c r="E12834" s="249"/>
      <c r="T12834" s="261"/>
    </row>
    <row r="12835" spans="2:20" x14ac:dyDescent="0.2">
      <c r="B12835" s="245"/>
      <c r="C12835" s="248"/>
      <c r="D12835" s="249"/>
      <c r="E12835" s="249"/>
      <c r="T12835" s="261"/>
    </row>
    <row r="12836" spans="2:20" x14ac:dyDescent="0.2">
      <c r="B12836" s="245"/>
      <c r="C12836" s="248"/>
      <c r="D12836" s="249"/>
      <c r="E12836" s="249"/>
      <c r="T12836" s="261"/>
    </row>
    <row r="12837" spans="2:20" x14ac:dyDescent="0.2">
      <c r="B12837" s="245"/>
      <c r="C12837" s="248"/>
      <c r="D12837" s="249"/>
      <c r="E12837" s="249"/>
      <c r="T12837" s="261"/>
    </row>
    <row r="12838" spans="2:20" x14ac:dyDescent="0.2">
      <c r="B12838" s="245"/>
      <c r="C12838" s="248"/>
      <c r="D12838" s="249"/>
      <c r="E12838" s="249"/>
      <c r="T12838" s="261"/>
    </row>
    <row r="12839" spans="2:20" x14ac:dyDescent="0.2">
      <c r="B12839" s="245"/>
      <c r="C12839" s="248"/>
      <c r="D12839" s="249"/>
      <c r="E12839" s="249"/>
      <c r="T12839" s="261"/>
    </row>
    <row r="12840" spans="2:20" x14ac:dyDescent="0.2">
      <c r="B12840" s="245"/>
      <c r="C12840" s="248"/>
      <c r="D12840" s="249"/>
      <c r="E12840" s="249"/>
      <c r="T12840" s="261"/>
    </row>
    <row r="12841" spans="2:20" x14ac:dyDescent="0.2">
      <c r="B12841" s="245"/>
      <c r="C12841" s="248"/>
      <c r="D12841" s="249"/>
      <c r="E12841" s="249"/>
      <c r="T12841" s="261"/>
    </row>
    <row r="12842" spans="2:20" x14ac:dyDescent="0.2">
      <c r="B12842" s="245"/>
      <c r="C12842" s="248"/>
      <c r="D12842" s="249"/>
      <c r="E12842" s="249"/>
      <c r="T12842" s="261"/>
    </row>
    <row r="12843" spans="2:20" x14ac:dyDescent="0.2">
      <c r="B12843" s="245"/>
      <c r="C12843" s="248"/>
      <c r="D12843" s="249"/>
      <c r="E12843" s="249"/>
      <c r="T12843" s="261"/>
    </row>
    <row r="12844" spans="2:20" x14ac:dyDescent="0.2">
      <c r="B12844" s="245"/>
      <c r="C12844" s="248"/>
      <c r="D12844" s="249"/>
      <c r="E12844" s="249"/>
      <c r="T12844" s="261"/>
    </row>
    <row r="12845" spans="2:20" x14ac:dyDescent="0.2">
      <c r="B12845" s="245"/>
      <c r="C12845" s="248"/>
      <c r="D12845" s="249"/>
      <c r="E12845" s="249"/>
      <c r="T12845" s="261"/>
    </row>
    <row r="12846" spans="2:20" x14ac:dyDescent="0.2">
      <c r="B12846" s="245"/>
      <c r="C12846" s="248"/>
      <c r="D12846" s="249"/>
      <c r="E12846" s="249"/>
      <c r="T12846" s="261"/>
    </row>
    <row r="12847" spans="2:20" x14ac:dyDescent="0.2">
      <c r="B12847" s="245"/>
      <c r="C12847" s="248"/>
      <c r="D12847" s="249"/>
      <c r="E12847" s="249"/>
      <c r="T12847" s="261"/>
    </row>
    <row r="12848" spans="2:20" x14ac:dyDescent="0.2">
      <c r="B12848" s="245"/>
      <c r="C12848" s="248"/>
      <c r="D12848" s="249"/>
      <c r="E12848" s="249"/>
      <c r="T12848" s="261"/>
    </row>
    <row r="12849" spans="2:20" x14ac:dyDescent="0.2">
      <c r="B12849" s="245"/>
      <c r="C12849" s="248"/>
      <c r="D12849" s="249"/>
      <c r="E12849" s="249"/>
      <c r="T12849" s="261"/>
    </row>
    <row r="12850" spans="2:20" x14ac:dyDescent="0.2">
      <c r="B12850" s="245"/>
      <c r="C12850" s="248"/>
      <c r="D12850" s="249"/>
      <c r="E12850" s="249"/>
      <c r="T12850" s="261"/>
    </row>
    <row r="12851" spans="2:20" x14ac:dyDescent="0.2">
      <c r="B12851" s="245"/>
      <c r="C12851" s="248"/>
      <c r="D12851" s="249"/>
      <c r="E12851" s="249"/>
      <c r="T12851" s="261"/>
    </row>
    <row r="12852" spans="2:20" x14ac:dyDescent="0.2">
      <c r="B12852" s="245"/>
      <c r="C12852" s="248"/>
      <c r="D12852" s="249"/>
      <c r="E12852" s="249"/>
      <c r="T12852" s="261"/>
    </row>
    <row r="12853" spans="2:20" x14ac:dyDescent="0.2">
      <c r="B12853" s="245"/>
      <c r="C12853" s="248"/>
      <c r="D12853" s="249"/>
      <c r="E12853" s="249"/>
      <c r="T12853" s="261"/>
    </row>
    <row r="12854" spans="2:20" x14ac:dyDescent="0.2">
      <c r="B12854" s="245"/>
      <c r="C12854" s="248"/>
      <c r="D12854" s="249"/>
      <c r="E12854" s="249"/>
      <c r="T12854" s="261"/>
    </row>
    <row r="12855" spans="2:20" x14ac:dyDescent="0.2">
      <c r="B12855" s="245"/>
      <c r="C12855" s="248"/>
      <c r="D12855" s="249"/>
      <c r="E12855" s="249"/>
      <c r="T12855" s="261"/>
    </row>
    <row r="12856" spans="2:20" x14ac:dyDescent="0.2">
      <c r="B12856" s="245"/>
      <c r="C12856" s="248"/>
      <c r="D12856" s="249"/>
      <c r="E12856" s="249"/>
      <c r="T12856" s="261"/>
    </row>
    <row r="12857" spans="2:20" x14ac:dyDescent="0.2">
      <c r="B12857" s="245"/>
      <c r="C12857" s="248"/>
      <c r="D12857" s="249"/>
      <c r="E12857" s="249"/>
      <c r="T12857" s="261"/>
    </row>
    <row r="12858" spans="2:20" x14ac:dyDescent="0.2">
      <c r="B12858" s="245"/>
      <c r="C12858" s="248"/>
      <c r="D12858" s="249"/>
      <c r="E12858" s="249"/>
      <c r="T12858" s="261"/>
    </row>
    <row r="12859" spans="2:20" x14ac:dyDescent="0.2">
      <c r="B12859" s="245"/>
      <c r="C12859" s="248"/>
      <c r="D12859" s="249"/>
      <c r="E12859" s="249"/>
      <c r="T12859" s="261"/>
    </row>
    <row r="12860" spans="2:20" x14ac:dyDescent="0.2">
      <c r="B12860" s="245"/>
      <c r="C12860" s="248"/>
      <c r="D12860" s="249"/>
      <c r="E12860" s="249"/>
      <c r="T12860" s="261"/>
    </row>
    <row r="12861" spans="2:20" x14ac:dyDescent="0.2">
      <c r="B12861" s="245"/>
      <c r="C12861" s="248"/>
      <c r="D12861" s="249"/>
      <c r="E12861" s="249"/>
      <c r="T12861" s="261"/>
    </row>
    <row r="12862" spans="2:20" x14ac:dyDescent="0.2">
      <c r="B12862" s="245"/>
      <c r="C12862" s="248"/>
      <c r="D12862" s="249"/>
      <c r="E12862" s="249"/>
      <c r="T12862" s="261"/>
    </row>
    <row r="12863" spans="2:20" x14ac:dyDescent="0.2">
      <c r="B12863" s="245"/>
      <c r="C12863" s="248"/>
      <c r="D12863" s="249"/>
      <c r="E12863" s="249"/>
      <c r="T12863" s="261"/>
    </row>
    <row r="12864" spans="2:20" x14ac:dyDescent="0.2">
      <c r="B12864" s="245"/>
      <c r="C12864" s="248"/>
      <c r="D12864" s="249"/>
      <c r="E12864" s="249"/>
      <c r="T12864" s="261"/>
    </row>
    <row r="12865" spans="2:20" x14ac:dyDescent="0.2">
      <c r="B12865" s="245"/>
      <c r="C12865" s="248"/>
      <c r="D12865" s="249"/>
      <c r="E12865" s="249"/>
      <c r="T12865" s="261"/>
    </row>
    <row r="12866" spans="2:20" x14ac:dyDescent="0.2">
      <c r="B12866" s="245"/>
      <c r="C12866" s="248"/>
      <c r="D12866" s="249"/>
      <c r="E12866" s="249"/>
      <c r="T12866" s="261"/>
    </row>
    <row r="12867" spans="2:20" x14ac:dyDescent="0.2">
      <c r="B12867" s="245"/>
      <c r="C12867" s="248"/>
      <c r="D12867" s="249"/>
      <c r="E12867" s="249"/>
      <c r="T12867" s="261"/>
    </row>
    <row r="12868" spans="2:20" x14ac:dyDescent="0.2">
      <c r="B12868" s="245"/>
      <c r="C12868" s="248"/>
      <c r="D12868" s="249"/>
      <c r="E12868" s="249"/>
      <c r="T12868" s="261"/>
    </row>
    <row r="12869" spans="2:20" x14ac:dyDescent="0.2">
      <c r="B12869" s="245"/>
      <c r="C12869" s="248"/>
      <c r="D12869" s="249"/>
      <c r="E12869" s="249"/>
      <c r="T12869" s="261"/>
    </row>
    <row r="12870" spans="2:20" x14ac:dyDescent="0.2">
      <c r="B12870" s="245"/>
      <c r="C12870" s="248"/>
      <c r="D12870" s="249"/>
      <c r="E12870" s="249"/>
      <c r="T12870" s="261"/>
    </row>
    <row r="12871" spans="2:20" x14ac:dyDescent="0.2">
      <c r="B12871" s="245"/>
      <c r="C12871" s="248"/>
      <c r="D12871" s="249"/>
      <c r="E12871" s="249"/>
      <c r="T12871" s="261"/>
    </row>
    <row r="12872" spans="2:20" x14ac:dyDescent="0.2">
      <c r="B12872" s="245"/>
      <c r="C12872" s="248"/>
      <c r="D12872" s="249"/>
      <c r="E12872" s="249"/>
      <c r="T12872" s="261"/>
    </row>
    <row r="12873" spans="2:20" x14ac:dyDescent="0.2">
      <c r="B12873" s="245"/>
      <c r="C12873" s="248"/>
      <c r="D12873" s="249"/>
      <c r="E12873" s="249"/>
      <c r="T12873" s="261"/>
    </row>
    <row r="12874" spans="2:20" x14ac:dyDescent="0.2">
      <c r="B12874" s="245"/>
      <c r="C12874" s="248"/>
      <c r="D12874" s="249"/>
      <c r="E12874" s="249"/>
      <c r="T12874" s="261"/>
    </row>
    <row r="12875" spans="2:20" x14ac:dyDescent="0.2">
      <c r="B12875" s="245"/>
      <c r="C12875" s="248"/>
      <c r="D12875" s="249"/>
      <c r="E12875" s="249"/>
      <c r="T12875" s="261"/>
    </row>
    <row r="12876" spans="2:20" x14ac:dyDescent="0.2">
      <c r="B12876" s="245"/>
      <c r="C12876" s="248"/>
      <c r="D12876" s="249"/>
      <c r="E12876" s="249"/>
      <c r="T12876" s="261"/>
    </row>
    <row r="12877" spans="2:20" x14ac:dyDescent="0.2">
      <c r="B12877" s="245"/>
      <c r="C12877" s="248"/>
      <c r="D12877" s="249"/>
      <c r="E12877" s="249"/>
      <c r="T12877" s="261"/>
    </row>
    <row r="12878" spans="2:20" x14ac:dyDescent="0.2">
      <c r="B12878" s="245"/>
      <c r="C12878" s="248"/>
      <c r="D12878" s="249"/>
      <c r="E12878" s="249"/>
      <c r="T12878" s="261"/>
    </row>
    <row r="12879" spans="2:20" x14ac:dyDescent="0.2">
      <c r="B12879" s="245"/>
      <c r="C12879" s="248"/>
      <c r="D12879" s="249"/>
      <c r="E12879" s="249"/>
      <c r="T12879" s="261"/>
    </row>
    <row r="12880" spans="2:20" x14ac:dyDescent="0.2">
      <c r="B12880" s="245"/>
      <c r="C12880" s="248"/>
      <c r="D12880" s="249"/>
      <c r="E12880" s="249"/>
      <c r="T12880" s="261"/>
    </row>
    <row r="12881" spans="2:20" x14ac:dyDescent="0.2">
      <c r="B12881" s="245"/>
      <c r="C12881" s="248"/>
      <c r="D12881" s="249"/>
      <c r="E12881" s="249"/>
      <c r="T12881" s="261"/>
    </row>
    <row r="12882" spans="2:20" x14ac:dyDescent="0.2">
      <c r="B12882" s="245"/>
      <c r="C12882" s="248"/>
      <c r="D12882" s="249"/>
      <c r="E12882" s="249"/>
      <c r="T12882" s="261"/>
    </row>
    <row r="12883" spans="2:20" x14ac:dyDescent="0.2">
      <c r="B12883" s="245"/>
      <c r="C12883" s="248"/>
      <c r="D12883" s="249"/>
      <c r="E12883" s="249"/>
      <c r="T12883" s="261"/>
    </row>
    <row r="12884" spans="2:20" x14ac:dyDescent="0.2">
      <c r="B12884" s="245"/>
      <c r="C12884" s="248"/>
      <c r="D12884" s="249"/>
      <c r="E12884" s="249"/>
      <c r="T12884" s="261"/>
    </row>
    <row r="12885" spans="2:20" x14ac:dyDescent="0.2">
      <c r="B12885" s="245"/>
      <c r="C12885" s="248"/>
      <c r="D12885" s="249"/>
      <c r="E12885" s="249"/>
      <c r="T12885" s="261"/>
    </row>
    <row r="12886" spans="2:20" x14ac:dyDescent="0.2">
      <c r="B12886" s="245"/>
      <c r="C12886" s="248"/>
      <c r="D12886" s="249"/>
      <c r="E12886" s="249"/>
      <c r="T12886" s="261"/>
    </row>
    <row r="12887" spans="2:20" x14ac:dyDescent="0.2">
      <c r="B12887" s="245"/>
      <c r="C12887" s="248"/>
      <c r="D12887" s="249"/>
      <c r="E12887" s="249"/>
      <c r="T12887" s="261"/>
    </row>
    <row r="12888" spans="2:20" x14ac:dyDescent="0.2">
      <c r="B12888" s="245"/>
      <c r="C12888" s="248"/>
      <c r="D12888" s="249"/>
      <c r="E12888" s="249"/>
      <c r="T12888" s="261"/>
    </row>
    <row r="12889" spans="2:20" x14ac:dyDescent="0.2">
      <c r="B12889" s="245"/>
      <c r="C12889" s="248"/>
      <c r="D12889" s="249"/>
      <c r="E12889" s="249"/>
      <c r="T12889" s="261"/>
    </row>
    <row r="12890" spans="2:20" x14ac:dyDescent="0.2">
      <c r="B12890" s="245"/>
      <c r="C12890" s="248"/>
      <c r="D12890" s="249"/>
      <c r="E12890" s="249"/>
      <c r="T12890" s="261"/>
    </row>
    <row r="12891" spans="2:20" x14ac:dyDescent="0.2">
      <c r="B12891" s="245"/>
      <c r="C12891" s="248"/>
      <c r="D12891" s="249"/>
      <c r="E12891" s="249"/>
      <c r="T12891" s="261"/>
    </row>
    <row r="12892" spans="2:20" x14ac:dyDescent="0.2">
      <c r="B12892" s="245"/>
      <c r="C12892" s="248"/>
      <c r="D12892" s="249"/>
      <c r="E12892" s="249"/>
      <c r="T12892" s="261"/>
    </row>
    <row r="12893" spans="2:20" x14ac:dyDescent="0.2">
      <c r="B12893" s="245"/>
      <c r="C12893" s="248"/>
      <c r="D12893" s="249"/>
      <c r="E12893" s="249"/>
      <c r="T12893" s="261"/>
    </row>
    <row r="12894" spans="2:20" x14ac:dyDescent="0.2">
      <c r="B12894" s="245"/>
      <c r="C12894" s="248"/>
      <c r="D12894" s="249"/>
      <c r="E12894" s="249"/>
      <c r="T12894" s="261"/>
    </row>
    <row r="12895" spans="2:20" x14ac:dyDescent="0.2">
      <c r="B12895" s="245"/>
      <c r="C12895" s="248"/>
      <c r="D12895" s="249"/>
      <c r="E12895" s="249"/>
      <c r="T12895" s="261"/>
    </row>
    <row r="12896" spans="2:20" x14ac:dyDescent="0.2">
      <c r="B12896" s="245"/>
      <c r="C12896" s="248"/>
      <c r="D12896" s="249"/>
      <c r="E12896" s="249"/>
      <c r="T12896" s="261"/>
    </row>
    <row r="12897" spans="2:20" x14ac:dyDescent="0.2">
      <c r="B12897" s="245"/>
      <c r="C12897" s="248"/>
      <c r="D12897" s="249"/>
      <c r="E12897" s="249"/>
      <c r="T12897" s="261"/>
    </row>
    <row r="12898" spans="2:20" x14ac:dyDescent="0.2">
      <c r="B12898" s="245"/>
      <c r="C12898" s="248"/>
      <c r="D12898" s="249"/>
      <c r="E12898" s="249"/>
      <c r="T12898" s="261"/>
    </row>
    <row r="12899" spans="2:20" x14ac:dyDescent="0.2">
      <c r="B12899" s="245"/>
      <c r="C12899" s="248"/>
      <c r="D12899" s="249"/>
      <c r="E12899" s="249"/>
      <c r="T12899" s="261"/>
    </row>
    <row r="12900" spans="2:20" x14ac:dyDescent="0.2">
      <c r="B12900" s="245"/>
      <c r="C12900" s="248"/>
      <c r="D12900" s="249"/>
      <c r="E12900" s="249"/>
      <c r="T12900" s="261"/>
    </row>
    <row r="12901" spans="2:20" x14ac:dyDescent="0.2">
      <c r="B12901" s="245"/>
      <c r="C12901" s="248"/>
      <c r="D12901" s="249"/>
      <c r="E12901" s="249"/>
      <c r="T12901" s="261"/>
    </row>
    <row r="12902" spans="2:20" x14ac:dyDescent="0.2">
      <c r="B12902" s="245"/>
      <c r="C12902" s="248"/>
      <c r="D12902" s="249"/>
      <c r="E12902" s="249"/>
      <c r="T12902" s="261"/>
    </row>
    <row r="12903" spans="2:20" x14ac:dyDescent="0.2">
      <c r="B12903" s="245"/>
      <c r="C12903" s="248"/>
      <c r="D12903" s="249"/>
      <c r="E12903" s="249"/>
      <c r="T12903" s="261"/>
    </row>
    <row r="12904" spans="2:20" x14ac:dyDescent="0.2">
      <c r="B12904" s="245"/>
      <c r="C12904" s="248"/>
      <c r="D12904" s="249"/>
      <c r="E12904" s="249"/>
      <c r="T12904" s="261"/>
    </row>
    <row r="12905" spans="2:20" x14ac:dyDescent="0.2">
      <c r="B12905" s="245"/>
      <c r="C12905" s="248"/>
      <c r="D12905" s="249"/>
      <c r="E12905" s="249"/>
      <c r="T12905" s="261"/>
    </row>
    <row r="12906" spans="2:20" x14ac:dyDescent="0.2">
      <c r="B12906" s="245"/>
      <c r="C12906" s="248"/>
      <c r="D12906" s="249"/>
      <c r="E12906" s="249"/>
      <c r="T12906" s="261"/>
    </row>
    <row r="12907" spans="2:20" x14ac:dyDescent="0.2">
      <c r="B12907" s="245"/>
      <c r="C12907" s="248"/>
      <c r="D12907" s="249"/>
      <c r="E12907" s="249"/>
      <c r="T12907" s="261"/>
    </row>
    <row r="12908" spans="2:20" x14ac:dyDescent="0.2">
      <c r="B12908" s="245"/>
      <c r="C12908" s="248"/>
      <c r="D12908" s="249"/>
      <c r="E12908" s="249"/>
      <c r="T12908" s="261"/>
    </row>
    <row r="12909" spans="2:20" x14ac:dyDescent="0.2">
      <c r="B12909" s="245"/>
      <c r="C12909" s="248"/>
      <c r="D12909" s="249"/>
      <c r="E12909" s="249"/>
      <c r="T12909" s="261"/>
    </row>
    <row r="12910" spans="2:20" x14ac:dyDescent="0.2">
      <c r="B12910" s="245"/>
      <c r="C12910" s="248"/>
      <c r="D12910" s="249"/>
      <c r="E12910" s="249"/>
      <c r="T12910" s="261"/>
    </row>
    <row r="12911" spans="2:20" x14ac:dyDescent="0.2">
      <c r="B12911" s="245"/>
      <c r="C12911" s="248"/>
      <c r="D12911" s="249"/>
      <c r="E12911" s="249"/>
      <c r="T12911" s="261"/>
    </row>
    <row r="12912" spans="2:20" x14ac:dyDescent="0.2">
      <c r="B12912" s="245"/>
      <c r="C12912" s="248"/>
      <c r="D12912" s="249"/>
      <c r="E12912" s="249"/>
      <c r="T12912" s="261"/>
    </row>
    <row r="12913" spans="2:20" x14ac:dyDescent="0.2">
      <c r="B12913" s="245"/>
      <c r="C12913" s="248"/>
      <c r="D12913" s="249"/>
      <c r="E12913" s="249"/>
      <c r="T12913" s="261"/>
    </row>
    <row r="12914" spans="2:20" x14ac:dyDescent="0.2">
      <c r="B12914" s="245"/>
      <c r="C12914" s="248"/>
      <c r="D12914" s="249"/>
      <c r="E12914" s="249"/>
      <c r="T12914" s="261"/>
    </row>
    <row r="12915" spans="2:20" x14ac:dyDescent="0.2">
      <c r="B12915" s="245"/>
      <c r="C12915" s="248"/>
      <c r="D12915" s="249"/>
      <c r="E12915" s="249"/>
      <c r="T12915" s="261"/>
    </row>
    <row r="12916" spans="2:20" x14ac:dyDescent="0.2">
      <c r="B12916" s="245"/>
      <c r="C12916" s="248"/>
      <c r="D12916" s="249"/>
      <c r="E12916" s="249"/>
      <c r="T12916" s="261"/>
    </row>
    <row r="12917" spans="2:20" x14ac:dyDescent="0.2">
      <c r="B12917" s="245"/>
      <c r="C12917" s="248"/>
      <c r="D12917" s="249"/>
      <c r="E12917" s="249"/>
      <c r="T12917" s="261"/>
    </row>
    <row r="12918" spans="2:20" x14ac:dyDescent="0.2">
      <c r="B12918" s="245"/>
      <c r="C12918" s="248"/>
      <c r="D12918" s="249"/>
      <c r="E12918" s="249"/>
      <c r="T12918" s="261"/>
    </row>
    <row r="12919" spans="2:20" x14ac:dyDescent="0.2">
      <c r="B12919" s="245"/>
      <c r="C12919" s="248"/>
      <c r="D12919" s="249"/>
      <c r="E12919" s="249"/>
      <c r="T12919" s="261"/>
    </row>
    <row r="12920" spans="2:20" x14ac:dyDescent="0.2">
      <c r="B12920" s="245"/>
      <c r="C12920" s="248"/>
      <c r="D12920" s="249"/>
      <c r="E12920" s="249"/>
      <c r="T12920" s="261"/>
    </row>
    <row r="12921" spans="2:20" x14ac:dyDescent="0.2">
      <c r="B12921" s="245"/>
      <c r="C12921" s="248"/>
      <c r="D12921" s="249"/>
      <c r="E12921" s="249"/>
      <c r="T12921" s="261"/>
    </row>
    <row r="12922" spans="2:20" x14ac:dyDescent="0.2">
      <c r="B12922" s="245"/>
      <c r="C12922" s="248"/>
      <c r="D12922" s="249"/>
      <c r="E12922" s="249"/>
      <c r="T12922" s="261"/>
    </row>
    <row r="12923" spans="2:20" x14ac:dyDescent="0.2">
      <c r="B12923" s="245"/>
      <c r="C12923" s="248"/>
      <c r="D12923" s="249"/>
      <c r="E12923" s="249"/>
      <c r="T12923" s="261"/>
    </row>
    <row r="12924" spans="2:20" x14ac:dyDescent="0.2">
      <c r="B12924" s="245"/>
      <c r="C12924" s="248"/>
      <c r="D12924" s="249"/>
      <c r="E12924" s="249"/>
      <c r="T12924" s="261"/>
    </row>
    <row r="12925" spans="2:20" x14ac:dyDescent="0.2">
      <c r="B12925" s="245"/>
      <c r="C12925" s="248"/>
      <c r="D12925" s="249"/>
      <c r="E12925" s="249"/>
      <c r="T12925" s="261"/>
    </row>
    <row r="12926" spans="2:20" x14ac:dyDescent="0.2">
      <c r="B12926" s="245"/>
      <c r="C12926" s="248"/>
      <c r="D12926" s="249"/>
      <c r="E12926" s="249"/>
      <c r="T12926" s="261"/>
    </row>
    <row r="12927" spans="2:20" x14ac:dyDescent="0.2">
      <c r="B12927" s="245"/>
      <c r="C12927" s="248"/>
      <c r="D12927" s="249"/>
      <c r="E12927" s="249"/>
      <c r="T12927" s="261"/>
    </row>
    <row r="12928" spans="2:20" x14ac:dyDescent="0.2">
      <c r="B12928" s="245"/>
      <c r="C12928" s="248"/>
      <c r="D12928" s="249"/>
      <c r="E12928" s="249"/>
      <c r="T12928" s="261"/>
    </row>
    <row r="12929" spans="2:20" x14ac:dyDescent="0.2">
      <c r="B12929" s="245"/>
      <c r="C12929" s="248"/>
      <c r="D12929" s="249"/>
      <c r="E12929" s="249"/>
      <c r="T12929" s="261"/>
    </row>
    <row r="12930" spans="2:20" x14ac:dyDescent="0.2">
      <c r="B12930" s="245"/>
      <c r="C12930" s="248"/>
      <c r="D12930" s="249"/>
      <c r="E12930" s="249"/>
      <c r="T12930" s="261"/>
    </row>
    <row r="12931" spans="2:20" x14ac:dyDescent="0.2">
      <c r="B12931" s="245"/>
      <c r="C12931" s="248"/>
      <c r="D12931" s="249"/>
      <c r="E12931" s="249"/>
      <c r="T12931" s="261"/>
    </row>
    <row r="12932" spans="2:20" x14ac:dyDescent="0.2">
      <c r="B12932" s="245"/>
      <c r="C12932" s="248"/>
      <c r="D12932" s="249"/>
      <c r="E12932" s="249"/>
      <c r="T12932" s="261"/>
    </row>
    <row r="12933" spans="2:20" x14ac:dyDescent="0.2">
      <c r="B12933" s="245"/>
      <c r="C12933" s="248"/>
      <c r="D12933" s="249"/>
      <c r="E12933" s="249"/>
      <c r="T12933" s="261"/>
    </row>
    <row r="12934" spans="2:20" x14ac:dyDescent="0.2">
      <c r="B12934" s="245"/>
      <c r="C12934" s="248"/>
      <c r="D12934" s="249"/>
      <c r="E12934" s="249"/>
      <c r="T12934" s="261"/>
    </row>
    <row r="12935" spans="2:20" x14ac:dyDescent="0.2">
      <c r="B12935" s="245"/>
      <c r="C12935" s="248"/>
      <c r="D12935" s="249"/>
      <c r="E12935" s="249"/>
      <c r="T12935" s="261"/>
    </row>
    <row r="12936" spans="2:20" x14ac:dyDescent="0.2">
      <c r="B12936" s="245"/>
      <c r="C12936" s="248"/>
      <c r="D12936" s="249"/>
      <c r="E12936" s="249"/>
      <c r="T12936" s="261"/>
    </row>
    <row r="12937" spans="2:20" x14ac:dyDescent="0.2">
      <c r="B12937" s="245"/>
      <c r="C12937" s="248"/>
      <c r="D12937" s="249"/>
      <c r="E12937" s="249"/>
      <c r="T12937" s="261"/>
    </row>
    <row r="12938" spans="2:20" x14ac:dyDescent="0.2">
      <c r="B12938" s="245"/>
      <c r="C12938" s="248"/>
      <c r="D12938" s="249"/>
      <c r="E12938" s="249"/>
      <c r="T12938" s="261"/>
    </row>
    <row r="12939" spans="2:20" x14ac:dyDescent="0.2">
      <c r="B12939" s="245"/>
      <c r="C12939" s="248"/>
      <c r="D12939" s="249"/>
      <c r="E12939" s="249"/>
      <c r="T12939" s="261"/>
    </row>
    <row r="12940" spans="2:20" x14ac:dyDescent="0.2">
      <c r="B12940" s="245"/>
      <c r="C12940" s="248"/>
      <c r="D12940" s="249"/>
      <c r="E12940" s="249"/>
      <c r="T12940" s="261"/>
    </row>
    <row r="12941" spans="2:20" x14ac:dyDescent="0.2">
      <c r="B12941" s="245"/>
      <c r="C12941" s="248"/>
      <c r="D12941" s="249"/>
      <c r="E12941" s="249"/>
      <c r="T12941" s="261"/>
    </row>
    <row r="12942" spans="2:20" x14ac:dyDescent="0.2">
      <c r="B12942" s="245"/>
      <c r="C12942" s="248"/>
      <c r="D12942" s="249"/>
      <c r="E12942" s="249"/>
      <c r="T12942" s="261"/>
    </row>
    <row r="12943" spans="2:20" x14ac:dyDescent="0.2">
      <c r="B12943" s="245"/>
      <c r="C12943" s="248"/>
      <c r="D12943" s="249"/>
      <c r="E12943" s="249"/>
      <c r="T12943" s="261"/>
    </row>
    <row r="12944" spans="2:20" x14ac:dyDescent="0.2">
      <c r="B12944" s="245"/>
      <c r="C12944" s="248"/>
      <c r="D12944" s="249"/>
      <c r="E12944" s="249"/>
      <c r="T12944" s="261"/>
    </row>
    <row r="12945" spans="2:20" x14ac:dyDescent="0.2">
      <c r="B12945" s="245"/>
      <c r="C12945" s="248"/>
      <c r="D12945" s="249"/>
      <c r="E12945" s="249"/>
      <c r="T12945" s="261"/>
    </row>
    <row r="12946" spans="2:20" x14ac:dyDescent="0.2">
      <c r="B12946" s="245"/>
      <c r="C12946" s="248"/>
      <c r="D12946" s="249"/>
      <c r="E12946" s="249"/>
      <c r="T12946" s="261"/>
    </row>
    <row r="12947" spans="2:20" x14ac:dyDescent="0.2">
      <c r="B12947" s="245"/>
      <c r="C12947" s="248"/>
      <c r="D12947" s="249"/>
      <c r="E12947" s="249"/>
      <c r="T12947" s="261"/>
    </row>
    <row r="12948" spans="2:20" x14ac:dyDescent="0.2">
      <c r="B12948" s="245"/>
      <c r="C12948" s="248"/>
      <c r="D12948" s="249"/>
      <c r="E12948" s="249"/>
      <c r="T12948" s="261"/>
    </row>
    <row r="12949" spans="2:20" x14ac:dyDescent="0.2">
      <c r="B12949" s="245"/>
      <c r="C12949" s="248"/>
      <c r="D12949" s="249"/>
      <c r="E12949" s="249"/>
      <c r="T12949" s="261"/>
    </row>
    <row r="12950" spans="2:20" x14ac:dyDescent="0.2">
      <c r="B12950" s="245"/>
      <c r="C12950" s="248"/>
      <c r="D12950" s="249"/>
      <c r="E12950" s="249"/>
      <c r="T12950" s="261"/>
    </row>
    <row r="12951" spans="2:20" x14ac:dyDescent="0.2">
      <c r="B12951" s="245"/>
      <c r="C12951" s="248"/>
      <c r="D12951" s="249"/>
      <c r="E12951" s="249"/>
      <c r="T12951" s="261"/>
    </row>
    <row r="12952" spans="2:20" x14ac:dyDescent="0.2">
      <c r="B12952" s="245"/>
      <c r="C12952" s="248"/>
      <c r="D12952" s="249"/>
      <c r="E12952" s="249"/>
      <c r="T12952" s="261"/>
    </row>
    <row r="12953" spans="2:20" x14ac:dyDescent="0.2">
      <c r="B12953" s="245"/>
      <c r="C12953" s="248"/>
      <c r="D12953" s="249"/>
      <c r="E12953" s="249"/>
      <c r="T12953" s="261"/>
    </row>
    <row r="12954" spans="2:20" x14ac:dyDescent="0.2">
      <c r="B12954" s="245"/>
      <c r="C12954" s="248"/>
      <c r="D12954" s="249"/>
      <c r="E12954" s="249"/>
      <c r="T12954" s="261"/>
    </row>
    <row r="12955" spans="2:20" x14ac:dyDescent="0.2">
      <c r="B12955" s="245"/>
      <c r="C12955" s="248"/>
      <c r="D12955" s="249"/>
      <c r="E12955" s="249"/>
      <c r="T12955" s="261"/>
    </row>
    <row r="12956" spans="2:20" x14ac:dyDescent="0.2">
      <c r="B12956" s="245"/>
      <c r="C12956" s="248"/>
      <c r="D12956" s="249"/>
      <c r="E12956" s="249"/>
      <c r="T12956" s="261"/>
    </row>
    <row r="12957" spans="2:20" x14ac:dyDescent="0.2">
      <c r="B12957" s="245"/>
      <c r="C12957" s="248"/>
      <c r="D12957" s="249"/>
      <c r="E12957" s="249"/>
      <c r="T12957" s="261"/>
    </row>
    <row r="12958" spans="2:20" x14ac:dyDescent="0.2">
      <c r="B12958" s="245"/>
      <c r="C12958" s="248"/>
      <c r="D12958" s="249"/>
      <c r="E12958" s="249"/>
      <c r="T12958" s="261"/>
    </row>
    <row r="12959" spans="2:20" x14ac:dyDescent="0.2">
      <c r="B12959" s="245"/>
      <c r="C12959" s="248"/>
      <c r="D12959" s="249"/>
      <c r="E12959" s="249"/>
      <c r="T12959" s="261"/>
    </row>
    <row r="12960" spans="2:20" x14ac:dyDescent="0.2">
      <c r="B12960" s="245"/>
      <c r="C12960" s="248"/>
      <c r="D12960" s="249"/>
      <c r="E12960" s="249"/>
      <c r="T12960" s="261"/>
    </row>
    <row r="12961" spans="2:20" x14ac:dyDescent="0.2">
      <c r="B12961" s="245"/>
      <c r="C12961" s="248"/>
      <c r="D12961" s="249"/>
      <c r="E12961" s="249"/>
      <c r="T12961" s="261"/>
    </row>
    <row r="12962" spans="2:20" x14ac:dyDescent="0.2">
      <c r="B12962" s="245"/>
      <c r="C12962" s="248"/>
      <c r="D12962" s="249"/>
      <c r="E12962" s="249"/>
      <c r="T12962" s="261"/>
    </row>
    <row r="12963" spans="2:20" x14ac:dyDescent="0.2">
      <c r="B12963" s="245"/>
      <c r="C12963" s="248"/>
      <c r="D12963" s="249"/>
      <c r="E12963" s="249"/>
      <c r="T12963" s="261"/>
    </row>
    <row r="12964" spans="2:20" x14ac:dyDescent="0.2">
      <c r="B12964" s="245"/>
      <c r="C12964" s="248"/>
      <c r="D12964" s="249"/>
      <c r="E12964" s="249"/>
      <c r="T12964" s="261"/>
    </row>
    <row r="12965" spans="2:20" x14ac:dyDescent="0.2">
      <c r="B12965" s="245"/>
      <c r="C12965" s="248"/>
      <c r="D12965" s="249"/>
      <c r="E12965" s="249"/>
      <c r="T12965" s="261"/>
    </row>
    <row r="12966" spans="2:20" x14ac:dyDescent="0.2">
      <c r="B12966" s="245"/>
      <c r="C12966" s="248"/>
      <c r="D12966" s="249"/>
      <c r="E12966" s="249"/>
      <c r="T12966" s="261"/>
    </row>
    <row r="12967" spans="2:20" x14ac:dyDescent="0.2">
      <c r="B12967" s="245"/>
      <c r="C12967" s="248"/>
      <c r="D12967" s="249"/>
      <c r="E12967" s="249"/>
      <c r="T12967" s="261"/>
    </row>
    <row r="12968" spans="2:20" x14ac:dyDescent="0.2">
      <c r="B12968" s="245"/>
      <c r="C12968" s="248"/>
      <c r="D12968" s="249"/>
      <c r="E12968" s="249"/>
      <c r="T12968" s="261"/>
    </row>
    <row r="12969" spans="2:20" x14ac:dyDescent="0.2">
      <c r="B12969" s="245"/>
      <c r="C12969" s="248"/>
      <c r="D12969" s="249"/>
      <c r="E12969" s="249"/>
      <c r="T12969" s="261"/>
    </row>
    <row r="12970" spans="2:20" x14ac:dyDescent="0.2">
      <c r="B12970" s="245"/>
      <c r="C12970" s="248"/>
      <c r="D12970" s="249"/>
      <c r="E12970" s="249"/>
      <c r="T12970" s="261"/>
    </row>
    <row r="12971" spans="2:20" x14ac:dyDescent="0.2">
      <c r="B12971" s="245"/>
      <c r="C12971" s="248"/>
      <c r="D12971" s="249"/>
      <c r="E12971" s="249"/>
      <c r="T12971" s="261"/>
    </row>
    <row r="12972" spans="2:20" x14ac:dyDescent="0.2">
      <c r="B12972" s="245"/>
      <c r="C12972" s="248"/>
      <c r="D12972" s="249"/>
      <c r="E12972" s="249"/>
      <c r="T12972" s="261"/>
    </row>
    <row r="12973" spans="2:20" x14ac:dyDescent="0.2">
      <c r="B12973" s="245"/>
      <c r="C12973" s="248"/>
      <c r="D12973" s="249"/>
      <c r="E12973" s="249"/>
      <c r="T12973" s="261"/>
    </row>
    <row r="12974" spans="2:20" x14ac:dyDescent="0.2">
      <c r="B12974" s="245"/>
      <c r="C12974" s="248"/>
      <c r="D12974" s="249"/>
      <c r="E12974" s="249"/>
      <c r="T12974" s="261"/>
    </row>
    <row r="12975" spans="2:20" x14ac:dyDescent="0.2">
      <c r="B12975" s="245"/>
      <c r="C12975" s="248"/>
      <c r="D12975" s="249"/>
      <c r="E12975" s="249"/>
      <c r="T12975" s="261"/>
    </row>
    <row r="12976" spans="2:20" x14ac:dyDescent="0.2">
      <c r="B12976" s="245"/>
      <c r="C12976" s="248"/>
      <c r="D12976" s="249"/>
      <c r="E12976" s="249"/>
      <c r="T12976" s="261"/>
    </row>
    <row r="12977" spans="2:20" x14ac:dyDescent="0.2">
      <c r="B12977" s="245"/>
      <c r="C12977" s="248"/>
      <c r="D12977" s="249"/>
      <c r="E12977" s="249"/>
      <c r="T12977" s="261"/>
    </row>
    <row r="12978" spans="2:20" x14ac:dyDescent="0.2">
      <c r="B12978" s="245"/>
      <c r="C12978" s="248"/>
      <c r="D12978" s="249"/>
      <c r="E12978" s="249"/>
      <c r="T12978" s="261"/>
    </row>
    <row r="12979" spans="2:20" x14ac:dyDescent="0.2">
      <c r="B12979" s="245"/>
      <c r="C12979" s="248"/>
      <c r="D12979" s="249"/>
      <c r="E12979" s="249"/>
      <c r="T12979" s="261"/>
    </row>
    <row r="12980" spans="2:20" x14ac:dyDescent="0.2">
      <c r="B12980" s="245"/>
      <c r="C12980" s="248"/>
      <c r="D12980" s="249"/>
      <c r="E12980" s="249"/>
      <c r="T12980" s="261"/>
    </row>
    <row r="12981" spans="2:20" x14ac:dyDescent="0.2">
      <c r="B12981" s="245"/>
      <c r="C12981" s="248"/>
      <c r="D12981" s="249"/>
      <c r="E12981" s="249"/>
      <c r="T12981" s="261"/>
    </row>
    <row r="12982" spans="2:20" x14ac:dyDescent="0.2">
      <c r="B12982" s="245"/>
      <c r="C12982" s="248"/>
      <c r="D12982" s="249"/>
      <c r="E12982" s="249"/>
      <c r="T12982" s="261"/>
    </row>
    <row r="12983" spans="2:20" x14ac:dyDescent="0.2">
      <c r="B12983" s="245"/>
      <c r="C12983" s="248"/>
      <c r="D12983" s="249"/>
      <c r="E12983" s="249"/>
      <c r="T12983" s="261"/>
    </row>
    <row r="12984" spans="2:20" x14ac:dyDescent="0.2">
      <c r="B12984" s="245"/>
      <c r="C12984" s="248"/>
      <c r="D12984" s="249"/>
      <c r="E12984" s="249"/>
      <c r="T12984" s="261"/>
    </row>
    <row r="12985" spans="2:20" x14ac:dyDescent="0.2">
      <c r="B12985" s="245"/>
      <c r="C12985" s="248"/>
      <c r="D12985" s="249"/>
      <c r="E12985" s="249"/>
      <c r="T12985" s="261"/>
    </row>
    <row r="12986" spans="2:20" x14ac:dyDescent="0.2">
      <c r="B12986" s="245"/>
      <c r="C12986" s="248"/>
      <c r="D12986" s="249"/>
      <c r="E12986" s="249"/>
      <c r="T12986" s="261"/>
    </row>
    <row r="12987" spans="2:20" x14ac:dyDescent="0.2">
      <c r="B12987" s="245"/>
      <c r="C12987" s="248"/>
      <c r="D12987" s="249"/>
      <c r="E12987" s="249"/>
      <c r="T12987" s="261"/>
    </row>
    <row r="12988" spans="2:20" x14ac:dyDescent="0.2">
      <c r="B12988" s="245"/>
      <c r="C12988" s="248"/>
      <c r="D12988" s="249"/>
      <c r="E12988" s="249"/>
      <c r="T12988" s="261"/>
    </row>
    <row r="12989" spans="2:20" x14ac:dyDescent="0.2">
      <c r="B12989" s="245"/>
      <c r="C12989" s="248"/>
      <c r="D12989" s="249"/>
      <c r="E12989" s="249"/>
      <c r="T12989" s="261"/>
    </row>
    <row r="12990" spans="2:20" x14ac:dyDescent="0.2">
      <c r="B12990" s="245"/>
      <c r="C12990" s="248"/>
      <c r="D12990" s="249"/>
      <c r="E12990" s="249"/>
      <c r="T12990" s="261"/>
    </row>
    <row r="12991" spans="2:20" x14ac:dyDescent="0.2">
      <c r="B12991" s="245"/>
      <c r="C12991" s="248"/>
      <c r="D12991" s="249"/>
      <c r="E12991" s="249"/>
      <c r="T12991" s="261"/>
    </row>
    <row r="12992" spans="2:20" x14ac:dyDescent="0.2">
      <c r="B12992" s="245"/>
      <c r="C12992" s="248"/>
      <c r="D12992" s="249"/>
      <c r="E12992" s="249"/>
      <c r="T12992" s="261"/>
    </row>
    <row r="12993" spans="2:20" x14ac:dyDescent="0.2">
      <c r="B12993" s="245"/>
      <c r="C12993" s="248"/>
      <c r="D12993" s="249"/>
      <c r="E12993" s="249"/>
      <c r="T12993" s="261"/>
    </row>
    <row r="12994" spans="2:20" x14ac:dyDescent="0.2">
      <c r="B12994" s="245"/>
      <c r="C12994" s="248"/>
      <c r="D12994" s="249"/>
      <c r="E12994" s="249"/>
      <c r="T12994" s="261"/>
    </row>
    <row r="12995" spans="2:20" x14ac:dyDescent="0.2">
      <c r="B12995" s="245"/>
      <c r="C12995" s="248"/>
      <c r="D12995" s="249"/>
      <c r="E12995" s="249"/>
      <c r="T12995" s="261"/>
    </row>
    <row r="12996" spans="2:20" x14ac:dyDescent="0.2">
      <c r="B12996" s="245"/>
      <c r="C12996" s="248"/>
      <c r="D12996" s="249"/>
      <c r="E12996" s="249"/>
      <c r="T12996" s="261"/>
    </row>
    <row r="12997" spans="2:20" x14ac:dyDescent="0.2">
      <c r="B12997" s="245"/>
      <c r="C12997" s="248"/>
      <c r="D12997" s="249"/>
      <c r="E12997" s="249"/>
      <c r="T12997" s="261"/>
    </row>
    <row r="12998" spans="2:20" x14ac:dyDescent="0.2">
      <c r="B12998" s="245"/>
      <c r="C12998" s="248"/>
      <c r="D12998" s="249"/>
      <c r="E12998" s="249"/>
      <c r="T12998" s="261"/>
    </row>
    <row r="12999" spans="2:20" x14ac:dyDescent="0.2">
      <c r="B12999" s="245"/>
      <c r="C12999" s="248"/>
      <c r="D12999" s="249"/>
      <c r="E12999" s="249"/>
      <c r="T12999" s="261"/>
    </row>
    <row r="13000" spans="2:20" x14ac:dyDescent="0.2">
      <c r="B13000" s="245"/>
      <c r="C13000" s="248"/>
      <c r="D13000" s="249"/>
      <c r="E13000" s="249"/>
      <c r="T13000" s="261"/>
    </row>
    <row r="13001" spans="2:20" x14ac:dyDescent="0.2">
      <c r="B13001" s="245"/>
      <c r="C13001" s="248"/>
      <c r="D13001" s="249"/>
      <c r="E13001" s="249"/>
      <c r="T13001" s="261"/>
    </row>
    <row r="13002" spans="2:20" x14ac:dyDescent="0.2">
      <c r="B13002" s="245"/>
      <c r="C13002" s="248"/>
      <c r="D13002" s="249"/>
      <c r="E13002" s="249"/>
      <c r="T13002" s="261"/>
    </row>
    <row r="13003" spans="2:20" x14ac:dyDescent="0.2">
      <c r="B13003" s="245"/>
      <c r="C13003" s="248"/>
      <c r="D13003" s="249"/>
      <c r="E13003" s="249"/>
      <c r="T13003" s="261"/>
    </row>
    <row r="13004" spans="2:20" x14ac:dyDescent="0.2">
      <c r="B13004" s="245"/>
      <c r="C13004" s="248"/>
      <c r="D13004" s="249"/>
      <c r="E13004" s="249"/>
      <c r="T13004" s="261"/>
    </row>
    <row r="13005" spans="2:20" x14ac:dyDescent="0.2">
      <c r="B13005" s="245"/>
      <c r="C13005" s="248"/>
      <c r="D13005" s="249"/>
      <c r="E13005" s="249"/>
      <c r="T13005" s="261"/>
    </row>
    <row r="13006" spans="2:20" x14ac:dyDescent="0.2">
      <c r="B13006" s="245"/>
      <c r="C13006" s="248"/>
      <c r="D13006" s="249"/>
      <c r="E13006" s="249"/>
      <c r="T13006" s="261"/>
    </row>
    <row r="13007" spans="2:20" x14ac:dyDescent="0.2">
      <c r="B13007" s="245"/>
      <c r="C13007" s="248"/>
      <c r="D13007" s="249"/>
      <c r="E13007" s="249"/>
      <c r="T13007" s="261"/>
    </row>
    <row r="13008" spans="2:20" x14ac:dyDescent="0.2">
      <c r="B13008" s="245"/>
      <c r="C13008" s="248"/>
      <c r="D13008" s="249"/>
      <c r="E13008" s="249"/>
      <c r="T13008" s="261"/>
    </row>
    <row r="13009" spans="2:20" x14ac:dyDescent="0.2">
      <c r="B13009" s="245"/>
      <c r="C13009" s="248"/>
      <c r="D13009" s="249"/>
      <c r="E13009" s="249"/>
      <c r="T13009" s="261"/>
    </row>
    <row r="13010" spans="2:20" x14ac:dyDescent="0.2">
      <c r="B13010" s="245"/>
      <c r="C13010" s="248"/>
      <c r="D13010" s="249"/>
      <c r="E13010" s="249"/>
      <c r="T13010" s="261"/>
    </row>
    <row r="13011" spans="2:20" x14ac:dyDescent="0.2">
      <c r="B13011" s="245"/>
      <c r="C13011" s="248"/>
      <c r="D13011" s="249"/>
      <c r="E13011" s="249"/>
      <c r="T13011" s="261"/>
    </row>
    <row r="13012" spans="2:20" x14ac:dyDescent="0.2">
      <c r="B13012" s="245"/>
      <c r="C13012" s="248"/>
      <c r="D13012" s="249"/>
      <c r="E13012" s="249"/>
      <c r="T13012" s="261"/>
    </row>
    <row r="13013" spans="2:20" x14ac:dyDescent="0.2">
      <c r="B13013" s="245"/>
      <c r="C13013" s="248"/>
      <c r="D13013" s="249"/>
      <c r="E13013" s="249"/>
      <c r="T13013" s="261"/>
    </row>
    <row r="13014" spans="2:20" x14ac:dyDescent="0.2">
      <c r="B13014" s="245"/>
      <c r="C13014" s="248"/>
      <c r="D13014" s="249"/>
      <c r="E13014" s="249"/>
      <c r="T13014" s="261"/>
    </row>
    <row r="13015" spans="2:20" x14ac:dyDescent="0.2">
      <c r="B13015" s="245"/>
      <c r="C13015" s="248"/>
      <c r="D13015" s="249"/>
      <c r="E13015" s="249"/>
      <c r="T13015" s="261"/>
    </row>
    <row r="13016" spans="2:20" x14ac:dyDescent="0.2">
      <c r="B13016" s="245"/>
      <c r="C13016" s="248"/>
      <c r="D13016" s="249"/>
      <c r="E13016" s="249"/>
      <c r="T13016" s="261"/>
    </row>
    <row r="13017" spans="2:20" x14ac:dyDescent="0.2">
      <c r="B13017" s="245"/>
      <c r="C13017" s="248"/>
      <c r="D13017" s="249"/>
      <c r="E13017" s="249"/>
      <c r="T13017" s="261"/>
    </row>
    <row r="13018" spans="2:20" x14ac:dyDescent="0.2">
      <c r="B13018" s="245"/>
      <c r="C13018" s="248"/>
      <c r="D13018" s="249"/>
      <c r="E13018" s="249"/>
      <c r="T13018" s="261"/>
    </row>
    <row r="13019" spans="2:20" x14ac:dyDescent="0.2">
      <c r="B13019" s="245"/>
      <c r="C13019" s="248"/>
      <c r="D13019" s="249"/>
      <c r="E13019" s="249"/>
      <c r="T13019" s="261"/>
    </row>
    <row r="13020" spans="2:20" x14ac:dyDescent="0.2">
      <c r="B13020" s="245"/>
      <c r="C13020" s="248"/>
      <c r="D13020" s="249"/>
      <c r="E13020" s="249"/>
      <c r="T13020" s="261"/>
    </row>
    <row r="13021" spans="2:20" x14ac:dyDescent="0.2">
      <c r="B13021" s="245"/>
      <c r="C13021" s="248"/>
      <c r="D13021" s="249"/>
      <c r="E13021" s="249"/>
      <c r="T13021" s="261"/>
    </row>
    <row r="13022" spans="2:20" x14ac:dyDescent="0.2">
      <c r="B13022" s="245"/>
      <c r="C13022" s="248"/>
      <c r="D13022" s="249"/>
      <c r="E13022" s="249"/>
      <c r="T13022" s="261"/>
    </row>
    <row r="13023" spans="2:20" x14ac:dyDescent="0.2">
      <c r="B13023" s="245"/>
      <c r="C13023" s="248"/>
      <c r="D13023" s="249"/>
      <c r="E13023" s="249"/>
      <c r="T13023" s="261"/>
    </row>
    <row r="13024" spans="2:20" x14ac:dyDescent="0.2">
      <c r="B13024" s="245"/>
      <c r="C13024" s="248"/>
      <c r="D13024" s="249"/>
      <c r="E13024" s="249"/>
      <c r="T13024" s="261"/>
    </row>
    <row r="13025" spans="2:20" x14ac:dyDescent="0.2">
      <c r="B13025" s="245"/>
      <c r="C13025" s="248"/>
      <c r="D13025" s="249"/>
      <c r="E13025" s="249"/>
      <c r="T13025" s="261"/>
    </row>
    <row r="13026" spans="2:20" x14ac:dyDescent="0.2">
      <c r="B13026" s="245"/>
      <c r="C13026" s="248"/>
      <c r="D13026" s="249"/>
      <c r="E13026" s="249"/>
      <c r="T13026" s="261"/>
    </row>
    <row r="13027" spans="2:20" x14ac:dyDescent="0.2">
      <c r="B13027" s="245"/>
      <c r="C13027" s="248"/>
      <c r="D13027" s="249"/>
      <c r="E13027" s="249"/>
      <c r="T13027" s="261"/>
    </row>
    <row r="13028" spans="2:20" x14ac:dyDescent="0.2">
      <c r="B13028" s="245"/>
      <c r="C13028" s="248"/>
      <c r="D13028" s="249"/>
      <c r="E13028" s="249"/>
      <c r="T13028" s="261"/>
    </row>
    <row r="13029" spans="2:20" x14ac:dyDescent="0.2">
      <c r="B13029" s="245"/>
      <c r="C13029" s="248"/>
      <c r="D13029" s="249"/>
      <c r="E13029" s="249"/>
      <c r="T13029" s="261"/>
    </row>
    <row r="13030" spans="2:20" x14ac:dyDescent="0.2">
      <c r="B13030" s="245"/>
      <c r="C13030" s="248"/>
      <c r="D13030" s="249"/>
      <c r="E13030" s="249"/>
      <c r="T13030" s="261"/>
    </row>
    <row r="13031" spans="2:20" x14ac:dyDescent="0.2">
      <c r="B13031" s="245"/>
      <c r="C13031" s="248"/>
      <c r="D13031" s="249"/>
      <c r="E13031" s="249"/>
      <c r="T13031" s="261"/>
    </row>
    <row r="13032" spans="2:20" x14ac:dyDescent="0.2">
      <c r="B13032" s="245"/>
      <c r="C13032" s="248"/>
      <c r="D13032" s="249"/>
      <c r="E13032" s="249"/>
      <c r="T13032" s="261"/>
    </row>
    <row r="13033" spans="2:20" x14ac:dyDescent="0.2">
      <c r="B13033" s="245"/>
      <c r="C13033" s="248"/>
      <c r="D13033" s="249"/>
      <c r="E13033" s="249"/>
      <c r="T13033" s="261"/>
    </row>
    <row r="13034" spans="2:20" x14ac:dyDescent="0.2">
      <c r="B13034" s="245"/>
      <c r="C13034" s="248"/>
      <c r="D13034" s="249"/>
      <c r="E13034" s="249"/>
      <c r="T13034" s="261"/>
    </row>
    <row r="13035" spans="2:20" x14ac:dyDescent="0.2">
      <c r="B13035" s="245"/>
      <c r="C13035" s="248"/>
      <c r="D13035" s="249"/>
      <c r="E13035" s="249"/>
      <c r="T13035" s="261"/>
    </row>
    <row r="13036" spans="2:20" x14ac:dyDescent="0.2">
      <c r="B13036" s="245"/>
      <c r="C13036" s="248"/>
      <c r="D13036" s="249"/>
      <c r="E13036" s="249"/>
      <c r="T13036" s="261"/>
    </row>
    <row r="13037" spans="2:20" x14ac:dyDescent="0.2">
      <c r="B13037" s="245"/>
      <c r="C13037" s="248"/>
      <c r="D13037" s="249"/>
      <c r="E13037" s="249"/>
      <c r="T13037" s="261"/>
    </row>
    <row r="13038" spans="2:20" x14ac:dyDescent="0.2">
      <c r="B13038" s="245"/>
      <c r="C13038" s="248"/>
      <c r="D13038" s="249"/>
      <c r="E13038" s="249"/>
      <c r="T13038" s="261"/>
    </row>
    <row r="13039" spans="2:20" x14ac:dyDescent="0.2">
      <c r="B13039" s="245"/>
      <c r="C13039" s="248"/>
      <c r="D13039" s="249"/>
      <c r="E13039" s="249"/>
      <c r="T13039" s="261"/>
    </row>
    <row r="13040" spans="2:20" x14ac:dyDescent="0.2">
      <c r="B13040" s="245"/>
      <c r="C13040" s="248"/>
      <c r="D13040" s="249"/>
      <c r="E13040" s="249"/>
      <c r="T13040" s="261"/>
    </row>
    <row r="13041" spans="2:20" x14ac:dyDescent="0.2">
      <c r="B13041" s="245"/>
      <c r="C13041" s="248"/>
      <c r="D13041" s="249"/>
      <c r="E13041" s="249"/>
      <c r="T13041" s="261"/>
    </row>
    <row r="13042" spans="2:20" x14ac:dyDescent="0.2">
      <c r="B13042" s="245"/>
      <c r="C13042" s="248"/>
      <c r="D13042" s="249"/>
      <c r="E13042" s="249"/>
      <c r="T13042" s="261"/>
    </row>
    <row r="13043" spans="2:20" x14ac:dyDescent="0.2">
      <c r="B13043" s="245"/>
      <c r="C13043" s="248"/>
      <c r="D13043" s="249"/>
      <c r="E13043" s="249"/>
      <c r="T13043" s="261"/>
    </row>
    <row r="13044" spans="2:20" x14ac:dyDescent="0.2">
      <c r="B13044" s="245"/>
      <c r="C13044" s="248"/>
      <c r="D13044" s="249"/>
      <c r="E13044" s="249"/>
      <c r="T13044" s="261"/>
    </row>
    <row r="13045" spans="2:20" x14ac:dyDescent="0.2">
      <c r="B13045" s="245"/>
      <c r="C13045" s="248"/>
      <c r="D13045" s="249"/>
      <c r="E13045" s="249"/>
      <c r="T13045" s="261"/>
    </row>
    <row r="13046" spans="2:20" x14ac:dyDescent="0.2">
      <c r="B13046" s="245"/>
      <c r="C13046" s="248"/>
      <c r="D13046" s="249"/>
      <c r="E13046" s="249"/>
      <c r="T13046" s="261"/>
    </row>
    <row r="13047" spans="2:20" x14ac:dyDescent="0.2">
      <c r="B13047" s="245"/>
      <c r="C13047" s="248"/>
      <c r="D13047" s="249"/>
      <c r="E13047" s="249"/>
      <c r="T13047" s="261"/>
    </row>
    <row r="13048" spans="2:20" x14ac:dyDescent="0.2">
      <c r="B13048" s="245"/>
      <c r="C13048" s="248"/>
      <c r="D13048" s="249"/>
      <c r="E13048" s="249"/>
      <c r="T13048" s="261"/>
    </row>
    <row r="13049" spans="2:20" x14ac:dyDescent="0.2">
      <c r="B13049" s="245"/>
      <c r="C13049" s="248"/>
      <c r="D13049" s="249"/>
      <c r="E13049" s="249"/>
      <c r="T13049" s="261"/>
    </row>
    <row r="13050" spans="2:20" x14ac:dyDescent="0.2">
      <c r="B13050" s="245"/>
      <c r="C13050" s="248"/>
      <c r="D13050" s="249"/>
      <c r="E13050" s="249"/>
      <c r="T13050" s="261"/>
    </row>
    <row r="13051" spans="2:20" x14ac:dyDescent="0.2">
      <c r="B13051" s="245"/>
      <c r="C13051" s="248"/>
      <c r="D13051" s="249"/>
      <c r="E13051" s="249"/>
      <c r="T13051" s="261"/>
    </row>
    <row r="13052" spans="2:20" x14ac:dyDescent="0.2">
      <c r="B13052" s="245"/>
      <c r="C13052" s="248"/>
      <c r="D13052" s="249"/>
      <c r="E13052" s="249"/>
      <c r="T13052" s="261"/>
    </row>
    <row r="13053" spans="2:20" x14ac:dyDescent="0.2">
      <c r="B13053" s="245"/>
      <c r="C13053" s="248"/>
      <c r="D13053" s="249"/>
      <c r="E13053" s="249"/>
      <c r="T13053" s="261"/>
    </row>
    <row r="13054" spans="2:20" x14ac:dyDescent="0.2">
      <c r="B13054" s="245"/>
      <c r="C13054" s="248"/>
      <c r="D13054" s="249"/>
      <c r="E13054" s="249"/>
      <c r="T13054" s="261"/>
    </row>
    <row r="13055" spans="2:20" x14ac:dyDescent="0.2">
      <c r="B13055" s="245"/>
      <c r="C13055" s="248"/>
      <c r="D13055" s="249"/>
      <c r="E13055" s="249"/>
      <c r="T13055" s="261"/>
    </row>
    <row r="13056" spans="2:20" x14ac:dyDescent="0.2">
      <c r="B13056" s="245"/>
      <c r="C13056" s="248"/>
      <c r="D13056" s="249"/>
      <c r="E13056" s="249"/>
      <c r="T13056" s="261"/>
    </row>
    <row r="13057" spans="2:20" x14ac:dyDescent="0.2">
      <c r="B13057" s="245"/>
      <c r="C13057" s="248"/>
      <c r="D13057" s="249"/>
      <c r="E13057" s="249"/>
      <c r="T13057" s="261"/>
    </row>
    <row r="13058" spans="2:20" x14ac:dyDescent="0.2">
      <c r="B13058" s="245"/>
      <c r="C13058" s="248"/>
      <c r="D13058" s="249"/>
      <c r="E13058" s="249"/>
      <c r="T13058" s="261"/>
    </row>
    <row r="13059" spans="2:20" x14ac:dyDescent="0.2">
      <c r="B13059" s="245"/>
      <c r="C13059" s="248"/>
      <c r="D13059" s="249"/>
      <c r="E13059" s="249"/>
      <c r="T13059" s="261"/>
    </row>
    <row r="13060" spans="2:20" x14ac:dyDescent="0.2">
      <c r="B13060" s="245"/>
      <c r="C13060" s="248"/>
      <c r="D13060" s="249"/>
      <c r="E13060" s="249"/>
      <c r="T13060" s="261"/>
    </row>
    <row r="13061" spans="2:20" x14ac:dyDescent="0.2">
      <c r="B13061" s="245"/>
      <c r="C13061" s="248"/>
      <c r="D13061" s="249"/>
      <c r="E13061" s="249"/>
      <c r="T13061" s="261"/>
    </row>
    <row r="13062" spans="2:20" x14ac:dyDescent="0.2">
      <c r="B13062" s="245"/>
      <c r="C13062" s="248"/>
      <c r="D13062" s="249"/>
      <c r="E13062" s="249"/>
      <c r="T13062" s="261"/>
    </row>
    <row r="13063" spans="2:20" x14ac:dyDescent="0.2">
      <c r="B13063" s="245"/>
      <c r="C13063" s="248"/>
      <c r="D13063" s="249"/>
      <c r="E13063" s="249"/>
      <c r="T13063" s="261"/>
    </row>
    <row r="13064" spans="2:20" x14ac:dyDescent="0.2">
      <c r="B13064" s="245"/>
      <c r="C13064" s="248"/>
      <c r="D13064" s="249"/>
      <c r="E13064" s="249"/>
      <c r="T13064" s="261"/>
    </row>
    <row r="13065" spans="2:20" x14ac:dyDescent="0.2">
      <c r="B13065" s="245"/>
      <c r="C13065" s="248"/>
      <c r="D13065" s="249"/>
      <c r="E13065" s="249"/>
      <c r="T13065" s="261"/>
    </row>
    <row r="13066" spans="2:20" x14ac:dyDescent="0.2">
      <c r="B13066" s="245"/>
      <c r="C13066" s="248"/>
      <c r="D13066" s="249"/>
      <c r="E13066" s="249"/>
      <c r="T13066" s="261"/>
    </row>
    <row r="13067" spans="2:20" x14ac:dyDescent="0.2">
      <c r="B13067" s="245"/>
      <c r="C13067" s="248"/>
      <c r="D13067" s="249"/>
      <c r="E13067" s="249"/>
      <c r="T13067" s="261"/>
    </row>
    <row r="13068" spans="2:20" x14ac:dyDescent="0.2">
      <c r="B13068" s="245"/>
      <c r="C13068" s="248"/>
      <c r="D13068" s="249"/>
      <c r="E13068" s="249"/>
      <c r="T13068" s="261"/>
    </row>
    <row r="13069" spans="2:20" x14ac:dyDescent="0.2">
      <c r="B13069" s="245"/>
      <c r="C13069" s="248"/>
      <c r="D13069" s="249"/>
      <c r="E13069" s="249"/>
      <c r="T13069" s="261"/>
    </row>
    <row r="13070" spans="2:20" x14ac:dyDescent="0.2">
      <c r="B13070" s="245"/>
      <c r="C13070" s="248"/>
      <c r="D13070" s="249"/>
      <c r="E13070" s="249"/>
      <c r="T13070" s="261"/>
    </row>
    <row r="13071" spans="2:20" x14ac:dyDescent="0.2">
      <c r="B13071" s="245"/>
      <c r="C13071" s="248"/>
      <c r="D13071" s="249"/>
      <c r="E13071" s="249"/>
      <c r="T13071" s="261"/>
    </row>
    <row r="13072" spans="2:20" x14ac:dyDescent="0.2">
      <c r="B13072" s="245"/>
      <c r="C13072" s="248"/>
      <c r="D13072" s="249"/>
      <c r="E13072" s="249"/>
      <c r="T13072" s="261"/>
    </row>
    <row r="13073" spans="2:20" x14ac:dyDescent="0.2">
      <c r="B13073" s="245"/>
      <c r="C13073" s="248"/>
      <c r="D13073" s="249"/>
      <c r="E13073" s="249"/>
      <c r="T13073" s="261"/>
    </row>
    <row r="13074" spans="2:20" x14ac:dyDescent="0.2">
      <c r="B13074" s="245"/>
      <c r="C13074" s="248"/>
      <c r="D13074" s="249"/>
      <c r="E13074" s="249"/>
      <c r="T13074" s="261"/>
    </row>
    <row r="13075" spans="2:20" x14ac:dyDescent="0.2">
      <c r="B13075" s="245"/>
      <c r="C13075" s="248"/>
      <c r="D13075" s="249"/>
      <c r="E13075" s="249"/>
      <c r="T13075" s="261"/>
    </row>
    <row r="13076" spans="2:20" x14ac:dyDescent="0.2">
      <c r="B13076" s="245"/>
      <c r="C13076" s="248"/>
      <c r="D13076" s="249"/>
      <c r="E13076" s="249"/>
      <c r="T13076" s="261"/>
    </row>
    <row r="13077" spans="2:20" x14ac:dyDescent="0.2">
      <c r="B13077" s="245"/>
      <c r="C13077" s="248"/>
      <c r="D13077" s="249"/>
      <c r="E13077" s="249"/>
      <c r="T13077" s="261"/>
    </row>
    <row r="13078" spans="2:20" x14ac:dyDescent="0.2">
      <c r="B13078" s="245"/>
      <c r="C13078" s="248"/>
      <c r="D13078" s="249"/>
      <c r="E13078" s="249"/>
      <c r="T13078" s="261"/>
    </row>
    <row r="13079" spans="2:20" x14ac:dyDescent="0.2">
      <c r="B13079" s="245"/>
      <c r="C13079" s="248"/>
      <c r="D13079" s="249"/>
      <c r="E13079" s="249"/>
      <c r="T13079" s="261"/>
    </row>
    <row r="13080" spans="2:20" x14ac:dyDescent="0.2">
      <c r="B13080" s="245"/>
      <c r="C13080" s="248"/>
      <c r="D13080" s="249"/>
      <c r="E13080" s="249"/>
      <c r="T13080" s="261"/>
    </row>
    <row r="13081" spans="2:20" x14ac:dyDescent="0.2">
      <c r="B13081" s="245"/>
      <c r="C13081" s="248"/>
      <c r="D13081" s="249"/>
      <c r="E13081" s="249"/>
      <c r="T13081" s="261"/>
    </row>
    <row r="13082" spans="2:20" x14ac:dyDescent="0.2">
      <c r="B13082" s="245"/>
      <c r="C13082" s="248"/>
      <c r="D13082" s="249"/>
      <c r="E13082" s="249"/>
      <c r="T13082" s="261"/>
    </row>
    <row r="13083" spans="2:20" x14ac:dyDescent="0.2">
      <c r="B13083" s="245"/>
      <c r="C13083" s="248"/>
      <c r="D13083" s="249"/>
      <c r="E13083" s="249"/>
      <c r="T13083" s="261"/>
    </row>
    <row r="13084" spans="2:20" x14ac:dyDescent="0.2">
      <c r="B13084" s="245"/>
      <c r="C13084" s="248"/>
      <c r="D13084" s="249"/>
      <c r="E13084" s="249"/>
      <c r="T13084" s="261"/>
    </row>
    <row r="13085" spans="2:20" x14ac:dyDescent="0.2">
      <c r="B13085" s="245"/>
      <c r="C13085" s="248"/>
      <c r="D13085" s="249"/>
      <c r="E13085" s="249"/>
      <c r="T13085" s="261"/>
    </row>
    <row r="13086" spans="2:20" x14ac:dyDescent="0.2">
      <c r="B13086" s="245"/>
      <c r="C13086" s="248"/>
      <c r="D13086" s="249"/>
      <c r="E13086" s="249"/>
      <c r="T13086" s="261"/>
    </row>
    <row r="13087" spans="2:20" x14ac:dyDescent="0.2">
      <c r="B13087" s="245"/>
      <c r="C13087" s="248"/>
      <c r="D13087" s="249"/>
      <c r="E13087" s="249"/>
      <c r="T13087" s="261"/>
    </row>
    <row r="13088" spans="2:20" x14ac:dyDescent="0.2">
      <c r="B13088" s="245"/>
      <c r="C13088" s="248"/>
      <c r="D13088" s="249"/>
      <c r="E13088" s="249"/>
      <c r="T13088" s="261"/>
    </row>
    <row r="13089" spans="2:20" x14ac:dyDescent="0.2">
      <c r="B13089" s="245"/>
      <c r="C13089" s="248"/>
      <c r="D13089" s="249"/>
      <c r="E13089" s="249"/>
      <c r="T13089" s="261"/>
    </row>
    <row r="13090" spans="2:20" x14ac:dyDescent="0.2">
      <c r="B13090" s="245"/>
      <c r="C13090" s="248"/>
      <c r="D13090" s="249"/>
      <c r="E13090" s="249"/>
      <c r="T13090" s="261"/>
    </row>
    <row r="13091" spans="2:20" x14ac:dyDescent="0.2">
      <c r="B13091" s="245"/>
      <c r="C13091" s="248"/>
      <c r="D13091" s="249"/>
      <c r="E13091" s="249"/>
      <c r="T13091" s="261"/>
    </row>
    <row r="13092" spans="2:20" x14ac:dyDescent="0.2">
      <c r="B13092" s="245"/>
      <c r="C13092" s="248"/>
      <c r="D13092" s="249"/>
      <c r="E13092" s="249"/>
      <c r="T13092" s="261"/>
    </row>
    <row r="13093" spans="2:20" x14ac:dyDescent="0.2">
      <c r="B13093" s="245"/>
      <c r="C13093" s="248"/>
      <c r="D13093" s="249"/>
      <c r="E13093" s="249"/>
      <c r="T13093" s="261"/>
    </row>
    <row r="13094" spans="2:20" x14ac:dyDescent="0.2">
      <c r="B13094" s="245"/>
      <c r="C13094" s="248"/>
      <c r="D13094" s="249"/>
      <c r="E13094" s="249"/>
      <c r="T13094" s="261"/>
    </row>
    <row r="13095" spans="2:20" x14ac:dyDescent="0.2">
      <c r="B13095" s="245"/>
      <c r="C13095" s="248"/>
      <c r="D13095" s="249"/>
      <c r="E13095" s="249"/>
      <c r="T13095" s="261"/>
    </row>
    <row r="13096" spans="2:20" x14ac:dyDescent="0.2">
      <c r="B13096" s="245"/>
      <c r="C13096" s="248"/>
      <c r="D13096" s="249"/>
      <c r="E13096" s="249"/>
      <c r="T13096" s="261"/>
    </row>
    <row r="13097" spans="2:20" x14ac:dyDescent="0.2">
      <c r="B13097" s="245"/>
      <c r="C13097" s="248"/>
      <c r="D13097" s="249"/>
      <c r="E13097" s="249"/>
      <c r="T13097" s="261"/>
    </row>
    <row r="13098" spans="2:20" x14ac:dyDescent="0.2">
      <c r="B13098" s="245"/>
      <c r="C13098" s="248"/>
      <c r="D13098" s="249"/>
      <c r="E13098" s="249"/>
      <c r="T13098" s="261"/>
    </row>
    <row r="13099" spans="2:20" x14ac:dyDescent="0.2">
      <c r="B13099" s="245"/>
      <c r="C13099" s="248"/>
      <c r="D13099" s="249"/>
      <c r="E13099" s="249"/>
      <c r="T13099" s="261"/>
    </row>
    <row r="13100" spans="2:20" x14ac:dyDescent="0.2">
      <c r="B13100" s="245"/>
      <c r="C13100" s="248"/>
      <c r="D13100" s="249"/>
      <c r="E13100" s="249"/>
      <c r="T13100" s="261"/>
    </row>
    <row r="13101" spans="2:20" x14ac:dyDescent="0.2">
      <c r="B13101" s="245"/>
      <c r="C13101" s="248"/>
      <c r="D13101" s="249"/>
      <c r="E13101" s="249"/>
      <c r="T13101" s="261"/>
    </row>
    <row r="13102" spans="2:20" x14ac:dyDescent="0.2">
      <c r="B13102" s="245"/>
      <c r="C13102" s="248"/>
      <c r="D13102" s="249"/>
      <c r="E13102" s="249"/>
      <c r="T13102" s="261"/>
    </row>
    <row r="13103" spans="2:20" x14ac:dyDescent="0.2">
      <c r="B13103" s="245"/>
      <c r="C13103" s="248"/>
      <c r="D13103" s="249"/>
      <c r="E13103" s="249"/>
      <c r="T13103" s="261"/>
    </row>
    <row r="13104" spans="2:20" x14ac:dyDescent="0.2">
      <c r="B13104" s="245"/>
      <c r="C13104" s="248"/>
      <c r="D13104" s="249"/>
      <c r="E13104" s="249"/>
      <c r="T13104" s="261"/>
    </row>
    <row r="13105" spans="2:20" x14ac:dyDescent="0.2">
      <c r="B13105" s="245"/>
      <c r="C13105" s="248"/>
      <c r="D13105" s="249"/>
      <c r="E13105" s="249"/>
      <c r="T13105" s="261"/>
    </row>
    <row r="13106" spans="2:20" x14ac:dyDescent="0.2">
      <c r="B13106" s="245"/>
      <c r="C13106" s="248"/>
      <c r="D13106" s="249"/>
      <c r="E13106" s="249"/>
      <c r="T13106" s="261"/>
    </row>
    <row r="13107" spans="2:20" x14ac:dyDescent="0.2">
      <c r="B13107" s="245"/>
      <c r="C13107" s="248"/>
      <c r="D13107" s="249"/>
      <c r="E13107" s="249"/>
      <c r="T13107" s="261"/>
    </row>
    <row r="13108" spans="2:20" x14ac:dyDescent="0.2">
      <c r="B13108" s="245"/>
      <c r="C13108" s="248"/>
      <c r="D13108" s="249"/>
      <c r="E13108" s="249"/>
      <c r="T13108" s="261"/>
    </row>
    <row r="13109" spans="2:20" x14ac:dyDescent="0.2">
      <c r="B13109" s="245"/>
      <c r="C13109" s="248"/>
      <c r="D13109" s="249"/>
      <c r="E13109" s="249"/>
      <c r="T13109" s="261"/>
    </row>
    <row r="13110" spans="2:20" x14ac:dyDescent="0.2">
      <c r="B13110" s="245"/>
      <c r="C13110" s="248"/>
      <c r="D13110" s="249"/>
      <c r="E13110" s="249"/>
      <c r="T13110" s="261"/>
    </row>
    <row r="13111" spans="2:20" x14ac:dyDescent="0.2">
      <c r="B13111" s="245"/>
      <c r="C13111" s="248"/>
      <c r="D13111" s="249"/>
      <c r="E13111" s="249"/>
      <c r="T13111" s="261"/>
    </row>
    <row r="13112" spans="2:20" x14ac:dyDescent="0.2">
      <c r="B13112" s="245"/>
      <c r="C13112" s="248"/>
      <c r="D13112" s="249"/>
      <c r="E13112" s="249"/>
      <c r="T13112" s="261"/>
    </row>
    <row r="13113" spans="2:20" x14ac:dyDescent="0.2">
      <c r="B13113" s="245"/>
      <c r="C13113" s="248"/>
      <c r="D13113" s="249"/>
      <c r="E13113" s="249"/>
      <c r="T13113" s="261"/>
    </row>
    <row r="13114" spans="2:20" x14ac:dyDescent="0.2">
      <c r="B13114" s="245"/>
      <c r="C13114" s="248"/>
      <c r="D13114" s="249"/>
      <c r="E13114" s="249"/>
      <c r="T13114" s="261"/>
    </row>
    <row r="13115" spans="2:20" x14ac:dyDescent="0.2">
      <c r="B13115" s="245"/>
      <c r="C13115" s="248"/>
      <c r="D13115" s="249"/>
      <c r="E13115" s="249"/>
      <c r="T13115" s="261"/>
    </row>
    <row r="13116" spans="2:20" x14ac:dyDescent="0.2">
      <c r="B13116" s="245"/>
      <c r="C13116" s="248"/>
      <c r="D13116" s="249"/>
      <c r="E13116" s="249"/>
      <c r="T13116" s="261"/>
    </row>
    <row r="13117" spans="2:20" x14ac:dyDescent="0.2">
      <c r="B13117" s="245"/>
      <c r="C13117" s="248"/>
      <c r="D13117" s="249"/>
      <c r="E13117" s="249"/>
      <c r="T13117" s="261"/>
    </row>
    <row r="13118" spans="2:20" x14ac:dyDescent="0.2">
      <c r="B13118" s="245"/>
      <c r="C13118" s="248"/>
      <c r="D13118" s="249"/>
      <c r="E13118" s="249"/>
      <c r="T13118" s="261"/>
    </row>
    <row r="13119" spans="2:20" x14ac:dyDescent="0.2">
      <c r="B13119" s="245"/>
      <c r="C13119" s="248"/>
      <c r="D13119" s="249"/>
      <c r="E13119" s="249"/>
      <c r="T13119" s="261"/>
    </row>
    <row r="13120" spans="2:20" x14ac:dyDescent="0.2">
      <c r="B13120" s="245"/>
      <c r="C13120" s="248"/>
      <c r="D13120" s="249"/>
      <c r="E13120" s="249"/>
      <c r="T13120" s="261"/>
    </row>
    <row r="13121" spans="2:20" x14ac:dyDescent="0.2">
      <c r="B13121" s="245"/>
      <c r="C13121" s="248"/>
      <c r="D13121" s="249"/>
      <c r="E13121" s="249"/>
      <c r="T13121" s="261"/>
    </row>
    <row r="13122" spans="2:20" x14ac:dyDescent="0.2">
      <c r="B13122" s="245"/>
      <c r="C13122" s="248"/>
      <c r="D13122" s="249"/>
      <c r="E13122" s="249"/>
      <c r="T13122" s="261"/>
    </row>
    <row r="13123" spans="2:20" x14ac:dyDescent="0.2">
      <c r="B13123" s="245"/>
      <c r="C13123" s="248"/>
      <c r="D13123" s="249"/>
      <c r="E13123" s="249"/>
      <c r="T13123" s="261"/>
    </row>
    <row r="13124" spans="2:20" x14ac:dyDescent="0.2">
      <c r="B13124" s="245"/>
      <c r="C13124" s="248"/>
      <c r="D13124" s="249"/>
      <c r="E13124" s="249"/>
      <c r="T13124" s="261"/>
    </row>
    <row r="13125" spans="2:20" x14ac:dyDescent="0.2">
      <c r="B13125" s="245"/>
      <c r="C13125" s="248"/>
      <c r="D13125" s="249"/>
      <c r="E13125" s="249"/>
      <c r="T13125" s="261"/>
    </row>
    <row r="13126" spans="2:20" x14ac:dyDescent="0.2">
      <c r="B13126" s="245"/>
      <c r="C13126" s="248"/>
      <c r="D13126" s="249"/>
      <c r="E13126" s="249"/>
      <c r="T13126" s="261"/>
    </row>
    <row r="13127" spans="2:20" x14ac:dyDescent="0.2">
      <c r="B13127" s="245"/>
      <c r="C13127" s="248"/>
      <c r="D13127" s="249"/>
      <c r="E13127" s="249"/>
      <c r="T13127" s="261"/>
    </row>
    <row r="13128" spans="2:20" x14ac:dyDescent="0.2">
      <c r="B13128" s="245"/>
      <c r="C13128" s="248"/>
      <c r="D13128" s="249"/>
      <c r="E13128" s="249"/>
      <c r="T13128" s="261"/>
    </row>
    <row r="13129" spans="2:20" x14ac:dyDescent="0.2">
      <c r="B13129" s="245"/>
      <c r="C13129" s="248"/>
      <c r="D13129" s="249"/>
      <c r="E13129" s="249"/>
      <c r="T13129" s="261"/>
    </row>
    <row r="13130" spans="2:20" x14ac:dyDescent="0.2">
      <c r="B13130" s="245"/>
      <c r="C13130" s="248"/>
      <c r="D13130" s="249"/>
      <c r="E13130" s="249"/>
      <c r="T13130" s="261"/>
    </row>
    <row r="13131" spans="2:20" x14ac:dyDescent="0.2">
      <c r="B13131" s="245"/>
      <c r="C13131" s="248"/>
      <c r="D13131" s="249"/>
      <c r="E13131" s="249"/>
      <c r="T13131" s="261"/>
    </row>
    <row r="13132" spans="2:20" x14ac:dyDescent="0.2">
      <c r="B13132" s="245"/>
      <c r="C13132" s="248"/>
      <c r="D13132" s="249"/>
      <c r="E13132" s="249"/>
      <c r="T13132" s="261"/>
    </row>
    <row r="13133" spans="2:20" x14ac:dyDescent="0.2">
      <c r="B13133" s="245"/>
      <c r="C13133" s="248"/>
      <c r="D13133" s="249"/>
      <c r="E13133" s="249"/>
      <c r="T13133" s="261"/>
    </row>
    <row r="13134" spans="2:20" x14ac:dyDescent="0.2">
      <c r="B13134" s="245"/>
      <c r="C13134" s="248"/>
      <c r="D13134" s="249"/>
      <c r="E13134" s="249"/>
      <c r="T13134" s="261"/>
    </row>
    <row r="13135" spans="2:20" x14ac:dyDescent="0.2">
      <c r="B13135" s="245"/>
      <c r="C13135" s="248"/>
      <c r="D13135" s="249"/>
      <c r="E13135" s="249"/>
      <c r="T13135" s="261"/>
    </row>
    <row r="13136" spans="2:20" x14ac:dyDescent="0.2">
      <c r="B13136" s="245"/>
      <c r="C13136" s="248"/>
      <c r="D13136" s="249"/>
      <c r="E13136" s="249"/>
      <c r="T13136" s="261"/>
    </row>
    <row r="13137" spans="2:20" x14ac:dyDescent="0.2">
      <c r="B13137" s="245"/>
      <c r="C13137" s="248"/>
      <c r="D13137" s="249"/>
      <c r="E13137" s="249"/>
      <c r="T13137" s="261"/>
    </row>
    <row r="13138" spans="2:20" x14ac:dyDescent="0.2">
      <c r="B13138" s="245"/>
      <c r="C13138" s="248"/>
      <c r="D13138" s="249"/>
      <c r="E13138" s="249"/>
      <c r="T13138" s="261"/>
    </row>
    <row r="13139" spans="2:20" x14ac:dyDescent="0.2">
      <c r="B13139" s="245"/>
      <c r="C13139" s="248"/>
      <c r="D13139" s="249"/>
      <c r="E13139" s="249"/>
      <c r="T13139" s="261"/>
    </row>
    <row r="13140" spans="2:20" x14ac:dyDescent="0.2">
      <c r="B13140" s="245"/>
      <c r="C13140" s="248"/>
      <c r="D13140" s="249"/>
      <c r="E13140" s="249"/>
      <c r="T13140" s="261"/>
    </row>
    <row r="13141" spans="2:20" x14ac:dyDescent="0.2">
      <c r="B13141" s="245"/>
      <c r="C13141" s="248"/>
      <c r="D13141" s="249"/>
      <c r="E13141" s="249"/>
      <c r="T13141" s="261"/>
    </row>
    <row r="13142" spans="2:20" x14ac:dyDescent="0.2">
      <c r="B13142" s="245"/>
      <c r="C13142" s="248"/>
      <c r="D13142" s="249"/>
      <c r="E13142" s="249"/>
      <c r="T13142" s="261"/>
    </row>
    <row r="13143" spans="2:20" x14ac:dyDescent="0.2">
      <c r="B13143" s="245"/>
      <c r="C13143" s="248"/>
      <c r="D13143" s="249"/>
      <c r="E13143" s="249"/>
      <c r="T13143" s="261"/>
    </row>
    <row r="13144" spans="2:20" x14ac:dyDescent="0.2">
      <c r="B13144" s="245"/>
      <c r="C13144" s="248"/>
      <c r="D13144" s="249"/>
      <c r="E13144" s="249"/>
      <c r="T13144" s="261"/>
    </row>
    <row r="13145" spans="2:20" x14ac:dyDescent="0.2">
      <c r="B13145" s="245"/>
      <c r="C13145" s="248"/>
      <c r="D13145" s="249"/>
      <c r="E13145" s="249"/>
      <c r="T13145" s="261"/>
    </row>
    <row r="13146" spans="2:20" x14ac:dyDescent="0.2">
      <c r="B13146" s="245"/>
      <c r="C13146" s="248"/>
      <c r="D13146" s="249"/>
      <c r="E13146" s="249"/>
      <c r="T13146" s="261"/>
    </row>
    <row r="13147" spans="2:20" x14ac:dyDescent="0.2">
      <c r="B13147" s="245"/>
      <c r="C13147" s="248"/>
      <c r="D13147" s="249"/>
      <c r="E13147" s="249"/>
      <c r="T13147" s="261"/>
    </row>
    <row r="13148" spans="2:20" x14ac:dyDescent="0.2">
      <c r="B13148" s="245"/>
      <c r="C13148" s="248"/>
      <c r="D13148" s="249"/>
      <c r="E13148" s="249"/>
      <c r="T13148" s="261"/>
    </row>
    <row r="13149" spans="2:20" x14ac:dyDescent="0.2">
      <c r="B13149" s="245"/>
      <c r="C13149" s="248"/>
      <c r="D13149" s="249"/>
      <c r="E13149" s="249"/>
      <c r="T13149" s="261"/>
    </row>
    <row r="13150" spans="2:20" x14ac:dyDescent="0.2">
      <c r="B13150" s="245"/>
      <c r="C13150" s="248"/>
      <c r="D13150" s="249"/>
      <c r="E13150" s="249"/>
      <c r="T13150" s="261"/>
    </row>
    <row r="13151" spans="2:20" x14ac:dyDescent="0.2">
      <c r="B13151" s="245"/>
      <c r="C13151" s="248"/>
      <c r="D13151" s="249"/>
      <c r="E13151" s="249"/>
      <c r="T13151" s="261"/>
    </row>
    <row r="13152" spans="2:20" x14ac:dyDescent="0.2">
      <c r="B13152" s="245"/>
      <c r="C13152" s="248"/>
      <c r="D13152" s="249"/>
      <c r="E13152" s="249"/>
      <c r="T13152" s="261"/>
    </row>
    <row r="13153" spans="2:20" x14ac:dyDescent="0.2">
      <c r="B13153" s="245"/>
      <c r="C13153" s="248"/>
      <c r="D13153" s="249"/>
      <c r="E13153" s="249"/>
      <c r="T13153" s="261"/>
    </row>
    <row r="13154" spans="2:20" x14ac:dyDescent="0.2">
      <c r="B13154" s="245"/>
      <c r="C13154" s="248"/>
      <c r="D13154" s="249"/>
      <c r="E13154" s="249"/>
      <c r="T13154" s="261"/>
    </row>
    <row r="13155" spans="2:20" x14ac:dyDescent="0.2">
      <c r="B13155" s="245"/>
      <c r="C13155" s="248"/>
      <c r="D13155" s="249"/>
      <c r="E13155" s="249"/>
      <c r="T13155" s="261"/>
    </row>
    <row r="13156" spans="2:20" x14ac:dyDescent="0.2">
      <c r="B13156" s="245"/>
      <c r="C13156" s="248"/>
      <c r="D13156" s="249"/>
      <c r="E13156" s="249"/>
      <c r="T13156" s="261"/>
    </row>
    <row r="13157" spans="2:20" x14ac:dyDescent="0.2">
      <c r="B13157" s="245"/>
      <c r="C13157" s="248"/>
      <c r="D13157" s="249"/>
      <c r="E13157" s="249"/>
      <c r="T13157" s="261"/>
    </row>
    <row r="13158" spans="2:20" x14ac:dyDescent="0.2">
      <c r="B13158" s="245"/>
      <c r="C13158" s="248"/>
      <c r="D13158" s="249"/>
      <c r="E13158" s="249"/>
      <c r="T13158" s="261"/>
    </row>
    <row r="13159" spans="2:20" x14ac:dyDescent="0.2">
      <c r="B13159" s="245"/>
      <c r="C13159" s="248"/>
      <c r="D13159" s="249"/>
      <c r="E13159" s="249"/>
      <c r="T13159" s="261"/>
    </row>
    <row r="13160" spans="2:20" x14ac:dyDescent="0.2">
      <c r="B13160" s="245"/>
      <c r="C13160" s="248"/>
      <c r="D13160" s="249"/>
      <c r="E13160" s="249"/>
      <c r="T13160" s="261"/>
    </row>
    <row r="13161" spans="2:20" x14ac:dyDescent="0.2">
      <c r="B13161" s="245"/>
      <c r="C13161" s="248"/>
      <c r="D13161" s="249"/>
      <c r="E13161" s="249"/>
      <c r="T13161" s="261"/>
    </row>
    <row r="13162" spans="2:20" x14ac:dyDescent="0.2">
      <c r="B13162" s="245"/>
      <c r="C13162" s="248"/>
      <c r="D13162" s="249"/>
      <c r="E13162" s="249"/>
      <c r="T13162" s="261"/>
    </row>
    <row r="13163" spans="2:20" x14ac:dyDescent="0.2">
      <c r="B13163" s="245"/>
      <c r="C13163" s="248"/>
      <c r="D13163" s="249"/>
      <c r="E13163" s="249"/>
      <c r="T13163" s="261"/>
    </row>
    <row r="13164" spans="2:20" x14ac:dyDescent="0.2">
      <c r="B13164" s="245"/>
      <c r="C13164" s="248"/>
      <c r="D13164" s="249"/>
      <c r="E13164" s="249"/>
      <c r="T13164" s="261"/>
    </row>
    <row r="13165" spans="2:20" x14ac:dyDescent="0.2">
      <c r="B13165" s="245"/>
      <c r="C13165" s="248"/>
      <c r="D13165" s="249"/>
      <c r="E13165" s="249"/>
      <c r="T13165" s="261"/>
    </row>
    <row r="13166" spans="2:20" x14ac:dyDescent="0.2">
      <c r="B13166" s="245"/>
      <c r="C13166" s="248"/>
      <c r="D13166" s="249"/>
      <c r="E13166" s="249"/>
      <c r="T13166" s="261"/>
    </row>
    <row r="13167" spans="2:20" x14ac:dyDescent="0.2">
      <c r="B13167" s="245"/>
      <c r="C13167" s="248"/>
      <c r="D13167" s="249"/>
      <c r="E13167" s="249"/>
      <c r="T13167" s="261"/>
    </row>
    <row r="13168" spans="2:20" x14ac:dyDescent="0.2">
      <c r="B13168" s="245"/>
      <c r="C13168" s="248"/>
      <c r="D13168" s="249"/>
      <c r="E13168" s="249"/>
      <c r="T13168" s="261"/>
    </row>
    <row r="13169" spans="2:20" x14ac:dyDescent="0.2">
      <c r="B13169" s="245"/>
      <c r="C13169" s="248"/>
      <c r="D13169" s="249"/>
      <c r="E13169" s="249"/>
      <c r="T13169" s="261"/>
    </row>
    <row r="13170" spans="2:20" x14ac:dyDescent="0.2">
      <c r="B13170" s="245"/>
      <c r="C13170" s="248"/>
      <c r="D13170" s="249"/>
      <c r="E13170" s="249"/>
      <c r="T13170" s="261"/>
    </row>
    <row r="13171" spans="2:20" x14ac:dyDescent="0.2">
      <c r="B13171" s="245"/>
      <c r="C13171" s="248"/>
      <c r="D13171" s="249"/>
      <c r="E13171" s="249"/>
      <c r="T13171" s="261"/>
    </row>
    <row r="13172" spans="2:20" x14ac:dyDescent="0.2">
      <c r="B13172" s="245"/>
      <c r="C13172" s="248"/>
      <c r="D13172" s="249"/>
      <c r="E13172" s="249"/>
      <c r="T13172" s="261"/>
    </row>
    <row r="13173" spans="2:20" x14ac:dyDescent="0.2">
      <c r="B13173" s="245"/>
      <c r="C13173" s="248"/>
      <c r="D13173" s="249"/>
      <c r="E13173" s="249"/>
      <c r="T13173" s="261"/>
    </row>
    <row r="13174" spans="2:20" x14ac:dyDescent="0.2">
      <c r="B13174" s="245"/>
      <c r="C13174" s="248"/>
      <c r="D13174" s="249"/>
      <c r="E13174" s="249"/>
      <c r="T13174" s="261"/>
    </row>
    <row r="13175" spans="2:20" x14ac:dyDescent="0.2">
      <c r="B13175" s="245"/>
      <c r="C13175" s="248"/>
      <c r="D13175" s="249"/>
      <c r="E13175" s="249"/>
      <c r="T13175" s="261"/>
    </row>
    <row r="13176" spans="2:20" x14ac:dyDescent="0.2">
      <c r="B13176" s="245"/>
      <c r="C13176" s="248"/>
      <c r="D13176" s="249"/>
      <c r="E13176" s="249"/>
      <c r="T13176" s="261"/>
    </row>
    <row r="13177" spans="2:20" x14ac:dyDescent="0.2">
      <c r="B13177" s="245"/>
      <c r="C13177" s="248"/>
      <c r="D13177" s="249"/>
      <c r="E13177" s="249"/>
      <c r="T13177" s="261"/>
    </row>
    <row r="13178" spans="2:20" x14ac:dyDescent="0.2">
      <c r="B13178" s="245"/>
      <c r="C13178" s="248"/>
      <c r="D13178" s="249"/>
      <c r="E13178" s="249"/>
      <c r="T13178" s="261"/>
    </row>
    <row r="13179" spans="2:20" x14ac:dyDescent="0.2">
      <c r="B13179" s="245"/>
      <c r="C13179" s="248"/>
      <c r="D13179" s="249"/>
      <c r="E13179" s="249"/>
      <c r="T13179" s="261"/>
    </row>
    <row r="13180" spans="2:20" x14ac:dyDescent="0.2">
      <c r="B13180" s="245"/>
      <c r="C13180" s="248"/>
      <c r="D13180" s="249"/>
      <c r="E13180" s="249"/>
      <c r="T13180" s="261"/>
    </row>
    <row r="13181" spans="2:20" x14ac:dyDescent="0.2">
      <c r="B13181" s="245"/>
      <c r="C13181" s="248"/>
      <c r="D13181" s="249"/>
      <c r="E13181" s="249"/>
      <c r="T13181" s="261"/>
    </row>
    <row r="13182" spans="2:20" x14ac:dyDescent="0.2">
      <c r="B13182" s="245"/>
      <c r="C13182" s="248"/>
      <c r="D13182" s="249"/>
      <c r="E13182" s="249"/>
      <c r="T13182" s="261"/>
    </row>
    <row r="13183" spans="2:20" x14ac:dyDescent="0.2">
      <c r="B13183" s="245"/>
      <c r="C13183" s="248"/>
      <c r="D13183" s="249"/>
      <c r="E13183" s="249"/>
      <c r="T13183" s="261"/>
    </row>
    <row r="13184" spans="2:20" x14ac:dyDescent="0.2">
      <c r="B13184" s="245"/>
      <c r="C13184" s="248"/>
      <c r="D13184" s="249"/>
      <c r="E13184" s="249"/>
      <c r="T13184" s="261"/>
    </row>
    <row r="13185" spans="2:20" x14ac:dyDescent="0.2">
      <c r="B13185" s="245"/>
      <c r="C13185" s="248"/>
      <c r="D13185" s="249"/>
      <c r="E13185" s="249"/>
      <c r="T13185" s="261"/>
    </row>
    <row r="13186" spans="2:20" x14ac:dyDescent="0.2">
      <c r="B13186" s="245"/>
      <c r="C13186" s="248"/>
      <c r="D13186" s="249"/>
      <c r="E13186" s="249"/>
      <c r="T13186" s="261"/>
    </row>
    <row r="13187" spans="2:20" x14ac:dyDescent="0.2">
      <c r="B13187" s="245"/>
      <c r="C13187" s="248"/>
      <c r="D13187" s="249"/>
      <c r="E13187" s="249"/>
      <c r="T13187" s="261"/>
    </row>
    <row r="13188" spans="2:20" x14ac:dyDescent="0.2">
      <c r="B13188" s="245"/>
      <c r="C13188" s="248"/>
      <c r="D13188" s="249"/>
      <c r="E13188" s="249"/>
      <c r="T13188" s="261"/>
    </row>
    <row r="13189" spans="2:20" x14ac:dyDescent="0.2">
      <c r="B13189" s="245"/>
      <c r="C13189" s="248"/>
      <c r="D13189" s="249"/>
      <c r="E13189" s="249"/>
      <c r="T13189" s="261"/>
    </row>
    <row r="13190" spans="2:20" x14ac:dyDescent="0.2">
      <c r="B13190" s="245"/>
      <c r="C13190" s="248"/>
      <c r="D13190" s="249"/>
      <c r="E13190" s="249"/>
      <c r="T13190" s="261"/>
    </row>
    <row r="13191" spans="2:20" x14ac:dyDescent="0.2">
      <c r="B13191" s="245"/>
      <c r="C13191" s="248"/>
      <c r="D13191" s="249"/>
      <c r="E13191" s="249"/>
      <c r="T13191" s="261"/>
    </row>
    <row r="13192" spans="2:20" x14ac:dyDescent="0.2">
      <c r="B13192" s="245"/>
      <c r="C13192" s="248"/>
      <c r="D13192" s="249"/>
      <c r="E13192" s="249"/>
      <c r="T13192" s="261"/>
    </row>
    <row r="13193" spans="2:20" x14ac:dyDescent="0.2">
      <c r="B13193" s="245"/>
      <c r="C13193" s="248"/>
      <c r="D13193" s="249"/>
      <c r="E13193" s="249"/>
      <c r="T13193" s="261"/>
    </row>
    <row r="13194" spans="2:20" x14ac:dyDescent="0.2">
      <c r="B13194" s="245"/>
      <c r="C13194" s="248"/>
      <c r="D13194" s="249"/>
      <c r="E13194" s="249"/>
      <c r="T13194" s="261"/>
    </row>
    <row r="13195" spans="2:20" x14ac:dyDescent="0.2">
      <c r="B13195" s="245"/>
      <c r="C13195" s="248"/>
      <c r="D13195" s="249"/>
      <c r="E13195" s="249"/>
      <c r="T13195" s="261"/>
    </row>
    <row r="13196" spans="2:20" x14ac:dyDescent="0.2">
      <c r="B13196" s="245"/>
      <c r="C13196" s="248"/>
      <c r="D13196" s="249"/>
      <c r="E13196" s="249"/>
      <c r="T13196" s="261"/>
    </row>
    <row r="13197" spans="2:20" x14ac:dyDescent="0.2">
      <c r="B13197" s="245"/>
      <c r="C13197" s="248"/>
      <c r="D13197" s="249"/>
      <c r="E13197" s="249"/>
      <c r="T13197" s="261"/>
    </row>
    <row r="13198" spans="2:20" x14ac:dyDescent="0.2">
      <c r="B13198" s="245"/>
      <c r="C13198" s="248"/>
      <c r="D13198" s="249"/>
      <c r="E13198" s="249"/>
      <c r="T13198" s="261"/>
    </row>
    <row r="13199" spans="2:20" x14ac:dyDescent="0.2">
      <c r="B13199" s="245"/>
      <c r="C13199" s="248"/>
      <c r="D13199" s="249"/>
      <c r="E13199" s="249"/>
      <c r="T13199" s="261"/>
    </row>
    <row r="13200" spans="2:20" x14ac:dyDescent="0.2">
      <c r="B13200" s="245"/>
      <c r="C13200" s="248"/>
      <c r="D13200" s="249"/>
      <c r="E13200" s="249"/>
      <c r="T13200" s="261"/>
    </row>
    <row r="13201" spans="2:20" x14ac:dyDescent="0.2">
      <c r="B13201" s="245"/>
      <c r="C13201" s="248"/>
      <c r="D13201" s="249"/>
      <c r="E13201" s="249"/>
      <c r="T13201" s="261"/>
    </row>
    <row r="13202" spans="2:20" x14ac:dyDescent="0.2">
      <c r="B13202" s="245"/>
      <c r="C13202" s="248"/>
      <c r="D13202" s="249"/>
      <c r="E13202" s="249"/>
      <c r="T13202" s="261"/>
    </row>
    <row r="13203" spans="2:20" x14ac:dyDescent="0.2">
      <c r="B13203" s="245"/>
      <c r="C13203" s="248"/>
      <c r="D13203" s="249"/>
      <c r="E13203" s="249"/>
      <c r="T13203" s="261"/>
    </row>
    <row r="13204" spans="2:20" x14ac:dyDescent="0.2">
      <c r="B13204" s="245"/>
      <c r="C13204" s="248"/>
      <c r="D13204" s="249"/>
      <c r="E13204" s="249"/>
      <c r="T13204" s="261"/>
    </row>
    <row r="13205" spans="2:20" x14ac:dyDescent="0.2">
      <c r="B13205" s="245"/>
      <c r="C13205" s="248"/>
      <c r="D13205" s="249"/>
      <c r="E13205" s="249"/>
      <c r="T13205" s="261"/>
    </row>
    <row r="13206" spans="2:20" x14ac:dyDescent="0.2">
      <c r="B13206" s="245"/>
      <c r="C13206" s="248"/>
      <c r="D13206" s="249"/>
      <c r="E13206" s="249"/>
      <c r="T13206" s="261"/>
    </row>
    <row r="13207" spans="2:20" x14ac:dyDescent="0.2">
      <c r="B13207" s="245"/>
      <c r="C13207" s="248"/>
      <c r="D13207" s="249"/>
      <c r="E13207" s="249"/>
      <c r="T13207" s="261"/>
    </row>
    <row r="13208" spans="2:20" x14ac:dyDescent="0.2">
      <c r="B13208" s="245"/>
      <c r="C13208" s="248"/>
      <c r="D13208" s="249"/>
      <c r="E13208" s="249"/>
      <c r="T13208" s="261"/>
    </row>
    <row r="13209" spans="2:20" x14ac:dyDescent="0.2">
      <c r="B13209" s="245"/>
      <c r="C13209" s="248"/>
      <c r="D13209" s="249"/>
      <c r="E13209" s="249"/>
      <c r="T13209" s="261"/>
    </row>
    <row r="13210" spans="2:20" x14ac:dyDescent="0.2">
      <c r="B13210" s="245"/>
      <c r="C13210" s="248"/>
      <c r="D13210" s="249"/>
      <c r="E13210" s="249"/>
      <c r="T13210" s="261"/>
    </row>
    <row r="13211" spans="2:20" x14ac:dyDescent="0.2">
      <c r="B13211" s="245"/>
      <c r="C13211" s="248"/>
      <c r="D13211" s="249"/>
      <c r="E13211" s="249"/>
      <c r="T13211" s="261"/>
    </row>
    <row r="13212" spans="2:20" x14ac:dyDescent="0.2">
      <c r="B13212" s="245"/>
      <c r="C13212" s="248"/>
      <c r="D13212" s="249"/>
      <c r="E13212" s="249"/>
      <c r="T13212" s="261"/>
    </row>
    <row r="13213" spans="2:20" x14ac:dyDescent="0.2">
      <c r="B13213" s="245"/>
      <c r="C13213" s="248"/>
      <c r="D13213" s="249"/>
      <c r="E13213" s="249"/>
      <c r="T13213" s="261"/>
    </row>
    <row r="13214" spans="2:20" x14ac:dyDescent="0.2">
      <c r="B13214" s="245"/>
      <c r="C13214" s="248"/>
      <c r="D13214" s="249"/>
      <c r="E13214" s="249"/>
      <c r="T13214" s="261"/>
    </row>
    <row r="13215" spans="2:20" x14ac:dyDescent="0.2">
      <c r="B13215" s="245"/>
      <c r="C13215" s="248"/>
      <c r="D13215" s="249"/>
      <c r="E13215" s="249"/>
      <c r="T13215" s="261"/>
    </row>
    <row r="13216" spans="2:20" x14ac:dyDescent="0.2">
      <c r="B13216" s="245"/>
      <c r="C13216" s="248"/>
      <c r="D13216" s="249"/>
      <c r="E13216" s="249"/>
      <c r="T13216" s="261"/>
    </row>
    <row r="13217" spans="2:20" x14ac:dyDescent="0.2">
      <c r="B13217" s="245"/>
      <c r="C13217" s="248"/>
      <c r="D13217" s="249"/>
      <c r="E13217" s="249"/>
      <c r="T13217" s="261"/>
    </row>
    <row r="13218" spans="2:20" x14ac:dyDescent="0.2">
      <c r="B13218" s="245"/>
      <c r="C13218" s="248"/>
      <c r="D13218" s="249"/>
      <c r="E13218" s="249"/>
      <c r="T13218" s="261"/>
    </row>
    <row r="13219" spans="2:20" x14ac:dyDescent="0.2">
      <c r="B13219" s="245"/>
      <c r="C13219" s="248"/>
      <c r="D13219" s="249"/>
      <c r="E13219" s="249"/>
      <c r="T13219" s="261"/>
    </row>
    <row r="13220" spans="2:20" x14ac:dyDescent="0.2">
      <c r="B13220" s="245"/>
      <c r="C13220" s="248"/>
      <c r="D13220" s="249"/>
      <c r="E13220" s="249"/>
      <c r="T13220" s="261"/>
    </row>
    <row r="13221" spans="2:20" x14ac:dyDescent="0.2">
      <c r="B13221" s="245"/>
      <c r="C13221" s="248"/>
      <c r="D13221" s="249"/>
      <c r="E13221" s="249"/>
      <c r="T13221" s="261"/>
    </row>
    <row r="13222" spans="2:20" x14ac:dyDescent="0.2">
      <c r="B13222" s="245"/>
      <c r="C13222" s="248"/>
      <c r="D13222" s="249"/>
      <c r="E13222" s="249"/>
      <c r="T13222" s="261"/>
    </row>
    <row r="13223" spans="2:20" x14ac:dyDescent="0.2">
      <c r="B13223" s="245"/>
      <c r="C13223" s="248"/>
      <c r="D13223" s="249"/>
      <c r="E13223" s="249"/>
      <c r="T13223" s="261"/>
    </row>
    <row r="13224" spans="2:20" x14ac:dyDescent="0.2">
      <c r="B13224" s="245"/>
      <c r="C13224" s="248"/>
      <c r="D13224" s="249"/>
      <c r="E13224" s="249"/>
      <c r="T13224" s="261"/>
    </row>
    <row r="13225" spans="2:20" x14ac:dyDescent="0.2">
      <c r="B13225" s="245"/>
      <c r="C13225" s="248"/>
      <c r="D13225" s="249"/>
      <c r="E13225" s="249"/>
      <c r="T13225" s="261"/>
    </row>
    <row r="13226" spans="2:20" x14ac:dyDescent="0.2">
      <c r="B13226" s="245"/>
      <c r="C13226" s="248"/>
      <c r="D13226" s="249"/>
      <c r="E13226" s="249"/>
      <c r="T13226" s="261"/>
    </row>
    <row r="13227" spans="2:20" x14ac:dyDescent="0.2">
      <c r="B13227" s="245"/>
      <c r="C13227" s="248"/>
      <c r="D13227" s="249"/>
      <c r="E13227" s="249"/>
      <c r="T13227" s="261"/>
    </row>
    <row r="13228" spans="2:20" x14ac:dyDescent="0.2">
      <c r="B13228" s="245"/>
      <c r="C13228" s="248"/>
      <c r="D13228" s="249"/>
      <c r="E13228" s="249"/>
      <c r="T13228" s="261"/>
    </row>
    <row r="13229" spans="2:20" x14ac:dyDescent="0.2">
      <c r="B13229" s="245"/>
      <c r="C13229" s="248"/>
      <c r="D13229" s="249"/>
      <c r="E13229" s="249"/>
      <c r="T13229" s="261"/>
    </row>
    <row r="13230" spans="2:20" x14ac:dyDescent="0.2">
      <c r="B13230" s="245"/>
      <c r="C13230" s="248"/>
      <c r="D13230" s="249"/>
      <c r="E13230" s="249"/>
      <c r="T13230" s="261"/>
    </row>
    <row r="13231" spans="2:20" x14ac:dyDescent="0.2">
      <c r="B13231" s="245"/>
      <c r="C13231" s="248"/>
      <c r="D13231" s="249"/>
      <c r="E13231" s="249"/>
      <c r="T13231" s="261"/>
    </row>
    <row r="13232" spans="2:20" x14ac:dyDescent="0.2">
      <c r="B13232" s="245"/>
      <c r="C13232" s="248"/>
      <c r="D13232" s="249"/>
      <c r="E13232" s="249"/>
      <c r="T13232" s="261"/>
    </row>
    <row r="13233" spans="2:20" x14ac:dyDescent="0.2">
      <c r="B13233" s="245"/>
      <c r="C13233" s="248"/>
      <c r="D13233" s="249"/>
      <c r="E13233" s="249"/>
      <c r="T13233" s="261"/>
    </row>
    <row r="13234" spans="2:20" x14ac:dyDescent="0.2">
      <c r="B13234" s="245"/>
      <c r="C13234" s="248"/>
      <c r="D13234" s="249"/>
      <c r="E13234" s="249"/>
      <c r="T13234" s="261"/>
    </row>
    <row r="13235" spans="2:20" x14ac:dyDescent="0.2">
      <c r="B13235" s="245"/>
      <c r="C13235" s="248"/>
      <c r="D13235" s="249"/>
      <c r="E13235" s="249"/>
      <c r="T13235" s="261"/>
    </row>
    <row r="13236" spans="2:20" x14ac:dyDescent="0.2">
      <c r="B13236" s="245"/>
      <c r="C13236" s="248"/>
      <c r="D13236" s="249"/>
      <c r="E13236" s="249"/>
      <c r="T13236" s="261"/>
    </row>
    <row r="13237" spans="2:20" x14ac:dyDescent="0.2">
      <c r="B13237" s="245"/>
      <c r="C13237" s="248"/>
      <c r="D13237" s="249"/>
      <c r="E13237" s="249"/>
      <c r="T13237" s="261"/>
    </row>
    <row r="13238" spans="2:20" x14ac:dyDescent="0.2">
      <c r="B13238" s="245"/>
      <c r="C13238" s="248"/>
      <c r="D13238" s="249"/>
      <c r="E13238" s="249"/>
      <c r="T13238" s="261"/>
    </row>
    <row r="13239" spans="2:20" x14ac:dyDescent="0.2">
      <c r="B13239" s="245"/>
      <c r="C13239" s="248"/>
      <c r="D13239" s="249"/>
      <c r="E13239" s="249"/>
      <c r="T13239" s="261"/>
    </row>
    <row r="13240" spans="2:20" x14ac:dyDescent="0.2">
      <c r="B13240" s="245"/>
      <c r="C13240" s="248"/>
      <c r="D13240" s="249"/>
      <c r="E13240" s="249"/>
      <c r="T13240" s="261"/>
    </row>
    <row r="13241" spans="2:20" x14ac:dyDescent="0.2">
      <c r="B13241" s="245"/>
      <c r="C13241" s="248"/>
      <c r="D13241" s="249"/>
      <c r="E13241" s="249"/>
      <c r="T13241" s="261"/>
    </row>
    <row r="13242" spans="2:20" x14ac:dyDescent="0.2">
      <c r="B13242" s="245"/>
      <c r="C13242" s="248"/>
      <c r="D13242" s="249"/>
      <c r="E13242" s="249"/>
      <c r="T13242" s="261"/>
    </row>
    <row r="13243" spans="2:20" x14ac:dyDescent="0.2">
      <c r="B13243" s="245"/>
      <c r="C13243" s="248"/>
      <c r="D13243" s="249"/>
      <c r="E13243" s="249"/>
      <c r="T13243" s="261"/>
    </row>
    <row r="13244" spans="2:20" x14ac:dyDescent="0.2">
      <c r="B13244" s="245"/>
      <c r="C13244" s="248"/>
      <c r="D13244" s="249"/>
      <c r="E13244" s="249"/>
      <c r="T13244" s="261"/>
    </row>
    <row r="13245" spans="2:20" x14ac:dyDescent="0.2">
      <c r="B13245" s="245"/>
      <c r="C13245" s="248"/>
      <c r="D13245" s="249"/>
      <c r="E13245" s="249"/>
      <c r="T13245" s="261"/>
    </row>
    <row r="13246" spans="2:20" x14ac:dyDescent="0.2">
      <c r="B13246" s="245"/>
      <c r="C13246" s="248"/>
      <c r="D13246" s="249"/>
      <c r="E13246" s="249"/>
      <c r="T13246" s="261"/>
    </row>
    <row r="13247" spans="2:20" x14ac:dyDescent="0.2">
      <c r="B13247" s="245"/>
      <c r="C13247" s="248"/>
      <c r="D13247" s="249"/>
      <c r="E13247" s="249"/>
      <c r="T13247" s="261"/>
    </row>
    <row r="13248" spans="2:20" x14ac:dyDescent="0.2">
      <c r="B13248" s="245"/>
      <c r="C13248" s="248"/>
      <c r="D13248" s="249"/>
      <c r="E13248" s="249"/>
      <c r="T13248" s="261"/>
    </row>
    <row r="13249" spans="2:20" x14ac:dyDescent="0.2">
      <c r="B13249" s="245"/>
      <c r="C13249" s="248"/>
      <c r="D13249" s="249"/>
      <c r="E13249" s="249"/>
      <c r="T13249" s="261"/>
    </row>
    <row r="13250" spans="2:20" x14ac:dyDescent="0.2">
      <c r="B13250" s="245"/>
      <c r="C13250" s="248"/>
      <c r="D13250" s="249"/>
      <c r="E13250" s="249"/>
      <c r="T13250" s="261"/>
    </row>
    <row r="13251" spans="2:20" x14ac:dyDescent="0.2">
      <c r="B13251" s="245"/>
      <c r="C13251" s="248"/>
      <c r="D13251" s="249"/>
      <c r="E13251" s="249"/>
      <c r="T13251" s="261"/>
    </row>
    <row r="13252" spans="2:20" x14ac:dyDescent="0.2">
      <c r="B13252" s="245"/>
      <c r="C13252" s="248"/>
      <c r="D13252" s="249"/>
      <c r="E13252" s="249"/>
      <c r="T13252" s="261"/>
    </row>
    <row r="13253" spans="2:20" x14ac:dyDescent="0.2">
      <c r="B13253" s="245"/>
      <c r="C13253" s="248"/>
      <c r="D13253" s="249"/>
      <c r="E13253" s="249"/>
      <c r="T13253" s="261"/>
    </row>
    <row r="13254" spans="2:20" x14ac:dyDescent="0.2">
      <c r="B13254" s="245"/>
      <c r="C13254" s="248"/>
      <c r="D13254" s="249"/>
      <c r="E13254" s="249"/>
      <c r="T13254" s="261"/>
    </row>
    <row r="13255" spans="2:20" x14ac:dyDescent="0.2">
      <c r="B13255" s="245"/>
      <c r="C13255" s="248"/>
      <c r="D13255" s="249"/>
      <c r="E13255" s="249"/>
      <c r="T13255" s="261"/>
    </row>
    <row r="13256" spans="2:20" x14ac:dyDescent="0.2">
      <c r="B13256" s="245"/>
      <c r="C13256" s="248"/>
      <c r="D13256" s="249"/>
      <c r="E13256" s="249"/>
      <c r="T13256" s="261"/>
    </row>
    <row r="13257" spans="2:20" x14ac:dyDescent="0.2">
      <c r="B13257" s="245"/>
      <c r="C13257" s="248"/>
      <c r="D13257" s="249"/>
      <c r="E13257" s="249"/>
      <c r="T13257" s="261"/>
    </row>
    <row r="13258" spans="2:20" x14ac:dyDescent="0.2">
      <c r="B13258" s="245"/>
      <c r="C13258" s="248"/>
      <c r="D13258" s="249"/>
      <c r="E13258" s="249"/>
      <c r="T13258" s="261"/>
    </row>
    <row r="13259" spans="2:20" x14ac:dyDescent="0.2">
      <c r="B13259" s="245"/>
      <c r="C13259" s="248"/>
      <c r="D13259" s="249"/>
      <c r="E13259" s="249"/>
      <c r="T13259" s="261"/>
    </row>
    <row r="13260" spans="2:20" x14ac:dyDescent="0.2">
      <c r="B13260" s="245"/>
      <c r="C13260" s="248"/>
      <c r="D13260" s="249"/>
      <c r="E13260" s="249"/>
      <c r="T13260" s="261"/>
    </row>
    <row r="13261" spans="2:20" x14ac:dyDescent="0.2">
      <c r="B13261" s="245"/>
      <c r="C13261" s="248"/>
      <c r="D13261" s="249"/>
      <c r="E13261" s="249"/>
      <c r="T13261" s="261"/>
    </row>
    <row r="13262" spans="2:20" x14ac:dyDescent="0.2">
      <c r="B13262" s="245"/>
      <c r="C13262" s="248"/>
      <c r="D13262" s="249"/>
      <c r="E13262" s="249"/>
      <c r="T13262" s="261"/>
    </row>
    <row r="13263" spans="2:20" x14ac:dyDescent="0.2">
      <c r="B13263" s="245"/>
      <c r="C13263" s="248"/>
      <c r="D13263" s="249"/>
      <c r="E13263" s="249"/>
      <c r="T13263" s="261"/>
    </row>
    <row r="13264" spans="2:20" x14ac:dyDescent="0.2">
      <c r="B13264" s="245"/>
      <c r="C13264" s="248"/>
      <c r="D13264" s="249"/>
      <c r="E13264" s="249"/>
      <c r="T13264" s="261"/>
    </row>
    <row r="13265" spans="2:20" x14ac:dyDescent="0.2">
      <c r="B13265" s="245"/>
      <c r="C13265" s="248"/>
      <c r="D13265" s="249"/>
      <c r="E13265" s="249"/>
      <c r="T13265" s="261"/>
    </row>
    <row r="13266" spans="2:20" x14ac:dyDescent="0.2">
      <c r="B13266" s="245"/>
      <c r="C13266" s="248"/>
      <c r="D13266" s="249"/>
      <c r="E13266" s="249"/>
      <c r="T13266" s="261"/>
    </row>
    <row r="13267" spans="2:20" x14ac:dyDescent="0.2">
      <c r="B13267" s="245"/>
      <c r="C13267" s="248"/>
      <c r="D13267" s="249"/>
      <c r="E13267" s="249"/>
      <c r="T13267" s="261"/>
    </row>
    <row r="13268" spans="2:20" x14ac:dyDescent="0.2">
      <c r="B13268" s="245"/>
      <c r="C13268" s="248"/>
      <c r="D13268" s="249"/>
      <c r="E13268" s="249"/>
      <c r="T13268" s="261"/>
    </row>
    <row r="13269" spans="2:20" x14ac:dyDescent="0.2">
      <c r="B13269" s="245"/>
      <c r="C13269" s="248"/>
      <c r="D13269" s="249"/>
      <c r="E13269" s="249"/>
      <c r="T13269" s="261"/>
    </row>
    <row r="13270" spans="2:20" x14ac:dyDescent="0.2">
      <c r="B13270" s="245"/>
      <c r="C13270" s="248"/>
      <c r="D13270" s="249"/>
      <c r="E13270" s="249"/>
      <c r="T13270" s="261"/>
    </row>
    <row r="13271" spans="2:20" x14ac:dyDescent="0.2">
      <c r="B13271" s="245"/>
      <c r="C13271" s="248"/>
      <c r="D13271" s="249"/>
      <c r="E13271" s="249"/>
      <c r="T13271" s="261"/>
    </row>
    <row r="13272" spans="2:20" x14ac:dyDescent="0.2">
      <c r="B13272" s="245"/>
      <c r="C13272" s="248"/>
      <c r="D13272" s="249"/>
      <c r="E13272" s="249"/>
      <c r="T13272" s="261"/>
    </row>
    <row r="13273" spans="2:20" x14ac:dyDescent="0.2">
      <c r="B13273" s="245"/>
      <c r="C13273" s="248"/>
      <c r="D13273" s="249"/>
      <c r="E13273" s="249"/>
      <c r="T13273" s="261"/>
    </row>
    <row r="13274" spans="2:20" x14ac:dyDescent="0.2">
      <c r="B13274" s="245"/>
      <c r="C13274" s="248"/>
      <c r="D13274" s="249"/>
      <c r="E13274" s="249"/>
      <c r="T13274" s="261"/>
    </row>
    <row r="13275" spans="2:20" x14ac:dyDescent="0.2">
      <c r="B13275" s="245"/>
      <c r="C13275" s="248"/>
      <c r="D13275" s="249"/>
      <c r="E13275" s="249"/>
      <c r="T13275" s="261"/>
    </row>
    <row r="13276" spans="2:20" x14ac:dyDescent="0.2">
      <c r="B13276" s="245"/>
      <c r="C13276" s="248"/>
      <c r="D13276" s="249"/>
      <c r="E13276" s="249"/>
      <c r="T13276" s="261"/>
    </row>
    <row r="13277" spans="2:20" x14ac:dyDescent="0.2">
      <c r="B13277" s="245"/>
      <c r="C13277" s="248"/>
      <c r="D13277" s="249"/>
      <c r="E13277" s="249"/>
      <c r="T13277" s="261"/>
    </row>
    <row r="13278" spans="2:20" x14ac:dyDescent="0.2">
      <c r="B13278" s="245"/>
      <c r="C13278" s="248"/>
      <c r="D13278" s="249"/>
      <c r="E13278" s="249"/>
      <c r="T13278" s="261"/>
    </row>
    <row r="13279" spans="2:20" x14ac:dyDescent="0.2">
      <c r="B13279" s="245"/>
      <c r="C13279" s="248"/>
      <c r="D13279" s="249"/>
      <c r="E13279" s="249"/>
      <c r="T13279" s="261"/>
    </row>
    <row r="13280" spans="2:20" x14ac:dyDescent="0.2">
      <c r="B13280" s="245"/>
      <c r="C13280" s="248"/>
      <c r="D13280" s="249"/>
      <c r="E13280" s="249"/>
      <c r="T13280" s="261"/>
    </row>
    <row r="13281" spans="2:20" x14ac:dyDescent="0.2">
      <c r="B13281" s="245"/>
      <c r="C13281" s="248"/>
      <c r="D13281" s="249"/>
      <c r="E13281" s="249"/>
      <c r="T13281" s="261"/>
    </row>
    <row r="13282" spans="2:20" x14ac:dyDescent="0.2">
      <c r="B13282" s="245"/>
      <c r="C13282" s="248"/>
      <c r="D13282" s="249"/>
      <c r="E13282" s="249"/>
      <c r="T13282" s="261"/>
    </row>
    <row r="13283" spans="2:20" x14ac:dyDescent="0.2">
      <c r="B13283" s="245"/>
      <c r="C13283" s="248"/>
      <c r="D13283" s="249"/>
      <c r="E13283" s="249"/>
      <c r="T13283" s="261"/>
    </row>
    <row r="13284" spans="2:20" x14ac:dyDescent="0.2">
      <c r="B13284" s="245"/>
      <c r="C13284" s="248"/>
      <c r="D13284" s="249"/>
      <c r="E13284" s="249"/>
      <c r="T13284" s="261"/>
    </row>
    <row r="13285" spans="2:20" x14ac:dyDescent="0.2">
      <c r="B13285" s="245"/>
      <c r="C13285" s="248"/>
      <c r="D13285" s="249"/>
      <c r="E13285" s="249"/>
      <c r="T13285" s="261"/>
    </row>
    <row r="13286" spans="2:20" x14ac:dyDescent="0.2">
      <c r="B13286" s="245"/>
      <c r="C13286" s="248"/>
      <c r="D13286" s="249"/>
      <c r="E13286" s="249"/>
      <c r="T13286" s="261"/>
    </row>
    <row r="13287" spans="2:20" x14ac:dyDescent="0.2">
      <c r="B13287" s="245"/>
      <c r="C13287" s="248"/>
      <c r="D13287" s="249"/>
      <c r="E13287" s="249"/>
      <c r="T13287" s="261"/>
    </row>
    <row r="13288" spans="2:20" x14ac:dyDescent="0.2">
      <c r="B13288" s="245"/>
      <c r="C13288" s="248"/>
      <c r="D13288" s="249"/>
      <c r="E13288" s="249"/>
      <c r="T13288" s="261"/>
    </row>
    <row r="13289" spans="2:20" x14ac:dyDescent="0.2">
      <c r="B13289" s="245"/>
      <c r="C13289" s="248"/>
      <c r="D13289" s="249"/>
      <c r="E13289" s="249"/>
      <c r="T13289" s="261"/>
    </row>
    <row r="13290" spans="2:20" x14ac:dyDescent="0.2">
      <c r="B13290" s="245"/>
      <c r="C13290" s="248"/>
      <c r="D13290" s="249"/>
      <c r="E13290" s="249"/>
      <c r="T13290" s="261"/>
    </row>
    <row r="13291" spans="2:20" x14ac:dyDescent="0.2">
      <c r="B13291" s="245"/>
      <c r="C13291" s="248"/>
      <c r="D13291" s="249"/>
      <c r="E13291" s="249"/>
      <c r="T13291" s="261"/>
    </row>
    <row r="13292" spans="2:20" x14ac:dyDescent="0.2">
      <c r="B13292" s="245"/>
      <c r="C13292" s="248"/>
      <c r="D13292" s="249"/>
      <c r="E13292" s="249"/>
      <c r="T13292" s="261"/>
    </row>
    <row r="13293" spans="2:20" x14ac:dyDescent="0.2">
      <c r="B13293" s="245"/>
      <c r="C13293" s="248"/>
      <c r="D13293" s="249"/>
      <c r="E13293" s="249"/>
      <c r="T13293" s="261"/>
    </row>
    <row r="13294" spans="2:20" x14ac:dyDescent="0.2">
      <c r="B13294" s="245"/>
      <c r="C13294" s="248"/>
      <c r="D13294" s="249"/>
      <c r="E13294" s="249"/>
      <c r="T13294" s="261"/>
    </row>
    <row r="13295" spans="2:20" x14ac:dyDescent="0.2">
      <c r="B13295" s="245"/>
      <c r="C13295" s="248"/>
      <c r="D13295" s="249"/>
      <c r="E13295" s="249"/>
      <c r="T13295" s="261"/>
    </row>
    <row r="13296" spans="2:20" x14ac:dyDescent="0.2">
      <c r="B13296" s="245"/>
      <c r="C13296" s="248"/>
      <c r="D13296" s="249"/>
      <c r="E13296" s="249"/>
      <c r="T13296" s="261"/>
    </row>
    <row r="13297" spans="2:20" x14ac:dyDescent="0.2">
      <c r="B13297" s="245"/>
      <c r="C13297" s="248"/>
      <c r="D13297" s="249"/>
      <c r="E13297" s="249"/>
      <c r="T13297" s="261"/>
    </row>
    <row r="13298" spans="2:20" x14ac:dyDescent="0.2">
      <c r="B13298" s="245"/>
      <c r="C13298" s="248"/>
      <c r="D13298" s="249"/>
      <c r="E13298" s="249"/>
      <c r="T13298" s="261"/>
    </row>
    <row r="13299" spans="2:20" x14ac:dyDescent="0.2">
      <c r="B13299" s="245"/>
      <c r="C13299" s="248"/>
      <c r="D13299" s="249"/>
      <c r="E13299" s="249"/>
      <c r="T13299" s="261"/>
    </row>
    <row r="13300" spans="2:20" x14ac:dyDescent="0.2">
      <c r="B13300" s="245"/>
      <c r="C13300" s="248"/>
      <c r="D13300" s="249"/>
      <c r="E13300" s="249"/>
      <c r="T13300" s="261"/>
    </row>
    <row r="13301" spans="2:20" x14ac:dyDescent="0.2">
      <c r="B13301" s="245"/>
      <c r="C13301" s="248"/>
      <c r="D13301" s="249"/>
      <c r="E13301" s="249"/>
      <c r="T13301" s="261"/>
    </row>
    <row r="13302" spans="2:20" x14ac:dyDescent="0.2">
      <c r="B13302" s="245"/>
      <c r="C13302" s="248"/>
      <c r="D13302" s="249"/>
      <c r="E13302" s="249"/>
      <c r="T13302" s="261"/>
    </row>
    <row r="13303" spans="2:20" x14ac:dyDescent="0.2">
      <c r="B13303" s="245"/>
      <c r="C13303" s="248"/>
      <c r="D13303" s="249"/>
      <c r="E13303" s="249"/>
      <c r="T13303" s="261"/>
    </row>
    <row r="13304" spans="2:20" x14ac:dyDescent="0.2">
      <c r="B13304" s="245"/>
      <c r="C13304" s="248"/>
      <c r="D13304" s="249"/>
      <c r="E13304" s="249"/>
      <c r="T13304" s="261"/>
    </row>
    <row r="13305" spans="2:20" x14ac:dyDescent="0.2">
      <c r="B13305" s="245"/>
      <c r="C13305" s="248"/>
      <c r="D13305" s="249"/>
      <c r="E13305" s="249"/>
      <c r="T13305" s="261"/>
    </row>
    <row r="13306" spans="2:20" x14ac:dyDescent="0.2">
      <c r="B13306" s="245"/>
      <c r="C13306" s="248"/>
      <c r="D13306" s="249"/>
      <c r="E13306" s="249"/>
      <c r="T13306" s="261"/>
    </row>
    <row r="13307" spans="2:20" x14ac:dyDescent="0.2">
      <c r="B13307" s="245"/>
      <c r="C13307" s="248"/>
      <c r="D13307" s="249"/>
      <c r="E13307" s="249"/>
      <c r="T13307" s="261"/>
    </row>
    <row r="13308" spans="2:20" x14ac:dyDescent="0.2">
      <c r="B13308" s="245"/>
      <c r="C13308" s="248"/>
      <c r="D13308" s="249"/>
      <c r="E13308" s="249"/>
      <c r="T13308" s="261"/>
    </row>
    <row r="13309" spans="2:20" x14ac:dyDescent="0.2">
      <c r="B13309" s="245"/>
      <c r="C13309" s="248"/>
      <c r="D13309" s="249"/>
      <c r="E13309" s="249"/>
      <c r="T13309" s="261"/>
    </row>
    <row r="13310" spans="2:20" x14ac:dyDescent="0.2">
      <c r="B13310" s="245"/>
      <c r="C13310" s="248"/>
      <c r="D13310" s="249"/>
      <c r="E13310" s="249"/>
      <c r="T13310" s="261"/>
    </row>
    <row r="13311" spans="2:20" x14ac:dyDescent="0.2">
      <c r="B13311" s="245"/>
      <c r="C13311" s="248"/>
      <c r="D13311" s="249"/>
      <c r="E13311" s="249"/>
      <c r="T13311" s="261"/>
    </row>
    <row r="13312" spans="2:20" x14ac:dyDescent="0.2">
      <c r="B13312" s="245"/>
      <c r="C13312" s="248"/>
      <c r="D13312" s="249"/>
      <c r="E13312" s="249"/>
      <c r="T13312" s="261"/>
    </row>
    <row r="13313" spans="2:20" x14ac:dyDescent="0.2">
      <c r="B13313" s="245"/>
      <c r="C13313" s="248"/>
      <c r="D13313" s="249"/>
      <c r="E13313" s="249"/>
      <c r="T13313" s="261"/>
    </row>
    <row r="13314" spans="2:20" x14ac:dyDescent="0.2">
      <c r="B13314" s="245"/>
      <c r="C13314" s="248"/>
      <c r="D13314" s="249"/>
      <c r="E13314" s="249"/>
      <c r="T13314" s="261"/>
    </row>
    <row r="13315" spans="2:20" x14ac:dyDescent="0.2">
      <c r="B13315" s="245"/>
      <c r="C13315" s="248"/>
      <c r="D13315" s="249"/>
      <c r="E13315" s="249"/>
      <c r="T13315" s="261"/>
    </row>
    <row r="13316" spans="2:20" x14ac:dyDescent="0.2">
      <c r="B13316" s="245"/>
      <c r="C13316" s="248"/>
      <c r="D13316" s="249"/>
      <c r="E13316" s="249"/>
      <c r="T13316" s="261"/>
    </row>
    <row r="13317" spans="2:20" x14ac:dyDescent="0.2">
      <c r="B13317" s="245"/>
      <c r="C13317" s="248"/>
      <c r="D13317" s="249"/>
      <c r="E13317" s="249"/>
      <c r="T13317" s="261"/>
    </row>
    <row r="13318" spans="2:20" x14ac:dyDescent="0.2">
      <c r="B13318" s="245"/>
      <c r="C13318" s="248"/>
      <c r="D13318" s="249"/>
      <c r="E13318" s="249"/>
      <c r="T13318" s="261"/>
    </row>
    <row r="13319" spans="2:20" x14ac:dyDescent="0.2">
      <c r="B13319" s="245"/>
      <c r="C13319" s="248"/>
      <c r="D13319" s="249"/>
      <c r="E13319" s="249"/>
      <c r="T13319" s="261"/>
    </row>
    <row r="13320" spans="2:20" x14ac:dyDescent="0.2">
      <c r="B13320" s="245"/>
      <c r="C13320" s="248"/>
      <c r="D13320" s="249"/>
      <c r="E13320" s="249"/>
      <c r="T13320" s="261"/>
    </row>
    <row r="13321" spans="2:20" x14ac:dyDescent="0.2">
      <c r="B13321" s="245"/>
      <c r="C13321" s="248"/>
      <c r="D13321" s="249"/>
      <c r="E13321" s="249"/>
      <c r="T13321" s="261"/>
    </row>
    <row r="13322" spans="2:20" x14ac:dyDescent="0.2">
      <c r="B13322" s="245"/>
      <c r="C13322" s="248"/>
      <c r="D13322" s="249"/>
      <c r="E13322" s="249"/>
      <c r="T13322" s="261"/>
    </row>
    <row r="13323" spans="2:20" x14ac:dyDescent="0.2">
      <c r="B13323" s="245"/>
      <c r="C13323" s="248"/>
      <c r="D13323" s="249"/>
      <c r="E13323" s="249"/>
      <c r="T13323" s="261"/>
    </row>
    <row r="13324" spans="2:20" x14ac:dyDescent="0.2">
      <c r="B13324" s="245"/>
      <c r="C13324" s="248"/>
      <c r="D13324" s="249"/>
      <c r="E13324" s="249"/>
      <c r="T13324" s="261"/>
    </row>
    <row r="13325" spans="2:20" x14ac:dyDescent="0.2">
      <c r="B13325" s="245"/>
      <c r="C13325" s="248"/>
      <c r="D13325" s="249"/>
      <c r="E13325" s="249"/>
      <c r="T13325" s="261"/>
    </row>
    <row r="13326" spans="2:20" x14ac:dyDescent="0.2">
      <c r="B13326" s="245"/>
      <c r="C13326" s="248"/>
      <c r="D13326" s="249"/>
      <c r="E13326" s="249"/>
      <c r="T13326" s="261"/>
    </row>
    <row r="13327" spans="2:20" x14ac:dyDescent="0.2">
      <c r="B13327" s="245"/>
      <c r="C13327" s="248"/>
      <c r="D13327" s="249"/>
      <c r="E13327" s="249"/>
      <c r="T13327" s="261"/>
    </row>
    <row r="13328" spans="2:20" x14ac:dyDescent="0.2">
      <c r="B13328" s="245"/>
      <c r="C13328" s="248"/>
      <c r="D13328" s="249"/>
      <c r="E13328" s="249"/>
      <c r="T13328" s="261"/>
    </row>
    <row r="13329" spans="2:20" x14ac:dyDescent="0.2">
      <c r="B13329" s="245"/>
      <c r="C13329" s="248"/>
      <c r="D13329" s="249"/>
      <c r="E13329" s="249"/>
      <c r="T13329" s="261"/>
    </row>
    <row r="13330" spans="2:20" x14ac:dyDescent="0.2">
      <c r="B13330" s="245"/>
      <c r="C13330" s="248"/>
      <c r="D13330" s="249"/>
      <c r="E13330" s="249"/>
      <c r="T13330" s="261"/>
    </row>
    <row r="13331" spans="2:20" x14ac:dyDescent="0.2">
      <c r="B13331" s="245"/>
      <c r="C13331" s="248"/>
      <c r="D13331" s="249"/>
      <c r="E13331" s="249"/>
      <c r="T13331" s="261"/>
    </row>
    <row r="13332" spans="2:20" x14ac:dyDescent="0.2">
      <c r="B13332" s="245"/>
      <c r="C13332" s="248"/>
      <c r="D13332" s="249"/>
      <c r="E13332" s="249"/>
      <c r="T13332" s="261"/>
    </row>
    <row r="13333" spans="2:20" x14ac:dyDescent="0.2">
      <c r="B13333" s="245"/>
      <c r="C13333" s="248"/>
      <c r="D13333" s="249"/>
      <c r="E13333" s="249"/>
      <c r="T13333" s="261"/>
    </row>
    <row r="13334" spans="2:20" x14ac:dyDescent="0.2">
      <c r="B13334" s="245"/>
      <c r="C13334" s="248"/>
      <c r="D13334" s="249"/>
      <c r="E13334" s="249"/>
      <c r="T13334" s="261"/>
    </row>
    <row r="13335" spans="2:20" x14ac:dyDescent="0.2">
      <c r="B13335" s="245"/>
      <c r="C13335" s="248"/>
      <c r="D13335" s="249"/>
      <c r="E13335" s="249"/>
      <c r="T13335" s="261"/>
    </row>
    <row r="13336" spans="2:20" x14ac:dyDescent="0.2">
      <c r="B13336" s="245"/>
      <c r="C13336" s="248"/>
      <c r="D13336" s="249"/>
      <c r="E13336" s="249"/>
      <c r="T13336" s="261"/>
    </row>
    <row r="13337" spans="2:20" x14ac:dyDescent="0.2">
      <c r="B13337" s="245"/>
      <c r="C13337" s="248"/>
      <c r="D13337" s="249"/>
      <c r="E13337" s="249"/>
      <c r="T13337" s="261"/>
    </row>
    <row r="13338" spans="2:20" x14ac:dyDescent="0.2">
      <c r="B13338" s="245"/>
      <c r="C13338" s="248"/>
      <c r="D13338" s="249"/>
      <c r="E13338" s="249"/>
      <c r="T13338" s="261"/>
    </row>
    <row r="13339" spans="2:20" x14ac:dyDescent="0.2">
      <c r="B13339" s="245"/>
      <c r="C13339" s="248"/>
      <c r="D13339" s="249"/>
      <c r="E13339" s="249"/>
      <c r="T13339" s="261"/>
    </row>
    <row r="13340" spans="2:20" x14ac:dyDescent="0.2">
      <c r="B13340" s="245"/>
      <c r="C13340" s="248"/>
      <c r="D13340" s="249"/>
      <c r="E13340" s="249"/>
      <c r="T13340" s="261"/>
    </row>
    <row r="13341" spans="2:20" x14ac:dyDescent="0.2">
      <c r="B13341" s="245"/>
      <c r="C13341" s="248"/>
      <c r="D13341" s="249"/>
      <c r="E13341" s="249"/>
      <c r="T13341" s="261"/>
    </row>
    <row r="13342" spans="2:20" x14ac:dyDescent="0.2">
      <c r="B13342" s="245"/>
      <c r="C13342" s="248"/>
      <c r="D13342" s="249"/>
      <c r="E13342" s="249"/>
      <c r="T13342" s="261"/>
    </row>
    <row r="13343" spans="2:20" x14ac:dyDescent="0.2">
      <c r="B13343" s="245"/>
      <c r="C13343" s="248"/>
      <c r="D13343" s="249"/>
      <c r="E13343" s="249"/>
      <c r="T13343" s="261"/>
    </row>
    <row r="13344" spans="2:20" x14ac:dyDescent="0.2">
      <c r="B13344" s="245"/>
      <c r="C13344" s="248"/>
      <c r="D13344" s="249"/>
      <c r="E13344" s="249"/>
      <c r="T13344" s="261"/>
    </row>
    <row r="13345" spans="2:20" x14ac:dyDescent="0.2">
      <c r="B13345" s="245"/>
      <c r="C13345" s="248"/>
      <c r="D13345" s="249"/>
      <c r="E13345" s="249"/>
      <c r="T13345" s="261"/>
    </row>
    <row r="13346" spans="2:20" x14ac:dyDescent="0.2">
      <c r="B13346" s="245"/>
      <c r="C13346" s="248"/>
      <c r="D13346" s="249"/>
      <c r="E13346" s="249"/>
      <c r="T13346" s="261"/>
    </row>
    <row r="13347" spans="2:20" x14ac:dyDescent="0.2">
      <c r="B13347" s="245"/>
      <c r="C13347" s="248"/>
      <c r="D13347" s="249"/>
      <c r="E13347" s="249"/>
      <c r="T13347" s="261"/>
    </row>
    <row r="13348" spans="2:20" x14ac:dyDescent="0.2">
      <c r="B13348" s="245"/>
      <c r="C13348" s="248"/>
      <c r="D13348" s="249"/>
      <c r="E13348" s="249"/>
      <c r="T13348" s="261"/>
    </row>
    <row r="13349" spans="2:20" x14ac:dyDescent="0.2">
      <c r="B13349" s="245"/>
      <c r="C13349" s="248"/>
      <c r="D13349" s="249"/>
      <c r="E13349" s="249"/>
      <c r="T13349" s="261"/>
    </row>
    <row r="13350" spans="2:20" x14ac:dyDescent="0.2">
      <c r="B13350" s="245"/>
      <c r="C13350" s="248"/>
      <c r="D13350" s="249"/>
      <c r="E13350" s="249"/>
      <c r="T13350" s="261"/>
    </row>
    <row r="13351" spans="2:20" x14ac:dyDescent="0.2">
      <c r="B13351" s="245"/>
      <c r="C13351" s="248"/>
      <c r="D13351" s="249"/>
      <c r="E13351" s="249"/>
      <c r="T13351" s="261"/>
    </row>
    <row r="13352" spans="2:20" x14ac:dyDescent="0.2">
      <c r="B13352" s="245"/>
      <c r="C13352" s="248"/>
      <c r="D13352" s="249"/>
      <c r="E13352" s="249"/>
      <c r="T13352" s="261"/>
    </row>
    <row r="13353" spans="2:20" x14ac:dyDescent="0.2">
      <c r="B13353" s="245"/>
      <c r="C13353" s="248"/>
      <c r="D13353" s="249"/>
      <c r="E13353" s="249"/>
      <c r="T13353" s="261"/>
    </row>
    <row r="13354" spans="2:20" x14ac:dyDescent="0.2">
      <c r="B13354" s="245"/>
      <c r="C13354" s="248"/>
      <c r="D13354" s="249"/>
      <c r="E13354" s="249"/>
      <c r="T13354" s="261"/>
    </row>
    <row r="13355" spans="2:20" x14ac:dyDescent="0.2">
      <c r="B13355" s="245"/>
      <c r="C13355" s="248"/>
      <c r="D13355" s="249"/>
      <c r="E13355" s="249"/>
      <c r="T13355" s="261"/>
    </row>
    <row r="13356" spans="2:20" x14ac:dyDescent="0.2">
      <c r="B13356" s="245"/>
      <c r="C13356" s="248"/>
      <c r="D13356" s="249"/>
      <c r="E13356" s="249"/>
      <c r="T13356" s="261"/>
    </row>
    <row r="13357" spans="2:20" x14ac:dyDescent="0.2">
      <c r="B13357" s="245"/>
      <c r="C13357" s="248"/>
      <c r="D13357" s="249"/>
      <c r="E13357" s="249"/>
      <c r="T13357" s="261"/>
    </row>
    <row r="13358" spans="2:20" x14ac:dyDescent="0.2">
      <c r="B13358" s="245"/>
      <c r="C13358" s="248"/>
      <c r="D13358" s="249"/>
      <c r="E13358" s="249"/>
      <c r="T13358" s="261"/>
    </row>
    <row r="13359" spans="2:20" x14ac:dyDescent="0.2">
      <c r="B13359" s="245"/>
      <c r="C13359" s="248"/>
      <c r="D13359" s="249"/>
      <c r="E13359" s="249"/>
      <c r="T13359" s="261"/>
    </row>
    <row r="13360" spans="2:20" x14ac:dyDescent="0.2">
      <c r="B13360" s="245"/>
      <c r="C13360" s="248"/>
      <c r="D13360" s="249"/>
      <c r="E13360" s="249"/>
      <c r="T13360" s="261"/>
    </row>
    <row r="13361" spans="2:20" x14ac:dyDescent="0.2">
      <c r="B13361" s="245"/>
      <c r="C13361" s="248"/>
      <c r="D13361" s="249"/>
      <c r="E13361" s="249"/>
      <c r="T13361" s="261"/>
    </row>
    <row r="13362" spans="2:20" x14ac:dyDescent="0.2">
      <c r="B13362" s="245"/>
      <c r="C13362" s="248"/>
      <c r="D13362" s="249"/>
      <c r="E13362" s="249"/>
      <c r="T13362" s="261"/>
    </row>
    <row r="13363" spans="2:20" x14ac:dyDescent="0.2">
      <c r="B13363" s="245"/>
      <c r="C13363" s="248"/>
      <c r="D13363" s="249"/>
      <c r="E13363" s="249"/>
      <c r="T13363" s="261"/>
    </row>
    <row r="13364" spans="2:20" x14ac:dyDescent="0.2">
      <c r="B13364" s="245"/>
      <c r="C13364" s="248"/>
      <c r="D13364" s="249"/>
      <c r="E13364" s="249"/>
      <c r="T13364" s="261"/>
    </row>
    <row r="13365" spans="2:20" x14ac:dyDescent="0.2">
      <c r="B13365" s="245"/>
      <c r="C13365" s="248"/>
      <c r="D13365" s="249"/>
      <c r="E13365" s="249"/>
      <c r="T13365" s="261"/>
    </row>
    <row r="13366" spans="2:20" x14ac:dyDescent="0.2">
      <c r="B13366" s="245"/>
      <c r="C13366" s="248"/>
      <c r="D13366" s="249"/>
      <c r="E13366" s="249"/>
      <c r="T13366" s="261"/>
    </row>
    <row r="13367" spans="2:20" x14ac:dyDescent="0.2">
      <c r="B13367" s="245"/>
      <c r="C13367" s="248"/>
      <c r="D13367" s="249"/>
      <c r="E13367" s="249"/>
      <c r="T13367" s="261"/>
    </row>
    <row r="13368" spans="2:20" x14ac:dyDescent="0.2">
      <c r="B13368" s="245"/>
      <c r="C13368" s="248"/>
      <c r="D13368" s="249"/>
      <c r="E13368" s="249"/>
      <c r="T13368" s="261"/>
    </row>
    <row r="13369" spans="2:20" x14ac:dyDescent="0.2">
      <c r="B13369" s="245"/>
      <c r="C13369" s="248"/>
      <c r="D13369" s="249"/>
      <c r="E13369" s="249"/>
      <c r="T13369" s="261"/>
    </row>
    <row r="13370" spans="2:20" x14ac:dyDescent="0.2">
      <c r="B13370" s="245"/>
      <c r="C13370" s="248"/>
      <c r="D13370" s="249"/>
      <c r="E13370" s="249"/>
      <c r="T13370" s="261"/>
    </row>
    <row r="13371" spans="2:20" x14ac:dyDescent="0.2">
      <c r="B13371" s="245"/>
      <c r="C13371" s="248"/>
      <c r="D13371" s="249"/>
      <c r="E13371" s="249"/>
      <c r="T13371" s="261"/>
    </row>
    <row r="13372" spans="2:20" x14ac:dyDescent="0.2">
      <c r="B13372" s="245"/>
      <c r="C13372" s="248"/>
      <c r="D13372" s="249"/>
      <c r="E13372" s="249"/>
      <c r="T13372" s="261"/>
    </row>
    <row r="13373" spans="2:20" x14ac:dyDescent="0.2">
      <c r="B13373" s="245"/>
      <c r="C13373" s="248"/>
      <c r="D13373" s="249"/>
      <c r="E13373" s="249"/>
      <c r="T13373" s="261"/>
    </row>
    <row r="13374" spans="2:20" x14ac:dyDescent="0.2">
      <c r="B13374" s="245"/>
      <c r="C13374" s="248"/>
      <c r="D13374" s="249"/>
      <c r="E13374" s="249"/>
      <c r="T13374" s="261"/>
    </row>
    <row r="13375" spans="2:20" x14ac:dyDescent="0.2">
      <c r="B13375" s="245"/>
      <c r="C13375" s="248"/>
      <c r="D13375" s="249"/>
      <c r="E13375" s="249"/>
      <c r="T13375" s="261"/>
    </row>
    <row r="13376" spans="2:20" x14ac:dyDescent="0.2">
      <c r="B13376" s="245"/>
      <c r="C13376" s="248"/>
      <c r="D13376" s="249"/>
      <c r="E13376" s="249"/>
      <c r="T13376" s="261"/>
    </row>
    <row r="13377" spans="2:20" x14ac:dyDescent="0.2">
      <c r="B13377" s="245"/>
      <c r="C13377" s="248"/>
      <c r="D13377" s="249"/>
      <c r="E13377" s="249"/>
      <c r="T13377" s="261"/>
    </row>
    <row r="13378" spans="2:20" x14ac:dyDescent="0.2">
      <c r="B13378" s="245"/>
      <c r="C13378" s="248"/>
      <c r="D13378" s="249"/>
      <c r="E13378" s="249"/>
      <c r="T13378" s="261"/>
    </row>
    <row r="13379" spans="2:20" x14ac:dyDescent="0.2">
      <c r="B13379" s="245"/>
      <c r="C13379" s="248"/>
      <c r="D13379" s="249"/>
      <c r="E13379" s="249"/>
      <c r="T13379" s="261"/>
    </row>
    <row r="13380" spans="2:20" x14ac:dyDescent="0.2">
      <c r="B13380" s="245"/>
      <c r="C13380" s="248"/>
      <c r="D13380" s="249"/>
      <c r="E13380" s="249"/>
      <c r="T13380" s="261"/>
    </row>
    <row r="13381" spans="2:20" x14ac:dyDescent="0.2">
      <c r="B13381" s="245"/>
      <c r="C13381" s="248"/>
      <c r="D13381" s="249"/>
      <c r="E13381" s="249"/>
      <c r="T13381" s="261"/>
    </row>
    <row r="13382" spans="2:20" x14ac:dyDescent="0.2">
      <c r="B13382" s="245"/>
      <c r="C13382" s="248"/>
      <c r="D13382" s="249"/>
      <c r="E13382" s="249"/>
      <c r="T13382" s="261"/>
    </row>
    <row r="13383" spans="2:20" x14ac:dyDescent="0.2">
      <c r="B13383" s="245"/>
      <c r="C13383" s="248"/>
      <c r="D13383" s="249"/>
      <c r="E13383" s="249"/>
      <c r="T13383" s="261"/>
    </row>
    <row r="13384" spans="2:20" x14ac:dyDescent="0.2">
      <c r="B13384" s="245"/>
      <c r="C13384" s="248"/>
      <c r="D13384" s="249"/>
      <c r="E13384" s="249"/>
      <c r="T13384" s="261"/>
    </row>
    <row r="13385" spans="2:20" x14ac:dyDescent="0.2">
      <c r="B13385" s="245"/>
      <c r="C13385" s="248"/>
      <c r="D13385" s="249"/>
      <c r="E13385" s="249"/>
      <c r="T13385" s="261"/>
    </row>
    <row r="13386" spans="2:20" x14ac:dyDescent="0.2">
      <c r="B13386" s="245"/>
      <c r="C13386" s="248"/>
      <c r="D13386" s="249"/>
      <c r="E13386" s="249"/>
      <c r="T13386" s="261"/>
    </row>
    <row r="13387" spans="2:20" x14ac:dyDescent="0.2">
      <c r="B13387" s="245"/>
      <c r="C13387" s="248"/>
      <c r="D13387" s="249"/>
      <c r="E13387" s="249"/>
      <c r="T13387" s="261"/>
    </row>
    <row r="13388" spans="2:20" x14ac:dyDescent="0.2">
      <c r="B13388" s="245"/>
      <c r="C13388" s="248"/>
      <c r="D13388" s="249"/>
      <c r="E13388" s="249"/>
      <c r="T13388" s="261"/>
    </row>
    <row r="13389" spans="2:20" x14ac:dyDescent="0.2">
      <c r="B13389" s="245"/>
      <c r="C13389" s="248"/>
      <c r="D13389" s="249"/>
      <c r="E13389" s="249"/>
      <c r="T13389" s="261"/>
    </row>
    <row r="13390" spans="2:20" x14ac:dyDescent="0.2">
      <c r="B13390" s="245"/>
      <c r="C13390" s="248"/>
      <c r="D13390" s="249"/>
      <c r="E13390" s="249"/>
      <c r="T13390" s="261"/>
    </row>
    <row r="13391" spans="2:20" x14ac:dyDescent="0.2">
      <c r="B13391" s="245"/>
      <c r="C13391" s="248"/>
      <c r="D13391" s="249"/>
      <c r="E13391" s="249"/>
      <c r="T13391" s="261"/>
    </row>
    <row r="13392" spans="2:20" x14ac:dyDescent="0.2">
      <c r="B13392" s="245"/>
      <c r="C13392" s="248"/>
      <c r="D13392" s="249"/>
      <c r="E13392" s="249"/>
      <c r="T13392" s="261"/>
    </row>
    <row r="13393" spans="2:20" x14ac:dyDescent="0.2">
      <c r="B13393" s="245"/>
      <c r="C13393" s="248"/>
      <c r="D13393" s="249"/>
      <c r="E13393" s="249"/>
      <c r="T13393" s="261"/>
    </row>
    <row r="13394" spans="2:20" x14ac:dyDescent="0.2">
      <c r="B13394" s="245"/>
      <c r="C13394" s="248"/>
      <c r="D13394" s="249"/>
      <c r="E13394" s="249"/>
      <c r="T13394" s="261"/>
    </row>
    <row r="13395" spans="2:20" x14ac:dyDescent="0.2">
      <c r="B13395" s="245"/>
      <c r="C13395" s="248"/>
      <c r="D13395" s="249"/>
      <c r="E13395" s="249"/>
      <c r="T13395" s="261"/>
    </row>
    <row r="13396" spans="2:20" x14ac:dyDescent="0.2">
      <c r="B13396" s="245"/>
      <c r="C13396" s="248"/>
      <c r="D13396" s="249"/>
      <c r="E13396" s="249"/>
      <c r="T13396" s="261"/>
    </row>
    <row r="13397" spans="2:20" x14ac:dyDescent="0.2">
      <c r="B13397" s="245"/>
      <c r="C13397" s="248"/>
      <c r="D13397" s="249"/>
      <c r="E13397" s="249"/>
      <c r="T13397" s="261"/>
    </row>
    <row r="13398" spans="2:20" x14ac:dyDescent="0.2">
      <c r="B13398" s="245"/>
      <c r="C13398" s="248"/>
      <c r="D13398" s="249"/>
      <c r="E13398" s="249"/>
      <c r="T13398" s="261"/>
    </row>
    <row r="13399" spans="2:20" x14ac:dyDescent="0.2">
      <c r="B13399" s="245"/>
      <c r="C13399" s="248"/>
      <c r="D13399" s="249"/>
      <c r="E13399" s="249"/>
      <c r="T13399" s="261"/>
    </row>
    <row r="13400" spans="2:20" x14ac:dyDescent="0.2">
      <c r="B13400" s="245"/>
      <c r="C13400" s="248"/>
      <c r="D13400" s="249"/>
      <c r="E13400" s="249"/>
      <c r="T13400" s="261"/>
    </row>
    <row r="13401" spans="2:20" x14ac:dyDescent="0.2">
      <c r="B13401" s="245"/>
      <c r="C13401" s="248"/>
      <c r="D13401" s="249"/>
      <c r="E13401" s="249"/>
      <c r="T13401" s="261"/>
    </row>
    <row r="13402" spans="2:20" x14ac:dyDescent="0.2">
      <c r="B13402" s="245"/>
      <c r="C13402" s="248"/>
      <c r="D13402" s="249"/>
      <c r="E13402" s="249"/>
      <c r="T13402" s="261"/>
    </row>
    <row r="13403" spans="2:20" x14ac:dyDescent="0.2">
      <c r="B13403" s="245"/>
      <c r="C13403" s="248"/>
      <c r="D13403" s="249"/>
      <c r="E13403" s="249"/>
      <c r="T13403" s="261"/>
    </row>
    <row r="13404" spans="2:20" x14ac:dyDescent="0.2">
      <c r="B13404" s="245"/>
      <c r="C13404" s="248"/>
      <c r="D13404" s="249"/>
      <c r="E13404" s="249"/>
      <c r="T13404" s="261"/>
    </row>
    <row r="13405" spans="2:20" x14ac:dyDescent="0.2">
      <c r="B13405" s="245"/>
      <c r="C13405" s="248"/>
      <c r="D13405" s="249"/>
      <c r="E13405" s="249"/>
      <c r="T13405" s="261"/>
    </row>
    <row r="13406" spans="2:20" x14ac:dyDescent="0.2">
      <c r="B13406" s="245"/>
      <c r="C13406" s="248"/>
      <c r="D13406" s="249"/>
      <c r="E13406" s="249"/>
      <c r="T13406" s="261"/>
    </row>
    <row r="13407" spans="2:20" x14ac:dyDescent="0.2">
      <c r="B13407" s="245"/>
      <c r="C13407" s="248"/>
      <c r="D13407" s="249"/>
      <c r="E13407" s="249"/>
      <c r="T13407" s="261"/>
    </row>
    <row r="13408" spans="2:20" x14ac:dyDescent="0.2">
      <c r="B13408" s="245"/>
      <c r="C13408" s="248"/>
      <c r="D13408" s="249"/>
      <c r="E13408" s="249"/>
      <c r="T13408" s="261"/>
    </row>
    <row r="13409" spans="2:20" x14ac:dyDescent="0.2">
      <c r="B13409" s="245"/>
      <c r="C13409" s="248"/>
      <c r="D13409" s="249"/>
      <c r="E13409" s="249"/>
      <c r="T13409" s="261"/>
    </row>
    <row r="13410" spans="2:20" x14ac:dyDescent="0.2">
      <c r="B13410" s="245"/>
      <c r="C13410" s="248"/>
      <c r="D13410" s="249"/>
      <c r="E13410" s="249"/>
      <c r="T13410" s="261"/>
    </row>
    <row r="13411" spans="2:20" x14ac:dyDescent="0.2">
      <c r="B13411" s="245"/>
      <c r="C13411" s="248"/>
      <c r="D13411" s="249"/>
      <c r="E13411" s="249"/>
      <c r="T13411" s="261"/>
    </row>
    <row r="13412" spans="2:20" x14ac:dyDescent="0.2">
      <c r="B13412" s="245"/>
      <c r="C13412" s="248"/>
      <c r="D13412" s="249"/>
      <c r="E13412" s="249"/>
      <c r="T13412" s="261"/>
    </row>
    <row r="13413" spans="2:20" x14ac:dyDescent="0.2">
      <c r="B13413" s="245"/>
      <c r="C13413" s="248"/>
      <c r="D13413" s="249"/>
      <c r="E13413" s="249"/>
      <c r="T13413" s="261"/>
    </row>
    <row r="13414" spans="2:20" x14ac:dyDescent="0.2">
      <c r="B13414" s="245"/>
      <c r="C13414" s="248"/>
      <c r="D13414" s="249"/>
      <c r="E13414" s="249"/>
      <c r="T13414" s="261"/>
    </row>
    <row r="13415" spans="2:20" x14ac:dyDescent="0.2">
      <c r="B13415" s="245"/>
      <c r="C13415" s="248"/>
      <c r="D13415" s="249"/>
      <c r="E13415" s="249"/>
      <c r="T13415" s="261"/>
    </row>
    <row r="13416" spans="2:20" x14ac:dyDescent="0.2">
      <c r="B13416" s="245"/>
      <c r="C13416" s="248"/>
      <c r="D13416" s="249"/>
      <c r="E13416" s="249"/>
      <c r="T13416" s="261"/>
    </row>
    <row r="13417" spans="2:20" x14ac:dyDescent="0.2">
      <c r="B13417" s="245"/>
      <c r="C13417" s="248"/>
      <c r="D13417" s="249"/>
      <c r="E13417" s="249"/>
      <c r="T13417" s="261"/>
    </row>
    <row r="13418" spans="2:20" x14ac:dyDescent="0.2">
      <c r="B13418" s="245"/>
      <c r="C13418" s="248"/>
      <c r="D13418" s="249"/>
      <c r="E13418" s="249"/>
      <c r="T13418" s="261"/>
    </row>
    <row r="13419" spans="2:20" x14ac:dyDescent="0.2">
      <c r="B13419" s="245"/>
      <c r="C13419" s="248"/>
      <c r="D13419" s="249"/>
      <c r="E13419" s="249"/>
      <c r="T13419" s="261"/>
    </row>
    <row r="13420" spans="2:20" x14ac:dyDescent="0.2">
      <c r="B13420" s="245"/>
      <c r="C13420" s="248"/>
      <c r="D13420" s="249"/>
      <c r="E13420" s="249"/>
      <c r="T13420" s="261"/>
    </row>
    <row r="13421" spans="2:20" x14ac:dyDescent="0.2">
      <c r="B13421" s="245"/>
      <c r="C13421" s="248"/>
      <c r="D13421" s="249"/>
      <c r="E13421" s="249"/>
      <c r="T13421" s="261"/>
    </row>
    <row r="13422" spans="2:20" x14ac:dyDescent="0.2">
      <c r="B13422" s="245"/>
      <c r="C13422" s="248"/>
      <c r="D13422" s="249"/>
      <c r="E13422" s="249"/>
      <c r="T13422" s="261"/>
    </row>
    <row r="13423" spans="2:20" x14ac:dyDescent="0.2">
      <c r="B13423" s="245"/>
      <c r="C13423" s="248"/>
      <c r="D13423" s="249"/>
      <c r="E13423" s="249"/>
      <c r="T13423" s="261"/>
    </row>
    <row r="13424" spans="2:20" x14ac:dyDescent="0.2">
      <c r="B13424" s="245"/>
      <c r="C13424" s="248"/>
      <c r="D13424" s="249"/>
      <c r="E13424" s="249"/>
      <c r="T13424" s="261"/>
    </row>
    <row r="13425" spans="2:20" x14ac:dyDescent="0.2">
      <c r="B13425" s="245"/>
      <c r="C13425" s="248"/>
      <c r="D13425" s="249"/>
      <c r="E13425" s="249"/>
      <c r="T13425" s="261"/>
    </row>
    <row r="13426" spans="2:20" x14ac:dyDescent="0.2">
      <c r="B13426" s="245"/>
      <c r="C13426" s="248"/>
      <c r="D13426" s="249"/>
      <c r="E13426" s="249"/>
      <c r="T13426" s="261"/>
    </row>
    <row r="13427" spans="2:20" x14ac:dyDescent="0.2">
      <c r="B13427" s="245"/>
      <c r="C13427" s="248"/>
      <c r="D13427" s="249"/>
      <c r="E13427" s="249"/>
      <c r="T13427" s="261"/>
    </row>
    <row r="13428" spans="2:20" x14ac:dyDescent="0.2">
      <c r="B13428" s="245"/>
      <c r="C13428" s="248"/>
      <c r="D13428" s="249"/>
      <c r="E13428" s="249"/>
      <c r="T13428" s="261"/>
    </row>
    <row r="13429" spans="2:20" x14ac:dyDescent="0.2">
      <c r="B13429" s="245"/>
      <c r="C13429" s="248"/>
      <c r="D13429" s="249"/>
      <c r="E13429" s="249"/>
      <c r="T13429" s="261"/>
    </row>
    <row r="13430" spans="2:20" x14ac:dyDescent="0.2">
      <c r="B13430" s="245"/>
      <c r="C13430" s="248"/>
      <c r="D13430" s="249"/>
      <c r="E13430" s="249"/>
      <c r="T13430" s="261"/>
    </row>
    <row r="13431" spans="2:20" x14ac:dyDescent="0.2">
      <c r="B13431" s="245"/>
      <c r="C13431" s="248"/>
      <c r="D13431" s="249"/>
      <c r="E13431" s="249"/>
      <c r="T13431" s="261"/>
    </row>
    <row r="13432" spans="2:20" x14ac:dyDescent="0.2">
      <c r="B13432" s="245"/>
      <c r="C13432" s="248"/>
      <c r="D13432" s="249"/>
      <c r="E13432" s="249"/>
      <c r="T13432" s="261"/>
    </row>
    <row r="13433" spans="2:20" x14ac:dyDescent="0.2">
      <c r="B13433" s="245"/>
      <c r="C13433" s="248"/>
      <c r="D13433" s="249"/>
      <c r="E13433" s="249"/>
      <c r="T13433" s="261"/>
    </row>
    <row r="13434" spans="2:20" x14ac:dyDescent="0.2">
      <c r="B13434" s="245"/>
      <c r="C13434" s="248"/>
      <c r="D13434" s="249"/>
      <c r="E13434" s="249"/>
      <c r="T13434" s="261"/>
    </row>
    <row r="13435" spans="2:20" x14ac:dyDescent="0.2">
      <c r="B13435" s="245"/>
      <c r="C13435" s="248"/>
      <c r="D13435" s="249"/>
      <c r="E13435" s="249"/>
      <c r="T13435" s="261"/>
    </row>
    <row r="13436" spans="2:20" x14ac:dyDescent="0.2">
      <c r="B13436" s="245"/>
      <c r="C13436" s="248"/>
      <c r="D13436" s="249"/>
      <c r="E13436" s="249"/>
      <c r="T13436" s="261"/>
    </row>
    <row r="13437" spans="2:20" x14ac:dyDescent="0.2">
      <c r="B13437" s="245"/>
      <c r="C13437" s="248"/>
      <c r="D13437" s="249"/>
      <c r="E13437" s="249"/>
      <c r="T13437" s="261"/>
    </row>
    <row r="13438" spans="2:20" x14ac:dyDescent="0.2">
      <c r="B13438" s="245"/>
      <c r="C13438" s="248"/>
      <c r="D13438" s="249"/>
      <c r="E13438" s="249"/>
      <c r="T13438" s="261"/>
    </row>
    <row r="13439" spans="2:20" x14ac:dyDescent="0.2">
      <c r="B13439" s="245"/>
      <c r="C13439" s="248"/>
      <c r="D13439" s="249"/>
      <c r="E13439" s="249"/>
      <c r="T13439" s="261"/>
    </row>
    <row r="13440" spans="2:20" x14ac:dyDescent="0.2">
      <c r="B13440" s="245"/>
      <c r="C13440" s="248"/>
      <c r="D13440" s="249"/>
      <c r="E13440" s="249"/>
      <c r="T13440" s="261"/>
    </row>
    <row r="13441" spans="2:20" x14ac:dyDescent="0.2">
      <c r="B13441" s="245"/>
      <c r="C13441" s="248"/>
      <c r="D13441" s="249"/>
      <c r="E13441" s="249"/>
      <c r="T13441" s="261"/>
    </row>
    <row r="13442" spans="2:20" x14ac:dyDescent="0.2">
      <c r="B13442" s="245"/>
      <c r="C13442" s="248"/>
      <c r="D13442" s="249"/>
      <c r="E13442" s="249"/>
      <c r="T13442" s="261"/>
    </row>
    <row r="13443" spans="2:20" x14ac:dyDescent="0.2">
      <c r="B13443" s="245"/>
      <c r="C13443" s="248"/>
      <c r="D13443" s="249"/>
      <c r="E13443" s="249"/>
      <c r="T13443" s="261"/>
    </row>
    <row r="13444" spans="2:20" x14ac:dyDescent="0.2">
      <c r="B13444" s="245"/>
      <c r="C13444" s="248"/>
      <c r="D13444" s="249"/>
      <c r="E13444" s="249"/>
      <c r="T13444" s="261"/>
    </row>
    <row r="13445" spans="2:20" x14ac:dyDescent="0.2">
      <c r="B13445" s="245"/>
      <c r="C13445" s="248"/>
      <c r="D13445" s="249"/>
      <c r="E13445" s="249"/>
      <c r="T13445" s="261"/>
    </row>
    <row r="13446" spans="2:20" x14ac:dyDescent="0.2">
      <c r="B13446" s="245"/>
      <c r="C13446" s="248"/>
      <c r="D13446" s="249"/>
      <c r="E13446" s="249"/>
      <c r="T13446" s="261"/>
    </row>
    <row r="13447" spans="2:20" x14ac:dyDescent="0.2">
      <c r="B13447" s="245"/>
      <c r="C13447" s="248"/>
      <c r="D13447" s="249"/>
      <c r="E13447" s="249"/>
      <c r="T13447" s="261"/>
    </row>
    <row r="13448" spans="2:20" x14ac:dyDescent="0.2">
      <c r="B13448" s="245"/>
      <c r="C13448" s="248"/>
      <c r="D13448" s="249"/>
      <c r="E13448" s="249"/>
      <c r="T13448" s="261"/>
    </row>
    <row r="13449" spans="2:20" x14ac:dyDescent="0.2">
      <c r="B13449" s="245"/>
      <c r="C13449" s="248"/>
      <c r="D13449" s="249"/>
      <c r="E13449" s="249"/>
      <c r="T13449" s="261"/>
    </row>
    <row r="13450" spans="2:20" x14ac:dyDescent="0.2">
      <c r="B13450" s="245"/>
      <c r="C13450" s="248"/>
      <c r="D13450" s="249"/>
      <c r="E13450" s="249"/>
      <c r="T13450" s="261"/>
    </row>
    <row r="13451" spans="2:20" x14ac:dyDescent="0.2">
      <c r="B13451" s="245"/>
      <c r="C13451" s="248"/>
      <c r="D13451" s="249"/>
      <c r="E13451" s="249"/>
      <c r="T13451" s="261"/>
    </row>
    <row r="13452" spans="2:20" x14ac:dyDescent="0.2">
      <c r="B13452" s="245"/>
      <c r="C13452" s="248"/>
      <c r="D13452" s="249"/>
      <c r="E13452" s="249"/>
      <c r="T13452" s="261"/>
    </row>
    <row r="13453" spans="2:20" x14ac:dyDescent="0.2">
      <c r="B13453" s="245"/>
      <c r="C13453" s="248"/>
      <c r="D13453" s="249"/>
      <c r="E13453" s="249"/>
      <c r="T13453" s="261"/>
    </row>
    <row r="13454" spans="2:20" x14ac:dyDescent="0.2">
      <c r="B13454" s="245"/>
      <c r="C13454" s="248"/>
      <c r="D13454" s="249"/>
      <c r="E13454" s="249"/>
      <c r="T13454" s="261"/>
    </row>
    <row r="13455" spans="2:20" x14ac:dyDescent="0.2">
      <c r="B13455" s="245"/>
      <c r="C13455" s="248"/>
      <c r="D13455" s="249"/>
      <c r="E13455" s="249"/>
      <c r="T13455" s="261"/>
    </row>
    <row r="13456" spans="2:20" x14ac:dyDescent="0.2">
      <c r="B13456" s="245"/>
      <c r="C13456" s="248"/>
      <c r="D13456" s="249"/>
      <c r="E13456" s="249"/>
      <c r="T13456" s="261"/>
    </row>
    <row r="13457" spans="2:20" x14ac:dyDescent="0.2">
      <c r="B13457" s="245"/>
      <c r="C13457" s="248"/>
      <c r="D13457" s="249"/>
      <c r="E13457" s="249"/>
      <c r="T13457" s="261"/>
    </row>
    <row r="13458" spans="2:20" x14ac:dyDescent="0.2">
      <c r="B13458" s="245"/>
      <c r="C13458" s="248"/>
      <c r="D13458" s="249"/>
      <c r="E13458" s="249"/>
      <c r="T13458" s="261"/>
    </row>
    <row r="13459" spans="2:20" x14ac:dyDescent="0.2">
      <c r="B13459" s="245"/>
      <c r="C13459" s="248"/>
      <c r="D13459" s="249"/>
      <c r="E13459" s="249"/>
      <c r="T13459" s="261"/>
    </row>
    <row r="13460" spans="2:20" x14ac:dyDescent="0.2">
      <c r="B13460" s="245"/>
      <c r="C13460" s="248"/>
      <c r="D13460" s="249"/>
      <c r="E13460" s="249"/>
      <c r="T13460" s="261"/>
    </row>
    <row r="13461" spans="2:20" x14ac:dyDescent="0.2">
      <c r="B13461" s="245"/>
      <c r="C13461" s="248"/>
      <c r="D13461" s="249"/>
      <c r="E13461" s="249"/>
      <c r="T13461" s="261"/>
    </row>
    <row r="13462" spans="2:20" x14ac:dyDescent="0.2">
      <c r="B13462" s="245"/>
      <c r="C13462" s="248"/>
      <c r="D13462" s="249"/>
      <c r="E13462" s="249"/>
      <c r="T13462" s="261"/>
    </row>
    <row r="13463" spans="2:20" x14ac:dyDescent="0.2">
      <c r="B13463" s="245"/>
      <c r="C13463" s="248"/>
      <c r="D13463" s="249"/>
      <c r="E13463" s="249"/>
      <c r="T13463" s="261"/>
    </row>
    <row r="13464" spans="2:20" x14ac:dyDescent="0.2">
      <c r="B13464" s="245"/>
      <c r="C13464" s="248"/>
      <c r="D13464" s="249"/>
      <c r="E13464" s="249"/>
      <c r="T13464" s="261"/>
    </row>
    <row r="13465" spans="2:20" x14ac:dyDescent="0.2">
      <c r="B13465" s="245"/>
      <c r="C13465" s="248"/>
      <c r="D13465" s="249"/>
      <c r="E13465" s="249"/>
      <c r="T13465" s="261"/>
    </row>
    <row r="13466" spans="2:20" x14ac:dyDescent="0.2">
      <c r="B13466" s="245"/>
      <c r="C13466" s="248"/>
      <c r="D13466" s="249"/>
      <c r="E13466" s="249"/>
      <c r="T13466" s="261"/>
    </row>
    <row r="13467" spans="2:20" x14ac:dyDescent="0.2">
      <c r="B13467" s="245"/>
      <c r="C13467" s="248"/>
      <c r="D13467" s="249"/>
      <c r="E13467" s="249"/>
      <c r="T13467" s="261"/>
    </row>
    <row r="13468" spans="2:20" x14ac:dyDescent="0.2">
      <c r="B13468" s="245"/>
      <c r="C13468" s="248"/>
      <c r="D13468" s="249"/>
      <c r="E13468" s="249"/>
      <c r="T13468" s="261"/>
    </row>
    <row r="13469" spans="2:20" x14ac:dyDescent="0.2">
      <c r="B13469" s="245"/>
      <c r="C13469" s="248"/>
      <c r="D13469" s="249"/>
      <c r="E13469" s="249"/>
      <c r="T13469" s="261"/>
    </row>
    <row r="13470" spans="2:20" x14ac:dyDescent="0.2">
      <c r="B13470" s="245"/>
      <c r="C13470" s="248"/>
      <c r="D13470" s="249"/>
      <c r="E13470" s="249"/>
      <c r="T13470" s="261"/>
    </row>
    <row r="13471" spans="2:20" x14ac:dyDescent="0.2">
      <c r="B13471" s="245"/>
      <c r="C13471" s="248"/>
      <c r="D13471" s="249"/>
      <c r="E13471" s="249"/>
      <c r="T13471" s="261"/>
    </row>
    <row r="13472" spans="2:20" x14ac:dyDescent="0.2">
      <c r="B13472" s="245"/>
      <c r="C13472" s="248"/>
      <c r="D13472" s="249"/>
      <c r="E13472" s="249"/>
      <c r="T13472" s="261"/>
    </row>
    <row r="13473" spans="2:20" x14ac:dyDescent="0.2">
      <c r="B13473" s="245"/>
      <c r="C13473" s="248"/>
      <c r="D13473" s="249"/>
      <c r="E13473" s="249"/>
      <c r="T13473" s="261"/>
    </row>
    <row r="13474" spans="2:20" x14ac:dyDescent="0.2">
      <c r="B13474" s="245"/>
      <c r="C13474" s="248"/>
      <c r="D13474" s="249"/>
      <c r="E13474" s="249"/>
      <c r="T13474" s="261"/>
    </row>
    <row r="13475" spans="2:20" x14ac:dyDescent="0.2">
      <c r="B13475" s="245"/>
      <c r="C13475" s="248"/>
      <c r="D13475" s="249"/>
      <c r="E13475" s="249"/>
      <c r="T13475" s="261"/>
    </row>
    <row r="13476" spans="2:20" x14ac:dyDescent="0.2">
      <c r="B13476" s="245"/>
      <c r="C13476" s="248"/>
      <c r="D13476" s="249"/>
      <c r="E13476" s="249"/>
      <c r="T13476" s="261"/>
    </row>
    <row r="13477" spans="2:20" x14ac:dyDescent="0.2">
      <c r="B13477" s="245"/>
      <c r="C13477" s="248"/>
      <c r="D13477" s="249"/>
      <c r="E13477" s="249"/>
      <c r="T13477" s="261"/>
    </row>
    <row r="13478" spans="2:20" x14ac:dyDescent="0.2">
      <c r="B13478" s="245"/>
      <c r="C13478" s="248"/>
      <c r="D13478" s="249"/>
      <c r="E13478" s="249"/>
      <c r="T13478" s="261"/>
    </row>
    <row r="13479" spans="2:20" x14ac:dyDescent="0.2">
      <c r="B13479" s="245"/>
      <c r="C13479" s="248"/>
      <c r="D13479" s="249"/>
      <c r="E13479" s="249"/>
      <c r="T13479" s="261"/>
    </row>
    <row r="13480" spans="2:20" x14ac:dyDescent="0.2">
      <c r="B13480" s="245"/>
      <c r="C13480" s="248"/>
      <c r="D13480" s="249"/>
      <c r="E13480" s="249"/>
      <c r="T13480" s="261"/>
    </row>
    <row r="13481" spans="2:20" x14ac:dyDescent="0.2">
      <c r="B13481" s="245"/>
      <c r="C13481" s="248"/>
      <c r="D13481" s="249"/>
      <c r="E13481" s="249"/>
      <c r="T13481" s="261"/>
    </row>
    <row r="13482" spans="2:20" x14ac:dyDescent="0.2">
      <c r="B13482" s="245"/>
      <c r="C13482" s="248"/>
      <c r="D13482" s="249"/>
      <c r="E13482" s="249"/>
      <c r="T13482" s="261"/>
    </row>
    <row r="13483" spans="2:20" x14ac:dyDescent="0.2">
      <c r="B13483" s="245"/>
      <c r="C13483" s="248"/>
      <c r="D13483" s="249"/>
      <c r="E13483" s="249"/>
      <c r="T13483" s="261"/>
    </row>
    <row r="13484" spans="2:20" x14ac:dyDescent="0.2">
      <c r="B13484" s="245"/>
      <c r="C13484" s="248"/>
      <c r="D13484" s="249"/>
      <c r="E13484" s="249"/>
      <c r="T13484" s="261"/>
    </row>
    <row r="13485" spans="2:20" x14ac:dyDescent="0.2">
      <c r="B13485" s="245"/>
      <c r="C13485" s="248"/>
      <c r="D13485" s="249"/>
      <c r="E13485" s="249"/>
      <c r="T13485" s="261"/>
    </row>
    <row r="13486" spans="2:20" x14ac:dyDescent="0.2">
      <c r="B13486" s="245"/>
      <c r="C13486" s="248"/>
      <c r="D13486" s="249"/>
      <c r="E13486" s="249"/>
      <c r="T13486" s="261"/>
    </row>
    <row r="13487" spans="2:20" x14ac:dyDescent="0.2">
      <c r="B13487" s="245"/>
      <c r="C13487" s="248"/>
      <c r="D13487" s="249"/>
      <c r="E13487" s="249"/>
      <c r="T13487" s="261"/>
    </row>
    <row r="13488" spans="2:20" x14ac:dyDescent="0.2">
      <c r="B13488" s="245"/>
      <c r="C13488" s="248"/>
      <c r="D13488" s="249"/>
      <c r="E13488" s="249"/>
      <c r="T13488" s="261"/>
    </row>
    <row r="13489" spans="2:20" x14ac:dyDescent="0.2">
      <c r="B13489" s="245"/>
      <c r="C13489" s="248"/>
      <c r="D13489" s="249"/>
      <c r="E13489" s="249"/>
      <c r="T13489" s="261"/>
    </row>
    <row r="13490" spans="2:20" x14ac:dyDescent="0.2">
      <c r="B13490" s="245"/>
      <c r="C13490" s="248"/>
      <c r="D13490" s="249"/>
      <c r="E13490" s="249"/>
      <c r="T13490" s="261"/>
    </row>
    <row r="13491" spans="2:20" x14ac:dyDescent="0.2">
      <c r="B13491" s="245"/>
      <c r="C13491" s="248"/>
      <c r="D13491" s="249"/>
      <c r="E13491" s="249"/>
      <c r="T13491" s="261"/>
    </row>
    <row r="13492" spans="2:20" x14ac:dyDescent="0.2">
      <c r="B13492" s="245"/>
      <c r="C13492" s="248"/>
      <c r="D13492" s="249"/>
      <c r="E13492" s="249"/>
      <c r="T13492" s="261"/>
    </row>
    <row r="13493" spans="2:20" x14ac:dyDescent="0.2">
      <c r="B13493" s="245"/>
      <c r="C13493" s="248"/>
      <c r="D13493" s="249"/>
      <c r="E13493" s="249"/>
      <c r="T13493" s="261"/>
    </row>
    <row r="13494" spans="2:20" x14ac:dyDescent="0.2">
      <c r="B13494" s="245"/>
      <c r="C13494" s="248"/>
      <c r="D13494" s="249"/>
      <c r="E13494" s="249"/>
      <c r="T13494" s="261"/>
    </row>
    <row r="13495" spans="2:20" x14ac:dyDescent="0.2">
      <c r="B13495" s="245"/>
      <c r="C13495" s="248"/>
      <c r="D13495" s="249"/>
      <c r="E13495" s="249"/>
      <c r="T13495" s="261"/>
    </row>
    <row r="13496" spans="2:20" x14ac:dyDescent="0.2">
      <c r="B13496" s="245"/>
      <c r="C13496" s="248"/>
      <c r="D13496" s="249"/>
      <c r="E13496" s="249"/>
      <c r="T13496" s="261"/>
    </row>
    <row r="13497" spans="2:20" x14ac:dyDescent="0.2">
      <c r="B13497" s="245"/>
      <c r="C13497" s="248"/>
      <c r="D13497" s="249"/>
      <c r="E13497" s="249"/>
      <c r="T13497" s="261"/>
    </row>
    <row r="13498" spans="2:20" x14ac:dyDescent="0.2">
      <c r="B13498" s="245"/>
      <c r="C13498" s="248"/>
      <c r="D13498" s="249"/>
      <c r="E13498" s="249"/>
      <c r="T13498" s="261"/>
    </row>
    <row r="13499" spans="2:20" x14ac:dyDescent="0.2">
      <c r="B13499" s="245"/>
      <c r="C13499" s="248"/>
      <c r="D13499" s="249"/>
      <c r="E13499" s="249"/>
      <c r="T13499" s="261"/>
    </row>
    <row r="13500" spans="2:20" x14ac:dyDescent="0.2">
      <c r="B13500" s="245"/>
      <c r="C13500" s="248"/>
      <c r="D13500" s="249"/>
      <c r="E13500" s="249"/>
      <c r="T13500" s="261"/>
    </row>
    <row r="13501" spans="2:20" x14ac:dyDescent="0.2">
      <c r="B13501" s="245"/>
      <c r="C13501" s="248"/>
      <c r="D13501" s="249"/>
      <c r="E13501" s="249"/>
      <c r="T13501" s="261"/>
    </row>
    <row r="13502" spans="2:20" x14ac:dyDescent="0.2">
      <c r="B13502" s="245"/>
      <c r="C13502" s="248"/>
      <c r="D13502" s="249"/>
      <c r="E13502" s="249"/>
      <c r="T13502" s="261"/>
    </row>
    <row r="13503" spans="2:20" x14ac:dyDescent="0.2">
      <c r="B13503" s="245"/>
      <c r="C13503" s="248"/>
      <c r="D13503" s="249"/>
      <c r="E13503" s="249"/>
      <c r="T13503" s="261"/>
    </row>
    <row r="13504" spans="2:20" x14ac:dyDescent="0.2">
      <c r="B13504" s="245"/>
      <c r="C13504" s="248"/>
      <c r="D13504" s="249"/>
      <c r="E13504" s="249"/>
      <c r="T13504" s="261"/>
    </row>
    <row r="13505" spans="2:20" x14ac:dyDescent="0.2">
      <c r="B13505" s="245"/>
      <c r="C13505" s="248"/>
      <c r="D13505" s="249"/>
      <c r="E13505" s="249"/>
      <c r="T13505" s="261"/>
    </row>
    <row r="13506" spans="2:20" x14ac:dyDescent="0.2">
      <c r="B13506" s="245"/>
      <c r="C13506" s="248"/>
      <c r="D13506" s="249"/>
      <c r="E13506" s="249"/>
      <c r="T13506" s="261"/>
    </row>
    <row r="13507" spans="2:20" x14ac:dyDescent="0.2">
      <c r="B13507" s="245"/>
      <c r="C13507" s="248"/>
      <c r="D13507" s="249"/>
      <c r="E13507" s="249"/>
      <c r="T13507" s="261"/>
    </row>
    <row r="13508" spans="2:20" x14ac:dyDescent="0.2">
      <c r="B13508" s="245"/>
      <c r="C13508" s="248"/>
      <c r="D13508" s="249"/>
      <c r="E13508" s="249"/>
      <c r="T13508" s="261"/>
    </row>
    <row r="13509" spans="2:20" x14ac:dyDescent="0.2">
      <c r="B13509" s="245"/>
      <c r="C13509" s="248"/>
      <c r="D13509" s="249"/>
      <c r="E13509" s="249"/>
      <c r="T13509" s="261"/>
    </row>
    <row r="13510" spans="2:20" x14ac:dyDescent="0.2">
      <c r="B13510" s="245"/>
      <c r="C13510" s="248"/>
      <c r="D13510" s="249"/>
      <c r="E13510" s="249"/>
      <c r="T13510" s="261"/>
    </row>
    <row r="13511" spans="2:20" x14ac:dyDescent="0.2">
      <c r="B13511" s="245"/>
      <c r="C13511" s="248"/>
      <c r="D13511" s="249"/>
      <c r="E13511" s="249"/>
      <c r="T13511" s="261"/>
    </row>
    <row r="13512" spans="2:20" x14ac:dyDescent="0.2">
      <c r="B13512" s="245"/>
      <c r="C13512" s="248"/>
      <c r="D13512" s="249"/>
      <c r="E13512" s="249"/>
      <c r="T13512" s="261"/>
    </row>
    <row r="13513" spans="2:20" x14ac:dyDescent="0.2">
      <c r="B13513" s="245"/>
      <c r="C13513" s="248"/>
      <c r="D13513" s="249"/>
      <c r="E13513" s="249"/>
      <c r="T13513" s="261"/>
    </row>
    <row r="13514" spans="2:20" x14ac:dyDescent="0.2">
      <c r="B13514" s="245"/>
      <c r="C13514" s="248"/>
      <c r="D13514" s="249"/>
      <c r="E13514" s="249"/>
      <c r="T13514" s="261"/>
    </row>
    <row r="13515" spans="2:20" x14ac:dyDescent="0.2">
      <c r="B13515" s="245"/>
      <c r="C13515" s="248"/>
      <c r="D13515" s="249"/>
      <c r="E13515" s="249"/>
      <c r="T13515" s="261"/>
    </row>
    <row r="13516" spans="2:20" x14ac:dyDescent="0.2">
      <c r="B13516" s="245"/>
      <c r="C13516" s="248"/>
      <c r="D13516" s="249"/>
      <c r="E13516" s="249"/>
      <c r="T13516" s="261"/>
    </row>
    <row r="13517" spans="2:20" x14ac:dyDescent="0.2">
      <c r="B13517" s="245"/>
      <c r="C13517" s="248"/>
      <c r="D13517" s="249"/>
      <c r="E13517" s="249"/>
      <c r="T13517" s="261"/>
    </row>
    <row r="13518" spans="2:20" x14ac:dyDescent="0.2">
      <c r="B13518" s="245"/>
      <c r="C13518" s="248"/>
      <c r="D13518" s="249"/>
      <c r="E13518" s="249"/>
      <c r="T13518" s="261"/>
    </row>
    <row r="13519" spans="2:20" x14ac:dyDescent="0.2">
      <c r="B13519" s="245"/>
      <c r="C13519" s="248"/>
      <c r="D13519" s="249"/>
      <c r="E13519" s="249"/>
      <c r="T13519" s="261"/>
    </row>
    <row r="13520" spans="2:20" x14ac:dyDescent="0.2">
      <c r="B13520" s="245"/>
      <c r="C13520" s="248"/>
      <c r="D13520" s="249"/>
      <c r="E13520" s="249"/>
      <c r="T13520" s="261"/>
    </row>
    <row r="13521" spans="2:20" x14ac:dyDescent="0.2">
      <c r="B13521" s="245"/>
      <c r="C13521" s="248"/>
      <c r="D13521" s="249"/>
      <c r="E13521" s="249"/>
      <c r="T13521" s="261"/>
    </row>
    <row r="13522" spans="2:20" x14ac:dyDescent="0.2">
      <c r="B13522" s="245"/>
      <c r="C13522" s="248"/>
      <c r="D13522" s="249"/>
      <c r="E13522" s="249"/>
      <c r="T13522" s="261"/>
    </row>
    <row r="13523" spans="2:20" x14ac:dyDescent="0.2">
      <c r="B13523" s="245"/>
      <c r="C13523" s="248"/>
      <c r="D13523" s="249"/>
      <c r="E13523" s="249"/>
      <c r="T13523" s="261"/>
    </row>
    <row r="13524" spans="2:20" x14ac:dyDescent="0.2">
      <c r="B13524" s="245"/>
      <c r="C13524" s="248"/>
      <c r="D13524" s="249"/>
      <c r="E13524" s="249"/>
      <c r="T13524" s="261"/>
    </row>
    <row r="13525" spans="2:20" x14ac:dyDescent="0.2">
      <c r="B13525" s="245"/>
      <c r="C13525" s="248"/>
      <c r="D13525" s="249"/>
      <c r="E13525" s="249"/>
      <c r="T13525" s="261"/>
    </row>
    <row r="13526" spans="2:20" x14ac:dyDescent="0.2">
      <c r="B13526" s="245"/>
      <c r="C13526" s="248"/>
      <c r="D13526" s="249"/>
      <c r="E13526" s="249"/>
      <c r="T13526" s="261"/>
    </row>
    <row r="13527" spans="2:20" x14ac:dyDescent="0.2">
      <c r="B13527" s="245"/>
      <c r="C13527" s="248"/>
      <c r="D13527" s="249"/>
      <c r="E13527" s="249"/>
      <c r="T13527" s="261"/>
    </row>
    <row r="13528" spans="2:20" x14ac:dyDescent="0.2">
      <c r="B13528" s="245"/>
      <c r="C13528" s="248"/>
      <c r="D13528" s="249"/>
      <c r="E13528" s="249"/>
      <c r="T13528" s="261"/>
    </row>
    <row r="13529" spans="2:20" x14ac:dyDescent="0.2">
      <c r="B13529" s="245"/>
      <c r="C13529" s="248"/>
      <c r="D13529" s="249"/>
      <c r="E13529" s="249"/>
      <c r="T13529" s="261"/>
    </row>
    <row r="13530" spans="2:20" x14ac:dyDescent="0.2">
      <c r="B13530" s="245"/>
      <c r="C13530" s="248"/>
      <c r="D13530" s="249"/>
      <c r="E13530" s="249"/>
      <c r="T13530" s="261"/>
    </row>
    <row r="13531" spans="2:20" x14ac:dyDescent="0.2">
      <c r="B13531" s="245"/>
      <c r="C13531" s="248"/>
      <c r="D13531" s="249"/>
      <c r="E13531" s="249"/>
      <c r="T13531" s="261"/>
    </row>
    <row r="13532" spans="2:20" x14ac:dyDescent="0.2">
      <c r="B13532" s="245"/>
      <c r="C13532" s="248"/>
      <c r="D13532" s="249"/>
      <c r="E13532" s="249"/>
      <c r="T13532" s="261"/>
    </row>
    <row r="13533" spans="2:20" x14ac:dyDescent="0.2">
      <c r="B13533" s="245"/>
      <c r="C13533" s="248"/>
      <c r="D13533" s="249"/>
      <c r="E13533" s="249"/>
      <c r="T13533" s="261"/>
    </row>
    <row r="13534" spans="2:20" x14ac:dyDescent="0.2">
      <c r="B13534" s="245"/>
      <c r="C13534" s="248"/>
      <c r="D13534" s="249"/>
      <c r="E13534" s="249"/>
      <c r="T13534" s="261"/>
    </row>
    <row r="13535" spans="2:20" x14ac:dyDescent="0.2">
      <c r="B13535" s="245"/>
      <c r="C13535" s="248"/>
      <c r="D13535" s="249"/>
      <c r="E13535" s="249"/>
      <c r="T13535" s="261"/>
    </row>
    <row r="13536" spans="2:20" x14ac:dyDescent="0.2">
      <c r="B13536" s="245"/>
      <c r="C13536" s="248"/>
      <c r="D13536" s="249"/>
      <c r="E13536" s="249"/>
      <c r="T13536" s="261"/>
    </row>
    <row r="13537" spans="2:20" x14ac:dyDescent="0.2">
      <c r="B13537" s="245"/>
      <c r="C13537" s="248"/>
      <c r="D13537" s="249"/>
      <c r="E13537" s="249"/>
      <c r="T13537" s="261"/>
    </row>
    <row r="13538" spans="2:20" x14ac:dyDescent="0.2">
      <c r="B13538" s="245"/>
      <c r="C13538" s="248"/>
      <c r="D13538" s="249"/>
      <c r="E13538" s="249"/>
      <c r="T13538" s="261"/>
    </row>
    <row r="13539" spans="2:20" x14ac:dyDescent="0.2">
      <c r="B13539" s="245"/>
      <c r="C13539" s="248"/>
      <c r="D13539" s="249"/>
      <c r="E13539" s="249"/>
      <c r="T13539" s="261"/>
    </row>
    <row r="13540" spans="2:20" x14ac:dyDescent="0.2">
      <c r="B13540" s="245"/>
      <c r="C13540" s="248"/>
      <c r="D13540" s="249"/>
      <c r="E13540" s="249"/>
      <c r="T13540" s="261"/>
    </row>
    <row r="13541" spans="2:20" x14ac:dyDescent="0.2">
      <c r="B13541" s="245"/>
      <c r="C13541" s="248"/>
      <c r="D13541" s="249"/>
      <c r="E13541" s="249"/>
      <c r="T13541" s="261"/>
    </row>
    <row r="13542" spans="2:20" x14ac:dyDescent="0.2">
      <c r="B13542" s="245"/>
      <c r="C13542" s="248"/>
      <c r="D13542" s="249"/>
      <c r="E13542" s="249"/>
      <c r="T13542" s="261"/>
    </row>
    <row r="13543" spans="2:20" x14ac:dyDescent="0.2">
      <c r="B13543" s="245"/>
      <c r="C13543" s="248"/>
      <c r="D13543" s="249"/>
      <c r="E13543" s="249"/>
      <c r="T13543" s="261"/>
    </row>
    <row r="13544" spans="2:20" x14ac:dyDescent="0.2">
      <c r="B13544" s="245"/>
      <c r="C13544" s="248"/>
      <c r="D13544" s="249"/>
      <c r="E13544" s="249"/>
      <c r="T13544" s="261"/>
    </row>
    <row r="13545" spans="2:20" x14ac:dyDescent="0.2">
      <c r="B13545" s="245"/>
      <c r="C13545" s="248"/>
      <c r="D13545" s="249"/>
      <c r="E13545" s="249"/>
      <c r="T13545" s="261"/>
    </row>
    <row r="13546" spans="2:20" x14ac:dyDescent="0.2">
      <c r="B13546" s="245"/>
      <c r="C13546" s="248"/>
      <c r="D13546" s="249"/>
      <c r="E13546" s="249"/>
      <c r="T13546" s="261"/>
    </row>
    <row r="13547" spans="2:20" x14ac:dyDescent="0.2">
      <c r="B13547" s="245"/>
      <c r="C13547" s="248"/>
      <c r="D13547" s="249"/>
      <c r="E13547" s="249"/>
      <c r="T13547" s="261"/>
    </row>
    <row r="13548" spans="2:20" x14ac:dyDescent="0.2">
      <c r="B13548" s="245"/>
      <c r="C13548" s="248"/>
      <c r="D13548" s="249"/>
      <c r="E13548" s="249"/>
      <c r="T13548" s="261"/>
    </row>
    <row r="13549" spans="2:20" x14ac:dyDescent="0.2">
      <c r="B13549" s="245"/>
      <c r="C13549" s="248"/>
      <c r="D13549" s="249"/>
      <c r="E13549" s="249"/>
      <c r="T13549" s="261"/>
    </row>
    <row r="13550" spans="2:20" x14ac:dyDescent="0.2">
      <c r="B13550" s="245"/>
      <c r="C13550" s="248"/>
      <c r="D13550" s="249"/>
      <c r="E13550" s="249"/>
      <c r="T13550" s="261"/>
    </row>
    <row r="13551" spans="2:20" x14ac:dyDescent="0.2">
      <c r="B13551" s="245"/>
      <c r="C13551" s="248"/>
      <c r="D13551" s="249"/>
      <c r="E13551" s="249"/>
      <c r="T13551" s="261"/>
    </row>
    <row r="13552" spans="2:20" x14ac:dyDescent="0.2">
      <c r="B13552" s="245"/>
      <c r="C13552" s="248"/>
      <c r="D13552" s="249"/>
      <c r="E13552" s="249"/>
      <c r="T13552" s="261"/>
    </row>
    <row r="13553" spans="2:20" x14ac:dyDescent="0.2">
      <c r="B13553" s="245"/>
      <c r="C13553" s="248"/>
      <c r="D13553" s="249"/>
      <c r="E13553" s="249"/>
      <c r="T13553" s="261"/>
    </row>
    <row r="13554" spans="2:20" x14ac:dyDescent="0.2">
      <c r="B13554" s="245"/>
      <c r="C13554" s="248"/>
      <c r="D13554" s="249"/>
      <c r="E13554" s="249"/>
      <c r="T13554" s="261"/>
    </row>
    <row r="13555" spans="2:20" x14ac:dyDescent="0.2">
      <c r="B13555" s="245"/>
      <c r="C13555" s="248"/>
      <c r="D13555" s="249"/>
      <c r="E13555" s="249"/>
      <c r="T13555" s="261"/>
    </row>
    <row r="13556" spans="2:20" x14ac:dyDescent="0.2">
      <c r="B13556" s="245"/>
      <c r="C13556" s="248"/>
      <c r="D13556" s="249"/>
      <c r="E13556" s="249"/>
      <c r="T13556" s="261"/>
    </row>
    <row r="13557" spans="2:20" x14ac:dyDescent="0.2">
      <c r="B13557" s="245"/>
      <c r="C13557" s="248"/>
      <c r="D13557" s="249"/>
      <c r="E13557" s="249"/>
      <c r="T13557" s="261"/>
    </row>
    <row r="13558" spans="2:20" x14ac:dyDescent="0.2">
      <c r="B13558" s="245"/>
      <c r="C13558" s="248"/>
      <c r="D13558" s="249"/>
      <c r="E13558" s="249"/>
      <c r="T13558" s="261"/>
    </row>
    <row r="13559" spans="2:20" x14ac:dyDescent="0.2">
      <c r="B13559" s="245"/>
      <c r="C13559" s="248"/>
      <c r="D13559" s="249"/>
      <c r="E13559" s="249"/>
      <c r="T13559" s="261"/>
    </row>
    <row r="13560" spans="2:20" x14ac:dyDescent="0.2">
      <c r="B13560" s="245"/>
      <c r="C13560" s="248"/>
      <c r="D13560" s="249"/>
      <c r="E13560" s="249"/>
      <c r="T13560" s="261"/>
    </row>
    <row r="13561" spans="2:20" x14ac:dyDescent="0.2">
      <c r="B13561" s="245"/>
      <c r="C13561" s="248"/>
      <c r="D13561" s="249"/>
      <c r="E13561" s="249"/>
      <c r="T13561" s="261"/>
    </row>
    <row r="13562" spans="2:20" x14ac:dyDescent="0.2">
      <c r="B13562" s="245"/>
      <c r="C13562" s="248"/>
      <c r="D13562" s="249"/>
      <c r="E13562" s="249"/>
      <c r="T13562" s="261"/>
    </row>
    <row r="13563" spans="2:20" x14ac:dyDescent="0.2">
      <c r="B13563" s="245"/>
      <c r="C13563" s="248"/>
      <c r="D13563" s="249"/>
      <c r="E13563" s="249"/>
      <c r="T13563" s="261"/>
    </row>
    <row r="13564" spans="2:20" x14ac:dyDescent="0.2">
      <c r="B13564" s="245"/>
      <c r="C13564" s="248"/>
      <c r="D13564" s="249"/>
      <c r="E13564" s="249"/>
      <c r="T13564" s="261"/>
    </row>
    <row r="13565" spans="2:20" x14ac:dyDescent="0.2">
      <c r="B13565" s="245"/>
      <c r="C13565" s="248"/>
      <c r="D13565" s="249"/>
      <c r="E13565" s="249"/>
      <c r="T13565" s="261"/>
    </row>
    <row r="13566" spans="2:20" x14ac:dyDescent="0.2">
      <c r="B13566" s="245"/>
      <c r="C13566" s="248"/>
      <c r="D13566" s="249"/>
      <c r="E13566" s="249"/>
      <c r="T13566" s="261"/>
    </row>
    <row r="13567" spans="2:20" x14ac:dyDescent="0.2">
      <c r="B13567" s="245"/>
      <c r="C13567" s="248"/>
      <c r="D13567" s="249"/>
      <c r="E13567" s="249"/>
      <c r="T13567" s="261"/>
    </row>
    <row r="13568" spans="2:20" x14ac:dyDescent="0.2">
      <c r="B13568" s="245"/>
      <c r="C13568" s="248"/>
      <c r="D13568" s="249"/>
      <c r="E13568" s="249"/>
      <c r="T13568" s="261"/>
    </row>
    <row r="13569" spans="2:20" x14ac:dyDescent="0.2">
      <c r="B13569" s="245"/>
      <c r="C13569" s="248"/>
      <c r="D13569" s="249"/>
      <c r="E13569" s="249"/>
      <c r="T13569" s="261"/>
    </row>
    <row r="13570" spans="2:20" x14ac:dyDescent="0.2">
      <c r="B13570" s="245"/>
      <c r="C13570" s="248"/>
      <c r="D13570" s="249"/>
      <c r="E13570" s="249"/>
      <c r="T13570" s="261"/>
    </row>
    <row r="13571" spans="2:20" x14ac:dyDescent="0.2">
      <c r="B13571" s="245"/>
      <c r="C13571" s="248"/>
      <c r="D13571" s="249"/>
      <c r="E13571" s="249"/>
      <c r="T13571" s="261"/>
    </row>
    <row r="13572" spans="2:20" x14ac:dyDescent="0.2">
      <c r="B13572" s="245"/>
      <c r="C13572" s="248"/>
      <c r="D13572" s="249"/>
      <c r="E13572" s="249"/>
      <c r="T13572" s="261"/>
    </row>
    <row r="13573" spans="2:20" x14ac:dyDescent="0.2">
      <c r="B13573" s="245"/>
      <c r="C13573" s="248"/>
      <c r="D13573" s="249"/>
      <c r="E13573" s="249"/>
      <c r="T13573" s="261"/>
    </row>
    <row r="13574" spans="2:20" x14ac:dyDescent="0.2">
      <c r="B13574" s="245"/>
      <c r="C13574" s="248"/>
      <c r="D13574" s="249"/>
      <c r="E13574" s="249"/>
      <c r="T13574" s="261"/>
    </row>
    <row r="13575" spans="2:20" x14ac:dyDescent="0.2">
      <c r="B13575" s="245"/>
      <c r="C13575" s="248"/>
      <c r="D13575" s="249"/>
      <c r="E13575" s="249"/>
      <c r="T13575" s="261"/>
    </row>
    <row r="13576" spans="2:20" x14ac:dyDescent="0.2">
      <c r="B13576" s="245"/>
      <c r="C13576" s="248"/>
      <c r="D13576" s="249"/>
      <c r="E13576" s="249"/>
      <c r="T13576" s="261"/>
    </row>
    <row r="13577" spans="2:20" x14ac:dyDescent="0.2">
      <c r="B13577" s="245"/>
      <c r="C13577" s="248"/>
      <c r="D13577" s="249"/>
      <c r="E13577" s="249"/>
      <c r="T13577" s="261"/>
    </row>
    <row r="13578" spans="2:20" x14ac:dyDescent="0.2">
      <c r="B13578" s="245"/>
      <c r="C13578" s="248"/>
      <c r="D13578" s="249"/>
      <c r="E13578" s="249"/>
      <c r="T13578" s="261"/>
    </row>
    <row r="13579" spans="2:20" x14ac:dyDescent="0.2">
      <c r="B13579" s="245"/>
      <c r="C13579" s="248"/>
      <c r="D13579" s="249"/>
      <c r="E13579" s="249"/>
      <c r="T13579" s="261"/>
    </row>
    <row r="13580" spans="2:20" x14ac:dyDescent="0.2">
      <c r="B13580" s="245"/>
      <c r="C13580" s="248"/>
      <c r="D13580" s="249"/>
      <c r="E13580" s="249"/>
      <c r="T13580" s="261"/>
    </row>
    <row r="13581" spans="2:20" x14ac:dyDescent="0.2">
      <c r="B13581" s="245"/>
      <c r="C13581" s="248"/>
      <c r="D13581" s="249"/>
      <c r="E13581" s="249"/>
      <c r="T13581" s="261"/>
    </row>
    <row r="13582" spans="2:20" x14ac:dyDescent="0.2">
      <c r="B13582" s="245"/>
      <c r="C13582" s="248"/>
      <c r="D13582" s="249"/>
      <c r="E13582" s="249"/>
      <c r="T13582" s="261"/>
    </row>
    <row r="13583" spans="2:20" x14ac:dyDescent="0.2">
      <c r="B13583" s="245"/>
      <c r="C13583" s="248"/>
      <c r="D13583" s="249"/>
      <c r="E13583" s="249"/>
      <c r="T13583" s="261"/>
    </row>
    <row r="13584" spans="2:20" x14ac:dyDescent="0.2">
      <c r="B13584" s="245"/>
      <c r="C13584" s="248"/>
      <c r="D13584" s="249"/>
      <c r="E13584" s="249"/>
      <c r="T13584" s="261"/>
    </row>
    <row r="13585" spans="2:20" x14ac:dyDescent="0.2">
      <c r="B13585" s="245"/>
      <c r="C13585" s="248"/>
      <c r="D13585" s="249"/>
      <c r="E13585" s="249"/>
      <c r="T13585" s="261"/>
    </row>
    <row r="13586" spans="2:20" x14ac:dyDescent="0.2">
      <c r="B13586" s="245"/>
      <c r="C13586" s="248"/>
      <c r="D13586" s="249"/>
      <c r="E13586" s="249"/>
      <c r="T13586" s="261"/>
    </row>
    <row r="13587" spans="2:20" x14ac:dyDescent="0.2">
      <c r="B13587" s="245"/>
      <c r="C13587" s="248"/>
      <c r="D13587" s="249"/>
      <c r="E13587" s="249"/>
      <c r="T13587" s="261"/>
    </row>
    <row r="13588" spans="2:20" x14ac:dyDescent="0.2">
      <c r="B13588" s="245"/>
      <c r="C13588" s="248"/>
      <c r="D13588" s="249"/>
      <c r="E13588" s="249"/>
      <c r="T13588" s="261"/>
    </row>
    <row r="13589" spans="2:20" x14ac:dyDescent="0.2">
      <c r="B13589" s="245"/>
      <c r="C13589" s="248"/>
      <c r="D13589" s="249"/>
      <c r="E13589" s="249"/>
      <c r="T13589" s="261"/>
    </row>
    <row r="13590" spans="2:20" x14ac:dyDescent="0.2">
      <c r="B13590" s="245"/>
      <c r="C13590" s="248"/>
      <c r="D13590" s="249"/>
      <c r="E13590" s="249"/>
      <c r="T13590" s="261"/>
    </row>
    <row r="13591" spans="2:20" x14ac:dyDescent="0.2">
      <c r="B13591" s="245"/>
      <c r="C13591" s="248"/>
      <c r="D13591" s="249"/>
      <c r="E13591" s="249"/>
      <c r="T13591" s="261"/>
    </row>
    <row r="13592" spans="2:20" x14ac:dyDescent="0.2">
      <c r="B13592" s="245"/>
      <c r="C13592" s="248"/>
      <c r="D13592" s="249"/>
      <c r="E13592" s="249"/>
      <c r="T13592" s="261"/>
    </row>
    <row r="13593" spans="2:20" x14ac:dyDescent="0.2">
      <c r="B13593" s="245"/>
      <c r="C13593" s="248"/>
      <c r="D13593" s="249"/>
      <c r="E13593" s="249"/>
      <c r="T13593" s="261"/>
    </row>
    <row r="13594" spans="2:20" x14ac:dyDescent="0.2">
      <c r="B13594" s="245"/>
      <c r="C13594" s="248"/>
      <c r="D13594" s="249"/>
      <c r="E13594" s="249"/>
      <c r="T13594" s="261"/>
    </row>
    <row r="13595" spans="2:20" x14ac:dyDescent="0.2">
      <c r="B13595" s="245"/>
      <c r="C13595" s="248"/>
      <c r="D13595" s="249"/>
      <c r="E13595" s="249"/>
      <c r="T13595" s="261"/>
    </row>
    <row r="13596" spans="2:20" x14ac:dyDescent="0.2">
      <c r="B13596" s="245"/>
      <c r="C13596" s="248"/>
      <c r="D13596" s="249"/>
      <c r="E13596" s="249"/>
      <c r="T13596" s="261"/>
    </row>
    <row r="13597" spans="2:20" x14ac:dyDescent="0.2">
      <c r="B13597" s="245"/>
      <c r="C13597" s="248"/>
      <c r="D13597" s="249"/>
      <c r="E13597" s="249"/>
      <c r="T13597" s="261"/>
    </row>
    <row r="13598" spans="2:20" x14ac:dyDescent="0.2">
      <c r="B13598" s="245"/>
      <c r="C13598" s="248"/>
      <c r="D13598" s="249"/>
      <c r="E13598" s="249"/>
      <c r="T13598" s="261"/>
    </row>
    <row r="13599" spans="2:20" x14ac:dyDescent="0.2">
      <c r="B13599" s="245"/>
      <c r="C13599" s="248"/>
      <c r="D13599" s="249"/>
      <c r="E13599" s="249"/>
      <c r="T13599" s="261"/>
    </row>
    <row r="13600" spans="2:20" x14ac:dyDescent="0.2">
      <c r="B13600" s="245"/>
      <c r="C13600" s="248"/>
      <c r="D13600" s="249"/>
      <c r="E13600" s="249"/>
      <c r="T13600" s="261"/>
    </row>
    <row r="13601" spans="2:20" x14ac:dyDescent="0.2">
      <c r="B13601" s="245"/>
      <c r="C13601" s="248"/>
      <c r="D13601" s="249"/>
      <c r="E13601" s="249"/>
      <c r="T13601" s="261"/>
    </row>
    <row r="13602" spans="2:20" x14ac:dyDescent="0.2">
      <c r="B13602" s="245"/>
      <c r="C13602" s="248"/>
      <c r="D13602" s="249"/>
      <c r="E13602" s="249"/>
      <c r="T13602" s="261"/>
    </row>
    <row r="13603" spans="2:20" x14ac:dyDescent="0.2">
      <c r="B13603" s="245"/>
      <c r="C13603" s="248"/>
      <c r="D13603" s="249"/>
      <c r="E13603" s="249"/>
      <c r="T13603" s="261"/>
    </row>
    <row r="13604" spans="2:20" x14ac:dyDescent="0.2">
      <c r="B13604" s="245"/>
      <c r="C13604" s="248"/>
      <c r="D13604" s="249"/>
      <c r="E13604" s="249"/>
      <c r="T13604" s="261"/>
    </row>
    <row r="13605" spans="2:20" x14ac:dyDescent="0.2">
      <c r="B13605" s="245"/>
      <c r="C13605" s="248"/>
      <c r="D13605" s="249"/>
      <c r="E13605" s="249"/>
      <c r="T13605" s="261"/>
    </row>
    <row r="13606" spans="2:20" x14ac:dyDescent="0.2">
      <c r="B13606" s="245"/>
      <c r="C13606" s="248"/>
      <c r="D13606" s="249"/>
      <c r="E13606" s="249"/>
      <c r="T13606" s="261"/>
    </row>
    <row r="13607" spans="2:20" x14ac:dyDescent="0.2">
      <c r="B13607" s="245"/>
      <c r="C13607" s="248"/>
      <c r="D13607" s="249"/>
      <c r="E13607" s="249"/>
      <c r="T13607" s="261"/>
    </row>
    <row r="13608" spans="2:20" x14ac:dyDescent="0.2">
      <c r="B13608" s="245"/>
      <c r="C13608" s="248"/>
      <c r="D13608" s="249"/>
      <c r="E13608" s="249"/>
      <c r="T13608" s="261"/>
    </row>
    <row r="13609" spans="2:20" x14ac:dyDescent="0.2">
      <c r="B13609" s="245"/>
      <c r="C13609" s="248"/>
      <c r="D13609" s="249"/>
      <c r="E13609" s="249"/>
      <c r="T13609" s="261"/>
    </row>
    <row r="13610" spans="2:20" x14ac:dyDescent="0.2">
      <c r="B13610" s="245"/>
      <c r="C13610" s="248"/>
      <c r="D13610" s="249"/>
      <c r="E13610" s="249"/>
      <c r="T13610" s="261"/>
    </row>
    <row r="13611" spans="2:20" x14ac:dyDescent="0.2">
      <c r="B13611" s="245"/>
      <c r="C13611" s="248"/>
      <c r="D13611" s="249"/>
      <c r="E13611" s="249"/>
      <c r="T13611" s="261"/>
    </row>
    <row r="13612" spans="2:20" x14ac:dyDescent="0.2">
      <c r="B13612" s="245"/>
      <c r="C13612" s="248"/>
      <c r="D13612" s="249"/>
      <c r="E13612" s="249"/>
      <c r="T13612" s="261"/>
    </row>
    <row r="13613" spans="2:20" x14ac:dyDescent="0.2">
      <c r="B13613" s="245"/>
      <c r="C13613" s="248"/>
      <c r="D13613" s="249"/>
      <c r="E13613" s="249"/>
      <c r="T13613" s="261"/>
    </row>
    <row r="13614" spans="2:20" x14ac:dyDescent="0.2">
      <c r="B13614" s="245"/>
      <c r="C13614" s="248"/>
      <c r="D13614" s="249"/>
      <c r="E13614" s="249"/>
      <c r="T13614" s="261"/>
    </row>
    <row r="13615" spans="2:20" x14ac:dyDescent="0.2">
      <c r="B13615" s="245"/>
      <c r="C13615" s="248"/>
      <c r="D13615" s="249"/>
      <c r="E13615" s="249"/>
      <c r="T13615" s="261"/>
    </row>
    <row r="13616" spans="2:20" x14ac:dyDescent="0.2">
      <c r="B13616" s="245"/>
      <c r="C13616" s="248"/>
      <c r="D13616" s="249"/>
      <c r="E13616" s="249"/>
      <c r="T13616" s="261"/>
    </row>
    <row r="13617" spans="2:20" x14ac:dyDescent="0.2">
      <c r="B13617" s="245"/>
      <c r="C13617" s="248"/>
      <c r="D13617" s="249"/>
      <c r="E13617" s="249"/>
      <c r="T13617" s="261"/>
    </row>
    <row r="13618" spans="2:20" x14ac:dyDescent="0.2">
      <c r="B13618" s="245"/>
      <c r="C13618" s="248"/>
      <c r="D13618" s="249"/>
      <c r="E13618" s="249"/>
      <c r="T13618" s="261"/>
    </row>
    <row r="13619" spans="2:20" x14ac:dyDescent="0.2">
      <c r="B13619" s="245"/>
      <c r="C13619" s="248"/>
      <c r="D13619" s="249"/>
      <c r="E13619" s="249"/>
      <c r="T13619" s="261"/>
    </row>
    <row r="13620" spans="2:20" x14ac:dyDescent="0.2">
      <c r="B13620" s="245"/>
      <c r="C13620" s="248"/>
      <c r="D13620" s="249"/>
      <c r="E13620" s="249"/>
      <c r="T13620" s="261"/>
    </row>
    <row r="13621" spans="2:20" x14ac:dyDescent="0.2">
      <c r="B13621" s="245"/>
      <c r="C13621" s="248"/>
      <c r="D13621" s="249"/>
      <c r="E13621" s="249"/>
      <c r="T13621" s="261"/>
    </row>
    <row r="13622" spans="2:20" x14ac:dyDescent="0.2">
      <c r="B13622" s="245"/>
      <c r="C13622" s="248"/>
      <c r="D13622" s="249"/>
      <c r="E13622" s="249"/>
      <c r="T13622" s="261"/>
    </row>
    <row r="13623" spans="2:20" x14ac:dyDescent="0.2">
      <c r="B13623" s="245"/>
      <c r="C13623" s="248"/>
      <c r="D13623" s="249"/>
      <c r="E13623" s="249"/>
      <c r="T13623" s="261"/>
    </row>
    <row r="13624" spans="2:20" x14ac:dyDescent="0.2">
      <c r="B13624" s="245"/>
      <c r="C13624" s="248"/>
      <c r="D13624" s="249"/>
      <c r="E13624" s="249"/>
      <c r="T13624" s="261"/>
    </row>
    <row r="13625" spans="2:20" x14ac:dyDescent="0.2">
      <c r="B13625" s="245"/>
      <c r="C13625" s="248"/>
      <c r="D13625" s="249"/>
      <c r="E13625" s="249"/>
      <c r="T13625" s="261"/>
    </row>
    <row r="13626" spans="2:20" x14ac:dyDescent="0.2">
      <c r="B13626" s="245"/>
      <c r="C13626" s="248"/>
      <c r="D13626" s="249"/>
      <c r="E13626" s="249"/>
      <c r="T13626" s="261"/>
    </row>
    <row r="13627" spans="2:20" x14ac:dyDescent="0.2">
      <c r="B13627" s="245"/>
      <c r="C13627" s="248"/>
      <c r="D13627" s="249"/>
      <c r="E13627" s="249"/>
      <c r="T13627" s="261"/>
    </row>
    <row r="13628" spans="2:20" x14ac:dyDescent="0.2">
      <c r="B13628" s="245"/>
      <c r="C13628" s="248"/>
      <c r="D13628" s="249"/>
      <c r="E13628" s="249"/>
      <c r="T13628" s="261"/>
    </row>
    <row r="13629" spans="2:20" x14ac:dyDescent="0.2">
      <c r="B13629" s="245"/>
      <c r="C13629" s="248"/>
      <c r="D13629" s="249"/>
      <c r="E13629" s="249"/>
      <c r="T13629" s="261"/>
    </row>
    <row r="13630" spans="2:20" x14ac:dyDescent="0.2">
      <c r="B13630" s="245"/>
      <c r="C13630" s="248"/>
      <c r="D13630" s="249"/>
      <c r="E13630" s="249"/>
      <c r="T13630" s="261"/>
    </row>
    <row r="13631" spans="2:20" x14ac:dyDescent="0.2">
      <c r="B13631" s="245"/>
      <c r="C13631" s="248"/>
      <c r="D13631" s="249"/>
      <c r="E13631" s="249"/>
      <c r="T13631" s="261"/>
    </row>
    <row r="13632" spans="2:20" x14ac:dyDescent="0.2">
      <c r="B13632" s="245"/>
      <c r="C13632" s="248"/>
      <c r="D13632" s="249"/>
      <c r="E13632" s="249"/>
      <c r="T13632" s="261"/>
    </row>
    <row r="13633" spans="2:20" x14ac:dyDescent="0.2">
      <c r="B13633" s="245"/>
      <c r="C13633" s="248"/>
      <c r="D13633" s="249"/>
      <c r="E13633" s="249"/>
      <c r="T13633" s="261"/>
    </row>
    <row r="13634" spans="2:20" x14ac:dyDescent="0.2">
      <c r="B13634" s="245"/>
      <c r="C13634" s="248"/>
      <c r="D13634" s="249"/>
      <c r="E13634" s="249"/>
      <c r="T13634" s="261"/>
    </row>
    <row r="13635" spans="2:20" x14ac:dyDescent="0.2">
      <c r="B13635" s="245"/>
      <c r="C13635" s="248"/>
      <c r="D13635" s="249"/>
      <c r="E13635" s="249"/>
      <c r="T13635" s="261"/>
    </row>
    <row r="13636" spans="2:20" x14ac:dyDescent="0.2">
      <c r="B13636" s="245"/>
      <c r="C13636" s="248"/>
      <c r="D13636" s="249"/>
      <c r="E13636" s="249"/>
      <c r="T13636" s="261"/>
    </row>
    <row r="13637" spans="2:20" x14ac:dyDescent="0.2">
      <c r="B13637" s="245"/>
      <c r="C13637" s="248"/>
      <c r="D13637" s="249"/>
      <c r="E13637" s="249"/>
      <c r="T13637" s="261"/>
    </row>
    <row r="13638" spans="2:20" x14ac:dyDescent="0.2">
      <c r="B13638" s="245"/>
      <c r="C13638" s="248"/>
      <c r="D13638" s="249"/>
      <c r="E13638" s="249"/>
      <c r="T13638" s="261"/>
    </row>
    <row r="13639" spans="2:20" x14ac:dyDescent="0.2">
      <c r="B13639" s="245"/>
      <c r="C13639" s="248"/>
      <c r="D13639" s="249"/>
      <c r="E13639" s="249"/>
      <c r="T13639" s="261"/>
    </row>
    <row r="13640" spans="2:20" x14ac:dyDescent="0.2">
      <c r="B13640" s="245"/>
      <c r="C13640" s="248"/>
      <c r="D13640" s="249"/>
      <c r="E13640" s="249"/>
      <c r="T13640" s="261"/>
    </row>
    <row r="13641" spans="2:20" x14ac:dyDescent="0.2">
      <c r="B13641" s="245"/>
      <c r="C13641" s="248"/>
      <c r="D13641" s="249"/>
      <c r="E13641" s="249"/>
      <c r="T13641" s="261"/>
    </row>
    <row r="13642" spans="2:20" x14ac:dyDescent="0.2">
      <c r="B13642" s="245"/>
      <c r="C13642" s="248"/>
      <c r="D13642" s="249"/>
      <c r="E13642" s="249"/>
      <c r="T13642" s="261"/>
    </row>
    <row r="13643" spans="2:20" x14ac:dyDescent="0.2">
      <c r="B13643" s="245"/>
      <c r="C13643" s="248"/>
      <c r="D13643" s="249"/>
      <c r="E13643" s="249"/>
      <c r="T13643" s="261"/>
    </row>
    <row r="13644" spans="2:20" x14ac:dyDescent="0.2">
      <c r="B13644" s="245"/>
      <c r="C13644" s="248"/>
      <c r="D13644" s="249"/>
      <c r="E13644" s="249"/>
      <c r="T13644" s="261"/>
    </row>
    <row r="13645" spans="2:20" x14ac:dyDescent="0.2">
      <c r="B13645" s="245"/>
      <c r="C13645" s="248"/>
      <c r="D13645" s="249"/>
      <c r="E13645" s="249"/>
      <c r="T13645" s="261"/>
    </row>
    <row r="13646" spans="2:20" x14ac:dyDescent="0.2">
      <c r="B13646" s="245"/>
      <c r="C13646" s="248"/>
      <c r="D13646" s="249"/>
      <c r="E13646" s="249"/>
      <c r="T13646" s="261"/>
    </row>
    <row r="13647" spans="2:20" x14ac:dyDescent="0.2">
      <c r="B13647" s="245"/>
      <c r="C13647" s="248"/>
      <c r="D13647" s="249"/>
      <c r="E13647" s="249"/>
      <c r="T13647" s="261"/>
    </row>
    <row r="13648" spans="2:20" x14ac:dyDescent="0.2">
      <c r="B13648" s="245"/>
      <c r="C13648" s="248"/>
      <c r="D13648" s="249"/>
      <c r="E13648" s="249"/>
      <c r="T13648" s="261"/>
    </row>
    <row r="13649" spans="2:20" x14ac:dyDescent="0.2">
      <c r="B13649" s="245"/>
      <c r="C13649" s="248"/>
      <c r="D13649" s="249"/>
      <c r="E13649" s="249"/>
      <c r="T13649" s="261"/>
    </row>
    <row r="13650" spans="2:20" x14ac:dyDescent="0.2">
      <c r="B13650" s="245"/>
      <c r="C13650" s="248"/>
      <c r="D13650" s="249"/>
      <c r="E13650" s="249"/>
      <c r="T13650" s="261"/>
    </row>
    <row r="13651" spans="2:20" x14ac:dyDescent="0.2">
      <c r="B13651" s="245"/>
      <c r="C13651" s="248"/>
      <c r="D13651" s="249"/>
      <c r="E13651" s="249"/>
      <c r="T13651" s="261"/>
    </row>
    <row r="13652" spans="2:20" x14ac:dyDescent="0.2">
      <c r="B13652" s="245"/>
      <c r="C13652" s="248"/>
      <c r="D13652" s="249"/>
      <c r="E13652" s="249"/>
      <c r="T13652" s="261"/>
    </row>
    <row r="13653" spans="2:20" x14ac:dyDescent="0.2">
      <c r="B13653" s="245"/>
      <c r="C13653" s="248"/>
      <c r="D13653" s="249"/>
      <c r="E13653" s="249"/>
      <c r="T13653" s="261"/>
    </row>
    <row r="13654" spans="2:20" x14ac:dyDescent="0.2">
      <c r="B13654" s="245"/>
      <c r="C13654" s="248"/>
      <c r="D13654" s="249"/>
      <c r="E13654" s="249"/>
      <c r="T13654" s="261"/>
    </row>
    <row r="13655" spans="2:20" x14ac:dyDescent="0.2">
      <c r="B13655" s="245"/>
      <c r="C13655" s="248"/>
      <c r="D13655" s="249"/>
      <c r="E13655" s="249"/>
      <c r="T13655" s="261"/>
    </row>
    <row r="13656" spans="2:20" x14ac:dyDescent="0.2">
      <c r="B13656" s="245"/>
      <c r="C13656" s="248"/>
      <c r="D13656" s="249"/>
      <c r="E13656" s="249"/>
      <c r="T13656" s="261"/>
    </row>
    <row r="13657" spans="2:20" x14ac:dyDescent="0.2">
      <c r="B13657" s="245"/>
      <c r="C13657" s="248"/>
      <c r="D13657" s="249"/>
      <c r="E13657" s="249"/>
      <c r="T13657" s="261"/>
    </row>
    <row r="13658" spans="2:20" x14ac:dyDescent="0.2">
      <c r="B13658" s="245"/>
      <c r="C13658" s="248"/>
      <c r="D13658" s="249"/>
      <c r="E13658" s="249"/>
      <c r="T13658" s="261"/>
    </row>
    <row r="13659" spans="2:20" x14ac:dyDescent="0.2">
      <c r="B13659" s="245"/>
      <c r="C13659" s="248"/>
      <c r="D13659" s="249"/>
      <c r="E13659" s="249"/>
      <c r="T13659" s="261"/>
    </row>
    <row r="13660" spans="2:20" x14ac:dyDescent="0.2">
      <c r="B13660" s="245"/>
      <c r="C13660" s="248"/>
      <c r="D13660" s="249"/>
      <c r="E13660" s="249"/>
      <c r="T13660" s="261"/>
    </row>
    <row r="13661" spans="2:20" x14ac:dyDescent="0.2">
      <c r="B13661" s="245"/>
      <c r="C13661" s="248"/>
      <c r="D13661" s="249"/>
      <c r="E13661" s="249"/>
      <c r="T13661" s="261"/>
    </row>
    <row r="13662" spans="2:20" x14ac:dyDescent="0.2">
      <c r="B13662" s="245"/>
      <c r="C13662" s="248"/>
      <c r="D13662" s="249"/>
      <c r="E13662" s="249"/>
      <c r="T13662" s="261"/>
    </row>
    <row r="13663" spans="2:20" x14ac:dyDescent="0.2">
      <c r="B13663" s="245"/>
      <c r="C13663" s="248"/>
      <c r="D13663" s="249"/>
      <c r="E13663" s="249"/>
      <c r="T13663" s="261"/>
    </row>
    <row r="13664" spans="2:20" x14ac:dyDescent="0.2">
      <c r="B13664" s="245"/>
      <c r="C13664" s="248"/>
      <c r="D13664" s="249"/>
      <c r="E13664" s="249"/>
      <c r="T13664" s="261"/>
    </row>
    <row r="13665" spans="2:20" x14ac:dyDescent="0.2">
      <c r="B13665" s="245"/>
      <c r="C13665" s="248"/>
      <c r="D13665" s="249"/>
      <c r="E13665" s="249"/>
      <c r="T13665" s="261"/>
    </row>
    <row r="13666" spans="2:20" x14ac:dyDescent="0.2">
      <c r="B13666" s="245"/>
      <c r="C13666" s="248"/>
      <c r="D13666" s="249"/>
      <c r="E13666" s="249"/>
      <c r="T13666" s="261"/>
    </row>
    <row r="13667" spans="2:20" x14ac:dyDescent="0.2">
      <c r="B13667" s="245"/>
      <c r="C13667" s="248"/>
      <c r="D13667" s="249"/>
      <c r="E13667" s="249"/>
      <c r="T13667" s="261"/>
    </row>
    <row r="13668" spans="2:20" x14ac:dyDescent="0.2">
      <c r="B13668" s="245"/>
      <c r="C13668" s="248"/>
      <c r="D13668" s="249"/>
      <c r="E13668" s="249"/>
      <c r="T13668" s="261"/>
    </row>
    <row r="13669" spans="2:20" x14ac:dyDescent="0.2">
      <c r="B13669" s="245"/>
      <c r="C13669" s="248"/>
      <c r="D13669" s="249"/>
      <c r="E13669" s="249"/>
      <c r="T13669" s="261"/>
    </row>
    <row r="13670" spans="2:20" x14ac:dyDescent="0.2">
      <c r="B13670" s="245"/>
      <c r="C13670" s="248"/>
      <c r="D13670" s="249"/>
      <c r="E13670" s="249"/>
      <c r="T13670" s="261"/>
    </row>
    <row r="13671" spans="2:20" x14ac:dyDescent="0.2">
      <c r="B13671" s="245"/>
      <c r="C13671" s="248"/>
      <c r="D13671" s="249"/>
      <c r="E13671" s="249"/>
      <c r="T13671" s="261"/>
    </row>
    <row r="13672" spans="2:20" x14ac:dyDescent="0.2">
      <c r="B13672" s="245"/>
      <c r="C13672" s="248"/>
      <c r="D13672" s="249"/>
      <c r="E13672" s="249"/>
      <c r="T13672" s="261"/>
    </row>
    <row r="13673" spans="2:20" x14ac:dyDescent="0.2">
      <c r="B13673" s="245"/>
      <c r="C13673" s="248"/>
      <c r="D13673" s="249"/>
      <c r="E13673" s="249"/>
      <c r="T13673" s="261"/>
    </row>
    <row r="13674" spans="2:20" x14ac:dyDescent="0.2">
      <c r="B13674" s="245"/>
      <c r="C13674" s="248"/>
      <c r="D13674" s="249"/>
      <c r="E13674" s="249"/>
      <c r="T13674" s="261"/>
    </row>
    <row r="13675" spans="2:20" x14ac:dyDescent="0.2">
      <c r="B13675" s="245"/>
      <c r="C13675" s="248"/>
      <c r="D13675" s="249"/>
      <c r="E13675" s="249"/>
      <c r="T13675" s="261"/>
    </row>
    <row r="13676" spans="2:20" x14ac:dyDescent="0.2">
      <c r="B13676" s="245"/>
      <c r="C13676" s="248"/>
      <c r="D13676" s="249"/>
      <c r="E13676" s="249"/>
      <c r="T13676" s="261"/>
    </row>
    <row r="13677" spans="2:20" x14ac:dyDescent="0.2">
      <c r="B13677" s="245"/>
      <c r="C13677" s="248"/>
      <c r="D13677" s="249"/>
      <c r="E13677" s="249"/>
      <c r="T13677" s="261"/>
    </row>
    <row r="13678" spans="2:20" x14ac:dyDescent="0.2">
      <c r="B13678" s="245"/>
      <c r="C13678" s="248"/>
      <c r="D13678" s="249"/>
      <c r="E13678" s="249"/>
      <c r="T13678" s="261"/>
    </row>
    <row r="13679" spans="2:20" x14ac:dyDescent="0.2">
      <c r="B13679" s="245"/>
      <c r="C13679" s="248"/>
      <c r="D13679" s="249"/>
      <c r="E13679" s="249"/>
      <c r="T13679" s="261"/>
    </row>
    <row r="13680" spans="2:20" x14ac:dyDescent="0.2">
      <c r="B13680" s="245"/>
      <c r="C13680" s="248"/>
      <c r="D13680" s="249"/>
      <c r="E13680" s="249"/>
      <c r="T13680" s="261"/>
    </row>
    <row r="13681" spans="2:20" x14ac:dyDescent="0.2">
      <c r="B13681" s="245"/>
      <c r="C13681" s="248"/>
      <c r="D13681" s="249"/>
      <c r="E13681" s="249"/>
      <c r="T13681" s="261"/>
    </row>
    <row r="13682" spans="2:20" x14ac:dyDescent="0.2">
      <c r="B13682" s="245"/>
      <c r="C13682" s="248"/>
      <c r="D13682" s="249"/>
      <c r="E13682" s="249"/>
      <c r="T13682" s="261"/>
    </row>
    <row r="13683" spans="2:20" x14ac:dyDescent="0.2">
      <c r="B13683" s="245"/>
      <c r="C13683" s="248"/>
      <c r="D13683" s="249"/>
      <c r="E13683" s="249"/>
      <c r="T13683" s="261"/>
    </row>
    <row r="13684" spans="2:20" x14ac:dyDescent="0.2">
      <c r="B13684" s="245"/>
      <c r="C13684" s="248"/>
      <c r="D13684" s="249"/>
      <c r="E13684" s="249"/>
      <c r="T13684" s="261"/>
    </row>
    <row r="13685" spans="2:20" x14ac:dyDescent="0.2">
      <c r="B13685" s="245"/>
      <c r="C13685" s="248"/>
      <c r="D13685" s="249"/>
      <c r="E13685" s="249"/>
      <c r="T13685" s="261"/>
    </row>
    <row r="13686" spans="2:20" x14ac:dyDescent="0.2">
      <c r="B13686" s="245"/>
      <c r="C13686" s="248"/>
      <c r="D13686" s="249"/>
      <c r="E13686" s="249"/>
      <c r="T13686" s="261"/>
    </row>
    <row r="13687" spans="2:20" x14ac:dyDescent="0.2">
      <c r="B13687" s="245"/>
      <c r="C13687" s="248"/>
      <c r="D13687" s="249"/>
      <c r="E13687" s="249"/>
      <c r="T13687" s="261"/>
    </row>
    <row r="13688" spans="2:20" x14ac:dyDescent="0.2">
      <c r="B13688" s="245"/>
      <c r="C13688" s="248"/>
      <c r="D13688" s="249"/>
      <c r="E13688" s="249"/>
      <c r="T13688" s="261"/>
    </row>
    <row r="13689" spans="2:20" x14ac:dyDescent="0.2">
      <c r="B13689" s="245"/>
      <c r="C13689" s="248"/>
      <c r="D13689" s="249"/>
      <c r="E13689" s="249"/>
      <c r="T13689" s="261"/>
    </row>
    <row r="13690" spans="2:20" x14ac:dyDescent="0.2">
      <c r="B13690" s="245"/>
      <c r="C13690" s="248"/>
      <c r="D13690" s="249"/>
      <c r="E13690" s="249"/>
      <c r="T13690" s="261"/>
    </row>
    <row r="13691" spans="2:20" x14ac:dyDescent="0.2">
      <c r="B13691" s="245"/>
      <c r="C13691" s="248"/>
      <c r="D13691" s="249"/>
      <c r="E13691" s="249"/>
      <c r="T13691" s="261"/>
    </row>
    <row r="13692" spans="2:20" x14ac:dyDescent="0.2">
      <c r="B13692" s="245"/>
      <c r="C13692" s="248"/>
      <c r="D13692" s="249"/>
      <c r="E13692" s="249"/>
      <c r="T13692" s="261"/>
    </row>
    <row r="13693" spans="2:20" x14ac:dyDescent="0.2">
      <c r="B13693" s="245"/>
      <c r="C13693" s="248"/>
      <c r="D13693" s="249"/>
      <c r="E13693" s="249"/>
      <c r="T13693" s="261"/>
    </row>
    <row r="13694" spans="2:20" x14ac:dyDescent="0.2">
      <c r="B13694" s="245"/>
      <c r="C13694" s="248"/>
      <c r="D13694" s="249"/>
      <c r="E13694" s="249"/>
      <c r="T13694" s="261"/>
    </row>
    <row r="13695" spans="2:20" x14ac:dyDescent="0.2">
      <c r="B13695" s="245"/>
      <c r="C13695" s="248"/>
      <c r="D13695" s="249"/>
      <c r="E13695" s="249"/>
      <c r="T13695" s="261"/>
    </row>
    <row r="13696" spans="2:20" x14ac:dyDescent="0.2">
      <c r="B13696" s="245"/>
      <c r="C13696" s="248"/>
      <c r="D13696" s="249"/>
      <c r="E13696" s="249"/>
      <c r="T13696" s="261"/>
    </row>
    <row r="13697" spans="2:20" x14ac:dyDescent="0.2">
      <c r="B13697" s="245"/>
      <c r="C13697" s="248"/>
      <c r="D13697" s="249"/>
      <c r="E13697" s="249"/>
      <c r="T13697" s="261"/>
    </row>
    <row r="13698" spans="2:20" x14ac:dyDescent="0.2">
      <c r="B13698" s="245"/>
      <c r="C13698" s="248"/>
      <c r="D13698" s="249"/>
      <c r="E13698" s="249"/>
      <c r="T13698" s="261"/>
    </row>
    <row r="13699" spans="2:20" x14ac:dyDescent="0.2">
      <c r="B13699" s="245"/>
      <c r="C13699" s="248"/>
      <c r="D13699" s="249"/>
      <c r="E13699" s="249"/>
      <c r="T13699" s="261"/>
    </row>
    <row r="13700" spans="2:20" x14ac:dyDescent="0.2">
      <c r="B13700" s="245"/>
      <c r="C13700" s="248"/>
      <c r="D13700" s="249"/>
      <c r="E13700" s="249"/>
      <c r="T13700" s="261"/>
    </row>
    <row r="13701" spans="2:20" x14ac:dyDescent="0.2">
      <c r="B13701" s="245"/>
      <c r="C13701" s="248"/>
      <c r="D13701" s="249"/>
      <c r="E13701" s="249"/>
      <c r="T13701" s="261"/>
    </row>
    <row r="13702" spans="2:20" x14ac:dyDescent="0.2">
      <c r="B13702" s="245"/>
      <c r="C13702" s="248"/>
      <c r="D13702" s="249"/>
      <c r="E13702" s="249"/>
      <c r="T13702" s="261"/>
    </row>
    <row r="13703" spans="2:20" x14ac:dyDescent="0.2">
      <c r="B13703" s="245"/>
      <c r="C13703" s="248"/>
      <c r="D13703" s="249"/>
      <c r="E13703" s="249"/>
      <c r="T13703" s="261"/>
    </row>
    <row r="13704" spans="2:20" x14ac:dyDescent="0.2">
      <c r="B13704" s="245"/>
      <c r="C13704" s="248"/>
      <c r="D13704" s="249"/>
      <c r="E13704" s="249"/>
      <c r="T13704" s="261"/>
    </row>
    <row r="13705" spans="2:20" x14ac:dyDescent="0.2">
      <c r="B13705" s="245"/>
      <c r="C13705" s="248"/>
      <c r="D13705" s="249"/>
      <c r="E13705" s="249"/>
      <c r="T13705" s="261"/>
    </row>
    <row r="13706" spans="2:20" x14ac:dyDescent="0.2">
      <c r="B13706" s="245"/>
      <c r="C13706" s="248"/>
      <c r="D13706" s="249"/>
      <c r="E13706" s="249"/>
      <c r="T13706" s="261"/>
    </row>
    <row r="13707" spans="2:20" x14ac:dyDescent="0.2">
      <c r="B13707" s="245"/>
      <c r="C13707" s="248"/>
      <c r="D13707" s="249"/>
      <c r="E13707" s="249"/>
      <c r="T13707" s="261"/>
    </row>
    <row r="13708" spans="2:20" x14ac:dyDescent="0.2">
      <c r="B13708" s="245"/>
      <c r="C13708" s="248"/>
      <c r="D13708" s="249"/>
      <c r="E13708" s="249"/>
      <c r="T13708" s="261"/>
    </row>
    <row r="13709" spans="2:20" x14ac:dyDescent="0.2">
      <c r="B13709" s="245"/>
      <c r="C13709" s="248"/>
      <c r="D13709" s="249"/>
      <c r="E13709" s="249"/>
      <c r="T13709" s="261"/>
    </row>
    <row r="13710" spans="2:20" x14ac:dyDescent="0.2">
      <c r="B13710" s="245"/>
      <c r="C13710" s="248"/>
      <c r="D13710" s="249"/>
      <c r="E13710" s="249"/>
      <c r="T13710" s="261"/>
    </row>
    <row r="13711" spans="2:20" x14ac:dyDescent="0.2">
      <c r="B13711" s="245"/>
      <c r="C13711" s="248"/>
      <c r="D13711" s="249"/>
      <c r="E13711" s="249"/>
      <c r="T13711" s="261"/>
    </row>
    <row r="13712" spans="2:20" x14ac:dyDescent="0.2">
      <c r="B13712" s="245"/>
      <c r="C13712" s="248"/>
      <c r="D13712" s="249"/>
      <c r="E13712" s="249"/>
      <c r="T13712" s="261"/>
    </row>
    <row r="13713" spans="2:20" x14ac:dyDescent="0.2">
      <c r="B13713" s="245"/>
      <c r="C13713" s="248"/>
      <c r="D13713" s="249"/>
      <c r="E13713" s="249"/>
      <c r="T13713" s="261"/>
    </row>
    <row r="13714" spans="2:20" x14ac:dyDescent="0.2">
      <c r="B13714" s="245"/>
      <c r="C13714" s="248"/>
      <c r="D13714" s="249"/>
      <c r="E13714" s="249"/>
      <c r="T13714" s="261"/>
    </row>
    <row r="13715" spans="2:20" x14ac:dyDescent="0.2">
      <c r="B13715" s="245"/>
      <c r="C13715" s="248"/>
      <c r="D13715" s="249"/>
      <c r="E13715" s="249"/>
      <c r="T13715" s="261"/>
    </row>
    <row r="13716" spans="2:20" x14ac:dyDescent="0.2">
      <c r="B13716" s="245"/>
      <c r="C13716" s="248"/>
      <c r="D13716" s="249"/>
      <c r="E13716" s="249"/>
      <c r="T13716" s="261"/>
    </row>
    <row r="13717" spans="2:20" x14ac:dyDescent="0.2">
      <c r="B13717" s="245"/>
      <c r="C13717" s="248"/>
      <c r="D13717" s="249"/>
      <c r="E13717" s="249"/>
      <c r="T13717" s="261"/>
    </row>
    <row r="13718" spans="2:20" x14ac:dyDescent="0.2">
      <c r="B13718" s="245"/>
      <c r="C13718" s="248"/>
      <c r="D13718" s="249"/>
      <c r="E13718" s="249"/>
      <c r="T13718" s="261"/>
    </row>
    <row r="13719" spans="2:20" x14ac:dyDescent="0.2">
      <c r="B13719" s="245"/>
      <c r="C13719" s="248"/>
      <c r="D13719" s="249"/>
      <c r="E13719" s="249"/>
      <c r="T13719" s="261"/>
    </row>
    <row r="13720" spans="2:20" x14ac:dyDescent="0.2">
      <c r="B13720" s="245"/>
      <c r="C13720" s="248"/>
      <c r="D13720" s="249"/>
      <c r="E13720" s="249"/>
      <c r="T13720" s="261"/>
    </row>
    <row r="13721" spans="2:20" x14ac:dyDescent="0.2">
      <c r="B13721" s="245"/>
      <c r="C13721" s="248"/>
      <c r="D13721" s="249"/>
      <c r="E13721" s="249"/>
      <c r="T13721" s="261"/>
    </row>
    <row r="13722" spans="2:20" x14ac:dyDescent="0.2">
      <c r="B13722" s="245"/>
      <c r="C13722" s="248"/>
      <c r="D13722" s="249"/>
      <c r="E13722" s="249"/>
      <c r="T13722" s="261"/>
    </row>
    <row r="13723" spans="2:20" x14ac:dyDescent="0.2">
      <c r="B13723" s="245"/>
      <c r="C13723" s="248"/>
      <c r="D13723" s="249"/>
      <c r="E13723" s="249"/>
      <c r="T13723" s="261"/>
    </row>
    <row r="13724" spans="2:20" x14ac:dyDescent="0.2">
      <c r="B13724" s="245"/>
      <c r="C13724" s="248"/>
      <c r="D13724" s="249"/>
      <c r="E13724" s="249"/>
      <c r="T13724" s="261"/>
    </row>
    <row r="13725" spans="2:20" x14ac:dyDescent="0.2">
      <c r="B13725" s="245"/>
      <c r="C13725" s="248"/>
      <c r="D13725" s="249"/>
      <c r="E13725" s="249"/>
      <c r="T13725" s="261"/>
    </row>
    <row r="13726" spans="2:20" x14ac:dyDescent="0.2">
      <c r="B13726" s="245"/>
      <c r="C13726" s="248"/>
      <c r="D13726" s="249"/>
      <c r="E13726" s="249"/>
      <c r="T13726" s="261"/>
    </row>
    <row r="13727" spans="2:20" x14ac:dyDescent="0.2">
      <c r="B13727" s="245"/>
      <c r="C13727" s="248"/>
      <c r="D13727" s="249"/>
      <c r="E13727" s="249"/>
      <c r="T13727" s="261"/>
    </row>
    <row r="13728" spans="2:20" x14ac:dyDescent="0.2">
      <c r="B13728" s="245"/>
      <c r="C13728" s="248"/>
      <c r="D13728" s="249"/>
      <c r="E13728" s="249"/>
      <c r="T13728" s="261"/>
    </row>
    <row r="13729" spans="2:20" x14ac:dyDescent="0.2">
      <c r="B13729" s="245"/>
      <c r="C13729" s="248"/>
      <c r="D13729" s="249"/>
      <c r="E13729" s="249"/>
      <c r="T13729" s="261"/>
    </row>
    <row r="13730" spans="2:20" x14ac:dyDescent="0.2">
      <c r="B13730" s="245"/>
      <c r="C13730" s="248"/>
      <c r="D13730" s="249"/>
      <c r="E13730" s="249"/>
      <c r="T13730" s="261"/>
    </row>
    <row r="13731" spans="2:20" x14ac:dyDescent="0.2">
      <c r="B13731" s="245"/>
      <c r="C13731" s="248"/>
      <c r="D13731" s="249"/>
      <c r="E13731" s="249"/>
      <c r="T13731" s="261"/>
    </row>
    <row r="13732" spans="2:20" x14ac:dyDescent="0.2">
      <c r="B13732" s="245"/>
      <c r="C13732" s="248"/>
      <c r="D13732" s="249"/>
      <c r="E13732" s="249"/>
      <c r="T13732" s="261"/>
    </row>
    <row r="13733" spans="2:20" x14ac:dyDescent="0.2">
      <c r="B13733" s="245"/>
      <c r="C13733" s="248"/>
      <c r="D13733" s="249"/>
      <c r="E13733" s="249"/>
      <c r="T13733" s="261"/>
    </row>
    <row r="13734" spans="2:20" x14ac:dyDescent="0.2">
      <c r="B13734" s="245"/>
      <c r="C13734" s="248"/>
      <c r="D13734" s="249"/>
      <c r="E13734" s="249"/>
      <c r="T13734" s="261"/>
    </row>
    <row r="13735" spans="2:20" x14ac:dyDescent="0.2">
      <c r="B13735" s="245"/>
      <c r="C13735" s="248"/>
      <c r="D13735" s="249"/>
      <c r="E13735" s="249"/>
      <c r="T13735" s="261"/>
    </row>
    <row r="13736" spans="2:20" x14ac:dyDescent="0.2">
      <c r="B13736" s="245"/>
      <c r="C13736" s="248"/>
      <c r="D13736" s="249"/>
      <c r="E13736" s="249"/>
      <c r="T13736" s="261"/>
    </row>
    <row r="13737" spans="2:20" x14ac:dyDescent="0.2">
      <c r="B13737" s="245"/>
      <c r="C13737" s="248"/>
      <c r="D13737" s="249"/>
      <c r="E13737" s="249"/>
      <c r="T13737" s="261"/>
    </row>
    <row r="13738" spans="2:20" x14ac:dyDescent="0.2">
      <c r="B13738" s="245"/>
      <c r="C13738" s="248"/>
      <c r="D13738" s="249"/>
      <c r="E13738" s="249"/>
      <c r="T13738" s="261"/>
    </row>
    <row r="13739" spans="2:20" x14ac:dyDescent="0.2">
      <c r="B13739" s="245"/>
      <c r="C13739" s="248"/>
      <c r="D13739" s="249"/>
      <c r="E13739" s="249"/>
      <c r="T13739" s="261"/>
    </row>
    <row r="13740" spans="2:20" x14ac:dyDescent="0.2">
      <c r="B13740" s="245"/>
      <c r="C13740" s="248"/>
      <c r="D13740" s="249"/>
      <c r="E13740" s="249"/>
      <c r="T13740" s="261"/>
    </row>
    <row r="13741" spans="2:20" x14ac:dyDescent="0.2">
      <c r="B13741" s="245"/>
      <c r="C13741" s="248"/>
      <c r="D13741" s="249"/>
      <c r="E13741" s="249"/>
      <c r="T13741" s="261"/>
    </row>
    <row r="13742" spans="2:20" x14ac:dyDescent="0.2">
      <c r="B13742" s="245"/>
      <c r="C13742" s="248"/>
      <c r="D13742" s="249"/>
      <c r="E13742" s="249"/>
      <c r="T13742" s="261"/>
    </row>
    <row r="13743" spans="2:20" x14ac:dyDescent="0.2">
      <c r="B13743" s="245"/>
      <c r="C13743" s="248"/>
      <c r="D13743" s="249"/>
      <c r="E13743" s="249"/>
      <c r="T13743" s="261"/>
    </row>
    <row r="13744" spans="2:20" x14ac:dyDescent="0.2">
      <c r="B13744" s="245"/>
      <c r="C13744" s="248"/>
      <c r="D13744" s="249"/>
      <c r="E13744" s="249"/>
      <c r="T13744" s="261"/>
    </row>
    <row r="13745" spans="2:20" x14ac:dyDescent="0.2">
      <c r="B13745" s="245"/>
      <c r="C13745" s="248"/>
      <c r="D13745" s="249"/>
      <c r="E13745" s="249"/>
      <c r="T13745" s="261"/>
    </row>
    <row r="13746" spans="2:20" x14ac:dyDescent="0.2">
      <c r="B13746" s="245"/>
      <c r="C13746" s="248"/>
      <c r="D13746" s="249"/>
      <c r="E13746" s="249"/>
      <c r="T13746" s="261"/>
    </row>
    <row r="13747" spans="2:20" x14ac:dyDescent="0.2">
      <c r="B13747" s="245"/>
      <c r="C13747" s="248"/>
      <c r="D13747" s="249"/>
      <c r="E13747" s="249"/>
      <c r="T13747" s="261"/>
    </row>
    <row r="13748" spans="2:20" x14ac:dyDescent="0.2">
      <c r="B13748" s="245"/>
      <c r="C13748" s="248"/>
      <c r="D13748" s="249"/>
      <c r="E13748" s="249"/>
      <c r="T13748" s="261"/>
    </row>
    <row r="13749" spans="2:20" x14ac:dyDescent="0.2">
      <c r="B13749" s="245"/>
      <c r="C13749" s="248"/>
      <c r="D13749" s="249"/>
      <c r="E13749" s="249"/>
      <c r="T13749" s="261"/>
    </row>
    <row r="13750" spans="2:20" x14ac:dyDescent="0.2">
      <c r="B13750" s="245"/>
      <c r="C13750" s="248"/>
      <c r="D13750" s="249"/>
      <c r="E13750" s="249"/>
      <c r="T13750" s="261"/>
    </row>
    <row r="13751" spans="2:20" x14ac:dyDescent="0.2">
      <c r="B13751" s="245"/>
      <c r="C13751" s="248"/>
      <c r="D13751" s="249"/>
      <c r="E13751" s="249"/>
      <c r="T13751" s="261"/>
    </row>
    <row r="13752" spans="2:20" x14ac:dyDescent="0.2">
      <c r="B13752" s="245"/>
      <c r="C13752" s="248"/>
      <c r="D13752" s="249"/>
      <c r="E13752" s="249"/>
      <c r="T13752" s="261"/>
    </row>
    <row r="13753" spans="2:20" x14ac:dyDescent="0.2">
      <c r="B13753" s="245"/>
      <c r="C13753" s="248"/>
      <c r="D13753" s="249"/>
      <c r="E13753" s="249"/>
      <c r="T13753" s="261"/>
    </row>
    <row r="13754" spans="2:20" x14ac:dyDescent="0.2">
      <c r="B13754" s="245"/>
      <c r="C13754" s="248"/>
      <c r="D13754" s="249"/>
      <c r="E13754" s="249"/>
      <c r="T13754" s="261"/>
    </row>
    <row r="13755" spans="2:20" x14ac:dyDescent="0.2">
      <c r="B13755" s="245"/>
      <c r="C13755" s="248"/>
      <c r="D13755" s="249"/>
      <c r="E13755" s="249"/>
      <c r="T13755" s="261"/>
    </row>
    <row r="13756" spans="2:20" x14ac:dyDescent="0.2">
      <c r="B13756" s="245"/>
      <c r="C13756" s="248"/>
      <c r="D13756" s="249"/>
      <c r="E13756" s="249"/>
      <c r="T13756" s="261"/>
    </row>
    <row r="13757" spans="2:20" x14ac:dyDescent="0.2">
      <c r="B13757" s="245"/>
      <c r="C13757" s="248"/>
      <c r="D13757" s="249"/>
      <c r="E13757" s="249"/>
      <c r="T13757" s="261"/>
    </row>
    <row r="13758" spans="2:20" x14ac:dyDescent="0.2">
      <c r="B13758" s="245"/>
      <c r="C13758" s="248"/>
      <c r="D13758" s="249"/>
      <c r="E13758" s="249"/>
      <c r="T13758" s="261"/>
    </row>
    <row r="13759" spans="2:20" x14ac:dyDescent="0.2">
      <c r="B13759" s="245"/>
      <c r="C13759" s="248"/>
      <c r="D13759" s="249"/>
      <c r="E13759" s="249"/>
      <c r="T13759" s="261"/>
    </row>
    <row r="13760" spans="2:20" x14ac:dyDescent="0.2">
      <c r="B13760" s="245"/>
      <c r="C13760" s="248"/>
      <c r="D13760" s="249"/>
      <c r="E13760" s="249"/>
      <c r="T13760" s="261"/>
    </row>
    <row r="13761" spans="2:20" x14ac:dyDescent="0.2">
      <c r="B13761" s="245"/>
      <c r="C13761" s="248"/>
      <c r="D13761" s="249"/>
      <c r="E13761" s="249"/>
      <c r="T13761" s="261"/>
    </row>
    <row r="13762" spans="2:20" x14ac:dyDescent="0.2">
      <c r="B13762" s="245"/>
      <c r="C13762" s="248"/>
      <c r="D13762" s="249"/>
      <c r="E13762" s="249"/>
      <c r="T13762" s="261"/>
    </row>
    <row r="13763" spans="2:20" x14ac:dyDescent="0.2">
      <c r="B13763" s="245"/>
      <c r="C13763" s="248"/>
      <c r="D13763" s="249"/>
      <c r="E13763" s="249"/>
      <c r="T13763" s="261"/>
    </row>
    <row r="13764" spans="2:20" x14ac:dyDescent="0.2">
      <c r="B13764" s="245"/>
      <c r="C13764" s="248"/>
      <c r="D13764" s="249"/>
      <c r="E13764" s="249"/>
      <c r="T13764" s="261"/>
    </row>
    <row r="13765" spans="2:20" x14ac:dyDescent="0.2">
      <c r="B13765" s="245"/>
      <c r="C13765" s="248"/>
      <c r="D13765" s="249"/>
      <c r="E13765" s="249"/>
      <c r="T13765" s="261"/>
    </row>
    <row r="13766" spans="2:20" x14ac:dyDescent="0.2">
      <c r="B13766" s="245"/>
      <c r="C13766" s="248"/>
      <c r="D13766" s="249"/>
      <c r="E13766" s="249"/>
      <c r="T13766" s="261"/>
    </row>
    <row r="13767" spans="2:20" x14ac:dyDescent="0.2">
      <c r="B13767" s="245"/>
      <c r="C13767" s="248"/>
      <c r="D13767" s="249"/>
      <c r="E13767" s="249"/>
      <c r="T13767" s="261"/>
    </row>
    <row r="13768" spans="2:20" x14ac:dyDescent="0.2">
      <c r="B13768" s="245"/>
      <c r="C13768" s="248"/>
      <c r="D13768" s="249"/>
      <c r="E13768" s="249"/>
      <c r="T13768" s="261"/>
    </row>
    <row r="13769" spans="2:20" x14ac:dyDescent="0.2">
      <c r="B13769" s="245"/>
      <c r="C13769" s="248"/>
      <c r="D13769" s="249"/>
      <c r="E13769" s="249"/>
      <c r="T13769" s="261"/>
    </row>
    <row r="13770" spans="2:20" x14ac:dyDescent="0.2">
      <c r="B13770" s="245"/>
      <c r="C13770" s="248"/>
      <c r="D13770" s="249"/>
      <c r="E13770" s="249"/>
      <c r="T13770" s="261"/>
    </row>
    <row r="13771" spans="2:20" x14ac:dyDescent="0.2">
      <c r="B13771" s="245"/>
      <c r="C13771" s="248"/>
      <c r="D13771" s="249"/>
      <c r="E13771" s="249"/>
      <c r="T13771" s="261"/>
    </row>
    <row r="13772" spans="2:20" x14ac:dyDescent="0.2">
      <c r="B13772" s="245"/>
      <c r="C13772" s="248"/>
      <c r="D13772" s="249"/>
      <c r="E13772" s="249"/>
      <c r="T13772" s="261"/>
    </row>
    <row r="13773" spans="2:20" x14ac:dyDescent="0.2">
      <c r="B13773" s="245"/>
      <c r="C13773" s="248"/>
      <c r="D13773" s="249"/>
      <c r="E13773" s="249"/>
      <c r="T13773" s="261"/>
    </row>
    <row r="13774" spans="2:20" x14ac:dyDescent="0.2">
      <c r="B13774" s="245"/>
      <c r="C13774" s="248"/>
      <c r="D13774" s="249"/>
      <c r="E13774" s="249"/>
      <c r="T13774" s="261"/>
    </row>
    <row r="13775" spans="2:20" x14ac:dyDescent="0.2">
      <c r="B13775" s="245"/>
      <c r="C13775" s="248"/>
      <c r="D13775" s="249"/>
      <c r="E13775" s="249"/>
      <c r="T13775" s="261"/>
    </row>
    <row r="13776" spans="2:20" x14ac:dyDescent="0.2">
      <c r="B13776" s="245"/>
      <c r="C13776" s="248"/>
      <c r="D13776" s="249"/>
      <c r="E13776" s="249"/>
      <c r="T13776" s="261"/>
    </row>
    <row r="13777" spans="2:20" x14ac:dyDescent="0.2">
      <c r="B13777" s="245"/>
      <c r="C13777" s="248"/>
      <c r="D13777" s="249"/>
      <c r="E13777" s="249"/>
      <c r="T13777" s="261"/>
    </row>
    <row r="13778" spans="2:20" x14ac:dyDescent="0.2">
      <c r="B13778" s="245"/>
      <c r="C13778" s="248"/>
      <c r="D13778" s="249"/>
      <c r="E13778" s="249"/>
      <c r="T13778" s="261"/>
    </row>
    <row r="13779" spans="2:20" x14ac:dyDescent="0.2">
      <c r="B13779" s="245"/>
      <c r="C13779" s="248"/>
      <c r="D13779" s="249"/>
      <c r="E13779" s="249"/>
      <c r="T13779" s="261"/>
    </row>
    <row r="13780" spans="2:20" x14ac:dyDescent="0.2">
      <c r="B13780" s="245"/>
      <c r="C13780" s="248"/>
      <c r="D13780" s="249"/>
      <c r="E13780" s="249"/>
      <c r="T13780" s="261"/>
    </row>
    <row r="13781" spans="2:20" x14ac:dyDescent="0.2">
      <c r="B13781" s="245"/>
      <c r="C13781" s="248"/>
      <c r="D13781" s="249"/>
      <c r="E13781" s="249"/>
      <c r="T13781" s="261"/>
    </row>
    <row r="13782" spans="2:20" x14ac:dyDescent="0.2">
      <c r="B13782" s="245"/>
      <c r="C13782" s="248"/>
      <c r="D13782" s="249"/>
      <c r="E13782" s="249"/>
      <c r="T13782" s="261"/>
    </row>
    <row r="13783" spans="2:20" x14ac:dyDescent="0.2">
      <c r="B13783" s="245"/>
      <c r="C13783" s="248"/>
      <c r="D13783" s="249"/>
      <c r="E13783" s="249"/>
      <c r="T13783" s="261"/>
    </row>
    <row r="13784" spans="2:20" x14ac:dyDescent="0.2">
      <c r="B13784" s="245"/>
      <c r="C13784" s="248"/>
      <c r="D13784" s="249"/>
      <c r="E13784" s="249"/>
      <c r="T13784" s="261"/>
    </row>
    <row r="13785" spans="2:20" x14ac:dyDescent="0.2">
      <c r="B13785" s="245"/>
      <c r="C13785" s="248"/>
      <c r="D13785" s="249"/>
      <c r="E13785" s="249"/>
      <c r="T13785" s="261"/>
    </row>
    <row r="13786" spans="2:20" x14ac:dyDescent="0.2">
      <c r="B13786" s="245"/>
      <c r="C13786" s="248"/>
      <c r="D13786" s="249"/>
      <c r="E13786" s="249"/>
      <c r="T13786" s="261"/>
    </row>
    <row r="13787" spans="2:20" x14ac:dyDescent="0.2">
      <c r="B13787" s="245"/>
      <c r="C13787" s="248"/>
      <c r="D13787" s="249"/>
      <c r="E13787" s="249"/>
      <c r="T13787" s="261"/>
    </row>
    <row r="13788" spans="2:20" x14ac:dyDescent="0.2">
      <c r="B13788" s="245"/>
      <c r="C13788" s="248"/>
      <c r="D13788" s="249"/>
      <c r="E13788" s="249"/>
      <c r="T13788" s="261"/>
    </row>
    <row r="13789" spans="2:20" x14ac:dyDescent="0.2">
      <c r="B13789" s="245"/>
      <c r="C13789" s="248"/>
      <c r="D13789" s="249"/>
      <c r="E13789" s="249"/>
      <c r="T13789" s="261"/>
    </row>
    <row r="13790" spans="2:20" x14ac:dyDescent="0.2">
      <c r="B13790" s="245"/>
      <c r="C13790" s="248"/>
      <c r="D13790" s="249"/>
      <c r="E13790" s="249"/>
      <c r="T13790" s="261"/>
    </row>
    <row r="13791" spans="2:20" x14ac:dyDescent="0.2">
      <c r="B13791" s="245"/>
      <c r="C13791" s="248"/>
      <c r="D13791" s="249"/>
      <c r="E13791" s="249"/>
      <c r="T13791" s="261"/>
    </row>
    <row r="13792" spans="2:20" x14ac:dyDescent="0.2">
      <c r="B13792" s="245"/>
      <c r="C13792" s="248"/>
      <c r="D13792" s="249"/>
      <c r="E13792" s="249"/>
      <c r="T13792" s="261"/>
    </row>
    <row r="13793" spans="2:20" x14ac:dyDescent="0.2">
      <c r="B13793" s="245"/>
      <c r="C13793" s="248"/>
      <c r="D13793" s="249"/>
      <c r="E13793" s="249"/>
      <c r="T13793" s="261"/>
    </row>
    <row r="13794" spans="2:20" x14ac:dyDescent="0.2">
      <c r="B13794" s="245"/>
      <c r="C13794" s="248"/>
      <c r="D13794" s="249"/>
      <c r="E13794" s="249"/>
      <c r="T13794" s="261"/>
    </row>
    <row r="13795" spans="2:20" x14ac:dyDescent="0.2">
      <c r="B13795" s="245"/>
      <c r="C13795" s="248"/>
      <c r="D13795" s="249"/>
      <c r="E13795" s="249"/>
      <c r="T13795" s="261"/>
    </row>
    <row r="13796" spans="2:20" x14ac:dyDescent="0.2">
      <c r="B13796" s="245"/>
      <c r="C13796" s="248"/>
      <c r="D13796" s="249"/>
      <c r="E13796" s="249"/>
      <c r="T13796" s="261"/>
    </row>
    <row r="13797" spans="2:20" x14ac:dyDescent="0.2">
      <c r="B13797" s="245"/>
      <c r="C13797" s="248"/>
      <c r="D13797" s="249"/>
      <c r="E13797" s="249"/>
      <c r="T13797" s="261"/>
    </row>
    <row r="13798" spans="2:20" x14ac:dyDescent="0.2">
      <c r="B13798" s="245"/>
      <c r="C13798" s="248"/>
      <c r="D13798" s="249"/>
      <c r="E13798" s="249"/>
      <c r="T13798" s="261"/>
    </row>
    <row r="13799" spans="2:20" x14ac:dyDescent="0.2">
      <c r="B13799" s="245"/>
      <c r="C13799" s="248"/>
      <c r="D13799" s="249"/>
      <c r="E13799" s="249"/>
      <c r="T13799" s="261"/>
    </row>
    <row r="13800" spans="2:20" x14ac:dyDescent="0.2">
      <c r="B13800" s="245"/>
      <c r="C13800" s="248"/>
      <c r="D13800" s="249"/>
      <c r="E13800" s="249"/>
      <c r="T13800" s="261"/>
    </row>
    <row r="13801" spans="2:20" x14ac:dyDescent="0.2">
      <c r="B13801" s="245"/>
      <c r="C13801" s="248"/>
      <c r="D13801" s="249"/>
      <c r="E13801" s="249"/>
      <c r="T13801" s="261"/>
    </row>
    <row r="13802" spans="2:20" x14ac:dyDescent="0.2">
      <c r="B13802" s="245"/>
      <c r="C13802" s="248"/>
      <c r="D13802" s="249"/>
      <c r="E13802" s="249"/>
      <c r="T13802" s="261"/>
    </row>
    <row r="13803" spans="2:20" x14ac:dyDescent="0.2">
      <c r="B13803" s="245"/>
      <c r="C13803" s="248"/>
      <c r="D13803" s="249"/>
      <c r="E13803" s="249"/>
      <c r="T13803" s="261"/>
    </row>
    <row r="13804" spans="2:20" x14ac:dyDescent="0.2">
      <c r="B13804" s="245"/>
      <c r="C13804" s="248"/>
      <c r="D13804" s="249"/>
      <c r="E13804" s="249"/>
      <c r="T13804" s="261"/>
    </row>
    <row r="13805" spans="2:20" x14ac:dyDescent="0.2">
      <c r="B13805" s="245"/>
      <c r="C13805" s="248"/>
      <c r="D13805" s="249"/>
      <c r="E13805" s="249"/>
      <c r="T13805" s="261"/>
    </row>
    <row r="13806" spans="2:20" x14ac:dyDescent="0.2">
      <c r="B13806" s="245"/>
      <c r="C13806" s="248"/>
      <c r="D13806" s="249"/>
      <c r="E13806" s="249"/>
      <c r="T13806" s="261"/>
    </row>
    <row r="13807" spans="2:20" x14ac:dyDescent="0.2">
      <c r="B13807" s="245"/>
      <c r="C13807" s="248"/>
      <c r="D13807" s="249"/>
      <c r="E13807" s="249"/>
      <c r="T13807" s="261"/>
    </row>
    <row r="13808" spans="2:20" x14ac:dyDescent="0.2">
      <c r="B13808" s="245"/>
      <c r="C13808" s="248"/>
      <c r="D13808" s="249"/>
      <c r="E13808" s="249"/>
      <c r="T13808" s="261"/>
    </row>
    <row r="13809" spans="2:20" x14ac:dyDescent="0.2">
      <c r="B13809" s="245"/>
      <c r="C13809" s="248"/>
      <c r="D13809" s="249"/>
      <c r="E13809" s="249"/>
      <c r="T13809" s="261"/>
    </row>
    <row r="13810" spans="2:20" x14ac:dyDescent="0.2">
      <c r="B13810" s="245"/>
      <c r="C13810" s="248"/>
      <c r="D13810" s="249"/>
      <c r="E13810" s="249"/>
      <c r="T13810" s="261"/>
    </row>
    <row r="13811" spans="2:20" x14ac:dyDescent="0.2">
      <c r="B13811" s="245"/>
      <c r="C13811" s="248"/>
      <c r="D13811" s="249"/>
      <c r="E13811" s="249"/>
      <c r="T13811" s="261"/>
    </row>
    <row r="13812" spans="2:20" x14ac:dyDescent="0.2">
      <c r="B13812" s="245"/>
      <c r="C13812" s="248"/>
      <c r="D13812" s="249"/>
      <c r="E13812" s="249"/>
      <c r="T13812" s="261"/>
    </row>
    <row r="13813" spans="2:20" x14ac:dyDescent="0.2">
      <c r="B13813" s="245"/>
      <c r="C13813" s="248"/>
      <c r="D13813" s="249"/>
      <c r="E13813" s="249"/>
      <c r="T13813" s="261"/>
    </row>
    <row r="13814" spans="2:20" x14ac:dyDescent="0.2">
      <c r="B13814" s="245"/>
      <c r="C13814" s="248"/>
      <c r="D13814" s="249"/>
      <c r="E13814" s="249"/>
      <c r="T13814" s="261"/>
    </row>
    <row r="13815" spans="2:20" x14ac:dyDescent="0.2">
      <c r="B13815" s="245"/>
      <c r="C13815" s="248"/>
      <c r="D13815" s="249"/>
      <c r="E13815" s="249"/>
      <c r="T13815" s="261"/>
    </row>
    <row r="13816" spans="2:20" x14ac:dyDescent="0.2">
      <c r="B13816" s="245"/>
      <c r="C13816" s="248"/>
      <c r="D13816" s="249"/>
      <c r="E13816" s="249"/>
      <c r="T13816" s="261"/>
    </row>
    <row r="13817" spans="2:20" x14ac:dyDescent="0.2">
      <c r="B13817" s="245"/>
      <c r="C13817" s="248"/>
      <c r="D13817" s="249"/>
      <c r="E13817" s="249"/>
      <c r="T13817" s="261"/>
    </row>
    <row r="13818" spans="2:20" x14ac:dyDescent="0.2">
      <c r="B13818" s="245"/>
      <c r="C13818" s="248"/>
      <c r="D13818" s="249"/>
      <c r="E13818" s="249"/>
      <c r="T13818" s="261"/>
    </row>
    <row r="13819" spans="2:20" x14ac:dyDescent="0.2">
      <c r="B13819" s="245"/>
      <c r="C13819" s="248"/>
      <c r="D13819" s="249"/>
      <c r="E13819" s="249"/>
      <c r="T13819" s="261"/>
    </row>
    <row r="13820" spans="2:20" x14ac:dyDescent="0.2">
      <c r="B13820" s="245"/>
      <c r="C13820" s="248"/>
      <c r="D13820" s="249"/>
      <c r="E13820" s="249"/>
      <c r="T13820" s="261"/>
    </row>
    <row r="13821" spans="2:20" x14ac:dyDescent="0.2">
      <c r="B13821" s="245"/>
      <c r="C13821" s="248"/>
      <c r="D13821" s="249"/>
      <c r="E13821" s="249"/>
      <c r="T13821" s="261"/>
    </row>
    <row r="13822" spans="2:20" x14ac:dyDescent="0.2">
      <c r="B13822" s="245"/>
      <c r="C13822" s="248"/>
      <c r="D13822" s="249"/>
      <c r="E13822" s="249"/>
      <c r="T13822" s="261"/>
    </row>
    <row r="13823" spans="2:20" x14ac:dyDescent="0.2">
      <c r="B13823" s="245"/>
      <c r="C13823" s="248"/>
      <c r="D13823" s="249"/>
      <c r="E13823" s="249"/>
      <c r="T13823" s="261"/>
    </row>
    <row r="13824" spans="2:20" x14ac:dyDescent="0.2">
      <c r="B13824" s="245"/>
      <c r="C13824" s="248"/>
      <c r="D13824" s="249"/>
      <c r="E13824" s="249"/>
      <c r="T13824" s="261"/>
    </row>
    <row r="13825" spans="2:20" x14ac:dyDescent="0.2">
      <c r="B13825" s="245"/>
      <c r="C13825" s="248"/>
      <c r="D13825" s="249"/>
      <c r="E13825" s="249"/>
      <c r="T13825" s="261"/>
    </row>
    <row r="13826" spans="2:20" x14ac:dyDescent="0.2">
      <c r="B13826" s="245"/>
      <c r="C13826" s="248"/>
      <c r="D13826" s="249"/>
      <c r="E13826" s="249"/>
      <c r="T13826" s="261"/>
    </row>
    <row r="13827" spans="2:20" x14ac:dyDescent="0.2">
      <c r="B13827" s="245"/>
      <c r="C13827" s="248"/>
      <c r="D13827" s="249"/>
      <c r="E13827" s="249"/>
      <c r="T13827" s="261"/>
    </row>
    <row r="13828" spans="2:20" x14ac:dyDescent="0.2">
      <c r="B13828" s="245"/>
      <c r="C13828" s="248"/>
      <c r="D13828" s="249"/>
      <c r="E13828" s="249"/>
      <c r="T13828" s="261"/>
    </row>
    <row r="13829" spans="2:20" x14ac:dyDescent="0.2">
      <c r="B13829" s="245"/>
      <c r="C13829" s="248"/>
      <c r="D13829" s="249"/>
      <c r="E13829" s="249"/>
      <c r="T13829" s="261"/>
    </row>
    <row r="13830" spans="2:20" x14ac:dyDescent="0.2">
      <c r="B13830" s="245"/>
      <c r="C13830" s="248"/>
      <c r="D13830" s="249"/>
      <c r="E13830" s="249"/>
      <c r="T13830" s="261"/>
    </row>
    <row r="13831" spans="2:20" x14ac:dyDescent="0.2">
      <c r="B13831" s="245"/>
      <c r="C13831" s="248"/>
      <c r="D13831" s="249"/>
      <c r="E13831" s="249"/>
      <c r="T13831" s="261"/>
    </row>
    <row r="13832" spans="2:20" x14ac:dyDescent="0.2">
      <c r="B13832" s="245"/>
      <c r="C13832" s="248"/>
      <c r="D13832" s="249"/>
      <c r="E13832" s="249"/>
      <c r="T13832" s="261"/>
    </row>
    <row r="13833" spans="2:20" x14ac:dyDescent="0.2">
      <c r="B13833" s="245"/>
      <c r="C13833" s="248"/>
      <c r="D13833" s="249"/>
      <c r="E13833" s="249"/>
      <c r="T13833" s="261"/>
    </row>
    <row r="13834" spans="2:20" x14ac:dyDescent="0.2">
      <c r="B13834" s="245"/>
      <c r="C13834" s="248"/>
      <c r="D13834" s="249"/>
      <c r="E13834" s="249"/>
      <c r="T13834" s="261"/>
    </row>
    <row r="13835" spans="2:20" x14ac:dyDescent="0.2">
      <c r="B13835" s="245"/>
      <c r="C13835" s="248"/>
      <c r="D13835" s="249"/>
      <c r="E13835" s="249"/>
      <c r="T13835" s="261"/>
    </row>
    <row r="13836" spans="2:20" x14ac:dyDescent="0.2">
      <c r="B13836" s="245"/>
      <c r="C13836" s="248"/>
      <c r="D13836" s="249"/>
      <c r="E13836" s="249"/>
      <c r="T13836" s="261"/>
    </row>
    <row r="13837" spans="2:20" x14ac:dyDescent="0.2">
      <c r="B13837" s="245"/>
      <c r="C13837" s="248"/>
      <c r="D13837" s="249"/>
      <c r="E13837" s="249"/>
      <c r="T13837" s="261"/>
    </row>
    <row r="13838" spans="2:20" x14ac:dyDescent="0.2">
      <c r="B13838" s="245"/>
      <c r="C13838" s="248"/>
      <c r="D13838" s="249"/>
      <c r="E13838" s="249"/>
      <c r="T13838" s="261"/>
    </row>
    <row r="13839" spans="2:20" x14ac:dyDescent="0.2">
      <c r="B13839" s="245"/>
      <c r="C13839" s="248"/>
      <c r="D13839" s="249"/>
      <c r="E13839" s="249"/>
      <c r="T13839" s="261"/>
    </row>
    <row r="13840" spans="2:20" x14ac:dyDescent="0.2">
      <c r="B13840" s="245"/>
      <c r="C13840" s="248"/>
      <c r="D13840" s="249"/>
      <c r="E13840" s="249"/>
      <c r="T13840" s="261"/>
    </row>
    <row r="13841" spans="2:20" x14ac:dyDescent="0.2">
      <c r="B13841" s="245"/>
      <c r="C13841" s="248"/>
      <c r="D13841" s="249"/>
      <c r="E13841" s="249"/>
      <c r="T13841" s="261"/>
    </row>
    <row r="13842" spans="2:20" x14ac:dyDescent="0.2">
      <c r="B13842" s="245"/>
      <c r="C13842" s="248"/>
      <c r="D13842" s="249"/>
      <c r="E13842" s="249"/>
      <c r="T13842" s="261"/>
    </row>
    <row r="13843" spans="2:20" x14ac:dyDescent="0.2">
      <c r="B13843" s="245"/>
      <c r="C13843" s="248"/>
      <c r="D13843" s="249"/>
      <c r="E13843" s="249"/>
      <c r="T13843" s="261"/>
    </row>
    <row r="13844" spans="2:20" x14ac:dyDescent="0.2">
      <c r="B13844" s="245"/>
      <c r="C13844" s="248"/>
      <c r="D13844" s="249"/>
      <c r="E13844" s="249"/>
      <c r="T13844" s="261"/>
    </row>
    <row r="13845" spans="2:20" x14ac:dyDescent="0.2">
      <c r="B13845" s="245"/>
      <c r="C13845" s="248"/>
      <c r="D13845" s="249"/>
      <c r="E13845" s="249"/>
      <c r="T13845" s="261"/>
    </row>
    <row r="13846" spans="2:20" x14ac:dyDescent="0.2">
      <c r="B13846" s="245"/>
      <c r="C13846" s="248"/>
      <c r="D13846" s="249"/>
      <c r="E13846" s="249"/>
      <c r="T13846" s="261"/>
    </row>
    <row r="13847" spans="2:20" x14ac:dyDescent="0.2">
      <c r="B13847" s="245"/>
      <c r="C13847" s="248"/>
      <c r="D13847" s="249"/>
      <c r="E13847" s="249"/>
      <c r="T13847" s="261"/>
    </row>
    <row r="13848" spans="2:20" x14ac:dyDescent="0.2">
      <c r="B13848" s="245"/>
      <c r="C13848" s="248"/>
      <c r="D13848" s="249"/>
      <c r="E13848" s="249"/>
      <c r="T13848" s="261"/>
    </row>
    <row r="13849" spans="2:20" x14ac:dyDescent="0.2">
      <c r="B13849" s="245"/>
      <c r="C13849" s="248"/>
      <c r="D13849" s="249"/>
      <c r="E13849" s="249"/>
      <c r="T13849" s="261"/>
    </row>
    <row r="13850" spans="2:20" x14ac:dyDescent="0.2">
      <c r="B13850" s="245"/>
      <c r="C13850" s="248"/>
      <c r="D13850" s="249"/>
      <c r="E13850" s="249"/>
      <c r="T13850" s="261"/>
    </row>
    <row r="13851" spans="2:20" x14ac:dyDescent="0.2">
      <c r="B13851" s="245"/>
      <c r="C13851" s="248"/>
      <c r="D13851" s="249"/>
      <c r="E13851" s="249"/>
      <c r="T13851" s="261"/>
    </row>
    <row r="13852" spans="2:20" x14ac:dyDescent="0.2">
      <c r="B13852" s="245"/>
      <c r="C13852" s="248"/>
      <c r="D13852" s="249"/>
      <c r="E13852" s="249"/>
      <c r="T13852" s="261"/>
    </row>
    <row r="13853" spans="2:20" x14ac:dyDescent="0.2">
      <c r="B13853" s="245"/>
      <c r="C13853" s="248"/>
      <c r="D13853" s="249"/>
      <c r="E13853" s="249"/>
      <c r="T13853" s="261"/>
    </row>
    <row r="13854" spans="2:20" x14ac:dyDescent="0.2">
      <c r="B13854" s="245"/>
      <c r="C13854" s="248"/>
      <c r="D13854" s="249"/>
      <c r="E13854" s="249"/>
      <c r="T13854" s="261"/>
    </row>
    <row r="13855" spans="2:20" x14ac:dyDescent="0.2">
      <c r="B13855" s="245"/>
      <c r="C13855" s="248"/>
      <c r="D13855" s="249"/>
      <c r="E13855" s="249"/>
      <c r="T13855" s="261"/>
    </row>
    <row r="13856" spans="2:20" x14ac:dyDescent="0.2">
      <c r="B13856" s="245"/>
      <c r="C13856" s="248"/>
      <c r="D13856" s="249"/>
      <c r="E13856" s="249"/>
      <c r="T13856" s="261"/>
    </row>
    <row r="13857" spans="2:20" x14ac:dyDescent="0.2">
      <c r="B13857" s="245"/>
      <c r="C13857" s="248"/>
      <c r="D13857" s="249"/>
      <c r="E13857" s="249"/>
      <c r="T13857" s="261"/>
    </row>
    <row r="13858" spans="2:20" x14ac:dyDescent="0.2">
      <c r="B13858" s="245"/>
      <c r="C13858" s="248"/>
      <c r="D13858" s="249"/>
      <c r="E13858" s="249"/>
      <c r="T13858" s="261"/>
    </row>
    <row r="13859" spans="2:20" x14ac:dyDescent="0.2">
      <c r="B13859" s="245"/>
      <c r="C13859" s="248"/>
      <c r="D13859" s="249"/>
      <c r="E13859" s="249"/>
      <c r="T13859" s="261"/>
    </row>
    <row r="13860" spans="2:20" x14ac:dyDescent="0.2">
      <c r="B13860" s="245"/>
      <c r="C13860" s="248"/>
      <c r="D13860" s="249"/>
      <c r="E13860" s="249"/>
      <c r="T13860" s="261"/>
    </row>
    <row r="13861" spans="2:20" x14ac:dyDescent="0.2">
      <c r="B13861" s="245"/>
      <c r="C13861" s="248"/>
      <c r="D13861" s="249"/>
      <c r="E13861" s="249"/>
      <c r="T13861" s="261"/>
    </row>
    <row r="13862" spans="2:20" x14ac:dyDescent="0.2">
      <c r="B13862" s="245"/>
      <c r="C13862" s="248"/>
      <c r="D13862" s="249"/>
      <c r="E13862" s="249"/>
      <c r="T13862" s="261"/>
    </row>
    <row r="13863" spans="2:20" x14ac:dyDescent="0.2">
      <c r="B13863" s="245"/>
      <c r="C13863" s="248"/>
      <c r="D13863" s="249"/>
      <c r="E13863" s="249"/>
      <c r="T13863" s="261"/>
    </row>
    <row r="13864" spans="2:20" x14ac:dyDescent="0.2">
      <c r="B13864" s="245"/>
      <c r="C13864" s="248"/>
      <c r="D13864" s="249"/>
      <c r="E13864" s="249"/>
      <c r="T13864" s="261"/>
    </row>
    <row r="13865" spans="2:20" x14ac:dyDescent="0.2">
      <c r="B13865" s="245"/>
      <c r="C13865" s="248"/>
      <c r="D13865" s="249"/>
      <c r="E13865" s="249"/>
      <c r="T13865" s="261"/>
    </row>
    <row r="13866" spans="2:20" x14ac:dyDescent="0.2">
      <c r="B13866" s="245"/>
      <c r="C13866" s="248"/>
      <c r="D13866" s="249"/>
      <c r="E13866" s="249"/>
      <c r="T13866" s="261"/>
    </row>
    <row r="13867" spans="2:20" x14ac:dyDescent="0.2">
      <c r="B13867" s="245"/>
      <c r="C13867" s="248"/>
      <c r="D13867" s="249"/>
      <c r="E13867" s="249"/>
      <c r="T13867" s="261"/>
    </row>
    <row r="13868" spans="2:20" x14ac:dyDescent="0.2">
      <c r="B13868" s="245"/>
      <c r="C13868" s="248"/>
      <c r="D13868" s="249"/>
      <c r="E13868" s="249"/>
      <c r="T13868" s="261"/>
    </row>
    <row r="13869" spans="2:20" x14ac:dyDescent="0.2">
      <c r="B13869" s="245"/>
      <c r="C13869" s="248"/>
      <c r="D13869" s="249"/>
      <c r="E13869" s="249"/>
      <c r="T13869" s="261"/>
    </row>
    <row r="13870" spans="2:20" x14ac:dyDescent="0.2">
      <c r="B13870" s="245"/>
      <c r="C13870" s="248"/>
      <c r="D13870" s="249"/>
      <c r="E13870" s="249"/>
      <c r="T13870" s="261"/>
    </row>
    <row r="13871" spans="2:20" x14ac:dyDescent="0.2">
      <c r="B13871" s="245"/>
      <c r="C13871" s="248"/>
      <c r="D13871" s="249"/>
      <c r="E13871" s="249"/>
      <c r="T13871" s="261"/>
    </row>
    <row r="13872" spans="2:20" x14ac:dyDescent="0.2">
      <c r="B13872" s="245"/>
      <c r="C13872" s="248"/>
      <c r="D13872" s="249"/>
      <c r="E13872" s="249"/>
      <c r="T13872" s="261"/>
    </row>
    <row r="13873" spans="2:20" x14ac:dyDescent="0.2">
      <c r="B13873" s="245"/>
      <c r="C13873" s="248"/>
      <c r="D13873" s="249"/>
      <c r="E13873" s="249"/>
      <c r="T13873" s="261"/>
    </row>
    <row r="13874" spans="2:20" x14ac:dyDescent="0.2">
      <c r="B13874" s="245"/>
      <c r="C13874" s="248"/>
      <c r="D13874" s="249"/>
      <c r="E13874" s="249"/>
      <c r="T13874" s="261"/>
    </row>
    <row r="13875" spans="2:20" x14ac:dyDescent="0.2">
      <c r="B13875" s="245"/>
      <c r="C13875" s="248"/>
      <c r="D13875" s="249"/>
      <c r="E13875" s="249"/>
      <c r="T13875" s="261"/>
    </row>
    <row r="13876" spans="2:20" x14ac:dyDescent="0.2">
      <c r="B13876" s="245"/>
      <c r="C13876" s="248"/>
      <c r="D13876" s="249"/>
      <c r="E13876" s="249"/>
      <c r="T13876" s="261"/>
    </row>
    <row r="13877" spans="2:20" x14ac:dyDescent="0.2">
      <c r="B13877" s="245"/>
      <c r="C13877" s="248"/>
      <c r="D13877" s="249"/>
      <c r="E13877" s="249"/>
      <c r="T13877" s="261"/>
    </row>
    <row r="13878" spans="2:20" x14ac:dyDescent="0.2">
      <c r="B13878" s="245"/>
      <c r="C13878" s="248"/>
      <c r="D13878" s="249"/>
      <c r="E13878" s="249"/>
      <c r="T13878" s="261"/>
    </row>
    <row r="13879" spans="2:20" x14ac:dyDescent="0.2">
      <c r="B13879" s="245"/>
      <c r="C13879" s="248"/>
      <c r="D13879" s="249"/>
      <c r="E13879" s="249"/>
      <c r="T13879" s="261"/>
    </row>
    <row r="13880" spans="2:20" x14ac:dyDescent="0.2">
      <c r="B13880" s="245"/>
      <c r="C13880" s="248"/>
      <c r="D13880" s="249"/>
      <c r="E13880" s="249"/>
      <c r="T13880" s="261"/>
    </row>
    <row r="13881" spans="2:20" x14ac:dyDescent="0.2">
      <c r="B13881" s="245"/>
      <c r="C13881" s="248"/>
      <c r="D13881" s="249"/>
      <c r="E13881" s="249"/>
      <c r="T13881" s="261"/>
    </row>
    <row r="13882" spans="2:20" x14ac:dyDescent="0.2">
      <c r="B13882" s="245"/>
      <c r="C13882" s="248"/>
      <c r="D13882" s="249"/>
      <c r="E13882" s="249"/>
      <c r="T13882" s="261"/>
    </row>
    <row r="13883" spans="2:20" x14ac:dyDescent="0.2">
      <c r="B13883" s="245"/>
      <c r="C13883" s="248"/>
      <c r="D13883" s="249"/>
      <c r="E13883" s="249"/>
      <c r="T13883" s="261"/>
    </row>
    <row r="13884" spans="2:20" x14ac:dyDescent="0.2">
      <c r="B13884" s="245"/>
      <c r="C13884" s="248"/>
      <c r="D13884" s="249"/>
      <c r="E13884" s="249"/>
      <c r="T13884" s="261"/>
    </row>
    <row r="13885" spans="2:20" x14ac:dyDescent="0.2">
      <c r="B13885" s="245"/>
      <c r="C13885" s="248"/>
      <c r="D13885" s="249"/>
      <c r="E13885" s="249"/>
      <c r="T13885" s="261"/>
    </row>
    <row r="13886" spans="2:20" x14ac:dyDescent="0.2">
      <c r="B13886" s="245"/>
      <c r="C13886" s="248"/>
      <c r="D13886" s="249"/>
      <c r="E13886" s="249"/>
      <c r="T13886" s="261"/>
    </row>
    <row r="13887" spans="2:20" x14ac:dyDescent="0.2">
      <c r="B13887" s="245"/>
      <c r="C13887" s="248"/>
      <c r="D13887" s="249"/>
      <c r="E13887" s="249"/>
      <c r="T13887" s="261"/>
    </row>
    <row r="13888" spans="2:20" x14ac:dyDescent="0.2">
      <c r="B13888" s="245"/>
      <c r="C13888" s="248"/>
      <c r="D13888" s="249"/>
      <c r="E13888" s="249"/>
      <c r="T13888" s="261"/>
    </row>
    <row r="13889" spans="2:20" x14ac:dyDescent="0.2">
      <c r="B13889" s="245"/>
      <c r="C13889" s="248"/>
      <c r="D13889" s="249"/>
      <c r="E13889" s="249"/>
      <c r="T13889" s="261"/>
    </row>
    <row r="13890" spans="2:20" x14ac:dyDescent="0.2">
      <c r="B13890" s="245"/>
      <c r="C13890" s="248"/>
      <c r="D13890" s="249"/>
      <c r="E13890" s="249"/>
      <c r="T13890" s="261"/>
    </row>
    <row r="13891" spans="2:20" x14ac:dyDescent="0.2">
      <c r="B13891" s="245"/>
      <c r="C13891" s="248"/>
      <c r="D13891" s="249"/>
      <c r="E13891" s="249"/>
      <c r="T13891" s="261"/>
    </row>
    <row r="13892" spans="2:20" x14ac:dyDescent="0.2">
      <c r="B13892" s="245"/>
      <c r="C13892" s="248"/>
      <c r="D13892" s="249"/>
      <c r="E13892" s="249"/>
      <c r="T13892" s="261"/>
    </row>
    <row r="13893" spans="2:20" x14ac:dyDescent="0.2">
      <c r="B13893" s="245"/>
      <c r="C13893" s="248"/>
      <c r="D13893" s="249"/>
      <c r="E13893" s="249"/>
      <c r="T13893" s="261"/>
    </row>
    <row r="13894" spans="2:20" x14ac:dyDescent="0.2">
      <c r="B13894" s="245"/>
      <c r="C13894" s="248"/>
      <c r="D13894" s="249"/>
      <c r="E13894" s="249"/>
      <c r="T13894" s="261"/>
    </row>
    <row r="13895" spans="2:20" x14ac:dyDescent="0.2">
      <c r="B13895" s="245"/>
      <c r="C13895" s="248"/>
      <c r="D13895" s="249"/>
      <c r="E13895" s="249"/>
      <c r="T13895" s="261"/>
    </row>
    <row r="13896" spans="2:20" x14ac:dyDescent="0.2">
      <c r="B13896" s="245"/>
      <c r="C13896" s="248"/>
      <c r="D13896" s="249"/>
      <c r="E13896" s="249"/>
      <c r="T13896" s="261"/>
    </row>
    <row r="13897" spans="2:20" x14ac:dyDescent="0.2">
      <c r="B13897" s="245"/>
      <c r="C13897" s="248"/>
      <c r="D13897" s="249"/>
      <c r="E13897" s="249"/>
      <c r="T13897" s="261"/>
    </row>
    <row r="13898" spans="2:20" x14ac:dyDescent="0.2">
      <c r="B13898" s="245"/>
      <c r="C13898" s="248"/>
      <c r="D13898" s="249"/>
      <c r="E13898" s="249"/>
      <c r="T13898" s="261"/>
    </row>
    <row r="13899" spans="2:20" x14ac:dyDescent="0.2">
      <c r="B13899" s="245"/>
      <c r="C13899" s="248"/>
      <c r="D13899" s="249"/>
      <c r="E13899" s="249"/>
      <c r="T13899" s="261"/>
    </row>
    <row r="13900" spans="2:20" x14ac:dyDescent="0.2">
      <c r="B13900" s="245"/>
      <c r="C13900" s="248"/>
      <c r="D13900" s="249"/>
      <c r="E13900" s="249"/>
      <c r="T13900" s="261"/>
    </row>
    <row r="13901" spans="2:20" x14ac:dyDescent="0.2">
      <c r="B13901" s="245"/>
      <c r="C13901" s="248"/>
      <c r="D13901" s="249"/>
      <c r="E13901" s="249"/>
      <c r="T13901" s="261"/>
    </row>
    <row r="13902" spans="2:20" x14ac:dyDescent="0.2">
      <c r="B13902" s="245"/>
      <c r="C13902" s="248"/>
      <c r="D13902" s="249"/>
      <c r="E13902" s="249"/>
      <c r="T13902" s="261"/>
    </row>
    <row r="13903" spans="2:20" x14ac:dyDescent="0.2">
      <c r="B13903" s="245"/>
      <c r="C13903" s="248"/>
      <c r="D13903" s="249"/>
      <c r="E13903" s="249"/>
      <c r="T13903" s="261"/>
    </row>
    <row r="13904" spans="2:20" x14ac:dyDescent="0.2">
      <c r="B13904" s="245"/>
      <c r="C13904" s="248"/>
      <c r="D13904" s="249"/>
      <c r="E13904" s="249"/>
      <c r="T13904" s="261"/>
    </row>
    <row r="13905" spans="2:20" x14ac:dyDescent="0.2">
      <c r="B13905" s="245"/>
      <c r="C13905" s="248"/>
      <c r="D13905" s="249"/>
      <c r="E13905" s="249"/>
      <c r="T13905" s="261"/>
    </row>
    <row r="13906" spans="2:20" x14ac:dyDescent="0.2">
      <c r="B13906" s="245"/>
      <c r="C13906" s="248"/>
      <c r="D13906" s="249"/>
      <c r="E13906" s="249"/>
      <c r="T13906" s="261"/>
    </row>
    <row r="13907" spans="2:20" x14ac:dyDescent="0.2">
      <c r="B13907" s="245"/>
      <c r="C13907" s="248"/>
      <c r="D13907" s="249"/>
      <c r="E13907" s="249"/>
      <c r="T13907" s="261"/>
    </row>
    <row r="13908" spans="2:20" x14ac:dyDescent="0.2">
      <c r="B13908" s="245"/>
      <c r="C13908" s="248"/>
      <c r="D13908" s="249"/>
      <c r="E13908" s="249"/>
      <c r="T13908" s="261"/>
    </row>
    <row r="13909" spans="2:20" x14ac:dyDescent="0.2">
      <c r="B13909" s="245"/>
      <c r="C13909" s="248"/>
      <c r="D13909" s="249"/>
      <c r="E13909" s="249"/>
      <c r="T13909" s="261"/>
    </row>
    <row r="13910" spans="2:20" x14ac:dyDescent="0.2">
      <c r="B13910" s="245"/>
      <c r="C13910" s="248"/>
      <c r="D13910" s="249"/>
      <c r="E13910" s="249"/>
      <c r="T13910" s="261"/>
    </row>
    <row r="13911" spans="2:20" x14ac:dyDescent="0.2">
      <c r="B13911" s="245"/>
      <c r="C13911" s="248"/>
      <c r="D13911" s="249"/>
      <c r="E13911" s="249"/>
      <c r="T13911" s="261"/>
    </row>
    <row r="13912" spans="2:20" x14ac:dyDescent="0.2">
      <c r="B13912" s="245"/>
      <c r="C13912" s="248"/>
      <c r="D13912" s="249"/>
      <c r="E13912" s="249"/>
      <c r="T13912" s="261"/>
    </row>
    <row r="13913" spans="2:20" x14ac:dyDescent="0.2">
      <c r="B13913" s="245"/>
      <c r="C13913" s="248"/>
      <c r="D13913" s="249"/>
      <c r="E13913" s="249"/>
      <c r="T13913" s="261"/>
    </row>
    <row r="13914" spans="2:20" x14ac:dyDescent="0.2">
      <c r="B13914" s="245"/>
      <c r="C13914" s="248"/>
      <c r="D13914" s="249"/>
      <c r="E13914" s="249"/>
      <c r="T13914" s="261"/>
    </row>
    <row r="13915" spans="2:20" x14ac:dyDescent="0.2">
      <c r="B13915" s="245"/>
      <c r="C13915" s="248"/>
      <c r="D13915" s="249"/>
      <c r="E13915" s="249"/>
      <c r="T13915" s="261"/>
    </row>
    <row r="13916" spans="2:20" x14ac:dyDescent="0.2">
      <c r="B13916" s="245"/>
      <c r="C13916" s="248"/>
      <c r="D13916" s="249"/>
      <c r="E13916" s="249"/>
      <c r="T13916" s="261"/>
    </row>
    <row r="13917" spans="2:20" x14ac:dyDescent="0.2">
      <c r="B13917" s="245"/>
      <c r="C13917" s="248"/>
      <c r="D13917" s="249"/>
      <c r="E13917" s="249"/>
      <c r="T13917" s="261"/>
    </row>
    <row r="13918" spans="2:20" x14ac:dyDescent="0.2">
      <c r="B13918" s="245"/>
      <c r="C13918" s="248"/>
      <c r="D13918" s="249"/>
      <c r="E13918" s="249"/>
      <c r="T13918" s="261"/>
    </row>
    <row r="13919" spans="2:20" x14ac:dyDescent="0.2">
      <c r="B13919" s="245"/>
      <c r="C13919" s="248"/>
      <c r="D13919" s="249"/>
      <c r="E13919" s="249"/>
      <c r="T13919" s="261"/>
    </row>
    <row r="13920" spans="2:20" x14ac:dyDescent="0.2">
      <c r="B13920" s="245"/>
      <c r="C13920" s="248"/>
      <c r="D13920" s="249"/>
      <c r="E13920" s="249"/>
      <c r="T13920" s="261"/>
    </row>
    <row r="13921" spans="2:20" x14ac:dyDescent="0.2">
      <c r="B13921" s="245"/>
      <c r="C13921" s="248"/>
      <c r="D13921" s="249"/>
      <c r="E13921" s="249"/>
      <c r="T13921" s="261"/>
    </row>
    <row r="13922" spans="2:20" x14ac:dyDescent="0.2">
      <c r="B13922" s="245"/>
      <c r="C13922" s="248"/>
      <c r="D13922" s="249"/>
      <c r="E13922" s="249"/>
      <c r="T13922" s="261"/>
    </row>
    <row r="13923" spans="2:20" x14ac:dyDescent="0.2">
      <c r="B13923" s="245"/>
      <c r="C13923" s="248"/>
      <c r="D13923" s="249"/>
      <c r="E13923" s="249"/>
      <c r="T13923" s="261"/>
    </row>
    <row r="13924" spans="2:20" x14ac:dyDescent="0.2">
      <c r="B13924" s="245"/>
      <c r="C13924" s="248"/>
      <c r="D13924" s="249"/>
      <c r="E13924" s="249"/>
      <c r="T13924" s="261"/>
    </row>
    <row r="13925" spans="2:20" x14ac:dyDescent="0.2">
      <c r="B13925" s="245"/>
      <c r="C13925" s="248"/>
      <c r="D13925" s="249"/>
      <c r="E13925" s="249"/>
      <c r="T13925" s="261"/>
    </row>
    <row r="13926" spans="2:20" x14ac:dyDescent="0.2">
      <c r="B13926" s="245"/>
      <c r="C13926" s="248"/>
      <c r="D13926" s="249"/>
      <c r="E13926" s="249"/>
      <c r="T13926" s="261"/>
    </row>
    <row r="13927" spans="2:20" x14ac:dyDescent="0.2">
      <c r="B13927" s="245"/>
      <c r="C13927" s="248"/>
      <c r="D13927" s="249"/>
      <c r="E13927" s="249"/>
      <c r="T13927" s="261"/>
    </row>
    <row r="13928" spans="2:20" x14ac:dyDescent="0.2">
      <c r="B13928" s="245"/>
      <c r="C13928" s="248"/>
      <c r="D13928" s="249"/>
      <c r="E13928" s="249"/>
      <c r="T13928" s="261"/>
    </row>
    <row r="13929" spans="2:20" x14ac:dyDescent="0.2">
      <c r="B13929" s="245"/>
      <c r="C13929" s="248"/>
      <c r="D13929" s="249"/>
      <c r="E13929" s="249"/>
      <c r="T13929" s="261"/>
    </row>
    <row r="13930" spans="2:20" x14ac:dyDescent="0.2">
      <c r="B13930" s="245"/>
      <c r="C13930" s="248"/>
      <c r="D13930" s="249"/>
      <c r="E13930" s="249"/>
      <c r="T13930" s="261"/>
    </row>
    <row r="13931" spans="2:20" x14ac:dyDescent="0.2">
      <c r="B13931" s="245"/>
      <c r="C13931" s="248"/>
      <c r="D13931" s="249"/>
      <c r="E13931" s="249"/>
      <c r="T13931" s="261"/>
    </row>
    <row r="13932" spans="2:20" x14ac:dyDescent="0.2">
      <c r="B13932" s="245"/>
      <c r="C13932" s="248"/>
      <c r="D13932" s="249"/>
      <c r="E13932" s="249"/>
      <c r="T13932" s="261"/>
    </row>
    <row r="13933" spans="2:20" x14ac:dyDescent="0.2">
      <c r="B13933" s="245"/>
      <c r="C13933" s="248"/>
      <c r="D13933" s="249"/>
      <c r="E13933" s="249"/>
      <c r="T13933" s="261"/>
    </row>
    <row r="13934" spans="2:20" x14ac:dyDescent="0.2">
      <c r="B13934" s="245"/>
      <c r="C13934" s="248"/>
      <c r="D13934" s="249"/>
      <c r="E13934" s="249"/>
      <c r="T13934" s="261"/>
    </row>
    <row r="13935" spans="2:20" x14ac:dyDescent="0.2">
      <c r="B13935" s="245"/>
      <c r="C13935" s="248"/>
      <c r="D13935" s="249"/>
      <c r="E13935" s="249"/>
      <c r="T13935" s="261"/>
    </row>
    <row r="13936" spans="2:20" x14ac:dyDescent="0.2">
      <c r="B13936" s="245"/>
      <c r="C13936" s="248"/>
      <c r="D13936" s="249"/>
      <c r="E13936" s="249"/>
      <c r="T13936" s="261"/>
    </row>
    <row r="13937" spans="2:20" x14ac:dyDescent="0.2">
      <c r="B13937" s="245"/>
      <c r="C13937" s="248"/>
      <c r="D13937" s="249"/>
      <c r="E13937" s="249"/>
      <c r="T13937" s="261"/>
    </row>
    <row r="13938" spans="2:20" x14ac:dyDescent="0.2">
      <c r="B13938" s="245"/>
      <c r="C13938" s="248"/>
      <c r="D13938" s="249"/>
      <c r="E13938" s="249"/>
      <c r="T13938" s="261"/>
    </row>
    <row r="13939" spans="2:20" x14ac:dyDescent="0.2">
      <c r="B13939" s="245"/>
      <c r="C13939" s="248"/>
      <c r="D13939" s="249"/>
      <c r="E13939" s="249"/>
      <c r="T13939" s="261"/>
    </row>
    <row r="13940" spans="2:20" x14ac:dyDescent="0.2">
      <c r="B13940" s="245"/>
      <c r="C13940" s="248"/>
      <c r="D13940" s="249"/>
      <c r="E13940" s="249"/>
      <c r="T13940" s="261"/>
    </row>
    <row r="13941" spans="2:20" x14ac:dyDescent="0.2">
      <c r="B13941" s="245"/>
      <c r="C13941" s="248"/>
      <c r="D13941" s="249"/>
      <c r="E13941" s="249"/>
      <c r="T13941" s="261"/>
    </row>
    <row r="13942" spans="2:20" x14ac:dyDescent="0.2">
      <c r="B13942" s="245"/>
      <c r="C13942" s="248"/>
      <c r="D13942" s="249"/>
      <c r="E13942" s="249"/>
      <c r="T13942" s="261"/>
    </row>
    <row r="13943" spans="2:20" x14ac:dyDescent="0.2">
      <c r="B13943" s="245"/>
      <c r="C13943" s="248"/>
      <c r="D13943" s="249"/>
      <c r="E13943" s="249"/>
      <c r="T13943" s="261"/>
    </row>
    <row r="13944" spans="2:20" x14ac:dyDescent="0.2">
      <c r="B13944" s="245"/>
      <c r="C13944" s="248"/>
      <c r="D13944" s="249"/>
      <c r="E13944" s="249"/>
      <c r="T13944" s="261"/>
    </row>
    <row r="13945" spans="2:20" x14ac:dyDescent="0.2">
      <c r="B13945" s="245"/>
      <c r="C13945" s="248"/>
      <c r="D13945" s="249"/>
      <c r="E13945" s="249"/>
      <c r="T13945" s="261"/>
    </row>
    <row r="13946" spans="2:20" x14ac:dyDescent="0.2">
      <c r="B13946" s="245"/>
      <c r="C13946" s="248"/>
      <c r="D13946" s="249"/>
      <c r="E13946" s="249"/>
      <c r="T13946" s="261"/>
    </row>
    <row r="13947" spans="2:20" x14ac:dyDescent="0.2">
      <c r="B13947" s="245"/>
      <c r="C13947" s="248"/>
      <c r="D13947" s="249"/>
      <c r="E13947" s="249"/>
      <c r="T13947" s="261"/>
    </row>
    <row r="13948" spans="2:20" x14ac:dyDescent="0.2">
      <c r="B13948" s="245"/>
      <c r="C13948" s="248"/>
      <c r="D13948" s="249"/>
      <c r="E13948" s="249"/>
      <c r="T13948" s="261"/>
    </row>
    <row r="13949" spans="2:20" x14ac:dyDescent="0.2">
      <c r="B13949" s="245"/>
      <c r="C13949" s="248"/>
      <c r="D13949" s="249"/>
      <c r="E13949" s="249"/>
      <c r="T13949" s="261"/>
    </row>
    <row r="13950" spans="2:20" x14ac:dyDescent="0.2">
      <c r="B13950" s="245"/>
      <c r="C13950" s="248"/>
      <c r="D13950" s="249"/>
      <c r="E13950" s="249"/>
      <c r="T13950" s="261"/>
    </row>
    <row r="13951" spans="2:20" x14ac:dyDescent="0.2">
      <c r="B13951" s="245"/>
      <c r="C13951" s="248"/>
      <c r="D13951" s="249"/>
      <c r="E13951" s="249"/>
      <c r="T13951" s="261"/>
    </row>
    <row r="13952" spans="2:20" x14ac:dyDescent="0.2">
      <c r="B13952" s="245"/>
      <c r="C13952" s="248"/>
      <c r="D13952" s="249"/>
      <c r="E13952" s="249"/>
      <c r="T13952" s="261"/>
    </row>
    <row r="13953" spans="2:20" x14ac:dyDescent="0.2">
      <c r="B13953" s="245"/>
      <c r="C13953" s="248"/>
      <c r="D13953" s="249"/>
      <c r="E13953" s="249"/>
      <c r="T13953" s="261"/>
    </row>
    <row r="13954" spans="2:20" x14ac:dyDescent="0.2">
      <c r="B13954" s="245"/>
      <c r="C13954" s="248"/>
      <c r="D13954" s="249"/>
      <c r="E13954" s="249"/>
      <c r="T13954" s="261"/>
    </row>
    <row r="13955" spans="2:20" x14ac:dyDescent="0.2">
      <c r="B13955" s="245"/>
      <c r="C13955" s="248"/>
      <c r="D13955" s="249"/>
      <c r="E13955" s="249"/>
      <c r="T13955" s="261"/>
    </row>
    <row r="13956" spans="2:20" x14ac:dyDescent="0.2">
      <c r="B13956" s="245"/>
      <c r="C13956" s="248"/>
      <c r="D13956" s="249"/>
      <c r="E13956" s="249"/>
      <c r="T13956" s="261"/>
    </row>
    <row r="13957" spans="2:20" x14ac:dyDescent="0.2">
      <c r="B13957" s="245"/>
      <c r="C13957" s="248"/>
      <c r="D13957" s="249"/>
      <c r="E13957" s="249"/>
      <c r="T13957" s="261"/>
    </row>
    <row r="13958" spans="2:20" x14ac:dyDescent="0.2">
      <c r="B13958" s="245"/>
      <c r="C13958" s="248"/>
      <c r="D13958" s="249"/>
      <c r="E13958" s="249"/>
      <c r="T13958" s="261"/>
    </row>
    <row r="13959" spans="2:20" x14ac:dyDescent="0.2">
      <c r="B13959" s="245"/>
      <c r="C13959" s="248"/>
      <c r="D13959" s="249"/>
      <c r="E13959" s="249"/>
      <c r="T13959" s="261"/>
    </row>
    <row r="13960" spans="2:20" x14ac:dyDescent="0.2">
      <c r="B13960" s="245"/>
      <c r="C13960" s="248"/>
      <c r="D13960" s="249"/>
      <c r="E13960" s="249"/>
      <c r="T13960" s="261"/>
    </row>
    <row r="13961" spans="2:20" x14ac:dyDescent="0.2">
      <c r="B13961" s="245"/>
      <c r="C13961" s="248"/>
      <c r="D13961" s="249"/>
      <c r="E13961" s="249"/>
      <c r="T13961" s="261"/>
    </row>
    <row r="13962" spans="2:20" x14ac:dyDescent="0.2">
      <c r="B13962" s="245"/>
      <c r="C13962" s="248"/>
      <c r="D13962" s="249"/>
      <c r="E13962" s="249"/>
      <c r="T13962" s="261"/>
    </row>
    <row r="13963" spans="2:20" x14ac:dyDescent="0.2">
      <c r="B13963" s="245"/>
      <c r="C13963" s="248"/>
      <c r="D13963" s="249"/>
      <c r="E13963" s="249"/>
      <c r="T13963" s="261"/>
    </row>
    <row r="13964" spans="2:20" x14ac:dyDescent="0.2">
      <c r="B13964" s="245"/>
      <c r="C13964" s="248"/>
      <c r="D13964" s="249"/>
      <c r="E13964" s="249"/>
      <c r="T13964" s="261"/>
    </row>
    <row r="13965" spans="2:20" x14ac:dyDescent="0.2">
      <c r="B13965" s="245"/>
      <c r="C13965" s="248"/>
      <c r="D13965" s="249"/>
      <c r="E13965" s="249"/>
      <c r="T13965" s="261"/>
    </row>
    <row r="13966" spans="2:20" x14ac:dyDescent="0.2">
      <c r="B13966" s="245"/>
      <c r="C13966" s="248"/>
      <c r="D13966" s="249"/>
      <c r="E13966" s="249"/>
      <c r="T13966" s="261"/>
    </row>
    <row r="13967" spans="2:20" x14ac:dyDescent="0.2">
      <c r="B13967" s="245"/>
      <c r="C13967" s="248"/>
      <c r="D13967" s="249"/>
      <c r="E13967" s="249"/>
      <c r="T13967" s="261"/>
    </row>
    <row r="13968" spans="2:20" x14ac:dyDescent="0.2">
      <c r="B13968" s="245"/>
      <c r="C13968" s="248"/>
      <c r="D13968" s="249"/>
      <c r="E13968" s="249"/>
      <c r="T13968" s="261"/>
    </row>
    <row r="13969" spans="2:20" x14ac:dyDescent="0.2">
      <c r="B13969" s="245"/>
      <c r="C13969" s="248"/>
      <c r="D13969" s="249"/>
      <c r="E13969" s="249"/>
      <c r="T13969" s="261"/>
    </row>
    <row r="13970" spans="2:20" x14ac:dyDescent="0.2">
      <c r="B13970" s="245"/>
      <c r="C13970" s="248"/>
      <c r="D13970" s="249"/>
      <c r="E13970" s="249"/>
      <c r="T13970" s="261"/>
    </row>
    <row r="13971" spans="2:20" x14ac:dyDescent="0.2">
      <c r="B13971" s="245"/>
      <c r="C13971" s="248"/>
      <c r="D13971" s="249"/>
      <c r="E13971" s="249"/>
      <c r="T13971" s="261"/>
    </row>
    <row r="13972" spans="2:20" x14ac:dyDescent="0.2">
      <c r="B13972" s="245"/>
      <c r="C13972" s="248"/>
      <c r="D13972" s="249"/>
      <c r="E13972" s="249"/>
      <c r="T13972" s="261"/>
    </row>
    <row r="13973" spans="2:20" x14ac:dyDescent="0.2">
      <c r="B13973" s="245"/>
      <c r="C13973" s="248"/>
      <c r="D13973" s="249"/>
      <c r="E13973" s="249"/>
      <c r="T13973" s="261"/>
    </row>
    <row r="13974" spans="2:20" x14ac:dyDescent="0.2">
      <c r="B13974" s="245"/>
      <c r="C13974" s="248"/>
      <c r="D13974" s="249"/>
      <c r="E13974" s="249"/>
      <c r="T13974" s="261"/>
    </row>
    <row r="13975" spans="2:20" x14ac:dyDescent="0.2">
      <c r="B13975" s="245"/>
      <c r="C13975" s="248"/>
      <c r="D13975" s="249"/>
      <c r="E13975" s="249"/>
      <c r="T13975" s="261"/>
    </row>
    <row r="13976" spans="2:20" x14ac:dyDescent="0.2">
      <c r="B13976" s="245"/>
      <c r="C13976" s="248"/>
      <c r="D13976" s="249"/>
      <c r="E13976" s="249"/>
      <c r="T13976" s="261"/>
    </row>
    <row r="13977" spans="2:20" x14ac:dyDescent="0.2">
      <c r="B13977" s="245"/>
      <c r="C13977" s="248"/>
      <c r="D13977" s="249"/>
      <c r="E13977" s="249"/>
      <c r="T13977" s="261"/>
    </row>
    <row r="13978" spans="2:20" x14ac:dyDescent="0.2">
      <c r="B13978" s="245"/>
      <c r="C13978" s="248"/>
      <c r="D13978" s="249"/>
      <c r="E13978" s="249"/>
      <c r="T13978" s="261"/>
    </row>
    <row r="13979" spans="2:20" x14ac:dyDescent="0.2">
      <c r="B13979" s="245"/>
      <c r="C13979" s="248"/>
      <c r="D13979" s="249"/>
      <c r="E13979" s="249"/>
      <c r="T13979" s="261"/>
    </row>
    <row r="13980" spans="2:20" x14ac:dyDescent="0.2">
      <c r="B13980" s="245"/>
      <c r="C13980" s="248"/>
      <c r="D13980" s="249"/>
      <c r="E13980" s="249"/>
      <c r="T13980" s="261"/>
    </row>
    <row r="13981" spans="2:20" x14ac:dyDescent="0.2">
      <c r="B13981" s="245"/>
      <c r="C13981" s="248"/>
      <c r="D13981" s="249"/>
      <c r="E13981" s="249"/>
      <c r="T13981" s="261"/>
    </row>
    <row r="13982" spans="2:20" x14ac:dyDescent="0.2">
      <c r="B13982" s="245"/>
      <c r="C13982" s="248"/>
      <c r="D13982" s="249"/>
      <c r="E13982" s="249"/>
      <c r="T13982" s="261"/>
    </row>
    <row r="13983" spans="2:20" x14ac:dyDescent="0.2">
      <c r="B13983" s="245"/>
      <c r="C13983" s="248"/>
      <c r="D13983" s="249"/>
      <c r="E13983" s="249"/>
      <c r="T13983" s="261"/>
    </row>
    <row r="13984" spans="2:20" x14ac:dyDescent="0.2">
      <c r="B13984" s="245"/>
      <c r="C13984" s="248"/>
      <c r="D13984" s="249"/>
      <c r="E13984" s="249"/>
      <c r="T13984" s="261"/>
    </row>
    <row r="13985" spans="2:20" x14ac:dyDescent="0.2">
      <c r="B13985" s="245"/>
      <c r="C13985" s="248"/>
      <c r="D13985" s="249"/>
      <c r="E13985" s="249"/>
      <c r="T13985" s="261"/>
    </row>
    <row r="13986" spans="2:20" x14ac:dyDescent="0.2">
      <c r="B13986" s="245"/>
      <c r="C13986" s="248"/>
      <c r="D13986" s="249"/>
      <c r="E13986" s="249"/>
      <c r="T13986" s="261"/>
    </row>
    <row r="13987" spans="2:20" x14ac:dyDescent="0.2">
      <c r="B13987" s="245"/>
      <c r="C13987" s="248"/>
      <c r="D13987" s="249"/>
      <c r="E13987" s="249"/>
      <c r="T13987" s="261"/>
    </row>
    <row r="13988" spans="2:20" x14ac:dyDescent="0.2">
      <c r="B13988" s="245"/>
      <c r="C13988" s="248"/>
      <c r="D13988" s="249"/>
      <c r="E13988" s="249"/>
      <c r="T13988" s="261"/>
    </row>
    <row r="13989" spans="2:20" x14ac:dyDescent="0.2">
      <c r="B13989" s="245"/>
      <c r="C13989" s="248"/>
      <c r="D13989" s="249"/>
      <c r="E13989" s="249"/>
      <c r="T13989" s="261"/>
    </row>
    <row r="13990" spans="2:20" x14ac:dyDescent="0.2">
      <c r="B13990" s="245"/>
      <c r="C13990" s="248"/>
      <c r="D13990" s="249"/>
      <c r="E13990" s="249"/>
      <c r="T13990" s="261"/>
    </row>
    <row r="13991" spans="2:20" x14ac:dyDescent="0.2">
      <c r="B13991" s="245"/>
      <c r="C13991" s="248"/>
      <c r="D13991" s="249"/>
      <c r="E13991" s="249"/>
      <c r="T13991" s="261"/>
    </row>
    <row r="13992" spans="2:20" x14ac:dyDescent="0.2">
      <c r="B13992" s="245"/>
      <c r="C13992" s="248"/>
      <c r="D13992" s="249"/>
      <c r="E13992" s="249"/>
      <c r="T13992" s="261"/>
    </row>
    <row r="13993" spans="2:20" x14ac:dyDescent="0.2">
      <c r="B13993" s="245"/>
      <c r="C13993" s="248"/>
      <c r="D13993" s="249"/>
      <c r="E13993" s="249"/>
      <c r="T13993" s="261"/>
    </row>
    <row r="13994" spans="2:20" x14ac:dyDescent="0.2">
      <c r="B13994" s="245"/>
      <c r="C13994" s="248"/>
      <c r="D13994" s="249"/>
      <c r="E13994" s="249"/>
      <c r="T13994" s="261"/>
    </row>
    <row r="13995" spans="2:20" x14ac:dyDescent="0.2">
      <c r="B13995" s="245"/>
      <c r="C13995" s="248"/>
      <c r="D13995" s="249"/>
      <c r="E13995" s="249"/>
      <c r="T13995" s="261"/>
    </row>
    <row r="13996" spans="2:20" x14ac:dyDescent="0.2">
      <c r="B13996" s="245"/>
      <c r="C13996" s="248"/>
      <c r="D13996" s="249"/>
      <c r="E13996" s="249"/>
      <c r="T13996" s="261"/>
    </row>
    <row r="13997" spans="2:20" x14ac:dyDescent="0.2">
      <c r="B13997" s="245"/>
      <c r="C13997" s="248"/>
      <c r="D13997" s="249"/>
      <c r="E13997" s="249"/>
      <c r="T13997" s="261"/>
    </row>
    <row r="13998" spans="2:20" x14ac:dyDescent="0.2">
      <c r="B13998" s="245"/>
      <c r="C13998" s="248"/>
      <c r="D13998" s="249"/>
      <c r="E13998" s="249"/>
      <c r="T13998" s="261"/>
    </row>
    <row r="13999" spans="2:20" x14ac:dyDescent="0.2">
      <c r="B13999" s="245"/>
      <c r="C13999" s="248"/>
      <c r="D13999" s="249"/>
      <c r="E13999" s="249"/>
      <c r="T13999" s="261"/>
    </row>
    <row r="14000" spans="2:20" x14ac:dyDescent="0.2">
      <c r="B14000" s="245"/>
      <c r="C14000" s="248"/>
      <c r="D14000" s="249"/>
      <c r="E14000" s="249"/>
      <c r="T14000" s="261"/>
    </row>
    <row r="14001" spans="2:20" x14ac:dyDescent="0.2">
      <c r="B14001" s="245"/>
      <c r="C14001" s="248"/>
      <c r="D14001" s="249"/>
      <c r="E14001" s="249"/>
      <c r="T14001" s="261"/>
    </row>
    <row r="14002" spans="2:20" x14ac:dyDescent="0.2">
      <c r="B14002" s="245"/>
      <c r="C14002" s="248"/>
      <c r="D14002" s="249"/>
      <c r="E14002" s="249"/>
      <c r="T14002" s="261"/>
    </row>
    <row r="14003" spans="2:20" x14ac:dyDescent="0.2">
      <c r="B14003" s="245"/>
      <c r="C14003" s="248"/>
      <c r="D14003" s="249"/>
      <c r="E14003" s="249"/>
      <c r="T14003" s="261"/>
    </row>
    <row r="14004" spans="2:20" x14ac:dyDescent="0.2">
      <c r="B14004" s="245"/>
      <c r="C14004" s="248"/>
      <c r="D14004" s="249"/>
      <c r="E14004" s="249"/>
      <c r="T14004" s="261"/>
    </row>
    <row r="14005" spans="2:20" x14ac:dyDescent="0.2">
      <c r="B14005" s="245"/>
      <c r="C14005" s="248"/>
      <c r="D14005" s="249"/>
      <c r="E14005" s="249"/>
      <c r="T14005" s="261"/>
    </row>
    <row r="14006" spans="2:20" x14ac:dyDescent="0.2">
      <c r="B14006" s="245"/>
      <c r="C14006" s="248"/>
      <c r="D14006" s="249"/>
      <c r="E14006" s="249"/>
      <c r="T14006" s="261"/>
    </row>
    <row r="14007" spans="2:20" x14ac:dyDescent="0.2">
      <c r="B14007" s="245"/>
      <c r="C14007" s="248"/>
      <c r="D14007" s="249"/>
      <c r="E14007" s="249"/>
      <c r="T14007" s="261"/>
    </row>
    <row r="14008" spans="2:20" x14ac:dyDescent="0.2">
      <c r="B14008" s="245"/>
      <c r="C14008" s="248"/>
      <c r="D14008" s="249"/>
      <c r="E14008" s="249"/>
      <c r="T14008" s="261"/>
    </row>
    <row r="14009" spans="2:20" x14ac:dyDescent="0.2">
      <c r="B14009" s="245"/>
      <c r="C14009" s="248"/>
      <c r="D14009" s="249"/>
      <c r="E14009" s="249"/>
      <c r="T14009" s="261"/>
    </row>
    <row r="14010" spans="2:20" x14ac:dyDescent="0.2">
      <c r="B14010" s="245"/>
      <c r="C14010" s="248"/>
      <c r="D14010" s="249"/>
      <c r="E14010" s="249"/>
      <c r="T14010" s="261"/>
    </row>
    <row r="14011" spans="2:20" x14ac:dyDescent="0.2">
      <c r="B14011" s="245"/>
      <c r="C14011" s="248"/>
      <c r="D14011" s="249"/>
      <c r="E14011" s="249"/>
      <c r="T14011" s="261"/>
    </row>
    <row r="14012" spans="2:20" x14ac:dyDescent="0.2">
      <c r="B14012" s="245"/>
      <c r="C14012" s="248"/>
      <c r="D14012" s="249"/>
      <c r="E14012" s="249"/>
      <c r="T14012" s="261"/>
    </row>
    <row r="14013" spans="2:20" x14ac:dyDescent="0.2">
      <c r="B14013" s="245"/>
      <c r="C14013" s="248"/>
      <c r="D14013" s="249"/>
      <c r="E14013" s="249"/>
      <c r="T14013" s="261"/>
    </row>
    <row r="14014" spans="2:20" x14ac:dyDescent="0.2">
      <c r="B14014" s="245"/>
      <c r="C14014" s="248"/>
      <c r="D14014" s="249"/>
      <c r="E14014" s="249"/>
      <c r="T14014" s="261"/>
    </row>
    <row r="14015" spans="2:20" x14ac:dyDescent="0.2">
      <c r="B14015" s="245"/>
      <c r="C14015" s="248"/>
      <c r="D14015" s="249"/>
      <c r="E14015" s="249"/>
      <c r="T14015" s="261"/>
    </row>
    <row r="14016" spans="2:20" x14ac:dyDescent="0.2">
      <c r="B14016" s="245"/>
      <c r="C14016" s="248"/>
      <c r="D14016" s="249"/>
      <c r="E14016" s="249"/>
      <c r="T14016" s="261"/>
    </row>
    <row r="14017" spans="2:20" x14ac:dyDescent="0.2">
      <c r="B14017" s="245"/>
      <c r="C14017" s="248"/>
      <c r="D14017" s="249"/>
      <c r="E14017" s="249"/>
      <c r="T14017" s="261"/>
    </row>
    <row r="14018" spans="2:20" x14ac:dyDescent="0.2">
      <c r="B14018" s="245"/>
      <c r="C14018" s="248"/>
      <c r="D14018" s="249"/>
      <c r="E14018" s="249"/>
      <c r="T14018" s="261"/>
    </row>
    <row r="14019" spans="2:20" x14ac:dyDescent="0.2">
      <c r="B14019" s="245"/>
      <c r="C14019" s="248"/>
      <c r="D14019" s="249"/>
      <c r="E14019" s="249"/>
      <c r="T14019" s="261"/>
    </row>
    <row r="14020" spans="2:20" x14ac:dyDescent="0.2">
      <c r="B14020" s="245"/>
      <c r="C14020" s="248"/>
      <c r="D14020" s="249"/>
      <c r="E14020" s="249"/>
      <c r="T14020" s="261"/>
    </row>
    <row r="14021" spans="2:20" x14ac:dyDescent="0.2">
      <c r="B14021" s="245"/>
      <c r="C14021" s="248"/>
      <c r="D14021" s="249"/>
      <c r="E14021" s="249"/>
      <c r="T14021" s="261"/>
    </row>
    <row r="14022" spans="2:20" x14ac:dyDescent="0.2">
      <c r="B14022" s="245"/>
      <c r="C14022" s="248"/>
      <c r="D14022" s="249"/>
      <c r="E14022" s="249"/>
      <c r="T14022" s="261"/>
    </row>
    <row r="14023" spans="2:20" x14ac:dyDescent="0.2">
      <c r="B14023" s="245"/>
      <c r="C14023" s="248"/>
      <c r="D14023" s="249"/>
      <c r="E14023" s="249"/>
      <c r="T14023" s="261"/>
    </row>
    <row r="14024" spans="2:20" x14ac:dyDescent="0.2">
      <c r="B14024" s="245"/>
      <c r="C14024" s="248"/>
      <c r="D14024" s="249"/>
      <c r="E14024" s="249"/>
      <c r="T14024" s="261"/>
    </row>
    <row r="14025" spans="2:20" x14ac:dyDescent="0.2">
      <c r="B14025" s="245"/>
      <c r="C14025" s="248"/>
      <c r="D14025" s="249"/>
      <c r="E14025" s="249"/>
      <c r="T14025" s="261"/>
    </row>
    <row r="14026" spans="2:20" x14ac:dyDescent="0.2">
      <c r="B14026" s="245"/>
      <c r="C14026" s="248"/>
      <c r="D14026" s="249"/>
      <c r="E14026" s="249"/>
      <c r="T14026" s="261"/>
    </row>
    <row r="14027" spans="2:20" x14ac:dyDescent="0.2">
      <c r="B14027" s="245"/>
      <c r="C14027" s="248"/>
      <c r="D14027" s="249"/>
      <c r="E14027" s="249"/>
      <c r="T14027" s="261"/>
    </row>
    <row r="14028" spans="2:20" x14ac:dyDescent="0.2">
      <c r="B14028" s="245"/>
      <c r="C14028" s="248"/>
      <c r="D14028" s="249"/>
      <c r="E14028" s="249"/>
      <c r="T14028" s="261"/>
    </row>
    <row r="14029" spans="2:20" x14ac:dyDescent="0.2">
      <c r="B14029" s="245"/>
      <c r="C14029" s="248"/>
      <c r="D14029" s="249"/>
      <c r="E14029" s="249"/>
      <c r="T14029" s="261"/>
    </row>
    <row r="14030" spans="2:20" x14ac:dyDescent="0.2">
      <c r="B14030" s="245"/>
      <c r="C14030" s="248"/>
      <c r="D14030" s="249"/>
      <c r="E14030" s="249"/>
      <c r="T14030" s="261"/>
    </row>
    <row r="14031" spans="2:20" x14ac:dyDescent="0.2">
      <c r="B14031" s="245"/>
      <c r="C14031" s="248"/>
      <c r="D14031" s="249"/>
      <c r="E14031" s="249"/>
      <c r="T14031" s="261"/>
    </row>
    <row r="14032" spans="2:20" x14ac:dyDescent="0.2">
      <c r="B14032" s="245"/>
      <c r="C14032" s="248"/>
      <c r="D14032" s="249"/>
      <c r="E14032" s="249"/>
      <c r="T14032" s="261"/>
    </row>
    <row r="14033" spans="2:20" x14ac:dyDescent="0.2">
      <c r="B14033" s="245"/>
      <c r="C14033" s="248"/>
      <c r="D14033" s="249"/>
      <c r="E14033" s="249"/>
      <c r="T14033" s="261"/>
    </row>
    <row r="14034" spans="2:20" x14ac:dyDescent="0.2">
      <c r="B14034" s="245"/>
      <c r="C14034" s="248"/>
      <c r="D14034" s="249"/>
      <c r="E14034" s="249"/>
      <c r="T14034" s="261"/>
    </row>
    <row r="14035" spans="2:20" x14ac:dyDescent="0.2">
      <c r="B14035" s="245"/>
      <c r="C14035" s="248"/>
      <c r="D14035" s="249"/>
      <c r="E14035" s="249"/>
      <c r="T14035" s="261"/>
    </row>
    <row r="14036" spans="2:20" x14ac:dyDescent="0.2">
      <c r="B14036" s="245"/>
      <c r="C14036" s="248"/>
      <c r="D14036" s="249"/>
      <c r="E14036" s="249"/>
      <c r="T14036" s="261"/>
    </row>
    <row r="14037" spans="2:20" x14ac:dyDescent="0.2">
      <c r="B14037" s="245"/>
      <c r="C14037" s="248"/>
      <c r="D14037" s="249"/>
      <c r="E14037" s="249"/>
      <c r="T14037" s="261"/>
    </row>
    <row r="14038" spans="2:20" x14ac:dyDescent="0.2">
      <c r="B14038" s="245"/>
      <c r="C14038" s="248"/>
      <c r="D14038" s="249"/>
      <c r="E14038" s="249"/>
      <c r="T14038" s="261"/>
    </row>
    <row r="14039" spans="2:20" x14ac:dyDescent="0.2">
      <c r="B14039" s="245"/>
      <c r="C14039" s="248"/>
      <c r="D14039" s="249"/>
      <c r="E14039" s="249"/>
      <c r="T14039" s="261"/>
    </row>
    <row r="14040" spans="2:20" x14ac:dyDescent="0.2">
      <c r="B14040" s="245"/>
      <c r="C14040" s="248"/>
      <c r="D14040" s="249"/>
      <c r="E14040" s="249"/>
      <c r="T14040" s="261"/>
    </row>
    <row r="14041" spans="2:20" x14ac:dyDescent="0.2">
      <c r="B14041" s="245"/>
      <c r="C14041" s="248"/>
      <c r="D14041" s="249"/>
      <c r="E14041" s="249"/>
      <c r="T14041" s="261"/>
    </row>
    <row r="14042" spans="2:20" x14ac:dyDescent="0.2">
      <c r="B14042" s="245"/>
      <c r="C14042" s="248"/>
      <c r="D14042" s="249"/>
      <c r="E14042" s="249"/>
      <c r="T14042" s="261"/>
    </row>
    <row r="14043" spans="2:20" x14ac:dyDescent="0.2">
      <c r="B14043" s="245"/>
      <c r="C14043" s="248"/>
      <c r="D14043" s="249"/>
      <c r="E14043" s="249"/>
      <c r="T14043" s="261"/>
    </row>
    <row r="14044" spans="2:20" x14ac:dyDescent="0.2">
      <c r="B14044" s="245"/>
      <c r="C14044" s="248"/>
      <c r="D14044" s="249"/>
      <c r="E14044" s="249"/>
      <c r="T14044" s="261"/>
    </row>
    <row r="14045" spans="2:20" x14ac:dyDescent="0.2">
      <c r="B14045" s="245"/>
      <c r="C14045" s="248"/>
      <c r="D14045" s="249"/>
      <c r="E14045" s="249"/>
      <c r="T14045" s="261"/>
    </row>
    <row r="14046" spans="2:20" x14ac:dyDescent="0.2">
      <c r="B14046" s="245"/>
      <c r="C14046" s="248"/>
      <c r="D14046" s="249"/>
      <c r="E14046" s="249"/>
      <c r="T14046" s="261"/>
    </row>
    <row r="14047" spans="2:20" x14ac:dyDescent="0.2">
      <c r="B14047" s="245"/>
      <c r="C14047" s="248"/>
      <c r="D14047" s="249"/>
      <c r="E14047" s="249"/>
      <c r="T14047" s="261"/>
    </row>
    <row r="14048" spans="2:20" x14ac:dyDescent="0.2">
      <c r="B14048" s="245"/>
      <c r="C14048" s="248"/>
      <c r="D14048" s="249"/>
      <c r="E14048" s="249"/>
      <c r="T14048" s="261"/>
    </row>
    <row r="14049" spans="2:20" x14ac:dyDescent="0.2">
      <c r="B14049" s="245"/>
      <c r="C14049" s="248"/>
      <c r="D14049" s="249"/>
      <c r="E14049" s="249"/>
      <c r="T14049" s="261"/>
    </row>
    <row r="14050" spans="2:20" x14ac:dyDescent="0.2">
      <c r="B14050" s="245"/>
      <c r="C14050" s="248"/>
      <c r="D14050" s="249"/>
      <c r="E14050" s="249"/>
      <c r="T14050" s="261"/>
    </row>
    <row r="14051" spans="2:20" x14ac:dyDescent="0.2">
      <c r="B14051" s="245"/>
      <c r="C14051" s="248"/>
      <c r="D14051" s="249"/>
      <c r="E14051" s="249"/>
      <c r="T14051" s="261"/>
    </row>
    <row r="14052" spans="2:20" x14ac:dyDescent="0.2">
      <c r="B14052" s="245"/>
      <c r="C14052" s="248"/>
      <c r="D14052" s="249"/>
      <c r="E14052" s="249"/>
      <c r="T14052" s="261"/>
    </row>
    <row r="14053" spans="2:20" x14ac:dyDescent="0.2">
      <c r="B14053" s="245"/>
      <c r="C14053" s="248"/>
      <c r="D14053" s="249"/>
      <c r="E14053" s="249"/>
      <c r="T14053" s="261"/>
    </row>
    <row r="14054" spans="2:20" x14ac:dyDescent="0.2">
      <c r="B14054" s="245"/>
      <c r="C14054" s="248"/>
      <c r="D14054" s="249"/>
      <c r="E14054" s="249"/>
      <c r="T14054" s="261"/>
    </row>
    <row r="14055" spans="2:20" x14ac:dyDescent="0.2">
      <c r="B14055" s="245"/>
      <c r="C14055" s="248"/>
      <c r="D14055" s="249"/>
      <c r="E14055" s="249"/>
      <c r="T14055" s="261"/>
    </row>
    <row r="14056" spans="2:20" x14ac:dyDescent="0.2">
      <c r="B14056" s="245"/>
      <c r="C14056" s="248"/>
      <c r="D14056" s="249"/>
      <c r="E14056" s="249"/>
      <c r="T14056" s="261"/>
    </row>
    <row r="14057" spans="2:20" x14ac:dyDescent="0.2">
      <c r="B14057" s="245"/>
      <c r="C14057" s="248"/>
      <c r="D14057" s="249"/>
      <c r="E14057" s="249"/>
      <c r="T14057" s="261"/>
    </row>
    <row r="14058" spans="2:20" x14ac:dyDescent="0.2">
      <c r="B14058" s="245"/>
      <c r="C14058" s="248"/>
      <c r="D14058" s="249"/>
      <c r="E14058" s="249"/>
      <c r="T14058" s="261"/>
    </row>
    <row r="14059" spans="2:20" x14ac:dyDescent="0.2">
      <c r="B14059" s="245"/>
      <c r="C14059" s="248"/>
      <c r="D14059" s="249"/>
      <c r="E14059" s="249"/>
      <c r="T14059" s="261"/>
    </row>
    <row r="14060" spans="2:20" x14ac:dyDescent="0.2">
      <c r="B14060" s="245"/>
      <c r="C14060" s="248"/>
      <c r="D14060" s="249"/>
      <c r="E14060" s="249"/>
      <c r="T14060" s="261"/>
    </row>
    <row r="14061" spans="2:20" x14ac:dyDescent="0.2">
      <c r="B14061" s="245"/>
      <c r="C14061" s="248"/>
      <c r="D14061" s="249"/>
      <c r="E14061" s="249"/>
      <c r="T14061" s="261"/>
    </row>
    <row r="14062" spans="2:20" x14ac:dyDescent="0.2">
      <c r="B14062" s="245"/>
      <c r="C14062" s="248"/>
      <c r="D14062" s="249"/>
      <c r="E14062" s="249"/>
      <c r="T14062" s="261"/>
    </row>
    <row r="14063" spans="2:20" x14ac:dyDescent="0.2">
      <c r="B14063" s="245"/>
      <c r="C14063" s="248"/>
      <c r="D14063" s="249"/>
      <c r="E14063" s="249"/>
      <c r="T14063" s="261"/>
    </row>
    <row r="14064" spans="2:20" x14ac:dyDescent="0.2">
      <c r="B14064" s="245"/>
      <c r="C14064" s="248"/>
      <c r="D14064" s="249"/>
      <c r="E14064" s="249"/>
      <c r="T14064" s="261"/>
    </row>
    <row r="14065" spans="2:20" x14ac:dyDescent="0.2">
      <c r="B14065" s="245"/>
      <c r="C14065" s="248"/>
      <c r="D14065" s="249"/>
      <c r="E14065" s="249"/>
      <c r="T14065" s="261"/>
    </row>
    <row r="14066" spans="2:20" x14ac:dyDescent="0.2">
      <c r="B14066" s="245"/>
      <c r="C14066" s="248"/>
      <c r="D14066" s="249"/>
      <c r="E14066" s="249"/>
      <c r="T14066" s="261"/>
    </row>
    <row r="14067" spans="2:20" x14ac:dyDescent="0.2">
      <c r="B14067" s="245"/>
      <c r="C14067" s="248"/>
      <c r="D14067" s="249"/>
      <c r="E14067" s="249"/>
      <c r="T14067" s="261"/>
    </row>
    <row r="14068" spans="2:20" x14ac:dyDescent="0.2">
      <c r="B14068" s="245"/>
      <c r="C14068" s="248"/>
      <c r="D14068" s="249"/>
      <c r="E14068" s="249"/>
      <c r="T14068" s="261"/>
    </row>
    <row r="14069" spans="2:20" x14ac:dyDescent="0.2">
      <c r="B14069" s="245"/>
      <c r="C14069" s="248"/>
      <c r="D14069" s="249"/>
      <c r="E14069" s="249"/>
      <c r="T14069" s="261"/>
    </row>
    <row r="14070" spans="2:20" x14ac:dyDescent="0.2">
      <c r="B14070" s="245"/>
      <c r="C14070" s="248"/>
      <c r="D14070" s="249"/>
      <c r="E14070" s="249"/>
      <c r="T14070" s="261"/>
    </row>
    <row r="14071" spans="2:20" x14ac:dyDescent="0.2">
      <c r="B14071" s="245"/>
      <c r="C14071" s="248"/>
      <c r="D14071" s="249"/>
      <c r="E14071" s="249"/>
      <c r="T14071" s="261"/>
    </row>
    <row r="14072" spans="2:20" x14ac:dyDescent="0.2">
      <c r="B14072" s="245"/>
      <c r="C14072" s="248"/>
      <c r="D14072" s="249"/>
      <c r="E14072" s="249"/>
      <c r="T14072" s="261"/>
    </row>
    <row r="14073" spans="2:20" x14ac:dyDescent="0.2">
      <c r="B14073" s="245"/>
      <c r="C14073" s="248"/>
      <c r="D14073" s="249"/>
      <c r="E14073" s="249"/>
      <c r="T14073" s="261"/>
    </row>
    <row r="14074" spans="2:20" x14ac:dyDescent="0.2">
      <c r="B14074" s="245"/>
      <c r="C14074" s="248"/>
      <c r="D14074" s="249"/>
      <c r="E14074" s="249"/>
      <c r="T14074" s="261"/>
    </row>
    <row r="14075" spans="2:20" x14ac:dyDescent="0.2">
      <c r="B14075" s="245"/>
      <c r="C14075" s="248"/>
      <c r="D14075" s="249"/>
      <c r="E14075" s="249"/>
      <c r="T14075" s="261"/>
    </row>
    <row r="14076" spans="2:20" x14ac:dyDescent="0.2">
      <c r="B14076" s="245"/>
      <c r="C14076" s="248"/>
      <c r="D14076" s="249"/>
      <c r="E14076" s="249"/>
      <c r="T14076" s="261"/>
    </row>
    <row r="14077" spans="2:20" x14ac:dyDescent="0.2">
      <c r="B14077" s="245"/>
      <c r="C14077" s="248"/>
      <c r="D14077" s="249"/>
      <c r="E14077" s="249"/>
      <c r="T14077" s="261"/>
    </row>
    <row r="14078" spans="2:20" x14ac:dyDescent="0.2">
      <c r="B14078" s="245"/>
      <c r="C14078" s="248"/>
      <c r="D14078" s="249"/>
      <c r="E14078" s="249"/>
      <c r="T14078" s="261"/>
    </row>
    <row r="14079" spans="2:20" x14ac:dyDescent="0.2">
      <c r="B14079" s="245"/>
      <c r="C14079" s="248"/>
      <c r="D14079" s="249"/>
      <c r="E14079" s="249"/>
      <c r="T14079" s="261"/>
    </row>
    <row r="14080" spans="2:20" x14ac:dyDescent="0.2">
      <c r="B14080" s="245"/>
      <c r="C14080" s="248"/>
      <c r="D14080" s="249"/>
      <c r="E14080" s="249"/>
      <c r="T14080" s="261"/>
    </row>
    <row r="14081" spans="2:20" x14ac:dyDescent="0.2">
      <c r="B14081" s="245"/>
      <c r="C14081" s="248"/>
      <c r="D14081" s="249"/>
      <c r="E14081" s="249"/>
      <c r="T14081" s="261"/>
    </row>
    <row r="14082" spans="2:20" x14ac:dyDescent="0.2">
      <c r="B14082" s="245"/>
      <c r="C14082" s="248"/>
      <c r="D14082" s="249"/>
      <c r="E14082" s="249"/>
      <c r="T14082" s="261"/>
    </row>
    <row r="14083" spans="2:20" x14ac:dyDescent="0.2">
      <c r="B14083" s="245"/>
      <c r="C14083" s="248"/>
      <c r="D14083" s="249"/>
      <c r="E14083" s="249"/>
      <c r="T14083" s="261"/>
    </row>
    <row r="14084" spans="2:20" x14ac:dyDescent="0.2">
      <c r="B14084" s="245"/>
      <c r="C14084" s="248"/>
      <c r="D14084" s="249"/>
      <c r="E14084" s="249"/>
      <c r="T14084" s="261"/>
    </row>
    <row r="14085" spans="2:20" x14ac:dyDescent="0.2">
      <c r="B14085" s="245"/>
      <c r="C14085" s="248"/>
      <c r="D14085" s="249"/>
      <c r="E14085" s="249"/>
      <c r="T14085" s="261"/>
    </row>
    <row r="14086" spans="2:20" x14ac:dyDescent="0.2">
      <c r="B14086" s="245"/>
      <c r="C14086" s="248"/>
      <c r="D14086" s="249"/>
      <c r="E14086" s="249"/>
      <c r="T14086" s="261"/>
    </row>
    <row r="14087" spans="2:20" x14ac:dyDescent="0.2">
      <c r="B14087" s="245"/>
      <c r="C14087" s="248"/>
      <c r="D14087" s="249"/>
      <c r="E14087" s="249"/>
      <c r="T14087" s="261"/>
    </row>
    <row r="14088" spans="2:20" x14ac:dyDescent="0.2">
      <c r="B14088" s="245"/>
      <c r="C14088" s="248"/>
      <c r="D14088" s="249"/>
      <c r="E14088" s="249"/>
      <c r="T14088" s="261"/>
    </row>
    <row r="14089" spans="2:20" x14ac:dyDescent="0.2">
      <c r="B14089" s="245"/>
      <c r="C14089" s="248"/>
      <c r="D14089" s="249"/>
      <c r="E14089" s="249"/>
      <c r="T14089" s="261"/>
    </row>
    <row r="14090" spans="2:20" x14ac:dyDescent="0.2">
      <c r="B14090" s="245"/>
      <c r="C14090" s="248"/>
      <c r="D14090" s="249"/>
      <c r="E14090" s="249"/>
      <c r="T14090" s="261"/>
    </row>
    <row r="14091" spans="2:20" x14ac:dyDescent="0.2">
      <c r="B14091" s="245"/>
      <c r="C14091" s="248"/>
      <c r="D14091" s="249"/>
      <c r="E14091" s="249"/>
      <c r="T14091" s="261"/>
    </row>
    <row r="14092" spans="2:20" x14ac:dyDescent="0.2">
      <c r="B14092" s="245"/>
      <c r="C14092" s="248"/>
      <c r="D14092" s="249"/>
      <c r="E14092" s="249"/>
      <c r="T14092" s="261"/>
    </row>
    <row r="14093" spans="2:20" x14ac:dyDescent="0.2">
      <c r="B14093" s="245"/>
      <c r="C14093" s="248"/>
      <c r="D14093" s="249"/>
      <c r="E14093" s="249"/>
      <c r="T14093" s="261"/>
    </row>
    <row r="14094" spans="2:20" x14ac:dyDescent="0.2">
      <c r="B14094" s="245"/>
      <c r="C14094" s="248"/>
      <c r="D14094" s="249"/>
      <c r="E14094" s="249"/>
      <c r="T14094" s="261"/>
    </row>
    <row r="14095" spans="2:20" x14ac:dyDescent="0.2">
      <c r="B14095" s="245"/>
      <c r="C14095" s="248"/>
      <c r="D14095" s="249"/>
      <c r="E14095" s="249"/>
      <c r="T14095" s="261"/>
    </row>
    <row r="14096" spans="2:20" x14ac:dyDescent="0.2">
      <c r="B14096" s="245"/>
      <c r="C14096" s="248"/>
      <c r="D14096" s="249"/>
      <c r="E14096" s="249"/>
      <c r="T14096" s="261"/>
    </row>
    <row r="14097" spans="2:20" x14ac:dyDescent="0.2">
      <c r="B14097" s="245"/>
      <c r="C14097" s="248"/>
      <c r="D14097" s="249"/>
      <c r="E14097" s="249"/>
      <c r="T14097" s="261"/>
    </row>
    <row r="14098" spans="2:20" x14ac:dyDescent="0.2">
      <c r="B14098" s="245"/>
      <c r="C14098" s="248"/>
      <c r="D14098" s="249"/>
      <c r="E14098" s="249"/>
      <c r="T14098" s="261"/>
    </row>
    <row r="14099" spans="2:20" x14ac:dyDescent="0.2">
      <c r="B14099" s="245"/>
      <c r="C14099" s="248"/>
      <c r="D14099" s="249"/>
      <c r="E14099" s="249"/>
      <c r="T14099" s="261"/>
    </row>
    <row r="14100" spans="2:20" x14ac:dyDescent="0.2">
      <c r="B14100" s="245"/>
      <c r="C14100" s="248"/>
      <c r="D14100" s="249"/>
      <c r="E14100" s="249"/>
      <c r="T14100" s="261"/>
    </row>
    <row r="14101" spans="2:20" x14ac:dyDescent="0.2">
      <c r="B14101" s="245"/>
      <c r="C14101" s="248"/>
      <c r="D14101" s="249"/>
      <c r="E14101" s="249"/>
      <c r="T14101" s="261"/>
    </row>
    <row r="14102" spans="2:20" x14ac:dyDescent="0.2">
      <c r="B14102" s="245"/>
      <c r="C14102" s="248"/>
      <c r="D14102" s="249"/>
      <c r="E14102" s="249"/>
      <c r="T14102" s="261"/>
    </row>
    <row r="14103" spans="2:20" x14ac:dyDescent="0.2">
      <c r="B14103" s="245"/>
      <c r="C14103" s="248"/>
      <c r="D14103" s="249"/>
      <c r="E14103" s="249"/>
      <c r="T14103" s="261"/>
    </row>
    <row r="14104" spans="2:20" x14ac:dyDescent="0.2">
      <c r="B14104" s="245"/>
      <c r="C14104" s="248"/>
      <c r="D14104" s="249"/>
      <c r="E14104" s="249"/>
      <c r="T14104" s="261"/>
    </row>
    <row r="14105" spans="2:20" x14ac:dyDescent="0.2">
      <c r="B14105" s="245"/>
      <c r="C14105" s="248"/>
      <c r="D14105" s="249"/>
      <c r="E14105" s="249"/>
      <c r="T14105" s="261"/>
    </row>
    <row r="14106" spans="2:20" x14ac:dyDescent="0.2">
      <c r="B14106" s="245"/>
      <c r="C14106" s="248"/>
      <c r="D14106" s="249"/>
      <c r="E14106" s="249"/>
      <c r="T14106" s="261"/>
    </row>
    <row r="14107" spans="2:20" x14ac:dyDescent="0.2">
      <c r="B14107" s="245"/>
      <c r="C14107" s="248"/>
      <c r="D14107" s="249"/>
      <c r="E14107" s="249"/>
      <c r="T14107" s="261"/>
    </row>
    <row r="14108" spans="2:20" x14ac:dyDescent="0.2">
      <c r="B14108" s="245"/>
      <c r="C14108" s="248"/>
      <c r="D14108" s="249"/>
      <c r="E14108" s="249"/>
      <c r="T14108" s="261"/>
    </row>
    <row r="14109" spans="2:20" x14ac:dyDescent="0.2">
      <c r="B14109" s="245"/>
      <c r="C14109" s="248"/>
      <c r="D14109" s="249"/>
      <c r="E14109" s="249"/>
      <c r="T14109" s="261"/>
    </row>
    <row r="14110" spans="2:20" x14ac:dyDescent="0.2">
      <c r="B14110" s="245"/>
      <c r="C14110" s="248"/>
      <c r="D14110" s="249"/>
      <c r="E14110" s="249"/>
      <c r="T14110" s="261"/>
    </row>
    <row r="14111" spans="2:20" x14ac:dyDescent="0.2">
      <c r="B14111" s="245"/>
      <c r="C14111" s="248"/>
      <c r="D14111" s="249"/>
      <c r="E14111" s="249"/>
      <c r="T14111" s="261"/>
    </row>
    <row r="14112" spans="2:20" x14ac:dyDescent="0.2">
      <c r="B14112" s="245"/>
      <c r="C14112" s="248"/>
      <c r="D14112" s="249"/>
      <c r="E14112" s="249"/>
      <c r="T14112" s="261"/>
    </row>
    <row r="14113" spans="2:20" x14ac:dyDescent="0.2">
      <c r="B14113" s="245"/>
      <c r="C14113" s="248"/>
      <c r="D14113" s="249"/>
      <c r="E14113" s="249"/>
      <c r="T14113" s="261"/>
    </row>
    <row r="14114" spans="2:20" x14ac:dyDescent="0.2">
      <c r="B14114" s="245"/>
      <c r="C14114" s="248"/>
      <c r="D14114" s="249"/>
      <c r="E14114" s="249"/>
      <c r="T14114" s="261"/>
    </row>
    <row r="14115" spans="2:20" x14ac:dyDescent="0.2">
      <c r="B14115" s="245"/>
      <c r="C14115" s="248"/>
      <c r="D14115" s="249"/>
      <c r="E14115" s="249"/>
      <c r="T14115" s="261"/>
    </row>
    <row r="14116" spans="2:20" x14ac:dyDescent="0.2">
      <c r="B14116" s="245"/>
      <c r="C14116" s="248"/>
      <c r="D14116" s="249"/>
      <c r="E14116" s="249"/>
      <c r="T14116" s="261"/>
    </row>
    <row r="14117" spans="2:20" x14ac:dyDescent="0.2">
      <c r="B14117" s="245"/>
      <c r="C14117" s="248"/>
      <c r="D14117" s="249"/>
      <c r="E14117" s="249"/>
      <c r="T14117" s="261"/>
    </row>
    <row r="14118" spans="2:20" x14ac:dyDescent="0.2">
      <c r="B14118" s="245"/>
      <c r="C14118" s="248"/>
      <c r="D14118" s="249"/>
      <c r="E14118" s="249"/>
      <c r="T14118" s="261"/>
    </row>
    <row r="14119" spans="2:20" x14ac:dyDescent="0.2">
      <c r="B14119" s="245"/>
      <c r="C14119" s="248"/>
      <c r="D14119" s="249"/>
      <c r="E14119" s="249"/>
      <c r="T14119" s="261"/>
    </row>
    <row r="14120" spans="2:20" x14ac:dyDescent="0.2">
      <c r="B14120" s="245"/>
      <c r="C14120" s="248"/>
      <c r="D14120" s="249"/>
      <c r="E14120" s="249"/>
      <c r="T14120" s="261"/>
    </row>
    <row r="14121" spans="2:20" x14ac:dyDescent="0.2">
      <c r="B14121" s="245"/>
      <c r="C14121" s="248"/>
      <c r="D14121" s="249"/>
      <c r="E14121" s="249"/>
      <c r="T14121" s="261"/>
    </row>
    <row r="14122" spans="2:20" x14ac:dyDescent="0.2">
      <c r="B14122" s="245"/>
      <c r="C14122" s="248"/>
      <c r="D14122" s="249"/>
      <c r="E14122" s="249"/>
      <c r="T14122" s="261"/>
    </row>
    <row r="14123" spans="2:20" x14ac:dyDescent="0.2">
      <c r="B14123" s="245"/>
      <c r="C14123" s="248"/>
      <c r="D14123" s="249"/>
      <c r="E14123" s="249"/>
      <c r="T14123" s="261"/>
    </row>
    <row r="14124" spans="2:20" x14ac:dyDescent="0.2">
      <c r="B14124" s="245"/>
      <c r="C14124" s="248"/>
      <c r="D14124" s="249"/>
      <c r="E14124" s="249"/>
      <c r="T14124" s="261"/>
    </row>
    <row r="14125" spans="2:20" x14ac:dyDescent="0.2">
      <c r="B14125" s="245"/>
      <c r="C14125" s="248"/>
      <c r="D14125" s="249"/>
      <c r="E14125" s="249"/>
      <c r="T14125" s="261"/>
    </row>
    <row r="14126" spans="2:20" x14ac:dyDescent="0.2">
      <c r="B14126" s="245"/>
      <c r="C14126" s="248"/>
      <c r="D14126" s="249"/>
      <c r="E14126" s="249"/>
      <c r="T14126" s="261"/>
    </row>
    <row r="14127" spans="2:20" x14ac:dyDescent="0.2">
      <c r="B14127" s="245"/>
      <c r="C14127" s="248"/>
      <c r="D14127" s="249"/>
      <c r="E14127" s="249"/>
      <c r="T14127" s="261"/>
    </row>
    <row r="14128" spans="2:20" x14ac:dyDescent="0.2">
      <c r="B14128" s="245"/>
      <c r="C14128" s="248"/>
      <c r="D14128" s="249"/>
      <c r="E14128" s="249"/>
      <c r="T14128" s="261"/>
    </row>
    <row r="14129" spans="2:20" x14ac:dyDescent="0.2">
      <c r="B14129" s="245"/>
      <c r="C14129" s="248"/>
      <c r="D14129" s="249"/>
      <c r="E14129" s="249"/>
      <c r="T14129" s="261"/>
    </row>
    <row r="14130" spans="2:20" x14ac:dyDescent="0.2">
      <c r="B14130" s="245"/>
      <c r="C14130" s="248"/>
      <c r="D14130" s="249"/>
      <c r="E14130" s="249"/>
      <c r="T14130" s="261"/>
    </row>
    <row r="14131" spans="2:20" x14ac:dyDescent="0.2">
      <c r="B14131" s="245"/>
      <c r="C14131" s="248"/>
      <c r="D14131" s="249"/>
      <c r="E14131" s="249"/>
      <c r="T14131" s="261"/>
    </row>
    <row r="14132" spans="2:20" x14ac:dyDescent="0.2">
      <c r="B14132" s="245"/>
      <c r="C14132" s="248"/>
      <c r="D14132" s="249"/>
      <c r="E14132" s="249"/>
      <c r="T14132" s="261"/>
    </row>
    <row r="14133" spans="2:20" x14ac:dyDescent="0.2">
      <c r="B14133" s="245"/>
      <c r="C14133" s="248"/>
      <c r="D14133" s="249"/>
      <c r="E14133" s="249"/>
      <c r="T14133" s="261"/>
    </row>
    <row r="14134" spans="2:20" x14ac:dyDescent="0.2">
      <c r="B14134" s="245"/>
      <c r="C14134" s="248"/>
      <c r="D14134" s="249"/>
      <c r="E14134" s="249"/>
      <c r="T14134" s="261"/>
    </row>
    <row r="14135" spans="2:20" x14ac:dyDescent="0.2">
      <c r="B14135" s="245"/>
      <c r="C14135" s="248"/>
      <c r="D14135" s="249"/>
      <c r="E14135" s="249"/>
      <c r="T14135" s="261"/>
    </row>
    <row r="14136" spans="2:20" x14ac:dyDescent="0.2">
      <c r="B14136" s="245"/>
      <c r="C14136" s="248"/>
      <c r="D14136" s="249"/>
      <c r="E14136" s="249"/>
      <c r="T14136" s="261"/>
    </row>
    <row r="14137" spans="2:20" x14ac:dyDescent="0.2">
      <c r="B14137" s="245"/>
      <c r="C14137" s="248"/>
      <c r="D14137" s="249"/>
      <c r="E14137" s="249"/>
      <c r="T14137" s="261"/>
    </row>
    <row r="14138" spans="2:20" x14ac:dyDescent="0.2">
      <c r="B14138" s="245"/>
      <c r="C14138" s="248"/>
      <c r="D14138" s="249"/>
      <c r="E14138" s="249"/>
      <c r="T14138" s="261"/>
    </row>
    <row r="14139" spans="2:20" x14ac:dyDescent="0.2">
      <c r="B14139" s="245"/>
      <c r="C14139" s="248"/>
      <c r="D14139" s="249"/>
      <c r="E14139" s="249"/>
      <c r="T14139" s="261"/>
    </row>
    <row r="14140" spans="2:20" x14ac:dyDescent="0.2">
      <c r="B14140" s="245"/>
      <c r="C14140" s="248"/>
      <c r="D14140" s="249"/>
      <c r="E14140" s="249"/>
      <c r="T14140" s="261"/>
    </row>
    <row r="14141" spans="2:20" x14ac:dyDescent="0.2">
      <c r="B14141" s="245"/>
      <c r="C14141" s="248"/>
      <c r="D14141" s="249"/>
      <c r="E14141" s="249"/>
      <c r="T14141" s="261"/>
    </row>
    <row r="14142" spans="2:20" x14ac:dyDescent="0.2">
      <c r="B14142" s="245"/>
      <c r="C14142" s="248"/>
      <c r="D14142" s="249"/>
      <c r="E14142" s="249"/>
      <c r="T14142" s="261"/>
    </row>
    <row r="14143" spans="2:20" x14ac:dyDescent="0.2">
      <c r="B14143" s="245"/>
      <c r="C14143" s="248"/>
      <c r="D14143" s="249"/>
      <c r="E14143" s="249"/>
      <c r="T14143" s="261"/>
    </row>
    <row r="14144" spans="2:20" x14ac:dyDescent="0.2">
      <c r="B14144" s="245"/>
      <c r="C14144" s="248"/>
      <c r="D14144" s="249"/>
      <c r="E14144" s="249"/>
      <c r="T14144" s="261"/>
    </row>
    <row r="14145" spans="2:20" x14ac:dyDescent="0.2">
      <c r="B14145" s="245"/>
      <c r="C14145" s="248"/>
      <c r="D14145" s="249"/>
      <c r="E14145" s="249"/>
      <c r="T14145" s="261"/>
    </row>
    <row r="14146" spans="2:20" x14ac:dyDescent="0.2">
      <c r="B14146" s="245"/>
      <c r="C14146" s="248"/>
      <c r="D14146" s="249"/>
      <c r="E14146" s="249"/>
      <c r="T14146" s="261"/>
    </row>
    <row r="14147" spans="2:20" x14ac:dyDescent="0.2">
      <c r="B14147" s="245"/>
      <c r="C14147" s="248"/>
      <c r="D14147" s="249"/>
      <c r="E14147" s="249"/>
      <c r="T14147" s="261"/>
    </row>
    <row r="14148" spans="2:20" x14ac:dyDescent="0.2">
      <c r="B14148" s="245"/>
      <c r="C14148" s="248"/>
      <c r="D14148" s="249"/>
      <c r="E14148" s="249"/>
      <c r="T14148" s="261"/>
    </row>
    <row r="14149" spans="2:20" x14ac:dyDescent="0.2">
      <c r="B14149" s="245"/>
      <c r="C14149" s="248"/>
      <c r="D14149" s="249"/>
      <c r="E14149" s="249"/>
      <c r="T14149" s="261"/>
    </row>
    <row r="14150" spans="2:20" x14ac:dyDescent="0.2">
      <c r="B14150" s="245"/>
      <c r="C14150" s="248"/>
      <c r="D14150" s="249"/>
      <c r="E14150" s="249"/>
      <c r="T14150" s="261"/>
    </row>
    <row r="14151" spans="2:20" x14ac:dyDescent="0.2">
      <c r="B14151" s="245"/>
      <c r="C14151" s="248"/>
      <c r="D14151" s="249"/>
      <c r="E14151" s="249"/>
      <c r="T14151" s="261"/>
    </row>
    <row r="14152" spans="2:20" x14ac:dyDescent="0.2">
      <c r="B14152" s="245"/>
      <c r="C14152" s="248"/>
      <c r="D14152" s="249"/>
      <c r="E14152" s="249"/>
      <c r="T14152" s="261"/>
    </row>
    <row r="14153" spans="2:20" x14ac:dyDescent="0.2">
      <c r="B14153" s="245"/>
      <c r="C14153" s="248"/>
      <c r="D14153" s="249"/>
      <c r="E14153" s="249"/>
      <c r="T14153" s="261"/>
    </row>
    <row r="14154" spans="2:20" x14ac:dyDescent="0.2">
      <c r="B14154" s="245"/>
      <c r="C14154" s="248"/>
      <c r="D14154" s="249"/>
      <c r="E14154" s="249"/>
      <c r="T14154" s="261"/>
    </row>
    <row r="14155" spans="2:20" x14ac:dyDescent="0.2">
      <c r="B14155" s="245"/>
      <c r="C14155" s="248"/>
      <c r="D14155" s="249"/>
      <c r="E14155" s="249"/>
      <c r="T14155" s="261"/>
    </row>
    <row r="14156" spans="2:20" x14ac:dyDescent="0.2">
      <c r="B14156" s="245"/>
      <c r="C14156" s="248"/>
      <c r="D14156" s="249"/>
      <c r="E14156" s="249"/>
      <c r="T14156" s="261"/>
    </row>
    <row r="14157" spans="2:20" x14ac:dyDescent="0.2">
      <c r="B14157" s="245"/>
      <c r="C14157" s="248"/>
      <c r="D14157" s="249"/>
      <c r="E14157" s="249"/>
      <c r="T14157" s="261"/>
    </row>
    <row r="14158" spans="2:20" x14ac:dyDescent="0.2">
      <c r="B14158" s="245"/>
      <c r="C14158" s="248"/>
      <c r="D14158" s="249"/>
      <c r="E14158" s="249"/>
      <c r="T14158" s="261"/>
    </row>
    <row r="14159" spans="2:20" x14ac:dyDescent="0.2">
      <c r="B14159" s="245"/>
      <c r="C14159" s="248"/>
      <c r="D14159" s="249"/>
      <c r="E14159" s="249"/>
      <c r="T14159" s="261"/>
    </row>
    <row r="14160" spans="2:20" x14ac:dyDescent="0.2">
      <c r="B14160" s="245"/>
      <c r="C14160" s="248"/>
      <c r="D14160" s="249"/>
      <c r="E14160" s="249"/>
      <c r="T14160" s="261"/>
    </row>
    <row r="14161" spans="2:20" x14ac:dyDescent="0.2">
      <c r="B14161" s="245"/>
      <c r="C14161" s="248"/>
      <c r="D14161" s="249"/>
      <c r="E14161" s="249"/>
      <c r="T14161" s="261"/>
    </row>
    <row r="14162" spans="2:20" x14ac:dyDescent="0.2">
      <c r="B14162" s="245"/>
      <c r="C14162" s="248"/>
      <c r="D14162" s="249"/>
      <c r="E14162" s="249"/>
      <c r="T14162" s="261"/>
    </row>
    <row r="14163" spans="2:20" x14ac:dyDescent="0.2">
      <c r="B14163" s="245"/>
      <c r="C14163" s="248"/>
      <c r="D14163" s="249"/>
      <c r="E14163" s="249"/>
      <c r="T14163" s="261"/>
    </row>
    <row r="14164" spans="2:20" x14ac:dyDescent="0.2">
      <c r="B14164" s="245"/>
      <c r="C14164" s="248"/>
      <c r="D14164" s="249"/>
      <c r="E14164" s="249"/>
      <c r="T14164" s="261"/>
    </row>
    <row r="14165" spans="2:20" x14ac:dyDescent="0.2">
      <c r="B14165" s="245"/>
      <c r="C14165" s="248"/>
      <c r="D14165" s="249"/>
      <c r="E14165" s="249"/>
      <c r="T14165" s="261"/>
    </row>
    <row r="14166" spans="2:20" x14ac:dyDescent="0.2">
      <c r="B14166" s="245"/>
      <c r="C14166" s="248"/>
      <c r="D14166" s="249"/>
      <c r="E14166" s="249"/>
      <c r="T14166" s="261"/>
    </row>
    <row r="14167" spans="2:20" x14ac:dyDescent="0.2">
      <c r="B14167" s="245"/>
      <c r="C14167" s="248"/>
      <c r="D14167" s="249"/>
      <c r="E14167" s="249"/>
      <c r="T14167" s="261"/>
    </row>
    <row r="14168" spans="2:20" x14ac:dyDescent="0.2">
      <c r="B14168" s="245"/>
      <c r="C14168" s="248"/>
      <c r="D14168" s="249"/>
      <c r="E14168" s="249"/>
      <c r="T14168" s="261"/>
    </row>
    <row r="14169" spans="2:20" x14ac:dyDescent="0.2">
      <c r="B14169" s="245"/>
      <c r="C14169" s="248"/>
      <c r="D14169" s="249"/>
      <c r="E14169" s="249"/>
      <c r="T14169" s="261"/>
    </row>
    <row r="14170" spans="2:20" x14ac:dyDescent="0.2">
      <c r="B14170" s="245"/>
      <c r="C14170" s="248"/>
      <c r="D14170" s="249"/>
      <c r="E14170" s="249"/>
      <c r="T14170" s="261"/>
    </row>
    <row r="14171" spans="2:20" x14ac:dyDescent="0.2">
      <c r="B14171" s="245"/>
      <c r="C14171" s="248"/>
      <c r="D14171" s="249"/>
      <c r="E14171" s="249"/>
      <c r="T14171" s="261"/>
    </row>
    <row r="14172" spans="2:20" x14ac:dyDescent="0.2">
      <c r="B14172" s="245"/>
      <c r="C14172" s="248"/>
      <c r="D14172" s="249"/>
      <c r="E14172" s="249"/>
      <c r="T14172" s="261"/>
    </row>
    <row r="14173" spans="2:20" x14ac:dyDescent="0.2">
      <c r="B14173" s="245"/>
      <c r="C14173" s="248"/>
      <c r="D14173" s="249"/>
      <c r="E14173" s="249"/>
      <c r="T14173" s="261"/>
    </row>
    <row r="14174" spans="2:20" x14ac:dyDescent="0.2">
      <c r="B14174" s="245"/>
      <c r="C14174" s="248"/>
      <c r="D14174" s="249"/>
      <c r="E14174" s="249"/>
      <c r="T14174" s="261"/>
    </row>
    <row r="14175" spans="2:20" x14ac:dyDescent="0.2">
      <c r="B14175" s="245"/>
      <c r="C14175" s="248"/>
      <c r="D14175" s="249"/>
      <c r="E14175" s="249"/>
      <c r="T14175" s="261"/>
    </row>
    <row r="14176" spans="2:20" x14ac:dyDescent="0.2">
      <c r="B14176" s="245"/>
      <c r="C14176" s="248"/>
      <c r="D14176" s="249"/>
      <c r="E14176" s="249"/>
      <c r="T14176" s="261"/>
    </row>
    <row r="14177" spans="2:20" x14ac:dyDescent="0.2">
      <c r="B14177" s="245"/>
      <c r="C14177" s="248"/>
      <c r="D14177" s="249"/>
      <c r="E14177" s="249"/>
      <c r="T14177" s="261"/>
    </row>
    <row r="14178" spans="2:20" x14ac:dyDescent="0.2">
      <c r="B14178" s="245"/>
      <c r="C14178" s="248"/>
      <c r="D14178" s="249"/>
      <c r="E14178" s="249"/>
      <c r="T14178" s="261"/>
    </row>
    <row r="14179" spans="2:20" x14ac:dyDescent="0.2">
      <c r="B14179" s="245"/>
      <c r="C14179" s="248"/>
      <c r="D14179" s="249"/>
      <c r="E14179" s="249"/>
      <c r="T14179" s="261"/>
    </row>
    <row r="14180" spans="2:20" x14ac:dyDescent="0.2">
      <c r="B14180" s="245"/>
      <c r="C14180" s="248"/>
      <c r="D14180" s="249"/>
      <c r="E14180" s="249"/>
      <c r="T14180" s="261"/>
    </row>
    <row r="14181" spans="2:20" x14ac:dyDescent="0.2">
      <c r="B14181" s="245"/>
      <c r="C14181" s="248"/>
      <c r="D14181" s="249"/>
      <c r="E14181" s="249"/>
      <c r="T14181" s="261"/>
    </row>
    <row r="14182" spans="2:20" x14ac:dyDescent="0.2">
      <c r="B14182" s="245"/>
      <c r="C14182" s="248"/>
      <c r="D14182" s="249"/>
      <c r="E14182" s="249"/>
      <c r="T14182" s="261"/>
    </row>
    <row r="14183" spans="2:20" x14ac:dyDescent="0.2">
      <c r="B14183" s="245"/>
      <c r="C14183" s="248"/>
      <c r="D14183" s="249"/>
      <c r="E14183" s="249"/>
      <c r="T14183" s="261"/>
    </row>
    <row r="14184" spans="2:20" x14ac:dyDescent="0.2">
      <c r="B14184" s="245"/>
      <c r="C14184" s="248"/>
      <c r="D14184" s="249"/>
      <c r="E14184" s="249"/>
      <c r="T14184" s="261"/>
    </row>
    <row r="14185" spans="2:20" x14ac:dyDescent="0.2">
      <c r="B14185" s="245"/>
      <c r="C14185" s="248"/>
      <c r="D14185" s="249"/>
      <c r="E14185" s="249"/>
      <c r="T14185" s="261"/>
    </row>
    <row r="14186" spans="2:20" x14ac:dyDescent="0.2">
      <c r="B14186" s="245"/>
      <c r="C14186" s="248"/>
      <c r="D14186" s="249"/>
      <c r="E14186" s="249"/>
      <c r="T14186" s="261"/>
    </row>
    <row r="14187" spans="2:20" x14ac:dyDescent="0.2">
      <c r="B14187" s="245"/>
      <c r="C14187" s="248"/>
      <c r="D14187" s="249"/>
      <c r="E14187" s="249"/>
      <c r="T14187" s="261"/>
    </row>
    <row r="14188" spans="2:20" x14ac:dyDescent="0.2">
      <c r="B14188" s="245"/>
      <c r="C14188" s="248"/>
      <c r="D14188" s="249"/>
      <c r="E14188" s="249"/>
      <c r="T14188" s="261"/>
    </row>
    <row r="14189" spans="2:20" x14ac:dyDescent="0.2">
      <c r="B14189" s="245"/>
      <c r="C14189" s="248"/>
      <c r="D14189" s="249"/>
      <c r="E14189" s="249"/>
      <c r="T14189" s="261"/>
    </row>
    <row r="14190" spans="2:20" x14ac:dyDescent="0.2">
      <c r="B14190" s="245"/>
      <c r="C14190" s="248"/>
      <c r="D14190" s="249"/>
      <c r="E14190" s="249"/>
      <c r="T14190" s="261"/>
    </row>
    <row r="14191" spans="2:20" x14ac:dyDescent="0.2">
      <c r="B14191" s="245"/>
      <c r="C14191" s="248"/>
      <c r="D14191" s="249"/>
      <c r="E14191" s="249"/>
      <c r="T14191" s="261"/>
    </row>
    <row r="14192" spans="2:20" x14ac:dyDescent="0.2">
      <c r="B14192" s="245"/>
      <c r="C14192" s="248"/>
      <c r="D14192" s="249"/>
      <c r="E14192" s="249"/>
      <c r="T14192" s="261"/>
    </row>
    <row r="14193" spans="2:20" x14ac:dyDescent="0.2">
      <c r="B14193" s="245"/>
      <c r="C14193" s="248"/>
      <c r="D14193" s="249"/>
      <c r="E14193" s="249"/>
      <c r="T14193" s="261"/>
    </row>
    <row r="14194" spans="2:20" x14ac:dyDescent="0.2">
      <c r="B14194" s="245"/>
      <c r="C14194" s="248"/>
      <c r="D14194" s="249"/>
      <c r="E14194" s="249"/>
      <c r="T14194" s="261"/>
    </row>
    <row r="14195" spans="2:20" x14ac:dyDescent="0.2">
      <c r="B14195" s="245"/>
      <c r="C14195" s="248"/>
      <c r="D14195" s="249"/>
      <c r="E14195" s="249"/>
      <c r="T14195" s="261"/>
    </row>
    <row r="14196" spans="2:20" x14ac:dyDescent="0.2">
      <c r="B14196" s="245"/>
      <c r="C14196" s="248"/>
      <c r="D14196" s="249"/>
      <c r="E14196" s="249"/>
      <c r="T14196" s="261"/>
    </row>
    <row r="14197" spans="2:20" x14ac:dyDescent="0.2">
      <c r="B14197" s="245"/>
      <c r="C14197" s="248"/>
      <c r="D14197" s="249"/>
      <c r="E14197" s="249"/>
      <c r="T14197" s="261"/>
    </row>
    <row r="14198" spans="2:20" x14ac:dyDescent="0.2">
      <c r="B14198" s="245"/>
      <c r="C14198" s="248"/>
      <c r="D14198" s="249"/>
      <c r="E14198" s="249"/>
      <c r="T14198" s="261"/>
    </row>
    <row r="14199" spans="2:20" x14ac:dyDescent="0.2">
      <c r="B14199" s="245"/>
      <c r="C14199" s="248"/>
      <c r="D14199" s="249"/>
      <c r="E14199" s="249"/>
      <c r="T14199" s="261"/>
    </row>
    <row r="14200" spans="2:20" x14ac:dyDescent="0.2">
      <c r="B14200" s="245"/>
      <c r="C14200" s="248"/>
      <c r="D14200" s="249"/>
      <c r="E14200" s="249"/>
      <c r="T14200" s="261"/>
    </row>
    <row r="14201" spans="2:20" x14ac:dyDescent="0.2">
      <c r="B14201" s="245"/>
      <c r="C14201" s="248"/>
      <c r="D14201" s="249"/>
      <c r="E14201" s="249"/>
      <c r="T14201" s="261"/>
    </row>
    <row r="14202" spans="2:20" x14ac:dyDescent="0.2">
      <c r="B14202" s="245"/>
      <c r="C14202" s="248"/>
      <c r="D14202" s="249"/>
      <c r="E14202" s="249"/>
      <c r="T14202" s="261"/>
    </row>
    <row r="14203" spans="2:20" x14ac:dyDescent="0.2">
      <c r="B14203" s="245"/>
      <c r="C14203" s="248"/>
      <c r="D14203" s="249"/>
      <c r="E14203" s="249"/>
      <c r="T14203" s="261"/>
    </row>
    <row r="14204" spans="2:20" x14ac:dyDescent="0.2">
      <c r="B14204" s="245"/>
      <c r="C14204" s="248"/>
      <c r="D14204" s="249"/>
      <c r="E14204" s="249"/>
      <c r="T14204" s="261"/>
    </row>
    <row r="14205" spans="2:20" x14ac:dyDescent="0.2">
      <c r="B14205" s="245"/>
      <c r="C14205" s="248"/>
      <c r="D14205" s="249"/>
      <c r="E14205" s="249"/>
      <c r="T14205" s="261"/>
    </row>
    <row r="14206" spans="2:20" x14ac:dyDescent="0.2">
      <c r="B14206" s="245"/>
      <c r="C14206" s="248"/>
      <c r="D14206" s="249"/>
      <c r="E14206" s="249"/>
      <c r="T14206" s="261"/>
    </row>
    <row r="14207" spans="2:20" x14ac:dyDescent="0.2">
      <c r="B14207" s="245"/>
      <c r="C14207" s="248"/>
      <c r="D14207" s="249"/>
      <c r="E14207" s="249"/>
      <c r="T14207" s="261"/>
    </row>
    <row r="14208" spans="2:20" x14ac:dyDescent="0.2">
      <c r="B14208" s="245"/>
      <c r="C14208" s="248"/>
      <c r="D14208" s="249"/>
      <c r="E14208" s="249"/>
      <c r="T14208" s="261"/>
    </row>
    <row r="14209" spans="2:20" x14ac:dyDescent="0.2">
      <c r="B14209" s="245"/>
      <c r="C14209" s="248"/>
      <c r="D14209" s="249"/>
      <c r="E14209" s="249"/>
      <c r="T14209" s="261"/>
    </row>
    <row r="14210" spans="2:20" x14ac:dyDescent="0.2">
      <c r="B14210" s="245"/>
      <c r="C14210" s="248"/>
      <c r="D14210" s="249"/>
      <c r="E14210" s="249"/>
      <c r="T14210" s="261"/>
    </row>
    <row r="14211" spans="2:20" x14ac:dyDescent="0.2">
      <c r="B14211" s="245"/>
      <c r="C14211" s="248"/>
      <c r="D14211" s="249"/>
      <c r="E14211" s="249"/>
      <c r="T14211" s="261"/>
    </row>
    <row r="14212" spans="2:20" x14ac:dyDescent="0.2">
      <c r="B14212" s="245"/>
      <c r="C14212" s="248"/>
      <c r="D14212" s="249"/>
      <c r="E14212" s="249"/>
      <c r="T14212" s="261"/>
    </row>
    <row r="14213" spans="2:20" x14ac:dyDescent="0.2">
      <c r="B14213" s="245"/>
      <c r="C14213" s="248"/>
      <c r="D14213" s="249"/>
      <c r="E14213" s="249"/>
      <c r="T14213" s="261"/>
    </row>
    <row r="14214" spans="2:20" x14ac:dyDescent="0.2">
      <c r="B14214" s="245"/>
      <c r="C14214" s="248"/>
      <c r="D14214" s="249"/>
      <c r="E14214" s="249"/>
      <c r="T14214" s="261"/>
    </row>
    <row r="14215" spans="2:20" x14ac:dyDescent="0.2">
      <c r="B14215" s="245"/>
      <c r="C14215" s="248"/>
      <c r="D14215" s="249"/>
      <c r="E14215" s="249"/>
      <c r="T14215" s="261"/>
    </row>
    <row r="14216" spans="2:20" x14ac:dyDescent="0.2">
      <c r="B14216" s="245"/>
      <c r="C14216" s="248"/>
      <c r="D14216" s="249"/>
      <c r="E14216" s="249"/>
      <c r="T14216" s="261"/>
    </row>
    <row r="14217" spans="2:20" x14ac:dyDescent="0.2">
      <c r="B14217" s="245"/>
      <c r="C14217" s="248"/>
      <c r="D14217" s="249"/>
      <c r="E14217" s="249"/>
      <c r="T14217" s="261"/>
    </row>
    <row r="14218" spans="2:20" x14ac:dyDescent="0.2">
      <c r="B14218" s="245"/>
      <c r="C14218" s="248"/>
      <c r="D14218" s="249"/>
      <c r="E14218" s="249"/>
      <c r="T14218" s="261"/>
    </row>
    <row r="14219" spans="2:20" x14ac:dyDescent="0.2">
      <c r="B14219" s="245"/>
      <c r="C14219" s="248"/>
      <c r="D14219" s="249"/>
      <c r="E14219" s="249"/>
      <c r="T14219" s="261"/>
    </row>
    <row r="14220" spans="2:20" x14ac:dyDescent="0.2">
      <c r="B14220" s="245"/>
      <c r="C14220" s="248"/>
      <c r="D14220" s="249"/>
      <c r="E14220" s="249"/>
      <c r="T14220" s="261"/>
    </row>
    <row r="14221" spans="2:20" x14ac:dyDescent="0.2">
      <c r="B14221" s="245"/>
      <c r="C14221" s="248"/>
      <c r="D14221" s="249"/>
      <c r="E14221" s="249"/>
      <c r="T14221" s="261"/>
    </row>
    <row r="14222" spans="2:20" x14ac:dyDescent="0.2">
      <c r="B14222" s="245"/>
      <c r="C14222" s="248"/>
      <c r="D14222" s="249"/>
      <c r="E14222" s="249"/>
      <c r="T14222" s="261"/>
    </row>
    <row r="14223" spans="2:20" x14ac:dyDescent="0.2">
      <c r="B14223" s="245"/>
      <c r="C14223" s="248"/>
      <c r="D14223" s="249"/>
      <c r="E14223" s="249"/>
      <c r="T14223" s="261"/>
    </row>
    <row r="14224" spans="2:20" x14ac:dyDescent="0.2">
      <c r="B14224" s="245"/>
      <c r="C14224" s="248"/>
      <c r="D14224" s="249"/>
      <c r="E14224" s="249"/>
      <c r="T14224" s="261"/>
    </row>
    <row r="14225" spans="2:20" x14ac:dyDescent="0.2">
      <c r="B14225" s="245"/>
      <c r="C14225" s="248"/>
      <c r="D14225" s="249"/>
      <c r="E14225" s="249"/>
      <c r="T14225" s="261"/>
    </row>
    <row r="14226" spans="2:20" x14ac:dyDescent="0.2">
      <c r="B14226" s="245"/>
      <c r="C14226" s="248"/>
      <c r="D14226" s="249"/>
      <c r="E14226" s="249"/>
      <c r="T14226" s="261"/>
    </row>
    <row r="14227" spans="2:20" x14ac:dyDescent="0.2">
      <c r="B14227" s="245"/>
      <c r="C14227" s="248"/>
      <c r="D14227" s="249"/>
      <c r="E14227" s="249"/>
      <c r="T14227" s="261"/>
    </row>
    <row r="14228" spans="2:20" x14ac:dyDescent="0.2">
      <c r="B14228" s="245"/>
      <c r="C14228" s="248"/>
      <c r="D14228" s="249"/>
      <c r="E14228" s="249"/>
      <c r="T14228" s="261"/>
    </row>
    <row r="14229" spans="2:20" x14ac:dyDescent="0.2">
      <c r="B14229" s="245"/>
      <c r="C14229" s="248"/>
      <c r="D14229" s="249"/>
      <c r="E14229" s="249"/>
      <c r="T14229" s="261"/>
    </row>
    <row r="14230" spans="2:20" x14ac:dyDescent="0.2">
      <c r="B14230" s="245"/>
      <c r="C14230" s="248"/>
      <c r="D14230" s="249"/>
      <c r="E14230" s="249"/>
      <c r="T14230" s="261"/>
    </row>
    <row r="14231" spans="2:20" x14ac:dyDescent="0.2">
      <c r="B14231" s="245"/>
      <c r="C14231" s="248"/>
      <c r="D14231" s="249"/>
      <c r="E14231" s="249"/>
      <c r="T14231" s="261"/>
    </row>
    <row r="14232" spans="2:20" x14ac:dyDescent="0.2">
      <c r="B14232" s="245"/>
      <c r="C14232" s="248"/>
      <c r="D14232" s="249"/>
      <c r="E14232" s="249"/>
      <c r="T14232" s="261"/>
    </row>
    <row r="14233" spans="2:20" x14ac:dyDescent="0.2">
      <c r="B14233" s="245"/>
      <c r="C14233" s="248"/>
      <c r="D14233" s="249"/>
      <c r="E14233" s="249"/>
      <c r="T14233" s="261"/>
    </row>
    <row r="14234" spans="2:20" x14ac:dyDescent="0.2">
      <c r="B14234" s="245"/>
      <c r="C14234" s="248"/>
      <c r="D14234" s="249"/>
      <c r="E14234" s="249"/>
      <c r="T14234" s="261"/>
    </row>
    <row r="14235" spans="2:20" x14ac:dyDescent="0.2">
      <c r="B14235" s="245"/>
      <c r="C14235" s="248"/>
      <c r="D14235" s="249"/>
      <c r="E14235" s="249"/>
      <c r="T14235" s="261"/>
    </row>
    <row r="14236" spans="2:20" x14ac:dyDescent="0.2">
      <c r="B14236" s="245"/>
      <c r="C14236" s="248"/>
      <c r="D14236" s="249"/>
      <c r="E14236" s="249"/>
      <c r="T14236" s="261"/>
    </row>
    <row r="14237" spans="2:20" x14ac:dyDescent="0.2">
      <c r="B14237" s="245"/>
      <c r="C14237" s="248"/>
      <c r="D14237" s="249"/>
      <c r="E14237" s="249"/>
      <c r="T14237" s="261"/>
    </row>
    <row r="14238" spans="2:20" x14ac:dyDescent="0.2">
      <c r="B14238" s="245"/>
      <c r="C14238" s="248"/>
      <c r="D14238" s="249"/>
      <c r="E14238" s="249"/>
      <c r="T14238" s="261"/>
    </row>
    <row r="14239" spans="2:20" x14ac:dyDescent="0.2">
      <c r="B14239" s="245"/>
      <c r="C14239" s="248"/>
      <c r="D14239" s="249"/>
      <c r="E14239" s="249"/>
      <c r="T14239" s="261"/>
    </row>
    <row r="14240" spans="2:20" x14ac:dyDescent="0.2">
      <c r="B14240" s="245"/>
      <c r="C14240" s="248"/>
      <c r="D14240" s="249"/>
      <c r="E14240" s="249"/>
      <c r="T14240" s="261"/>
    </row>
    <row r="14241" spans="2:20" x14ac:dyDescent="0.2">
      <c r="B14241" s="245"/>
      <c r="C14241" s="248"/>
      <c r="D14241" s="249"/>
      <c r="E14241" s="249"/>
      <c r="T14241" s="261"/>
    </row>
    <row r="14242" spans="2:20" x14ac:dyDescent="0.2">
      <c r="B14242" s="245"/>
      <c r="C14242" s="248"/>
      <c r="D14242" s="249"/>
      <c r="E14242" s="249"/>
      <c r="T14242" s="261"/>
    </row>
    <row r="14243" spans="2:20" x14ac:dyDescent="0.2">
      <c r="B14243" s="245"/>
      <c r="C14243" s="248"/>
      <c r="D14243" s="249"/>
      <c r="E14243" s="249"/>
      <c r="T14243" s="261"/>
    </row>
    <row r="14244" spans="2:20" x14ac:dyDescent="0.2">
      <c r="B14244" s="245"/>
      <c r="C14244" s="248"/>
      <c r="D14244" s="249"/>
      <c r="E14244" s="249"/>
      <c r="T14244" s="261"/>
    </row>
    <row r="14245" spans="2:20" x14ac:dyDescent="0.2">
      <c r="B14245" s="245"/>
      <c r="C14245" s="248"/>
      <c r="D14245" s="249"/>
      <c r="E14245" s="249"/>
      <c r="T14245" s="261"/>
    </row>
    <row r="14246" spans="2:20" x14ac:dyDescent="0.2">
      <c r="B14246" s="245"/>
      <c r="C14246" s="248"/>
      <c r="D14246" s="249"/>
      <c r="E14246" s="249"/>
      <c r="T14246" s="261"/>
    </row>
    <row r="14247" spans="2:20" x14ac:dyDescent="0.2">
      <c r="B14247" s="245"/>
      <c r="C14247" s="248"/>
      <c r="D14247" s="249"/>
      <c r="E14247" s="249"/>
      <c r="T14247" s="261"/>
    </row>
    <row r="14248" spans="2:20" x14ac:dyDescent="0.2">
      <c r="B14248" s="245"/>
      <c r="C14248" s="248"/>
      <c r="D14248" s="249"/>
      <c r="E14248" s="249"/>
      <c r="T14248" s="261"/>
    </row>
    <row r="14249" spans="2:20" x14ac:dyDescent="0.2">
      <c r="B14249" s="245"/>
      <c r="C14249" s="248"/>
      <c r="D14249" s="249"/>
      <c r="E14249" s="249"/>
      <c r="T14249" s="261"/>
    </row>
    <row r="14250" spans="2:20" x14ac:dyDescent="0.2">
      <c r="B14250" s="245"/>
      <c r="C14250" s="248"/>
      <c r="D14250" s="249"/>
      <c r="E14250" s="249"/>
      <c r="T14250" s="261"/>
    </row>
    <row r="14251" spans="2:20" x14ac:dyDescent="0.2">
      <c r="B14251" s="245"/>
      <c r="C14251" s="248"/>
      <c r="D14251" s="249"/>
      <c r="E14251" s="249"/>
      <c r="T14251" s="261"/>
    </row>
    <row r="14252" spans="2:20" x14ac:dyDescent="0.2">
      <c r="B14252" s="245"/>
      <c r="C14252" s="248"/>
      <c r="D14252" s="249"/>
      <c r="E14252" s="249"/>
      <c r="T14252" s="261"/>
    </row>
    <row r="14253" spans="2:20" x14ac:dyDescent="0.2">
      <c r="B14253" s="245"/>
      <c r="C14253" s="248"/>
      <c r="D14253" s="249"/>
      <c r="E14253" s="249"/>
      <c r="T14253" s="261"/>
    </row>
    <row r="14254" spans="2:20" x14ac:dyDescent="0.2">
      <c r="B14254" s="245"/>
      <c r="C14254" s="248"/>
      <c r="D14254" s="249"/>
      <c r="E14254" s="249"/>
      <c r="T14254" s="261"/>
    </row>
    <row r="14255" spans="2:20" x14ac:dyDescent="0.2">
      <c r="B14255" s="245"/>
      <c r="C14255" s="248"/>
      <c r="D14255" s="249"/>
      <c r="E14255" s="249"/>
      <c r="T14255" s="261"/>
    </row>
    <row r="14256" spans="2:20" x14ac:dyDescent="0.2">
      <c r="B14256" s="245"/>
      <c r="C14256" s="248"/>
      <c r="D14256" s="249"/>
      <c r="E14256" s="249"/>
      <c r="T14256" s="261"/>
    </row>
    <row r="14257" spans="2:20" x14ac:dyDescent="0.2">
      <c r="B14257" s="245"/>
      <c r="C14257" s="248"/>
      <c r="D14257" s="249"/>
      <c r="E14257" s="249"/>
      <c r="T14257" s="261"/>
    </row>
    <row r="14258" spans="2:20" x14ac:dyDescent="0.2">
      <c r="B14258" s="245"/>
      <c r="C14258" s="248"/>
      <c r="D14258" s="249"/>
      <c r="E14258" s="249"/>
      <c r="T14258" s="261"/>
    </row>
    <row r="14259" spans="2:20" x14ac:dyDescent="0.2">
      <c r="B14259" s="245"/>
      <c r="C14259" s="248"/>
      <c r="D14259" s="249"/>
      <c r="E14259" s="249"/>
      <c r="T14259" s="261"/>
    </row>
    <row r="14260" spans="2:20" x14ac:dyDescent="0.2">
      <c r="B14260" s="245"/>
      <c r="C14260" s="248"/>
      <c r="D14260" s="249"/>
      <c r="E14260" s="249"/>
      <c r="T14260" s="261"/>
    </row>
    <row r="14261" spans="2:20" x14ac:dyDescent="0.2">
      <c r="B14261" s="245"/>
      <c r="C14261" s="248"/>
      <c r="D14261" s="249"/>
      <c r="E14261" s="249"/>
      <c r="T14261" s="261"/>
    </row>
    <row r="14262" spans="2:20" x14ac:dyDescent="0.2">
      <c r="B14262" s="245"/>
      <c r="C14262" s="248"/>
      <c r="D14262" s="249"/>
      <c r="E14262" s="249"/>
      <c r="T14262" s="261"/>
    </row>
    <row r="14263" spans="2:20" x14ac:dyDescent="0.2">
      <c r="B14263" s="245"/>
      <c r="C14263" s="248"/>
      <c r="D14263" s="249"/>
      <c r="E14263" s="249"/>
      <c r="T14263" s="261"/>
    </row>
    <row r="14264" spans="2:20" x14ac:dyDescent="0.2">
      <c r="B14264" s="245"/>
      <c r="C14264" s="248"/>
      <c r="D14264" s="249"/>
      <c r="E14264" s="249"/>
      <c r="T14264" s="261"/>
    </row>
    <row r="14265" spans="2:20" x14ac:dyDescent="0.2">
      <c r="B14265" s="245"/>
      <c r="C14265" s="248"/>
      <c r="D14265" s="249"/>
      <c r="E14265" s="249"/>
      <c r="T14265" s="261"/>
    </row>
    <row r="14266" spans="2:20" x14ac:dyDescent="0.2">
      <c r="B14266" s="245"/>
      <c r="C14266" s="248"/>
      <c r="D14266" s="249"/>
      <c r="E14266" s="249"/>
      <c r="T14266" s="261"/>
    </row>
    <row r="14267" spans="2:20" x14ac:dyDescent="0.2">
      <c r="B14267" s="245"/>
      <c r="C14267" s="248"/>
      <c r="D14267" s="249"/>
      <c r="E14267" s="249"/>
      <c r="T14267" s="261"/>
    </row>
    <row r="14268" spans="2:20" x14ac:dyDescent="0.2">
      <c r="B14268" s="245"/>
      <c r="C14268" s="248"/>
      <c r="D14268" s="249"/>
      <c r="E14268" s="249"/>
      <c r="T14268" s="261"/>
    </row>
    <row r="14269" spans="2:20" x14ac:dyDescent="0.2">
      <c r="B14269" s="245"/>
      <c r="C14269" s="248"/>
      <c r="D14269" s="249"/>
      <c r="E14269" s="249"/>
      <c r="T14269" s="261"/>
    </row>
    <row r="14270" spans="2:20" x14ac:dyDescent="0.2">
      <c r="B14270" s="245"/>
      <c r="C14270" s="248"/>
      <c r="D14270" s="249"/>
      <c r="E14270" s="249"/>
      <c r="T14270" s="261"/>
    </row>
    <row r="14271" spans="2:20" x14ac:dyDescent="0.2">
      <c r="B14271" s="245"/>
      <c r="C14271" s="248"/>
      <c r="D14271" s="249"/>
      <c r="E14271" s="249"/>
      <c r="T14271" s="261"/>
    </row>
    <row r="14272" spans="2:20" x14ac:dyDescent="0.2">
      <c r="B14272" s="245"/>
      <c r="C14272" s="248"/>
      <c r="D14272" s="249"/>
      <c r="E14272" s="249"/>
      <c r="T14272" s="261"/>
    </row>
    <row r="14273" spans="2:20" x14ac:dyDescent="0.2">
      <c r="B14273" s="245"/>
      <c r="C14273" s="248"/>
      <c r="D14273" s="249"/>
      <c r="E14273" s="249"/>
      <c r="T14273" s="261"/>
    </row>
    <row r="14274" spans="2:20" x14ac:dyDescent="0.2">
      <c r="B14274" s="245"/>
      <c r="C14274" s="248"/>
      <c r="D14274" s="249"/>
      <c r="E14274" s="249"/>
      <c r="T14274" s="261"/>
    </row>
    <row r="14275" spans="2:20" x14ac:dyDescent="0.2">
      <c r="B14275" s="245"/>
      <c r="C14275" s="248"/>
      <c r="D14275" s="249"/>
      <c r="E14275" s="249"/>
      <c r="T14275" s="261"/>
    </row>
    <row r="14276" spans="2:20" x14ac:dyDescent="0.2">
      <c r="B14276" s="245"/>
      <c r="C14276" s="248"/>
      <c r="D14276" s="249"/>
      <c r="E14276" s="249"/>
      <c r="T14276" s="261"/>
    </row>
    <row r="14277" spans="2:20" x14ac:dyDescent="0.2">
      <c r="B14277" s="245"/>
      <c r="C14277" s="248"/>
      <c r="D14277" s="249"/>
      <c r="E14277" s="249"/>
      <c r="T14277" s="261"/>
    </row>
    <row r="14278" spans="2:20" x14ac:dyDescent="0.2">
      <c r="B14278" s="245"/>
      <c r="C14278" s="248"/>
      <c r="D14278" s="249"/>
      <c r="E14278" s="249"/>
      <c r="T14278" s="261"/>
    </row>
    <row r="14279" spans="2:20" x14ac:dyDescent="0.2">
      <c r="B14279" s="245"/>
      <c r="C14279" s="248"/>
      <c r="D14279" s="249"/>
      <c r="E14279" s="249"/>
      <c r="T14279" s="261"/>
    </row>
    <row r="14280" spans="2:20" x14ac:dyDescent="0.2">
      <c r="B14280" s="245"/>
      <c r="C14280" s="248"/>
      <c r="D14280" s="249"/>
      <c r="E14280" s="249"/>
      <c r="T14280" s="261"/>
    </row>
    <row r="14281" spans="2:20" x14ac:dyDescent="0.2">
      <c r="B14281" s="245"/>
      <c r="C14281" s="248"/>
      <c r="D14281" s="249"/>
      <c r="E14281" s="249"/>
      <c r="T14281" s="261"/>
    </row>
    <row r="14282" spans="2:20" x14ac:dyDescent="0.2">
      <c r="B14282" s="245"/>
      <c r="C14282" s="248"/>
      <c r="D14282" s="249"/>
      <c r="E14282" s="249"/>
      <c r="T14282" s="261"/>
    </row>
    <row r="14283" spans="2:20" x14ac:dyDescent="0.2">
      <c r="B14283" s="245"/>
      <c r="C14283" s="248"/>
      <c r="D14283" s="249"/>
      <c r="E14283" s="249"/>
      <c r="T14283" s="261"/>
    </row>
    <row r="14284" spans="2:20" x14ac:dyDescent="0.2">
      <c r="B14284" s="245"/>
      <c r="C14284" s="248"/>
      <c r="D14284" s="249"/>
      <c r="E14284" s="249"/>
      <c r="T14284" s="261"/>
    </row>
    <row r="14285" spans="2:20" x14ac:dyDescent="0.2">
      <c r="B14285" s="245"/>
      <c r="C14285" s="248"/>
      <c r="D14285" s="249"/>
      <c r="E14285" s="249"/>
      <c r="T14285" s="261"/>
    </row>
    <row r="14286" spans="2:20" x14ac:dyDescent="0.2">
      <c r="B14286" s="245"/>
      <c r="C14286" s="248"/>
      <c r="D14286" s="249"/>
      <c r="E14286" s="249"/>
      <c r="T14286" s="261"/>
    </row>
    <row r="14287" spans="2:20" x14ac:dyDescent="0.2">
      <c r="B14287" s="245"/>
      <c r="C14287" s="248"/>
      <c r="D14287" s="249"/>
      <c r="E14287" s="249"/>
      <c r="T14287" s="261"/>
    </row>
    <row r="14288" spans="2:20" x14ac:dyDescent="0.2">
      <c r="B14288" s="245"/>
      <c r="C14288" s="248"/>
      <c r="D14288" s="249"/>
      <c r="E14288" s="249"/>
      <c r="T14288" s="261"/>
    </row>
    <row r="14289" spans="2:20" x14ac:dyDescent="0.2">
      <c r="B14289" s="245"/>
      <c r="C14289" s="248"/>
      <c r="D14289" s="249"/>
      <c r="E14289" s="249"/>
      <c r="T14289" s="261"/>
    </row>
    <row r="14290" spans="2:20" x14ac:dyDescent="0.2">
      <c r="B14290" s="245"/>
      <c r="C14290" s="248"/>
      <c r="D14290" s="249"/>
      <c r="E14290" s="249"/>
      <c r="T14290" s="261"/>
    </row>
    <row r="14291" spans="2:20" x14ac:dyDescent="0.2">
      <c r="B14291" s="245"/>
      <c r="C14291" s="248"/>
      <c r="D14291" s="249"/>
      <c r="E14291" s="249"/>
      <c r="T14291" s="261"/>
    </row>
    <row r="14292" spans="2:20" x14ac:dyDescent="0.2">
      <c r="B14292" s="245"/>
      <c r="C14292" s="248"/>
      <c r="D14292" s="249"/>
      <c r="E14292" s="249"/>
      <c r="T14292" s="261"/>
    </row>
    <row r="14293" spans="2:20" x14ac:dyDescent="0.2">
      <c r="B14293" s="245"/>
      <c r="C14293" s="248"/>
      <c r="D14293" s="249"/>
      <c r="E14293" s="249"/>
      <c r="T14293" s="261"/>
    </row>
    <row r="14294" spans="2:20" x14ac:dyDescent="0.2">
      <c r="B14294" s="245"/>
      <c r="C14294" s="248"/>
      <c r="D14294" s="249"/>
      <c r="E14294" s="249"/>
      <c r="T14294" s="261"/>
    </row>
    <row r="14295" spans="2:20" x14ac:dyDescent="0.2">
      <c r="B14295" s="245"/>
      <c r="C14295" s="248"/>
      <c r="D14295" s="249"/>
      <c r="E14295" s="249"/>
      <c r="T14295" s="261"/>
    </row>
    <row r="14296" spans="2:20" x14ac:dyDescent="0.2">
      <c r="B14296" s="245"/>
      <c r="C14296" s="248"/>
      <c r="D14296" s="249"/>
      <c r="E14296" s="249"/>
      <c r="T14296" s="261"/>
    </row>
    <row r="14297" spans="2:20" x14ac:dyDescent="0.2">
      <c r="B14297" s="245"/>
      <c r="C14297" s="248"/>
      <c r="D14297" s="249"/>
      <c r="E14297" s="249"/>
      <c r="T14297" s="261"/>
    </row>
    <row r="14298" spans="2:20" x14ac:dyDescent="0.2">
      <c r="B14298" s="245"/>
      <c r="C14298" s="248"/>
      <c r="D14298" s="249"/>
      <c r="E14298" s="249"/>
      <c r="T14298" s="261"/>
    </row>
    <row r="14299" spans="2:20" x14ac:dyDescent="0.2">
      <c r="B14299" s="245"/>
      <c r="C14299" s="248"/>
      <c r="D14299" s="249"/>
      <c r="E14299" s="249"/>
      <c r="T14299" s="261"/>
    </row>
    <row r="14300" spans="2:20" x14ac:dyDescent="0.2">
      <c r="B14300" s="245"/>
      <c r="C14300" s="248"/>
      <c r="D14300" s="249"/>
      <c r="E14300" s="249"/>
      <c r="T14300" s="261"/>
    </row>
    <row r="14301" spans="2:20" x14ac:dyDescent="0.2">
      <c r="B14301" s="245"/>
      <c r="C14301" s="248"/>
      <c r="D14301" s="249"/>
      <c r="E14301" s="249"/>
      <c r="T14301" s="261"/>
    </row>
    <row r="14302" spans="2:20" x14ac:dyDescent="0.2">
      <c r="B14302" s="245"/>
      <c r="C14302" s="248"/>
      <c r="D14302" s="249"/>
      <c r="E14302" s="249"/>
      <c r="T14302" s="261"/>
    </row>
    <row r="14303" spans="2:20" x14ac:dyDescent="0.2">
      <c r="B14303" s="245"/>
      <c r="C14303" s="248"/>
      <c r="D14303" s="249"/>
      <c r="E14303" s="249"/>
      <c r="T14303" s="261"/>
    </row>
    <row r="14304" spans="2:20" x14ac:dyDescent="0.2">
      <c r="B14304" s="245"/>
      <c r="C14304" s="248"/>
      <c r="D14304" s="249"/>
      <c r="E14304" s="249"/>
      <c r="T14304" s="261"/>
    </row>
    <row r="14305" spans="2:20" x14ac:dyDescent="0.2">
      <c r="B14305" s="245"/>
      <c r="C14305" s="248"/>
      <c r="D14305" s="249"/>
      <c r="E14305" s="249"/>
      <c r="T14305" s="261"/>
    </row>
    <row r="14306" spans="2:20" x14ac:dyDescent="0.2">
      <c r="B14306" s="245"/>
      <c r="C14306" s="248"/>
      <c r="D14306" s="249"/>
      <c r="E14306" s="249"/>
      <c r="T14306" s="261"/>
    </row>
    <row r="14307" spans="2:20" x14ac:dyDescent="0.2">
      <c r="B14307" s="245"/>
      <c r="C14307" s="248"/>
      <c r="D14307" s="249"/>
      <c r="E14307" s="249"/>
      <c r="T14307" s="261"/>
    </row>
    <row r="14308" spans="2:20" x14ac:dyDescent="0.2">
      <c r="B14308" s="245"/>
      <c r="C14308" s="248"/>
      <c r="D14308" s="249"/>
      <c r="E14308" s="249"/>
      <c r="T14308" s="261"/>
    </row>
    <row r="14309" spans="2:20" x14ac:dyDescent="0.2">
      <c r="B14309" s="245"/>
      <c r="C14309" s="248"/>
      <c r="D14309" s="249"/>
      <c r="E14309" s="249"/>
      <c r="T14309" s="261"/>
    </row>
    <row r="14310" spans="2:20" x14ac:dyDescent="0.2">
      <c r="B14310" s="245"/>
      <c r="C14310" s="248"/>
      <c r="D14310" s="249"/>
      <c r="E14310" s="249"/>
      <c r="T14310" s="261"/>
    </row>
    <row r="14311" spans="2:20" x14ac:dyDescent="0.2">
      <c r="B14311" s="245"/>
      <c r="C14311" s="248"/>
      <c r="D14311" s="249"/>
      <c r="E14311" s="249"/>
      <c r="T14311" s="261"/>
    </row>
    <row r="14312" spans="2:20" x14ac:dyDescent="0.2">
      <c r="B14312" s="245"/>
      <c r="C14312" s="248"/>
      <c r="D14312" s="249"/>
      <c r="E14312" s="249"/>
      <c r="T14312" s="261"/>
    </row>
    <row r="14313" spans="2:20" x14ac:dyDescent="0.2">
      <c r="B14313" s="245"/>
      <c r="C14313" s="248"/>
      <c r="D14313" s="249"/>
      <c r="E14313" s="249"/>
      <c r="T14313" s="261"/>
    </row>
    <row r="14314" spans="2:20" x14ac:dyDescent="0.2">
      <c r="B14314" s="245"/>
      <c r="C14314" s="248"/>
      <c r="D14314" s="249"/>
      <c r="E14314" s="249"/>
      <c r="T14314" s="261"/>
    </row>
    <row r="14315" spans="2:20" x14ac:dyDescent="0.2">
      <c r="B14315" s="245"/>
      <c r="C14315" s="248"/>
      <c r="D14315" s="249"/>
      <c r="E14315" s="249"/>
      <c r="T14315" s="261"/>
    </row>
    <row r="14316" spans="2:20" x14ac:dyDescent="0.2">
      <c r="B14316" s="245"/>
      <c r="C14316" s="248"/>
      <c r="D14316" s="249"/>
      <c r="E14316" s="249"/>
      <c r="T14316" s="261"/>
    </row>
    <row r="14317" spans="2:20" x14ac:dyDescent="0.2">
      <c r="B14317" s="245"/>
      <c r="C14317" s="248"/>
      <c r="D14317" s="249"/>
      <c r="E14317" s="249"/>
      <c r="T14317" s="261"/>
    </row>
    <row r="14318" spans="2:20" x14ac:dyDescent="0.2">
      <c r="B14318" s="245"/>
      <c r="C14318" s="248"/>
      <c r="D14318" s="249"/>
      <c r="E14318" s="249"/>
      <c r="T14318" s="261"/>
    </row>
    <row r="14319" spans="2:20" x14ac:dyDescent="0.2">
      <c r="B14319" s="245"/>
      <c r="C14319" s="248"/>
      <c r="D14319" s="249"/>
      <c r="E14319" s="249"/>
      <c r="T14319" s="261"/>
    </row>
    <row r="14320" spans="2:20" x14ac:dyDescent="0.2">
      <c r="B14320" s="245"/>
      <c r="C14320" s="248"/>
      <c r="D14320" s="249"/>
      <c r="E14320" s="249"/>
      <c r="T14320" s="261"/>
    </row>
    <row r="14321" spans="2:20" x14ac:dyDescent="0.2">
      <c r="B14321" s="245"/>
      <c r="C14321" s="248"/>
      <c r="D14321" s="249"/>
      <c r="E14321" s="249"/>
      <c r="T14321" s="261"/>
    </row>
    <row r="14322" spans="2:20" x14ac:dyDescent="0.2">
      <c r="B14322" s="245"/>
      <c r="C14322" s="248"/>
      <c r="D14322" s="249"/>
      <c r="E14322" s="249"/>
      <c r="T14322" s="261"/>
    </row>
    <row r="14323" spans="2:20" x14ac:dyDescent="0.2">
      <c r="B14323" s="245"/>
      <c r="C14323" s="248"/>
      <c r="D14323" s="249"/>
      <c r="E14323" s="249"/>
      <c r="T14323" s="261"/>
    </row>
    <row r="14324" spans="2:20" x14ac:dyDescent="0.2">
      <c r="B14324" s="245"/>
      <c r="C14324" s="248"/>
      <c r="D14324" s="249"/>
      <c r="E14324" s="249"/>
      <c r="T14324" s="261"/>
    </row>
    <row r="14325" spans="2:20" x14ac:dyDescent="0.2">
      <c r="B14325" s="245"/>
      <c r="C14325" s="248"/>
      <c r="D14325" s="249"/>
      <c r="E14325" s="249"/>
      <c r="T14325" s="261"/>
    </row>
    <row r="14326" spans="2:20" x14ac:dyDescent="0.2">
      <c r="B14326" s="245"/>
      <c r="C14326" s="248"/>
      <c r="D14326" s="249"/>
      <c r="E14326" s="249"/>
      <c r="T14326" s="261"/>
    </row>
    <row r="14327" spans="2:20" x14ac:dyDescent="0.2">
      <c r="B14327" s="245"/>
      <c r="C14327" s="248"/>
      <c r="D14327" s="249"/>
      <c r="E14327" s="249"/>
      <c r="T14327" s="261"/>
    </row>
    <row r="14328" spans="2:20" x14ac:dyDescent="0.2">
      <c r="B14328" s="245"/>
      <c r="C14328" s="248"/>
      <c r="D14328" s="249"/>
      <c r="E14328" s="249"/>
      <c r="T14328" s="261"/>
    </row>
    <row r="14329" spans="2:20" x14ac:dyDescent="0.2">
      <c r="B14329" s="245"/>
      <c r="C14329" s="248"/>
      <c r="D14329" s="249"/>
      <c r="E14329" s="249"/>
      <c r="T14329" s="261"/>
    </row>
    <row r="14330" spans="2:20" x14ac:dyDescent="0.2">
      <c r="B14330" s="245"/>
      <c r="C14330" s="248"/>
      <c r="D14330" s="249"/>
      <c r="E14330" s="249"/>
      <c r="T14330" s="261"/>
    </row>
    <row r="14331" spans="2:20" x14ac:dyDescent="0.2">
      <c r="B14331" s="245"/>
      <c r="C14331" s="248"/>
      <c r="D14331" s="249"/>
      <c r="E14331" s="249"/>
      <c r="T14331" s="261"/>
    </row>
    <row r="14332" spans="2:20" x14ac:dyDescent="0.2">
      <c r="B14332" s="245"/>
      <c r="C14332" s="248"/>
      <c r="D14332" s="249"/>
      <c r="E14332" s="249"/>
      <c r="T14332" s="261"/>
    </row>
    <row r="14333" spans="2:20" x14ac:dyDescent="0.2">
      <c r="B14333" s="245"/>
      <c r="C14333" s="248"/>
      <c r="D14333" s="249"/>
      <c r="E14333" s="249"/>
      <c r="T14333" s="261"/>
    </row>
    <row r="14334" spans="2:20" x14ac:dyDescent="0.2">
      <c r="B14334" s="245"/>
      <c r="C14334" s="248"/>
      <c r="D14334" s="249"/>
      <c r="E14334" s="249"/>
      <c r="T14334" s="261"/>
    </row>
    <row r="14335" spans="2:20" x14ac:dyDescent="0.2">
      <c r="B14335" s="245"/>
      <c r="C14335" s="248"/>
      <c r="D14335" s="249"/>
      <c r="E14335" s="249"/>
      <c r="T14335" s="261"/>
    </row>
    <row r="14336" spans="2:20" x14ac:dyDescent="0.2">
      <c r="B14336" s="245"/>
      <c r="C14336" s="248"/>
      <c r="D14336" s="249"/>
      <c r="E14336" s="249"/>
      <c r="T14336" s="261"/>
    </row>
    <row r="14337" spans="2:20" x14ac:dyDescent="0.2">
      <c r="B14337" s="245"/>
      <c r="C14337" s="248"/>
      <c r="D14337" s="249"/>
      <c r="E14337" s="249"/>
      <c r="T14337" s="261"/>
    </row>
    <row r="14338" spans="2:20" x14ac:dyDescent="0.2">
      <c r="B14338" s="245"/>
      <c r="C14338" s="248"/>
      <c r="D14338" s="249"/>
      <c r="E14338" s="249"/>
      <c r="T14338" s="261"/>
    </row>
    <row r="14339" spans="2:20" x14ac:dyDescent="0.2">
      <c r="B14339" s="245"/>
      <c r="C14339" s="248"/>
      <c r="D14339" s="249"/>
      <c r="E14339" s="249"/>
      <c r="T14339" s="261"/>
    </row>
    <row r="14340" spans="2:20" x14ac:dyDescent="0.2">
      <c r="B14340" s="245"/>
      <c r="C14340" s="248"/>
      <c r="D14340" s="249"/>
      <c r="E14340" s="249"/>
      <c r="T14340" s="261"/>
    </row>
    <row r="14341" spans="2:20" x14ac:dyDescent="0.2">
      <c r="B14341" s="245"/>
      <c r="C14341" s="248"/>
      <c r="D14341" s="249"/>
      <c r="E14341" s="249"/>
      <c r="T14341" s="261"/>
    </row>
    <row r="14342" spans="2:20" x14ac:dyDescent="0.2">
      <c r="B14342" s="245"/>
      <c r="C14342" s="248"/>
      <c r="D14342" s="249"/>
      <c r="E14342" s="249"/>
      <c r="T14342" s="261"/>
    </row>
    <row r="14343" spans="2:20" x14ac:dyDescent="0.2">
      <c r="B14343" s="245"/>
      <c r="C14343" s="248"/>
      <c r="D14343" s="249"/>
      <c r="E14343" s="249"/>
      <c r="T14343" s="261"/>
    </row>
    <row r="14344" spans="2:20" x14ac:dyDescent="0.2">
      <c r="B14344" s="245"/>
      <c r="C14344" s="248"/>
      <c r="D14344" s="249"/>
      <c r="E14344" s="249"/>
      <c r="T14344" s="261"/>
    </row>
    <row r="14345" spans="2:20" x14ac:dyDescent="0.2">
      <c r="B14345" s="245"/>
      <c r="C14345" s="248"/>
      <c r="D14345" s="249"/>
      <c r="E14345" s="249"/>
      <c r="T14345" s="261"/>
    </row>
    <row r="14346" spans="2:20" x14ac:dyDescent="0.2">
      <c r="B14346" s="245"/>
      <c r="C14346" s="248"/>
      <c r="D14346" s="249"/>
      <c r="E14346" s="249"/>
      <c r="T14346" s="261"/>
    </row>
    <row r="14347" spans="2:20" x14ac:dyDescent="0.2">
      <c r="B14347" s="245"/>
      <c r="C14347" s="248"/>
      <c r="D14347" s="249"/>
      <c r="E14347" s="249"/>
      <c r="T14347" s="261"/>
    </row>
    <row r="14348" spans="2:20" x14ac:dyDescent="0.2">
      <c r="B14348" s="245"/>
      <c r="C14348" s="248"/>
      <c r="D14348" s="249"/>
      <c r="E14348" s="249"/>
      <c r="T14348" s="261"/>
    </row>
    <row r="14349" spans="2:20" x14ac:dyDescent="0.2">
      <c r="B14349" s="245"/>
      <c r="C14349" s="248"/>
      <c r="D14349" s="249"/>
      <c r="E14349" s="249"/>
      <c r="T14349" s="261"/>
    </row>
    <row r="14350" spans="2:20" x14ac:dyDescent="0.2">
      <c r="B14350" s="245"/>
      <c r="C14350" s="248"/>
      <c r="D14350" s="249"/>
      <c r="E14350" s="249"/>
      <c r="T14350" s="261"/>
    </row>
    <row r="14351" spans="2:20" x14ac:dyDescent="0.2">
      <c r="B14351" s="245"/>
      <c r="C14351" s="248"/>
      <c r="D14351" s="249"/>
      <c r="E14351" s="249"/>
      <c r="T14351" s="261"/>
    </row>
    <row r="14352" spans="2:20" x14ac:dyDescent="0.2">
      <c r="B14352" s="245"/>
      <c r="C14352" s="248"/>
      <c r="D14352" s="249"/>
      <c r="E14352" s="249"/>
      <c r="T14352" s="261"/>
    </row>
    <row r="14353" spans="2:20" x14ac:dyDescent="0.2">
      <c r="B14353" s="245"/>
      <c r="C14353" s="248"/>
      <c r="D14353" s="249"/>
      <c r="E14353" s="249"/>
      <c r="T14353" s="261"/>
    </row>
    <row r="14354" spans="2:20" x14ac:dyDescent="0.2">
      <c r="B14354" s="245"/>
      <c r="C14354" s="248"/>
      <c r="D14354" s="249"/>
      <c r="E14354" s="249"/>
      <c r="T14354" s="261"/>
    </row>
    <row r="14355" spans="2:20" x14ac:dyDescent="0.2">
      <c r="B14355" s="245"/>
      <c r="C14355" s="248"/>
      <c r="D14355" s="249"/>
      <c r="E14355" s="249"/>
      <c r="T14355" s="261"/>
    </row>
    <row r="14356" spans="2:20" x14ac:dyDescent="0.2">
      <c r="B14356" s="245"/>
      <c r="C14356" s="248"/>
      <c r="D14356" s="249"/>
      <c r="E14356" s="249"/>
      <c r="T14356" s="261"/>
    </row>
    <row r="14357" spans="2:20" x14ac:dyDescent="0.2">
      <c r="B14357" s="245"/>
      <c r="C14357" s="248"/>
      <c r="D14357" s="249"/>
      <c r="E14357" s="249"/>
      <c r="T14357" s="261"/>
    </row>
    <row r="14358" spans="2:20" x14ac:dyDescent="0.2">
      <c r="B14358" s="245"/>
      <c r="C14358" s="248"/>
      <c r="D14358" s="249"/>
      <c r="E14358" s="249"/>
      <c r="T14358" s="261"/>
    </row>
    <row r="14359" spans="2:20" x14ac:dyDescent="0.2">
      <c r="B14359" s="245"/>
      <c r="C14359" s="248"/>
      <c r="D14359" s="249"/>
      <c r="E14359" s="249"/>
      <c r="T14359" s="261"/>
    </row>
    <row r="14360" spans="2:20" x14ac:dyDescent="0.2">
      <c r="B14360" s="245"/>
      <c r="C14360" s="248"/>
      <c r="D14360" s="249"/>
      <c r="E14360" s="249"/>
      <c r="T14360" s="261"/>
    </row>
    <row r="14361" spans="2:20" x14ac:dyDescent="0.2">
      <c r="B14361" s="245"/>
      <c r="C14361" s="248"/>
      <c r="D14361" s="249"/>
      <c r="E14361" s="249"/>
      <c r="T14361" s="261"/>
    </row>
    <row r="14362" spans="2:20" x14ac:dyDescent="0.2">
      <c r="B14362" s="245"/>
      <c r="C14362" s="248"/>
      <c r="D14362" s="249"/>
      <c r="E14362" s="249"/>
      <c r="T14362" s="261"/>
    </row>
    <row r="14363" spans="2:20" x14ac:dyDescent="0.2">
      <c r="B14363" s="245"/>
      <c r="C14363" s="248"/>
      <c r="D14363" s="249"/>
      <c r="E14363" s="249"/>
      <c r="T14363" s="261"/>
    </row>
    <row r="14364" spans="2:20" x14ac:dyDescent="0.2">
      <c r="B14364" s="245"/>
      <c r="C14364" s="248"/>
      <c r="D14364" s="249"/>
      <c r="E14364" s="249"/>
      <c r="T14364" s="261"/>
    </row>
    <row r="14365" spans="2:20" x14ac:dyDescent="0.2">
      <c r="B14365" s="245"/>
      <c r="C14365" s="248"/>
      <c r="D14365" s="249"/>
      <c r="E14365" s="249"/>
      <c r="T14365" s="261"/>
    </row>
    <row r="14366" spans="2:20" x14ac:dyDescent="0.2">
      <c r="B14366" s="245"/>
      <c r="C14366" s="248"/>
      <c r="D14366" s="249"/>
      <c r="E14366" s="249"/>
      <c r="T14366" s="261"/>
    </row>
    <row r="14367" spans="2:20" x14ac:dyDescent="0.2">
      <c r="B14367" s="245"/>
      <c r="C14367" s="248"/>
      <c r="D14367" s="249"/>
      <c r="E14367" s="249"/>
      <c r="T14367" s="261"/>
    </row>
    <row r="14368" spans="2:20" x14ac:dyDescent="0.2">
      <c r="B14368" s="245"/>
      <c r="C14368" s="248"/>
      <c r="D14368" s="249"/>
      <c r="E14368" s="249"/>
      <c r="T14368" s="261"/>
    </row>
    <row r="14369" spans="2:20" x14ac:dyDescent="0.2">
      <c r="B14369" s="245"/>
      <c r="C14369" s="248"/>
      <c r="D14369" s="249"/>
      <c r="E14369" s="249"/>
      <c r="T14369" s="261"/>
    </row>
    <row r="14370" spans="2:20" x14ac:dyDescent="0.2">
      <c r="B14370" s="245"/>
      <c r="C14370" s="248"/>
      <c r="D14370" s="249"/>
      <c r="E14370" s="249"/>
      <c r="T14370" s="261"/>
    </row>
    <row r="14371" spans="2:20" x14ac:dyDescent="0.2">
      <c r="B14371" s="245"/>
      <c r="C14371" s="248"/>
      <c r="D14371" s="249"/>
      <c r="E14371" s="249"/>
      <c r="T14371" s="261"/>
    </row>
    <row r="14372" spans="2:20" x14ac:dyDescent="0.2">
      <c r="B14372" s="245"/>
      <c r="C14372" s="248"/>
      <c r="D14372" s="249"/>
      <c r="E14372" s="249"/>
      <c r="T14372" s="261"/>
    </row>
    <row r="14373" spans="2:20" x14ac:dyDescent="0.2">
      <c r="B14373" s="245"/>
      <c r="C14373" s="248"/>
      <c r="D14373" s="249"/>
      <c r="E14373" s="249"/>
      <c r="T14373" s="261"/>
    </row>
    <row r="14374" spans="2:20" x14ac:dyDescent="0.2">
      <c r="B14374" s="245"/>
      <c r="C14374" s="248"/>
      <c r="D14374" s="249"/>
      <c r="E14374" s="249"/>
      <c r="T14374" s="261"/>
    </row>
    <row r="14375" spans="2:20" x14ac:dyDescent="0.2">
      <c r="B14375" s="245"/>
      <c r="C14375" s="248"/>
      <c r="D14375" s="249"/>
      <c r="E14375" s="249"/>
      <c r="T14375" s="261"/>
    </row>
    <row r="14376" spans="2:20" x14ac:dyDescent="0.2">
      <c r="B14376" s="245"/>
      <c r="C14376" s="248"/>
      <c r="D14376" s="249"/>
      <c r="E14376" s="249"/>
      <c r="T14376" s="261"/>
    </row>
    <row r="14377" spans="2:20" x14ac:dyDescent="0.2">
      <c r="B14377" s="245"/>
      <c r="C14377" s="248"/>
      <c r="D14377" s="249"/>
      <c r="E14377" s="249"/>
      <c r="T14377" s="261"/>
    </row>
    <row r="14378" spans="2:20" x14ac:dyDescent="0.2">
      <c r="B14378" s="245"/>
      <c r="C14378" s="248"/>
      <c r="D14378" s="249"/>
      <c r="E14378" s="249"/>
      <c r="T14378" s="261"/>
    </row>
    <row r="14379" spans="2:20" x14ac:dyDescent="0.2">
      <c r="B14379" s="245"/>
      <c r="C14379" s="248"/>
      <c r="D14379" s="249"/>
      <c r="E14379" s="249"/>
      <c r="T14379" s="261"/>
    </row>
    <row r="14380" spans="2:20" x14ac:dyDescent="0.2">
      <c r="B14380" s="245"/>
      <c r="C14380" s="248"/>
      <c r="D14380" s="249"/>
      <c r="E14380" s="249"/>
      <c r="T14380" s="261"/>
    </row>
    <row r="14381" spans="2:20" x14ac:dyDescent="0.2">
      <c r="B14381" s="245"/>
      <c r="C14381" s="248"/>
      <c r="D14381" s="249"/>
      <c r="E14381" s="249"/>
      <c r="T14381" s="261"/>
    </row>
    <row r="14382" spans="2:20" x14ac:dyDescent="0.2">
      <c r="B14382" s="245"/>
      <c r="C14382" s="248"/>
      <c r="D14382" s="249"/>
      <c r="E14382" s="249"/>
      <c r="T14382" s="261"/>
    </row>
    <row r="14383" spans="2:20" x14ac:dyDescent="0.2">
      <c r="B14383" s="245"/>
      <c r="C14383" s="248"/>
      <c r="D14383" s="249"/>
      <c r="E14383" s="249"/>
      <c r="T14383" s="261"/>
    </row>
    <row r="14384" spans="2:20" x14ac:dyDescent="0.2">
      <c r="B14384" s="245"/>
      <c r="C14384" s="248"/>
      <c r="D14384" s="249"/>
      <c r="E14384" s="249"/>
      <c r="T14384" s="261"/>
    </row>
    <row r="14385" spans="2:20" x14ac:dyDescent="0.2">
      <c r="B14385" s="245"/>
      <c r="C14385" s="248"/>
      <c r="D14385" s="249"/>
      <c r="E14385" s="249"/>
      <c r="T14385" s="261"/>
    </row>
    <row r="14386" spans="2:20" x14ac:dyDescent="0.2">
      <c r="B14386" s="245"/>
      <c r="C14386" s="248"/>
      <c r="D14386" s="249"/>
      <c r="E14386" s="249"/>
      <c r="T14386" s="261"/>
    </row>
    <row r="14387" spans="2:20" x14ac:dyDescent="0.2">
      <c r="B14387" s="245"/>
      <c r="C14387" s="248"/>
      <c r="D14387" s="249"/>
      <c r="E14387" s="249"/>
      <c r="T14387" s="261"/>
    </row>
    <row r="14388" spans="2:20" x14ac:dyDescent="0.2">
      <c r="B14388" s="245"/>
      <c r="C14388" s="248"/>
      <c r="D14388" s="249"/>
      <c r="E14388" s="249"/>
      <c r="T14388" s="261"/>
    </row>
    <row r="14389" spans="2:20" x14ac:dyDescent="0.2">
      <c r="B14389" s="245"/>
      <c r="C14389" s="248"/>
      <c r="D14389" s="249"/>
      <c r="E14389" s="249"/>
      <c r="T14389" s="261"/>
    </row>
    <row r="14390" spans="2:20" x14ac:dyDescent="0.2">
      <c r="B14390" s="245"/>
      <c r="C14390" s="248"/>
      <c r="D14390" s="249"/>
      <c r="E14390" s="249"/>
      <c r="T14390" s="261"/>
    </row>
    <row r="14391" spans="2:20" x14ac:dyDescent="0.2">
      <c r="B14391" s="245"/>
      <c r="C14391" s="248"/>
      <c r="D14391" s="249"/>
      <c r="E14391" s="249"/>
      <c r="T14391" s="261"/>
    </row>
    <row r="14392" spans="2:20" x14ac:dyDescent="0.2">
      <c r="B14392" s="245"/>
      <c r="C14392" s="248"/>
      <c r="D14392" s="249"/>
      <c r="E14392" s="249"/>
      <c r="T14392" s="261"/>
    </row>
    <row r="14393" spans="2:20" x14ac:dyDescent="0.2">
      <c r="B14393" s="245"/>
      <c r="C14393" s="248"/>
      <c r="D14393" s="249"/>
      <c r="E14393" s="249"/>
      <c r="T14393" s="261"/>
    </row>
    <row r="14394" spans="2:20" x14ac:dyDescent="0.2">
      <c r="B14394" s="245"/>
      <c r="C14394" s="248"/>
      <c r="D14394" s="249"/>
      <c r="E14394" s="249"/>
      <c r="T14394" s="261"/>
    </row>
    <row r="14395" spans="2:20" x14ac:dyDescent="0.2">
      <c r="B14395" s="245"/>
      <c r="C14395" s="248"/>
      <c r="D14395" s="249"/>
      <c r="E14395" s="249"/>
      <c r="T14395" s="261"/>
    </row>
    <row r="14396" spans="2:20" x14ac:dyDescent="0.2">
      <c r="B14396" s="245"/>
      <c r="C14396" s="248"/>
      <c r="D14396" s="249"/>
      <c r="E14396" s="249"/>
      <c r="T14396" s="261"/>
    </row>
    <row r="14397" spans="2:20" x14ac:dyDescent="0.2">
      <c r="B14397" s="245"/>
      <c r="C14397" s="248"/>
      <c r="D14397" s="249"/>
      <c r="E14397" s="249"/>
      <c r="T14397" s="261"/>
    </row>
    <row r="14398" spans="2:20" x14ac:dyDescent="0.2">
      <c r="B14398" s="245"/>
      <c r="C14398" s="248"/>
      <c r="D14398" s="249"/>
      <c r="E14398" s="249"/>
      <c r="T14398" s="261"/>
    </row>
    <row r="14399" spans="2:20" x14ac:dyDescent="0.2">
      <c r="B14399" s="245"/>
      <c r="C14399" s="248"/>
      <c r="D14399" s="249"/>
      <c r="E14399" s="249"/>
      <c r="T14399" s="261"/>
    </row>
    <row r="14400" spans="2:20" x14ac:dyDescent="0.2">
      <c r="B14400" s="245"/>
      <c r="C14400" s="248"/>
      <c r="D14400" s="249"/>
      <c r="E14400" s="249"/>
      <c r="T14400" s="261"/>
    </row>
    <row r="14401" spans="2:20" x14ac:dyDescent="0.2">
      <c r="B14401" s="245"/>
      <c r="C14401" s="248"/>
      <c r="D14401" s="249"/>
      <c r="E14401" s="249"/>
      <c r="T14401" s="261"/>
    </row>
    <row r="14402" spans="2:20" x14ac:dyDescent="0.2">
      <c r="B14402" s="245"/>
      <c r="C14402" s="248"/>
      <c r="D14402" s="249"/>
      <c r="E14402" s="249"/>
      <c r="T14402" s="261"/>
    </row>
    <row r="14403" spans="2:20" x14ac:dyDescent="0.2">
      <c r="B14403" s="245"/>
      <c r="C14403" s="248"/>
      <c r="D14403" s="249"/>
      <c r="E14403" s="249"/>
      <c r="T14403" s="261"/>
    </row>
    <row r="14404" spans="2:20" x14ac:dyDescent="0.2">
      <c r="B14404" s="245"/>
      <c r="C14404" s="248"/>
      <c r="D14404" s="249"/>
      <c r="E14404" s="249"/>
      <c r="T14404" s="261"/>
    </row>
    <row r="14405" spans="2:20" x14ac:dyDescent="0.2">
      <c r="B14405" s="245"/>
      <c r="C14405" s="248"/>
      <c r="D14405" s="249"/>
      <c r="E14405" s="249"/>
      <c r="T14405" s="261"/>
    </row>
    <row r="14406" spans="2:20" x14ac:dyDescent="0.2">
      <c r="B14406" s="245"/>
      <c r="C14406" s="248"/>
      <c r="D14406" s="249"/>
      <c r="E14406" s="249"/>
      <c r="T14406" s="261"/>
    </row>
    <row r="14407" spans="2:20" x14ac:dyDescent="0.2">
      <c r="B14407" s="245"/>
      <c r="C14407" s="248"/>
      <c r="D14407" s="249"/>
      <c r="E14407" s="249"/>
      <c r="T14407" s="261"/>
    </row>
    <row r="14408" spans="2:20" x14ac:dyDescent="0.2">
      <c r="B14408" s="245"/>
      <c r="C14408" s="248"/>
      <c r="D14408" s="249"/>
      <c r="E14408" s="249"/>
      <c r="T14408" s="261"/>
    </row>
    <row r="14409" spans="2:20" x14ac:dyDescent="0.2">
      <c r="B14409" s="245"/>
      <c r="C14409" s="248"/>
      <c r="D14409" s="249"/>
      <c r="E14409" s="249"/>
      <c r="T14409" s="261"/>
    </row>
    <row r="14410" spans="2:20" x14ac:dyDescent="0.2">
      <c r="B14410" s="245"/>
      <c r="C14410" s="248"/>
      <c r="D14410" s="249"/>
      <c r="E14410" s="249"/>
      <c r="T14410" s="261"/>
    </row>
    <row r="14411" spans="2:20" x14ac:dyDescent="0.2">
      <c r="B14411" s="245"/>
      <c r="C14411" s="248"/>
      <c r="D14411" s="249"/>
      <c r="E14411" s="249"/>
      <c r="T14411" s="261"/>
    </row>
    <row r="14412" spans="2:20" x14ac:dyDescent="0.2">
      <c r="B14412" s="245"/>
      <c r="C14412" s="248"/>
      <c r="D14412" s="249"/>
      <c r="E14412" s="249"/>
      <c r="T14412" s="261"/>
    </row>
    <row r="14413" spans="2:20" x14ac:dyDescent="0.2">
      <c r="B14413" s="245"/>
      <c r="C14413" s="248"/>
      <c r="D14413" s="249"/>
      <c r="E14413" s="249"/>
      <c r="T14413" s="261"/>
    </row>
    <row r="14414" spans="2:20" x14ac:dyDescent="0.2">
      <c r="B14414" s="245"/>
      <c r="C14414" s="248"/>
      <c r="D14414" s="249"/>
      <c r="E14414" s="249"/>
      <c r="T14414" s="261"/>
    </row>
    <row r="14415" spans="2:20" x14ac:dyDescent="0.2">
      <c r="B14415" s="245"/>
      <c r="C14415" s="248"/>
      <c r="D14415" s="249"/>
      <c r="E14415" s="249"/>
      <c r="T14415" s="261"/>
    </row>
    <row r="14416" spans="2:20" x14ac:dyDescent="0.2">
      <c r="B14416" s="245"/>
      <c r="C14416" s="248"/>
      <c r="D14416" s="249"/>
      <c r="E14416" s="249"/>
      <c r="T14416" s="261"/>
    </row>
    <row r="14417" spans="2:20" x14ac:dyDescent="0.2">
      <c r="B14417" s="245"/>
      <c r="C14417" s="248"/>
      <c r="D14417" s="249"/>
      <c r="E14417" s="249"/>
      <c r="T14417" s="261"/>
    </row>
    <row r="14418" spans="2:20" x14ac:dyDescent="0.2">
      <c r="B14418" s="245"/>
      <c r="C14418" s="248"/>
      <c r="D14418" s="249"/>
      <c r="E14418" s="249"/>
      <c r="T14418" s="261"/>
    </row>
    <row r="14419" spans="2:20" x14ac:dyDescent="0.2">
      <c r="B14419" s="245"/>
      <c r="C14419" s="248"/>
      <c r="D14419" s="249"/>
      <c r="E14419" s="249"/>
      <c r="T14419" s="261"/>
    </row>
    <row r="14420" spans="2:20" x14ac:dyDescent="0.2">
      <c r="B14420" s="245"/>
      <c r="C14420" s="248"/>
      <c r="D14420" s="249"/>
      <c r="E14420" s="249"/>
      <c r="T14420" s="261"/>
    </row>
    <row r="14421" spans="2:20" x14ac:dyDescent="0.2">
      <c r="B14421" s="245"/>
      <c r="C14421" s="248"/>
      <c r="D14421" s="249"/>
      <c r="E14421" s="249"/>
      <c r="T14421" s="261"/>
    </row>
    <row r="14422" spans="2:20" x14ac:dyDescent="0.2">
      <c r="B14422" s="245"/>
      <c r="C14422" s="248"/>
      <c r="D14422" s="249"/>
      <c r="E14422" s="249"/>
      <c r="T14422" s="261"/>
    </row>
    <row r="14423" spans="2:20" x14ac:dyDescent="0.2">
      <c r="B14423" s="245"/>
      <c r="C14423" s="248"/>
      <c r="D14423" s="249"/>
      <c r="E14423" s="249"/>
      <c r="T14423" s="261"/>
    </row>
    <row r="14424" spans="2:20" x14ac:dyDescent="0.2">
      <c r="B14424" s="245"/>
      <c r="C14424" s="248"/>
      <c r="D14424" s="249"/>
      <c r="E14424" s="249"/>
      <c r="T14424" s="261"/>
    </row>
    <row r="14425" spans="2:20" x14ac:dyDescent="0.2">
      <c r="B14425" s="245"/>
      <c r="C14425" s="248"/>
      <c r="D14425" s="249"/>
      <c r="E14425" s="249"/>
      <c r="T14425" s="261"/>
    </row>
    <row r="14426" spans="2:20" x14ac:dyDescent="0.2">
      <c r="B14426" s="245"/>
      <c r="C14426" s="248"/>
      <c r="D14426" s="249"/>
      <c r="E14426" s="249"/>
      <c r="T14426" s="261"/>
    </row>
    <row r="14427" spans="2:20" x14ac:dyDescent="0.2">
      <c r="B14427" s="245"/>
      <c r="C14427" s="248"/>
      <c r="D14427" s="249"/>
      <c r="E14427" s="249"/>
      <c r="T14427" s="261"/>
    </row>
    <row r="14428" spans="2:20" x14ac:dyDescent="0.2">
      <c r="B14428" s="245"/>
      <c r="C14428" s="248"/>
      <c r="D14428" s="249"/>
      <c r="E14428" s="249"/>
      <c r="T14428" s="261"/>
    </row>
    <row r="14429" spans="2:20" x14ac:dyDescent="0.2">
      <c r="B14429" s="245"/>
      <c r="C14429" s="248"/>
      <c r="D14429" s="249"/>
      <c r="E14429" s="249"/>
      <c r="T14429" s="261"/>
    </row>
    <row r="14430" spans="2:20" x14ac:dyDescent="0.2">
      <c r="B14430" s="245"/>
      <c r="C14430" s="248"/>
      <c r="D14430" s="249"/>
      <c r="E14430" s="249"/>
      <c r="T14430" s="261"/>
    </row>
    <row r="14431" spans="2:20" x14ac:dyDescent="0.2">
      <c r="B14431" s="245"/>
      <c r="C14431" s="248"/>
      <c r="D14431" s="249"/>
      <c r="E14431" s="249"/>
      <c r="T14431" s="261"/>
    </row>
    <row r="14432" spans="2:20" x14ac:dyDescent="0.2">
      <c r="B14432" s="245"/>
      <c r="C14432" s="248"/>
      <c r="D14432" s="249"/>
      <c r="E14432" s="249"/>
      <c r="T14432" s="261"/>
    </row>
    <row r="14433" spans="2:20" x14ac:dyDescent="0.2">
      <c r="B14433" s="245"/>
      <c r="C14433" s="248"/>
      <c r="D14433" s="249"/>
      <c r="E14433" s="249"/>
      <c r="T14433" s="261"/>
    </row>
    <row r="14434" spans="2:20" x14ac:dyDescent="0.2">
      <c r="B14434" s="245"/>
      <c r="C14434" s="248"/>
      <c r="D14434" s="249"/>
      <c r="E14434" s="249"/>
      <c r="T14434" s="261"/>
    </row>
    <row r="14435" spans="2:20" x14ac:dyDescent="0.2">
      <c r="B14435" s="245"/>
      <c r="C14435" s="248"/>
      <c r="D14435" s="249"/>
      <c r="E14435" s="249"/>
      <c r="T14435" s="261"/>
    </row>
    <row r="14436" spans="2:20" x14ac:dyDescent="0.2">
      <c r="B14436" s="245"/>
      <c r="C14436" s="248"/>
      <c r="D14436" s="249"/>
      <c r="E14436" s="249"/>
      <c r="T14436" s="261"/>
    </row>
    <row r="14437" spans="2:20" x14ac:dyDescent="0.2">
      <c r="B14437" s="245"/>
      <c r="C14437" s="248"/>
      <c r="D14437" s="249"/>
      <c r="E14437" s="249"/>
      <c r="T14437" s="261"/>
    </row>
    <row r="14438" spans="2:20" x14ac:dyDescent="0.2">
      <c r="B14438" s="245"/>
      <c r="C14438" s="248"/>
      <c r="D14438" s="249"/>
      <c r="E14438" s="249"/>
      <c r="T14438" s="261"/>
    </row>
    <row r="14439" spans="2:20" x14ac:dyDescent="0.2">
      <c r="B14439" s="245"/>
      <c r="C14439" s="248"/>
      <c r="D14439" s="249"/>
      <c r="E14439" s="249"/>
      <c r="T14439" s="261"/>
    </row>
    <row r="14440" spans="2:20" x14ac:dyDescent="0.2">
      <c r="B14440" s="245"/>
      <c r="C14440" s="248"/>
      <c r="D14440" s="249"/>
      <c r="E14440" s="249"/>
      <c r="T14440" s="261"/>
    </row>
    <row r="14441" spans="2:20" x14ac:dyDescent="0.2">
      <c r="B14441" s="245"/>
      <c r="C14441" s="248"/>
      <c r="D14441" s="249"/>
      <c r="E14441" s="249"/>
      <c r="T14441" s="261"/>
    </row>
    <row r="14442" spans="2:20" x14ac:dyDescent="0.2">
      <c r="B14442" s="245"/>
      <c r="C14442" s="248"/>
      <c r="D14442" s="249"/>
      <c r="E14442" s="249"/>
      <c r="T14442" s="261"/>
    </row>
    <row r="14443" spans="2:20" x14ac:dyDescent="0.2">
      <c r="B14443" s="245"/>
      <c r="C14443" s="248"/>
      <c r="D14443" s="249"/>
      <c r="E14443" s="249"/>
      <c r="T14443" s="261"/>
    </row>
    <row r="14444" spans="2:20" x14ac:dyDescent="0.2">
      <c r="B14444" s="245"/>
      <c r="C14444" s="248"/>
      <c r="D14444" s="249"/>
      <c r="E14444" s="249"/>
      <c r="T14444" s="261"/>
    </row>
    <row r="14445" spans="2:20" x14ac:dyDescent="0.2">
      <c r="B14445" s="245"/>
      <c r="C14445" s="248"/>
      <c r="D14445" s="249"/>
      <c r="E14445" s="249"/>
      <c r="T14445" s="261"/>
    </row>
    <row r="14446" spans="2:20" x14ac:dyDescent="0.2">
      <c r="B14446" s="245"/>
      <c r="C14446" s="248"/>
      <c r="D14446" s="249"/>
      <c r="E14446" s="249"/>
      <c r="T14446" s="261"/>
    </row>
    <row r="14447" spans="2:20" x14ac:dyDescent="0.2">
      <c r="B14447" s="245"/>
      <c r="C14447" s="248"/>
      <c r="D14447" s="249"/>
      <c r="E14447" s="249"/>
      <c r="T14447" s="261"/>
    </row>
    <row r="14448" spans="2:20" x14ac:dyDescent="0.2">
      <c r="B14448" s="245"/>
      <c r="C14448" s="248"/>
      <c r="D14448" s="249"/>
      <c r="E14448" s="249"/>
      <c r="T14448" s="261"/>
    </row>
    <row r="14449" spans="2:20" x14ac:dyDescent="0.2">
      <c r="B14449" s="245"/>
      <c r="C14449" s="248"/>
      <c r="D14449" s="249"/>
      <c r="E14449" s="249"/>
      <c r="T14449" s="261"/>
    </row>
    <row r="14450" spans="2:20" x14ac:dyDescent="0.2">
      <c r="B14450" s="245"/>
      <c r="C14450" s="248"/>
      <c r="D14450" s="249"/>
      <c r="E14450" s="249"/>
      <c r="T14450" s="261"/>
    </row>
    <row r="14451" spans="2:20" x14ac:dyDescent="0.2">
      <c r="B14451" s="245"/>
      <c r="C14451" s="248"/>
      <c r="D14451" s="249"/>
      <c r="E14451" s="249"/>
      <c r="T14451" s="261"/>
    </row>
    <row r="14452" spans="2:20" x14ac:dyDescent="0.2">
      <c r="B14452" s="245"/>
      <c r="C14452" s="248"/>
      <c r="D14452" s="249"/>
      <c r="E14452" s="249"/>
      <c r="T14452" s="261"/>
    </row>
    <row r="14453" spans="2:20" x14ac:dyDescent="0.2">
      <c r="B14453" s="245"/>
      <c r="C14453" s="248"/>
      <c r="D14453" s="249"/>
      <c r="E14453" s="249"/>
      <c r="T14453" s="261"/>
    </row>
    <row r="14454" spans="2:20" x14ac:dyDescent="0.2">
      <c r="B14454" s="245"/>
      <c r="C14454" s="248"/>
      <c r="D14454" s="249"/>
      <c r="E14454" s="249"/>
      <c r="T14454" s="261"/>
    </row>
    <row r="14455" spans="2:20" x14ac:dyDescent="0.2">
      <c r="B14455" s="245"/>
      <c r="C14455" s="248"/>
      <c r="D14455" s="249"/>
      <c r="E14455" s="249"/>
      <c r="T14455" s="261"/>
    </row>
    <row r="14456" spans="2:20" x14ac:dyDescent="0.2">
      <c r="B14456" s="245"/>
      <c r="C14456" s="248"/>
      <c r="D14456" s="249"/>
      <c r="E14456" s="249"/>
      <c r="T14456" s="261"/>
    </row>
    <row r="14457" spans="2:20" x14ac:dyDescent="0.2">
      <c r="B14457" s="245"/>
      <c r="C14457" s="248"/>
      <c r="D14457" s="249"/>
      <c r="E14457" s="249"/>
      <c r="T14457" s="261"/>
    </row>
    <row r="14458" spans="2:20" x14ac:dyDescent="0.2">
      <c r="B14458" s="245"/>
      <c r="C14458" s="248"/>
      <c r="D14458" s="249"/>
      <c r="E14458" s="249"/>
      <c r="T14458" s="261"/>
    </row>
    <row r="14459" spans="2:20" x14ac:dyDescent="0.2">
      <c r="B14459" s="245"/>
      <c r="C14459" s="248"/>
      <c r="D14459" s="249"/>
      <c r="E14459" s="249"/>
      <c r="T14459" s="261"/>
    </row>
    <row r="14460" spans="2:20" x14ac:dyDescent="0.2">
      <c r="B14460" s="245"/>
      <c r="C14460" s="248"/>
      <c r="D14460" s="249"/>
      <c r="E14460" s="249"/>
      <c r="T14460" s="261"/>
    </row>
    <row r="14461" spans="2:20" x14ac:dyDescent="0.2">
      <c r="B14461" s="245"/>
      <c r="C14461" s="248"/>
      <c r="D14461" s="249"/>
      <c r="E14461" s="249"/>
      <c r="T14461" s="261"/>
    </row>
    <row r="14462" spans="2:20" x14ac:dyDescent="0.2">
      <c r="B14462" s="245"/>
      <c r="C14462" s="248"/>
      <c r="D14462" s="249"/>
      <c r="E14462" s="249"/>
      <c r="T14462" s="261"/>
    </row>
    <row r="14463" spans="2:20" x14ac:dyDescent="0.2">
      <c r="B14463" s="245"/>
      <c r="C14463" s="248"/>
      <c r="D14463" s="249"/>
      <c r="E14463" s="249"/>
      <c r="T14463" s="261"/>
    </row>
    <row r="14464" spans="2:20" x14ac:dyDescent="0.2">
      <c r="B14464" s="245"/>
      <c r="C14464" s="248"/>
      <c r="D14464" s="249"/>
      <c r="E14464" s="249"/>
      <c r="T14464" s="261"/>
    </row>
    <row r="14465" spans="2:20" x14ac:dyDescent="0.2">
      <c r="B14465" s="245"/>
      <c r="C14465" s="248"/>
      <c r="D14465" s="249"/>
      <c r="E14465" s="249"/>
      <c r="T14465" s="261"/>
    </row>
    <row r="14466" spans="2:20" x14ac:dyDescent="0.2">
      <c r="B14466" s="245"/>
      <c r="C14466" s="248"/>
      <c r="D14466" s="249"/>
      <c r="E14466" s="249"/>
      <c r="T14466" s="261"/>
    </row>
    <row r="14467" spans="2:20" x14ac:dyDescent="0.2">
      <c r="B14467" s="245"/>
      <c r="C14467" s="248"/>
      <c r="D14467" s="249"/>
      <c r="E14467" s="249"/>
      <c r="T14467" s="261"/>
    </row>
    <row r="14468" spans="2:20" x14ac:dyDescent="0.2">
      <c r="B14468" s="245"/>
      <c r="C14468" s="248"/>
      <c r="D14468" s="249"/>
      <c r="E14468" s="249"/>
      <c r="T14468" s="261"/>
    </row>
    <row r="14469" spans="2:20" x14ac:dyDescent="0.2">
      <c r="B14469" s="245"/>
      <c r="C14469" s="248"/>
      <c r="D14469" s="249"/>
      <c r="E14469" s="249"/>
      <c r="T14469" s="261"/>
    </row>
    <row r="14470" spans="2:20" x14ac:dyDescent="0.2">
      <c r="B14470" s="245"/>
      <c r="C14470" s="248"/>
      <c r="D14470" s="249"/>
      <c r="E14470" s="249"/>
      <c r="T14470" s="261"/>
    </row>
    <row r="14471" spans="2:20" x14ac:dyDescent="0.2">
      <c r="B14471" s="245"/>
      <c r="C14471" s="248"/>
      <c r="D14471" s="249"/>
      <c r="E14471" s="249"/>
      <c r="T14471" s="261"/>
    </row>
    <row r="14472" spans="2:20" x14ac:dyDescent="0.2">
      <c r="B14472" s="245"/>
      <c r="C14472" s="248"/>
      <c r="D14472" s="249"/>
      <c r="E14472" s="249"/>
      <c r="T14472" s="261"/>
    </row>
    <row r="14473" spans="2:20" x14ac:dyDescent="0.2">
      <c r="B14473" s="245"/>
      <c r="C14473" s="248"/>
      <c r="D14473" s="249"/>
      <c r="E14473" s="249"/>
      <c r="T14473" s="261"/>
    </row>
    <row r="14474" spans="2:20" x14ac:dyDescent="0.2">
      <c r="B14474" s="245"/>
      <c r="C14474" s="248"/>
      <c r="D14474" s="249"/>
      <c r="E14474" s="249"/>
      <c r="T14474" s="261"/>
    </row>
    <row r="14475" spans="2:20" x14ac:dyDescent="0.2">
      <c r="B14475" s="245"/>
      <c r="C14475" s="248"/>
      <c r="D14475" s="249"/>
      <c r="E14475" s="249"/>
      <c r="T14475" s="261"/>
    </row>
    <row r="14476" spans="2:20" x14ac:dyDescent="0.2">
      <c r="B14476" s="245"/>
      <c r="C14476" s="248"/>
      <c r="D14476" s="249"/>
      <c r="E14476" s="249"/>
      <c r="T14476" s="261"/>
    </row>
    <row r="14477" spans="2:20" x14ac:dyDescent="0.2">
      <c r="B14477" s="245"/>
      <c r="C14477" s="248"/>
      <c r="D14477" s="249"/>
      <c r="E14477" s="249"/>
      <c r="T14477" s="261"/>
    </row>
    <row r="14478" spans="2:20" x14ac:dyDescent="0.2">
      <c r="B14478" s="245"/>
      <c r="C14478" s="248"/>
      <c r="D14478" s="249"/>
      <c r="E14478" s="249"/>
      <c r="T14478" s="261"/>
    </row>
    <row r="14479" spans="2:20" x14ac:dyDescent="0.2">
      <c r="B14479" s="245"/>
      <c r="C14479" s="248"/>
      <c r="D14479" s="249"/>
      <c r="E14479" s="249"/>
      <c r="T14479" s="261"/>
    </row>
    <row r="14480" spans="2:20" x14ac:dyDescent="0.2">
      <c r="B14480" s="245"/>
      <c r="C14480" s="248"/>
      <c r="D14480" s="249"/>
      <c r="E14480" s="249"/>
      <c r="T14480" s="261"/>
    </row>
    <row r="14481" spans="2:20" x14ac:dyDescent="0.2">
      <c r="B14481" s="245"/>
      <c r="C14481" s="248"/>
      <c r="D14481" s="249"/>
      <c r="E14481" s="249"/>
      <c r="T14481" s="261"/>
    </row>
    <row r="14482" spans="2:20" x14ac:dyDescent="0.2">
      <c r="B14482" s="245"/>
      <c r="C14482" s="248"/>
      <c r="D14482" s="249"/>
      <c r="E14482" s="249"/>
      <c r="T14482" s="261"/>
    </row>
    <row r="14483" spans="2:20" x14ac:dyDescent="0.2">
      <c r="B14483" s="245"/>
      <c r="C14483" s="248"/>
      <c r="D14483" s="249"/>
      <c r="E14483" s="249"/>
      <c r="T14483" s="261"/>
    </row>
    <row r="14484" spans="2:20" x14ac:dyDescent="0.2">
      <c r="B14484" s="245"/>
      <c r="C14484" s="248"/>
      <c r="D14484" s="249"/>
      <c r="E14484" s="249"/>
      <c r="T14484" s="261"/>
    </row>
    <row r="14485" spans="2:20" x14ac:dyDescent="0.2">
      <c r="B14485" s="245"/>
      <c r="C14485" s="248"/>
      <c r="D14485" s="249"/>
      <c r="E14485" s="249"/>
      <c r="T14485" s="261"/>
    </row>
    <row r="14486" spans="2:20" x14ac:dyDescent="0.2">
      <c r="B14486" s="245"/>
      <c r="C14486" s="248"/>
      <c r="D14486" s="249"/>
      <c r="E14486" s="249"/>
      <c r="T14486" s="261"/>
    </row>
    <row r="14487" spans="2:20" x14ac:dyDescent="0.2">
      <c r="B14487" s="245"/>
      <c r="C14487" s="248"/>
      <c r="D14487" s="249"/>
      <c r="E14487" s="249"/>
      <c r="T14487" s="261"/>
    </row>
    <row r="14488" spans="2:20" x14ac:dyDescent="0.2">
      <c r="B14488" s="245"/>
      <c r="C14488" s="248"/>
      <c r="D14488" s="249"/>
      <c r="E14488" s="249"/>
      <c r="T14488" s="261"/>
    </row>
    <row r="14489" spans="2:20" x14ac:dyDescent="0.2">
      <c r="B14489" s="245"/>
      <c r="C14489" s="248"/>
      <c r="D14489" s="249"/>
      <c r="E14489" s="249"/>
      <c r="T14489" s="261"/>
    </row>
    <row r="14490" spans="2:20" x14ac:dyDescent="0.2">
      <c r="B14490" s="245"/>
      <c r="C14490" s="248"/>
      <c r="D14490" s="249"/>
      <c r="E14490" s="249"/>
      <c r="T14490" s="261"/>
    </row>
    <row r="14491" spans="2:20" x14ac:dyDescent="0.2">
      <c r="B14491" s="245"/>
      <c r="C14491" s="248"/>
      <c r="D14491" s="249"/>
      <c r="E14491" s="249"/>
      <c r="T14491" s="261"/>
    </row>
    <row r="14492" spans="2:20" x14ac:dyDescent="0.2">
      <c r="B14492" s="245"/>
      <c r="C14492" s="248"/>
      <c r="D14492" s="249"/>
      <c r="E14492" s="249"/>
      <c r="T14492" s="261"/>
    </row>
    <row r="14493" spans="2:20" x14ac:dyDescent="0.2">
      <c r="B14493" s="245"/>
      <c r="C14493" s="248"/>
      <c r="D14493" s="249"/>
      <c r="E14493" s="249"/>
      <c r="T14493" s="261"/>
    </row>
    <row r="14494" spans="2:20" x14ac:dyDescent="0.2">
      <c r="B14494" s="245"/>
      <c r="C14494" s="248"/>
      <c r="D14494" s="249"/>
      <c r="E14494" s="249"/>
      <c r="T14494" s="261"/>
    </row>
    <row r="14495" spans="2:20" x14ac:dyDescent="0.2">
      <c r="B14495" s="245"/>
      <c r="C14495" s="248"/>
      <c r="D14495" s="249"/>
      <c r="E14495" s="249"/>
      <c r="T14495" s="261"/>
    </row>
    <row r="14496" spans="2:20" x14ac:dyDescent="0.2">
      <c r="B14496" s="245"/>
      <c r="C14496" s="248"/>
      <c r="D14496" s="249"/>
      <c r="E14496" s="249"/>
      <c r="T14496" s="261"/>
    </row>
    <row r="14497" spans="2:20" x14ac:dyDescent="0.2">
      <c r="B14497" s="245"/>
      <c r="C14497" s="248"/>
      <c r="D14497" s="249"/>
      <c r="E14497" s="249"/>
      <c r="T14497" s="261"/>
    </row>
    <row r="14498" spans="2:20" x14ac:dyDescent="0.2">
      <c r="B14498" s="245"/>
      <c r="C14498" s="248"/>
      <c r="D14498" s="249"/>
      <c r="E14498" s="249"/>
      <c r="T14498" s="261"/>
    </row>
    <row r="14499" spans="2:20" x14ac:dyDescent="0.2">
      <c r="B14499" s="245"/>
      <c r="C14499" s="248"/>
      <c r="D14499" s="249"/>
      <c r="E14499" s="249"/>
      <c r="T14499" s="261"/>
    </row>
    <row r="14500" spans="2:20" x14ac:dyDescent="0.2">
      <c r="B14500" s="245"/>
      <c r="C14500" s="248"/>
      <c r="D14500" s="249"/>
      <c r="E14500" s="249"/>
      <c r="T14500" s="261"/>
    </row>
    <row r="14501" spans="2:20" x14ac:dyDescent="0.2">
      <c r="B14501" s="245"/>
      <c r="C14501" s="248"/>
      <c r="D14501" s="249"/>
      <c r="E14501" s="249"/>
      <c r="T14501" s="261"/>
    </row>
    <row r="14502" spans="2:20" x14ac:dyDescent="0.2">
      <c r="B14502" s="245"/>
      <c r="C14502" s="248"/>
      <c r="D14502" s="249"/>
      <c r="E14502" s="249"/>
      <c r="T14502" s="261"/>
    </row>
    <row r="14503" spans="2:20" x14ac:dyDescent="0.2">
      <c r="B14503" s="245"/>
      <c r="C14503" s="248"/>
      <c r="D14503" s="249"/>
      <c r="E14503" s="249"/>
      <c r="T14503" s="261"/>
    </row>
    <row r="14504" spans="2:20" x14ac:dyDescent="0.2">
      <c r="B14504" s="245"/>
      <c r="C14504" s="248"/>
      <c r="D14504" s="249"/>
      <c r="E14504" s="249"/>
      <c r="T14504" s="261"/>
    </row>
    <row r="14505" spans="2:20" x14ac:dyDescent="0.2">
      <c r="B14505" s="245"/>
      <c r="C14505" s="248"/>
      <c r="D14505" s="249"/>
      <c r="E14505" s="249"/>
      <c r="T14505" s="261"/>
    </row>
    <row r="14506" spans="2:20" x14ac:dyDescent="0.2">
      <c r="B14506" s="245"/>
      <c r="C14506" s="248"/>
      <c r="D14506" s="249"/>
      <c r="E14506" s="249"/>
      <c r="T14506" s="261"/>
    </row>
    <row r="14507" spans="2:20" x14ac:dyDescent="0.2">
      <c r="B14507" s="245"/>
      <c r="C14507" s="248"/>
      <c r="D14507" s="249"/>
      <c r="E14507" s="249"/>
      <c r="T14507" s="261"/>
    </row>
    <row r="14508" spans="2:20" x14ac:dyDescent="0.2">
      <c r="B14508" s="245"/>
      <c r="C14508" s="248"/>
      <c r="D14508" s="249"/>
      <c r="E14508" s="249"/>
      <c r="T14508" s="261"/>
    </row>
    <row r="14509" spans="2:20" x14ac:dyDescent="0.2">
      <c r="B14509" s="245"/>
      <c r="C14509" s="248"/>
      <c r="D14509" s="249"/>
      <c r="E14509" s="249"/>
      <c r="T14509" s="261"/>
    </row>
    <row r="14510" spans="2:20" x14ac:dyDescent="0.2">
      <c r="B14510" s="245"/>
      <c r="C14510" s="248"/>
      <c r="D14510" s="249"/>
      <c r="E14510" s="249"/>
      <c r="T14510" s="261"/>
    </row>
    <row r="14511" spans="2:20" x14ac:dyDescent="0.2">
      <c r="B14511" s="245"/>
      <c r="C14511" s="248"/>
      <c r="D14511" s="249"/>
      <c r="E14511" s="249"/>
      <c r="T14511" s="261"/>
    </row>
    <row r="14512" spans="2:20" x14ac:dyDescent="0.2">
      <c r="B14512" s="245"/>
      <c r="C14512" s="248"/>
      <c r="D14512" s="249"/>
      <c r="E14512" s="249"/>
      <c r="T14512" s="261"/>
    </row>
    <row r="14513" spans="2:20" x14ac:dyDescent="0.2">
      <c r="B14513" s="245"/>
      <c r="C14513" s="248"/>
      <c r="D14513" s="249"/>
      <c r="E14513" s="249"/>
      <c r="T14513" s="261"/>
    </row>
    <row r="14514" spans="2:20" x14ac:dyDescent="0.2">
      <c r="B14514" s="245"/>
      <c r="C14514" s="248"/>
      <c r="D14514" s="249"/>
      <c r="E14514" s="249"/>
      <c r="T14514" s="261"/>
    </row>
    <row r="14515" spans="2:20" x14ac:dyDescent="0.2">
      <c r="B14515" s="245"/>
      <c r="C14515" s="248"/>
      <c r="D14515" s="249"/>
      <c r="E14515" s="249"/>
      <c r="T14515" s="261"/>
    </row>
    <row r="14516" spans="2:20" x14ac:dyDescent="0.2">
      <c r="B14516" s="245"/>
      <c r="C14516" s="248"/>
      <c r="D14516" s="249"/>
      <c r="E14516" s="249"/>
      <c r="T14516" s="261"/>
    </row>
    <row r="14517" spans="2:20" x14ac:dyDescent="0.2">
      <c r="B14517" s="245"/>
      <c r="C14517" s="248"/>
      <c r="D14517" s="249"/>
      <c r="E14517" s="249"/>
      <c r="T14517" s="261"/>
    </row>
    <row r="14518" spans="2:20" x14ac:dyDescent="0.2">
      <c r="B14518" s="245"/>
      <c r="C14518" s="248"/>
      <c r="D14518" s="249"/>
      <c r="E14518" s="249"/>
      <c r="T14518" s="261"/>
    </row>
    <row r="14519" spans="2:20" x14ac:dyDescent="0.2">
      <c r="B14519" s="245"/>
      <c r="C14519" s="248"/>
      <c r="D14519" s="249"/>
      <c r="E14519" s="249"/>
      <c r="T14519" s="261"/>
    </row>
    <row r="14520" spans="2:20" x14ac:dyDescent="0.2">
      <c r="B14520" s="245"/>
      <c r="C14520" s="248"/>
      <c r="D14520" s="249"/>
      <c r="E14520" s="249"/>
      <c r="T14520" s="261"/>
    </row>
    <row r="14521" spans="2:20" x14ac:dyDescent="0.2">
      <c r="B14521" s="245"/>
      <c r="C14521" s="248"/>
      <c r="D14521" s="249"/>
      <c r="E14521" s="249"/>
      <c r="T14521" s="261"/>
    </row>
    <row r="14522" spans="2:20" x14ac:dyDescent="0.2">
      <c r="B14522" s="245"/>
      <c r="C14522" s="248"/>
      <c r="D14522" s="249"/>
      <c r="E14522" s="249"/>
      <c r="T14522" s="261"/>
    </row>
    <row r="14523" spans="2:20" x14ac:dyDescent="0.2">
      <c r="B14523" s="245"/>
      <c r="C14523" s="248"/>
      <c r="D14523" s="249"/>
      <c r="E14523" s="249"/>
      <c r="T14523" s="261"/>
    </row>
    <row r="14524" spans="2:20" x14ac:dyDescent="0.2">
      <c r="B14524" s="245"/>
      <c r="C14524" s="248"/>
      <c r="D14524" s="249"/>
      <c r="E14524" s="249"/>
      <c r="T14524" s="261"/>
    </row>
    <row r="14525" spans="2:20" x14ac:dyDescent="0.2">
      <c r="B14525" s="245"/>
      <c r="C14525" s="248"/>
      <c r="D14525" s="249"/>
      <c r="E14525" s="249"/>
      <c r="T14525" s="261"/>
    </row>
    <row r="14526" spans="2:20" x14ac:dyDescent="0.2">
      <c r="B14526" s="245"/>
      <c r="C14526" s="248"/>
      <c r="D14526" s="249"/>
      <c r="E14526" s="249"/>
      <c r="T14526" s="261"/>
    </row>
    <row r="14527" spans="2:20" x14ac:dyDescent="0.2">
      <c r="B14527" s="245"/>
      <c r="C14527" s="248"/>
      <c r="D14527" s="249"/>
      <c r="E14527" s="249"/>
      <c r="T14527" s="261"/>
    </row>
    <row r="14528" spans="2:20" x14ac:dyDescent="0.2">
      <c r="B14528" s="245"/>
      <c r="C14528" s="248"/>
      <c r="D14528" s="249"/>
      <c r="E14528" s="249"/>
      <c r="T14528" s="261"/>
    </row>
    <row r="14529" spans="2:20" x14ac:dyDescent="0.2">
      <c r="B14529" s="245"/>
      <c r="C14529" s="248"/>
      <c r="D14529" s="249"/>
      <c r="E14529" s="249"/>
      <c r="T14529" s="261"/>
    </row>
    <row r="14530" spans="2:20" x14ac:dyDescent="0.2">
      <c r="B14530" s="245"/>
      <c r="C14530" s="248"/>
      <c r="D14530" s="249"/>
      <c r="E14530" s="249"/>
      <c r="T14530" s="261"/>
    </row>
    <row r="14531" spans="2:20" x14ac:dyDescent="0.2">
      <c r="B14531" s="245"/>
      <c r="C14531" s="248"/>
      <c r="D14531" s="249"/>
      <c r="E14531" s="249"/>
      <c r="T14531" s="261"/>
    </row>
    <row r="14532" spans="2:20" x14ac:dyDescent="0.2">
      <c r="B14532" s="245"/>
      <c r="C14532" s="248"/>
      <c r="D14532" s="249"/>
      <c r="E14532" s="249"/>
      <c r="T14532" s="261"/>
    </row>
    <row r="14533" spans="2:20" x14ac:dyDescent="0.2">
      <c r="B14533" s="245"/>
      <c r="C14533" s="248"/>
      <c r="D14533" s="249"/>
      <c r="E14533" s="249"/>
      <c r="T14533" s="261"/>
    </row>
    <row r="14534" spans="2:20" x14ac:dyDescent="0.2">
      <c r="B14534" s="245"/>
      <c r="C14534" s="248"/>
      <c r="D14534" s="249"/>
      <c r="E14534" s="249"/>
      <c r="T14534" s="261"/>
    </row>
    <row r="14535" spans="2:20" x14ac:dyDescent="0.2">
      <c r="B14535" s="245"/>
      <c r="C14535" s="248"/>
      <c r="D14535" s="249"/>
      <c r="E14535" s="249"/>
      <c r="T14535" s="261"/>
    </row>
    <row r="14536" spans="2:20" x14ac:dyDescent="0.2">
      <c r="B14536" s="245"/>
      <c r="C14536" s="248"/>
      <c r="D14536" s="249"/>
      <c r="E14536" s="249"/>
      <c r="T14536" s="261"/>
    </row>
    <row r="14537" spans="2:20" x14ac:dyDescent="0.2">
      <c r="B14537" s="245"/>
      <c r="C14537" s="248"/>
      <c r="D14537" s="249"/>
      <c r="E14537" s="249"/>
      <c r="T14537" s="261"/>
    </row>
    <row r="14538" spans="2:20" x14ac:dyDescent="0.2">
      <c r="B14538" s="245"/>
      <c r="C14538" s="248"/>
      <c r="D14538" s="249"/>
      <c r="E14538" s="249"/>
      <c r="T14538" s="261"/>
    </row>
    <row r="14539" spans="2:20" x14ac:dyDescent="0.2">
      <c r="B14539" s="245"/>
      <c r="C14539" s="248"/>
      <c r="D14539" s="249"/>
      <c r="E14539" s="249"/>
      <c r="T14539" s="261"/>
    </row>
    <row r="14540" spans="2:20" x14ac:dyDescent="0.2">
      <c r="B14540" s="245"/>
      <c r="C14540" s="248"/>
      <c r="D14540" s="249"/>
      <c r="E14540" s="249"/>
      <c r="T14540" s="261"/>
    </row>
    <row r="14541" spans="2:20" x14ac:dyDescent="0.2">
      <c r="B14541" s="245"/>
      <c r="C14541" s="248"/>
      <c r="D14541" s="249"/>
      <c r="E14541" s="249"/>
      <c r="T14541" s="261"/>
    </row>
    <row r="14542" spans="2:20" x14ac:dyDescent="0.2">
      <c r="B14542" s="245"/>
      <c r="C14542" s="248"/>
      <c r="D14542" s="249"/>
      <c r="E14542" s="249"/>
      <c r="T14542" s="261"/>
    </row>
    <row r="14543" spans="2:20" x14ac:dyDescent="0.2">
      <c r="B14543" s="245"/>
      <c r="C14543" s="248"/>
      <c r="D14543" s="249"/>
      <c r="E14543" s="249"/>
      <c r="T14543" s="261"/>
    </row>
    <row r="14544" spans="2:20" x14ac:dyDescent="0.2">
      <c r="B14544" s="245"/>
      <c r="C14544" s="248"/>
      <c r="D14544" s="249"/>
      <c r="E14544" s="249"/>
      <c r="T14544" s="261"/>
    </row>
    <row r="14545" spans="2:20" x14ac:dyDescent="0.2">
      <c r="B14545" s="245"/>
      <c r="C14545" s="248"/>
      <c r="D14545" s="249"/>
      <c r="E14545" s="249"/>
      <c r="T14545" s="261"/>
    </row>
    <row r="14546" spans="2:20" x14ac:dyDescent="0.2">
      <c r="B14546" s="245"/>
      <c r="C14546" s="248"/>
      <c r="D14546" s="249"/>
      <c r="E14546" s="249"/>
      <c r="T14546" s="261"/>
    </row>
    <row r="14547" spans="2:20" x14ac:dyDescent="0.2">
      <c r="B14547" s="245"/>
      <c r="C14547" s="248"/>
      <c r="D14547" s="249"/>
      <c r="E14547" s="249"/>
      <c r="T14547" s="261"/>
    </row>
    <row r="14548" spans="2:20" x14ac:dyDescent="0.2">
      <c r="B14548" s="245"/>
      <c r="C14548" s="248"/>
      <c r="D14548" s="249"/>
      <c r="E14548" s="249"/>
      <c r="T14548" s="261"/>
    </row>
    <row r="14549" spans="2:20" x14ac:dyDescent="0.2">
      <c r="B14549" s="245"/>
      <c r="C14549" s="248"/>
      <c r="D14549" s="249"/>
      <c r="E14549" s="249"/>
      <c r="T14549" s="261"/>
    </row>
    <row r="14550" spans="2:20" x14ac:dyDescent="0.2">
      <c r="B14550" s="245"/>
      <c r="C14550" s="248"/>
      <c r="D14550" s="249"/>
      <c r="E14550" s="249"/>
      <c r="T14550" s="261"/>
    </row>
    <row r="14551" spans="2:20" x14ac:dyDescent="0.2">
      <c r="B14551" s="245"/>
      <c r="C14551" s="248"/>
      <c r="D14551" s="249"/>
      <c r="E14551" s="249"/>
      <c r="T14551" s="261"/>
    </row>
    <row r="14552" spans="2:20" x14ac:dyDescent="0.2">
      <c r="B14552" s="245"/>
      <c r="C14552" s="248"/>
      <c r="D14552" s="249"/>
      <c r="E14552" s="249"/>
      <c r="T14552" s="261"/>
    </row>
    <row r="14553" spans="2:20" x14ac:dyDescent="0.2">
      <c r="B14553" s="245"/>
      <c r="C14553" s="248"/>
      <c r="D14553" s="249"/>
      <c r="E14553" s="249"/>
      <c r="T14553" s="261"/>
    </row>
    <row r="14554" spans="2:20" x14ac:dyDescent="0.2">
      <c r="B14554" s="245"/>
      <c r="C14554" s="248"/>
      <c r="D14554" s="249"/>
      <c r="E14554" s="249"/>
      <c r="T14554" s="261"/>
    </row>
    <row r="14555" spans="2:20" x14ac:dyDescent="0.2">
      <c r="B14555" s="245"/>
      <c r="C14555" s="248"/>
      <c r="D14555" s="249"/>
      <c r="E14555" s="249"/>
      <c r="T14555" s="261"/>
    </row>
    <row r="14556" spans="2:20" x14ac:dyDescent="0.2">
      <c r="B14556" s="245"/>
      <c r="C14556" s="248"/>
      <c r="D14556" s="249"/>
      <c r="E14556" s="249"/>
      <c r="T14556" s="261"/>
    </row>
    <row r="14557" spans="2:20" x14ac:dyDescent="0.2">
      <c r="B14557" s="245"/>
      <c r="C14557" s="248"/>
      <c r="D14557" s="249"/>
      <c r="E14557" s="249"/>
      <c r="T14557" s="261"/>
    </row>
    <row r="14558" spans="2:20" x14ac:dyDescent="0.2">
      <c r="B14558" s="245"/>
      <c r="C14558" s="248"/>
      <c r="D14558" s="249"/>
      <c r="E14558" s="249"/>
      <c r="T14558" s="261"/>
    </row>
    <row r="14559" spans="2:20" x14ac:dyDescent="0.2">
      <c r="B14559" s="245"/>
      <c r="C14559" s="248"/>
      <c r="D14559" s="249"/>
      <c r="E14559" s="249"/>
      <c r="T14559" s="261"/>
    </row>
    <row r="14560" spans="2:20" x14ac:dyDescent="0.2">
      <c r="B14560" s="245"/>
      <c r="C14560" s="248"/>
      <c r="D14560" s="249"/>
      <c r="E14560" s="249"/>
      <c r="T14560" s="261"/>
    </row>
    <row r="14561" spans="2:20" x14ac:dyDescent="0.2">
      <c r="B14561" s="245"/>
      <c r="C14561" s="248"/>
      <c r="D14561" s="249"/>
      <c r="E14561" s="249"/>
      <c r="T14561" s="261"/>
    </row>
    <row r="14562" spans="2:20" x14ac:dyDescent="0.2">
      <c r="B14562" s="245"/>
      <c r="C14562" s="248"/>
      <c r="D14562" s="249"/>
      <c r="E14562" s="249"/>
      <c r="T14562" s="261"/>
    </row>
    <row r="14563" spans="2:20" x14ac:dyDescent="0.2">
      <c r="B14563" s="245"/>
      <c r="C14563" s="248"/>
      <c r="D14563" s="249"/>
      <c r="E14563" s="249"/>
      <c r="T14563" s="261"/>
    </row>
    <row r="14564" spans="2:20" x14ac:dyDescent="0.2">
      <c r="B14564" s="245"/>
      <c r="C14564" s="248"/>
      <c r="D14564" s="249"/>
      <c r="E14564" s="249"/>
      <c r="T14564" s="261"/>
    </row>
    <row r="14565" spans="2:20" x14ac:dyDescent="0.2">
      <c r="B14565" s="245"/>
      <c r="C14565" s="248"/>
      <c r="D14565" s="249"/>
      <c r="E14565" s="249"/>
      <c r="T14565" s="261"/>
    </row>
    <row r="14566" spans="2:20" x14ac:dyDescent="0.2">
      <c r="B14566" s="245"/>
      <c r="C14566" s="248"/>
      <c r="D14566" s="249"/>
      <c r="E14566" s="249"/>
      <c r="T14566" s="261"/>
    </row>
    <row r="14567" spans="2:20" x14ac:dyDescent="0.2">
      <c r="B14567" s="245"/>
      <c r="C14567" s="248"/>
      <c r="D14567" s="249"/>
      <c r="E14567" s="249"/>
      <c r="T14567" s="261"/>
    </row>
    <row r="14568" spans="2:20" x14ac:dyDescent="0.2">
      <c r="B14568" s="245"/>
      <c r="C14568" s="248"/>
      <c r="D14568" s="249"/>
      <c r="E14568" s="249"/>
      <c r="T14568" s="261"/>
    </row>
    <row r="14569" spans="2:20" x14ac:dyDescent="0.2">
      <c r="B14569" s="245"/>
      <c r="C14569" s="248"/>
      <c r="D14569" s="249"/>
      <c r="E14569" s="249"/>
      <c r="T14569" s="261"/>
    </row>
    <row r="14570" spans="2:20" x14ac:dyDescent="0.2">
      <c r="B14570" s="245"/>
      <c r="C14570" s="248"/>
      <c r="D14570" s="249"/>
      <c r="E14570" s="249"/>
      <c r="T14570" s="261"/>
    </row>
    <row r="14571" spans="2:20" x14ac:dyDescent="0.2">
      <c r="B14571" s="245"/>
      <c r="C14571" s="248"/>
      <c r="D14571" s="249"/>
      <c r="E14571" s="249"/>
      <c r="T14571" s="261"/>
    </row>
    <row r="14572" spans="2:20" x14ac:dyDescent="0.2">
      <c r="B14572" s="245"/>
      <c r="C14572" s="248"/>
      <c r="D14572" s="249"/>
      <c r="E14572" s="249"/>
      <c r="T14572" s="261"/>
    </row>
    <row r="14573" spans="2:20" x14ac:dyDescent="0.2">
      <c r="B14573" s="245"/>
      <c r="C14573" s="248"/>
      <c r="D14573" s="249"/>
      <c r="E14573" s="249"/>
      <c r="T14573" s="261"/>
    </row>
    <row r="14574" spans="2:20" x14ac:dyDescent="0.2">
      <c r="B14574" s="245"/>
      <c r="C14574" s="248"/>
      <c r="D14574" s="249"/>
      <c r="E14574" s="249"/>
      <c r="T14574" s="261"/>
    </row>
    <row r="14575" spans="2:20" x14ac:dyDescent="0.2">
      <c r="B14575" s="245"/>
      <c r="C14575" s="248"/>
      <c r="D14575" s="249"/>
      <c r="E14575" s="249"/>
      <c r="T14575" s="261"/>
    </row>
    <row r="14576" spans="2:20" x14ac:dyDescent="0.2">
      <c r="B14576" s="245"/>
      <c r="C14576" s="248"/>
      <c r="D14576" s="249"/>
      <c r="E14576" s="249"/>
      <c r="T14576" s="261"/>
    </row>
    <row r="14577" spans="2:20" x14ac:dyDescent="0.2">
      <c r="B14577" s="245"/>
      <c r="C14577" s="248"/>
      <c r="D14577" s="249"/>
      <c r="E14577" s="249"/>
      <c r="T14577" s="261"/>
    </row>
    <row r="14578" spans="2:20" x14ac:dyDescent="0.2">
      <c r="B14578" s="245"/>
      <c r="C14578" s="248"/>
      <c r="D14578" s="249"/>
      <c r="E14578" s="249"/>
      <c r="T14578" s="261"/>
    </row>
    <row r="14579" spans="2:20" x14ac:dyDescent="0.2">
      <c r="B14579" s="245"/>
      <c r="C14579" s="248"/>
      <c r="D14579" s="249"/>
      <c r="E14579" s="249"/>
      <c r="T14579" s="261"/>
    </row>
    <row r="14580" spans="2:20" x14ac:dyDescent="0.2">
      <c r="B14580" s="245"/>
      <c r="C14580" s="248"/>
      <c r="D14580" s="249"/>
      <c r="E14580" s="249"/>
      <c r="T14580" s="261"/>
    </row>
    <row r="14581" spans="2:20" x14ac:dyDescent="0.2">
      <c r="B14581" s="245"/>
      <c r="C14581" s="248"/>
      <c r="D14581" s="249"/>
      <c r="E14581" s="249"/>
      <c r="T14581" s="261"/>
    </row>
    <row r="14582" spans="2:20" x14ac:dyDescent="0.2">
      <c r="B14582" s="245"/>
      <c r="C14582" s="248"/>
      <c r="D14582" s="249"/>
      <c r="E14582" s="249"/>
      <c r="T14582" s="261"/>
    </row>
    <row r="14583" spans="2:20" x14ac:dyDescent="0.2">
      <c r="B14583" s="245"/>
      <c r="C14583" s="248"/>
      <c r="D14583" s="249"/>
      <c r="E14583" s="249"/>
      <c r="T14583" s="261"/>
    </row>
    <row r="14584" spans="2:20" x14ac:dyDescent="0.2">
      <c r="B14584" s="245"/>
      <c r="C14584" s="248"/>
      <c r="D14584" s="249"/>
      <c r="E14584" s="249"/>
      <c r="T14584" s="261"/>
    </row>
    <row r="14585" spans="2:20" x14ac:dyDescent="0.2">
      <c r="B14585" s="245"/>
      <c r="C14585" s="248"/>
      <c r="D14585" s="249"/>
      <c r="E14585" s="249"/>
      <c r="T14585" s="261"/>
    </row>
    <row r="14586" spans="2:20" x14ac:dyDescent="0.2">
      <c r="B14586" s="245"/>
      <c r="C14586" s="248"/>
      <c r="D14586" s="249"/>
      <c r="E14586" s="249"/>
      <c r="T14586" s="261"/>
    </row>
    <row r="14587" spans="2:20" x14ac:dyDescent="0.2">
      <c r="B14587" s="245"/>
      <c r="C14587" s="248"/>
      <c r="D14587" s="249"/>
      <c r="E14587" s="249"/>
      <c r="T14587" s="261"/>
    </row>
    <row r="14588" spans="2:20" x14ac:dyDescent="0.2">
      <c r="B14588" s="245"/>
      <c r="C14588" s="248"/>
      <c r="D14588" s="249"/>
      <c r="E14588" s="249"/>
      <c r="T14588" s="261"/>
    </row>
    <row r="14589" spans="2:20" x14ac:dyDescent="0.2">
      <c r="B14589" s="245"/>
      <c r="C14589" s="248"/>
      <c r="D14589" s="249"/>
      <c r="E14589" s="249"/>
      <c r="T14589" s="261"/>
    </row>
    <row r="14590" spans="2:20" x14ac:dyDescent="0.2">
      <c r="B14590" s="245"/>
      <c r="C14590" s="248"/>
      <c r="D14590" s="249"/>
      <c r="E14590" s="249"/>
      <c r="T14590" s="261"/>
    </row>
    <row r="14591" spans="2:20" x14ac:dyDescent="0.2">
      <c r="B14591" s="245"/>
      <c r="C14591" s="248"/>
      <c r="D14591" s="249"/>
      <c r="E14591" s="249"/>
      <c r="T14591" s="261"/>
    </row>
    <row r="14592" spans="2:20" x14ac:dyDescent="0.2">
      <c r="B14592" s="245"/>
      <c r="C14592" s="248"/>
      <c r="D14592" s="249"/>
      <c r="E14592" s="249"/>
      <c r="T14592" s="261"/>
    </row>
    <row r="14593" spans="2:20" x14ac:dyDescent="0.2">
      <c r="B14593" s="245"/>
      <c r="C14593" s="248"/>
      <c r="D14593" s="249"/>
      <c r="E14593" s="249"/>
      <c r="T14593" s="261"/>
    </row>
    <row r="14594" spans="2:20" x14ac:dyDescent="0.2">
      <c r="B14594" s="245"/>
      <c r="C14594" s="248"/>
      <c r="D14594" s="249"/>
      <c r="E14594" s="249"/>
      <c r="T14594" s="261"/>
    </row>
    <row r="14595" spans="2:20" x14ac:dyDescent="0.2">
      <c r="B14595" s="245"/>
      <c r="C14595" s="248"/>
      <c r="D14595" s="249"/>
      <c r="E14595" s="249"/>
      <c r="T14595" s="261"/>
    </row>
    <row r="14596" spans="2:20" x14ac:dyDescent="0.2">
      <c r="B14596" s="245"/>
      <c r="C14596" s="248"/>
      <c r="D14596" s="249"/>
      <c r="E14596" s="249"/>
      <c r="T14596" s="261"/>
    </row>
    <row r="14597" spans="2:20" x14ac:dyDescent="0.2">
      <c r="B14597" s="245"/>
      <c r="C14597" s="248"/>
      <c r="D14597" s="249"/>
      <c r="E14597" s="249"/>
      <c r="T14597" s="261"/>
    </row>
    <row r="14598" spans="2:20" x14ac:dyDescent="0.2">
      <c r="B14598" s="245"/>
      <c r="C14598" s="248"/>
      <c r="D14598" s="249"/>
      <c r="E14598" s="249"/>
      <c r="T14598" s="261"/>
    </row>
    <row r="14599" spans="2:20" x14ac:dyDescent="0.2">
      <c r="B14599" s="245"/>
      <c r="C14599" s="248"/>
      <c r="D14599" s="249"/>
      <c r="E14599" s="249"/>
      <c r="T14599" s="261"/>
    </row>
    <row r="14600" spans="2:20" x14ac:dyDescent="0.2">
      <c r="B14600" s="245"/>
      <c r="C14600" s="248"/>
      <c r="D14600" s="249"/>
      <c r="E14600" s="249"/>
      <c r="T14600" s="261"/>
    </row>
    <row r="14601" spans="2:20" x14ac:dyDescent="0.2">
      <c r="B14601" s="245"/>
      <c r="C14601" s="248"/>
      <c r="D14601" s="249"/>
      <c r="E14601" s="249"/>
      <c r="T14601" s="261"/>
    </row>
    <row r="14602" spans="2:20" x14ac:dyDescent="0.2">
      <c r="B14602" s="245"/>
      <c r="C14602" s="248"/>
      <c r="D14602" s="249"/>
      <c r="E14602" s="249"/>
      <c r="T14602" s="261"/>
    </row>
    <row r="14603" spans="2:20" x14ac:dyDescent="0.2">
      <c r="B14603" s="245"/>
      <c r="C14603" s="248"/>
      <c r="D14603" s="249"/>
      <c r="E14603" s="249"/>
      <c r="T14603" s="261"/>
    </row>
    <row r="14604" spans="2:20" x14ac:dyDescent="0.2">
      <c r="B14604" s="245"/>
      <c r="C14604" s="248"/>
      <c r="D14604" s="249"/>
      <c r="E14604" s="249"/>
      <c r="T14604" s="261"/>
    </row>
    <row r="14605" spans="2:20" x14ac:dyDescent="0.2">
      <c r="B14605" s="245"/>
      <c r="C14605" s="248"/>
      <c r="D14605" s="249"/>
      <c r="E14605" s="249"/>
      <c r="T14605" s="261"/>
    </row>
    <row r="14606" spans="2:20" x14ac:dyDescent="0.2">
      <c r="B14606" s="245"/>
      <c r="C14606" s="248"/>
      <c r="D14606" s="249"/>
      <c r="E14606" s="249"/>
      <c r="T14606" s="261"/>
    </row>
    <row r="14607" spans="2:20" x14ac:dyDescent="0.2">
      <c r="B14607" s="245"/>
      <c r="C14607" s="248"/>
      <c r="D14607" s="249"/>
      <c r="E14607" s="249"/>
      <c r="T14607" s="261"/>
    </row>
    <row r="14608" spans="2:20" x14ac:dyDescent="0.2">
      <c r="B14608" s="245"/>
      <c r="C14608" s="248"/>
      <c r="D14608" s="249"/>
      <c r="E14608" s="249"/>
      <c r="T14608" s="261"/>
    </row>
    <row r="14609" spans="2:20" x14ac:dyDescent="0.2">
      <c r="B14609" s="245"/>
      <c r="C14609" s="248"/>
      <c r="D14609" s="249"/>
      <c r="E14609" s="249"/>
      <c r="T14609" s="261"/>
    </row>
    <row r="14610" spans="2:20" x14ac:dyDescent="0.2">
      <c r="B14610" s="245"/>
      <c r="C14610" s="248"/>
      <c r="D14610" s="249"/>
      <c r="E14610" s="249"/>
      <c r="T14610" s="261"/>
    </row>
    <row r="14611" spans="2:20" x14ac:dyDescent="0.2">
      <c r="B14611" s="245"/>
      <c r="C14611" s="248"/>
      <c r="D14611" s="249"/>
      <c r="E14611" s="249"/>
      <c r="T14611" s="261"/>
    </row>
    <row r="14612" spans="2:20" x14ac:dyDescent="0.2">
      <c r="B14612" s="245"/>
      <c r="C14612" s="248"/>
      <c r="D14612" s="249"/>
      <c r="E14612" s="249"/>
      <c r="T14612" s="261"/>
    </row>
    <row r="14613" spans="2:20" x14ac:dyDescent="0.2">
      <c r="B14613" s="245"/>
      <c r="C14613" s="248"/>
      <c r="D14613" s="249"/>
      <c r="E14613" s="249"/>
      <c r="T14613" s="261"/>
    </row>
    <row r="14614" spans="2:20" x14ac:dyDescent="0.2">
      <c r="B14614" s="245"/>
      <c r="C14614" s="248"/>
      <c r="D14614" s="249"/>
      <c r="E14614" s="249"/>
      <c r="T14614" s="261"/>
    </row>
    <row r="14615" spans="2:20" x14ac:dyDescent="0.2">
      <c r="B14615" s="245"/>
      <c r="C14615" s="248"/>
      <c r="D14615" s="249"/>
      <c r="E14615" s="249"/>
      <c r="T14615" s="261"/>
    </row>
    <row r="14616" spans="2:20" x14ac:dyDescent="0.2">
      <c r="B14616" s="245"/>
      <c r="C14616" s="248"/>
      <c r="D14616" s="249"/>
      <c r="E14616" s="249"/>
      <c r="T14616" s="261"/>
    </row>
    <row r="14617" spans="2:20" x14ac:dyDescent="0.2">
      <c r="B14617" s="245"/>
      <c r="C14617" s="248"/>
      <c r="D14617" s="249"/>
      <c r="E14617" s="249"/>
      <c r="T14617" s="261"/>
    </row>
    <row r="14618" spans="2:20" x14ac:dyDescent="0.2">
      <c r="B14618" s="245"/>
      <c r="C14618" s="248"/>
      <c r="D14618" s="249"/>
      <c r="E14618" s="249"/>
      <c r="T14618" s="261"/>
    </row>
    <row r="14619" spans="2:20" x14ac:dyDescent="0.2">
      <c r="B14619" s="245"/>
      <c r="C14619" s="248"/>
      <c r="D14619" s="249"/>
      <c r="E14619" s="249"/>
      <c r="T14619" s="261"/>
    </row>
    <row r="14620" spans="2:20" x14ac:dyDescent="0.2">
      <c r="B14620" s="245"/>
      <c r="C14620" s="248"/>
      <c r="D14620" s="249"/>
      <c r="E14620" s="249"/>
      <c r="T14620" s="261"/>
    </row>
    <row r="14621" spans="2:20" x14ac:dyDescent="0.2">
      <c r="B14621" s="245"/>
      <c r="C14621" s="248"/>
      <c r="D14621" s="249"/>
      <c r="E14621" s="249"/>
      <c r="T14621" s="261"/>
    </row>
    <row r="14622" spans="2:20" x14ac:dyDescent="0.2">
      <c r="B14622" s="245"/>
      <c r="C14622" s="248"/>
      <c r="D14622" s="249"/>
      <c r="E14622" s="249"/>
      <c r="T14622" s="261"/>
    </row>
    <row r="14623" spans="2:20" x14ac:dyDescent="0.2">
      <c r="B14623" s="245"/>
      <c r="C14623" s="248"/>
      <c r="D14623" s="249"/>
      <c r="E14623" s="249"/>
      <c r="T14623" s="261"/>
    </row>
    <row r="14624" spans="2:20" x14ac:dyDescent="0.2">
      <c r="B14624" s="245"/>
      <c r="C14624" s="248"/>
      <c r="D14624" s="249"/>
      <c r="E14624" s="249"/>
      <c r="T14624" s="261"/>
    </row>
    <row r="14625" spans="2:20" x14ac:dyDescent="0.2">
      <c r="B14625" s="245"/>
      <c r="C14625" s="248"/>
      <c r="D14625" s="249"/>
      <c r="E14625" s="249"/>
      <c r="T14625" s="261"/>
    </row>
    <row r="14626" spans="2:20" x14ac:dyDescent="0.2">
      <c r="B14626" s="245"/>
      <c r="C14626" s="248"/>
      <c r="D14626" s="249"/>
      <c r="E14626" s="249"/>
      <c r="T14626" s="261"/>
    </row>
    <row r="14627" spans="2:20" x14ac:dyDescent="0.2">
      <c r="B14627" s="245"/>
      <c r="C14627" s="248"/>
      <c r="D14627" s="249"/>
      <c r="E14627" s="249"/>
      <c r="T14627" s="261"/>
    </row>
    <row r="14628" spans="2:20" x14ac:dyDescent="0.2">
      <c r="B14628" s="245"/>
      <c r="C14628" s="248"/>
      <c r="D14628" s="249"/>
      <c r="E14628" s="249"/>
      <c r="T14628" s="261"/>
    </row>
    <row r="14629" spans="2:20" x14ac:dyDescent="0.2">
      <c r="B14629" s="245"/>
      <c r="C14629" s="248"/>
      <c r="D14629" s="249"/>
      <c r="E14629" s="249"/>
      <c r="T14629" s="261"/>
    </row>
    <row r="14630" spans="2:20" x14ac:dyDescent="0.2">
      <c r="B14630" s="245"/>
      <c r="C14630" s="248"/>
      <c r="D14630" s="249"/>
      <c r="E14630" s="249"/>
      <c r="T14630" s="261"/>
    </row>
    <row r="14631" spans="2:20" x14ac:dyDescent="0.2">
      <c r="B14631" s="245"/>
      <c r="C14631" s="248"/>
      <c r="D14631" s="249"/>
      <c r="E14631" s="249"/>
      <c r="T14631" s="261"/>
    </row>
    <row r="14632" spans="2:20" x14ac:dyDescent="0.2">
      <c r="B14632" s="245"/>
      <c r="C14632" s="248"/>
      <c r="D14632" s="249"/>
      <c r="E14632" s="249"/>
      <c r="T14632" s="261"/>
    </row>
    <row r="14633" spans="2:20" x14ac:dyDescent="0.2">
      <c r="B14633" s="245"/>
      <c r="C14633" s="248"/>
      <c r="D14633" s="249"/>
      <c r="E14633" s="249"/>
      <c r="T14633" s="261"/>
    </row>
    <row r="14634" spans="2:20" x14ac:dyDescent="0.2">
      <c r="B14634" s="245"/>
      <c r="C14634" s="248"/>
      <c r="D14634" s="249"/>
      <c r="E14634" s="249"/>
      <c r="T14634" s="261"/>
    </row>
    <row r="14635" spans="2:20" x14ac:dyDescent="0.2">
      <c r="B14635" s="245"/>
      <c r="C14635" s="248"/>
      <c r="D14635" s="249"/>
      <c r="E14635" s="249"/>
      <c r="T14635" s="261"/>
    </row>
    <row r="14636" spans="2:20" x14ac:dyDescent="0.2">
      <c r="B14636" s="245"/>
      <c r="C14636" s="248"/>
      <c r="D14636" s="249"/>
      <c r="E14636" s="249"/>
      <c r="T14636" s="261"/>
    </row>
    <row r="14637" spans="2:20" x14ac:dyDescent="0.2">
      <c r="B14637" s="245"/>
      <c r="C14637" s="248"/>
      <c r="D14637" s="249"/>
      <c r="E14637" s="249"/>
      <c r="T14637" s="261"/>
    </row>
    <row r="14638" spans="2:20" x14ac:dyDescent="0.2">
      <c r="B14638" s="245"/>
      <c r="C14638" s="248"/>
      <c r="D14638" s="249"/>
      <c r="E14638" s="249"/>
      <c r="T14638" s="261"/>
    </row>
    <row r="14639" spans="2:20" x14ac:dyDescent="0.2">
      <c r="B14639" s="245"/>
      <c r="C14639" s="248"/>
      <c r="D14639" s="249"/>
      <c r="E14639" s="249"/>
      <c r="T14639" s="261"/>
    </row>
    <row r="14640" spans="2:20" x14ac:dyDescent="0.2">
      <c r="B14640" s="245"/>
      <c r="C14640" s="248"/>
      <c r="D14640" s="249"/>
      <c r="E14640" s="249"/>
      <c r="T14640" s="261"/>
    </row>
    <row r="14641" spans="2:20" x14ac:dyDescent="0.2">
      <c r="B14641" s="245"/>
      <c r="C14641" s="248"/>
      <c r="D14641" s="249"/>
      <c r="E14641" s="249"/>
      <c r="T14641" s="261"/>
    </row>
    <row r="14642" spans="2:20" x14ac:dyDescent="0.2">
      <c r="B14642" s="245"/>
      <c r="C14642" s="248"/>
      <c r="D14642" s="249"/>
      <c r="E14642" s="249"/>
      <c r="T14642" s="261"/>
    </row>
    <row r="14643" spans="2:20" x14ac:dyDescent="0.2">
      <c r="B14643" s="245"/>
      <c r="C14643" s="248"/>
      <c r="D14643" s="249"/>
      <c r="E14643" s="249"/>
      <c r="T14643" s="261"/>
    </row>
    <row r="14644" spans="2:20" x14ac:dyDescent="0.2">
      <c r="B14644" s="245"/>
      <c r="C14644" s="248"/>
      <c r="D14644" s="249"/>
      <c r="E14644" s="249"/>
      <c r="T14644" s="261"/>
    </row>
    <row r="14645" spans="2:20" x14ac:dyDescent="0.2">
      <c r="B14645" s="245"/>
      <c r="C14645" s="248"/>
      <c r="D14645" s="249"/>
      <c r="E14645" s="249"/>
      <c r="T14645" s="261"/>
    </row>
    <row r="14646" spans="2:20" x14ac:dyDescent="0.2">
      <c r="B14646" s="245"/>
      <c r="C14646" s="248"/>
      <c r="D14646" s="249"/>
      <c r="E14646" s="249"/>
      <c r="T14646" s="261"/>
    </row>
    <row r="14647" spans="2:20" x14ac:dyDescent="0.2">
      <c r="B14647" s="245"/>
      <c r="C14647" s="248"/>
      <c r="D14647" s="249"/>
      <c r="E14647" s="249"/>
      <c r="T14647" s="261"/>
    </row>
    <row r="14648" spans="2:20" x14ac:dyDescent="0.2">
      <c r="B14648" s="245"/>
      <c r="C14648" s="248"/>
      <c r="D14648" s="249"/>
      <c r="E14648" s="249"/>
      <c r="T14648" s="261"/>
    </row>
    <row r="14649" spans="2:20" x14ac:dyDescent="0.2">
      <c r="B14649" s="245"/>
      <c r="C14649" s="248"/>
      <c r="D14649" s="249"/>
      <c r="E14649" s="249"/>
      <c r="T14649" s="261"/>
    </row>
    <row r="14650" spans="2:20" x14ac:dyDescent="0.2">
      <c r="B14650" s="245"/>
      <c r="C14650" s="248"/>
      <c r="D14650" s="249"/>
      <c r="E14650" s="249"/>
      <c r="T14650" s="261"/>
    </row>
    <row r="14651" spans="2:20" x14ac:dyDescent="0.2">
      <c r="B14651" s="245"/>
      <c r="C14651" s="248"/>
      <c r="D14651" s="249"/>
      <c r="E14651" s="249"/>
      <c r="T14651" s="261"/>
    </row>
    <row r="14652" spans="2:20" x14ac:dyDescent="0.2">
      <c r="B14652" s="245"/>
      <c r="C14652" s="248"/>
      <c r="D14652" s="249"/>
      <c r="E14652" s="249"/>
      <c r="T14652" s="261"/>
    </row>
    <row r="14653" spans="2:20" x14ac:dyDescent="0.2">
      <c r="B14653" s="245"/>
      <c r="C14653" s="248"/>
      <c r="D14653" s="249"/>
      <c r="E14653" s="249"/>
      <c r="T14653" s="261"/>
    </row>
    <row r="14654" spans="2:20" x14ac:dyDescent="0.2">
      <c r="B14654" s="245"/>
      <c r="C14654" s="248"/>
      <c r="D14654" s="249"/>
      <c r="E14654" s="249"/>
      <c r="T14654" s="261"/>
    </row>
    <row r="14655" spans="2:20" x14ac:dyDescent="0.2">
      <c r="B14655" s="245"/>
      <c r="C14655" s="248"/>
      <c r="D14655" s="249"/>
      <c r="E14655" s="249"/>
      <c r="T14655" s="261"/>
    </row>
    <row r="14656" spans="2:20" x14ac:dyDescent="0.2">
      <c r="B14656" s="245"/>
      <c r="C14656" s="248"/>
      <c r="D14656" s="249"/>
      <c r="E14656" s="249"/>
      <c r="T14656" s="261"/>
    </row>
    <row r="14657" spans="2:20" x14ac:dyDescent="0.2">
      <c r="B14657" s="245"/>
      <c r="C14657" s="248"/>
      <c r="D14657" s="249"/>
      <c r="E14657" s="249"/>
      <c r="T14657" s="261"/>
    </row>
    <row r="14658" spans="2:20" x14ac:dyDescent="0.2">
      <c r="B14658" s="245"/>
      <c r="C14658" s="248"/>
      <c r="D14658" s="249"/>
      <c r="E14658" s="249"/>
      <c r="T14658" s="261"/>
    </row>
    <row r="14659" spans="2:20" x14ac:dyDescent="0.2">
      <c r="B14659" s="245"/>
      <c r="C14659" s="248"/>
      <c r="D14659" s="249"/>
      <c r="E14659" s="249"/>
      <c r="T14659" s="261"/>
    </row>
    <row r="14660" spans="2:20" x14ac:dyDescent="0.2">
      <c r="B14660" s="245"/>
      <c r="C14660" s="248"/>
      <c r="D14660" s="249"/>
      <c r="E14660" s="249"/>
      <c r="T14660" s="261"/>
    </row>
    <row r="14661" spans="2:20" x14ac:dyDescent="0.2">
      <c r="B14661" s="245"/>
      <c r="C14661" s="248"/>
      <c r="D14661" s="249"/>
      <c r="E14661" s="249"/>
      <c r="T14661" s="261"/>
    </row>
    <row r="14662" spans="2:20" x14ac:dyDescent="0.2">
      <c r="B14662" s="245"/>
      <c r="C14662" s="248"/>
      <c r="D14662" s="249"/>
      <c r="E14662" s="249"/>
      <c r="T14662" s="261"/>
    </row>
    <row r="14663" spans="2:20" x14ac:dyDescent="0.2">
      <c r="B14663" s="245"/>
      <c r="C14663" s="248"/>
      <c r="D14663" s="249"/>
      <c r="E14663" s="249"/>
      <c r="T14663" s="261"/>
    </row>
    <row r="14664" spans="2:20" x14ac:dyDescent="0.2">
      <c r="B14664" s="245"/>
      <c r="C14664" s="248"/>
      <c r="D14664" s="249"/>
      <c r="E14664" s="249"/>
      <c r="T14664" s="261"/>
    </row>
    <row r="14665" spans="2:20" x14ac:dyDescent="0.2">
      <c r="B14665" s="245"/>
      <c r="C14665" s="248"/>
      <c r="D14665" s="249"/>
      <c r="E14665" s="249"/>
      <c r="T14665" s="261"/>
    </row>
    <row r="14666" spans="2:20" x14ac:dyDescent="0.2">
      <c r="B14666" s="245"/>
      <c r="C14666" s="248"/>
      <c r="D14666" s="249"/>
      <c r="E14666" s="249"/>
      <c r="T14666" s="261"/>
    </row>
    <row r="14667" spans="2:20" x14ac:dyDescent="0.2">
      <c r="B14667" s="245"/>
      <c r="C14667" s="248"/>
      <c r="D14667" s="249"/>
      <c r="E14667" s="249"/>
      <c r="T14667" s="261"/>
    </row>
    <row r="14668" spans="2:20" x14ac:dyDescent="0.2">
      <c r="B14668" s="245"/>
      <c r="C14668" s="248"/>
      <c r="D14668" s="249"/>
      <c r="E14668" s="249"/>
      <c r="T14668" s="261"/>
    </row>
    <row r="14669" spans="2:20" x14ac:dyDescent="0.2">
      <c r="B14669" s="245"/>
      <c r="C14669" s="248"/>
      <c r="D14669" s="249"/>
      <c r="E14669" s="249"/>
      <c r="T14669" s="261"/>
    </row>
    <row r="14670" spans="2:20" x14ac:dyDescent="0.2">
      <c r="B14670" s="245"/>
      <c r="C14670" s="248"/>
      <c r="D14670" s="249"/>
      <c r="E14670" s="249"/>
      <c r="T14670" s="261"/>
    </row>
    <row r="14671" spans="2:20" x14ac:dyDescent="0.2">
      <c r="B14671" s="245"/>
      <c r="C14671" s="248"/>
      <c r="D14671" s="249"/>
      <c r="E14671" s="249"/>
      <c r="T14671" s="261"/>
    </row>
    <row r="14672" spans="2:20" x14ac:dyDescent="0.2">
      <c r="B14672" s="245"/>
      <c r="C14672" s="248"/>
      <c r="D14672" s="249"/>
      <c r="E14672" s="249"/>
      <c r="T14672" s="261"/>
    </row>
    <row r="14673" spans="2:20" x14ac:dyDescent="0.2">
      <c r="B14673" s="245"/>
      <c r="C14673" s="248"/>
      <c r="D14673" s="249"/>
      <c r="E14673" s="249"/>
      <c r="T14673" s="261"/>
    </row>
    <row r="14674" spans="2:20" x14ac:dyDescent="0.2">
      <c r="B14674" s="245"/>
      <c r="C14674" s="248"/>
      <c r="D14674" s="249"/>
      <c r="E14674" s="249"/>
      <c r="T14674" s="261"/>
    </row>
    <row r="14675" spans="2:20" x14ac:dyDescent="0.2">
      <c r="B14675" s="245"/>
      <c r="C14675" s="248"/>
      <c r="D14675" s="249"/>
      <c r="E14675" s="249"/>
      <c r="T14675" s="261"/>
    </row>
    <row r="14676" spans="2:20" x14ac:dyDescent="0.2">
      <c r="B14676" s="245"/>
      <c r="C14676" s="248"/>
      <c r="D14676" s="249"/>
      <c r="E14676" s="249"/>
      <c r="T14676" s="261"/>
    </row>
    <row r="14677" spans="2:20" x14ac:dyDescent="0.2">
      <c r="B14677" s="245"/>
      <c r="C14677" s="248"/>
      <c r="D14677" s="249"/>
      <c r="E14677" s="249"/>
      <c r="T14677" s="261"/>
    </row>
    <row r="14678" spans="2:20" x14ac:dyDescent="0.2">
      <c r="B14678" s="245"/>
      <c r="C14678" s="248"/>
      <c r="D14678" s="249"/>
      <c r="E14678" s="249"/>
      <c r="T14678" s="261"/>
    </row>
    <row r="14679" spans="2:20" x14ac:dyDescent="0.2">
      <c r="B14679" s="245"/>
      <c r="C14679" s="248"/>
      <c r="D14679" s="249"/>
      <c r="E14679" s="249"/>
      <c r="T14679" s="261"/>
    </row>
    <row r="14680" spans="2:20" x14ac:dyDescent="0.2">
      <c r="B14680" s="245"/>
      <c r="C14680" s="248"/>
      <c r="D14680" s="249"/>
      <c r="E14680" s="249"/>
      <c r="T14680" s="261"/>
    </row>
    <row r="14681" spans="2:20" x14ac:dyDescent="0.2">
      <c r="B14681" s="245"/>
      <c r="C14681" s="248"/>
      <c r="D14681" s="249"/>
      <c r="E14681" s="249"/>
      <c r="T14681" s="261"/>
    </row>
    <row r="14682" spans="2:20" x14ac:dyDescent="0.2">
      <c r="B14682" s="245"/>
      <c r="C14682" s="248"/>
      <c r="D14682" s="249"/>
      <c r="E14682" s="249"/>
      <c r="T14682" s="261"/>
    </row>
    <row r="14683" spans="2:20" x14ac:dyDescent="0.2">
      <c r="B14683" s="245"/>
      <c r="C14683" s="248"/>
      <c r="D14683" s="249"/>
      <c r="E14683" s="249"/>
      <c r="T14683" s="261"/>
    </row>
    <row r="14684" spans="2:20" x14ac:dyDescent="0.2">
      <c r="B14684" s="245"/>
      <c r="C14684" s="248"/>
      <c r="D14684" s="249"/>
      <c r="E14684" s="249"/>
      <c r="T14684" s="261"/>
    </row>
    <row r="14685" spans="2:20" x14ac:dyDescent="0.2">
      <c r="B14685" s="245"/>
      <c r="C14685" s="248"/>
      <c r="D14685" s="249"/>
      <c r="E14685" s="249"/>
      <c r="T14685" s="261"/>
    </row>
    <row r="14686" spans="2:20" x14ac:dyDescent="0.2">
      <c r="B14686" s="245"/>
      <c r="C14686" s="248"/>
      <c r="D14686" s="249"/>
      <c r="E14686" s="249"/>
      <c r="T14686" s="261"/>
    </row>
    <row r="14687" spans="2:20" x14ac:dyDescent="0.2">
      <c r="B14687" s="245"/>
      <c r="C14687" s="248"/>
      <c r="D14687" s="249"/>
      <c r="E14687" s="249"/>
      <c r="T14687" s="261"/>
    </row>
    <row r="14688" spans="2:20" x14ac:dyDescent="0.2">
      <c r="B14688" s="245"/>
      <c r="C14688" s="248"/>
      <c r="D14688" s="249"/>
      <c r="E14688" s="249"/>
      <c r="T14688" s="261"/>
    </row>
    <row r="14689" spans="2:20" x14ac:dyDescent="0.2">
      <c r="B14689" s="245"/>
      <c r="C14689" s="248"/>
      <c r="D14689" s="249"/>
      <c r="E14689" s="249"/>
      <c r="T14689" s="261"/>
    </row>
    <row r="14690" spans="2:20" x14ac:dyDescent="0.2">
      <c r="B14690" s="245"/>
      <c r="C14690" s="248"/>
      <c r="D14690" s="249"/>
      <c r="E14690" s="249"/>
      <c r="T14690" s="261"/>
    </row>
    <row r="14691" spans="2:20" x14ac:dyDescent="0.2">
      <c r="B14691" s="245"/>
      <c r="C14691" s="248"/>
      <c r="D14691" s="249"/>
      <c r="E14691" s="249"/>
      <c r="T14691" s="261"/>
    </row>
    <row r="14692" spans="2:20" x14ac:dyDescent="0.2">
      <c r="B14692" s="245"/>
      <c r="C14692" s="248"/>
      <c r="D14692" s="249"/>
      <c r="E14692" s="249"/>
      <c r="T14692" s="261"/>
    </row>
    <row r="14693" spans="2:20" x14ac:dyDescent="0.2">
      <c r="B14693" s="245"/>
      <c r="C14693" s="248"/>
      <c r="D14693" s="249"/>
      <c r="E14693" s="249"/>
      <c r="T14693" s="261"/>
    </row>
    <row r="14694" spans="2:20" x14ac:dyDescent="0.2">
      <c r="B14694" s="245"/>
      <c r="C14694" s="248"/>
      <c r="D14694" s="249"/>
      <c r="E14694" s="249"/>
      <c r="T14694" s="261"/>
    </row>
    <row r="14695" spans="2:20" x14ac:dyDescent="0.2">
      <c r="B14695" s="245"/>
      <c r="C14695" s="248"/>
      <c r="D14695" s="249"/>
      <c r="E14695" s="249"/>
      <c r="T14695" s="261"/>
    </row>
    <row r="14696" spans="2:20" x14ac:dyDescent="0.2">
      <c r="B14696" s="245"/>
      <c r="C14696" s="248"/>
      <c r="D14696" s="249"/>
      <c r="E14696" s="249"/>
      <c r="T14696" s="261"/>
    </row>
    <row r="14697" spans="2:20" x14ac:dyDescent="0.2">
      <c r="B14697" s="245"/>
      <c r="C14697" s="248"/>
      <c r="D14697" s="249"/>
      <c r="E14697" s="249"/>
      <c r="T14697" s="261"/>
    </row>
    <row r="14698" spans="2:20" x14ac:dyDescent="0.2">
      <c r="B14698" s="245"/>
      <c r="C14698" s="248"/>
      <c r="D14698" s="249"/>
      <c r="E14698" s="249"/>
      <c r="T14698" s="261"/>
    </row>
    <row r="14699" spans="2:20" x14ac:dyDescent="0.2">
      <c r="B14699" s="245"/>
      <c r="C14699" s="248"/>
      <c r="D14699" s="249"/>
      <c r="E14699" s="249"/>
      <c r="T14699" s="261"/>
    </row>
    <row r="14700" spans="2:20" x14ac:dyDescent="0.2">
      <c r="B14700" s="245"/>
      <c r="C14700" s="248"/>
      <c r="D14700" s="249"/>
      <c r="E14700" s="249"/>
      <c r="T14700" s="261"/>
    </row>
    <row r="14701" spans="2:20" x14ac:dyDescent="0.2">
      <c r="B14701" s="245"/>
      <c r="C14701" s="248"/>
      <c r="D14701" s="249"/>
      <c r="E14701" s="249"/>
      <c r="T14701" s="261"/>
    </row>
    <row r="14702" spans="2:20" x14ac:dyDescent="0.2">
      <c r="B14702" s="245"/>
      <c r="C14702" s="248"/>
      <c r="D14702" s="249"/>
      <c r="E14702" s="249"/>
      <c r="T14702" s="261"/>
    </row>
    <row r="14703" spans="2:20" x14ac:dyDescent="0.2">
      <c r="B14703" s="245"/>
      <c r="C14703" s="248"/>
      <c r="D14703" s="249"/>
      <c r="E14703" s="249"/>
      <c r="T14703" s="261"/>
    </row>
    <row r="14704" spans="2:20" x14ac:dyDescent="0.2">
      <c r="B14704" s="245"/>
      <c r="C14704" s="248"/>
      <c r="D14704" s="249"/>
      <c r="E14704" s="249"/>
      <c r="T14704" s="261"/>
    </row>
    <row r="14705" spans="2:20" x14ac:dyDescent="0.2">
      <c r="B14705" s="245"/>
      <c r="C14705" s="248"/>
      <c r="D14705" s="249"/>
      <c r="E14705" s="249"/>
      <c r="T14705" s="261"/>
    </row>
    <row r="14706" spans="2:20" x14ac:dyDescent="0.2">
      <c r="B14706" s="245"/>
      <c r="C14706" s="248"/>
      <c r="D14706" s="249"/>
      <c r="E14706" s="249"/>
      <c r="T14706" s="261"/>
    </row>
    <row r="14707" spans="2:20" x14ac:dyDescent="0.2">
      <c r="B14707" s="245"/>
      <c r="C14707" s="248"/>
      <c r="D14707" s="249"/>
      <c r="E14707" s="249"/>
      <c r="T14707" s="261"/>
    </row>
    <row r="14708" spans="2:20" x14ac:dyDescent="0.2">
      <c r="B14708" s="245"/>
      <c r="C14708" s="248"/>
      <c r="D14708" s="249"/>
      <c r="E14708" s="249"/>
      <c r="T14708" s="261"/>
    </row>
    <row r="14709" spans="2:20" x14ac:dyDescent="0.2">
      <c r="B14709" s="245"/>
      <c r="C14709" s="248"/>
      <c r="D14709" s="249"/>
      <c r="E14709" s="249"/>
      <c r="T14709" s="261"/>
    </row>
    <row r="14710" spans="2:20" x14ac:dyDescent="0.2">
      <c r="B14710" s="245"/>
      <c r="C14710" s="248"/>
      <c r="D14710" s="249"/>
      <c r="E14710" s="249"/>
      <c r="T14710" s="261"/>
    </row>
    <row r="14711" spans="2:20" x14ac:dyDescent="0.2">
      <c r="B14711" s="245"/>
      <c r="C14711" s="248"/>
      <c r="D14711" s="249"/>
      <c r="E14711" s="249"/>
      <c r="T14711" s="261"/>
    </row>
    <row r="14712" spans="2:20" x14ac:dyDescent="0.2">
      <c r="B14712" s="245"/>
      <c r="C14712" s="248"/>
      <c r="D14712" s="249"/>
      <c r="E14712" s="249"/>
      <c r="T14712" s="261"/>
    </row>
    <row r="14713" spans="2:20" x14ac:dyDescent="0.2">
      <c r="B14713" s="245"/>
      <c r="C14713" s="248"/>
      <c r="D14713" s="249"/>
      <c r="E14713" s="249"/>
      <c r="T14713" s="261"/>
    </row>
    <row r="14714" spans="2:20" x14ac:dyDescent="0.2">
      <c r="B14714" s="245"/>
      <c r="C14714" s="248"/>
      <c r="D14714" s="249"/>
      <c r="E14714" s="249"/>
      <c r="T14714" s="261"/>
    </row>
    <row r="14715" spans="2:20" x14ac:dyDescent="0.2">
      <c r="B14715" s="245"/>
      <c r="C14715" s="248"/>
      <c r="D14715" s="249"/>
      <c r="E14715" s="249"/>
      <c r="T14715" s="261"/>
    </row>
    <row r="14716" spans="2:20" x14ac:dyDescent="0.2">
      <c r="B14716" s="245"/>
      <c r="C14716" s="248"/>
      <c r="D14716" s="249"/>
      <c r="E14716" s="249"/>
      <c r="T14716" s="261"/>
    </row>
    <row r="14717" spans="2:20" x14ac:dyDescent="0.2">
      <c r="B14717" s="245"/>
      <c r="C14717" s="248"/>
      <c r="D14717" s="249"/>
      <c r="E14717" s="249"/>
      <c r="T14717" s="261"/>
    </row>
    <row r="14718" spans="2:20" x14ac:dyDescent="0.2">
      <c r="B14718" s="245"/>
      <c r="C14718" s="248"/>
      <c r="D14718" s="249"/>
      <c r="E14718" s="249"/>
      <c r="T14718" s="261"/>
    </row>
    <row r="14719" spans="2:20" x14ac:dyDescent="0.2">
      <c r="B14719" s="245"/>
      <c r="C14719" s="248"/>
      <c r="D14719" s="249"/>
      <c r="E14719" s="249"/>
      <c r="T14719" s="261"/>
    </row>
    <row r="14720" spans="2:20" x14ac:dyDescent="0.2">
      <c r="B14720" s="245"/>
      <c r="C14720" s="248"/>
      <c r="D14720" s="249"/>
      <c r="E14720" s="249"/>
      <c r="T14720" s="261"/>
    </row>
    <row r="14721" spans="2:20" x14ac:dyDescent="0.2">
      <c r="B14721" s="245"/>
      <c r="C14721" s="248"/>
      <c r="D14721" s="249"/>
      <c r="E14721" s="249"/>
      <c r="T14721" s="261"/>
    </row>
    <row r="14722" spans="2:20" x14ac:dyDescent="0.2">
      <c r="B14722" s="245"/>
      <c r="C14722" s="248"/>
      <c r="D14722" s="249"/>
      <c r="E14722" s="249"/>
      <c r="T14722" s="261"/>
    </row>
    <row r="14723" spans="2:20" x14ac:dyDescent="0.2">
      <c r="B14723" s="245"/>
      <c r="C14723" s="248"/>
      <c r="D14723" s="249"/>
      <c r="E14723" s="249"/>
      <c r="T14723" s="261"/>
    </row>
    <row r="14724" spans="2:20" x14ac:dyDescent="0.2">
      <c r="B14724" s="245"/>
      <c r="C14724" s="248"/>
      <c r="D14724" s="249"/>
      <c r="E14724" s="249"/>
      <c r="T14724" s="261"/>
    </row>
    <row r="14725" spans="2:20" x14ac:dyDescent="0.2">
      <c r="B14725" s="245"/>
      <c r="C14725" s="248"/>
      <c r="D14725" s="249"/>
      <c r="E14725" s="249"/>
      <c r="T14725" s="261"/>
    </row>
    <row r="14726" spans="2:20" x14ac:dyDescent="0.2">
      <c r="B14726" s="245"/>
      <c r="C14726" s="248"/>
      <c r="D14726" s="249"/>
      <c r="E14726" s="249"/>
      <c r="T14726" s="261"/>
    </row>
    <row r="14727" spans="2:20" x14ac:dyDescent="0.2">
      <c r="B14727" s="245"/>
      <c r="C14727" s="248"/>
      <c r="D14727" s="249"/>
      <c r="E14727" s="249"/>
      <c r="T14727" s="261"/>
    </row>
    <row r="14728" spans="2:20" x14ac:dyDescent="0.2">
      <c r="B14728" s="245"/>
      <c r="C14728" s="248"/>
      <c r="D14728" s="249"/>
      <c r="E14728" s="249"/>
      <c r="T14728" s="261"/>
    </row>
    <row r="14729" spans="2:20" x14ac:dyDescent="0.2">
      <c r="B14729" s="245"/>
      <c r="C14729" s="248"/>
      <c r="D14729" s="249"/>
      <c r="E14729" s="249"/>
      <c r="T14729" s="261"/>
    </row>
    <row r="14730" spans="2:20" x14ac:dyDescent="0.2">
      <c r="B14730" s="245"/>
      <c r="C14730" s="248"/>
      <c r="D14730" s="249"/>
      <c r="E14730" s="249"/>
      <c r="T14730" s="261"/>
    </row>
    <row r="14731" spans="2:20" x14ac:dyDescent="0.2">
      <c r="B14731" s="245"/>
      <c r="C14731" s="248"/>
      <c r="D14731" s="249"/>
      <c r="E14731" s="249"/>
      <c r="T14731" s="261"/>
    </row>
    <row r="14732" spans="2:20" x14ac:dyDescent="0.2">
      <c r="B14732" s="245"/>
      <c r="C14732" s="248"/>
      <c r="D14732" s="249"/>
      <c r="E14732" s="249"/>
      <c r="T14732" s="261"/>
    </row>
    <row r="14733" spans="2:20" x14ac:dyDescent="0.2">
      <c r="B14733" s="245"/>
      <c r="C14733" s="248"/>
      <c r="D14733" s="249"/>
      <c r="E14733" s="249"/>
      <c r="T14733" s="261"/>
    </row>
    <row r="14734" spans="2:20" x14ac:dyDescent="0.2">
      <c r="B14734" s="245"/>
      <c r="C14734" s="248"/>
      <c r="D14734" s="249"/>
      <c r="E14734" s="249"/>
      <c r="T14734" s="261"/>
    </row>
    <row r="14735" spans="2:20" x14ac:dyDescent="0.2">
      <c r="B14735" s="245"/>
      <c r="C14735" s="248"/>
      <c r="D14735" s="249"/>
      <c r="E14735" s="249"/>
      <c r="T14735" s="261"/>
    </row>
    <row r="14736" spans="2:20" x14ac:dyDescent="0.2">
      <c r="B14736" s="245"/>
      <c r="C14736" s="248"/>
      <c r="D14736" s="249"/>
      <c r="E14736" s="249"/>
      <c r="T14736" s="261"/>
    </row>
    <row r="14737" spans="2:20" x14ac:dyDescent="0.2">
      <c r="B14737" s="245"/>
      <c r="C14737" s="248"/>
      <c r="D14737" s="249"/>
      <c r="E14737" s="249"/>
      <c r="T14737" s="261"/>
    </row>
    <row r="14738" spans="2:20" x14ac:dyDescent="0.2">
      <c r="B14738" s="245"/>
      <c r="C14738" s="248"/>
      <c r="D14738" s="249"/>
      <c r="E14738" s="249"/>
      <c r="T14738" s="261"/>
    </row>
    <row r="14739" spans="2:20" x14ac:dyDescent="0.2">
      <c r="B14739" s="245"/>
      <c r="C14739" s="248"/>
      <c r="D14739" s="249"/>
      <c r="E14739" s="249"/>
      <c r="T14739" s="261"/>
    </row>
    <row r="14740" spans="2:20" x14ac:dyDescent="0.2">
      <c r="B14740" s="245"/>
      <c r="C14740" s="248"/>
      <c r="D14740" s="249"/>
      <c r="E14740" s="249"/>
      <c r="T14740" s="261"/>
    </row>
    <row r="14741" spans="2:20" x14ac:dyDescent="0.2">
      <c r="B14741" s="245"/>
      <c r="C14741" s="248"/>
      <c r="D14741" s="249"/>
      <c r="E14741" s="249"/>
      <c r="T14741" s="261"/>
    </row>
    <row r="14742" spans="2:20" x14ac:dyDescent="0.2">
      <c r="B14742" s="245"/>
      <c r="C14742" s="248"/>
      <c r="D14742" s="249"/>
      <c r="E14742" s="249"/>
      <c r="T14742" s="261"/>
    </row>
    <row r="14743" spans="2:20" x14ac:dyDescent="0.2">
      <c r="B14743" s="245"/>
      <c r="C14743" s="248"/>
      <c r="D14743" s="249"/>
      <c r="E14743" s="249"/>
      <c r="T14743" s="261"/>
    </row>
    <row r="14744" spans="2:20" x14ac:dyDescent="0.2">
      <c r="B14744" s="245"/>
      <c r="C14744" s="248"/>
      <c r="D14744" s="249"/>
      <c r="E14744" s="249"/>
      <c r="T14744" s="261"/>
    </row>
    <row r="14745" spans="2:20" x14ac:dyDescent="0.2">
      <c r="B14745" s="245"/>
      <c r="C14745" s="248"/>
      <c r="D14745" s="249"/>
      <c r="E14745" s="249"/>
      <c r="T14745" s="261"/>
    </row>
    <row r="14746" spans="2:20" x14ac:dyDescent="0.2">
      <c r="B14746" s="245"/>
      <c r="C14746" s="248"/>
      <c r="D14746" s="249"/>
      <c r="E14746" s="249"/>
      <c r="T14746" s="261"/>
    </row>
    <row r="14747" spans="2:20" x14ac:dyDescent="0.2">
      <c r="B14747" s="245"/>
      <c r="C14747" s="248"/>
      <c r="D14747" s="249"/>
      <c r="E14747" s="249"/>
      <c r="T14747" s="261"/>
    </row>
    <row r="14748" spans="2:20" x14ac:dyDescent="0.2">
      <c r="B14748" s="245"/>
      <c r="C14748" s="248"/>
      <c r="D14748" s="249"/>
      <c r="E14748" s="249"/>
      <c r="T14748" s="261"/>
    </row>
    <row r="14749" spans="2:20" x14ac:dyDescent="0.2">
      <c r="B14749" s="245"/>
      <c r="C14749" s="248"/>
      <c r="D14749" s="249"/>
      <c r="E14749" s="249"/>
      <c r="T14749" s="261"/>
    </row>
    <row r="14750" spans="2:20" x14ac:dyDescent="0.2">
      <c r="B14750" s="245"/>
      <c r="C14750" s="248"/>
      <c r="D14750" s="249"/>
      <c r="E14750" s="249"/>
      <c r="T14750" s="261"/>
    </row>
    <row r="14751" spans="2:20" x14ac:dyDescent="0.2">
      <c r="B14751" s="245"/>
      <c r="C14751" s="248"/>
      <c r="D14751" s="249"/>
      <c r="E14751" s="249"/>
      <c r="T14751" s="261"/>
    </row>
    <row r="14752" spans="2:20" x14ac:dyDescent="0.2">
      <c r="B14752" s="245"/>
      <c r="C14752" s="248"/>
      <c r="D14752" s="249"/>
      <c r="E14752" s="249"/>
      <c r="T14752" s="261"/>
    </row>
    <row r="14753" spans="2:20" x14ac:dyDescent="0.2">
      <c r="B14753" s="245"/>
      <c r="C14753" s="248"/>
      <c r="D14753" s="249"/>
      <c r="E14753" s="249"/>
      <c r="T14753" s="261"/>
    </row>
    <row r="14754" spans="2:20" x14ac:dyDescent="0.2">
      <c r="B14754" s="245"/>
      <c r="C14754" s="248"/>
      <c r="D14754" s="249"/>
      <c r="E14754" s="249"/>
      <c r="T14754" s="261"/>
    </row>
    <row r="14755" spans="2:20" x14ac:dyDescent="0.2">
      <c r="B14755" s="245"/>
      <c r="C14755" s="248"/>
      <c r="D14755" s="249"/>
      <c r="E14755" s="249"/>
      <c r="T14755" s="261"/>
    </row>
    <row r="14756" spans="2:20" x14ac:dyDescent="0.2">
      <c r="B14756" s="245"/>
      <c r="C14756" s="248"/>
      <c r="D14756" s="249"/>
      <c r="E14756" s="249"/>
      <c r="T14756" s="261"/>
    </row>
    <row r="14757" spans="2:20" x14ac:dyDescent="0.2">
      <c r="B14757" s="245"/>
      <c r="C14757" s="248"/>
      <c r="D14757" s="249"/>
      <c r="E14757" s="249"/>
      <c r="T14757" s="261"/>
    </row>
    <row r="14758" spans="2:20" x14ac:dyDescent="0.2">
      <c r="B14758" s="245"/>
      <c r="C14758" s="248"/>
      <c r="D14758" s="249"/>
      <c r="E14758" s="249"/>
      <c r="T14758" s="261"/>
    </row>
    <row r="14759" spans="2:20" x14ac:dyDescent="0.2">
      <c r="B14759" s="245"/>
      <c r="C14759" s="248"/>
      <c r="D14759" s="249"/>
      <c r="E14759" s="249"/>
      <c r="T14759" s="261"/>
    </row>
    <row r="14760" spans="2:20" x14ac:dyDescent="0.2">
      <c r="B14760" s="245"/>
      <c r="C14760" s="248"/>
      <c r="D14760" s="249"/>
      <c r="E14760" s="249"/>
      <c r="T14760" s="261"/>
    </row>
    <row r="14761" spans="2:20" x14ac:dyDescent="0.2">
      <c r="B14761" s="245"/>
      <c r="C14761" s="248"/>
      <c r="D14761" s="249"/>
      <c r="E14761" s="249"/>
      <c r="T14761" s="261"/>
    </row>
    <row r="14762" spans="2:20" x14ac:dyDescent="0.2">
      <c r="B14762" s="245"/>
      <c r="C14762" s="248"/>
      <c r="D14762" s="249"/>
      <c r="E14762" s="249"/>
      <c r="T14762" s="261"/>
    </row>
    <row r="14763" spans="2:20" x14ac:dyDescent="0.2">
      <c r="B14763" s="245"/>
      <c r="C14763" s="248"/>
      <c r="D14763" s="249"/>
      <c r="E14763" s="249"/>
      <c r="T14763" s="261"/>
    </row>
    <row r="14764" spans="2:20" x14ac:dyDescent="0.2">
      <c r="B14764" s="245"/>
      <c r="C14764" s="248"/>
      <c r="D14764" s="249"/>
      <c r="E14764" s="249"/>
      <c r="T14764" s="261"/>
    </row>
    <row r="14765" spans="2:20" x14ac:dyDescent="0.2">
      <c r="B14765" s="245"/>
      <c r="C14765" s="248"/>
      <c r="D14765" s="249"/>
      <c r="E14765" s="249"/>
      <c r="T14765" s="261"/>
    </row>
    <row r="14766" spans="2:20" x14ac:dyDescent="0.2">
      <c r="B14766" s="245"/>
      <c r="C14766" s="248"/>
      <c r="D14766" s="249"/>
      <c r="E14766" s="249"/>
      <c r="T14766" s="261"/>
    </row>
    <row r="14767" spans="2:20" x14ac:dyDescent="0.2">
      <c r="B14767" s="245"/>
      <c r="C14767" s="248"/>
      <c r="D14767" s="249"/>
      <c r="E14767" s="249"/>
      <c r="T14767" s="261"/>
    </row>
    <row r="14768" spans="2:20" x14ac:dyDescent="0.2">
      <c r="B14768" s="245"/>
      <c r="C14768" s="248"/>
      <c r="D14768" s="249"/>
      <c r="E14768" s="249"/>
      <c r="T14768" s="261"/>
    </row>
    <row r="14769" spans="2:20" x14ac:dyDescent="0.2">
      <c r="B14769" s="245"/>
      <c r="C14769" s="248"/>
      <c r="D14769" s="249"/>
      <c r="E14769" s="249"/>
      <c r="T14769" s="261"/>
    </row>
    <row r="14770" spans="2:20" x14ac:dyDescent="0.2">
      <c r="B14770" s="245"/>
      <c r="C14770" s="248"/>
      <c r="D14770" s="249"/>
      <c r="E14770" s="249"/>
      <c r="T14770" s="261"/>
    </row>
    <row r="14771" spans="2:20" x14ac:dyDescent="0.2">
      <c r="B14771" s="245"/>
      <c r="C14771" s="248"/>
      <c r="D14771" s="249"/>
      <c r="E14771" s="249"/>
      <c r="T14771" s="261"/>
    </row>
    <row r="14772" spans="2:20" x14ac:dyDescent="0.2">
      <c r="B14772" s="245"/>
      <c r="C14772" s="248"/>
      <c r="D14772" s="249"/>
      <c r="E14772" s="249"/>
      <c r="T14772" s="261"/>
    </row>
    <row r="14773" spans="2:20" x14ac:dyDescent="0.2">
      <c r="B14773" s="245"/>
      <c r="C14773" s="248"/>
      <c r="D14773" s="249"/>
      <c r="E14773" s="249"/>
      <c r="T14773" s="261"/>
    </row>
    <row r="14774" spans="2:20" x14ac:dyDescent="0.2">
      <c r="B14774" s="245"/>
      <c r="C14774" s="248"/>
      <c r="D14774" s="249"/>
      <c r="E14774" s="249"/>
      <c r="T14774" s="261"/>
    </row>
    <row r="14775" spans="2:20" x14ac:dyDescent="0.2">
      <c r="B14775" s="245"/>
      <c r="C14775" s="248"/>
      <c r="D14775" s="249"/>
      <c r="E14775" s="249"/>
      <c r="T14775" s="261"/>
    </row>
    <row r="14776" spans="2:20" x14ac:dyDescent="0.2">
      <c r="B14776" s="245"/>
      <c r="C14776" s="248"/>
      <c r="D14776" s="249"/>
      <c r="E14776" s="249"/>
      <c r="T14776" s="261"/>
    </row>
    <row r="14777" spans="2:20" x14ac:dyDescent="0.2">
      <c r="B14777" s="245"/>
      <c r="C14777" s="248"/>
      <c r="D14777" s="249"/>
      <c r="E14777" s="249"/>
      <c r="T14777" s="261"/>
    </row>
    <row r="14778" spans="2:20" x14ac:dyDescent="0.2">
      <c r="B14778" s="245"/>
      <c r="C14778" s="248"/>
      <c r="D14778" s="249"/>
      <c r="E14778" s="249"/>
      <c r="T14778" s="261"/>
    </row>
    <row r="14779" spans="2:20" x14ac:dyDescent="0.2">
      <c r="B14779" s="245"/>
      <c r="C14779" s="248"/>
      <c r="D14779" s="249"/>
      <c r="E14779" s="249"/>
      <c r="T14779" s="261"/>
    </row>
    <row r="14780" spans="2:20" x14ac:dyDescent="0.2">
      <c r="B14780" s="245"/>
      <c r="C14780" s="248"/>
      <c r="D14780" s="249"/>
      <c r="E14780" s="249"/>
      <c r="T14780" s="261"/>
    </row>
    <row r="14781" spans="2:20" x14ac:dyDescent="0.2">
      <c r="B14781" s="245"/>
      <c r="C14781" s="248"/>
      <c r="D14781" s="249"/>
      <c r="E14781" s="249"/>
      <c r="T14781" s="261"/>
    </row>
    <row r="14782" spans="2:20" x14ac:dyDescent="0.2">
      <c r="B14782" s="245"/>
      <c r="C14782" s="248"/>
      <c r="D14782" s="249"/>
      <c r="E14782" s="249"/>
      <c r="T14782" s="261"/>
    </row>
    <row r="14783" spans="2:20" x14ac:dyDescent="0.2">
      <c r="B14783" s="245"/>
      <c r="C14783" s="248"/>
      <c r="D14783" s="249"/>
      <c r="E14783" s="249"/>
      <c r="T14783" s="261"/>
    </row>
    <row r="14784" spans="2:20" x14ac:dyDescent="0.2">
      <c r="B14784" s="245"/>
      <c r="C14784" s="248"/>
      <c r="D14784" s="249"/>
      <c r="E14784" s="249"/>
      <c r="T14784" s="261"/>
    </row>
    <row r="14785" spans="2:20" x14ac:dyDescent="0.2">
      <c r="B14785" s="245"/>
      <c r="C14785" s="248"/>
      <c r="D14785" s="249"/>
      <c r="E14785" s="249"/>
      <c r="T14785" s="261"/>
    </row>
    <row r="14786" spans="2:20" x14ac:dyDescent="0.2">
      <c r="B14786" s="245"/>
      <c r="C14786" s="248"/>
      <c r="D14786" s="249"/>
      <c r="E14786" s="249"/>
      <c r="T14786" s="261"/>
    </row>
    <row r="14787" spans="2:20" x14ac:dyDescent="0.2">
      <c r="B14787" s="245"/>
      <c r="C14787" s="248"/>
      <c r="D14787" s="249"/>
      <c r="E14787" s="249"/>
      <c r="T14787" s="261"/>
    </row>
    <row r="14788" spans="2:20" x14ac:dyDescent="0.2">
      <c r="B14788" s="245"/>
      <c r="C14788" s="248"/>
      <c r="D14788" s="249"/>
      <c r="E14788" s="249"/>
      <c r="T14788" s="261"/>
    </row>
    <row r="14789" spans="2:20" x14ac:dyDescent="0.2">
      <c r="B14789" s="245"/>
      <c r="C14789" s="248"/>
      <c r="D14789" s="249"/>
      <c r="E14789" s="249"/>
      <c r="T14789" s="261"/>
    </row>
    <row r="14790" spans="2:20" x14ac:dyDescent="0.2">
      <c r="B14790" s="245"/>
      <c r="C14790" s="248"/>
      <c r="D14790" s="249"/>
      <c r="E14790" s="249"/>
      <c r="T14790" s="261"/>
    </row>
    <row r="14791" spans="2:20" x14ac:dyDescent="0.2">
      <c r="B14791" s="245"/>
      <c r="C14791" s="248"/>
      <c r="D14791" s="249"/>
      <c r="E14791" s="249"/>
      <c r="T14791" s="261"/>
    </row>
    <row r="14792" spans="2:20" x14ac:dyDescent="0.2">
      <c r="B14792" s="245"/>
      <c r="C14792" s="248"/>
      <c r="D14792" s="249"/>
      <c r="E14792" s="249"/>
      <c r="T14792" s="261"/>
    </row>
    <row r="14793" spans="2:20" x14ac:dyDescent="0.2">
      <c r="B14793" s="245"/>
      <c r="C14793" s="248"/>
      <c r="D14793" s="249"/>
      <c r="E14793" s="249"/>
      <c r="T14793" s="261"/>
    </row>
    <row r="14794" spans="2:20" x14ac:dyDescent="0.2">
      <c r="B14794" s="245"/>
      <c r="C14794" s="248"/>
      <c r="D14794" s="249"/>
      <c r="E14794" s="249"/>
      <c r="T14794" s="261"/>
    </row>
    <row r="14795" spans="2:20" x14ac:dyDescent="0.2">
      <c r="B14795" s="245"/>
      <c r="C14795" s="248"/>
      <c r="D14795" s="249"/>
      <c r="E14795" s="249"/>
      <c r="T14795" s="261"/>
    </row>
    <row r="14796" spans="2:20" x14ac:dyDescent="0.2">
      <c r="B14796" s="245"/>
      <c r="C14796" s="248"/>
      <c r="D14796" s="249"/>
      <c r="E14796" s="249"/>
      <c r="T14796" s="261"/>
    </row>
    <row r="14797" spans="2:20" x14ac:dyDescent="0.2">
      <c r="B14797" s="245"/>
      <c r="C14797" s="248"/>
      <c r="D14797" s="249"/>
      <c r="E14797" s="249"/>
      <c r="T14797" s="261"/>
    </row>
    <row r="14798" spans="2:20" x14ac:dyDescent="0.2">
      <c r="B14798" s="245"/>
      <c r="C14798" s="248"/>
      <c r="D14798" s="249"/>
      <c r="E14798" s="249"/>
      <c r="T14798" s="261"/>
    </row>
    <row r="14799" spans="2:20" x14ac:dyDescent="0.2">
      <c r="B14799" s="245"/>
      <c r="C14799" s="248"/>
      <c r="D14799" s="249"/>
      <c r="E14799" s="249"/>
      <c r="T14799" s="261"/>
    </row>
    <row r="14800" spans="2:20" x14ac:dyDescent="0.2">
      <c r="B14800" s="245"/>
      <c r="C14800" s="248"/>
      <c r="D14800" s="249"/>
      <c r="E14800" s="249"/>
      <c r="T14800" s="261"/>
    </row>
    <row r="14801" spans="2:20" x14ac:dyDescent="0.2">
      <c r="B14801" s="245"/>
      <c r="C14801" s="248"/>
      <c r="D14801" s="249"/>
      <c r="E14801" s="249"/>
      <c r="T14801" s="261"/>
    </row>
    <row r="14802" spans="2:20" x14ac:dyDescent="0.2">
      <c r="B14802" s="245"/>
      <c r="C14802" s="248"/>
      <c r="D14802" s="249"/>
      <c r="E14802" s="249"/>
      <c r="T14802" s="261"/>
    </row>
    <row r="14803" spans="2:20" x14ac:dyDescent="0.2">
      <c r="B14803" s="245"/>
      <c r="C14803" s="248"/>
      <c r="D14803" s="249"/>
      <c r="E14803" s="249"/>
      <c r="T14803" s="261"/>
    </row>
    <row r="14804" spans="2:20" x14ac:dyDescent="0.2">
      <c r="B14804" s="245"/>
      <c r="C14804" s="248"/>
      <c r="D14804" s="249"/>
      <c r="E14804" s="249"/>
      <c r="T14804" s="261"/>
    </row>
    <row r="14805" spans="2:20" x14ac:dyDescent="0.2">
      <c r="B14805" s="245"/>
      <c r="C14805" s="248"/>
      <c r="D14805" s="249"/>
      <c r="E14805" s="249"/>
      <c r="T14805" s="261"/>
    </row>
    <row r="14806" spans="2:20" x14ac:dyDescent="0.2">
      <c r="B14806" s="245"/>
      <c r="C14806" s="248"/>
      <c r="D14806" s="249"/>
      <c r="E14806" s="249"/>
      <c r="T14806" s="261"/>
    </row>
    <row r="14807" spans="2:20" x14ac:dyDescent="0.2">
      <c r="B14807" s="245"/>
      <c r="C14807" s="248"/>
      <c r="D14807" s="249"/>
      <c r="E14807" s="249"/>
      <c r="T14807" s="261"/>
    </row>
    <row r="14808" spans="2:20" x14ac:dyDescent="0.2">
      <c r="B14808" s="245"/>
      <c r="C14808" s="248"/>
      <c r="D14808" s="249"/>
      <c r="E14808" s="249"/>
      <c r="T14808" s="261"/>
    </row>
    <row r="14809" spans="2:20" x14ac:dyDescent="0.2">
      <c r="B14809" s="245"/>
      <c r="C14809" s="248"/>
      <c r="D14809" s="249"/>
      <c r="E14809" s="249"/>
      <c r="T14809" s="261"/>
    </row>
    <row r="14810" spans="2:20" x14ac:dyDescent="0.2">
      <c r="B14810" s="245"/>
      <c r="C14810" s="248"/>
      <c r="D14810" s="249"/>
      <c r="E14810" s="249"/>
      <c r="T14810" s="261"/>
    </row>
    <row r="14811" spans="2:20" x14ac:dyDescent="0.2">
      <c r="B14811" s="245"/>
      <c r="C14811" s="248"/>
      <c r="D14811" s="249"/>
      <c r="E14811" s="249"/>
      <c r="T14811" s="261"/>
    </row>
    <row r="14812" spans="2:20" x14ac:dyDescent="0.2">
      <c r="B14812" s="245"/>
      <c r="C14812" s="248"/>
      <c r="D14812" s="249"/>
      <c r="E14812" s="249"/>
      <c r="T14812" s="261"/>
    </row>
    <row r="14813" spans="2:20" x14ac:dyDescent="0.2">
      <c r="B14813" s="245"/>
      <c r="C14813" s="248"/>
      <c r="D14813" s="249"/>
      <c r="E14813" s="249"/>
      <c r="T14813" s="261"/>
    </row>
    <row r="14814" spans="2:20" x14ac:dyDescent="0.2">
      <c r="B14814" s="245"/>
      <c r="C14814" s="248"/>
      <c r="D14814" s="249"/>
      <c r="E14814" s="249"/>
      <c r="T14814" s="261"/>
    </row>
    <row r="14815" spans="2:20" x14ac:dyDescent="0.2">
      <c r="B14815" s="245"/>
      <c r="C14815" s="248"/>
      <c r="D14815" s="249"/>
      <c r="E14815" s="249"/>
      <c r="T14815" s="261"/>
    </row>
    <row r="14816" spans="2:20" x14ac:dyDescent="0.2">
      <c r="B14816" s="245"/>
      <c r="C14816" s="248"/>
      <c r="D14816" s="249"/>
      <c r="E14816" s="249"/>
      <c r="T14816" s="261"/>
    </row>
    <row r="14817" spans="2:20" x14ac:dyDescent="0.2">
      <c r="B14817" s="245"/>
      <c r="C14817" s="248"/>
      <c r="D14817" s="249"/>
      <c r="E14817" s="249"/>
      <c r="T14817" s="261"/>
    </row>
    <row r="14818" spans="2:20" x14ac:dyDescent="0.2">
      <c r="B14818" s="245"/>
      <c r="C14818" s="248"/>
      <c r="D14818" s="249"/>
      <c r="E14818" s="249"/>
      <c r="T14818" s="261"/>
    </row>
    <row r="14819" spans="2:20" x14ac:dyDescent="0.2">
      <c r="B14819" s="245"/>
      <c r="C14819" s="248"/>
      <c r="D14819" s="249"/>
      <c r="E14819" s="249"/>
      <c r="T14819" s="261"/>
    </row>
    <row r="14820" spans="2:20" x14ac:dyDescent="0.2">
      <c r="B14820" s="245"/>
      <c r="C14820" s="248"/>
      <c r="D14820" s="249"/>
      <c r="E14820" s="249"/>
      <c r="T14820" s="261"/>
    </row>
    <row r="14821" spans="2:20" x14ac:dyDescent="0.2">
      <c r="B14821" s="245"/>
      <c r="C14821" s="248"/>
      <c r="D14821" s="249"/>
      <c r="E14821" s="249"/>
      <c r="T14821" s="261"/>
    </row>
    <row r="14822" spans="2:20" x14ac:dyDescent="0.2">
      <c r="B14822" s="245"/>
      <c r="C14822" s="248"/>
      <c r="D14822" s="249"/>
      <c r="E14822" s="249"/>
      <c r="T14822" s="261"/>
    </row>
    <row r="14823" spans="2:20" x14ac:dyDescent="0.2">
      <c r="B14823" s="245"/>
      <c r="C14823" s="248"/>
      <c r="D14823" s="249"/>
      <c r="E14823" s="249"/>
      <c r="T14823" s="261"/>
    </row>
    <row r="14824" spans="2:20" x14ac:dyDescent="0.2">
      <c r="B14824" s="245"/>
      <c r="C14824" s="248"/>
      <c r="D14824" s="249"/>
      <c r="E14824" s="249"/>
      <c r="T14824" s="261"/>
    </row>
    <row r="14825" spans="2:20" x14ac:dyDescent="0.2">
      <c r="B14825" s="245"/>
      <c r="C14825" s="248"/>
      <c r="D14825" s="249"/>
      <c r="E14825" s="249"/>
      <c r="T14825" s="261"/>
    </row>
    <row r="14826" spans="2:20" x14ac:dyDescent="0.2">
      <c r="B14826" s="245"/>
      <c r="C14826" s="248"/>
      <c r="D14826" s="249"/>
      <c r="E14826" s="249"/>
      <c r="T14826" s="261"/>
    </row>
    <row r="14827" spans="2:20" x14ac:dyDescent="0.2">
      <c r="B14827" s="245"/>
      <c r="C14827" s="248"/>
      <c r="D14827" s="249"/>
      <c r="E14827" s="249"/>
      <c r="T14827" s="261"/>
    </row>
    <row r="14828" spans="2:20" x14ac:dyDescent="0.2">
      <c r="B14828" s="245"/>
      <c r="C14828" s="248"/>
      <c r="D14828" s="249"/>
      <c r="E14828" s="249"/>
      <c r="T14828" s="261"/>
    </row>
    <row r="14829" spans="2:20" x14ac:dyDescent="0.2">
      <c r="B14829" s="245"/>
      <c r="C14829" s="248"/>
      <c r="D14829" s="249"/>
      <c r="E14829" s="249"/>
      <c r="T14829" s="261"/>
    </row>
    <row r="14830" spans="2:20" x14ac:dyDescent="0.2">
      <c r="B14830" s="245"/>
      <c r="C14830" s="248"/>
      <c r="D14830" s="249"/>
      <c r="E14830" s="249"/>
      <c r="T14830" s="261"/>
    </row>
    <row r="14831" spans="2:20" x14ac:dyDescent="0.2">
      <c r="B14831" s="245"/>
      <c r="C14831" s="248"/>
      <c r="D14831" s="249"/>
      <c r="E14831" s="249"/>
      <c r="T14831" s="261"/>
    </row>
    <row r="14832" spans="2:20" x14ac:dyDescent="0.2">
      <c r="B14832" s="245"/>
      <c r="C14832" s="248"/>
      <c r="D14832" s="249"/>
      <c r="E14832" s="249"/>
      <c r="T14832" s="261"/>
    </row>
    <row r="14833" spans="2:20" x14ac:dyDescent="0.2">
      <c r="B14833" s="245"/>
      <c r="C14833" s="248"/>
      <c r="D14833" s="249"/>
      <c r="E14833" s="249"/>
      <c r="T14833" s="261"/>
    </row>
    <row r="14834" spans="2:20" x14ac:dyDescent="0.2">
      <c r="B14834" s="245"/>
      <c r="C14834" s="248"/>
      <c r="D14834" s="249"/>
      <c r="E14834" s="249"/>
      <c r="T14834" s="261"/>
    </row>
    <row r="14835" spans="2:20" x14ac:dyDescent="0.2">
      <c r="B14835" s="245"/>
      <c r="C14835" s="248"/>
      <c r="D14835" s="249"/>
      <c r="E14835" s="249"/>
      <c r="T14835" s="261"/>
    </row>
    <row r="14836" spans="2:20" x14ac:dyDescent="0.2">
      <c r="B14836" s="245"/>
      <c r="C14836" s="248"/>
      <c r="D14836" s="249"/>
      <c r="E14836" s="249"/>
      <c r="T14836" s="261"/>
    </row>
    <row r="14837" spans="2:20" x14ac:dyDescent="0.2">
      <c r="B14837" s="245"/>
      <c r="C14837" s="248"/>
      <c r="D14837" s="249"/>
      <c r="E14837" s="249"/>
      <c r="T14837" s="261"/>
    </row>
    <row r="14838" spans="2:20" x14ac:dyDescent="0.2">
      <c r="B14838" s="245"/>
      <c r="C14838" s="248"/>
      <c r="D14838" s="249"/>
      <c r="E14838" s="249"/>
      <c r="T14838" s="261"/>
    </row>
    <row r="14839" spans="2:20" x14ac:dyDescent="0.2">
      <c r="B14839" s="245"/>
      <c r="C14839" s="248"/>
      <c r="D14839" s="249"/>
      <c r="E14839" s="249"/>
      <c r="T14839" s="261"/>
    </row>
    <row r="14840" spans="2:20" x14ac:dyDescent="0.2">
      <c r="B14840" s="245"/>
      <c r="C14840" s="248"/>
      <c r="D14840" s="249"/>
      <c r="E14840" s="249"/>
      <c r="T14840" s="261"/>
    </row>
    <row r="14841" spans="2:20" x14ac:dyDescent="0.2">
      <c r="B14841" s="245"/>
      <c r="C14841" s="248"/>
      <c r="D14841" s="249"/>
      <c r="E14841" s="249"/>
      <c r="T14841" s="261"/>
    </row>
    <row r="14842" spans="2:20" x14ac:dyDescent="0.2">
      <c r="B14842" s="245"/>
      <c r="C14842" s="248"/>
      <c r="D14842" s="249"/>
      <c r="E14842" s="249"/>
      <c r="T14842" s="261"/>
    </row>
    <row r="14843" spans="2:20" x14ac:dyDescent="0.2">
      <c r="B14843" s="245"/>
      <c r="C14843" s="248"/>
      <c r="D14843" s="249"/>
      <c r="E14843" s="249"/>
      <c r="T14843" s="261"/>
    </row>
    <row r="14844" spans="2:20" x14ac:dyDescent="0.2">
      <c r="B14844" s="245"/>
      <c r="C14844" s="248"/>
      <c r="D14844" s="249"/>
      <c r="E14844" s="249"/>
      <c r="T14844" s="261"/>
    </row>
    <row r="14845" spans="2:20" x14ac:dyDescent="0.2">
      <c r="B14845" s="245"/>
      <c r="C14845" s="248"/>
      <c r="D14845" s="249"/>
      <c r="E14845" s="249"/>
      <c r="T14845" s="261"/>
    </row>
    <row r="14846" spans="2:20" x14ac:dyDescent="0.2">
      <c r="B14846" s="245"/>
      <c r="C14846" s="248"/>
      <c r="D14846" s="249"/>
      <c r="E14846" s="249"/>
      <c r="T14846" s="261"/>
    </row>
    <row r="14847" spans="2:20" x14ac:dyDescent="0.2">
      <c r="B14847" s="245"/>
      <c r="C14847" s="248"/>
      <c r="D14847" s="249"/>
      <c r="E14847" s="249"/>
      <c r="T14847" s="261"/>
    </row>
    <row r="14848" spans="2:20" x14ac:dyDescent="0.2">
      <c r="B14848" s="245"/>
      <c r="C14848" s="248"/>
      <c r="D14848" s="249"/>
      <c r="E14848" s="249"/>
      <c r="T14848" s="261"/>
    </row>
    <row r="14849" spans="2:20" x14ac:dyDescent="0.2">
      <c r="B14849" s="245"/>
      <c r="C14849" s="248"/>
      <c r="D14849" s="249"/>
      <c r="E14849" s="249"/>
      <c r="T14849" s="261"/>
    </row>
    <row r="14850" spans="2:20" x14ac:dyDescent="0.2">
      <c r="B14850" s="245"/>
      <c r="C14850" s="248"/>
      <c r="D14850" s="249"/>
      <c r="E14850" s="249"/>
      <c r="T14850" s="261"/>
    </row>
    <row r="14851" spans="2:20" x14ac:dyDescent="0.2">
      <c r="B14851" s="245"/>
      <c r="C14851" s="248"/>
      <c r="D14851" s="249"/>
      <c r="E14851" s="249"/>
      <c r="T14851" s="261"/>
    </row>
    <row r="14852" spans="2:20" x14ac:dyDescent="0.2">
      <c r="B14852" s="245"/>
      <c r="C14852" s="248"/>
      <c r="D14852" s="249"/>
      <c r="E14852" s="249"/>
      <c r="T14852" s="261"/>
    </row>
    <row r="14853" spans="2:20" x14ac:dyDescent="0.2">
      <c r="B14853" s="245"/>
      <c r="C14853" s="248"/>
      <c r="D14853" s="249"/>
      <c r="E14853" s="249"/>
      <c r="T14853" s="261"/>
    </row>
    <row r="14854" spans="2:20" x14ac:dyDescent="0.2">
      <c r="B14854" s="245"/>
      <c r="C14854" s="248"/>
      <c r="D14854" s="249"/>
      <c r="E14854" s="249"/>
      <c r="T14854" s="261"/>
    </row>
    <row r="14855" spans="2:20" x14ac:dyDescent="0.2">
      <c r="B14855" s="245"/>
      <c r="C14855" s="248"/>
      <c r="D14855" s="249"/>
      <c r="E14855" s="249"/>
      <c r="T14855" s="261"/>
    </row>
    <row r="14856" spans="2:20" x14ac:dyDescent="0.2">
      <c r="B14856" s="245"/>
      <c r="C14856" s="248"/>
      <c r="D14856" s="249"/>
      <c r="E14856" s="249"/>
      <c r="T14856" s="261"/>
    </row>
    <row r="14857" spans="2:20" x14ac:dyDescent="0.2">
      <c r="B14857" s="245"/>
      <c r="C14857" s="248"/>
      <c r="D14857" s="249"/>
      <c r="E14857" s="249"/>
      <c r="T14857" s="261"/>
    </row>
    <row r="14858" spans="2:20" x14ac:dyDescent="0.2">
      <c r="B14858" s="245"/>
      <c r="C14858" s="248"/>
      <c r="D14858" s="249"/>
      <c r="E14858" s="249"/>
      <c r="T14858" s="261"/>
    </row>
    <row r="14859" spans="2:20" x14ac:dyDescent="0.2">
      <c r="B14859" s="245"/>
      <c r="C14859" s="248"/>
      <c r="D14859" s="249"/>
      <c r="E14859" s="249"/>
      <c r="T14859" s="261"/>
    </row>
    <row r="14860" spans="2:20" x14ac:dyDescent="0.2">
      <c r="B14860" s="245"/>
      <c r="C14860" s="248"/>
      <c r="D14860" s="249"/>
      <c r="E14860" s="249"/>
      <c r="T14860" s="261"/>
    </row>
    <row r="14861" spans="2:20" x14ac:dyDescent="0.2">
      <c r="B14861" s="245"/>
      <c r="C14861" s="248"/>
      <c r="D14861" s="249"/>
      <c r="E14861" s="249"/>
      <c r="T14861" s="261"/>
    </row>
    <row r="14862" spans="2:20" x14ac:dyDescent="0.2">
      <c r="B14862" s="245"/>
      <c r="C14862" s="248"/>
      <c r="D14862" s="249"/>
      <c r="E14862" s="249"/>
      <c r="T14862" s="261"/>
    </row>
    <row r="14863" spans="2:20" x14ac:dyDescent="0.2">
      <c r="B14863" s="245"/>
      <c r="C14863" s="248"/>
      <c r="D14863" s="249"/>
      <c r="E14863" s="249"/>
      <c r="T14863" s="261"/>
    </row>
    <row r="14864" spans="2:20" x14ac:dyDescent="0.2">
      <c r="B14864" s="245"/>
      <c r="C14864" s="248"/>
      <c r="D14864" s="249"/>
      <c r="E14864" s="249"/>
      <c r="T14864" s="261"/>
    </row>
    <row r="14865" spans="2:20" x14ac:dyDescent="0.2">
      <c r="B14865" s="245"/>
      <c r="C14865" s="248"/>
      <c r="D14865" s="249"/>
      <c r="E14865" s="249"/>
      <c r="T14865" s="261"/>
    </row>
    <row r="14866" spans="2:20" x14ac:dyDescent="0.2">
      <c r="B14866" s="245"/>
      <c r="C14866" s="248"/>
      <c r="D14866" s="249"/>
      <c r="E14866" s="249"/>
      <c r="T14866" s="261"/>
    </row>
    <row r="14867" spans="2:20" x14ac:dyDescent="0.2">
      <c r="B14867" s="245"/>
      <c r="C14867" s="248"/>
      <c r="D14867" s="249"/>
      <c r="E14867" s="249"/>
      <c r="T14867" s="261"/>
    </row>
    <row r="14868" spans="2:20" x14ac:dyDescent="0.2">
      <c r="B14868" s="245"/>
      <c r="C14868" s="248"/>
      <c r="D14868" s="249"/>
      <c r="E14868" s="249"/>
      <c r="T14868" s="261"/>
    </row>
    <row r="14869" spans="2:20" x14ac:dyDescent="0.2">
      <c r="B14869" s="245"/>
      <c r="C14869" s="248"/>
      <c r="D14869" s="249"/>
      <c r="E14869" s="249"/>
      <c r="T14869" s="261"/>
    </row>
    <row r="14870" spans="2:20" x14ac:dyDescent="0.2">
      <c r="B14870" s="245"/>
      <c r="C14870" s="248"/>
      <c r="D14870" s="249"/>
      <c r="E14870" s="249"/>
      <c r="T14870" s="261"/>
    </row>
    <row r="14871" spans="2:20" x14ac:dyDescent="0.2">
      <c r="B14871" s="245"/>
      <c r="C14871" s="248"/>
      <c r="D14871" s="249"/>
      <c r="E14871" s="249"/>
      <c r="T14871" s="261"/>
    </row>
    <row r="14872" spans="2:20" x14ac:dyDescent="0.2">
      <c r="B14872" s="245"/>
      <c r="C14872" s="248"/>
      <c r="D14872" s="249"/>
      <c r="E14872" s="249"/>
      <c r="T14872" s="261"/>
    </row>
    <row r="14873" spans="2:20" x14ac:dyDescent="0.2">
      <c r="B14873" s="245"/>
      <c r="C14873" s="248"/>
      <c r="D14873" s="249"/>
      <c r="E14873" s="249"/>
      <c r="T14873" s="261"/>
    </row>
    <row r="14874" spans="2:20" x14ac:dyDescent="0.2">
      <c r="B14874" s="245"/>
      <c r="C14874" s="248"/>
      <c r="D14874" s="249"/>
      <c r="E14874" s="249"/>
      <c r="T14874" s="261"/>
    </row>
    <row r="14875" spans="2:20" x14ac:dyDescent="0.2">
      <c r="B14875" s="245"/>
      <c r="C14875" s="248"/>
      <c r="D14875" s="249"/>
      <c r="E14875" s="249"/>
      <c r="T14875" s="261"/>
    </row>
    <row r="14876" spans="2:20" x14ac:dyDescent="0.2">
      <c r="B14876" s="245"/>
      <c r="C14876" s="248"/>
      <c r="D14876" s="249"/>
      <c r="E14876" s="249"/>
      <c r="T14876" s="261"/>
    </row>
    <row r="14877" spans="2:20" x14ac:dyDescent="0.2">
      <c r="B14877" s="245"/>
      <c r="C14877" s="248"/>
      <c r="D14877" s="249"/>
      <c r="E14877" s="249"/>
      <c r="T14877" s="261"/>
    </row>
    <row r="14878" spans="2:20" x14ac:dyDescent="0.2">
      <c r="B14878" s="245"/>
      <c r="C14878" s="248"/>
      <c r="D14878" s="249"/>
      <c r="E14878" s="249"/>
      <c r="T14878" s="261"/>
    </row>
    <row r="14879" spans="2:20" x14ac:dyDescent="0.2">
      <c r="B14879" s="245"/>
      <c r="C14879" s="248"/>
      <c r="D14879" s="249"/>
      <c r="E14879" s="249"/>
      <c r="T14879" s="261"/>
    </row>
    <row r="14880" spans="2:20" x14ac:dyDescent="0.2">
      <c r="B14880" s="245"/>
      <c r="C14880" s="248"/>
      <c r="D14880" s="249"/>
      <c r="E14880" s="249"/>
      <c r="T14880" s="261"/>
    </row>
    <row r="14881" spans="2:20" x14ac:dyDescent="0.2">
      <c r="B14881" s="245"/>
      <c r="C14881" s="248"/>
      <c r="D14881" s="249"/>
      <c r="E14881" s="249"/>
      <c r="T14881" s="261"/>
    </row>
    <row r="14882" spans="2:20" x14ac:dyDescent="0.2">
      <c r="B14882" s="245"/>
      <c r="C14882" s="248"/>
      <c r="D14882" s="249"/>
      <c r="E14882" s="249"/>
      <c r="T14882" s="261"/>
    </row>
    <row r="14883" spans="2:20" x14ac:dyDescent="0.2">
      <c r="B14883" s="245"/>
      <c r="C14883" s="248"/>
      <c r="D14883" s="249"/>
      <c r="E14883" s="249"/>
      <c r="T14883" s="261"/>
    </row>
    <row r="14884" spans="2:20" x14ac:dyDescent="0.2">
      <c r="B14884" s="245"/>
      <c r="C14884" s="248"/>
      <c r="D14884" s="249"/>
      <c r="E14884" s="249"/>
      <c r="T14884" s="261"/>
    </row>
    <row r="14885" spans="2:20" x14ac:dyDescent="0.2">
      <c r="B14885" s="245"/>
      <c r="C14885" s="248"/>
      <c r="D14885" s="249"/>
      <c r="E14885" s="249"/>
      <c r="T14885" s="261"/>
    </row>
    <row r="14886" spans="2:20" x14ac:dyDescent="0.2">
      <c r="B14886" s="245"/>
      <c r="C14886" s="248"/>
      <c r="D14886" s="249"/>
      <c r="E14886" s="249"/>
      <c r="T14886" s="261"/>
    </row>
    <row r="14887" spans="2:20" x14ac:dyDescent="0.2">
      <c r="B14887" s="245"/>
      <c r="C14887" s="248"/>
      <c r="D14887" s="249"/>
      <c r="E14887" s="249"/>
      <c r="T14887" s="261"/>
    </row>
    <row r="14888" spans="2:20" x14ac:dyDescent="0.2">
      <c r="B14888" s="245"/>
      <c r="C14888" s="248"/>
      <c r="D14888" s="249"/>
      <c r="E14888" s="249"/>
      <c r="T14888" s="261"/>
    </row>
    <row r="14889" spans="2:20" x14ac:dyDescent="0.2">
      <c r="B14889" s="245"/>
      <c r="C14889" s="248"/>
      <c r="D14889" s="249"/>
      <c r="E14889" s="249"/>
      <c r="T14889" s="261"/>
    </row>
    <row r="14890" spans="2:20" x14ac:dyDescent="0.2">
      <c r="B14890" s="245"/>
      <c r="C14890" s="248"/>
      <c r="D14890" s="249"/>
      <c r="E14890" s="249"/>
      <c r="T14890" s="261"/>
    </row>
    <row r="14891" spans="2:20" x14ac:dyDescent="0.2">
      <c r="B14891" s="245"/>
      <c r="C14891" s="248"/>
      <c r="D14891" s="249"/>
      <c r="E14891" s="249"/>
      <c r="T14891" s="261"/>
    </row>
    <row r="14892" spans="2:20" x14ac:dyDescent="0.2">
      <c r="B14892" s="245"/>
      <c r="C14892" s="248"/>
      <c r="D14892" s="249"/>
      <c r="E14892" s="249"/>
      <c r="T14892" s="261"/>
    </row>
    <row r="14893" spans="2:20" x14ac:dyDescent="0.2">
      <c r="B14893" s="245"/>
      <c r="C14893" s="248"/>
      <c r="D14893" s="249"/>
      <c r="E14893" s="249"/>
      <c r="T14893" s="261"/>
    </row>
    <row r="14894" spans="2:20" x14ac:dyDescent="0.2">
      <c r="B14894" s="245"/>
      <c r="C14894" s="248"/>
      <c r="D14894" s="249"/>
      <c r="E14894" s="249"/>
      <c r="T14894" s="261"/>
    </row>
    <row r="14895" spans="2:20" x14ac:dyDescent="0.2">
      <c r="B14895" s="245"/>
      <c r="C14895" s="248"/>
      <c r="D14895" s="249"/>
      <c r="E14895" s="249"/>
      <c r="T14895" s="261"/>
    </row>
    <row r="14896" spans="2:20" x14ac:dyDescent="0.2">
      <c r="B14896" s="245"/>
      <c r="C14896" s="248"/>
      <c r="D14896" s="249"/>
      <c r="E14896" s="249"/>
      <c r="T14896" s="261"/>
    </row>
    <row r="14897" spans="2:20" x14ac:dyDescent="0.2">
      <c r="B14897" s="245"/>
      <c r="C14897" s="248"/>
      <c r="D14897" s="249"/>
      <c r="E14897" s="249"/>
      <c r="T14897" s="261"/>
    </row>
    <row r="14898" spans="2:20" x14ac:dyDescent="0.2">
      <c r="B14898" s="245"/>
      <c r="C14898" s="248"/>
      <c r="D14898" s="249"/>
      <c r="E14898" s="249"/>
      <c r="T14898" s="261"/>
    </row>
    <row r="14899" spans="2:20" x14ac:dyDescent="0.2">
      <c r="B14899" s="245"/>
      <c r="C14899" s="248"/>
      <c r="D14899" s="249"/>
      <c r="E14899" s="249"/>
      <c r="T14899" s="261"/>
    </row>
    <row r="14900" spans="2:20" x14ac:dyDescent="0.2">
      <c r="B14900" s="245"/>
      <c r="C14900" s="248"/>
      <c r="D14900" s="249"/>
      <c r="E14900" s="249"/>
      <c r="T14900" s="261"/>
    </row>
    <row r="14901" spans="2:20" x14ac:dyDescent="0.2">
      <c r="B14901" s="245"/>
      <c r="C14901" s="248"/>
      <c r="D14901" s="249"/>
      <c r="E14901" s="249"/>
      <c r="T14901" s="261"/>
    </row>
    <row r="14902" spans="2:20" x14ac:dyDescent="0.2">
      <c r="B14902" s="245"/>
      <c r="C14902" s="248"/>
      <c r="D14902" s="249"/>
      <c r="E14902" s="249"/>
      <c r="T14902" s="261"/>
    </row>
    <row r="14903" spans="2:20" x14ac:dyDescent="0.2">
      <c r="B14903" s="245"/>
      <c r="C14903" s="248"/>
      <c r="D14903" s="249"/>
      <c r="E14903" s="249"/>
      <c r="T14903" s="261"/>
    </row>
    <row r="14904" spans="2:20" x14ac:dyDescent="0.2">
      <c r="B14904" s="245"/>
      <c r="C14904" s="248"/>
      <c r="D14904" s="249"/>
      <c r="E14904" s="249"/>
      <c r="T14904" s="261"/>
    </row>
    <row r="14905" spans="2:20" x14ac:dyDescent="0.2">
      <c r="B14905" s="245"/>
      <c r="C14905" s="248"/>
      <c r="D14905" s="249"/>
      <c r="E14905" s="249"/>
      <c r="T14905" s="261"/>
    </row>
    <row r="14906" spans="2:20" x14ac:dyDescent="0.2">
      <c r="B14906" s="245"/>
      <c r="C14906" s="248"/>
      <c r="D14906" s="249"/>
      <c r="E14906" s="249"/>
      <c r="T14906" s="261"/>
    </row>
    <row r="14907" spans="2:20" x14ac:dyDescent="0.2">
      <c r="B14907" s="245"/>
      <c r="C14907" s="248"/>
      <c r="D14907" s="249"/>
      <c r="E14907" s="249"/>
      <c r="T14907" s="261"/>
    </row>
    <row r="14908" spans="2:20" x14ac:dyDescent="0.2">
      <c r="B14908" s="245"/>
      <c r="C14908" s="248"/>
      <c r="D14908" s="249"/>
      <c r="E14908" s="249"/>
      <c r="T14908" s="261"/>
    </row>
    <row r="14909" spans="2:20" x14ac:dyDescent="0.2">
      <c r="B14909" s="245"/>
      <c r="C14909" s="248"/>
      <c r="D14909" s="249"/>
      <c r="E14909" s="249"/>
      <c r="T14909" s="261"/>
    </row>
    <row r="14910" spans="2:20" x14ac:dyDescent="0.2">
      <c r="B14910" s="245"/>
      <c r="C14910" s="248"/>
      <c r="D14910" s="249"/>
      <c r="E14910" s="249"/>
      <c r="T14910" s="261"/>
    </row>
    <row r="14911" spans="2:20" x14ac:dyDescent="0.2">
      <c r="B14911" s="245"/>
      <c r="C14911" s="248"/>
      <c r="D14911" s="249"/>
      <c r="E14911" s="249"/>
      <c r="T14911" s="261"/>
    </row>
    <row r="14912" spans="2:20" x14ac:dyDescent="0.2">
      <c r="B14912" s="245"/>
      <c r="C14912" s="248"/>
      <c r="D14912" s="249"/>
      <c r="E14912" s="249"/>
      <c r="T14912" s="261"/>
    </row>
    <row r="14913" spans="2:20" x14ac:dyDescent="0.2">
      <c r="B14913" s="245"/>
      <c r="C14913" s="248"/>
      <c r="D14913" s="249"/>
      <c r="E14913" s="249"/>
      <c r="T14913" s="261"/>
    </row>
    <row r="14914" spans="2:20" x14ac:dyDescent="0.2">
      <c r="B14914" s="245"/>
      <c r="C14914" s="248"/>
      <c r="D14914" s="249"/>
      <c r="E14914" s="249"/>
      <c r="T14914" s="261"/>
    </row>
    <row r="14915" spans="2:20" x14ac:dyDescent="0.2">
      <c r="B14915" s="245"/>
      <c r="C14915" s="248"/>
      <c r="D14915" s="249"/>
      <c r="E14915" s="249"/>
      <c r="T14915" s="261"/>
    </row>
    <row r="14916" spans="2:20" x14ac:dyDescent="0.2">
      <c r="B14916" s="245"/>
      <c r="C14916" s="248"/>
      <c r="D14916" s="249"/>
      <c r="E14916" s="249"/>
      <c r="T14916" s="261"/>
    </row>
    <row r="14917" spans="2:20" x14ac:dyDescent="0.2">
      <c r="B14917" s="245"/>
      <c r="C14917" s="248"/>
      <c r="D14917" s="249"/>
      <c r="E14917" s="249"/>
      <c r="T14917" s="261"/>
    </row>
    <row r="14918" spans="2:20" x14ac:dyDescent="0.2">
      <c r="B14918" s="245"/>
      <c r="C14918" s="248"/>
      <c r="D14918" s="249"/>
      <c r="E14918" s="249"/>
      <c r="T14918" s="261"/>
    </row>
    <row r="14919" spans="2:20" x14ac:dyDescent="0.2">
      <c r="B14919" s="245"/>
      <c r="C14919" s="248"/>
      <c r="D14919" s="249"/>
      <c r="E14919" s="249"/>
      <c r="T14919" s="261"/>
    </row>
    <row r="14920" spans="2:20" x14ac:dyDescent="0.2">
      <c r="B14920" s="245"/>
      <c r="C14920" s="248"/>
      <c r="D14920" s="249"/>
      <c r="E14920" s="249"/>
      <c r="T14920" s="261"/>
    </row>
    <row r="14921" spans="2:20" x14ac:dyDescent="0.2">
      <c r="B14921" s="245"/>
      <c r="C14921" s="248"/>
      <c r="D14921" s="249"/>
      <c r="E14921" s="249"/>
      <c r="T14921" s="261"/>
    </row>
    <row r="14922" spans="2:20" x14ac:dyDescent="0.2">
      <c r="B14922" s="245"/>
      <c r="C14922" s="248"/>
      <c r="D14922" s="249"/>
      <c r="E14922" s="249"/>
      <c r="T14922" s="261"/>
    </row>
    <row r="14923" spans="2:20" x14ac:dyDescent="0.2">
      <c r="B14923" s="245"/>
      <c r="C14923" s="248"/>
      <c r="D14923" s="249"/>
      <c r="E14923" s="249"/>
      <c r="T14923" s="261"/>
    </row>
    <row r="14924" spans="2:20" x14ac:dyDescent="0.2">
      <c r="B14924" s="245"/>
      <c r="C14924" s="248"/>
      <c r="D14924" s="249"/>
      <c r="E14924" s="249"/>
      <c r="T14924" s="261"/>
    </row>
    <row r="14925" spans="2:20" x14ac:dyDescent="0.2">
      <c r="B14925" s="245"/>
      <c r="C14925" s="248"/>
      <c r="D14925" s="249"/>
      <c r="E14925" s="249"/>
      <c r="T14925" s="261"/>
    </row>
    <row r="14926" spans="2:20" x14ac:dyDescent="0.2">
      <c r="B14926" s="245"/>
      <c r="C14926" s="248"/>
      <c r="D14926" s="249"/>
      <c r="E14926" s="249"/>
      <c r="T14926" s="261"/>
    </row>
    <row r="14927" spans="2:20" x14ac:dyDescent="0.2">
      <c r="B14927" s="245"/>
      <c r="C14927" s="248"/>
      <c r="D14927" s="249"/>
      <c r="E14927" s="249"/>
      <c r="T14927" s="261"/>
    </row>
    <row r="14928" spans="2:20" x14ac:dyDescent="0.2">
      <c r="B14928" s="245"/>
      <c r="C14928" s="248"/>
      <c r="D14928" s="249"/>
      <c r="E14928" s="249"/>
      <c r="T14928" s="261"/>
    </row>
    <row r="14929" spans="2:20" x14ac:dyDescent="0.2">
      <c r="B14929" s="245"/>
      <c r="C14929" s="248"/>
      <c r="D14929" s="249"/>
      <c r="E14929" s="249"/>
      <c r="T14929" s="261"/>
    </row>
    <row r="14930" spans="2:20" x14ac:dyDescent="0.2">
      <c r="B14930" s="245"/>
      <c r="C14930" s="248"/>
      <c r="D14930" s="249"/>
      <c r="E14930" s="249"/>
      <c r="T14930" s="261"/>
    </row>
    <row r="14931" spans="2:20" x14ac:dyDescent="0.2">
      <c r="B14931" s="245"/>
      <c r="C14931" s="248"/>
      <c r="D14931" s="249"/>
      <c r="E14931" s="249"/>
      <c r="T14931" s="261"/>
    </row>
    <row r="14932" spans="2:20" x14ac:dyDescent="0.2">
      <c r="B14932" s="245"/>
      <c r="C14932" s="248"/>
      <c r="D14932" s="249"/>
      <c r="E14932" s="249"/>
      <c r="T14932" s="261"/>
    </row>
    <row r="14933" spans="2:20" x14ac:dyDescent="0.2">
      <c r="B14933" s="245"/>
      <c r="C14933" s="248"/>
      <c r="D14933" s="249"/>
      <c r="E14933" s="249"/>
      <c r="T14933" s="261"/>
    </row>
    <row r="14934" spans="2:20" x14ac:dyDescent="0.2">
      <c r="B14934" s="245"/>
      <c r="C14934" s="248"/>
      <c r="D14934" s="249"/>
      <c r="E14934" s="249"/>
      <c r="T14934" s="261"/>
    </row>
    <row r="14935" spans="2:20" x14ac:dyDescent="0.2">
      <c r="B14935" s="245"/>
      <c r="C14935" s="248"/>
      <c r="D14935" s="249"/>
      <c r="E14935" s="249"/>
      <c r="T14935" s="261"/>
    </row>
    <row r="14936" spans="2:20" x14ac:dyDescent="0.2">
      <c r="B14936" s="245"/>
      <c r="C14936" s="248"/>
      <c r="D14936" s="249"/>
      <c r="E14936" s="249"/>
      <c r="T14936" s="261"/>
    </row>
    <row r="14937" spans="2:20" x14ac:dyDescent="0.2">
      <c r="B14937" s="245"/>
      <c r="C14937" s="248"/>
      <c r="D14937" s="249"/>
      <c r="E14937" s="249"/>
      <c r="T14937" s="261"/>
    </row>
    <row r="14938" spans="2:20" x14ac:dyDescent="0.2">
      <c r="B14938" s="245"/>
      <c r="C14938" s="248"/>
      <c r="D14938" s="249"/>
      <c r="E14938" s="249"/>
      <c r="T14938" s="261"/>
    </row>
    <row r="14939" spans="2:20" x14ac:dyDescent="0.2">
      <c r="B14939" s="245"/>
      <c r="C14939" s="248"/>
      <c r="D14939" s="249"/>
      <c r="E14939" s="249"/>
      <c r="T14939" s="261"/>
    </row>
    <row r="14940" spans="2:20" x14ac:dyDescent="0.2">
      <c r="B14940" s="245"/>
      <c r="C14940" s="248"/>
      <c r="D14940" s="249"/>
      <c r="E14940" s="249"/>
      <c r="T14940" s="261"/>
    </row>
    <row r="14941" spans="2:20" x14ac:dyDescent="0.2">
      <c r="B14941" s="245"/>
      <c r="C14941" s="248"/>
      <c r="D14941" s="249"/>
      <c r="E14941" s="249"/>
      <c r="T14941" s="261"/>
    </row>
    <row r="14942" spans="2:20" x14ac:dyDescent="0.2">
      <c r="B14942" s="245"/>
      <c r="C14942" s="248"/>
      <c r="D14942" s="249"/>
      <c r="E14942" s="249"/>
      <c r="T14942" s="261"/>
    </row>
    <row r="14943" spans="2:20" x14ac:dyDescent="0.2">
      <c r="B14943" s="245"/>
      <c r="C14943" s="248"/>
      <c r="D14943" s="249"/>
      <c r="E14943" s="249"/>
      <c r="T14943" s="261"/>
    </row>
    <row r="14944" spans="2:20" x14ac:dyDescent="0.2">
      <c r="B14944" s="245"/>
      <c r="C14944" s="248"/>
      <c r="D14944" s="249"/>
      <c r="E14944" s="249"/>
      <c r="T14944" s="261"/>
    </row>
    <row r="14945" spans="2:20" x14ac:dyDescent="0.2">
      <c r="B14945" s="245"/>
      <c r="C14945" s="248"/>
      <c r="D14945" s="249"/>
      <c r="E14945" s="249"/>
      <c r="T14945" s="261"/>
    </row>
    <row r="14946" spans="2:20" x14ac:dyDescent="0.2">
      <c r="B14946" s="245"/>
      <c r="C14946" s="248"/>
      <c r="D14946" s="249"/>
      <c r="E14946" s="249"/>
      <c r="T14946" s="261"/>
    </row>
    <row r="14947" spans="2:20" x14ac:dyDescent="0.2">
      <c r="B14947" s="245"/>
      <c r="C14947" s="248"/>
      <c r="D14947" s="249"/>
      <c r="E14947" s="249"/>
      <c r="T14947" s="261"/>
    </row>
    <row r="14948" spans="2:20" x14ac:dyDescent="0.2">
      <c r="B14948" s="245"/>
      <c r="C14948" s="248"/>
      <c r="D14948" s="249"/>
      <c r="E14948" s="249"/>
      <c r="T14948" s="261"/>
    </row>
    <row r="14949" spans="2:20" x14ac:dyDescent="0.2">
      <c r="B14949" s="245"/>
      <c r="C14949" s="248"/>
      <c r="D14949" s="249"/>
      <c r="E14949" s="249"/>
      <c r="T14949" s="261"/>
    </row>
    <row r="14950" spans="2:20" x14ac:dyDescent="0.2">
      <c r="B14950" s="245"/>
      <c r="C14950" s="248"/>
      <c r="D14950" s="249"/>
      <c r="E14950" s="249"/>
      <c r="T14950" s="261"/>
    </row>
    <row r="14951" spans="2:20" x14ac:dyDescent="0.2">
      <c r="B14951" s="245"/>
      <c r="C14951" s="248"/>
      <c r="D14951" s="249"/>
      <c r="E14951" s="249"/>
      <c r="T14951" s="261"/>
    </row>
    <row r="14952" spans="2:20" x14ac:dyDescent="0.2">
      <c r="B14952" s="245"/>
      <c r="C14952" s="248"/>
      <c r="D14952" s="249"/>
      <c r="E14952" s="249"/>
      <c r="T14952" s="261"/>
    </row>
    <row r="14953" spans="2:20" x14ac:dyDescent="0.2">
      <c r="B14953" s="245"/>
      <c r="C14953" s="248"/>
      <c r="D14953" s="249"/>
      <c r="E14953" s="249"/>
      <c r="T14953" s="261"/>
    </row>
    <row r="14954" spans="2:20" x14ac:dyDescent="0.2">
      <c r="B14954" s="245"/>
      <c r="C14954" s="248"/>
      <c r="D14954" s="249"/>
      <c r="E14954" s="249"/>
      <c r="T14954" s="261"/>
    </row>
    <row r="14955" spans="2:20" x14ac:dyDescent="0.2">
      <c r="B14955" s="245"/>
      <c r="C14955" s="248"/>
      <c r="D14955" s="249"/>
      <c r="E14955" s="249"/>
      <c r="T14955" s="261"/>
    </row>
    <row r="14956" spans="2:20" x14ac:dyDescent="0.2">
      <c r="B14956" s="245"/>
      <c r="C14956" s="248"/>
      <c r="D14956" s="249"/>
      <c r="E14956" s="249"/>
      <c r="T14956" s="261"/>
    </row>
    <row r="14957" spans="2:20" x14ac:dyDescent="0.2">
      <c r="B14957" s="245"/>
      <c r="C14957" s="248"/>
      <c r="D14957" s="249"/>
      <c r="E14957" s="249"/>
      <c r="T14957" s="261"/>
    </row>
    <row r="14958" spans="2:20" x14ac:dyDescent="0.2">
      <c r="B14958" s="245"/>
      <c r="C14958" s="248"/>
      <c r="D14958" s="249"/>
      <c r="E14958" s="249"/>
      <c r="T14958" s="261"/>
    </row>
    <row r="14959" spans="2:20" x14ac:dyDescent="0.2">
      <c r="B14959" s="245"/>
      <c r="C14959" s="248"/>
      <c r="D14959" s="249"/>
      <c r="E14959" s="249"/>
      <c r="T14959" s="261"/>
    </row>
    <row r="14960" spans="2:20" x14ac:dyDescent="0.2">
      <c r="B14960" s="245"/>
      <c r="C14960" s="248"/>
      <c r="D14960" s="249"/>
      <c r="E14960" s="249"/>
      <c r="T14960" s="261"/>
    </row>
    <row r="14961" spans="2:20" x14ac:dyDescent="0.2">
      <c r="B14961" s="245"/>
      <c r="C14961" s="248"/>
      <c r="D14961" s="249"/>
      <c r="E14961" s="249"/>
      <c r="T14961" s="261"/>
    </row>
    <row r="14962" spans="2:20" x14ac:dyDescent="0.2">
      <c r="B14962" s="245"/>
      <c r="C14962" s="248"/>
      <c r="D14962" s="249"/>
      <c r="E14962" s="249"/>
      <c r="T14962" s="261"/>
    </row>
    <row r="14963" spans="2:20" x14ac:dyDescent="0.2">
      <c r="B14963" s="245"/>
      <c r="C14963" s="248"/>
      <c r="D14963" s="249"/>
      <c r="E14963" s="249"/>
      <c r="T14963" s="261"/>
    </row>
    <row r="14964" spans="2:20" x14ac:dyDescent="0.2">
      <c r="B14964" s="245"/>
      <c r="C14964" s="248"/>
      <c r="D14964" s="249"/>
      <c r="E14964" s="249"/>
      <c r="T14964" s="261"/>
    </row>
    <row r="14965" spans="2:20" x14ac:dyDescent="0.2">
      <c r="B14965" s="245"/>
      <c r="C14965" s="248"/>
      <c r="D14965" s="249"/>
      <c r="E14965" s="249"/>
      <c r="T14965" s="261"/>
    </row>
    <row r="14966" spans="2:20" x14ac:dyDescent="0.2">
      <c r="B14966" s="245"/>
      <c r="C14966" s="248"/>
      <c r="D14966" s="249"/>
      <c r="E14966" s="249"/>
      <c r="T14966" s="261"/>
    </row>
    <row r="14967" spans="2:20" x14ac:dyDescent="0.2">
      <c r="B14967" s="245"/>
      <c r="C14967" s="248"/>
      <c r="D14967" s="249"/>
      <c r="E14967" s="249"/>
      <c r="T14967" s="261"/>
    </row>
    <row r="14968" spans="2:20" x14ac:dyDescent="0.2">
      <c r="B14968" s="245"/>
      <c r="C14968" s="248"/>
      <c r="D14968" s="249"/>
      <c r="E14968" s="249"/>
      <c r="T14968" s="261"/>
    </row>
    <row r="14969" spans="2:20" x14ac:dyDescent="0.2">
      <c r="B14969" s="245"/>
      <c r="C14969" s="248"/>
      <c r="D14969" s="249"/>
      <c r="E14969" s="249"/>
      <c r="T14969" s="261"/>
    </row>
    <row r="14970" spans="2:20" x14ac:dyDescent="0.2">
      <c r="B14970" s="245"/>
      <c r="C14970" s="248"/>
      <c r="D14970" s="249"/>
      <c r="E14970" s="249"/>
      <c r="T14970" s="261"/>
    </row>
    <row r="14971" spans="2:20" x14ac:dyDescent="0.2">
      <c r="B14971" s="245"/>
      <c r="C14971" s="248"/>
      <c r="D14971" s="249"/>
      <c r="E14971" s="249"/>
      <c r="T14971" s="261"/>
    </row>
    <row r="14972" spans="2:20" x14ac:dyDescent="0.2">
      <c r="B14972" s="245"/>
      <c r="C14972" s="248"/>
      <c r="D14972" s="249"/>
      <c r="E14972" s="249"/>
      <c r="T14972" s="261"/>
    </row>
    <row r="14973" spans="2:20" x14ac:dyDescent="0.2">
      <c r="B14973" s="245"/>
      <c r="C14973" s="248"/>
      <c r="D14973" s="249"/>
      <c r="E14973" s="249"/>
      <c r="T14973" s="261"/>
    </row>
    <row r="14974" spans="2:20" x14ac:dyDescent="0.2">
      <c r="B14974" s="245"/>
      <c r="C14974" s="248"/>
      <c r="D14974" s="249"/>
      <c r="E14974" s="249"/>
      <c r="T14974" s="261"/>
    </row>
    <row r="14975" spans="2:20" x14ac:dyDescent="0.2">
      <c r="B14975" s="245"/>
      <c r="C14975" s="248"/>
      <c r="D14975" s="249"/>
      <c r="E14975" s="249"/>
      <c r="T14975" s="261"/>
    </row>
    <row r="14976" spans="2:20" x14ac:dyDescent="0.2">
      <c r="B14976" s="245"/>
      <c r="C14976" s="248"/>
      <c r="D14976" s="249"/>
      <c r="E14976" s="249"/>
      <c r="T14976" s="261"/>
    </row>
    <row r="14977" spans="2:20" x14ac:dyDescent="0.2">
      <c r="B14977" s="245"/>
      <c r="C14977" s="248"/>
      <c r="D14977" s="249"/>
      <c r="E14977" s="249"/>
      <c r="T14977" s="261"/>
    </row>
    <row r="14978" spans="2:20" x14ac:dyDescent="0.2">
      <c r="B14978" s="245"/>
      <c r="C14978" s="248"/>
      <c r="D14978" s="249"/>
      <c r="E14978" s="249"/>
      <c r="T14978" s="261"/>
    </row>
    <row r="14979" spans="2:20" x14ac:dyDescent="0.2">
      <c r="B14979" s="245"/>
      <c r="C14979" s="248"/>
      <c r="D14979" s="249"/>
      <c r="E14979" s="249"/>
      <c r="T14979" s="261"/>
    </row>
    <row r="14980" spans="2:20" x14ac:dyDescent="0.2">
      <c r="B14980" s="245"/>
      <c r="C14980" s="248"/>
      <c r="D14980" s="249"/>
      <c r="E14980" s="249"/>
      <c r="T14980" s="261"/>
    </row>
    <row r="14981" spans="2:20" x14ac:dyDescent="0.2">
      <c r="B14981" s="245"/>
      <c r="C14981" s="248"/>
      <c r="D14981" s="249"/>
      <c r="E14981" s="249"/>
      <c r="T14981" s="261"/>
    </row>
    <row r="14982" spans="2:20" x14ac:dyDescent="0.2">
      <c r="B14982" s="245"/>
      <c r="C14982" s="248"/>
      <c r="D14982" s="249"/>
      <c r="E14982" s="249"/>
      <c r="T14982" s="261"/>
    </row>
    <row r="14983" spans="2:20" x14ac:dyDescent="0.2">
      <c r="B14983" s="245"/>
      <c r="C14983" s="248"/>
      <c r="D14983" s="249"/>
      <c r="E14983" s="249"/>
      <c r="T14983" s="261"/>
    </row>
    <row r="14984" spans="2:20" x14ac:dyDescent="0.2">
      <c r="B14984" s="245"/>
      <c r="C14984" s="248"/>
      <c r="D14984" s="249"/>
      <c r="E14984" s="249"/>
      <c r="T14984" s="261"/>
    </row>
    <row r="14985" spans="2:20" x14ac:dyDescent="0.2">
      <c r="B14985" s="245"/>
      <c r="C14985" s="248"/>
      <c r="D14985" s="249"/>
      <c r="E14985" s="249"/>
      <c r="T14985" s="261"/>
    </row>
    <row r="14986" spans="2:20" x14ac:dyDescent="0.2">
      <c r="B14986" s="245"/>
      <c r="C14986" s="248"/>
      <c r="D14986" s="249"/>
      <c r="E14986" s="249"/>
      <c r="T14986" s="261"/>
    </row>
    <row r="14987" spans="2:20" x14ac:dyDescent="0.2">
      <c r="B14987" s="245"/>
      <c r="C14987" s="248"/>
      <c r="D14987" s="249"/>
      <c r="E14987" s="249"/>
      <c r="T14987" s="261"/>
    </row>
    <row r="14988" spans="2:20" x14ac:dyDescent="0.2">
      <c r="B14988" s="245"/>
      <c r="C14988" s="248"/>
      <c r="D14988" s="249"/>
      <c r="E14988" s="249"/>
      <c r="T14988" s="261"/>
    </row>
    <row r="14989" spans="2:20" x14ac:dyDescent="0.2">
      <c r="B14989" s="245"/>
      <c r="C14989" s="248"/>
      <c r="D14989" s="249"/>
      <c r="E14989" s="249"/>
      <c r="T14989" s="261"/>
    </row>
    <row r="14990" spans="2:20" x14ac:dyDescent="0.2">
      <c r="B14990" s="245"/>
      <c r="C14990" s="248"/>
      <c r="D14990" s="249"/>
      <c r="E14990" s="249"/>
      <c r="T14990" s="261"/>
    </row>
    <row r="14991" spans="2:20" x14ac:dyDescent="0.2">
      <c r="B14991" s="245"/>
      <c r="C14991" s="248"/>
      <c r="D14991" s="249"/>
      <c r="E14991" s="249"/>
      <c r="T14991" s="261"/>
    </row>
    <row r="14992" spans="2:20" x14ac:dyDescent="0.2">
      <c r="B14992" s="245"/>
      <c r="C14992" s="248"/>
      <c r="D14992" s="249"/>
      <c r="E14992" s="249"/>
      <c r="T14992" s="261"/>
    </row>
    <row r="14993" spans="2:20" x14ac:dyDescent="0.2">
      <c r="B14993" s="245"/>
      <c r="C14993" s="248"/>
      <c r="D14993" s="249"/>
      <c r="E14993" s="249"/>
      <c r="T14993" s="261"/>
    </row>
    <row r="14994" spans="2:20" x14ac:dyDescent="0.2">
      <c r="B14994" s="245"/>
      <c r="C14994" s="248"/>
      <c r="D14994" s="249"/>
      <c r="E14994" s="249"/>
      <c r="T14994" s="261"/>
    </row>
    <row r="14995" spans="2:20" x14ac:dyDescent="0.2">
      <c r="B14995" s="245"/>
      <c r="C14995" s="248"/>
      <c r="D14995" s="249"/>
      <c r="E14995" s="249"/>
      <c r="T14995" s="261"/>
    </row>
    <row r="14996" spans="2:20" x14ac:dyDescent="0.2">
      <c r="B14996" s="245"/>
      <c r="C14996" s="248"/>
      <c r="D14996" s="249"/>
      <c r="E14996" s="249"/>
      <c r="T14996" s="261"/>
    </row>
    <row r="14997" spans="2:20" x14ac:dyDescent="0.2">
      <c r="B14997" s="245"/>
      <c r="C14997" s="248"/>
      <c r="D14997" s="249"/>
      <c r="E14997" s="249"/>
      <c r="T14997" s="261"/>
    </row>
    <row r="14998" spans="2:20" x14ac:dyDescent="0.2">
      <c r="B14998" s="245"/>
      <c r="C14998" s="248"/>
      <c r="D14998" s="249"/>
      <c r="E14998" s="249"/>
      <c r="T14998" s="261"/>
    </row>
    <row r="14999" spans="2:20" x14ac:dyDescent="0.2">
      <c r="B14999" s="245"/>
      <c r="C14999" s="248"/>
      <c r="D14999" s="249"/>
      <c r="E14999" s="249"/>
      <c r="T14999" s="261"/>
    </row>
    <row r="15000" spans="2:20" x14ac:dyDescent="0.2">
      <c r="B15000" s="245"/>
      <c r="C15000" s="248"/>
      <c r="D15000" s="249"/>
      <c r="E15000" s="249"/>
      <c r="T15000" s="261"/>
    </row>
    <row r="15001" spans="2:20" x14ac:dyDescent="0.2">
      <c r="B15001" s="245"/>
      <c r="C15001" s="248"/>
      <c r="D15001" s="249"/>
      <c r="E15001" s="249"/>
      <c r="T15001" s="261"/>
    </row>
    <row r="15002" spans="2:20" x14ac:dyDescent="0.2">
      <c r="B15002" s="245"/>
      <c r="C15002" s="248"/>
      <c r="D15002" s="249"/>
      <c r="E15002" s="249"/>
      <c r="T15002" s="261"/>
    </row>
    <row r="15003" spans="2:20" x14ac:dyDescent="0.2">
      <c r="B15003" s="245"/>
      <c r="C15003" s="248"/>
      <c r="D15003" s="249"/>
      <c r="E15003" s="249"/>
      <c r="T15003" s="261"/>
    </row>
    <row r="15004" spans="2:20" x14ac:dyDescent="0.2">
      <c r="B15004" s="245"/>
      <c r="C15004" s="248"/>
      <c r="D15004" s="249"/>
      <c r="E15004" s="249"/>
      <c r="T15004" s="261"/>
    </row>
    <row r="15005" spans="2:20" x14ac:dyDescent="0.2">
      <c r="B15005" s="245"/>
      <c r="C15005" s="248"/>
      <c r="D15005" s="249"/>
      <c r="E15005" s="249"/>
      <c r="T15005" s="261"/>
    </row>
    <row r="15006" spans="2:20" x14ac:dyDescent="0.2">
      <c r="B15006" s="245"/>
      <c r="C15006" s="248"/>
      <c r="D15006" s="249"/>
      <c r="E15006" s="249"/>
      <c r="T15006" s="261"/>
    </row>
    <row r="15007" spans="2:20" x14ac:dyDescent="0.2">
      <c r="B15007" s="245"/>
      <c r="C15007" s="248"/>
      <c r="D15007" s="249"/>
      <c r="E15007" s="249"/>
      <c r="T15007" s="261"/>
    </row>
    <row r="15008" spans="2:20" x14ac:dyDescent="0.2">
      <c r="B15008" s="245"/>
      <c r="C15008" s="248"/>
      <c r="D15008" s="249"/>
      <c r="E15008" s="249"/>
      <c r="T15008" s="261"/>
    </row>
    <row r="15009" spans="2:20" x14ac:dyDescent="0.2">
      <c r="B15009" s="245"/>
      <c r="C15009" s="248"/>
      <c r="D15009" s="249"/>
      <c r="E15009" s="249"/>
      <c r="T15009" s="261"/>
    </row>
    <row r="15010" spans="2:20" x14ac:dyDescent="0.2">
      <c r="B15010" s="245"/>
      <c r="C15010" s="248"/>
      <c r="D15010" s="249"/>
      <c r="E15010" s="249"/>
      <c r="T15010" s="261"/>
    </row>
    <row r="15011" spans="2:20" x14ac:dyDescent="0.2">
      <c r="B15011" s="245"/>
      <c r="C15011" s="248"/>
      <c r="D15011" s="249"/>
      <c r="E15011" s="249"/>
      <c r="T15011" s="261"/>
    </row>
    <row r="15012" spans="2:20" x14ac:dyDescent="0.2">
      <c r="B15012" s="245"/>
      <c r="C15012" s="248"/>
      <c r="D15012" s="249"/>
      <c r="E15012" s="249"/>
      <c r="T15012" s="261"/>
    </row>
    <row r="15013" spans="2:20" x14ac:dyDescent="0.2">
      <c r="B15013" s="245"/>
      <c r="C15013" s="248"/>
      <c r="D15013" s="249"/>
      <c r="E15013" s="249"/>
      <c r="T15013" s="261"/>
    </row>
    <row r="15014" spans="2:20" x14ac:dyDescent="0.2">
      <c r="B15014" s="245"/>
      <c r="C15014" s="248"/>
      <c r="D15014" s="249"/>
      <c r="E15014" s="249"/>
      <c r="T15014" s="261"/>
    </row>
    <row r="15015" spans="2:20" x14ac:dyDescent="0.2">
      <c r="B15015" s="245"/>
      <c r="C15015" s="248"/>
      <c r="D15015" s="249"/>
      <c r="E15015" s="249"/>
      <c r="T15015" s="261"/>
    </row>
    <row r="15016" spans="2:20" x14ac:dyDescent="0.2">
      <c r="B15016" s="245"/>
      <c r="C15016" s="248"/>
      <c r="D15016" s="249"/>
      <c r="E15016" s="249"/>
      <c r="T15016" s="261"/>
    </row>
    <row r="15017" spans="2:20" x14ac:dyDescent="0.2">
      <c r="B15017" s="245"/>
      <c r="C15017" s="248"/>
      <c r="D15017" s="249"/>
      <c r="E15017" s="249"/>
      <c r="T15017" s="261"/>
    </row>
    <row r="15018" spans="2:20" x14ac:dyDescent="0.2">
      <c r="B15018" s="245"/>
      <c r="C15018" s="248"/>
      <c r="D15018" s="249"/>
      <c r="E15018" s="249"/>
      <c r="T15018" s="261"/>
    </row>
    <row r="15019" spans="2:20" x14ac:dyDescent="0.2">
      <c r="B15019" s="245"/>
      <c r="C15019" s="248"/>
      <c r="D15019" s="249"/>
      <c r="E15019" s="249"/>
      <c r="T15019" s="261"/>
    </row>
    <row r="15020" spans="2:20" x14ac:dyDescent="0.2">
      <c r="B15020" s="245"/>
      <c r="C15020" s="248"/>
      <c r="D15020" s="249"/>
      <c r="E15020" s="249"/>
      <c r="T15020" s="261"/>
    </row>
    <row r="15021" spans="2:20" x14ac:dyDescent="0.2">
      <c r="B15021" s="245"/>
      <c r="C15021" s="248"/>
      <c r="D15021" s="249"/>
      <c r="E15021" s="249"/>
      <c r="T15021" s="261"/>
    </row>
    <row r="15022" spans="2:20" x14ac:dyDescent="0.2">
      <c r="B15022" s="245"/>
      <c r="C15022" s="248"/>
      <c r="D15022" s="249"/>
      <c r="E15022" s="249"/>
      <c r="T15022" s="261"/>
    </row>
    <row r="15023" spans="2:20" x14ac:dyDescent="0.2">
      <c r="B15023" s="245"/>
      <c r="C15023" s="248"/>
      <c r="D15023" s="249"/>
      <c r="E15023" s="249"/>
      <c r="T15023" s="261"/>
    </row>
    <row r="15024" spans="2:20" x14ac:dyDescent="0.2">
      <c r="B15024" s="245"/>
      <c r="C15024" s="248"/>
      <c r="D15024" s="249"/>
      <c r="E15024" s="249"/>
      <c r="T15024" s="261"/>
    </row>
    <row r="15025" spans="2:20" x14ac:dyDescent="0.2">
      <c r="B15025" s="245"/>
      <c r="C15025" s="248"/>
      <c r="D15025" s="249"/>
      <c r="E15025" s="249"/>
      <c r="T15025" s="261"/>
    </row>
    <row r="15026" spans="2:20" x14ac:dyDescent="0.2">
      <c r="B15026" s="245"/>
      <c r="C15026" s="248"/>
      <c r="D15026" s="249"/>
      <c r="E15026" s="249"/>
      <c r="T15026" s="261"/>
    </row>
    <row r="15027" spans="2:20" x14ac:dyDescent="0.2">
      <c r="B15027" s="245"/>
      <c r="C15027" s="248"/>
      <c r="D15027" s="249"/>
      <c r="E15027" s="249"/>
      <c r="T15027" s="261"/>
    </row>
    <row r="15028" spans="2:20" x14ac:dyDescent="0.2">
      <c r="B15028" s="245"/>
      <c r="C15028" s="248"/>
      <c r="D15028" s="249"/>
      <c r="E15028" s="249"/>
      <c r="T15028" s="261"/>
    </row>
    <row r="15029" spans="2:20" x14ac:dyDescent="0.2">
      <c r="B15029" s="245"/>
      <c r="C15029" s="248"/>
      <c r="D15029" s="249"/>
      <c r="E15029" s="249"/>
      <c r="T15029" s="261"/>
    </row>
    <row r="15030" spans="2:20" x14ac:dyDescent="0.2">
      <c r="B15030" s="245"/>
      <c r="C15030" s="248"/>
      <c r="D15030" s="249"/>
      <c r="E15030" s="249"/>
      <c r="T15030" s="261"/>
    </row>
    <row r="15031" spans="2:20" x14ac:dyDescent="0.2">
      <c r="B15031" s="245"/>
      <c r="C15031" s="248"/>
      <c r="D15031" s="249"/>
      <c r="E15031" s="249"/>
      <c r="T15031" s="261"/>
    </row>
    <row r="15032" spans="2:20" x14ac:dyDescent="0.2">
      <c r="B15032" s="245"/>
      <c r="C15032" s="248"/>
      <c r="D15032" s="249"/>
      <c r="E15032" s="249"/>
      <c r="T15032" s="261"/>
    </row>
    <row r="15033" spans="2:20" x14ac:dyDescent="0.2">
      <c r="B15033" s="245"/>
      <c r="C15033" s="248"/>
      <c r="D15033" s="249"/>
      <c r="E15033" s="249"/>
      <c r="T15033" s="261"/>
    </row>
    <row r="15034" spans="2:20" x14ac:dyDescent="0.2">
      <c r="B15034" s="245"/>
      <c r="C15034" s="248"/>
      <c r="D15034" s="249"/>
      <c r="E15034" s="249"/>
      <c r="T15034" s="261"/>
    </row>
    <row r="15035" spans="2:20" x14ac:dyDescent="0.2">
      <c r="B15035" s="245"/>
      <c r="C15035" s="248"/>
      <c r="D15035" s="249"/>
      <c r="E15035" s="249"/>
      <c r="T15035" s="261"/>
    </row>
    <row r="15036" spans="2:20" x14ac:dyDescent="0.2">
      <c r="B15036" s="245"/>
      <c r="C15036" s="248"/>
      <c r="D15036" s="249"/>
      <c r="E15036" s="249"/>
      <c r="T15036" s="261"/>
    </row>
    <row r="15037" spans="2:20" x14ac:dyDescent="0.2">
      <c r="B15037" s="245"/>
      <c r="C15037" s="248"/>
      <c r="D15037" s="249"/>
      <c r="E15037" s="249"/>
      <c r="T15037" s="261"/>
    </row>
    <row r="15038" spans="2:20" x14ac:dyDescent="0.2">
      <c r="B15038" s="245"/>
      <c r="C15038" s="248"/>
      <c r="D15038" s="249"/>
      <c r="E15038" s="249"/>
      <c r="T15038" s="261"/>
    </row>
    <row r="15039" spans="2:20" x14ac:dyDescent="0.2">
      <c r="B15039" s="245"/>
      <c r="C15039" s="248"/>
      <c r="D15039" s="249"/>
      <c r="E15039" s="249"/>
      <c r="T15039" s="261"/>
    </row>
    <row r="15040" spans="2:20" x14ac:dyDescent="0.2">
      <c r="B15040" s="245"/>
      <c r="C15040" s="248"/>
      <c r="D15040" s="249"/>
      <c r="E15040" s="249"/>
      <c r="T15040" s="261"/>
    </row>
    <row r="15041" spans="2:20" x14ac:dyDescent="0.2">
      <c r="B15041" s="245"/>
      <c r="C15041" s="248"/>
      <c r="D15041" s="249"/>
      <c r="E15041" s="249"/>
      <c r="T15041" s="261"/>
    </row>
    <row r="15042" spans="2:20" x14ac:dyDescent="0.2">
      <c r="B15042" s="245"/>
      <c r="C15042" s="248"/>
      <c r="D15042" s="249"/>
      <c r="E15042" s="249"/>
      <c r="T15042" s="261"/>
    </row>
    <row r="15043" spans="2:20" x14ac:dyDescent="0.2">
      <c r="B15043" s="245"/>
      <c r="C15043" s="248"/>
      <c r="D15043" s="249"/>
      <c r="E15043" s="249"/>
      <c r="T15043" s="261"/>
    </row>
    <row r="15044" spans="2:20" x14ac:dyDescent="0.2">
      <c r="B15044" s="245"/>
      <c r="C15044" s="248"/>
      <c r="D15044" s="249"/>
      <c r="E15044" s="249"/>
      <c r="T15044" s="261"/>
    </row>
    <row r="15045" spans="2:20" x14ac:dyDescent="0.2">
      <c r="B15045" s="245"/>
      <c r="C15045" s="248"/>
      <c r="D15045" s="249"/>
      <c r="E15045" s="249"/>
      <c r="T15045" s="261"/>
    </row>
    <row r="15046" spans="2:20" x14ac:dyDescent="0.2">
      <c r="B15046" s="245"/>
      <c r="C15046" s="248"/>
      <c r="D15046" s="249"/>
      <c r="E15046" s="249"/>
      <c r="T15046" s="261"/>
    </row>
    <row r="15047" spans="2:20" x14ac:dyDescent="0.2">
      <c r="B15047" s="245"/>
      <c r="C15047" s="248"/>
      <c r="D15047" s="249"/>
      <c r="E15047" s="249"/>
      <c r="T15047" s="261"/>
    </row>
    <row r="15048" spans="2:20" x14ac:dyDescent="0.2">
      <c r="B15048" s="245"/>
      <c r="C15048" s="248"/>
      <c r="D15048" s="249"/>
      <c r="E15048" s="249"/>
      <c r="T15048" s="261"/>
    </row>
    <row r="15049" spans="2:20" x14ac:dyDescent="0.2">
      <c r="B15049" s="245"/>
      <c r="C15049" s="248"/>
      <c r="D15049" s="249"/>
      <c r="E15049" s="249"/>
      <c r="T15049" s="261"/>
    </row>
    <row r="15050" spans="2:20" x14ac:dyDescent="0.2">
      <c r="B15050" s="245"/>
      <c r="C15050" s="248"/>
      <c r="D15050" s="249"/>
      <c r="E15050" s="249"/>
      <c r="T15050" s="261"/>
    </row>
    <row r="15051" spans="2:20" x14ac:dyDescent="0.2">
      <c r="B15051" s="245"/>
      <c r="C15051" s="248"/>
      <c r="D15051" s="249"/>
      <c r="E15051" s="249"/>
      <c r="T15051" s="261"/>
    </row>
    <row r="15052" spans="2:20" x14ac:dyDescent="0.2">
      <c r="B15052" s="245"/>
      <c r="C15052" s="248"/>
      <c r="D15052" s="249"/>
      <c r="E15052" s="249"/>
      <c r="T15052" s="261"/>
    </row>
    <row r="15053" spans="2:20" x14ac:dyDescent="0.2">
      <c r="B15053" s="245"/>
      <c r="C15053" s="248"/>
      <c r="D15053" s="249"/>
      <c r="E15053" s="249"/>
      <c r="T15053" s="261"/>
    </row>
    <row r="15054" spans="2:20" x14ac:dyDescent="0.2">
      <c r="B15054" s="245"/>
      <c r="C15054" s="248"/>
      <c r="D15054" s="249"/>
      <c r="E15054" s="249"/>
      <c r="T15054" s="261"/>
    </row>
    <row r="15055" spans="2:20" x14ac:dyDescent="0.2">
      <c r="B15055" s="245"/>
      <c r="C15055" s="248"/>
      <c r="D15055" s="249"/>
      <c r="E15055" s="249"/>
      <c r="T15055" s="261"/>
    </row>
    <row r="15056" spans="2:20" x14ac:dyDescent="0.2">
      <c r="B15056" s="245"/>
      <c r="C15056" s="248"/>
      <c r="D15056" s="249"/>
      <c r="E15056" s="249"/>
      <c r="T15056" s="261"/>
    </row>
    <row r="15057" spans="2:20" x14ac:dyDescent="0.2">
      <c r="B15057" s="245"/>
      <c r="C15057" s="248"/>
      <c r="D15057" s="249"/>
      <c r="E15057" s="249"/>
      <c r="T15057" s="261"/>
    </row>
    <row r="15058" spans="2:20" x14ac:dyDescent="0.2">
      <c r="B15058" s="245"/>
      <c r="C15058" s="248"/>
      <c r="D15058" s="249"/>
      <c r="E15058" s="249"/>
      <c r="T15058" s="261"/>
    </row>
    <row r="15059" spans="2:20" x14ac:dyDescent="0.2">
      <c r="B15059" s="245"/>
      <c r="C15059" s="248"/>
      <c r="D15059" s="249"/>
      <c r="E15059" s="249"/>
      <c r="T15059" s="261"/>
    </row>
    <row r="15060" spans="2:20" x14ac:dyDescent="0.2">
      <c r="B15060" s="245"/>
      <c r="C15060" s="248"/>
      <c r="D15060" s="249"/>
      <c r="E15060" s="249"/>
      <c r="T15060" s="261"/>
    </row>
    <row r="15061" spans="2:20" x14ac:dyDescent="0.2">
      <c r="B15061" s="245"/>
      <c r="C15061" s="248"/>
      <c r="D15061" s="249"/>
      <c r="E15061" s="249"/>
      <c r="T15061" s="261"/>
    </row>
    <row r="15062" spans="2:20" x14ac:dyDescent="0.2">
      <c r="B15062" s="245"/>
      <c r="C15062" s="248"/>
      <c r="D15062" s="249"/>
      <c r="E15062" s="249"/>
      <c r="T15062" s="261"/>
    </row>
    <row r="15063" spans="2:20" x14ac:dyDescent="0.2">
      <c r="B15063" s="245"/>
      <c r="C15063" s="248"/>
      <c r="D15063" s="249"/>
      <c r="E15063" s="249"/>
      <c r="T15063" s="261"/>
    </row>
    <row r="15064" spans="2:20" x14ac:dyDescent="0.2">
      <c r="B15064" s="245"/>
      <c r="C15064" s="248"/>
      <c r="D15064" s="249"/>
      <c r="E15064" s="249"/>
      <c r="T15064" s="261"/>
    </row>
    <row r="15065" spans="2:20" x14ac:dyDescent="0.2">
      <c r="B15065" s="245"/>
      <c r="C15065" s="248"/>
      <c r="D15065" s="249"/>
      <c r="E15065" s="249"/>
      <c r="T15065" s="261"/>
    </row>
    <row r="15066" spans="2:20" x14ac:dyDescent="0.2">
      <c r="B15066" s="245"/>
      <c r="C15066" s="248"/>
      <c r="D15066" s="249"/>
      <c r="E15066" s="249"/>
      <c r="T15066" s="261"/>
    </row>
    <row r="15067" spans="2:20" x14ac:dyDescent="0.2">
      <c r="B15067" s="245"/>
      <c r="C15067" s="248"/>
      <c r="D15067" s="249"/>
      <c r="E15067" s="249"/>
      <c r="T15067" s="261"/>
    </row>
    <row r="15068" spans="2:20" x14ac:dyDescent="0.2">
      <c r="B15068" s="245"/>
      <c r="C15068" s="248"/>
      <c r="D15068" s="249"/>
      <c r="E15068" s="249"/>
      <c r="T15068" s="261"/>
    </row>
    <row r="15069" spans="2:20" x14ac:dyDescent="0.2">
      <c r="B15069" s="245"/>
      <c r="C15069" s="248"/>
      <c r="D15069" s="249"/>
      <c r="E15069" s="249"/>
      <c r="T15069" s="261"/>
    </row>
    <row r="15070" spans="2:20" x14ac:dyDescent="0.2">
      <c r="B15070" s="245"/>
      <c r="C15070" s="248"/>
      <c r="D15070" s="249"/>
      <c r="E15070" s="249"/>
      <c r="T15070" s="261"/>
    </row>
    <row r="15071" spans="2:20" x14ac:dyDescent="0.2">
      <c r="B15071" s="245"/>
      <c r="C15071" s="248"/>
      <c r="D15071" s="249"/>
      <c r="E15071" s="249"/>
      <c r="T15071" s="261"/>
    </row>
    <row r="15072" spans="2:20" x14ac:dyDescent="0.2">
      <c r="B15072" s="245"/>
      <c r="C15072" s="248"/>
      <c r="D15072" s="249"/>
      <c r="E15072" s="249"/>
      <c r="T15072" s="261"/>
    </row>
    <row r="15073" spans="2:20" x14ac:dyDescent="0.2">
      <c r="B15073" s="245"/>
      <c r="C15073" s="248"/>
      <c r="D15073" s="249"/>
      <c r="E15073" s="249"/>
      <c r="T15073" s="261"/>
    </row>
    <row r="15074" spans="2:20" x14ac:dyDescent="0.2">
      <c r="B15074" s="245"/>
      <c r="C15074" s="248"/>
      <c r="D15074" s="249"/>
      <c r="E15074" s="249"/>
      <c r="T15074" s="261"/>
    </row>
    <row r="15075" spans="2:20" x14ac:dyDescent="0.2">
      <c r="B15075" s="245"/>
      <c r="C15075" s="248"/>
      <c r="D15075" s="249"/>
      <c r="E15075" s="249"/>
      <c r="T15075" s="261"/>
    </row>
    <row r="15076" spans="2:20" x14ac:dyDescent="0.2">
      <c r="B15076" s="245"/>
      <c r="C15076" s="248"/>
      <c r="D15076" s="249"/>
      <c r="E15076" s="249"/>
      <c r="T15076" s="261"/>
    </row>
    <row r="15077" spans="2:20" x14ac:dyDescent="0.2">
      <c r="B15077" s="245"/>
      <c r="C15077" s="248"/>
      <c r="D15077" s="249"/>
      <c r="E15077" s="249"/>
      <c r="T15077" s="261"/>
    </row>
    <row r="15078" spans="2:20" x14ac:dyDescent="0.2">
      <c r="B15078" s="245"/>
      <c r="C15078" s="248"/>
      <c r="D15078" s="249"/>
      <c r="E15078" s="249"/>
      <c r="T15078" s="261"/>
    </row>
    <row r="15079" spans="2:20" x14ac:dyDescent="0.2">
      <c r="B15079" s="245"/>
      <c r="C15079" s="248"/>
      <c r="D15079" s="249"/>
      <c r="E15079" s="249"/>
      <c r="T15079" s="261"/>
    </row>
    <row r="15080" spans="2:20" x14ac:dyDescent="0.2">
      <c r="B15080" s="245"/>
      <c r="C15080" s="248"/>
      <c r="D15080" s="249"/>
      <c r="E15080" s="249"/>
      <c r="T15080" s="261"/>
    </row>
    <row r="15081" spans="2:20" x14ac:dyDescent="0.2">
      <c r="B15081" s="245"/>
      <c r="C15081" s="248"/>
      <c r="D15081" s="249"/>
      <c r="E15081" s="249"/>
      <c r="T15081" s="261"/>
    </row>
    <row r="15082" spans="2:20" x14ac:dyDescent="0.2">
      <c r="B15082" s="245"/>
      <c r="C15082" s="248"/>
      <c r="D15082" s="249"/>
      <c r="E15082" s="249"/>
      <c r="T15082" s="261"/>
    </row>
    <row r="15083" spans="2:20" x14ac:dyDescent="0.2">
      <c r="B15083" s="245"/>
      <c r="C15083" s="248"/>
      <c r="D15083" s="249"/>
      <c r="E15083" s="249"/>
      <c r="T15083" s="261"/>
    </row>
    <row r="15084" spans="2:20" x14ac:dyDescent="0.2">
      <c r="B15084" s="245"/>
      <c r="C15084" s="248"/>
      <c r="D15084" s="249"/>
      <c r="E15084" s="249"/>
      <c r="T15084" s="261"/>
    </row>
    <row r="15085" spans="2:20" x14ac:dyDescent="0.2">
      <c r="B15085" s="245"/>
      <c r="C15085" s="248"/>
      <c r="D15085" s="249"/>
      <c r="E15085" s="249"/>
      <c r="T15085" s="261"/>
    </row>
    <row r="15086" spans="2:20" x14ac:dyDescent="0.2">
      <c r="B15086" s="245"/>
      <c r="C15086" s="248"/>
      <c r="D15086" s="249"/>
      <c r="E15086" s="249"/>
      <c r="T15086" s="261"/>
    </row>
    <row r="15087" spans="2:20" x14ac:dyDescent="0.2">
      <c r="B15087" s="245"/>
      <c r="C15087" s="248"/>
      <c r="D15087" s="249"/>
      <c r="E15087" s="249"/>
      <c r="T15087" s="261"/>
    </row>
    <row r="15088" spans="2:20" x14ac:dyDescent="0.2">
      <c r="B15088" s="245"/>
      <c r="C15088" s="248"/>
      <c r="D15088" s="249"/>
      <c r="E15088" s="249"/>
      <c r="T15088" s="261"/>
    </row>
    <row r="15089" spans="2:20" x14ac:dyDescent="0.2">
      <c r="B15089" s="245"/>
      <c r="C15089" s="248"/>
      <c r="D15089" s="249"/>
      <c r="E15089" s="249"/>
      <c r="T15089" s="261"/>
    </row>
    <row r="15090" spans="2:20" x14ac:dyDescent="0.2">
      <c r="B15090" s="245"/>
      <c r="C15090" s="248"/>
      <c r="D15090" s="249"/>
      <c r="E15090" s="249"/>
      <c r="T15090" s="261"/>
    </row>
    <row r="15091" spans="2:20" x14ac:dyDescent="0.2">
      <c r="B15091" s="245"/>
      <c r="C15091" s="248"/>
      <c r="D15091" s="249"/>
      <c r="E15091" s="249"/>
      <c r="T15091" s="261"/>
    </row>
    <row r="15092" spans="2:20" x14ac:dyDescent="0.2">
      <c r="B15092" s="245"/>
      <c r="C15092" s="248"/>
      <c r="D15092" s="249"/>
      <c r="E15092" s="249"/>
      <c r="T15092" s="261"/>
    </row>
    <row r="15093" spans="2:20" x14ac:dyDescent="0.2">
      <c r="B15093" s="245"/>
      <c r="C15093" s="248"/>
      <c r="D15093" s="249"/>
      <c r="E15093" s="249"/>
      <c r="T15093" s="261"/>
    </row>
    <row r="15094" spans="2:20" x14ac:dyDescent="0.2">
      <c r="B15094" s="245"/>
      <c r="C15094" s="248"/>
      <c r="D15094" s="249"/>
      <c r="E15094" s="249"/>
      <c r="T15094" s="261"/>
    </row>
    <row r="15095" spans="2:20" x14ac:dyDescent="0.2">
      <c r="B15095" s="245"/>
      <c r="C15095" s="248"/>
      <c r="D15095" s="249"/>
      <c r="E15095" s="249"/>
      <c r="T15095" s="261"/>
    </row>
    <row r="15096" spans="2:20" x14ac:dyDescent="0.2">
      <c r="B15096" s="245"/>
      <c r="C15096" s="248"/>
      <c r="D15096" s="249"/>
      <c r="E15096" s="249"/>
      <c r="T15096" s="261"/>
    </row>
    <row r="15097" spans="2:20" x14ac:dyDescent="0.2">
      <c r="B15097" s="245"/>
      <c r="C15097" s="248"/>
      <c r="D15097" s="249"/>
      <c r="E15097" s="249"/>
      <c r="T15097" s="261"/>
    </row>
    <row r="15098" spans="2:20" x14ac:dyDescent="0.2">
      <c r="B15098" s="245"/>
      <c r="C15098" s="248"/>
      <c r="D15098" s="249"/>
      <c r="E15098" s="249"/>
      <c r="T15098" s="261"/>
    </row>
    <row r="15099" spans="2:20" x14ac:dyDescent="0.2">
      <c r="B15099" s="245"/>
      <c r="C15099" s="248"/>
      <c r="D15099" s="249"/>
      <c r="E15099" s="249"/>
      <c r="T15099" s="261"/>
    </row>
    <row r="15100" spans="2:20" x14ac:dyDescent="0.2">
      <c r="B15100" s="245"/>
      <c r="C15100" s="248"/>
      <c r="D15100" s="249"/>
      <c r="E15100" s="249"/>
      <c r="T15100" s="261"/>
    </row>
    <row r="15101" spans="2:20" x14ac:dyDescent="0.2">
      <c r="B15101" s="245"/>
      <c r="C15101" s="248"/>
      <c r="D15101" s="249"/>
      <c r="E15101" s="249"/>
      <c r="T15101" s="261"/>
    </row>
    <row r="15102" spans="2:20" x14ac:dyDescent="0.2">
      <c r="B15102" s="245"/>
      <c r="C15102" s="248"/>
      <c r="D15102" s="249"/>
      <c r="E15102" s="249"/>
      <c r="T15102" s="261"/>
    </row>
    <row r="15103" spans="2:20" x14ac:dyDescent="0.2">
      <c r="B15103" s="245"/>
      <c r="C15103" s="248"/>
      <c r="D15103" s="249"/>
      <c r="E15103" s="249"/>
      <c r="T15103" s="261"/>
    </row>
    <row r="15104" spans="2:20" x14ac:dyDescent="0.2">
      <c r="B15104" s="245"/>
      <c r="C15104" s="248"/>
      <c r="D15104" s="249"/>
      <c r="E15104" s="249"/>
      <c r="T15104" s="261"/>
    </row>
    <row r="15105" spans="2:20" x14ac:dyDescent="0.2">
      <c r="B15105" s="245"/>
      <c r="C15105" s="248"/>
      <c r="D15105" s="249"/>
      <c r="E15105" s="249"/>
      <c r="T15105" s="261"/>
    </row>
    <row r="15106" spans="2:20" x14ac:dyDescent="0.2">
      <c r="B15106" s="245"/>
      <c r="C15106" s="248"/>
      <c r="D15106" s="249"/>
      <c r="E15106" s="249"/>
      <c r="T15106" s="261"/>
    </row>
    <row r="15107" spans="2:20" x14ac:dyDescent="0.2">
      <c r="B15107" s="245"/>
      <c r="C15107" s="248"/>
      <c r="D15107" s="249"/>
      <c r="E15107" s="249"/>
      <c r="T15107" s="261"/>
    </row>
    <row r="15108" spans="2:20" x14ac:dyDescent="0.2">
      <c r="B15108" s="245"/>
      <c r="C15108" s="248"/>
      <c r="D15108" s="249"/>
      <c r="E15108" s="249"/>
      <c r="T15108" s="261"/>
    </row>
    <row r="15109" spans="2:20" x14ac:dyDescent="0.2">
      <c r="B15109" s="245"/>
      <c r="C15109" s="248"/>
      <c r="D15109" s="249"/>
      <c r="E15109" s="249"/>
      <c r="T15109" s="261"/>
    </row>
    <row r="15110" spans="2:20" x14ac:dyDescent="0.2">
      <c r="B15110" s="245"/>
      <c r="C15110" s="248"/>
      <c r="D15110" s="249"/>
      <c r="E15110" s="249"/>
      <c r="T15110" s="261"/>
    </row>
    <row r="15111" spans="2:20" x14ac:dyDescent="0.2">
      <c r="B15111" s="245"/>
      <c r="C15111" s="248"/>
      <c r="D15111" s="249"/>
      <c r="E15111" s="249"/>
      <c r="T15111" s="261"/>
    </row>
    <row r="15112" spans="2:20" x14ac:dyDescent="0.2">
      <c r="B15112" s="245"/>
      <c r="C15112" s="248"/>
      <c r="D15112" s="249"/>
      <c r="E15112" s="249"/>
      <c r="T15112" s="261"/>
    </row>
    <row r="15113" spans="2:20" x14ac:dyDescent="0.2">
      <c r="B15113" s="245"/>
      <c r="C15113" s="248"/>
      <c r="D15113" s="249"/>
      <c r="E15113" s="249"/>
      <c r="T15113" s="261"/>
    </row>
    <row r="15114" spans="2:20" x14ac:dyDescent="0.2">
      <c r="B15114" s="245"/>
      <c r="C15114" s="248"/>
      <c r="D15114" s="249"/>
      <c r="E15114" s="249"/>
      <c r="T15114" s="261"/>
    </row>
    <row r="15115" spans="2:20" x14ac:dyDescent="0.2">
      <c r="B15115" s="245"/>
      <c r="C15115" s="248"/>
      <c r="D15115" s="249"/>
      <c r="E15115" s="249"/>
      <c r="T15115" s="261"/>
    </row>
    <row r="15116" spans="2:20" x14ac:dyDescent="0.2">
      <c r="B15116" s="245"/>
      <c r="C15116" s="248"/>
      <c r="D15116" s="249"/>
      <c r="E15116" s="249"/>
      <c r="T15116" s="261"/>
    </row>
    <row r="15117" spans="2:20" x14ac:dyDescent="0.2">
      <c r="B15117" s="245"/>
      <c r="C15117" s="248"/>
      <c r="D15117" s="249"/>
      <c r="E15117" s="249"/>
      <c r="T15117" s="261"/>
    </row>
    <row r="15118" spans="2:20" x14ac:dyDescent="0.2">
      <c r="B15118" s="245"/>
      <c r="C15118" s="248"/>
      <c r="D15118" s="249"/>
      <c r="E15118" s="249"/>
      <c r="T15118" s="261"/>
    </row>
    <row r="15119" spans="2:20" x14ac:dyDescent="0.2">
      <c r="B15119" s="245"/>
      <c r="C15119" s="248"/>
      <c r="D15119" s="249"/>
      <c r="E15119" s="249"/>
      <c r="T15119" s="261"/>
    </row>
    <row r="15120" spans="2:20" x14ac:dyDescent="0.2">
      <c r="B15120" s="245"/>
      <c r="C15120" s="248"/>
      <c r="D15120" s="249"/>
      <c r="E15120" s="249"/>
      <c r="T15120" s="261"/>
    </row>
    <row r="15121" spans="2:20" x14ac:dyDescent="0.2">
      <c r="B15121" s="245"/>
      <c r="C15121" s="248"/>
      <c r="D15121" s="249"/>
      <c r="E15121" s="249"/>
      <c r="T15121" s="261"/>
    </row>
    <row r="15122" spans="2:20" x14ac:dyDescent="0.2">
      <c r="B15122" s="245"/>
      <c r="C15122" s="248"/>
      <c r="D15122" s="249"/>
      <c r="E15122" s="249"/>
      <c r="T15122" s="261"/>
    </row>
    <row r="15123" spans="2:20" x14ac:dyDescent="0.2">
      <c r="B15123" s="245"/>
      <c r="C15123" s="248"/>
      <c r="D15123" s="249"/>
      <c r="E15123" s="249"/>
      <c r="T15123" s="261"/>
    </row>
    <row r="15124" spans="2:20" x14ac:dyDescent="0.2">
      <c r="B15124" s="245"/>
      <c r="C15124" s="248"/>
      <c r="D15124" s="249"/>
      <c r="E15124" s="249"/>
      <c r="T15124" s="261"/>
    </row>
    <row r="15125" spans="2:20" x14ac:dyDescent="0.2">
      <c r="B15125" s="245"/>
      <c r="C15125" s="248"/>
      <c r="D15125" s="249"/>
      <c r="E15125" s="249"/>
      <c r="T15125" s="261"/>
    </row>
    <row r="15126" spans="2:20" x14ac:dyDescent="0.2">
      <c r="B15126" s="245"/>
      <c r="C15126" s="248"/>
      <c r="D15126" s="249"/>
      <c r="E15126" s="249"/>
      <c r="T15126" s="261"/>
    </row>
    <row r="15127" spans="2:20" x14ac:dyDescent="0.2">
      <c r="B15127" s="245"/>
      <c r="C15127" s="248"/>
      <c r="D15127" s="249"/>
      <c r="E15127" s="249"/>
      <c r="T15127" s="261"/>
    </row>
    <row r="15128" spans="2:20" x14ac:dyDescent="0.2">
      <c r="B15128" s="245"/>
      <c r="C15128" s="248"/>
      <c r="D15128" s="249"/>
      <c r="E15128" s="249"/>
      <c r="T15128" s="261"/>
    </row>
    <row r="15129" spans="2:20" x14ac:dyDescent="0.2">
      <c r="B15129" s="245"/>
      <c r="C15129" s="248"/>
      <c r="D15129" s="249"/>
      <c r="E15129" s="249"/>
      <c r="T15129" s="261"/>
    </row>
    <row r="15130" spans="2:20" x14ac:dyDescent="0.2">
      <c r="B15130" s="245"/>
      <c r="C15130" s="248"/>
      <c r="D15130" s="249"/>
      <c r="E15130" s="249"/>
      <c r="T15130" s="261"/>
    </row>
    <row r="15131" spans="2:20" x14ac:dyDescent="0.2">
      <c r="B15131" s="245"/>
      <c r="C15131" s="248"/>
      <c r="D15131" s="249"/>
      <c r="E15131" s="249"/>
      <c r="T15131" s="261"/>
    </row>
    <row r="15132" spans="2:20" x14ac:dyDescent="0.2">
      <c r="B15132" s="245"/>
      <c r="C15132" s="248"/>
      <c r="D15132" s="249"/>
      <c r="E15132" s="249"/>
      <c r="T15132" s="261"/>
    </row>
    <row r="15133" spans="2:20" x14ac:dyDescent="0.2">
      <c r="B15133" s="245"/>
      <c r="C15133" s="248"/>
      <c r="D15133" s="249"/>
      <c r="E15133" s="249"/>
      <c r="T15133" s="261"/>
    </row>
    <row r="15134" spans="2:20" x14ac:dyDescent="0.2">
      <c r="B15134" s="245"/>
      <c r="C15134" s="248"/>
      <c r="D15134" s="249"/>
      <c r="E15134" s="249"/>
      <c r="T15134" s="261"/>
    </row>
    <row r="15135" spans="2:20" x14ac:dyDescent="0.2">
      <c r="B15135" s="245"/>
      <c r="C15135" s="248"/>
      <c r="D15135" s="249"/>
      <c r="E15135" s="249"/>
      <c r="T15135" s="261"/>
    </row>
    <row r="15136" spans="2:20" x14ac:dyDescent="0.2">
      <c r="B15136" s="245"/>
      <c r="C15136" s="248"/>
      <c r="D15136" s="249"/>
      <c r="E15136" s="249"/>
      <c r="T15136" s="261"/>
    </row>
    <row r="15137" spans="2:20" x14ac:dyDescent="0.2">
      <c r="B15137" s="245"/>
      <c r="C15137" s="248"/>
      <c r="D15137" s="249"/>
      <c r="E15137" s="249"/>
      <c r="T15137" s="261"/>
    </row>
    <row r="15138" spans="2:20" x14ac:dyDescent="0.2">
      <c r="B15138" s="245"/>
      <c r="C15138" s="248"/>
      <c r="D15138" s="249"/>
      <c r="E15138" s="249"/>
      <c r="T15138" s="261"/>
    </row>
    <row r="15139" spans="2:20" x14ac:dyDescent="0.2">
      <c r="B15139" s="245"/>
      <c r="C15139" s="248"/>
      <c r="D15139" s="249"/>
      <c r="E15139" s="249"/>
      <c r="T15139" s="261"/>
    </row>
    <row r="15140" spans="2:20" x14ac:dyDescent="0.2">
      <c r="B15140" s="245"/>
      <c r="C15140" s="248"/>
      <c r="D15140" s="249"/>
      <c r="E15140" s="249"/>
      <c r="T15140" s="261"/>
    </row>
    <row r="15141" spans="2:20" x14ac:dyDescent="0.2">
      <c r="B15141" s="245"/>
      <c r="C15141" s="248"/>
      <c r="D15141" s="249"/>
      <c r="E15141" s="249"/>
      <c r="T15141" s="261"/>
    </row>
    <row r="15142" spans="2:20" x14ac:dyDescent="0.2">
      <c r="B15142" s="245"/>
      <c r="C15142" s="248"/>
      <c r="D15142" s="249"/>
      <c r="E15142" s="249"/>
      <c r="T15142" s="261"/>
    </row>
    <row r="15143" spans="2:20" x14ac:dyDescent="0.2">
      <c r="B15143" s="245"/>
      <c r="C15143" s="248"/>
      <c r="D15143" s="249"/>
      <c r="E15143" s="249"/>
      <c r="T15143" s="261"/>
    </row>
    <row r="15144" spans="2:20" x14ac:dyDescent="0.2">
      <c r="B15144" s="245"/>
      <c r="C15144" s="248"/>
      <c r="D15144" s="249"/>
      <c r="E15144" s="249"/>
      <c r="T15144" s="261"/>
    </row>
    <row r="15145" spans="2:20" x14ac:dyDescent="0.2">
      <c r="B15145" s="245"/>
      <c r="C15145" s="248"/>
      <c r="D15145" s="249"/>
      <c r="E15145" s="249"/>
      <c r="T15145" s="261"/>
    </row>
    <row r="15146" spans="2:20" x14ac:dyDescent="0.2">
      <c r="B15146" s="245"/>
      <c r="C15146" s="248"/>
      <c r="D15146" s="249"/>
      <c r="E15146" s="249"/>
      <c r="T15146" s="261"/>
    </row>
    <row r="15147" spans="2:20" x14ac:dyDescent="0.2">
      <c r="B15147" s="245"/>
      <c r="C15147" s="248"/>
      <c r="D15147" s="249"/>
      <c r="E15147" s="249"/>
      <c r="T15147" s="261"/>
    </row>
    <row r="15148" spans="2:20" x14ac:dyDescent="0.2">
      <c r="B15148" s="245"/>
      <c r="C15148" s="248"/>
      <c r="D15148" s="249"/>
      <c r="E15148" s="249"/>
      <c r="T15148" s="261"/>
    </row>
    <row r="15149" spans="2:20" x14ac:dyDescent="0.2">
      <c r="B15149" s="245"/>
      <c r="C15149" s="248"/>
      <c r="D15149" s="249"/>
      <c r="E15149" s="249"/>
      <c r="T15149" s="261"/>
    </row>
    <row r="15150" spans="2:20" x14ac:dyDescent="0.2">
      <c r="B15150" s="245"/>
      <c r="C15150" s="248"/>
      <c r="D15150" s="249"/>
      <c r="E15150" s="249"/>
      <c r="T15150" s="261"/>
    </row>
    <row r="15151" spans="2:20" x14ac:dyDescent="0.2">
      <c r="B15151" s="245"/>
      <c r="C15151" s="248"/>
      <c r="D15151" s="249"/>
      <c r="E15151" s="249"/>
      <c r="T15151" s="261"/>
    </row>
    <row r="15152" spans="2:20" x14ac:dyDescent="0.2">
      <c r="B15152" s="245"/>
      <c r="C15152" s="248"/>
      <c r="D15152" s="249"/>
      <c r="E15152" s="249"/>
      <c r="T15152" s="261"/>
    </row>
    <row r="15153" spans="2:20" x14ac:dyDescent="0.2">
      <c r="B15153" s="245"/>
      <c r="C15153" s="248"/>
      <c r="D15153" s="249"/>
      <c r="E15153" s="249"/>
      <c r="T15153" s="261"/>
    </row>
    <row r="15154" spans="2:20" x14ac:dyDescent="0.2">
      <c r="B15154" s="245"/>
      <c r="C15154" s="248"/>
      <c r="D15154" s="249"/>
      <c r="E15154" s="249"/>
      <c r="T15154" s="261"/>
    </row>
    <row r="15155" spans="2:20" x14ac:dyDescent="0.2">
      <c r="B15155" s="245"/>
      <c r="C15155" s="248"/>
      <c r="D15155" s="249"/>
      <c r="E15155" s="249"/>
      <c r="T15155" s="261"/>
    </row>
    <row r="15156" spans="2:20" x14ac:dyDescent="0.2">
      <c r="B15156" s="245"/>
      <c r="C15156" s="248"/>
      <c r="D15156" s="249"/>
      <c r="E15156" s="249"/>
      <c r="T15156" s="261"/>
    </row>
    <row r="15157" spans="2:20" x14ac:dyDescent="0.2">
      <c r="B15157" s="245"/>
      <c r="C15157" s="248"/>
      <c r="D15157" s="249"/>
      <c r="E15157" s="249"/>
      <c r="T15157" s="261"/>
    </row>
    <row r="15158" spans="2:20" x14ac:dyDescent="0.2">
      <c r="B15158" s="245"/>
      <c r="C15158" s="248"/>
      <c r="D15158" s="249"/>
      <c r="E15158" s="249"/>
      <c r="T15158" s="261"/>
    </row>
    <row r="15159" spans="2:20" x14ac:dyDescent="0.2">
      <c r="B15159" s="245"/>
      <c r="C15159" s="248"/>
      <c r="D15159" s="249"/>
      <c r="E15159" s="249"/>
      <c r="T15159" s="261"/>
    </row>
    <row r="15160" spans="2:20" x14ac:dyDescent="0.2">
      <c r="B15160" s="245"/>
      <c r="C15160" s="248"/>
      <c r="D15160" s="249"/>
      <c r="E15160" s="249"/>
      <c r="T15160" s="261"/>
    </row>
    <row r="15161" spans="2:20" x14ac:dyDescent="0.2">
      <c r="B15161" s="245"/>
      <c r="C15161" s="248"/>
      <c r="D15161" s="249"/>
      <c r="E15161" s="249"/>
      <c r="T15161" s="261"/>
    </row>
    <row r="15162" spans="2:20" x14ac:dyDescent="0.2">
      <c r="B15162" s="245"/>
      <c r="C15162" s="248"/>
      <c r="D15162" s="249"/>
      <c r="E15162" s="249"/>
      <c r="T15162" s="261"/>
    </row>
    <row r="15163" spans="2:20" x14ac:dyDescent="0.2">
      <c r="B15163" s="245"/>
      <c r="C15163" s="248"/>
      <c r="D15163" s="249"/>
      <c r="E15163" s="249"/>
      <c r="T15163" s="261"/>
    </row>
    <row r="15164" spans="2:20" x14ac:dyDescent="0.2">
      <c r="B15164" s="245"/>
      <c r="C15164" s="248"/>
      <c r="D15164" s="249"/>
      <c r="E15164" s="249"/>
      <c r="T15164" s="261"/>
    </row>
    <row r="15165" spans="2:20" x14ac:dyDescent="0.2">
      <c r="B15165" s="245"/>
      <c r="C15165" s="248"/>
      <c r="D15165" s="249"/>
      <c r="E15165" s="249"/>
      <c r="T15165" s="261"/>
    </row>
    <row r="15166" spans="2:20" x14ac:dyDescent="0.2">
      <c r="B15166" s="245"/>
      <c r="C15166" s="248"/>
      <c r="D15166" s="249"/>
      <c r="E15166" s="249"/>
      <c r="T15166" s="261"/>
    </row>
    <row r="15167" spans="2:20" x14ac:dyDescent="0.2">
      <c r="B15167" s="245"/>
      <c r="C15167" s="248"/>
      <c r="D15167" s="249"/>
      <c r="E15167" s="249"/>
      <c r="T15167" s="261"/>
    </row>
    <row r="15168" spans="2:20" x14ac:dyDescent="0.2">
      <c r="B15168" s="245"/>
      <c r="C15168" s="248"/>
      <c r="D15168" s="249"/>
      <c r="E15168" s="249"/>
      <c r="T15168" s="261"/>
    </row>
    <row r="15169" spans="2:20" x14ac:dyDescent="0.2">
      <c r="B15169" s="245"/>
      <c r="C15169" s="248"/>
      <c r="D15169" s="249"/>
      <c r="E15169" s="249"/>
      <c r="T15169" s="261"/>
    </row>
    <row r="15170" spans="2:20" x14ac:dyDescent="0.2">
      <c r="B15170" s="245"/>
      <c r="C15170" s="248"/>
      <c r="D15170" s="249"/>
      <c r="E15170" s="249"/>
      <c r="T15170" s="261"/>
    </row>
    <row r="15171" spans="2:20" x14ac:dyDescent="0.2">
      <c r="B15171" s="245"/>
      <c r="C15171" s="248"/>
      <c r="D15171" s="249"/>
      <c r="E15171" s="249"/>
      <c r="T15171" s="261"/>
    </row>
    <row r="15172" spans="2:20" x14ac:dyDescent="0.2">
      <c r="B15172" s="245"/>
      <c r="C15172" s="248"/>
      <c r="D15172" s="249"/>
      <c r="E15172" s="249"/>
      <c r="T15172" s="261"/>
    </row>
    <row r="15173" spans="2:20" x14ac:dyDescent="0.2">
      <c r="B15173" s="245"/>
      <c r="C15173" s="248"/>
      <c r="D15173" s="249"/>
      <c r="E15173" s="249"/>
      <c r="T15173" s="261"/>
    </row>
    <row r="15174" spans="2:20" x14ac:dyDescent="0.2">
      <c r="B15174" s="245"/>
      <c r="C15174" s="248"/>
      <c r="D15174" s="249"/>
      <c r="E15174" s="249"/>
      <c r="T15174" s="261"/>
    </row>
    <row r="15175" spans="2:20" x14ac:dyDescent="0.2">
      <c r="B15175" s="245"/>
      <c r="C15175" s="248"/>
      <c r="D15175" s="249"/>
      <c r="E15175" s="249"/>
      <c r="T15175" s="261"/>
    </row>
    <row r="15176" spans="2:20" x14ac:dyDescent="0.2">
      <c r="B15176" s="245"/>
      <c r="C15176" s="248"/>
      <c r="D15176" s="249"/>
      <c r="E15176" s="249"/>
      <c r="T15176" s="261"/>
    </row>
    <row r="15177" spans="2:20" x14ac:dyDescent="0.2">
      <c r="B15177" s="245"/>
      <c r="C15177" s="248"/>
      <c r="D15177" s="249"/>
      <c r="E15177" s="249"/>
      <c r="T15177" s="261"/>
    </row>
    <row r="15178" spans="2:20" x14ac:dyDescent="0.2">
      <c r="B15178" s="245"/>
      <c r="C15178" s="248"/>
      <c r="D15178" s="249"/>
      <c r="E15178" s="249"/>
      <c r="T15178" s="261"/>
    </row>
    <row r="15179" spans="2:20" x14ac:dyDescent="0.2">
      <c r="B15179" s="245"/>
      <c r="C15179" s="248"/>
      <c r="D15179" s="249"/>
      <c r="E15179" s="249"/>
      <c r="T15179" s="261"/>
    </row>
    <row r="15180" spans="2:20" x14ac:dyDescent="0.2">
      <c r="B15180" s="245"/>
      <c r="C15180" s="248"/>
      <c r="D15180" s="249"/>
      <c r="E15180" s="249"/>
      <c r="T15180" s="261"/>
    </row>
    <row r="15181" spans="2:20" x14ac:dyDescent="0.2">
      <c r="B15181" s="245"/>
      <c r="C15181" s="248"/>
      <c r="D15181" s="249"/>
      <c r="E15181" s="249"/>
      <c r="T15181" s="261"/>
    </row>
    <row r="15182" spans="2:20" x14ac:dyDescent="0.2">
      <c r="B15182" s="245"/>
      <c r="C15182" s="248"/>
      <c r="D15182" s="249"/>
      <c r="E15182" s="249"/>
      <c r="T15182" s="261"/>
    </row>
    <row r="15183" spans="2:20" x14ac:dyDescent="0.2">
      <c r="B15183" s="245"/>
      <c r="C15183" s="248"/>
      <c r="D15183" s="249"/>
      <c r="E15183" s="249"/>
      <c r="T15183" s="261"/>
    </row>
    <row r="15184" spans="2:20" x14ac:dyDescent="0.2">
      <c r="B15184" s="245"/>
      <c r="C15184" s="248"/>
      <c r="D15184" s="249"/>
      <c r="E15184" s="249"/>
      <c r="T15184" s="261"/>
    </row>
    <row r="15185" spans="2:20" x14ac:dyDescent="0.2">
      <c r="B15185" s="245"/>
      <c r="C15185" s="248"/>
      <c r="D15185" s="249"/>
      <c r="E15185" s="249"/>
      <c r="T15185" s="261"/>
    </row>
    <row r="15186" spans="2:20" x14ac:dyDescent="0.2">
      <c r="B15186" s="245"/>
      <c r="C15186" s="248"/>
      <c r="D15186" s="249"/>
      <c r="E15186" s="249"/>
      <c r="T15186" s="261"/>
    </row>
    <row r="15187" spans="2:20" x14ac:dyDescent="0.2">
      <c r="B15187" s="245"/>
      <c r="C15187" s="248"/>
      <c r="D15187" s="249"/>
      <c r="E15187" s="249"/>
      <c r="T15187" s="261"/>
    </row>
    <row r="15188" spans="2:20" x14ac:dyDescent="0.2">
      <c r="B15188" s="245"/>
      <c r="C15188" s="248"/>
      <c r="D15188" s="249"/>
      <c r="E15188" s="249"/>
      <c r="T15188" s="261"/>
    </row>
    <row r="15189" spans="2:20" x14ac:dyDescent="0.2">
      <c r="B15189" s="245"/>
      <c r="C15189" s="248"/>
      <c r="D15189" s="249"/>
      <c r="E15189" s="249"/>
      <c r="T15189" s="261"/>
    </row>
    <row r="15190" spans="2:20" x14ac:dyDescent="0.2">
      <c r="B15190" s="245"/>
      <c r="C15190" s="248"/>
      <c r="D15190" s="249"/>
      <c r="E15190" s="249"/>
      <c r="T15190" s="261"/>
    </row>
    <row r="15191" spans="2:20" x14ac:dyDescent="0.2">
      <c r="B15191" s="245"/>
      <c r="C15191" s="248"/>
      <c r="D15191" s="249"/>
      <c r="E15191" s="249"/>
      <c r="T15191" s="261"/>
    </row>
    <row r="15192" spans="2:20" x14ac:dyDescent="0.2">
      <c r="B15192" s="245"/>
      <c r="C15192" s="248"/>
      <c r="D15192" s="249"/>
      <c r="E15192" s="249"/>
      <c r="T15192" s="261"/>
    </row>
    <row r="15193" spans="2:20" x14ac:dyDescent="0.2">
      <c r="B15193" s="245"/>
      <c r="C15193" s="248"/>
      <c r="D15193" s="249"/>
      <c r="E15193" s="249"/>
      <c r="T15193" s="261"/>
    </row>
    <row r="15194" spans="2:20" x14ac:dyDescent="0.2">
      <c r="B15194" s="245"/>
      <c r="C15194" s="248"/>
      <c r="D15194" s="249"/>
      <c r="E15194" s="249"/>
      <c r="T15194" s="261"/>
    </row>
    <row r="15195" spans="2:20" x14ac:dyDescent="0.2">
      <c r="B15195" s="245"/>
      <c r="C15195" s="248"/>
      <c r="D15195" s="249"/>
      <c r="E15195" s="249"/>
      <c r="T15195" s="261"/>
    </row>
    <row r="15196" spans="2:20" x14ac:dyDescent="0.2">
      <c r="B15196" s="245"/>
      <c r="C15196" s="248"/>
      <c r="D15196" s="249"/>
      <c r="E15196" s="249"/>
      <c r="T15196" s="261"/>
    </row>
    <row r="15197" spans="2:20" x14ac:dyDescent="0.2">
      <c r="B15197" s="245"/>
      <c r="C15197" s="248"/>
      <c r="D15197" s="249"/>
      <c r="E15197" s="249"/>
      <c r="T15197" s="261"/>
    </row>
    <row r="15198" spans="2:20" x14ac:dyDescent="0.2">
      <c r="B15198" s="245"/>
      <c r="C15198" s="248"/>
      <c r="D15198" s="249"/>
      <c r="E15198" s="249"/>
      <c r="T15198" s="261"/>
    </row>
    <row r="15199" spans="2:20" x14ac:dyDescent="0.2">
      <c r="B15199" s="245"/>
      <c r="C15199" s="248"/>
      <c r="D15199" s="249"/>
      <c r="E15199" s="249"/>
      <c r="T15199" s="261"/>
    </row>
    <row r="15200" spans="2:20" x14ac:dyDescent="0.2">
      <c r="B15200" s="245"/>
      <c r="C15200" s="248"/>
      <c r="D15200" s="249"/>
      <c r="E15200" s="249"/>
      <c r="T15200" s="261"/>
    </row>
    <row r="15201" spans="2:20" x14ac:dyDescent="0.2">
      <c r="B15201" s="245"/>
      <c r="C15201" s="248"/>
      <c r="D15201" s="249"/>
      <c r="E15201" s="249"/>
      <c r="T15201" s="261"/>
    </row>
    <row r="15202" spans="2:20" x14ac:dyDescent="0.2">
      <c r="B15202" s="245"/>
      <c r="C15202" s="248"/>
      <c r="D15202" s="249"/>
      <c r="E15202" s="249"/>
      <c r="T15202" s="261"/>
    </row>
    <row r="15203" spans="2:20" x14ac:dyDescent="0.2">
      <c r="B15203" s="245"/>
      <c r="C15203" s="248"/>
      <c r="D15203" s="249"/>
      <c r="E15203" s="249"/>
      <c r="T15203" s="261"/>
    </row>
    <row r="15204" spans="2:20" x14ac:dyDescent="0.2">
      <c r="B15204" s="245"/>
      <c r="C15204" s="248"/>
      <c r="D15204" s="249"/>
      <c r="E15204" s="249"/>
      <c r="T15204" s="261"/>
    </row>
    <row r="15205" spans="2:20" x14ac:dyDescent="0.2">
      <c r="B15205" s="245"/>
      <c r="C15205" s="248"/>
      <c r="D15205" s="249"/>
      <c r="E15205" s="249"/>
      <c r="T15205" s="261"/>
    </row>
    <row r="15206" spans="2:20" x14ac:dyDescent="0.2">
      <c r="B15206" s="245"/>
      <c r="C15206" s="248"/>
      <c r="D15206" s="249"/>
      <c r="E15206" s="249"/>
      <c r="T15206" s="261"/>
    </row>
    <row r="15207" spans="2:20" x14ac:dyDescent="0.2">
      <c r="B15207" s="245"/>
      <c r="C15207" s="248"/>
      <c r="D15207" s="249"/>
      <c r="E15207" s="249"/>
      <c r="T15207" s="261"/>
    </row>
    <row r="15208" spans="2:20" x14ac:dyDescent="0.2">
      <c r="B15208" s="245"/>
      <c r="C15208" s="248"/>
      <c r="D15208" s="249"/>
      <c r="E15208" s="249"/>
      <c r="T15208" s="261"/>
    </row>
    <row r="15209" spans="2:20" x14ac:dyDescent="0.2">
      <c r="B15209" s="245"/>
      <c r="C15209" s="248"/>
      <c r="D15209" s="249"/>
      <c r="E15209" s="249"/>
      <c r="T15209" s="261"/>
    </row>
    <row r="15210" spans="2:20" x14ac:dyDescent="0.2">
      <c r="B15210" s="245"/>
      <c r="C15210" s="248"/>
      <c r="D15210" s="249"/>
      <c r="E15210" s="249"/>
      <c r="T15210" s="261"/>
    </row>
    <row r="15211" spans="2:20" x14ac:dyDescent="0.2">
      <c r="B15211" s="245"/>
      <c r="C15211" s="248"/>
      <c r="D15211" s="249"/>
      <c r="E15211" s="249"/>
      <c r="T15211" s="261"/>
    </row>
    <row r="15212" spans="2:20" x14ac:dyDescent="0.2">
      <c r="B15212" s="245"/>
      <c r="C15212" s="248"/>
      <c r="D15212" s="249"/>
      <c r="E15212" s="249"/>
      <c r="T15212" s="261"/>
    </row>
    <row r="15213" spans="2:20" x14ac:dyDescent="0.2">
      <c r="B15213" s="245"/>
      <c r="C15213" s="248"/>
      <c r="D15213" s="249"/>
      <c r="E15213" s="249"/>
      <c r="T15213" s="261"/>
    </row>
    <row r="15214" spans="2:20" x14ac:dyDescent="0.2">
      <c r="B15214" s="245"/>
      <c r="C15214" s="248"/>
      <c r="D15214" s="249"/>
      <c r="E15214" s="249"/>
      <c r="T15214" s="261"/>
    </row>
    <row r="15215" spans="2:20" x14ac:dyDescent="0.2">
      <c r="B15215" s="245"/>
      <c r="C15215" s="248"/>
      <c r="D15215" s="249"/>
      <c r="E15215" s="249"/>
      <c r="T15215" s="261"/>
    </row>
    <row r="15216" spans="2:20" x14ac:dyDescent="0.2">
      <c r="B15216" s="245"/>
      <c r="C15216" s="248"/>
      <c r="D15216" s="249"/>
      <c r="E15216" s="249"/>
      <c r="T15216" s="261"/>
    </row>
    <row r="15217" spans="2:20" x14ac:dyDescent="0.2">
      <c r="B15217" s="245"/>
      <c r="C15217" s="248"/>
      <c r="D15217" s="249"/>
      <c r="E15217" s="249"/>
      <c r="T15217" s="261"/>
    </row>
    <row r="15218" spans="2:20" x14ac:dyDescent="0.2">
      <c r="B15218" s="245"/>
      <c r="C15218" s="248"/>
      <c r="D15218" s="249"/>
      <c r="E15218" s="249"/>
      <c r="T15218" s="261"/>
    </row>
    <row r="15219" spans="2:20" x14ac:dyDescent="0.2">
      <c r="B15219" s="245"/>
      <c r="C15219" s="248"/>
      <c r="D15219" s="249"/>
      <c r="E15219" s="249"/>
      <c r="T15219" s="261"/>
    </row>
    <row r="15220" spans="2:20" x14ac:dyDescent="0.2">
      <c r="B15220" s="245"/>
      <c r="C15220" s="248"/>
      <c r="D15220" s="249"/>
      <c r="E15220" s="249"/>
      <c r="T15220" s="261"/>
    </row>
    <row r="15221" spans="2:20" x14ac:dyDescent="0.2">
      <c r="B15221" s="245"/>
      <c r="C15221" s="248"/>
      <c r="D15221" s="249"/>
      <c r="E15221" s="249"/>
      <c r="T15221" s="261"/>
    </row>
    <row r="15222" spans="2:20" x14ac:dyDescent="0.2">
      <c r="B15222" s="245"/>
      <c r="C15222" s="248"/>
      <c r="D15222" s="249"/>
      <c r="E15222" s="249"/>
      <c r="T15222" s="261"/>
    </row>
    <row r="15223" spans="2:20" x14ac:dyDescent="0.2">
      <c r="B15223" s="245"/>
      <c r="C15223" s="248"/>
      <c r="D15223" s="249"/>
      <c r="E15223" s="249"/>
      <c r="T15223" s="261"/>
    </row>
    <row r="15224" spans="2:20" x14ac:dyDescent="0.2">
      <c r="B15224" s="245"/>
      <c r="C15224" s="248"/>
      <c r="D15224" s="249"/>
      <c r="E15224" s="249"/>
      <c r="T15224" s="261"/>
    </row>
    <row r="15225" spans="2:20" x14ac:dyDescent="0.2">
      <c r="B15225" s="245"/>
      <c r="C15225" s="248"/>
      <c r="D15225" s="249"/>
      <c r="E15225" s="249"/>
      <c r="T15225" s="261"/>
    </row>
    <row r="15226" spans="2:20" x14ac:dyDescent="0.2">
      <c r="B15226" s="245"/>
      <c r="C15226" s="248"/>
      <c r="D15226" s="249"/>
      <c r="E15226" s="249"/>
      <c r="T15226" s="261"/>
    </row>
    <row r="15227" spans="2:20" x14ac:dyDescent="0.2">
      <c r="B15227" s="245"/>
      <c r="C15227" s="248"/>
      <c r="D15227" s="249"/>
      <c r="E15227" s="249"/>
      <c r="T15227" s="261"/>
    </row>
    <row r="15228" spans="2:20" x14ac:dyDescent="0.2">
      <c r="B15228" s="245"/>
      <c r="C15228" s="248"/>
      <c r="D15228" s="249"/>
      <c r="E15228" s="249"/>
      <c r="T15228" s="261"/>
    </row>
    <row r="15229" spans="2:20" x14ac:dyDescent="0.2">
      <c r="B15229" s="245"/>
      <c r="C15229" s="248"/>
      <c r="D15229" s="249"/>
      <c r="E15229" s="249"/>
      <c r="T15229" s="261"/>
    </row>
    <row r="15230" spans="2:20" x14ac:dyDescent="0.2">
      <c r="B15230" s="245"/>
      <c r="C15230" s="248"/>
      <c r="D15230" s="249"/>
      <c r="E15230" s="249"/>
      <c r="T15230" s="261"/>
    </row>
    <row r="15231" spans="2:20" x14ac:dyDescent="0.2">
      <c r="B15231" s="245"/>
      <c r="C15231" s="248"/>
      <c r="D15231" s="249"/>
      <c r="E15231" s="249"/>
      <c r="T15231" s="261"/>
    </row>
    <row r="15232" spans="2:20" x14ac:dyDescent="0.2">
      <c r="B15232" s="245"/>
      <c r="C15232" s="248"/>
      <c r="D15232" s="249"/>
      <c r="E15232" s="249"/>
      <c r="T15232" s="261"/>
    </row>
    <row r="15233" spans="2:20" x14ac:dyDescent="0.2">
      <c r="B15233" s="245"/>
      <c r="C15233" s="248"/>
      <c r="D15233" s="249"/>
      <c r="E15233" s="249"/>
      <c r="T15233" s="261"/>
    </row>
    <row r="15234" spans="2:20" x14ac:dyDescent="0.2">
      <c r="B15234" s="245"/>
      <c r="C15234" s="248"/>
      <c r="D15234" s="249"/>
      <c r="E15234" s="249"/>
      <c r="T15234" s="261"/>
    </row>
    <row r="15235" spans="2:20" x14ac:dyDescent="0.2">
      <c r="B15235" s="245"/>
      <c r="C15235" s="248"/>
      <c r="D15235" s="249"/>
      <c r="E15235" s="249"/>
      <c r="T15235" s="261"/>
    </row>
    <row r="15236" spans="2:20" x14ac:dyDescent="0.2">
      <c r="B15236" s="245"/>
      <c r="C15236" s="248"/>
      <c r="D15236" s="249"/>
      <c r="E15236" s="249"/>
      <c r="T15236" s="261"/>
    </row>
    <row r="15237" spans="2:20" x14ac:dyDescent="0.2">
      <c r="B15237" s="245"/>
      <c r="C15237" s="248"/>
      <c r="D15237" s="249"/>
      <c r="E15237" s="249"/>
      <c r="T15237" s="261"/>
    </row>
    <row r="15238" spans="2:20" x14ac:dyDescent="0.2">
      <c r="B15238" s="245"/>
      <c r="C15238" s="248"/>
      <c r="D15238" s="249"/>
      <c r="E15238" s="249"/>
      <c r="T15238" s="261"/>
    </row>
    <row r="15239" spans="2:20" x14ac:dyDescent="0.2">
      <c r="B15239" s="245"/>
      <c r="C15239" s="248"/>
      <c r="D15239" s="249"/>
      <c r="E15239" s="249"/>
      <c r="T15239" s="261"/>
    </row>
    <row r="15240" spans="2:20" x14ac:dyDescent="0.2">
      <c r="B15240" s="245"/>
      <c r="C15240" s="248"/>
      <c r="D15240" s="249"/>
      <c r="E15240" s="249"/>
      <c r="T15240" s="261"/>
    </row>
    <row r="15241" spans="2:20" x14ac:dyDescent="0.2">
      <c r="B15241" s="245"/>
      <c r="C15241" s="248"/>
      <c r="D15241" s="249"/>
      <c r="E15241" s="249"/>
      <c r="T15241" s="261"/>
    </row>
    <row r="15242" spans="2:20" x14ac:dyDescent="0.2">
      <c r="B15242" s="245"/>
      <c r="C15242" s="248"/>
      <c r="D15242" s="249"/>
      <c r="E15242" s="249"/>
      <c r="T15242" s="261"/>
    </row>
    <row r="15243" spans="2:20" x14ac:dyDescent="0.2">
      <c r="B15243" s="245"/>
      <c r="C15243" s="248"/>
      <c r="D15243" s="249"/>
      <c r="E15243" s="249"/>
      <c r="T15243" s="261"/>
    </row>
    <row r="15244" spans="2:20" x14ac:dyDescent="0.2">
      <c r="B15244" s="245"/>
      <c r="C15244" s="248"/>
      <c r="D15244" s="249"/>
      <c r="E15244" s="249"/>
      <c r="T15244" s="261"/>
    </row>
    <row r="15245" spans="2:20" x14ac:dyDescent="0.2">
      <c r="B15245" s="245"/>
      <c r="C15245" s="248"/>
      <c r="D15245" s="249"/>
      <c r="E15245" s="249"/>
      <c r="T15245" s="261"/>
    </row>
    <row r="15246" spans="2:20" x14ac:dyDescent="0.2">
      <c r="B15246" s="245"/>
      <c r="C15246" s="248"/>
      <c r="D15246" s="249"/>
      <c r="E15246" s="249"/>
      <c r="T15246" s="261"/>
    </row>
    <row r="15247" spans="2:20" x14ac:dyDescent="0.2">
      <c r="B15247" s="245"/>
      <c r="C15247" s="248"/>
      <c r="D15247" s="249"/>
      <c r="E15247" s="249"/>
      <c r="T15247" s="261"/>
    </row>
    <row r="15248" spans="2:20" x14ac:dyDescent="0.2">
      <c r="B15248" s="245"/>
      <c r="C15248" s="248"/>
      <c r="D15248" s="249"/>
      <c r="E15248" s="249"/>
      <c r="T15248" s="261"/>
    </row>
    <row r="15249" spans="2:20" x14ac:dyDescent="0.2">
      <c r="B15249" s="245"/>
      <c r="C15249" s="248"/>
      <c r="D15249" s="249"/>
      <c r="E15249" s="249"/>
      <c r="T15249" s="261"/>
    </row>
    <row r="15250" spans="2:20" x14ac:dyDescent="0.2">
      <c r="B15250" s="245"/>
      <c r="C15250" s="248"/>
      <c r="D15250" s="249"/>
      <c r="E15250" s="249"/>
      <c r="T15250" s="261"/>
    </row>
    <row r="15251" spans="2:20" x14ac:dyDescent="0.2">
      <c r="B15251" s="245"/>
      <c r="C15251" s="248"/>
      <c r="D15251" s="249"/>
      <c r="E15251" s="249"/>
      <c r="T15251" s="261"/>
    </row>
    <row r="15252" spans="2:20" x14ac:dyDescent="0.2">
      <c r="B15252" s="245"/>
      <c r="C15252" s="248"/>
      <c r="D15252" s="249"/>
      <c r="E15252" s="249"/>
      <c r="T15252" s="261"/>
    </row>
    <row r="15253" spans="2:20" x14ac:dyDescent="0.2">
      <c r="B15253" s="245"/>
      <c r="C15253" s="248"/>
      <c r="D15253" s="249"/>
      <c r="E15253" s="249"/>
      <c r="T15253" s="261"/>
    </row>
    <row r="15254" spans="2:20" x14ac:dyDescent="0.2">
      <c r="B15254" s="245"/>
      <c r="C15254" s="248"/>
      <c r="D15254" s="249"/>
      <c r="E15254" s="249"/>
      <c r="T15254" s="261"/>
    </row>
    <row r="15255" spans="2:20" x14ac:dyDescent="0.2">
      <c r="B15255" s="245"/>
      <c r="C15255" s="248"/>
      <c r="D15255" s="249"/>
      <c r="E15255" s="249"/>
      <c r="T15255" s="261"/>
    </row>
    <row r="15256" spans="2:20" x14ac:dyDescent="0.2">
      <c r="B15256" s="245"/>
      <c r="C15256" s="248"/>
      <c r="D15256" s="249"/>
      <c r="E15256" s="249"/>
      <c r="T15256" s="261"/>
    </row>
    <row r="15257" spans="2:20" x14ac:dyDescent="0.2">
      <c r="B15257" s="245"/>
      <c r="C15257" s="248"/>
      <c r="D15257" s="249"/>
      <c r="E15257" s="249"/>
      <c r="T15257" s="261"/>
    </row>
    <row r="15258" spans="2:20" x14ac:dyDescent="0.2">
      <c r="B15258" s="245"/>
      <c r="C15258" s="248"/>
      <c r="D15258" s="249"/>
      <c r="E15258" s="249"/>
      <c r="T15258" s="261"/>
    </row>
    <row r="15259" spans="2:20" x14ac:dyDescent="0.2">
      <c r="B15259" s="245"/>
      <c r="C15259" s="248"/>
      <c r="D15259" s="249"/>
      <c r="E15259" s="249"/>
      <c r="T15259" s="261"/>
    </row>
    <row r="15260" spans="2:20" x14ac:dyDescent="0.2">
      <c r="B15260" s="245"/>
      <c r="C15260" s="248"/>
      <c r="D15260" s="249"/>
      <c r="E15260" s="249"/>
      <c r="T15260" s="261"/>
    </row>
    <row r="15261" spans="2:20" x14ac:dyDescent="0.2">
      <c r="B15261" s="245"/>
      <c r="C15261" s="248"/>
      <c r="D15261" s="249"/>
      <c r="E15261" s="249"/>
      <c r="T15261" s="261"/>
    </row>
    <row r="15262" spans="2:20" x14ac:dyDescent="0.2">
      <c r="B15262" s="245"/>
      <c r="C15262" s="248"/>
      <c r="D15262" s="249"/>
      <c r="E15262" s="249"/>
      <c r="T15262" s="261"/>
    </row>
    <row r="15263" spans="2:20" x14ac:dyDescent="0.2">
      <c r="B15263" s="245"/>
      <c r="C15263" s="248"/>
      <c r="D15263" s="249"/>
      <c r="E15263" s="249"/>
      <c r="T15263" s="261"/>
    </row>
    <row r="15264" spans="2:20" x14ac:dyDescent="0.2">
      <c r="B15264" s="245"/>
      <c r="C15264" s="248"/>
      <c r="D15264" s="249"/>
      <c r="E15264" s="249"/>
      <c r="T15264" s="261"/>
    </row>
    <row r="15265" spans="2:20" x14ac:dyDescent="0.2">
      <c r="B15265" s="245"/>
      <c r="C15265" s="248"/>
      <c r="D15265" s="249"/>
      <c r="E15265" s="249"/>
      <c r="T15265" s="261"/>
    </row>
    <row r="15266" spans="2:20" x14ac:dyDescent="0.2">
      <c r="B15266" s="245"/>
      <c r="C15266" s="248"/>
      <c r="D15266" s="249"/>
      <c r="E15266" s="249"/>
      <c r="T15266" s="261"/>
    </row>
    <row r="15267" spans="2:20" x14ac:dyDescent="0.2">
      <c r="B15267" s="245"/>
      <c r="C15267" s="248"/>
      <c r="D15267" s="249"/>
      <c r="E15267" s="249"/>
      <c r="T15267" s="261"/>
    </row>
    <row r="15268" spans="2:20" x14ac:dyDescent="0.2">
      <c r="B15268" s="245"/>
      <c r="C15268" s="248"/>
      <c r="D15268" s="249"/>
      <c r="E15268" s="249"/>
      <c r="T15268" s="261"/>
    </row>
    <row r="15269" spans="2:20" x14ac:dyDescent="0.2">
      <c r="B15269" s="245"/>
      <c r="C15269" s="248"/>
      <c r="D15269" s="249"/>
      <c r="E15269" s="249"/>
      <c r="T15269" s="261"/>
    </row>
    <row r="15270" spans="2:20" x14ac:dyDescent="0.2">
      <c r="B15270" s="245"/>
      <c r="C15270" s="248"/>
      <c r="D15270" s="249"/>
      <c r="E15270" s="249"/>
      <c r="T15270" s="261"/>
    </row>
    <row r="15271" spans="2:20" x14ac:dyDescent="0.2">
      <c r="B15271" s="245"/>
      <c r="C15271" s="248"/>
      <c r="D15271" s="249"/>
      <c r="E15271" s="249"/>
      <c r="T15271" s="261"/>
    </row>
    <row r="15272" spans="2:20" x14ac:dyDescent="0.2">
      <c r="B15272" s="245"/>
      <c r="C15272" s="248"/>
      <c r="D15272" s="249"/>
      <c r="E15272" s="249"/>
      <c r="T15272" s="261"/>
    </row>
    <row r="15273" spans="2:20" x14ac:dyDescent="0.2">
      <c r="B15273" s="245"/>
      <c r="C15273" s="248"/>
      <c r="D15273" s="249"/>
      <c r="E15273" s="249"/>
      <c r="T15273" s="261"/>
    </row>
    <row r="15274" spans="2:20" x14ac:dyDescent="0.2">
      <c r="B15274" s="245"/>
      <c r="C15274" s="248"/>
      <c r="D15274" s="249"/>
      <c r="E15274" s="249"/>
      <c r="T15274" s="261"/>
    </row>
    <row r="15275" spans="2:20" x14ac:dyDescent="0.2">
      <c r="B15275" s="245"/>
      <c r="C15275" s="248"/>
      <c r="D15275" s="249"/>
      <c r="E15275" s="249"/>
      <c r="T15275" s="261"/>
    </row>
    <row r="15276" spans="2:20" x14ac:dyDescent="0.2">
      <c r="B15276" s="245"/>
      <c r="C15276" s="248"/>
      <c r="D15276" s="249"/>
      <c r="E15276" s="249"/>
      <c r="T15276" s="261"/>
    </row>
    <row r="15277" spans="2:20" x14ac:dyDescent="0.2">
      <c r="B15277" s="245"/>
      <c r="C15277" s="248"/>
      <c r="D15277" s="249"/>
      <c r="E15277" s="249"/>
      <c r="T15277" s="261"/>
    </row>
    <row r="15278" spans="2:20" x14ac:dyDescent="0.2">
      <c r="B15278" s="245"/>
      <c r="C15278" s="248"/>
      <c r="D15278" s="249"/>
      <c r="E15278" s="249"/>
      <c r="T15278" s="261"/>
    </row>
    <row r="15279" spans="2:20" x14ac:dyDescent="0.2">
      <c r="B15279" s="245"/>
      <c r="C15279" s="248"/>
      <c r="D15279" s="249"/>
      <c r="E15279" s="249"/>
      <c r="T15279" s="261"/>
    </row>
    <row r="15280" spans="2:20" x14ac:dyDescent="0.2">
      <c r="B15280" s="245"/>
      <c r="C15280" s="248"/>
      <c r="D15280" s="249"/>
      <c r="E15280" s="249"/>
      <c r="T15280" s="261"/>
    </row>
    <row r="15281" spans="2:20" x14ac:dyDescent="0.2">
      <c r="B15281" s="245"/>
      <c r="C15281" s="248"/>
      <c r="D15281" s="249"/>
      <c r="E15281" s="249"/>
      <c r="T15281" s="261"/>
    </row>
    <row r="15282" spans="2:20" x14ac:dyDescent="0.2">
      <c r="B15282" s="245"/>
      <c r="C15282" s="248"/>
      <c r="D15282" s="249"/>
      <c r="E15282" s="249"/>
      <c r="T15282" s="261"/>
    </row>
    <row r="15283" spans="2:20" x14ac:dyDescent="0.2">
      <c r="B15283" s="245"/>
      <c r="C15283" s="248"/>
      <c r="D15283" s="249"/>
      <c r="E15283" s="249"/>
      <c r="T15283" s="261"/>
    </row>
    <row r="15284" spans="2:20" x14ac:dyDescent="0.2">
      <c r="B15284" s="245"/>
      <c r="C15284" s="248"/>
      <c r="D15284" s="249"/>
      <c r="E15284" s="249"/>
      <c r="T15284" s="261"/>
    </row>
    <row r="15285" spans="2:20" x14ac:dyDescent="0.2">
      <c r="B15285" s="245"/>
      <c r="C15285" s="248"/>
      <c r="D15285" s="249"/>
      <c r="E15285" s="249"/>
      <c r="T15285" s="261"/>
    </row>
    <row r="15286" spans="2:20" x14ac:dyDescent="0.2">
      <c r="B15286" s="245"/>
      <c r="C15286" s="248"/>
      <c r="D15286" s="249"/>
      <c r="E15286" s="249"/>
      <c r="T15286" s="261"/>
    </row>
    <row r="15287" spans="2:20" x14ac:dyDescent="0.2">
      <c r="B15287" s="245"/>
      <c r="C15287" s="248"/>
      <c r="D15287" s="249"/>
      <c r="E15287" s="249"/>
      <c r="T15287" s="261"/>
    </row>
    <row r="15288" spans="2:20" x14ac:dyDescent="0.2">
      <c r="B15288" s="245"/>
      <c r="C15288" s="248"/>
      <c r="D15288" s="249"/>
      <c r="E15288" s="249"/>
      <c r="T15288" s="261"/>
    </row>
    <row r="15289" spans="2:20" x14ac:dyDescent="0.2">
      <c r="B15289" s="245"/>
      <c r="C15289" s="248"/>
      <c r="D15289" s="249"/>
      <c r="E15289" s="249"/>
      <c r="T15289" s="261"/>
    </row>
    <row r="15290" spans="2:20" x14ac:dyDescent="0.2">
      <c r="B15290" s="245"/>
      <c r="C15290" s="248"/>
      <c r="D15290" s="249"/>
      <c r="E15290" s="249"/>
      <c r="T15290" s="261"/>
    </row>
    <row r="15291" spans="2:20" x14ac:dyDescent="0.2">
      <c r="B15291" s="245"/>
      <c r="C15291" s="248"/>
      <c r="D15291" s="249"/>
      <c r="E15291" s="249"/>
      <c r="T15291" s="261"/>
    </row>
    <row r="15292" spans="2:20" x14ac:dyDescent="0.2">
      <c r="B15292" s="245"/>
      <c r="C15292" s="248"/>
      <c r="D15292" s="249"/>
      <c r="E15292" s="249"/>
      <c r="T15292" s="261"/>
    </row>
    <row r="15293" spans="2:20" x14ac:dyDescent="0.2">
      <c r="B15293" s="245"/>
      <c r="C15293" s="248"/>
      <c r="D15293" s="249"/>
      <c r="E15293" s="249"/>
      <c r="T15293" s="261"/>
    </row>
    <row r="15294" spans="2:20" x14ac:dyDescent="0.2">
      <c r="B15294" s="245"/>
      <c r="C15294" s="248"/>
      <c r="D15294" s="249"/>
      <c r="E15294" s="249"/>
      <c r="T15294" s="261"/>
    </row>
    <row r="15295" spans="2:20" x14ac:dyDescent="0.2">
      <c r="B15295" s="245"/>
      <c r="C15295" s="248"/>
      <c r="D15295" s="249"/>
      <c r="E15295" s="249"/>
      <c r="T15295" s="261"/>
    </row>
    <row r="15296" spans="2:20" x14ac:dyDescent="0.2">
      <c r="B15296" s="245"/>
      <c r="C15296" s="248"/>
      <c r="D15296" s="249"/>
      <c r="E15296" s="249"/>
      <c r="T15296" s="261"/>
    </row>
    <row r="15297" spans="2:20" x14ac:dyDescent="0.2">
      <c r="B15297" s="245"/>
      <c r="C15297" s="248"/>
      <c r="D15297" s="249"/>
      <c r="E15297" s="249"/>
      <c r="T15297" s="261"/>
    </row>
    <row r="15298" spans="2:20" x14ac:dyDescent="0.2">
      <c r="B15298" s="245"/>
      <c r="C15298" s="248"/>
      <c r="D15298" s="249"/>
      <c r="E15298" s="249"/>
      <c r="T15298" s="261"/>
    </row>
    <row r="15299" spans="2:20" x14ac:dyDescent="0.2">
      <c r="B15299" s="245"/>
      <c r="C15299" s="248"/>
      <c r="D15299" s="249"/>
      <c r="E15299" s="249"/>
      <c r="T15299" s="261"/>
    </row>
    <row r="15300" spans="2:20" x14ac:dyDescent="0.2">
      <c r="B15300" s="245"/>
      <c r="C15300" s="248"/>
      <c r="D15300" s="249"/>
      <c r="E15300" s="249"/>
      <c r="T15300" s="261"/>
    </row>
    <row r="15301" spans="2:20" x14ac:dyDescent="0.2">
      <c r="B15301" s="245"/>
      <c r="C15301" s="248"/>
      <c r="D15301" s="249"/>
      <c r="E15301" s="249"/>
      <c r="T15301" s="261"/>
    </row>
    <row r="15302" spans="2:20" x14ac:dyDescent="0.2">
      <c r="B15302" s="245"/>
      <c r="C15302" s="248"/>
      <c r="D15302" s="249"/>
      <c r="E15302" s="249"/>
      <c r="T15302" s="261"/>
    </row>
    <row r="15303" spans="2:20" x14ac:dyDescent="0.2">
      <c r="B15303" s="245"/>
      <c r="C15303" s="248"/>
      <c r="D15303" s="249"/>
      <c r="E15303" s="249"/>
      <c r="T15303" s="261"/>
    </row>
    <row r="15304" spans="2:20" x14ac:dyDescent="0.2">
      <c r="B15304" s="245"/>
      <c r="C15304" s="248"/>
      <c r="D15304" s="249"/>
      <c r="E15304" s="249"/>
      <c r="T15304" s="261"/>
    </row>
    <row r="15305" spans="2:20" x14ac:dyDescent="0.2">
      <c r="B15305" s="245"/>
      <c r="C15305" s="248"/>
      <c r="D15305" s="249"/>
      <c r="E15305" s="249"/>
      <c r="T15305" s="261"/>
    </row>
    <row r="15306" spans="2:20" x14ac:dyDescent="0.2">
      <c r="B15306" s="245"/>
      <c r="C15306" s="248"/>
      <c r="D15306" s="249"/>
      <c r="E15306" s="249"/>
      <c r="T15306" s="261"/>
    </row>
    <row r="15307" spans="2:20" x14ac:dyDescent="0.2">
      <c r="B15307" s="245"/>
      <c r="C15307" s="248"/>
      <c r="D15307" s="249"/>
      <c r="E15307" s="249"/>
      <c r="T15307" s="261"/>
    </row>
    <row r="15308" spans="2:20" x14ac:dyDescent="0.2">
      <c r="B15308" s="245"/>
      <c r="C15308" s="248"/>
      <c r="D15308" s="249"/>
      <c r="E15308" s="249"/>
      <c r="T15308" s="261"/>
    </row>
    <row r="15309" spans="2:20" x14ac:dyDescent="0.2">
      <c r="B15309" s="245"/>
      <c r="C15309" s="248"/>
      <c r="D15309" s="249"/>
      <c r="E15309" s="249"/>
      <c r="T15309" s="261"/>
    </row>
    <row r="15310" spans="2:20" x14ac:dyDescent="0.2">
      <c r="B15310" s="245"/>
      <c r="C15310" s="248"/>
      <c r="D15310" s="249"/>
      <c r="E15310" s="249"/>
      <c r="T15310" s="261"/>
    </row>
    <row r="15311" spans="2:20" x14ac:dyDescent="0.2">
      <c r="B15311" s="245"/>
      <c r="C15311" s="248"/>
      <c r="D15311" s="249"/>
      <c r="E15311" s="249"/>
      <c r="T15311" s="261"/>
    </row>
    <row r="15312" spans="2:20" x14ac:dyDescent="0.2">
      <c r="B15312" s="245"/>
      <c r="C15312" s="248"/>
      <c r="D15312" s="249"/>
      <c r="E15312" s="249"/>
      <c r="T15312" s="261"/>
    </row>
    <row r="15313" spans="2:20" x14ac:dyDescent="0.2">
      <c r="B15313" s="245"/>
      <c r="C15313" s="248"/>
      <c r="D15313" s="249"/>
      <c r="E15313" s="249"/>
      <c r="T15313" s="261"/>
    </row>
    <row r="15314" spans="2:20" x14ac:dyDescent="0.2">
      <c r="B15314" s="245"/>
      <c r="C15314" s="248"/>
      <c r="D15314" s="249"/>
      <c r="E15314" s="249"/>
      <c r="T15314" s="261"/>
    </row>
    <row r="15315" spans="2:20" x14ac:dyDescent="0.2">
      <c r="B15315" s="245"/>
      <c r="C15315" s="248"/>
      <c r="D15315" s="249"/>
      <c r="E15315" s="249"/>
      <c r="T15315" s="261"/>
    </row>
    <row r="15316" spans="2:20" x14ac:dyDescent="0.2">
      <c r="B15316" s="245"/>
      <c r="C15316" s="248"/>
      <c r="D15316" s="249"/>
      <c r="E15316" s="249"/>
      <c r="T15316" s="261"/>
    </row>
    <row r="15317" spans="2:20" x14ac:dyDescent="0.2">
      <c r="B15317" s="245"/>
      <c r="C15317" s="248"/>
      <c r="D15317" s="249"/>
      <c r="E15317" s="249"/>
      <c r="T15317" s="261"/>
    </row>
    <row r="15318" spans="2:20" x14ac:dyDescent="0.2">
      <c r="B15318" s="245"/>
      <c r="C15318" s="248"/>
      <c r="D15318" s="249"/>
      <c r="E15318" s="249"/>
      <c r="T15318" s="261"/>
    </row>
    <row r="15319" spans="2:20" x14ac:dyDescent="0.2">
      <c r="B15319" s="245"/>
      <c r="C15319" s="248"/>
      <c r="D15319" s="249"/>
      <c r="E15319" s="249"/>
      <c r="T15319" s="261"/>
    </row>
    <row r="15320" spans="2:20" x14ac:dyDescent="0.2">
      <c r="B15320" s="245"/>
      <c r="C15320" s="248"/>
      <c r="D15320" s="249"/>
      <c r="E15320" s="249"/>
      <c r="T15320" s="261"/>
    </row>
    <row r="15321" spans="2:20" x14ac:dyDescent="0.2">
      <c r="B15321" s="245"/>
      <c r="C15321" s="248"/>
      <c r="D15321" s="249"/>
      <c r="E15321" s="249"/>
      <c r="T15321" s="261"/>
    </row>
    <row r="15322" spans="2:20" x14ac:dyDescent="0.2">
      <c r="B15322" s="245"/>
      <c r="C15322" s="248"/>
      <c r="D15322" s="249"/>
      <c r="E15322" s="249"/>
      <c r="T15322" s="261"/>
    </row>
    <row r="15323" spans="2:20" x14ac:dyDescent="0.2">
      <c r="B15323" s="245"/>
      <c r="C15323" s="248"/>
      <c r="D15323" s="249"/>
      <c r="E15323" s="249"/>
      <c r="T15323" s="261"/>
    </row>
    <row r="15324" spans="2:20" x14ac:dyDescent="0.2">
      <c r="B15324" s="245"/>
      <c r="C15324" s="248"/>
      <c r="D15324" s="249"/>
      <c r="E15324" s="249"/>
      <c r="T15324" s="261"/>
    </row>
    <row r="15325" spans="2:20" x14ac:dyDescent="0.2">
      <c r="B15325" s="245"/>
      <c r="C15325" s="248"/>
      <c r="D15325" s="249"/>
      <c r="E15325" s="249"/>
      <c r="T15325" s="261"/>
    </row>
    <row r="15326" spans="2:20" x14ac:dyDescent="0.2">
      <c r="B15326" s="245"/>
      <c r="C15326" s="248"/>
      <c r="D15326" s="249"/>
      <c r="E15326" s="249"/>
      <c r="T15326" s="261"/>
    </row>
    <row r="15327" spans="2:20" x14ac:dyDescent="0.2">
      <c r="B15327" s="245"/>
      <c r="C15327" s="248"/>
      <c r="D15327" s="249"/>
      <c r="E15327" s="249"/>
      <c r="T15327" s="261"/>
    </row>
    <row r="15328" spans="2:20" x14ac:dyDescent="0.2">
      <c r="B15328" s="245"/>
      <c r="C15328" s="248"/>
      <c r="D15328" s="249"/>
      <c r="E15328" s="249"/>
      <c r="T15328" s="261"/>
    </row>
    <row r="15329" spans="2:20" x14ac:dyDescent="0.2">
      <c r="B15329" s="245"/>
      <c r="C15329" s="248"/>
      <c r="D15329" s="249"/>
      <c r="E15329" s="249"/>
      <c r="T15329" s="261"/>
    </row>
    <row r="15330" spans="2:20" x14ac:dyDescent="0.2">
      <c r="B15330" s="245"/>
      <c r="C15330" s="248"/>
      <c r="D15330" s="249"/>
      <c r="E15330" s="249"/>
      <c r="T15330" s="261"/>
    </row>
    <row r="15331" spans="2:20" x14ac:dyDescent="0.2">
      <c r="B15331" s="245"/>
      <c r="C15331" s="248"/>
      <c r="D15331" s="249"/>
      <c r="E15331" s="249"/>
      <c r="T15331" s="261"/>
    </row>
    <row r="15332" spans="2:20" x14ac:dyDescent="0.2">
      <c r="B15332" s="245"/>
      <c r="C15332" s="248"/>
      <c r="D15332" s="249"/>
      <c r="E15332" s="249"/>
      <c r="T15332" s="261"/>
    </row>
    <row r="15333" spans="2:20" x14ac:dyDescent="0.2">
      <c r="B15333" s="245"/>
      <c r="C15333" s="248"/>
      <c r="D15333" s="249"/>
      <c r="E15333" s="249"/>
      <c r="T15333" s="261"/>
    </row>
    <row r="15334" spans="2:20" x14ac:dyDescent="0.2">
      <c r="B15334" s="245"/>
      <c r="C15334" s="248"/>
      <c r="D15334" s="249"/>
      <c r="E15334" s="249"/>
      <c r="T15334" s="261"/>
    </row>
    <row r="15335" spans="2:20" x14ac:dyDescent="0.2">
      <c r="B15335" s="245"/>
      <c r="C15335" s="248"/>
      <c r="D15335" s="249"/>
      <c r="E15335" s="249"/>
      <c r="T15335" s="261"/>
    </row>
    <row r="15336" spans="2:20" x14ac:dyDescent="0.2">
      <c r="B15336" s="245"/>
      <c r="C15336" s="248"/>
      <c r="D15336" s="249"/>
      <c r="E15336" s="249"/>
      <c r="T15336" s="261"/>
    </row>
    <row r="15337" spans="2:20" x14ac:dyDescent="0.2">
      <c r="B15337" s="245"/>
      <c r="C15337" s="248"/>
      <c r="D15337" s="249"/>
      <c r="E15337" s="249"/>
      <c r="T15337" s="261"/>
    </row>
    <row r="15338" spans="2:20" x14ac:dyDescent="0.2">
      <c r="B15338" s="245"/>
      <c r="C15338" s="248"/>
      <c r="D15338" s="249"/>
      <c r="E15338" s="249"/>
      <c r="T15338" s="261"/>
    </row>
    <row r="15339" spans="2:20" x14ac:dyDescent="0.2">
      <c r="B15339" s="245"/>
      <c r="C15339" s="248"/>
      <c r="D15339" s="249"/>
      <c r="E15339" s="249"/>
      <c r="T15339" s="261"/>
    </row>
    <row r="15340" spans="2:20" x14ac:dyDescent="0.2">
      <c r="B15340" s="245"/>
      <c r="C15340" s="248"/>
      <c r="D15340" s="249"/>
      <c r="E15340" s="249"/>
      <c r="T15340" s="261"/>
    </row>
    <row r="15341" spans="2:20" x14ac:dyDescent="0.2">
      <c r="B15341" s="245"/>
      <c r="C15341" s="248"/>
      <c r="D15341" s="249"/>
      <c r="E15341" s="249"/>
      <c r="T15341" s="261"/>
    </row>
    <row r="15342" spans="2:20" x14ac:dyDescent="0.2">
      <c r="B15342" s="245"/>
      <c r="C15342" s="248"/>
      <c r="D15342" s="249"/>
      <c r="E15342" s="249"/>
      <c r="T15342" s="261"/>
    </row>
    <row r="15343" spans="2:20" x14ac:dyDescent="0.2">
      <c r="B15343" s="245"/>
      <c r="C15343" s="248"/>
      <c r="D15343" s="249"/>
      <c r="E15343" s="249"/>
      <c r="T15343" s="261"/>
    </row>
    <row r="15344" spans="2:20" x14ac:dyDescent="0.2">
      <c r="B15344" s="245"/>
      <c r="C15344" s="248"/>
      <c r="D15344" s="249"/>
      <c r="E15344" s="249"/>
      <c r="T15344" s="261"/>
    </row>
    <row r="15345" spans="2:20" x14ac:dyDescent="0.2">
      <c r="B15345" s="245"/>
      <c r="C15345" s="248"/>
      <c r="D15345" s="249"/>
      <c r="E15345" s="249"/>
      <c r="T15345" s="261"/>
    </row>
    <row r="15346" spans="2:20" x14ac:dyDescent="0.2">
      <c r="B15346" s="245"/>
      <c r="C15346" s="248"/>
      <c r="D15346" s="249"/>
      <c r="E15346" s="249"/>
      <c r="T15346" s="261"/>
    </row>
    <row r="15347" spans="2:20" x14ac:dyDescent="0.2">
      <c r="B15347" s="245"/>
      <c r="C15347" s="248"/>
      <c r="D15347" s="249"/>
      <c r="E15347" s="249"/>
      <c r="T15347" s="261"/>
    </row>
    <row r="15348" spans="2:20" x14ac:dyDescent="0.2">
      <c r="B15348" s="245"/>
      <c r="C15348" s="248"/>
      <c r="D15348" s="249"/>
      <c r="E15348" s="249"/>
      <c r="T15348" s="261"/>
    </row>
    <row r="15349" spans="2:20" x14ac:dyDescent="0.2">
      <c r="B15349" s="245"/>
      <c r="C15349" s="248"/>
      <c r="D15349" s="249"/>
      <c r="E15349" s="249"/>
      <c r="T15349" s="261"/>
    </row>
    <row r="15350" spans="2:20" x14ac:dyDescent="0.2">
      <c r="B15350" s="245"/>
      <c r="C15350" s="248"/>
      <c r="D15350" s="249"/>
      <c r="E15350" s="249"/>
      <c r="T15350" s="261"/>
    </row>
    <row r="15351" spans="2:20" x14ac:dyDescent="0.2">
      <c r="B15351" s="245"/>
      <c r="C15351" s="248"/>
      <c r="D15351" s="249"/>
      <c r="E15351" s="249"/>
      <c r="T15351" s="261"/>
    </row>
    <row r="15352" spans="2:20" x14ac:dyDescent="0.2">
      <c r="B15352" s="245"/>
      <c r="C15352" s="248"/>
      <c r="D15352" s="249"/>
      <c r="E15352" s="249"/>
      <c r="T15352" s="261"/>
    </row>
    <row r="15353" spans="2:20" x14ac:dyDescent="0.2">
      <c r="B15353" s="245"/>
      <c r="C15353" s="248"/>
      <c r="D15353" s="249"/>
      <c r="E15353" s="249"/>
      <c r="T15353" s="261"/>
    </row>
    <row r="15354" spans="2:20" x14ac:dyDescent="0.2">
      <c r="B15354" s="245"/>
      <c r="C15354" s="248"/>
      <c r="D15354" s="249"/>
      <c r="E15354" s="249"/>
      <c r="T15354" s="261"/>
    </row>
    <row r="15355" spans="2:20" x14ac:dyDescent="0.2">
      <c r="B15355" s="245"/>
      <c r="C15355" s="248"/>
      <c r="D15355" s="249"/>
      <c r="E15355" s="249"/>
      <c r="T15355" s="261"/>
    </row>
    <row r="15356" spans="2:20" x14ac:dyDescent="0.2">
      <c r="B15356" s="245"/>
      <c r="C15356" s="248"/>
      <c r="D15356" s="249"/>
      <c r="E15356" s="249"/>
      <c r="T15356" s="261"/>
    </row>
    <row r="15357" spans="2:20" x14ac:dyDescent="0.2">
      <c r="B15357" s="245"/>
      <c r="C15357" s="248"/>
      <c r="D15357" s="249"/>
      <c r="E15357" s="249"/>
      <c r="T15357" s="261"/>
    </row>
    <row r="15358" spans="2:20" x14ac:dyDescent="0.2">
      <c r="B15358" s="245"/>
      <c r="C15358" s="248"/>
      <c r="D15358" s="249"/>
      <c r="E15358" s="249"/>
      <c r="T15358" s="261"/>
    </row>
    <row r="15359" spans="2:20" x14ac:dyDescent="0.2">
      <c r="B15359" s="245"/>
      <c r="C15359" s="248"/>
      <c r="D15359" s="249"/>
      <c r="E15359" s="249"/>
      <c r="T15359" s="261"/>
    </row>
    <row r="15360" spans="2:20" x14ac:dyDescent="0.2">
      <c r="B15360" s="245"/>
      <c r="C15360" s="248"/>
      <c r="D15360" s="249"/>
      <c r="E15360" s="249"/>
      <c r="T15360" s="261"/>
    </row>
    <row r="15361" spans="2:20" x14ac:dyDescent="0.2">
      <c r="B15361" s="245"/>
      <c r="C15361" s="248"/>
      <c r="D15361" s="249"/>
      <c r="E15361" s="249"/>
      <c r="T15361" s="261"/>
    </row>
    <row r="15362" spans="2:20" x14ac:dyDescent="0.2">
      <c r="B15362" s="245"/>
      <c r="C15362" s="248"/>
      <c r="D15362" s="249"/>
      <c r="E15362" s="249"/>
      <c r="T15362" s="261"/>
    </row>
    <row r="15363" spans="2:20" x14ac:dyDescent="0.2">
      <c r="B15363" s="245"/>
      <c r="C15363" s="248"/>
      <c r="D15363" s="249"/>
      <c r="E15363" s="249"/>
      <c r="T15363" s="261"/>
    </row>
    <row r="15364" spans="2:20" x14ac:dyDescent="0.2">
      <c r="B15364" s="245"/>
      <c r="C15364" s="248"/>
      <c r="D15364" s="249"/>
      <c r="E15364" s="249"/>
      <c r="T15364" s="261"/>
    </row>
    <row r="15365" spans="2:20" x14ac:dyDescent="0.2">
      <c r="B15365" s="245"/>
      <c r="C15365" s="248"/>
      <c r="D15365" s="249"/>
      <c r="E15365" s="249"/>
      <c r="T15365" s="261"/>
    </row>
    <row r="15366" spans="2:20" x14ac:dyDescent="0.2">
      <c r="B15366" s="245"/>
      <c r="C15366" s="248"/>
      <c r="D15366" s="249"/>
      <c r="E15366" s="249"/>
      <c r="T15366" s="261"/>
    </row>
    <row r="15367" spans="2:20" x14ac:dyDescent="0.2">
      <c r="B15367" s="245"/>
      <c r="C15367" s="248"/>
      <c r="D15367" s="249"/>
      <c r="E15367" s="249"/>
      <c r="T15367" s="261"/>
    </row>
    <row r="15368" spans="2:20" x14ac:dyDescent="0.2">
      <c r="B15368" s="245"/>
      <c r="C15368" s="248"/>
      <c r="D15368" s="249"/>
      <c r="E15368" s="249"/>
      <c r="T15368" s="261"/>
    </row>
    <row r="15369" spans="2:20" x14ac:dyDescent="0.2">
      <c r="B15369" s="245"/>
      <c r="C15369" s="248"/>
      <c r="D15369" s="249"/>
      <c r="E15369" s="249"/>
      <c r="T15369" s="261"/>
    </row>
    <row r="15370" spans="2:20" x14ac:dyDescent="0.2">
      <c r="B15370" s="245"/>
      <c r="C15370" s="248"/>
      <c r="D15370" s="249"/>
      <c r="E15370" s="249"/>
      <c r="T15370" s="261"/>
    </row>
    <row r="15371" spans="2:20" x14ac:dyDescent="0.2">
      <c r="B15371" s="245"/>
      <c r="C15371" s="248"/>
      <c r="D15371" s="249"/>
      <c r="E15371" s="249"/>
      <c r="T15371" s="261"/>
    </row>
    <row r="15372" spans="2:20" x14ac:dyDescent="0.2">
      <c r="B15372" s="245"/>
      <c r="C15372" s="248"/>
      <c r="D15372" s="249"/>
      <c r="E15372" s="249"/>
      <c r="T15372" s="261"/>
    </row>
    <row r="15373" spans="2:20" x14ac:dyDescent="0.2">
      <c r="B15373" s="245"/>
      <c r="C15373" s="248"/>
      <c r="D15373" s="249"/>
      <c r="E15373" s="249"/>
      <c r="T15373" s="261"/>
    </row>
    <row r="15374" spans="2:20" x14ac:dyDescent="0.2">
      <c r="B15374" s="245"/>
      <c r="C15374" s="248"/>
      <c r="D15374" s="249"/>
      <c r="E15374" s="249"/>
      <c r="T15374" s="261"/>
    </row>
    <row r="15375" spans="2:20" x14ac:dyDescent="0.2">
      <c r="B15375" s="245"/>
      <c r="C15375" s="248"/>
      <c r="D15375" s="249"/>
      <c r="E15375" s="249"/>
    </row>
    <row r="15376" spans="2:20" x14ac:dyDescent="0.2">
      <c r="B15376" s="245"/>
      <c r="C15376" s="248"/>
      <c r="D15376" s="249"/>
      <c r="E15376" s="249"/>
    </row>
    <row r="15377" spans="2:5" x14ac:dyDescent="0.2">
      <c r="B15377" s="245"/>
      <c r="C15377" s="248"/>
      <c r="D15377" s="249"/>
      <c r="E15377" s="249"/>
    </row>
    <row r="15378" spans="2:5" x14ac:dyDescent="0.2">
      <c r="B15378" s="245"/>
      <c r="C15378" s="248"/>
      <c r="D15378" s="249"/>
      <c r="E15378" s="249"/>
    </row>
    <row r="15379" spans="2:5" x14ac:dyDescent="0.2">
      <c r="B15379" s="245"/>
      <c r="C15379" s="248"/>
      <c r="D15379" s="249"/>
      <c r="E15379" s="249"/>
    </row>
    <row r="15380" spans="2:5" x14ac:dyDescent="0.2">
      <c r="B15380" s="245"/>
      <c r="C15380" s="248"/>
      <c r="D15380" s="249"/>
      <c r="E15380" s="249"/>
    </row>
    <row r="15381" spans="2:5" x14ac:dyDescent="0.2">
      <c r="B15381" s="245"/>
      <c r="C15381" s="248"/>
      <c r="D15381" s="249"/>
      <c r="E15381" s="249"/>
    </row>
  </sheetData>
  <dataConsolidate/>
  <dataValidations disablePrompts="1" count="3">
    <dataValidation type="list" errorStyle="warning"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D65542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D131078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D196614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D262150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D327686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D393222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D458758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D524294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D589830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D655366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D720902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D786438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D851974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D917510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D983046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"ON,1M,3M,6M,1Y"</formula1>
    </dataValidation>
    <dataValidation type="list" allowBlank="1" showInputMessage="1" showErrorMessage="1" sqref="WVJ98304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C65542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C131078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C196614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C262150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C327686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C393222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C458758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C524294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C589830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C655366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C720902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C786438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C851974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C917510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C983046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formula1>"EUR,USD,GBP,JPY,CHF"</formula1>
    </dataValidation>
    <dataValidation errorStyle="warning" allowBlank="1" showInputMessage="1" showErrorMessage="1" sqref="RDU98304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RNQ983042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RXM983042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SHI983042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SRE983042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TBA98304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TKW983042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TUS983042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UEO983042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UOK983042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UYG98304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VIC983042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VRY983042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WBU983042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WLQ983042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WVM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Second Length">
              <controlPr defaultSize="0" print="0" autoFill="0" autoPict="0" macro="[0]!Call_2">
                <anchor moveWithCells="1">
                  <from>
                    <xdr:col>8</xdr:col>
                    <xdr:colOff>0</xdr:colOff>
                    <xdr:row>18</xdr:row>
                    <xdr:rowOff>104775</xdr:rowOff>
                  </from>
                  <to>
                    <xdr:col>9</xdr:col>
                    <xdr:colOff>514350</xdr:colOff>
                    <xdr:row>20</xdr:row>
                    <xdr:rowOff>95250</xdr:rowOff>
                  </to>
                </anchor>
              </controlPr>
            </control>
          </mc:Choice>
        </mc:AlternateContent>
        <mc:AlternateContent xmlns:mc="http://schemas.openxmlformats.org/markup-compatibility/2006">
          <mc:Choice Requires="x14">
            <control shapeId="6146" r:id="rId5" name="First Length">
              <controlPr defaultSize="0" print="0" autoFill="0" autoPict="0" macro="[0]!Call_1" altText="3">
                <anchor moveWithCells="1">
                  <from>
                    <xdr:col>8</xdr:col>
                    <xdr:colOff>0</xdr:colOff>
                    <xdr:row>16</xdr:row>
                    <xdr:rowOff>9525</xdr:rowOff>
                  </from>
                  <to>
                    <xdr:col>9</xdr:col>
                    <xdr:colOff>514350</xdr:colOff>
                    <xdr:row>18</xdr:row>
                    <xdr:rowOff>0</xdr:rowOff>
                  </to>
                </anchor>
              </controlPr>
            </control>
          </mc:Choice>
        </mc:AlternateContent>
        <mc:AlternateContent xmlns:mc="http://schemas.openxmlformats.org/markup-compatibility/2006">
          <mc:Choice Requires="x14">
            <control shapeId="6147" r:id="rId6" name="Third Length">
              <controlPr defaultSize="0" print="0" autoFill="0" autoPict="0" macro="[0]!Call_3">
                <anchor moveWithCells="1">
                  <from>
                    <xdr:col>8</xdr:col>
                    <xdr:colOff>0</xdr:colOff>
                    <xdr:row>21</xdr:row>
                    <xdr:rowOff>76200</xdr:rowOff>
                  </from>
                  <to>
                    <xdr:col>9</xdr:col>
                    <xdr:colOff>514350</xdr:colOff>
                    <xdr:row>23</xdr:row>
                    <xdr:rowOff>66675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4</xdr:col>
                    <xdr:colOff>1038225</xdr:colOff>
                    <xdr:row>36</xdr:row>
                    <xdr:rowOff>47625</xdr:rowOff>
                  </from>
                  <to>
                    <xdr:col>6</xdr:col>
                    <xdr:colOff>0</xdr:colOff>
                    <xdr:row>38</xdr:row>
                    <xdr:rowOff>57150</xdr:rowOff>
                  </to>
                </anchor>
              </controlPr>
            </control>
          </mc:Choice>
        </mc:AlternateContent>
        <mc:AlternateContent xmlns:mc="http://schemas.openxmlformats.org/markup-compatibility/2006">
          <mc:Choice Requires="x14">
            <control shapeId="6149" r:id="rId8" name="Refresh">
              <controlPr defaultSize="0" print="0" autoFill="0" autoPict="0" macro="[0]!refresh">
                <anchor>
                  <from>
                    <xdr:col>2</xdr:col>
                    <xdr:colOff>19050</xdr:colOff>
                    <xdr:row>1</xdr:row>
                    <xdr:rowOff>9525</xdr:rowOff>
                  </from>
                  <to>
                    <xdr:col>3</xdr:col>
                    <xdr:colOff>457200</xdr:colOff>
                    <xdr:row>2</xdr:row>
                    <xdr:rowOff>142875</xdr:rowOff>
                  </to>
                </anchor>
              </controlPr>
            </control>
          </mc:Choice>
        </mc:AlternateContent>
        <mc:AlternateContent xmlns:mc="http://schemas.openxmlformats.org/markup-compatibility/2006">
          <mc:Choice Requires="x14">
            <control shapeId="6150" r:id="rId9" name="Fourth Length">
              <controlPr defaultSize="0" print="0" autoFill="0" autoPict="0" macro="[0]!Call_4">
                <anchor moveWithCells="1">
                  <from>
                    <xdr:col>8</xdr:col>
                    <xdr:colOff>0</xdr:colOff>
                    <xdr:row>24</xdr:row>
                    <xdr:rowOff>57150</xdr:rowOff>
                  </from>
                  <to>
                    <xdr:col>9</xdr:col>
                    <xdr:colOff>514350</xdr:colOff>
                    <xdr:row>26</xdr:row>
                    <xdr:rowOff>47625</xdr:rowOff>
                  </to>
                </anchor>
              </controlPr>
            </control>
          </mc:Choice>
        </mc:AlternateContent>
        <mc:AlternateContent xmlns:mc="http://schemas.openxmlformats.org/markup-compatibility/2006">
          <mc:Choice Requires="x14">
            <control shapeId="6151" r:id="rId10" name="Fifth Length">
              <controlPr defaultSize="0" print="0" autoFill="0" autoPict="0" macro="[0]!Call_5">
                <anchor moveWithCells="1">
                  <from>
                    <xdr:col>8</xdr:col>
                    <xdr:colOff>0</xdr:colOff>
                    <xdr:row>27</xdr:row>
                    <xdr:rowOff>19050</xdr:rowOff>
                  </from>
                  <to>
                    <xdr:col>9</xdr:col>
                    <xdr:colOff>514350</xdr:colOff>
                    <xdr:row>29</xdr:row>
                    <xdr:rowOff>9525</xdr:rowOff>
                  </to>
                </anchor>
              </controlPr>
            </control>
          </mc:Choice>
        </mc:AlternateContent>
        <mc:AlternateContent xmlns:mc="http://schemas.openxmlformats.org/markup-compatibility/2006">
          <mc:Choice Requires="x14">
            <control shapeId="6152" r:id="rId11" name="Sixth Length">
              <controlPr defaultSize="0" print="0" autoFill="0" autoPict="0" macro="[0]!Call_6">
                <anchor moveWithCells="1">
                  <from>
                    <xdr:col>8</xdr:col>
                    <xdr:colOff>0</xdr:colOff>
                    <xdr:row>30</xdr:row>
                    <xdr:rowOff>0</xdr:rowOff>
                  </from>
                  <to>
                    <xdr:col>9</xdr:col>
                    <xdr:colOff>514350</xdr:colOff>
                    <xdr:row>31</xdr:row>
                    <xdr:rowOff>133350</xdr:rowOff>
                  </to>
                </anchor>
              </controlPr>
            </control>
          </mc:Choice>
        </mc:AlternateContent>
        <mc:AlternateContent xmlns:mc="http://schemas.openxmlformats.org/markup-compatibility/2006">
          <mc:Choice Requires="x14">
            <control shapeId="6153" r:id="rId12" name="Seventh Length">
              <controlPr defaultSize="0" print="0" autoFill="0" autoPict="0" macro="[0]!Call_7">
                <anchor moveWithCells="1">
                  <from>
                    <xdr:col>8</xdr:col>
                    <xdr:colOff>0</xdr:colOff>
                    <xdr:row>32</xdr:row>
                    <xdr:rowOff>114300</xdr:rowOff>
                  </from>
                  <to>
                    <xdr:col>9</xdr:col>
                    <xdr:colOff>514350</xdr:colOff>
                    <xdr:row>34</xdr:row>
                    <xdr:rowOff>85725</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0</xdr:col>
                    <xdr:colOff>485775</xdr:colOff>
                    <xdr:row>36</xdr:row>
                    <xdr:rowOff>47625</xdr:rowOff>
                  </from>
                  <to>
                    <xdr:col>2</xdr:col>
                    <xdr:colOff>542925</xdr:colOff>
                    <xdr:row>38</xdr:row>
                    <xdr:rowOff>57150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2</xdr:col>
                    <xdr:colOff>866775</xdr:colOff>
                    <xdr:row>36</xdr:row>
                    <xdr:rowOff>47625</xdr:rowOff>
                  </from>
                  <to>
                    <xdr:col>4</xdr:col>
                    <xdr:colOff>714375</xdr:colOff>
                    <xdr:row>38</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65</vt:i4>
      </vt:variant>
    </vt:vector>
  </HeadingPairs>
  <TitlesOfParts>
    <vt:vector size="74" baseType="lpstr">
      <vt:lpstr>General Settings</vt:lpstr>
      <vt:lpstr>RateHelpers</vt:lpstr>
      <vt:lpstr>Selected</vt:lpstr>
      <vt:lpstr>Deposits_3M</vt:lpstr>
      <vt:lpstr>FRAs_3M</vt:lpstr>
      <vt:lpstr>Futures_3M</vt:lpstr>
      <vt:lpstr>Swaps_3M</vt:lpstr>
      <vt:lpstr>SwapsFromBasis_3M</vt:lpstr>
      <vt:lpstr>Monitor</vt:lpstr>
      <vt:lpstr>Accuracy</vt:lpstr>
      <vt:lpstr>BondBasisDayCounter</vt:lpstr>
      <vt:lpstr>Calendar</vt:lpstr>
      <vt:lpstr>CheckFRA</vt:lpstr>
      <vt:lpstr>CheckIMMFut</vt:lpstr>
      <vt:lpstr>CheckSerialFut</vt:lpstr>
      <vt:lpstr>Swaps_3M!Conventions</vt:lpstr>
      <vt:lpstr>Currency</vt:lpstr>
      <vt:lpstr>DataTable</vt:lpstr>
      <vt:lpstr>DayCounter</vt:lpstr>
      <vt:lpstr>DepoInclusionCriteria</vt:lpstr>
      <vt:lpstr>Discounting</vt:lpstr>
      <vt:lpstr>Swaps_3M!DiscountingCurve</vt:lpstr>
      <vt:lpstr>SwapsFromBasis_3M!DiscountingCurve</vt:lpstr>
      <vt:lpstr>FamilyName</vt:lpstr>
      <vt:lpstr>FileOverwrite</vt:lpstr>
      <vt:lpstr>FixingDays</vt:lpstr>
      <vt:lpstr>FRADates</vt:lpstr>
      <vt:lpstr>FRANull</vt:lpstr>
      <vt:lpstr>FRAQuotes</vt:lpstr>
      <vt:lpstr>FrontFuturesRollingDays</vt:lpstr>
      <vt:lpstr>IborIndex</vt:lpstr>
      <vt:lpstr>IborType</vt:lpstr>
      <vt:lpstr>IMMFutDates</vt:lpstr>
      <vt:lpstr>IMMFutNull</vt:lpstr>
      <vt:lpstr>IMMFutQuotes</vt:lpstr>
      <vt:lpstr>Monitor!IndexCalendar</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pippuzzo</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TimeAxisMajorUnit</vt:lpstr>
      <vt:lpstr>TimeAxisMaximum</vt:lpstr>
      <vt:lpstr>TimeAxisMinimum</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2014-05-29T08:19:42Z</dcterms:modified>
</cp:coreProperties>
</file>
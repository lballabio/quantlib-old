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080" yWindow="-15" windowWidth="19125" windowHeight="12075" activeTab="1"/>
  </bookViews>
  <sheets>
    <sheet name="General Settings" sheetId="3" r:id="rId1"/>
    <sheet name="Triggers" sheetId="7" r:id="rId2"/>
    <sheet name="RateHelpers" sheetId="2" r:id="rId3"/>
    <sheet name="Calculation" sheetId="4" r:id="rId4"/>
    <sheet name="Contribution" sheetId="6" r:id="rId5"/>
  </sheets>
  <definedNames>
    <definedName name="Accuracy">'General Settings'!$D$18</definedName>
    <definedName name="Calendar">'General Settings'!$D$16</definedName>
    <definedName name="Currency">'General Settings'!$D$4</definedName>
    <definedName name="DayCounter">'General Settings'!$D$17</definedName>
    <definedName name="EvaluationDate">Triggers!$C$2</definedName>
    <definedName name="FwdInterpolation">'General Settings'!$D$22</definedName>
    <definedName name="IborType">'General Settings'!$D$5</definedName>
    <definedName name="InterestRatesTrigger">Triggers!$C$5</definedName>
    <definedName name="InterpolatorID">'General Settings'!$D$20</definedName>
    <definedName name="LastDayInNextYear">'General Settings'!$D$11</definedName>
    <definedName name="LastDayInYear">'General Settings'!$D$10</definedName>
    <definedName name="LastUpdate">'General Settings'!$E$28</definedName>
    <definedName name="LiveDataFeed">'General Settings'!$E$31</definedName>
    <definedName name="MinDistance">RateHelpers!$I$2:$I$33</definedName>
    <definedName name="NDays">'General Settings'!$D$15</definedName>
    <definedName name="OvernightIndex">'General Settings'!$D$6</definedName>
    <definedName name="_xlnm.Print_Area" localSheetId="3">Calculation!$A$2:$N$51</definedName>
    <definedName name="Quote" localSheetId="4">Contribution!$H$5:$H$6</definedName>
    <definedName name="QuoteLive" localSheetId="4">Contribution!$C$5:$C$6</definedName>
    <definedName name="QuoteStatic" localSheetId="4">Contribution!$E$5:$E$6</definedName>
    <definedName name="RateHelpers">RateHelpers!$F$2:$F$33</definedName>
    <definedName name="RateHelpersIncluded">RateHelpers!$G$2:$G$33</definedName>
    <definedName name="RateHelpersPriority">RateHelpers!$H$2:$H$33</definedName>
    <definedName name="SettlementDate">'General Settings'!$D$9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hs1" localSheetId="4" hidden="1">Contribution!#REF!</definedName>
    <definedName name="solver_lhs2" localSheetId="4" hidden="1">Contribution!#REF!</definedName>
    <definedName name="solver_lhs3" localSheetId="4" hidden="1">Contribution!#REF!</definedName>
    <definedName name="solver_lhs4" localSheetId="4" hidden="1">Contribution!#REF!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pre" localSheetId="4" hidden="1">0.000001</definedName>
    <definedName name="solver_rel1" localSheetId="4" hidden="1">1</definedName>
    <definedName name="solver_rel2" localSheetId="4" hidden="1">3</definedName>
    <definedName name="solver_rel3" localSheetId="4" hidden="1">1</definedName>
    <definedName name="solver_rel4" localSheetId="4" hidden="1">3</definedName>
    <definedName name="solver_rhs1" localSheetId="4" hidden="1">0.2</definedName>
    <definedName name="solver_rhs2" localSheetId="4" hidden="1">0.0005</definedName>
    <definedName name="solver_rhs3" localSheetId="4" hidden="1">0.2</definedName>
    <definedName name="solver_rhs4" localSheetId="4" hidden="1">0.0005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1</definedName>
    <definedName name="solver_val" localSheetId="4" hidden="1">0</definedName>
    <definedName name="TOY_1">Calculation!$S$3</definedName>
    <definedName name="TOY_2">Calculation!$S$4</definedName>
    <definedName name="TraitsID">'General Settings'!$D$19</definedName>
    <definedName name="Trigger">Triggers!$C$4</definedName>
    <definedName name="TriggerCounter">'General Settings'!$D$7</definedName>
    <definedName name="YieldCurve">'General Settings'!$D$13</definedName>
  </definedNames>
  <calcPr calcId="145621"/>
</workbook>
</file>

<file path=xl/calcChain.xml><?xml version="1.0" encoding="utf-8"?>
<calcChain xmlns="http://schemas.openxmlformats.org/spreadsheetml/2006/main">
  <c r="H5" i="6" l="1" a="1"/>
  <c r="G5" i="6" l="1"/>
  <c r="G6" i="6"/>
  <c r="A31" i="4"/>
  <c r="E2" i="2"/>
  <c r="C15" i="2"/>
  <c r="E15" i="2"/>
  <c r="C16" i="2"/>
  <c r="C17" i="2"/>
  <c r="E17" i="2"/>
  <c r="C18" i="2"/>
  <c r="E18" i="2"/>
  <c r="C19" i="2"/>
  <c r="C20" i="2"/>
  <c r="E20" i="2"/>
  <c r="C21" i="2"/>
  <c r="C22" i="2"/>
  <c r="E22" i="2"/>
  <c r="C23" i="2"/>
  <c r="E23" i="2"/>
  <c r="C24" i="2"/>
  <c r="E24" i="2"/>
  <c r="C25" i="2"/>
  <c r="E25" i="2"/>
  <c r="C26" i="2"/>
  <c r="E26" i="2"/>
  <c r="C27" i="2"/>
  <c r="E27" i="2"/>
  <c r="C28" i="2"/>
  <c r="E28" i="2"/>
  <c r="C29" i="2"/>
  <c r="E29" i="2"/>
  <c r="C30" i="2"/>
  <c r="C31" i="2"/>
  <c r="E31" i="2"/>
  <c r="C32" i="2"/>
  <c r="E32" i="2"/>
  <c r="C33" i="2"/>
  <c r="D18" i="3"/>
  <c r="E30" i="2"/>
  <c r="E21" i="2"/>
  <c r="E16" i="2"/>
  <c r="E15" i="3"/>
  <c r="A1" i="4"/>
  <c r="E33" i="2"/>
  <c r="E19" i="2"/>
  <c r="C2" i="7"/>
  <c r="K83" i="4"/>
  <c r="K115" i="4"/>
  <c r="K38" i="4"/>
  <c r="K40" i="4"/>
  <c r="F26" i="2"/>
  <c r="K21" i="4"/>
  <c r="F29" i="2"/>
  <c r="K96" i="4"/>
  <c r="K54" i="4"/>
  <c r="K16" i="4"/>
  <c r="K104" i="4"/>
  <c r="K50" i="4"/>
  <c r="K109" i="4"/>
  <c r="K17" i="4"/>
  <c r="K67" i="4"/>
  <c r="K52" i="4"/>
  <c r="K111" i="4"/>
  <c r="K112" i="4"/>
  <c r="K100" i="4"/>
  <c r="K72" i="4"/>
  <c r="K15" i="4"/>
  <c r="K22" i="4"/>
  <c r="F25" i="2"/>
  <c r="K93" i="4"/>
  <c r="F17" i="2"/>
  <c r="K51" i="4"/>
  <c r="K29" i="4"/>
  <c r="D9" i="3"/>
  <c r="K45" i="4"/>
  <c r="K102" i="4"/>
  <c r="K62" i="4"/>
  <c r="K49" i="4"/>
  <c r="K92" i="4"/>
  <c r="K43" i="4"/>
  <c r="K31" i="4"/>
  <c r="F31" i="2"/>
  <c r="F28" i="2"/>
  <c r="K6" i="4"/>
  <c r="F18" i="2"/>
  <c r="J18" i="2" s="1"/>
  <c r="K48" i="4"/>
  <c r="K20" i="4"/>
  <c r="K12" i="4"/>
  <c r="K17" i="2"/>
  <c r="K78" i="4"/>
  <c r="K127" i="4"/>
  <c r="K119" i="4"/>
  <c r="F27" i="2"/>
  <c r="K27" i="2" s="1"/>
  <c r="K114" i="4"/>
  <c r="K126" i="4"/>
  <c r="K63" i="4"/>
  <c r="K10" i="4"/>
  <c r="K28" i="4"/>
  <c r="K66" i="4"/>
  <c r="J28" i="2"/>
  <c r="K86" i="4"/>
  <c r="J27" i="2"/>
  <c r="F15" i="2"/>
  <c r="F2" i="2"/>
  <c r="K34" i="4"/>
  <c r="F32" i="2"/>
  <c r="K32" i="2" s="1"/>
  <c r="K77" i="4"/>
  <c r="K55" i="4"/>
  <c r="F23" i="2"/>
  <c r="K23" i="2" s="1"/>
  <c r="F19" i="2"/>
  <c r="K11" i="4"/>
  <c r="F21" i="2"/>
  <c r="K80" i="4"/>
  <c r="K35" i="4"/>
  <c r="F22" i="2"/>
  <c r="F24" i="2"/>
  <c r="K37" i="4"/>
  <c r="J21" i="2"/>
  <c r="K122" i="4"/>
  <c r="K32" i="4"/>
  <c r="K118" i="4"/>
  <c r="K97" i="4"/>
  <c r="J32" i="2"/>
  <c r="K70" i="4"/>
  <c r="K41" i="4"/>
  <c r="K18" i="4"/>
  <c r="K89" i="4"/>
  <c r="K110" i="4"/>
  <c r="K33" i="4"/>
  <c r="J2" i="2"/>
  <c r="F33" i="2"/>
  <c r="K53" i="4"/>
  <c r="F16" i="2"/>
  <c r="K99" i="4"/>
  <c r="K103" i="4"/>
  <c r="K47" i="4"/>
  <c r="F20" i="2"/>
  <c r="K59" i="4"/>
  <c r="K81" i="4"/>
  <c r="K125" i="4"/>
  <c r="K46" i="4"/>
  <c r="K8" i="4"/>
  <c r="F30" i="2"/>
  <c r="K91" i="4"/>
  <c r="K101" i="4"/>
  <c r="J26" i="2"/>
  <c r="K14" i="4"/>
  <c r="K44" i="4"/>
  <c r="K61" i="4"/>
  <c r="K2" i="2"/>
  <c r="K84" i="4"/>
  <c r="K123" i="4"/>
  <c r="K76" i="4"/>
  <c r="K88" i="4"/>
  <c r="K107" i="4"/>
  <c r="K75" i="4"/>
  <c r="K3" i="4"/>
  <c r="B1" i="3"/>
  <c r="K106" i="4"/>
  <c r="K27" i="4"/>
  <c r="K64" i="4"/>
  <c r="K24" i="4"/>
  <c r="K26" i="2"/>
  <c r="K36" i="4"/>
  <c r="K79" i="4"/>
  <c r="K94" i="4"/>
  <c r="K105" i="4"/>
  <c r="K5" i="4"/>
  <c r="K58" i="4"/>
  <c r="J24" i="2"/>
  <c r="K117" i="4"/>
  <c r="K98" i="4"/>
  <c r="K60" i="4"/>
  <c r="K20" i="2"/>
  <c r="K25" i="2"/>
  <c r="K113" i="4"/>
  <c r="K124" i="4"/>
  <c r="K108" i="4"/>
  <c r="K120" i="4"/>
  <c r="K87" i="4"/>
  <c r="K85" i="4"/>
  <c r="J33" i="2"/>
  <c r="K56" i="4"/>
  <c r="K69" i="4"/>
  <c r="K65" i="4"/>
  <c r="K82" i="4"/>
  <c r="K73" i="4"/>
  <c r="K19" i="4"/>
  <c r="J16" i="2"/>
  <c r="K57" i="4"/>
  <c r="K23" i="4"/>
  <c r="K13" i="4"/>
  <c r="K4" i="4"/>
  <c r="K25" i="4"/>
  <c r="K26" i="4"/>
  <c r="K42" i="4"/>
  <c r="K74" i="4"/>
  <c r="K95" i="4"/>
  <c r="K71" i="4"/>
  <c r="K39" i="4"/>
  <c r="K9" i="4"/>
  <c r="K90" i="4"/>
  <c r="K116" i="4"/>
  <c r="K68" i="4"/>
  <c r="J15" i="2"/>
  <c r="K7" i="4"/>
  <c r="K121" i="4"/>
  <c r="K30" i="4"/>
  <c r="K22" i="2"/>
  <c r="J22" i="2"/>
  <c r="K30" i="2"/>
  <c r="J30" i="2"/>
  <c r="K19" i="2"/>
  <c r="J23" i="2"/>
  <c r="J31" i="2"/>
  <c r="K21" i="2"/>
  <c r="A3" i="2"/>
  <c r="K29" i="2"/>
  <c r="J17" i="2"/>
  <c r="K31" i="2"/>
  <c r="J29" i="2"/>
  <c r="D3" i="2"/>
  <c r="K33" i="2"/>
  <c r="K24" i="2"/>
  <c r="J19" i="2"/>
  <c r="D10" i="3"/>
  <c r="J25" i="2"/>
  <c r="K28" i="2"/>
  <c r="K15" i="2"/>
  <c r="K18" i="2"/>
  <c r="D11" i="3"/>
  <c r="J20" i="2"/>
  <c r="K16" i="2"/>
  <c r="E11" i="3"/>
  <c r="E10" i="3"/>
  <c r="F10" i="3" s="1"/>
  <c r="E3" i="2" l="1"/>
  <c r="F11" i="3"/>
  <c r="F3" i="2"/>
  <c r="A4" i="2"/>
  <c r="J3" i="2"/>
  <c r="K3" i="2"/>
  <c r="A5" i="2"/>
  <c r="D4" i="2"/>
  <c r="A6" i="2"/>
  <c r="D5" i="2"/>
  <c r="A7" i="2"/>
  <c r="D6" i="2"/>
  <c r="A8" i="2"/>
  <c r="D7" i="2"/>
  <c r="D8" i="2"/>
  <c r="A9" i="2"/>
  <c r="D9" i="2"/>
  <c r="A10" i="2"/>
  <c r="D10" i="2"/>
  <c r="A11" i="2"/>
  <c r="D11" i="2"/>
  <c r="A12" i="2"/>
  <c r="D12" i="2"/>
  <c r="A13" i="2"/>
  <c r="D13" i="2"/>
  <c r="A14" i="2"/>
  <c r="D14" i="2"/>
  <c r="A15" i="2"/>
  <c r="E14" i="2" l="1"/>
  <c r="E13" i="2"/>
  <c r="E12" i="2"/>
  <c r="E11" i="2"/>
  <c r="E10" i="2"/>
  <c r="E9" i="2"/>
  <c r="E8" i="2"/>
  <c r="E7" i="2"/>
  <c r="E6" i="2"/>
  <c r="E5" i="2"/>
  <c r="E4" i="2"/>
  <c r="F14" i="2"/>
  <c r="F6" i="2"/>
  <c r="F13" i="2"/>
  <c r="F5" i="2"/>
  <c r="F12" i="2"/>
  <c r="F4" i="2"/>
  <c r="F11" i="2"/>
  <c r="F10" i="2"/>
  <c r="F9" i="2"/>
  <c r="F8" i="2"/>
  <c r="F7" i="2"/>
  <c r="J14" i="2"/>
  <c r="K14" i="2"/>
  <c r="J6" i="2"/>
  <c r="K6" i="2"/>
  <c r="J13" i="2"/>
  <c r="K13" i="2"/>
  <c r="J5" i="2"/>
  <c r="K5" i="2"/>
  <c r="K12" i="2"/>
  <c r="J12" i="2"/>
  <c r="G35" i="2"/>
  <c r="D35" i="2"/>
  <c r="J35" i="2"/>
  <c r="K35" i="2"/>
  <c r="B3" i="4" a="1"/>
  <c r="E35" i="2"/>
  <c r="F35" i="2"/>
  <c r="I35" i="2"/>
  <c r="H35" i="2"/>
  <c r="J4" i="2"/>
  <c r="K4" i="2"/>
  <c r="J11" i="2"/>
  <c r="K11" i="2"/>
  <c r="K10" i="2"/>
  <c r="J10" i="2"/>
  <c r="K9" i="2"/>
  <c r="J8" i="2"/>
  <c r="K8" i="2"/>
  <c r="J7" i="2"/>
  <c r="B33" i="4" l="1"/>
  <c r="B19" i="4"/>
  <c r="B75" i="4"/>
  <c r="B83" i="4"/>
  <c r="B35" i="4"/>
  <c r="B21" i="4"/>
  <c r="B14" i="4"/>
  <c r="B79" i="4"/>
  <c r="B117" i="4"/>
  <c r="B99" i="4"/>
  <c r="B98" i="4"/>
  <c r="B106" i="4"/>
  <c r="B100" i="4"/>
  <c r="B73" i="4"/>
  <c r="B92" i="4"/>
  <c r="B71" i="4"/>
  <c r="B63" i="4"/>
  <c r="B81" i="4"/>
  <c r="B111" i="4"/>
  <c r="B56" i="4"/>
  <c r="B120" i="4"/>
  <c r="B107" i="4"/>
  <c r="B5" i="4"/>
  <c r="B108" i="4"/>
  <c r="B22" i="4"/>
  <c r="B104" i="4"/>
  <c r="B85" i="4"/>
  <c r="B62" i="4"/>
  <c r="B12" i="4"/>
  <c r="B103" i="4"/>
  <c r="B90" i="4"/>
  <c r="B13" i="4"/>
  <c r="B39" i="4"/>
  <c r="B15" i="4"/>
  <c r="B96" i="4"/>
  <c r="B64" i="4"/>
  <c r="B110" i="4"/>
  <c r="B34" i="4"/>
  <c r="B17" i="4"/>
  <c r="B94" i="4"/>
  <c r="B37" i="4"/>
  <c r="B41" i="4"/>
  <c r="B76" i="4"/>
  <c r="B72" i="4"/>
  <c r="B24" i="4"/>
  <c r="B84" i="4"/>
  <c r="B86" i="4"/>
  <c r="B119" i="4"/>
  <c r="B18" i="4"/>
  <c r="B91" i="4"/>
  <c r="B93" i="4"/>
  <c r="B61" i="4"/>
  <c r="B45" i="4"/>
  <c r="B127" i="4"/>
  <c r="B40" i="4"/>
  <c r="B88" i="4"/>
  <c r="B125" i="4"/>
  <c r="B9" i="4"/>
  <c r="B97" i="4"/>
  <c r="B116" i="4"/>
  <c r="B11" i="4"/>
  <c r="B26" i="4"/>
  <c r="B65" i="4"/>
  <c r="B80" i="4"/>
  <c r="B51" i="4"/>
  <c r="B47" i="4"/>
  <c r="B109" i="4"/>
  <c r="B113" i="4"/>
  <c r="B50" i="4"/>
  <c r="B67" i="4"/>
  <c r="B66" i="4"/>
  <c r="B122" i="4"/>
  <c r="B124" i="4"/>
  <c r="B4" i="4"/>
  <c r="B48" i="4"/>
  <c r="B118" i="4"/>
  <c r="B49" i="4"/>
  <c r="B52" i="4"/>
  <c r="B126" i="4"/>
  <c r="B87" i="4"/>
  <c r="B105" i="4"/>
  <c r="B74" i="4"/>
  <c r="B25" i="4"/>
  <c r="B28" i="4"/>
  <c r="B115" i="4"/>
  <c r="B31" i="4"/>
  <c r="B38" i="4"/>
  <c r="B32" i="4"/>
  <c r="B60" i="4"/>
  <c r="B53" i="4"/>
  <c r="B8" i="4"/>
  <c r="B77" i="4"/>
  <c r="B7" i="4"/>
  <c r="B58" i="4"/>
  <c r="B101" i="4"/>
  <c r="B102" i="4"/>
  <c r="B82" i="4"/>
  <c r="B70" i="4"/>
  <c r="B114" i="4"/>
  <c r="B36" i="4"/>
  <c r="B3" i="4"/>
  <c r="B20" i="4"/>
  <c r="B59" i="4"/>
  <c r="B57" i="4"/>
  <c r="B95" i="4"/>
  <c r="B46" i="4"/>
  <c r="B123" i="4"/>
  <c r="B16" i="4"/>
  <c r="B121" i="4"/>
  <c r="B23" i="4"/>
  <c r="B27" i="4"/>
  <c r="B55" i="4"/>
  <c r="B69" i="4"/>
  <c r="B10" i="4"/>
  <c r="B29" i="4"/>
  <c r="B89" i="4"/>
  <c r="B43" i="4"/>
  <c r="B30" i="4"/>
  <c r="B54" i="4"/>
  <c r="B44" i="4"/>
  <c r="B68" i="4"/>
  <c r="B42" i="4"/>
  <c r="B78" i="4"/>
  <c r="B112" i="4"/>
  <c r="B6" i="4"/>
  <c r="C79" i="4"/>
  <c r="D79" i="4"/>
  <c r="E79" i="4"/>
  <c r="C108" i="4"/>
  <c r="D108" i="4"/>
  <c r="E108" i="4"/>
  <c r="C94" i="4"/>
  <c r="D94" i="4"/>
  <c r="E94" i="4"/>
  <c r="C88" i="4"/>
  <c r="E88" i="4"/>
  <c r="D88" i="4"/>
  <c r="C122" i="4"/>
  <c r="D122" i="4"/>
  <c r="E122" i="4"/>
  <c r="C32" i="4"/>
  <c r="E32" i="4"/>
  <c r="D32" i="4"/>
  <c r="C57" i="4"/>
  <c r="E57" i="4"/>
  <c r="D57" i="4"/>
  <c r="C44" i="4"/>
  <c r="D44" i="4"/>
  <c r="E44" i="4"/>
  <c r="C117" i="4"/>
  <c r="E117" i="4"/>
  <c r="D117" i="4"/>
  <c r="E22" i="4"/>
  <c r="D22" i="4"/>
  <c r="C37" i="4"/>
  <c r="E37" i="4"/>
  <c r="D37" i="4"/>
  <c r="C125" i="4"/>
  <c r="E125" i="4"/>
  <c r="D125" i="4"/>
  <c r="C124" i="4"/>
  <c r="D124" i="4"/>
  <c r="E124" i="4"/>
  <c r="C60" i="4"/>
  <c r="D60" i="4"/>
  <c r="E60" i="4"/>
  <c r="C95" i="4"/>
  <c r="E95" i="4"/>
  <c r="D95" i="4"/>
  <c r="C68" i="4"/>
  <c r="D68" i="4"/>
  <c r="E68" i="4"/>
  <c r="C99" i="4"/>
  <c r="D99" i="4"/>
  <c r="E99" i="4"/>
  <c r="C104" i="4"/>
  <c r="E104" i="4"/>
  <c r="D104" i="4"/>
  <c r="C41" i="4"/>
  <c r="E41" i="4"/>
  <c r="D41" i="4"/>
  <c r="E9" i="4"/>
  <c r="D9" i="4"/>
  <c r="D4" i="4"/>
  <c r="E4" i="4"/>
  <c r="C53" i="4"/>
  <c r="E53" i="4"/>
  <c r="D53" i="4"/>
  <c r="C46" i="4"/>
  <c r="E46" i="4"/>
  <c r="D46" i="4"/>
  <c r="C42" i="4"/>
  <c r="D42" i="4"/>
  <c r="E42" i="4"/>
  <c r="C98" i="4"/>
  <c r="D98" i="4"/>
  <c r="E98" i="4"/>
  <c r="C85" i="4"/>
  <c r="E85" i="4"/>
  <c r="D85" i="4"/>
  <c r="C76" i="4"/>
  <c r="D76" i="4"/>
  <c r="E76" i="4"/>
  <c r="C97" i="4"/>
  <c r="E97" i="4"/>
  <c r="D97" i="4"/>
  <c r="C48" i="4"/>
  <c r="D48" i="4"/>
  <c r="E48" i="4"/>
  <c r="E8" i="4"/>
  <c r="D8" i="4"/>
  <c r="C123" i="4"/>
  <c r="E123" i="4"/>
  <c r="D123" i="4"/>
  <c r="C78" i="4"/>
  <c r="D78" i="4"/>
  <c r="E78" i="4"/>
  <c r="C106" i="4"/>
  <c r="D106" i="4"/>
  <c r="E106" i="4"/>
  <c r="C62" i="4"/>
  <c r="D62" i="4"/>
  <c r="E62" i="4"/>
  <c r="C72" i="4"/>
  <c r="D72" i="4"/>
  <c r="E72" i="4"/>
  <c r="C116" i="4"/>
  <c r="E116" i="4"/>
  <c r="D116" i="4"/>
  <c r="C118" i="4"/>
  <c r="E118" i="4"/>
  <c r="D118" i="4"/>
  <c r="C77" i="4"/>
  <c r="D77" i="4"/>
  <c r="E77" i="4"/>
  <c r="D16" i="4"/>
  <c r="E16" i="4"/>
  <c r="C112" i="4"/>
  <c r="E112" i="4"/>
  <c r="D112" i="4"/>
  <c r="C100" i="4"/>
  <c r="D100" i="4"/>
  <c r="E100" i="4"/>
  <c r="E12" i="4"/>
  <c r="D12" i="4"/>
  <c r="C24" i="4"/>
  <c r="E24" i="4"/>
  <c r="D24" i="4"/>
  <c r="D11" i="4"/>
  <c r="E11" i="4"/>
  <c r="C49" i="4"/>
  <c r="D49" i="4"/>
  <c r="E49" i="4"/>
  <c r="D7" i="4"/>
  <c r="E7" i="4"/>
  <c r="C121" i="4"/>
  <c r="D121" i="4"/>
  <c r="E121" i="4"/>
  <c r="E6" i="4"/>
  <c r="D6" i="4"/>
  <c r="C73" i="4"/>
  <c r="D73" i="4"/>
  <c r="E73" i="4"/>
  <c r="C103" i="4"/>
  <c r="D103" i="4"/>
  <c r="E103" i="4"/>
  <c r="C84" i="4"/>
  <c r="E84" i="4"/>
  <c r="D84" i="4"/>
  <c r="C26" i="4"/>
  <c r="E26" i="4"/>
  <c r="D26" i="4"/>
  <c r="C52" i="4"/>
  <c r="D52" i="4"/>
  <c r="E52" i="4"/>
  <c r="C58" i="4"/>
  <c r="D58" i="4"/>
  <c r="E58" i="4"/>
  <c r="C23" i="4"/>
  <c r="E23" i="4"/>
  <c r="D23" i="4"/>
  <c r="K7" i="2"/>
  <c r="C92" i="4"/>
  <c r="D92" i="4"/>
  <c r="E92" i="4"/>
  <c r="C90" i="4"/>
  <c r="D90" i="4"/>
  <c r="E90" i="4"/>
  <c r="C86" i="4"/>
  <c r="D86" i="4"/>
  <c r="E86" i="4"/>
  <c r="C65" i="4"/>
  <c r="E65" i="4"/>
  <c r="D65" i="4"/>
  <c r="C126" i="4"/>
  <c r="E126" i="4"/>
  <c r="D126" i="4"/>
  <c r="C101" i="4"/>
  <c r="E101" i="4"/>
  <c r="D101" i="4"/>
  <c r="C27" i="4"/>
  <c r="D27" i="4"/>
  <c r="E27" i="4"/>
  <c r="J9" i="2"/>
  <c r="C71" i="4"/>
  <c r="D71" i="4"/>
  <c r="E71" i="4"/>
  <c r="E13" i="4"/>
  <c r="D13" i="4"/>
  <c r="C119" i="4"/>
  <c r="E119" i="4"/>
  <c r="D119" i="4"/>
  <c r="C80" i="4"/>
  <c r="E80" i="4"/>
  <c r="D80" i="4"/>
  <c r="C87" i="4"/>
  <c r="D87" i="4"/>
  <c r="E87" i="4"/>
  <c r="C102" i="4"/>
  <c r="E102" i="4"/>
  <c r="D102" i="4"/>
  <c r="C55" i="4"/>
  <c r="D55" i="4"/>
  <c r="E55" i="4"/>
  <c r="C33" i="4"/>
  <c r="E33" i="4"/>
  <c r="D33" i="4"/>
  <c r="C63" i="4"/>
  <c r="D63" i="4"/>
  <c r="E63" i="4"/>
  <c r="C39" i="4"/>
  <c r="D39" i="4"/>
  <c r="E39" i="4"/>
  <c r="E18" i="4"/>
  <c r="D18" i="4"/>
  <c r="C51" i="4"/>
  <c r="D51" i="4"/>
  <c r="E51" i="4"/>
  <c r="C105" i="4"/>
  <c r="D105" i="4"/>
  <c r="E105" i="4"/>
  <c r="C82" i="4"/>
  <c r="D82" i="4"/>
  <c r="E82" i="4"/>
  <c r="C69" i="4"/>
  <c r="E69" i="4"/>
  <c r="D69" i="4"/>
  <c r="D19" i="4"/>
  <c r="E19" i="4"/>
  <c r="C81" i="4"/>
  <c r="E81" i="4"/>
  <c r="D81" i="4"/>
  <c r="E15" i="4"/>
  <c r="D15" i="4"/>
  <c r="C91" i="4"/>
  <c r="D91" i="4"/>
  <c r="E91" i="4"/>
  <c r="C47" i="4"/>
  <c r="E47" i="4"/>
  <c r="D47" i="4"/>
  <c r="C74" i="4"/>
  <c r="D74" i="4"/>
  <c r="E74" i="4"/>
  <c r="C70" i="4"/>
  <c r="E70" i="4"/>
  <c r="D70" i="4"/>
  <c r="D10" i="4"/>
  <c r="E10" i="4"/>
  <c r="C75" i="4"/>
  <c r="E75" i="4"/>
  <c r="D75" i="4"/>
  <c r="C111" i="4"/>
  <c r="E111" i="4"/>
  <c r="D111" i="4"/>
  <c r="C96" i="4"/>
  <c r="E96" i="4"/>
  <c r="D96" i="4"/>
  <c r="C93" i="4"/>
  <c r="D93" i="4"/>
  <c r="E93" i="4"/>
  <c r="C109" i="4"/>
  <c r="D109" i="4"/>
  <c r="E109" i="4"/>
  <c r="C25" i="4"/>
  <c r="D25" i="4"/>
  <c r="E25" i="4"/>
  <c r="C114" i="4"/>
  <c r="D114" i="4"/>
  <c r="E114" i="4"/>
  <c r="C29" i="4"/>
  <c r="D29" i="4"/>
  <c r="E29" i="4"/>
  <c r="C83" i="4"/>
  <c r="D83" i="4"/>
  <c r="E83" i="4"/>
  <c r="C56" i="4"/>
  <c r="D56" i="4"/>
  <c r="E56" i="4"/>
  <c r="C64" i="4"/>
  <c r="E64" i="4"/>
  <c r="D64" i="4"/>
  <c r="C61" i="4"/>
  <c r="D61" i="4"/>
  <c r="E61" i="4"/>
  <c r="C113" i="4"/>
  <c r="E113" i="4"/>
  <c r="D113" i="4"/>
  <c r="C28" i="4"/>
  <c r="D28" i="4"/>
  <c r="E28" i="4"/>
  <c r="C36" i="4"/>
  <c r="D36" i="4"/>
  <c r="E36" i="4"/>
  <c r="C89" i="4"/>
  <c r="E89" i="4"/>
  <c r="D89" i="4"/>
  <c r="C35" i="4"/>
  <c r="D35" i="4"/>
  <c r="E35" i="4"/>
  <c r="C120" i="4"/>
  <c r="E120" i="4"/>
  <c r="D120" i="4"/>
  <c r="C110" i="4"/>
  <c r="D110" i="4"/>
  <c r="E110" i="4"/>
  <c r="C45" i="4"/>
  <c r="D45" i="4"/>
  <c r="E45" i="4"/>
  <c r="C50" i="4"/>
  <c r="D50" i="4"/>
  <c r="E50" i="4"/>
  <c r="C115" i="4"/>
  <c r="E115" i="4"/>
  <c r="D115" i="4"/>
  <c r="D3" i="4"/>
  <c r="E3" i="4"/>
  <c r="C43" i="4"/>
  <c r="E43" i="4"/>
  <c r="D43" i="4"/>
  <c r="D21" i="4"/>
  <c r="E21" i="4"/>
  <c r="C107" i="4"/>
  <c r="D107" i="4"/>
  <c r="E107" i="4"/>
  <c r="C34" i="4"/>
  <c r="D34" i="4"/>
  <c r="E34" i="4"/>
  <c r="C127" i="4"/>
  <c r="D127" i="4"/>
  <c r="E127" i="4"/>
  <c r="C67" i="4"/>
  <c r="E67" i="4"/>
  <c r="D67" i="4"/>
  <c r="C31" i="4"/>
  <c r="D31" i="4"/>
  <c r="E31" i="4"/>
  <c r="D20" i="4"/>
  <c r="E20" i="4"/>
  <c r="C30" i="4"/>
  <c r="E30" i="4"/>
  <c r="D30" i="4"/>
  <c r="E14" i="4"/>
  <c r="D14" i="4"/>
  <c r="D5" i="4"/>
  <c r="E5" i="4"/>
  <c r="E17" i="4"/>
  <c r="D17" i="4"/>
  <c r="C40" i="4"/>
  <c r="E40" i="4"/>
  <c r="D40" i="4"/>
  <c r="C66" i="4"/>
  <c r="E66" i="4"/>
  <c r="D66" i="4"/>
  <c r="C38" i="4"/>
  <c r="D38" i="4"/>
  <c r="E38" i="4"/>
  <c r="C59" i="4"/>
  <c r="E59" i="4"/>
  <c r="D59" i="4"/>
  <c r="C54" i="4"/>
  <c r="D54" i="4"/>
  <c r="E54" i="4"/>
  <c r="N80" i="4"/>
  <c r="N109" i="4"/>
  <c r="N95" i="4"/>
  <c r="N123" i="4"/>
  <c r="N33" i="4"/>
  <c r="N58" i="4"/>
  <c r="N45" i="4"/>
  <c r="N118" i="4"/>
  <c r="N23" i="4"/>
  <c r="N125" i="4"/>
  <c r="N96" i="4"/>
  <c r="N69" i="4"/>
  <c r="N100" i="4"/>
  <c r="N105" i="4"/>
  <c r="N47" i="4"/>
  <c r="N43" i="4"/>
  <c r="N86" i="4"/>
  <c r="N77" i="4"/>
  <c r="N49" i="4"/>
  <c r="N63" i="4"/>
  <c r="N73" i="4"/>
  <c r="N119" i="4"/>
  <c r="N78" i="4"/>
  <c r="N17" i="4"/>
  <c r="N113" i="4"/>
  <c r="N13" i="4"/>
  <c r="N25" i="4"/>
  <c r="N12" i="4"/>
  <c r="N8" i="4"/>
  <c r="N122" i="4"/>
  <c r="N7" i="4"/>
  <c r="N85" i="4"/>
  <c r="N27" i="4"/>
  <c r="N53" i="4"/>
  <c r="N59" i="4"/>
  <c r="N93" i="4"/>
  <c r="N91" i="4"/>
  <c r="N66" i="4"/>
  <c r="N127" i="4"/>
  <c r="N102" i="4"/>
  <c r="N28" i="4"/>
  <c r="N14" i="4"/>
  <c r="N120" i="4"/>
  <c r="N56" i="4"/>
  <c r="N34" i="4"/>
  <c r="N64" i="4"/>
  <c r="N40" i="4"/>
  <c r="N19" i="4"/>
  <c r="N106" i="4"/>
  <c r="N83" i="4"/>
  <c r="N70" i="4"/>
  <c r="N20" i="4"/>
  <c r="N92" i="4"/>
  <c r="N48" i="4"/>
  <c r="N75" i="4"/>
  <c r="N11" i="4"/>
  <c r="N76" i="4"/>
  <c r="N97" i="4"/>
  <c r="N110" i="4"/>
  <c r="N115" i="4"/>
  <c r="N84" i="4"/>
  <c r="N62" i="4"/>
  <c r="N29" i="4"/>
  <c r="N90" i="4"/>
  <c r="N121" i="4"/>
  <c r="N111" i="4"/>
  <c r="N51" i="4"/>
  <c r="N4" i="4"/>
  <c r="N44" i="4"/>
  <c r="N22" i="4"/>
  <c r="N108" i="4"/>
  <c r="N68" i="4"/>
  <c r="N32" i="4"/>
  <c r="N21" i="4"/>
  <c r="N31" i="4"/>
  <c r="N15" i="4"/>
  <c r="N6" i="4"/>
  <c r="N41" i="4"/>
  <c r="N39" i="4"/>
  <c r="N60" i="4"/>
  <c r="N55" i="4"/>
  <c r="H54" i="4" l="1"/>
  <c r="F54" i="4"/>
  <c r="G54" i="4"/>
  <c r="I54" i="4"/>
  <c r="F59" i="4"/>
  <c r="I59" i="4"/>
  <c r="H59" i="4"/>
  <c r="G59" i="4"/>
  <c r="F38" i="4"/>
  <c r="G38" i="4"/>
  <c r="H38" i="4"/>
  <c r="I38" i="4"/>
  <c r="G66" i="4"/>
  <c r="I66" i="4"/>
  <c r="H66" i="4"/>
  <c r="F66" i="4"/>
  <c r="G40" i="4"/>
  <c r="H40" i="4"/>
  <c r="I40" i="4"/>
  <c r="F40" i="4"/>
  <c r="I17" i="4"/>
  <c r="G17" i="4"/>
  <c r="F17" i="4"/>
  <c r="H17" i="4"/>
  <c r="F5" i="4"/>
  <c r="H5" i="4" s="1"/>
  <c r="I5" i="4"/>
  <c r="G5" i="4"/>
  <c r="I14" i="4"/>
  <c r="F14" i="4"/>
  <c r="G14" i="4"/>
  <c r="H14" i="4"/>
  <c r="G30" i="4"/>
  <c r="H30" i="4"/>
  <c r="I30" i="4"/>
  <c r="F30" i="4"/>
  <c r="G20" i="4"/>
  <c r="F20" i="4"/>
  <c r="H20" i="4" s="1"/>
  <c r="I20" i="4"/>
  <c r="G31" i="4"/>
  <c r="I31" i="4"/>
  <c r="F31" i="4"/>
  <c r="H31" i="4"/>
  <c r="F67" i="4"/>
  <c r="G67" i="4"/>
  <c r="H67" i="4"/>
  <c r="I67" i="4"/>
  <c r="I127" i="4"/>
  <c r="G127" i="4"/>
  <c r="F127" i="4"/>
  <c r="H127" i="4"/>
  <c r="F34" i="4"/>
  <c r="G34" i="4"/>
  <c r="H34" i="4"/>
  <c r="I34" i="4"/>
  <c r="I107" i="4"/>
  <c r="G107" i="4"/>
  <c r="F107" i="4"/>
  <c r="H107" i="4"/>
  <c r="G21" i="4"/>
  <c r="I21" i="4"/>
  <c r="F21" i="4"/>
  <c r="H43" i="4"/>
  <c r="I43" i="4"/>
  <c r="G43" i="4"/>
  <c r="F43" i="4"/>
  <c r="F115" i="4"/>
  <c r="I115" i="4"/>
  <c r="H115" i="4"/>
  <c r="G115" i="4"/>
  <c r="F50" i="4"/>
  <c r="I50" i="4"/>
  <c r="G50" i="4"/>
  <c r="H50" i="4"/>
  <c r="I45" i="4"/>
  <c r="F45" i="4"/>
  <c r="G45" i="4"/>
  <c r="H45" i="4"/>
  <c r="G110" i="4"/>
  <c r="F110" i="4"/>
  <c r="I110" i="4"/>
  <c r="H110" i="4"/>
  <c r="G120" i="4"/>
  <c r="I120" i="4"/>
  <c r="H120" i="4"/>
  <c r="F120" i="4"/>
  <c r="H35" i="4"/>
  <c r="G35" i="4"/>
  <c r="F35" i="4"/>
  <c r="I35" i="4"/>
  <c r="H89" i="4"/>
  <c r="I89" i="4"/>
  <c r="G89" i="4"/>
  <c r="F89" i="4"/>
  <c r="H36" i="4"/>
  <c r="F36" i="4"/>
  <c r="G36" i="4"/>
  <c r="I36" i="4"/>
  <c r="G28" i="4"/>
  <c r="F28" i="4"/>
  <c r="H28" i="4"/>
  <c r="I28" i="4"/>
  <c r="H113" i="4"/>
  <c r="F113" i="4"/>
  <c r="I113" i="4"/>
  <c r="G113" i="4"/>
  <c r="I61" i="4"/>
  <c r="F61" i="4"/>
  <c r="H61" i="4"/>
  <c r="G61" i="4"/>
  <c r="H64" i="4"/>
  <c r="I64" i="4"/>
  <c r="F64" i="4"/>
  <c r="G64" i="4"/>
  <c r="G56" i="4"/>
  <c r="H56" i="4"/>
  <c r="I56" i="4"/>
  <c r="F56" i="4"/>
  <c r="I83" i="4"/>
  <c r="F83" i="4"/>
  <c r="G83" i="4"/>
  <c r="H83" i="4"/>
  <c r="G29" i="4"/>
  <c r="H29" i="4"/>
  <c r="F29" i="4"/>
  <c r="I29" i="4"/>
  <c r="G114" i="4"/>
  <c r="H114" i="4"/>
  <c r="I114" i="4"/>
  <c r="F114" i="4"/>
  <c r="G25" i="4"/>
  <c r="H25" i="4"/>
  <c r="F25" i="4"/>
  <c r="I25" i="4"/>
  <c r="F109" i="4"/>
  <c r="H109" i="4"/>
  <c r="G109" i="4"/>
  <c r="I109" i="4"/>
  <c r="I93" i="4"/>
  <c r="F93" i="4"/>
  <c r="H93" i="4"/>
  <c r="G93" i="4"/>
  <c r="G96" i="4"/>
  <c r="I96" i="4"/>
  <c r="H96" i="4"/>
  <c r="F96" i="4"/>
  <c r="F111" i="4"/>
  <c r="H111" i="4"/>
  <c r="I111" i="4"/>
  <c r="G111" i="4"/>
  <c r="H75" i="4"/>
  <c r="G75" i="4"/>
  <c r="I75" i="4"/>
  <c r="F75" i="4"/>
  <c r="G10" i="4"/>
  <c r="F10" i="4"/>
  <c r="H10" i="4" s="1"/>
  <c r="I10" i="4"/>
  <c r="F70" i="4"/>
  <c r="I70" i="4"/>
  <c r="H70" i="4"/>
  <c r="G70" i="4"/>
  <c r="I74" i="4"/>
  <c r="F74" i="4"/>
  <c r="H74" i="4"/>
  <c r="G74" i="4"/>
  <c r="I47" i="4"/>
  <c r="H47" i="4"/>
  <c r="G47" i="4"/>
  <c r="F47" i="4"/>
  <c r="G91" i="4"/>
  <c r="I91" i="4"/>
  <c r="F91" i="4"/>
  <c r="H91" i="4"/>
  <c r="G15" i="4"/>
  <c r="F15" i="4"/>
  <c r="I15" i="4"/>
  <c r="I81" i="4"/>
  <c r="G81" i="4"/>
  <c r="F81" i="4"/>
  <c r="H81" i="4"/>
  <c r="I19" i="4"/>
  <c r="G19" i="4"/>
  <c r="F19" i="4"/>
  <c r="H19" i="4" s="1"/>
  <c r="I69" i="4"/>
  <c r="H69" i="4"/>
  <c r="G69" i="4"/>
  <c r="F69" i="4"/>
  <c r="I82" i="4"/>
  <c r="G82" i="4"/>
  <c r="F82" i="4"/>
  <c r="H82" i="4"/>
  <c r="F105" i="4"/>
  <c r="H105" i="4"/>
  <c r="I105" i="4"/>
  <c r="G105" i="4"/>
  <c r="F51" i="4"/>
  <c r="G51" i="4"/>
  <c r="I51" i="4"/>
  <c r="H51" i="4"/>
  <c r="F18" i="4"/>
  <c r="H18" i="4" s="1"/>
  <c r="I18" i="4"/>
  <c r="G18" i="4"/>
  <c r="G39" i="4"/>
  <c r="F39" i="4"/>
  <c r="H39" i="4"/>
  <c r="I39" i="4"/>
  <c r="H63" i="4"/>
  <c r="I63" i="4"/>
  <c r="G63" i="4"/>
  <c r="F63" i="4"/>
  <c r="G33" i="4"/>
  <c r="F33" i="4"/>
  <c r="I33" i="4"/>
  <c r="H33" i="4"/>
  <c r="F55" i="4"/>
  <c r="H55" i="4"/>
  <c r="I55" i="4"/>
  <c r="G55" i="4"/>
  <c r="G102" i="4"/>
  <c r="I102" i="4"/>
  <c r="F102" i="4"/>
  <c r="H102" i="4"/>
  <c r="I87" i="4"/>
  <c r="H87" i="4"/>
  <c r="G87" i="4"/>
  <c r="F87" i="4"/>
  <c r="I80" i="4"/>
  <c r="F80" i="4"/>
  <c r="H80" i="4"/>
  <c r="G80" i="4"/>
  <c r="G119" i="4"/>
  <c r="F119" i="4"/>
  <c r="I119" i="4"/>
  <c r="H119" i="4"/>
  <c r="G13" i="4"/>
  <c r="F13" i="4"/>
  <c r="I13" i="4"/>
  <c r="G71" i="4"/>
  <c r="I71" i="4"/>
  <c r="F71" i="4"/>
  <c r="H71" i="4"/>
  <c r="H27" i="4"/>
  <c r="F27" i="4"/>
  <c r="G27" i="4"/>
  <c r="I27" i="4"/>
  <c r="G101" i="4"/>
  <c r="F101" i="4"/>
  <c r="I101" i="4"/>
  <c r="H101" i="4"/>
  <c r="H126" i="4"/>
  <c r="I126" i="4"/>
  <c r="F126" i="4"/>
  <c r="G126" i="4"/>
  <c r="H65" i="4"/>
  <c r="F65" i="4"/>
  <c r="G65" i="4"/>
  <c r="I65" i="4"/>
  <c r="F86" i="4"/>
  <c r="I86" i="4"/>
  <c r="G86" i="4"/>
  <c r="H86" i="4"/>
  <c r="G90" i="4"/>
  <c r="H90" i="4"/>
  <c r="F90" i="4"/>
  <c r="I90" i="4"/>
  <c r="H92" i="4"/>
  <c r="F92" i="4"/>
  <c r="I92" i="4"/>
  <c r="G92" i="4"/>
  <c r="F23" i="4"/>
  <c r="H23" i="4"/>
  <c r="G23" i="4"/>
  <c r="I23" i="4"/>
  <c r="I58" i="4"/>
  <c r="F58" i="4"/>
  <c r="G58" i="4"/>
  <c r="H58" i="4"/>
  <c r="G52" i="4"/>
  <c r="H52" i="4"/>
  <c r="I52" i="4"/>
  <c r="F52" i="4"/>
  <c r="G26" i="4"/>
  <c r="F26" i="4"/>
  <c r="I26" i="4"/>
  <c r="H26" i="4"/>
  <c r="G84" i="4"/>
  <c r="I84" i="4"/>
  <c r="H84" i="4"/>
  <c r="F84" i="4"/>
  <c r="I103" i="4"/>
  <c r="G103" i="4"/>
  <c r="H103" i="4"/>
  <c r="F103" i="4"/>
  <c r="F73" i="4"/>
  <c r="I73" i="4"/>
  <c r="G73" i="4"/>
  <c r="H73" i="4"/>
  <c r="G6" i="4"/>
  <c r="F6" i="4"/>
  <c r="I6" i="4"/>
  <c r="F121" i="4"/>
  <c r="H121" i="4"/>
  <c r="I121" i="4"/>
  <c r="G121" i="4"/>
  <c r="G7" i="4"/>
  <c r="F7" i="4"/>
  <c r="I7" i="4"/>
  <c r="H49" i="4"/>
  <c r="F49" i="4"/>
  <c r="G49" i="4"/>
  <c r="I49" i="4"/>
  <c r="G11" i="4"/>
  <c r="I11" i="4"/>
  <c r="F11" i="4"/>
  <c r="F24" i="4"/>
  <c r="H24" i="4"/>
  <c r="I24" i="4"/>
  <c r="G24" i="4"/>
  <c r="F12" i="4"/>
  <c r="I12" i="4"/>
  <c r="G12" i="4"/>
  <c r="G100" i="4"/>
  <c r="H100" i="4"/>
  <c r="F100" i="4"/>
  <c r="I100" i="4"/>
  <c r="H112" i="4"/>
  <c r="G112" i="4"/>
  <c r="I112" i="4"/>
  <c r="F112" i="4"/>
  <c r="G16" i="4"/>
  <c r="I16" i="4"/>
  <c r="F16" i="4"/>
  <c r="H77" i="4"/>
  <c r="I77" i="4"/>
  <c r="G77" i="4"/>
  <c r="F77" i="4"/>
  <c r="F118" i="4"/>
  <c r="G118" i="4"/>
  <c r="I118" i="4"/>
  <c r="H118" i="4"/>
  <c r="G116" i="4"/>
  <c r="I116" i="4"/>
  <c r="F116" i="4"/>
  <c r="H116" i="4"/>
  <c r="I72" i="4"/>
  <c r="F72" i="4"/>
  <c r="G72" i="4"/>
  <c r="H72" i="4"/>
  <c r="F62" i="4"/>
  <c r="G62" i="4"/>
  <c r="H62" i="4"/>
  <c r="I62" i="4"/>
  <c r="I106" i="4"/>
  <c r="H106" i="4"/>
  <c r="F106" i="4"/>
  <c r="G106" i="4"/>
  <c r="G78" i="4"/>
  <c r="F78" i="4"/>
  <c r="H78" i="4"/>
  <c r="I78" i="4"/>
  <c r="H123" i="4"/>
  <c r="I123" i="4"/>
  <c r="G123" i="4"/>
  <c r="F123" i="4"/>
  <c r="I8" i="4"/>
  <c r="F8" i="4"/>
  <c r="G8" i="4"/>
  <c r="F48" i="4"/>
  <c r="I48" i="4"/>
  <c r="G48" i="4"/>
  <c r="H48" i="4"/>
  <c r="G97" i="4"/>
  <c r="H97" i="4"/>
  <c r="F97" i="4"/>
  <c r="I97" i="4"/>
  <c r="I76" i="4"/>
  <c r="H76" i="4"/>
  <c r="G76" i="4"/>
  <c r="F76" i="4"/>
  <c r="H85" i="4"/>
  <c r="G85" i="4"/>
  <c r="F85" i="4"/>
  <c r="I85" i="4"/>
  <c r="I98" i="4"/>
  <c r="H98" i="4"/>
  <c r="G98" i="4"/>
  <c r="F98" i="4"/>
  <c r="I42" i="4"/>
  <c r="H42" i="4"/>
  <c r="F42" i="4"/>
  <c r="G42" i="4"/>
  <c r="I46" i="4"/>
  <c r="H46" i="4"/>
  <c r="G46" i="4"/>
  <c r="F46" i="4"/>
  <c r="I53" i="4"/>
  <c r="H53" i="4"/>
  <c r="G53" i="4"/>
  <c r="F53" i="4"/>
  <c r="I4" i="4"/>
  <c r="G4" i="4"/>
  <c r="F4" i="4"/>
  <c r="H4" i="4"/>
  <c r="G9" i="4"/>
  <c r="F9" i="4"/>
  <c r="H9" i="4" s="1"/>
  <c r="I9" i="4"/>
  <c r="F41" i="4"/>
  <c r="G41" i="4"/>
  <c r="H41" i="4"/>
  <c r="I41" i="4"/>
  <c r="F104" i="4"/>
  <c r="H104" i="4"/>
  <c r="G104" i="4"/>
  <c r="I104" i="4"/>
  <c r="G99" i="4"/>
  <c r="I99" i="4"/>
  <c r="H99" i="4"/>
  <c r="F99" i="4"/>
  <c r="G68" i="4"/>
  <c r="H68" i="4"/>
  <c r="I68" i="4"/>
  <c r="F68" i="4"/>
  <c r="I95" i="4"/>
  <c r="G95" i="4"/>
  <c r="F95" i="4"/>
  <c r="H95" i="4"/>
  <c r="H60" i="4"/>
  <c r="G60" i="4"/>
  <c r="F60" i="4"/>
  <c r="I60" i="4"/>
  <c r="G124" i="4"/>
  <c r="F124" i="4"/>
  <c r="H124" i="4"/>
  <c r="I124" i="4"/>
  <c r="I125" i="4"/>
  <c r="F125" i="4"/>
  <c r="H125" i="4"/>
  <c r="G125" i="4"/>
  <c r="G37" i="4"/>
  <c r="F37" i="4"/>
  <c r="H37" i="4"/>
  <c r="I37" i="4"/>
  <c r="G22" i="4"/>
  <c r="F22" i="4"/>
  <c r="H22" i="4" s="1"/>
  <c r="I22" i="4"/>
  <c r="H117" i="4"/>
  <c r="F117" i="4"/>
  <c r="G117" i="4"/>
  <c r="I117" i="4"/>
  <c r="H44" i="4"/>
  <c r="I44" i="4"/>
  <c r="F44" i="4"/>
  <c r="G44" i="4"/>
  <c r="G57" i="4"/>
  <c r="H57" i="4"/>
  <c r="I57" i="4"/>
  <c r="F57" i="4"/>
  <c r="I32" i="4"/>
  <c r="H32" i="4"/>
  <c r="F32" i="4"/>
  <c r="G32" i="4"/>
  <c r="I122" i="4"/>
  <c r="G122" i="4"/>
  <c r="F122" i="4"/>
  <c r="H122" i="4"/>
  <c r="F88" i="4"/>
  <c r="H88" i="4"/>
  <c r="I88" i="4"/>
  <c r="G88" i="4"/>
  <c r="G94" i="4"/>
  <c r="I94" i="4"/>
  <c r="F94" i="4"/>
  <c r="H94" i="4"/>
  <c r="F108" i="4"/>
  <c r="G108" i="4"/>
  <c r="H108" i="4"/>
  <c r="I108" i="4"/>
  <c r="H79" i="4"/>
  <c r="I79" i="4"/>
  <c r="G79" i="4"/>
  <c r="F79" i="4"/>
  <c r="N54" i="4"/>
  <c r="N26" i="4"/>
  <c r="N103" i="4"/>
  <c r="N124" i="4"/>
  <c r="N114" i="4"/>
  <c r="N50" i="4"/>
  <c r="N9" i="4"/>
  <c r="N5" i="4"/>
  <c r="N42" i="4"/>
  <c r="N89" i="4"/>
  <c r="N71" i="4"/>
  <c r="N18" i="4"/>
  <c r="N79" i="4"/>
  <c r="N16" i="4"/>
  <c r="N67" i="4"/>
  <c r="N87" i="4"/>
  <c r="N101" i="4"/>
  <c r="N74" i="4"/>
  <c r="N82" i="4"/>
  <c r="N46" i="4"/>
  <c r="N88" i="4"/>
  <c r="N126" i="4"/>
  <c r="N107" i="4"/>
  <c r="N10" i="4"/>
  <c r="N98" i="4"/>
  <c r="N36" i="4"/>
  <c r="N116" i="4"/>
  <c r="N61" i="4"/>
  <c r="N52" i="4"/>
  <c r="N37" i="4"/>
  <c r="N35" i="4"/>
  <c r="N30" i="4"/>
  <c r="N112" i="4"/>
  <c r="N104" i="4"/>
  <c r="N57" i="4"/>
  <c r="N38" i="4"/>
  <c r="N94" i="4"/>
  <c r="N81" i="4"/>
  <c r="N65" i="4"/>
  <c r="N24" i="4"/>
  <c r="N72" i="4"/>
  <c r="N99" i="4"/>
  <c r="N117" i="4"/>
  <c r="H8" i="4" l="1"/>
  <c r="H13" i="4"/>
  <c r="H11" i="4"/>
  <c r="H21" i="4"/>
  <c r="H6" i="4"/>
  <c r="H12" i="4"/>
  <c r="H7" i="4"/>
  <c r="H16" i="4"/>
  <c r="H15" i="4"/>
  <c r="S4" i="4"/>
  <c r="S3" i="4"/>
  <c r="T3" i="4" l="1"/>
  <c r="C5" i="6"/>
  <c r="H5" i="6" s="1"/>
  <c r="T4" i="4"/>
  <c r="C6" i="6"/>
  <c r="H6" i="6" s="1"/>
  <c r="I5" i="6"/>
  <c r="I6" i="6"/>
  <c r="I3" i="6"/>
  <c r="D7" i="3"/>
  <c r="C8" i="4" l="1"/>
  <c r="C19" i="4"/>
  <c r="C10" i="4"/>
  <c r="C13" i="4"/>
  <c r="C15" i="4"/>
  <c r="C17" i="4"/>
  <c r="C9" i="4"/>
  <c r="C12" i="4"/>
  <c r="C14" i="4"/>
  <c r="C3" i="4"/>
  <c r="C4" i="4"/>
  <c r="C21" i="4"/>
  <c r="C22" i="4"/>
  <c r="C20" i="4"/>
  <c r="C16" i="4"/>
  <c r="C5" i="4"/>
  <c r="C11" i="4"/>
  <c r="C7" i="4"/>
  <c r="C6" i="4"/>
  <c r="C18" i="4"/>
  <c r="D13" i="3" l="1"/>
  <c r="D14" i="3"/>
  <c r="C25" i="3"/>
  <c r="C24" i="3"/>
  <c r="E2" i="4"/>
  <c r="N3" i="4"/>
  <c r="F3" i="4"/>
  <c r="G3" i="4"/>
  <c r="H3" i="4"/>
  <c r="I3" i="4"/>
  <c r="M1" i="4"/>
  <c r="J2" i="4" a="1"/>
  <c r="J49" i="4"/>
  <c r="J108" i="4"/>
  <c r="J96" i="4"/>
  <c r="J20" i="4"/>
  <c r="J13" i="4"/>
  <c r="J126" i="4"/>
  <c r="J37" i="4"/>
  <c r="J72" i="4"/>
  <c r="J127" i="4"/>
  <c r="J23" i="4"/>
  <c r="J58" i="4"/>
  <c r="J4" i="4"/>
  <c r="J85" i="4"/>
  <c r="J35" i="4"/>
  <c r="J62" i="4"/>
  <c r="J83" i="4"/>
  <c r="J125" i="4"/>
  <c r="J97" i="4"/>
  <c r="J31" i="4"/>
  <c r="J107" i="4"/>
  <c r="J117" i="4"/>
  <c r="J95" i="4"/>
  <c r="J121" i="4"/>
  <c r="J61" i="4"/>
  <c r="J120" i="4"/>
  <c r="J39" i="4"/>
  <c r="J71" i="4"/>
  <c r="J6" i="4"/>
  <c r="J36" i="4"/>
  <c r="J43" i="4"/>
  <c r="J99" i="4"/>
  <c r="J66" i="4"/>
  <c r="J60" i="4"/>
  <c r="J68" i="4"/>
  <c r="J41" i="4"/>
  <c r="J116" i="4"/>
  <c r="J109" i="4"/>
  <c r="J101" i="4"/>
  <c r="J123" i="4"/>
  <c r="J112" i="4"/>
  <c r="J33" i="4"/>
  <c r="J19" i="4"/>
  <c r="J106" i="4"/>
  <c r="J91" i="4"/>
  <c r="J12" i="4"/>
  <c r="J45" i="4"/>
  <c r="J47" i="4"/>
  <c r="J38" i="4"/>
  <c r="J50" i="4"/>
  <c r="J77" i="4"/>
  <c r="J5" i="4"/>
  <c r="J51" i="4"/>
  <c r="J75" i="4"/>
  <c r="J27" i="4"/>
  <c r="J86" i="4"/>
  <c r="J79" i="4"/>
  <c r="J46" i="4"/>
  <c r="J76" i="4"/>
  <c r="J15" i="4"/>
  <c r="J14" i="4"/>
  <c r="J111" i="4"/>
  <c r="J102" i="4"/>
  <c r="J98" i="4"/>
  <c r="J70" i="4"/>
  <c r="J8" i="4"/>
  <c r="J124" i="4"/>
  <c r="J34" i="4"/>
  <c r="J3" i="4"/>
  <c r="J82" i="4"/>
  <c r="J103" i="4"/>
  <c r="J56" i="4"/>
  <c r="J55" i="4"/>
  <c r="J65" i="4"/>
  <c r="J30" i="4"/>
  <c r="J69" i="4"/>
  <c r="J115" i="4"/>
  <c r="J92" i="4"/>
  <c r="J18" i="4"/>
  <c r="J44" i="4"/>
  <c r="J21" i="4"/>
  <c r="J25" i="4"/>
  <c r="J105" i="4"/>
  <c r="J9" i="4"/>
  <c r="J84" i="4"/>
  <c r="J11" i="4"/>
  <c r="J113" i="4"/>
  <c r="J10" i="4"/>
  <c r="J74" i="4"/>
  <c r="J48" i="4"/>
  <c r="J118" i="4"/>
  <c r="J67" i="4"/>
  <c r="J64" i="4"/>
  <c r="J53" i="4"/>
  <c r="J89" i="4"/>
  <c r="J81" i="4"/>
  <c r="J78" i="4"/>
  <c r="J26" i="4"/>
  <c r="J114" i="4"/>
  <c r="J17" i="4"/>
  <c r="J104" i="4"/>
  <c r="J88" i="4"/>
  <c r="J42" i="4"/>
  <c r="J73" i="4"/>
  <c r="J119" i="4"/>
  <c r="J63" i="4"/>
  <c r="J100" i="4"/>
  <c r="J24" i="4"/>
  <c r="J22" i="4"/>
  <c r="J7" i="4"/>
  <c r="J93" i="4"/>
  <c r="J122" i="4"/>
  <c r="J32" i="4"/>
  <c r="J59" i="4"/>
  <c r="J2" i="4"/>
  <c r="J40" i="4"/>
  <c r="J87" i="4"/>
  <c r="J16" i="4"/>
  <c r="J90" i="4"/>
  <c r="J57" i="4"/>
  <c r="J28" i="4"/>
  <c r="J52" i="4"/>
  <c r="J80" i="4"/>
  <c r="J94" i="4"/>
  <c r="J54" i="4"/>
  <c r="J110" i="4"/>
  <c r="J29" i="4"/>
  <c r="L49" i="4"/>
  <c r="L108" i="4"/>
  <c r="L96" i="4"/>
  <c r="L20" i="4"/>
  <c r="L13" i="4"/>
  <c r="L126" i="4"/>
  <c r="L37" i="4"/>
  <c r="L72" i="4"/>
  <c r="L79" i="4"/>
  <c r="L74" i="4"/>
  <c r="L125" i="4"/>
  <c r="L34" i="4"/>
  <c r="L17" i="4"/>
  <c r="L3" i="4"/>
  <c r="L82" i="4"/>
  <c r="L107" i="4"/>
  <c r="L127" i="4"/>
  <c r="L117" i="4"/>
  <c r="L23" i="4"/>
  <c r="L58" i="4"/>
  <c r="L4" i="4"/>
  <c r="L85" i="4"/>
  <c r="L95" i="4"/>
  <c r="L43" i="4"/>
  <c r="L99" i="4"/>
  <c r="L60" i="4"/>
  <c r="L68" i="4"/>
  <c r="L41" i="4"/>
  <c r="L116" i="4"/>
  <c r="L109" i="4"/>
  <c r="L5" i="4"/>
  <c r="L81" i="4"/>
  <c r="L71" i="4"/>
  <c r="L26" i="4"/>
  <c r="L114" i="4"/>
  <c r="L36" i="4"/>
  <c r="L66" i="4"/>
  <c r="L27" i="4"/>
  <c r="L83" i="4"/>
  <c r="L39" i="4"/>
  <c r="L70" i="4"/>
  <c r="L8" i="4"/>
  <c r="L47" i="4"/>
  <c r="L110" i="4"/>
  <c r="L6" i="4"/>
  <c r="L31" i="4"/>
  <c r="L77" i="4"/>
  <c r="L51" i="4"/>
  <c r="L75" i="4"/>
  <c r="L86" i="4"/>
  <c r="L46" i="4"/>
  <c r="L98" i="4"/>
  <c r="L50" i="4"/>
  <c r="L103" i="4"/>
  <c r="L56" i="4"/>
  <c r="L55" i="4"/>
  <c r="L65" i="4"/>
  <c r="L30" i="4"/>
  <c r="L69" i="4"/>
  <c r="L115" i="4"/>
  <c r="L92" i="4"/>
  <c r="L78" i="4"/>
  <c r="L18" i="4"/>
  <c r="L76" i="4"/>
  <c r="L118" i="4"/>
  <c r="L101" i="4"/>
  <c r="L123" i="4"/>
  <c r="L112" i="4"/>
  <c r="L33" i="4"/>
  <c r="L67" i="4"/>
  <c r="L124" i="4"/>
  <c r="L88" i="4"/>
  <c r="L42" i="4"/>
  <c r="L73" i="4"/>
  <c r="L119" i="4"/>
  <c r="L63" i="4"/>
  <c r="L100" i="4"/>
  <c r="L24" i="4"/>
  <c r="L22" i="4"/>
  <c r="L7" i="4"/>
  <c r="L93" i="4"/>
  <c r="L122" i="4"/>
  <c r="L32" i="4"/>
  <c r="L59" i="4"/>
  <c r="L40" i="4"/>
  <c r="L87" i="4"/>
  <c r="L15" i="4"/>
  <c r="L44" i="4"/>
  <c r="L16" i="4"/>
  <c r="L90" i="4"/>
  <c r="L57" i="4"/>
  <c r="L19" i="4"/>
  <c r="L64" i="4"/>
  <c r="L28" i="4"/>
  <c r="L121" i="4"/>
  <c r="L14" i="4"/>
  <c r="L52" i="4"/>
  <c r="L106" i="4"/>
  <c r="L35" i="4"/>
  <c r="L21" i="4"/>
  <c r="L53" i="4"/>
  <c r="L25" i="4"/>
  <c r="L111" i="4"/>
  <c r="L61" i="4"/>
  <c r="L80" i="4"/>
  <c r="L91" i="4"/>
  <c r="L105" i="4"/>
  <c r="L9" i="4"/>
  <c r="L84" i="4"/>
  <c r="L11" i="4"/>
  <c r="L102" i="4"/>
  <c r="L62" i="4"/>
  <c r="L89" i="4"/>
  <c r="L12" i="4"/>
  <c r="L94" i="4"/>
  <c r="L120" i="4"/>
  <c r="L113" i="4"/>
  <c r="L10" i="4"/>
  <c r="L45" i="4"/>
  <c r="L54" i="4"/>
  <c r="L48" i="4"/>
  <c r="L97" i="4"/>
  <c r="L38" i="4"/>
  <c r="L29" i="4"/>
  <c r="L104" i="4"/>
  <c r="M104" i="4"/>
  <c r="M84" i="4"/>
  <c r="M64" i="4"/>
  <c r="M100" i="4"/>
  <c r="M92" i="4"/>
  <c r="M6" i="4"/>
  <c r="M116" i="4"/>
  <c r="M17" i="4"/>
  <c r="M72" i="4"/>
  <c r="M45" i="4"/>
  <c r="M37" i="4"/>
  <c r="M108" i="4"/>
  <c r="M118" i="4"/>
  <c r="M62" i="4"/>
  <c r="M81" i="4"/>
  <c r="M18" i="4"/>
  <c r="M109" i="4"/>
  <c r="M29" i="4"/>
  <c r="M9" i="4"/>
  <c r="M19" i="4"/>
  <c r="M63" i="4"/>
  <c r="M115" i="4"/>
  <c r="M110" i="4"/>
  <c r="M41" i="4"/>
  <c r="M34" i="4"/>
  <c r="M111" i="4"/>
  <c r="M95" i="4"/>
  <c r="M23" i="4"/>
  <c r="M86" i="4"/>
  <c r="M89" i="4"/>
  <c r="M75" i="4"/>
  <c r="M7" i="4"/>
  <c r="M107" i="4"/>
  <c r="M22" i="4"/>
  <c r="M28" i="4"/>
  <c r="M38" i="4"/>
  <c r="M105" i="4"/>
  <c r="M57" i="4"/>
  <c r="M119" i="4"/>
  <c r="M69" i="4"/>
  <c r="M47" i="4"/>
  <c r="M68" i="4"/>
  <c r="M125" i="4"/>
  <c r="M60" i="4"/>
  <c r="M15" i="4"/>
  <c r="M56" i="4"/>
  <c r="M12" i="4"/>
  <c r="M26" i="4"/>
  <c r="M52" i="4"/>
  <c r="M127" i="4"/>
  <c r="M76" i="4"/>
  <c r="M121" i="4"/>
  <c r="M78" i="4"/>
  <c r="M3" i="4"/>
  <c r="M97" i="4"/>
  <c r="M91" i="4"/>
  <c r="M90" i="4"/>
  <c r="M73" i="4"/>
  <c r="M30" i="4"/>
  <c r="M8" i="4"/>
  <c r="M74" i="4"/>
  <c r="M124" i="4"/>
  <c r="M122" i="4"/>
  <c r="M49" i="4"/>
  <c r="M51" i="4"/>
  <c r="M5" i="4"/>
  <c r="M31" i="4"/>
  <c r="M48" i="4"/>
  <c r="M80" i="4"/>
  <c r="M16" i="4"/>
  <c r="M42" i="4"/>
  <c r="M65" i="4"/>
  <c r="M70" i="4"/>
  <c r="M99" i="4"/>
  <c r="M79" i="4"/>
  <c r="M83" i="4"/>
  <c r="M101" i="4"/>
  <c r="M71" i="4"/>
  <c r="M11" i="4"/>
  <c r="M54" i="4"/>
  <c r="M61" i="4"/>
  <c r="M44" i="4"/>
  <c r="M88" i="4"/>
  <c r="M55" i="4"/>
  <c r="M39" i="4"/>
  <c r="M43" i="4"/>
  <c r="M96" i="4"/>
  <c r="M117" i="4"/>
  <c r="M102" i="4"/>
  <c r="M10" i="4"/>
  <c r="M25" i="4"/>
  <c r="M87" i="4"/>
  <c r="M67" i="4"/>
  <c r="M103" i="4"/>
  <c r="M27" i="4"/>
  <c r="M85" i="4"/>
  <c r="M126" i="4"/>
  <c r="M113" i="4"/>
  <c r="M53" i="4"/>
  <c r="M40" i="4"/>
  <c r="M33" i="4"/>
  <c r="M50" i="4"/>
  <c r="M66" i="4"/>
  <c r="M4" i="4"/>
  <c r="M13" i="4"/>
  <c r="M120" i="4"/>
  <c r="M21" i="4"/>
  <c r="M59" i="4"/>
  <c r="M112" i="4"/>
  <c r="M98" i="4"/>
  <c r="M36" i="4"/>
  <c r="M58" i="4"/>
  <c r="M20" i="4"/>
  <c r="M94" i="4"/>
  <c r="M35" i="4"/>
  <c r="M32" i="4"/>
  <c r="M123" i="4"/>
  <c r="M46" i="4"/>
  <c r="M114" i="4"/>
  <c r="M106" i="4"/>
  <c r="M93" i="4"/>
  <c r="M14" i="4"/>
  <c r="M77" i="4"/>
  <c r="M82" i="4"/>
  <c r="M24" i="4"/>
  <c r="O82" i="4"/>
  <c r="O59" i="4"/>
  <c r="O87" i="4"/>
  <c r="O83" i="4"/>
  <c r="O77" i="4"/>
  <c r="O21" i="4"/>
  <c r="O25" i="4"/>
  <c r="O114" i="4"/>
  <c r="O66" i="4"/>
  <c r="O96" i="4"/>
  <c r="O42" i="4"/>
  <c r="O97" i="4"/>
  <c r="O119" i="4"/>
  <c r="O110" i="4"/>
  <c r="O116" i="4"/>
  <c r="O46" i="4"/>
  <c r="O50" i="4"/>
  <c r="O43" i="4"/>
  <c r="O16" i="4"/>
  <c r="O3" i="4"/>
  <c r="O57" i="4"/>
  <c r="O115" i="4"/>
  <c r="O6" i="4"/>
  <c r="O123" i="4"/>
  <c r="O33" i="4"/>
  <c r="O39" i="4"/>
  <c r="O80" i="4"/>
  <c r="O78" i="4"/>
  <c r="O105" i="4"/>
  <c r="O63" i="4"/>
  <c r="O92" i="4"/>
  <c r="O32" i="4"/>
  <c r="O40" i="4"/>
  <c r="O55" i="4"/>
  <c r="O48" i="4"/>
  <c r="O121" i="4"/>
  <c r="O38" i="4"/>
  <c r="O19" i="4"/>
  <c r="O100" i="4"/>
  <c r="O35" i="4"/>
  <c r="O53" i="4"/>
  <c r="O88" i="4"/>
  <c r="O31" i="4"/>
  <c r="O76" i="4"/>
  <c r="O28" i="4"/>
  <c r="O9" i="4"/>
  <c r="O64" i="4"/>
  <c r="O94" i="4"/>
  <c r="O113" i="4"/>
  <c r="O44" i="4"/>
  <c r="O5" i="4"/>
  <c r="O127" i="4"/>
  <c r="O22" i="4"/>
  <c r="O29" i="4"/>
  <c r="O84" i="4"/>
  <c r="O20" i="4"/>
  <c r="O126" i="4"/>
  <c r="O61" i="4"/>
  <c r="O51" i="4"/>
  <c r="O52" i="4"/>
  <c r="O107" i="4"/>
  <c r="O109" i="4"/>
  <c r="O104" i="4"/>
  <c r="O58" i="4"/>
  <c r="O85" i="4"/>
  <c r="O54" i="4"/>
  <c r="O49" i="4"/>
  <c r="O26" i="4"/>
  <c r="O7" i="4"/>
  <c r="O18" i="4"/>
  <c r="O36" i="4"/>
  <c r="O27" i="4"/>
  <c r="O11" i="4"/>
  <c r="O122" i="4"/>
  <c r="O12" i="4"/>
  <c r="O75" i="4"/>
  <c r="O81" i="4"/>
  <c r="O98" i="4"/>
  <c r="O103" i="4"/>
  <c r="O71" i="4"/>
  <c r="O124" i="4"/>
  <c r="O56" i="4"/>
  <c r="O89" i="4"/>
  <c r="O62" i="4"/>
  <c r="O24" i="4"/>
  <c r="O112" i="4"/>
  <c r="O67" i="4"/>
  <c r="O101" i="4"/>
  <c r="O74" i="4"/>
  <c r="O15" i="4"/>
  <c r="O86" i="4"/>
  <c r="O8" i="4"/>
  <c r="O10" i="4"/>
  <c r="O23" i="4"/>
  <c r="O102" i="4"/>
  <c r="O95" i="4"/>
  <c r="O117" i="4"/>
  <c r="O111" i="4"/>
  <c r="O79" i="4"/>
  <c r="O34" i="4"/>
  <c r="O99" i="4"/>
  <c r="O41" i="4"/>
  <c r="O70" i="4"/>
  <c r="O118" i="4"/>
  <c r="O65" i="4"/>
  <c r="O108" i="4"/>
  <c r="O30" i="4"/>
  <c r="O37" i="4"/>
  <c r="O73" i="4"/>
  <c r="O45" i="4"/>
  <c r="O90" i="4"/>
  <c r="O72" i="4"/>
  <c r="O14" i="4"/>
  <c r="O91" i="4"/>
  <c r="O17" i="4"/>
  <c r="O93" i="4"/>
  <c r="O60" i="4"/>
  <c r="O106" i="4"/>
  <c r="O125" i="4"/>
  <c r="O120" i="4"/>
  <c r="O68" i="4"/>
  <c r="O13" i="4"/>
  <c r="O47" i="4"/>
  <c r="O4" i="4"/>
  <c r="O69" i="4"/>
  <c r="D25" i="3"/>
  <c r="D24" i="3"/>
</calcChain>
</file>

<file path=xl/comments1.xml><?xml version="1.0" encoding="utf-8"?>
<comments xmlns="http://schemas.openxmlformats.org/spreadsheetml/2006/main">
  <authors>
    <author>Ferdinando Ametrano</author>
  </authors>
  <commentList>
    <comment ref="D15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19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0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H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sharedStrings.xml><?xml version="1.0" encoding="utf-8"?>
<sst xmlns="http://schemas.openxmlformats.org/spreadsheetml/2006/main" count="108" uniqueCount="80">
  <si>
    <t>Earliest Date</t>
  </si>
  <si>
    <t>Latest Date</t>
  </si>
  <si>
    <t>Include Flag</t>
  </si>
  <si>
    <t>Priority</t>
  </si>
  <si>
    <t>Calendar</t>
  </si>
  <si>
    <t>Currency</t>
  </si>
  <si>
    <t>EUR</t>
  </si>
  <si>
    <t>SND</t>
  </si>
  <si>
    <t>Target</t>
  </si>
  <si>
    <t>General Settings</t>
  </si>
  <si>
    <t>Day Counter</t>
  </si>
  <si>
    <t>NDays</t>
  </si>
  <si>
    <t>TraitsID</t>
  </si>
  <si>
    <t>InterpolatorID</t>
  </si>
  <si>
    <t>PiecewiseYieldCurve</t>
  </si>
  <si>
    <t>Error</t>
  </si>
  <si>
    <t>Accuracy</t>
  </si>
  <si>
    <t>1Y</t>
  </si>
  <si>
    <t>15M</t>
  </si>
  <si>
    <t>18M</t>
  </si>
  <si>
    <t>21M</t>
  </si>
  <si>
    <t>2Y</t>
  </si>
  <si>
    <t>IborType</t>
  </si>
  <si>
    <t>Min Distance</t>
  </si>
  <si>
    <t>Rate</t>
  </si>
  <si>
    <t>EON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</si>
  <si>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</si>
  <si>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</si>
  <si>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</si>
  <si>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</si>
  <si>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</si>
  <si>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</si>
  <si>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</si>
  <si>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</si>
  <si>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</si>
  <si>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</si>
  <si>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</si>
  <si>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</si>
  <si>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</si>
  <si>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SW</t>
  </si>
  <si>
    <t>ECB</t>
  </si>
  <si>
    <t>OIS</t>
  </si>
  <si>
    <t>ForwardRate</t>
  </si>
  <si>
    <t>BackwardFlat</t>
  </si>
  <si>
    <t>Actual/360</t>
  </si>
  <si>
    <t>TOY</t>
  </si>
  <si>
    <t>TOY1</t>
  </si>
  <si>
    <t>TOY2</t>
  </si>
  <si>
    <t>SettlementDate</t>
  </si>
  <si>
    <t>LastDayInYear</t>
  </si>
  <si>
    <t>LastDayInNextYear</t>
  </si>
  <si>
    <t>Use</t>
  </si>
  <si>
    <t>Selected</t>
  </si>
  <si>
    <t>Mid date</t>
  </si>
  <si>
    <t>Time</t>
  </si>
  <si>
    <t>FwdInterpolation</t>
  </si>
  <si>
    <t>Quote suffix</t>
  </si>
  <si>
    <t>Live</t>
  </si>
  <si>
    <t>Static</t>
  </si>
  <si>
    <t>Object ID</t>
  </si>
  <si>
    <t>Effective</t>
  </si>
  <si>
    <t>Change</t>
  </si>
  <si>
    <t>LiveDataFeed</t>
  </si>
  <si>
    <t>LastUpdate</t>
  </si>
  <si>
    <t>Quote</t>
  </si>
  <si>
    <t>RateHelper</t>
  </si>
  <si>
    <t>Code</t>
  </si>
  <si>
    <t>Evaluation Date</t>
  </si>
  <si>
    <t>Interest Rates Trigger</t>
  </si>
  <si>
    <t>TriggerCounter</t>
  </si>
  <si>
    <t>_SYNTHON_Quote</t>
  </si>
  <si>
    <t>OvenightIndex</t>
  </si>
  <si>
    <t>Eonia</t>
  </si>
  <si>
    <t>cont. fwd rate</t>
  </si>
  <si>
    <t>spike</t>
  </si>
  <si>
    <t>Linear</t>
  </si>
  <si>
    <t>O/W TOY</t>
  </si>
  <si>
    <t>Effective TOY</t>
  </si>
  <si>
    <t>CleanedUp</t>
  </si>
  <si>
    <t>Trigger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</si>
</sst>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&quot;£&quot;#,##0;[Red]\-&quot;£&quot;#,##0"/>
    <numFmt numFmtId="165" formatCode="0.0000"/>
    <numFmt numFmtId="166" formatCode="0.0000%"/>
    <numFmt numFmtId="167" formatCode="ddd\,\ d\-mmm\-yy"/>
    <numFmt numFmtId="168" formatCode="ddd\,\ dd\-mmm\-yyyy"/>
    <numFmt numFmtId="169" formatCode="0.000000000"/>
    <numFmt numFmtId="170" formatCode="0.00000%"/>
    <numFmt numFmtId="171" formatCode="ddd\,\ dd\-mmm\-yyyy\,\ hh:mm:ss"/>
    <numFmt numFmtId="172" formatCode="ddd\,\ d\-mmm\-yyyy"/>
    <numFmt numFmtId="173" formatCode="ddd\,\ dd\-mmm\-yyyy\ h:mm:ss"/>
    <numFmt numFmtId="174" formatCode="ddd\,\ dd\-mmm\-yyyy\,\ h:mm:ss"/>
    <numFmt numFmtId="175" formatCode="#,##0.0;#,##0.0"/>
    <numFmt numFmtId="176" formatCode="_([$€-2]* #,##0.00_);_([$€-2]* \(#,##0.00\);_([$€-2]* &quot;-&quot;??_)"/>
    <numFmt numFmtId="177" formatCode="General_)"/>
  </numFmts>
  <fonts count="17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Microsoft Sans Serif"/>
      <family val="2"/>
    </font>
    <font>
      <sz val="8"/>
      <name val="Courier New"/>
      <family val="3"/>
    </font>
    <font>
      <sz val="14"/>
      <name val="Courier New"/>
      <family val="3"/>
    </font>
    <font>
      <b/>
      <sz val="8"/>
      <name val="Courier New"/>
      <family val="3"/>
    </font>
    <font>
      <sz val="8"/>
      <color indexed="10"/>
      <name val="Courier New"/>
      <family val="3"/>
    </font>
    <font>
      <b/>
      <u/>
      <sz val="10"/>
      <name val="Courier New"/>
      <family val="3"/>
    </font>
    <font>
      <sz val="8"/>
      <color indexed="12"/>
      <name val="Courier New"/>
      <family val="3"/>
    </font>
    <font>
      <sz val="8"/>
      <name val="Microsoft Sans Serif"/>
      <family val="2"/>
    </font>
    <font>
      <sz val="14"/>
      <name val="Arial"/>
      <family val="2"/>
    </font>
  </fonts>
  <fills count="14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bgColor indexed="43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176" fontId="1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0" fontId="2" fillId="0" borderId="0"/>
    <xf numFmtId="0" fontId="2" fillId="0" borderId="0"/>
    <xf numFmtId="0" fontId="1" fillId="0" borderId="0"/>
    <xf numFmtId="0" fontId="2" fillId="0" borderId="0"/>
    <xf numFmtId="0" fontId="1" fillId="0" borderId="0"/>
    <xf numFmtId="177" fontId="6" fillId="0" borderId="0"/>
    <xf numFmtId="9" fontId="1" fillId="0" borderId="0" applyFont="0" applyFill="0" applyBorder="0" applyAlignment="0" applyProtection="0"/>
    <xf numFmtId="175" fontId="7" fillId="2" borderId="0">
      <alignment horizontal="center" vertical="center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162">
    <xf numFmtId="0" fontId="0" fillId="0" borderId="0" xfId="0"/>
    <xf numFmtId="0" fontId="9" fillId="3" borderId="0" xfId="7" applyFont="1" applyFill="1"/>
    <xf numFmtId="0" fontId="9" fillId="4" borderId="1" xfId="7" applyFont="1" applyFill="1" applyBorder="1"/>
    <xf numFmtId="0" fontId="11" fillId="4" borderId="0" xfId="7" applyFont="1" applyFill="1" applyBorder="1"/>
    <xf numFmtId="0" fontId="9" fillId="4" borderId="0" xfId="7" applyFont="1" applyFill="1" applyBorder="1"/>
    <xf numFmtId="0" fontId="9" fillId="4" borderId="2" xfId="7" applyFont="1" applyFill="1" applyBorder="1"/>
    <xf numFmtId="0" fontId="9" fillId="0" borderId="0" xfId="7" applyFont="1"/>
    <xf numFmtId="0" fontId="9" fillId="4" borderId="3" xfId="7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0" xfId="6" applyFont="1" applyFill="1" applyBorder="1"/>
    <xf numFmtId="173" fontId="9" fillId="4" borderId="0" xfId="6" applyNumberFormat="1" applyFont="1" applyFill="1" applyBorder="1" applyAlignment="1">
      <alignment horizontal="center"/>
    </xf>
    <xf numFmtId="0" fontId="9" fillId="4" borderId="2" xfId="6" applyFont="1" applyFill="1" applyBorder="1"/>
    <xf numFmtId="0" fontId="9" fillId="5" borderId="5" xfId="6" applyFont="1" applyFill="1" applyBorder="1"/>
    <xf numFmtId="171" fontId="9" fillId="4" borderId="0" xfId="7" applyNumberFormat="1" applyFont="1" applyFill="1" applyBorder="1" applyAlignment="1">
      <alignment horizontal="center"/>
    </xf>
    <xf numFmtId="0" fontId="11" fillId="5" borderId="6" xfId="0" applyFont="1" applyFill="1" applyBorder="1" applyAlignment="1">
      <alignment horizontal="right"/>
    </xf>
    <xf numFmtId="167" fontId="9" fillId="6" borderId="3" xfId="0" quotePrefix="1" applyNumberFormat="1" applyFont="1" applyFill="1" applyBorder="1" applyAlignment="1">
      <alignment horizontal="center"/>
    </xf>
    <xf numFmtId="0" fontId="11" fillId="5" borderId="7" xfId="0" applyFont="1" applyFill="1" applyBorder="1" applyAlignment="1">
      <alignment horizontal="right"/>
    </xf>
    <xf numFmtId="1" fontId="12" fillId="6" borderId="4" xfId="0" applyNumberFormat="1" applyFont="1" applyFill="1" applyBorder="1" applyAlignment="1">
      <alignment horizontal="left"/>
    </xf>
    <xf numFmtId="0" fontId="11" fillId="5" borderId="8" xfId="0" applyFont="1" applyFill="1" applyBorder="1" applyAlignment="1">
      <alignment horizontal="right"/>
    </xf>
    <xf numFmtId="3" fontId="9" fillId="7" borderId="2" xfId="0" applyNumberFormat="1" applyFont="1" applyFill="1" applyBorder="1" applyAlignment="1">
      <alignment horizontal="center"/>
    </xf>
    <xf numFmtId="0" fontId="9" fillId="4" borderId="2" xfId="7" applyFont="1" applyFill="1" applyBorder="1" applyAlignment="1">
      <alignment horizontal="center"/>
    </xf>
    <xf numFmtId="11" fontId="9" fillId="7" borderId="2" xfId="0" applyNumberFormat="1" applyFont="1" applyFill="1" applyBorder="1" applyAlignment="1">
      <alignment horizontal="center"/>
    </xf>
    <xf numFmtId="0" fontId="9" fillId="7" borderId="2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172" fontId="9" fillId="4" borderId="6" xfId="0" applyNumberFormat="1" applyFont="1" applyFill="1" applyBorder="1" applyAlignment="1">
      <alignment horizontal="right"/>
    </xf>
    <xf numFmtId="169" fontId="9" fillId="4" borderId="3" xfId="0" applyNumberFormat="1" applyFont="1" applyFill="1" applyBorder="1" applyAlignment="1">
      <alignment horizontal="center"/>
    </xf>
    <xf numFmtId="0" fontId="11" fillId="8" borderId="9" xfId="0" applyFont="1" applyFill="1" applyBorder="1" applyAlignment="1">
      <alignment horizontal="center" vertical="center" wrapText="1"/>
    </xf>
    <xf numFmtId="0" fontId="11" fillId="8" borderId="10" xfId="0" applyFont="1" applyFill="1" applyBorder="1" applyAlignment="1">
      <alignment horizontal="center" vertical="center" wrapText="1"/>
    </xf>
    <xf numFmtId="0" fontId="9" fillId="0" borderId="0" xfId="0" applyFont="1"/>
    <xf numFmtId="0" fontId="9" fillId="4" borderId="1" xfId="0" applyFont="1" applyFill="1" applyBorder="1" applyAlignment="1"/>
    <xf numFmtId="166" fontId="9" fillId="4" borderId="0" xfId="0" applyNumberFormat="1" applyFont="1" applyFill="1" applyBorder="1" applyAlignment="1"/>
    <xf numFmtId="15" fontId="9" fillId="0" borderId="0" xfId="0" applyNumberFormat="1" applyFont="1"/>
    <xf numFmtId="166" fontId="9" fillId="0" borderId="0" xfId="10" applyNumberFormat="1" applyFont="1"/>
    <xf numFmtId="0" fontId="9" fillId="0" borderId="0" xfId="0" applyFont="1" applyAlignment="1">
      <alignment horizontal="left"/>
    </xf>
    <xf numFmtId="168" fontId="9" fillId="4" borderId="0" xfId="0" applyNumberFormat="1" applyFont="1" applyFill="1" applyBorder="1" applyAlignment="1"/>
    <xf numFmtId="168" fontId="9" fillId="4" borderId="2" xfId="0" applyNumberFormat="1" applyFont="1" applyFill="1" applyBorder="1" applyAlignment="1"/>
    <xf numFmtId="165" fontId="9" fillId="0" borderId="0" xfId="0" applyNumberFormat="1" applyFont="1"/>
    <xf numFmtId="0" fontId="11" fillId="8" borderId="11" xfId="0" applyFont="1" applyFill="1" applyBorder="1" applyAlignment="1">
      <alignment horizontal="center" vertical="center" wrapText="1"/>
    </xf>
    <xf numFmtId="0" fontId="9" fillId="9" borderId="9" xfId="0" applyFont="1" applyFill="1" applyBorder="1"/>
    <xf numFmtId="0" fontId="9" fillId="9" borderId="11" xfId="0" applyFont="1" applyFill="1" applyBorder="1"/>
    <xf numFmtId="168" fontId="9" fillId="9" borderId="10" xfId="0" applyNumberFormat="1" applyFont="1" applyFill="1" applyBorder="1"/>
    <xf numFmtId="172" fontId="9" fillId="4" borderId="7" xfId="0" applyNumberFormat="1" applyFont="1" applyFill="1" applyBorder="1" applyAlignment="1">
      <alignment horizontal="right"/>
    </xf>
    <xf numFmtId="0" fontId="9" fillId="0" borderId="12" xfId="0" applyFont="1" applyBorder="1"/>
    <xf numFmtId="166" fontId="9" fillId="0" borderId="3" xfId="10" applyNumberFormat="1" applyFont="1" applyBorder="1"/>
    <xf numFmtId="0" fontId="9" fillId="0" borderId="13" xfId="0" applyFont="1" applyBorder="1"/>
    <xf numFmtId="166" fontId="9" fillId="0" borderId="4" xfId="10" applyNumberFormat="1" applyFont="1" applyBorder="1"/>
    <xf numFmtId="0" fontId="9" fillId="4" borderId="14" xfId="5" applyFont="1" applyFill="1" applyBorder="1"/>
    <xf numFmtId="0" fontId="9" fillId="4" borderId="15" xfId="5" applyFont="1" applyFill="1" applyBorder="1"/>
    <xf numFmtId="0" fontId="9" fillId="4" borderId="16" xfId="8" applyFont="1" applyFill="1" applyBorder="1"/>
    <xf numFmtId="0" fontId="9" fillId="4" borderId="0" xfId="8" applyFont="1" applyFill="1"/>
    <xf numFmtId="0" fontId="9" fillId="4" borderId="17" xfId="5" applyFont="1" applyFill="1" applyBorder="1"/>
    <xf numFmtId="0" fontId="13" fillId="4" borderId="0" xfId="5" applyFont="1" applyFill="1" applyBorder="1"/>
    <xf numFmtId="0" fontId="9" fillId="4" borderId="0" xfId="5" applyFont="1" applyFill="1" applyBorder="1" applyAlignment="1">
      <alignment horizontal="center"/>
    </xf>
    <xf numFmtId="0" fontId="9" fillId="0" borderId="0" xfId="5" applyFont="1" applyBorder="1"/>
    <xf numFmtId="0" fontId="11" fillId="10" borderId="5" xfId="5" applyFont="1" applyFill="1" applyBorder="1" applyAlignment="1">
      <alignment horizontal="center" vertical="center"/>
    </xf>
    <xf numFmtId="0" fontId="9" fillId="4" borderId="5" xfId="5" applyFont="1" applyFill="1" applyBorder="1" applyAlignment="1">
      <alignment horizontal="center" vertical="center"/>
    </xf>
    <xf numFmtId="0" fontId="9" fillId="4" borderId="0" xfId="5" applyFont="1" applyFill="1" applyBorder="1"/>
    <xf numFmtId="0" fontId="9" fillId="4" borderId="18" xfId="8" applyFont="1" applyFill="1" applyBorder="1"/>
    <xf numFmtId="0" fontId="9" fillId="4" borderId="17" xfId="5" applyFont="1" applyFill="1" applyBorder="1" applyAlignment="1">
      <alignment horizontal="center"/>
    </xf>
    <xf numFmtId="0" fontId="9" fillId="0" borderId="0" xfId="5" applyFont="1" applyFill="1" applyBorder="1"/>
    <xf numFmtId="166" fontId="11" fillId="0" borderId="9" xfId="10" applyNumberFormat="1" applyFont="1" applyFill="1" applyBorder="1" applyAlignment="1">
      <alignment horizontal="center" vertical="center" wrapText="1"/>
    </xf>
    <xf numFmtId="165" fontId="11" fillId="0" borderId="10" xfId="10" applyNumberFormat="1" applyFont="1" applyFill="1" applyBorder="1" applyAlignment="1">
      <alignment horizontal="center" vertical="center" wrapText="1"/>
    </xf>
    <xf numFmtId="166" fontId="11" fillId="0" borderId="5" xfId="10" applyNumberFormat="1" applyFont="1" applyFill="1" applyBorder="1" applyAlignment="1">
      <alignment horizontal="center" vertical="center" wrapText="1"/>
    </xf>
    <xf numFmtId="166" fontId="11" fillId="0" borderId="11" xfId="10" applyNumberFormat="1" applyFont="1" applyFill="1" applyBorder="1" applyAlignment="1">
      <alignment horizontal="center" vertical="center" wrapText="1"/>
    </xf>
    <xf numFmtId="166" fontId="11" fillId="0" borderId="10" xfId="10" applyNumberFormat="1" applyFont="1" applyFill="1" applyBorder="1" applyAlignment="1">
      <alignment horizontal="center" vertical="center" wrapText="1"/>
    </xf>
    <xf numFmtId="0" fontId="9" fillId="0" borderId="19" xfId="10" applyNumberFormat="1" applyFont="1" applyFill="1" applyBorder="1" applyAlignment="1"/>
    <xf numFmtId="166" fontId="9" fillId="0" borderId="6" xfId="10" applyNumberFormat="1" applyFont="1" applyBorder="1" applyAlignment="1"/>
    <xf numFmtId="166" fontId="9" fillId="0" borderId="19" xfId="10" applyNumberFormat="1" applyFont="1" applyFill="1" applyBorder="1" applyAlignment="1"/>
    <xf numFmtId="166" fontId="9" fillId="0" borderId="12" xfId="10" applyNumberFormat="1" applyFont="1" applyFill="1" applyBorder="1" applyAlignment="1"/>
    <xf numFmtId="166" fontId="9" fillId="0" borderId="3" xfId="10" applyNumberFormat="1" applyFont="1" applyFill="1" applyBorder="1" applyAlignment="1"/>
    <xf numFmtId="0" fontId="9" fillId="0" borderId="20" xfId="10" applyNumberFormat="1" applyFont="1" applyFill="1" applyBorder="1" applyAlignment="1"/>
    <xf numFmtId="166" fontId="9" fillId="0" borderId="7" xfId="10" applyNumberFormat="1" applyFont="1" applyBorder="1" applyAlignment="1"/>
    <xf numFmtId="166" fontId="9" fillId="0" borderId="20" xfId="10" applyNumberFormat="1" applyFont="1" applyFill="1" applyBorder="1" applyAlignment="1"/>
    <xf numFmtId="166" fontId="9" fillId="0" borderId="13" xfId="10" applyNumberFormat="1" applyFont="1" applyFill="1" applyBorder="1" applyAlignment="1"/>
    <xf numFmtId="166" fontId="9" fillId="0" borderId="4" xfId="10" applyNumberFormat="1" applyFont="1" applyFill="1" applyBorder="1" applyAlignment="1"/>
    <xf numFmtId="0" fontId="9" fillId="4" borderId="21" xfId="5" applyFont="1" applyFill="1" applyBorder="1"/>
    <xf numFmtId="0" fontId="9" fillId="4" borderId="22" xfId="5" applyFont="1" applyFill="1" applyBorder="1"/>
    <xf numFmtId="0" fontId="9" fillId="4" borderId="23" xfId="8" applyFont="1" applyFill="1" applyBorder="1"/>
    <xf numFmtId="0" fontId="9" fillId="4" borderId="0" xfId="6" applyFont="1" applyFill="1" applyBorder="1" applyAlignment="1">
      <alignment horizontal="center"/>
    </xf>
    <xf numFmtId="0" fontId="14" fillId="4" borderId="0" xfId="6" applyFont="1" applyFill="1" applyBorder="1" applyAlignment="1">
      <alignment horizontal="right"/>
    </xf>
    <xf numFmtId="174" fontId="12" fillId="4" borderId="0" xfId="6" applyNumberFormat="1" applyFont="1" applyFill="1" applyBorder="1" applyAlignment="1">
      <alignment horizontal="left"/>
    </xf>
    <xf numFmtId="0" fontId="12" fillId="4" borderId="0" xfId="6" quotePrefix="1" applyFont="1" applyFill="1" applyBorder="1" applyAlignment="1">
      <alignment horizontal="left"/>
    </xf>
    <xf numFmtId="0" fontId="9" fillId="4" borderId="13" xfId="6" applyFont="1" applyFill="1" applyBorder="1"/>
    <xf numFmtId="0" fontId="9" fillId="4" borderId="4" xfId="6" applyFont="1" applyFill="1" applyBorder="1"/>
    <xf numFmtId="166" fontId="9" fillId="0" borderId="0" xfId="0" applyNumberFormat="1" applyFont="1"/>
    <xf numFmtId="166" fontId="9" fillId="0" borderId="0" xfId="10" applyNumberFormat="1" applyFont="1" applyAlignment="1">
      <alignment horizontal="center"/>
    </xf>
    <xf numFmtId="0" fontId="9" fillId="0" borderId="19" xfId="0" applyFont="1" applyBorder="1" applyAlignment="1">
      <alignment horizontal="left"/>
    </xf>
    <xf numFmtId="0" fontId="9" fillId="0" borderId="20" xfId="0" applyFont="1" applyBorder="1" applyAlignment="1">
      <alignment horizontal="left"/>
    </xf>
    <xf numFmtId="0" fontId="2" fillId="4" borderId="1" xfId="4" applyFill="1" applyBorder="1"/>
    <xf numFmtId="0" fontId="2" fillId="4" borderId="0" xfId="4" applyFill="1" applyBorder="1"/>
    <xf numFmtId="0" fontId="2" fillId="4" borderId="2" xfId="4" applyFill="1" applyBorder="1"/>
    <xf numFmtId="0" fontId="2" fillId="4" borderId="0" xfId="4" applyFill="1"/>
    <xf numFmtId="0" fontId="2" fillId="0" borderId="0" xfId="4"/>
    <xf numFmtId="0" fontId="8" fillId="5" borderId="5" xfId="4" applyFont="1" applyFill="1" applyBorder="1" applyProtection="1"/>
    <xf numFmtId="0" fontId="2" fillId="4" borderId="20" xfId="4" applyFill="1" applyBorder="1"/>
    <xf numFmtId="0" fontId="2" fillId="4" borderId="13" xfId="4" applyFill="1" applyBorder="1"/>
    <xf numFmtId="0" fontId="2" fillId="4" borderId="4" xfId="4" applyFill="1" applyBorder="1"/>
    <xf numFmtId="0" fontId="9" fillId="4" borderId="4" xfId="0" applyNumberFormat="1" applyFont="1" applyFill="1" applyBorder="1" applyAlignment="1">
      <alignment horizontal="center"/>
    </xf>
    <xf numFmtId="0" fontId="9" fillId="5" borderId="6" xfId="7" applyFont="1" applyFill="1" applyBorder="1" applyAlignment="1">
      <alignment horizontal="right"/>
    </xf>
    <xf numFmtId="0" fontId="9" fillId="5" borderId="8" xfId="7" applyFont="1" applyFill="1" applyBorder="1" applyAlignment="1">
      <alignment horizontal="right"/>
    </xf>
    <xf numFmtId="0" fontId="9" fillId="5" borderId="7" xfId="0" applyFont="1" applyFill="1" applyBorder="1" applyAlignment="1">
      <alignment horizontal="right"/>
    </xf>
    <xf numFmtId="0" fontId="9" fillId="5" borderId="5" xfId="6" applyFont="1" applyFill="1" applyBorder="1" applyAlignment="1">
      <alignment horizontal="right"/>
    </xf>
    <xf numFmtId="0" fontId="9" fillId="0" borderId="5" xfId="0" applyFont="1" applyBorder="1" applyAlignment="1">
      <alignment horizontal="center"/>
    </xf>
    <xf numFmtId="0" fontId="9" fillId="5" borderId="6" xfId="6" applyFont="1" applyFill="1" applyBorder="1" applyAlignment="1">
      <alignment horizontal="right"/>
    </xf>
    <xf numFmtId="0" fontId="9" fillId="5" borderId="8" xfId="6" applyFont="1" applyFill="1" applyBorder="1" applyAlignment="1">
      <alignment horizontal="right"/>
    </xf>
    <xf numFmtId="0" fontId="9" fillId="5" borderId="7" xfId="6" applyFont="1" applyFill="1" applyBorder="1" applyAlignment="1">
      <alignment horizontal="right"/>
    </xf>
    <xf numFmtId="168" fontId="9" fillId="4" borderId="6" xfId="10" applyNumberFormat="1" applyFont="1" applyFill="1" applyBorder="1" applyAlignment="1">
      <alignment horizontal="center"/>
    </xf>
    <xf numFmtId="168" fontId="9" fillId="4" borderId="7" xfId="10" applyNumberFormat="1" applyFont="1" applyFill="1" applyBorder="1" applyAlignment="1">
      <alignment horizontal="center"/>
    </xf>
    <xf numFmtId="168" fontId="9" fillId="4" borderId="5" xfId="10" applyNumberFormat="1" applyFont="1" applyFill="1" applyBorder="1" applyAlignment="1">
      <alignment horizontal="center"/>
    </xf>
    <xf numFmtId="0" fontId="9" fillId="4" borderId="1" xfId="6" applyFont="1" applyFill="1" applyBorder="1"/>
    <xf numFmtId="172" fontId="9" fillId="4" borderId="8" xfId="10" applyNumberFormat="1" applyFont="1" applyFill="1" applyBorder="1" applyAlignment="1">
      <alignment horizontal="center"/>
    </xf>
    <xf numFmtId="0" fontId="9" fillId="3" borderId="0" xfId="6" applyFont="1" applyFill="1"/>
    <xf numFmtId="0" fontId="9" fillId="4" borderId="0" xfId="6" applyFont="1" applyFill="1" applyAlignment="1">
      <alignment horizontal="right"/>
    </xf>
    <xf numFmtId="0" fontId="12" fillId="4" borderId="0" xfId="6" applyFont="1" applyFill="1" applyAlignment="1">
      <alignment horizontal="right"/>
    </xf>
    <xf numFmtId="0" fontId="9" fillId="4" borderId="20" xfId="6" applyFont="1" applyFill="1" applyBorder="1"/>
    <xf numFmtId="0" fontId="9" fillId="0" borderId="0" xfId="0" applyFont="1" applyAlignment="1">
      <alignment horizontal="center" vertical="center" wrapText="1"/>
    </xf>
    <xf numFmtId="165" fontId="9" fillId="4" borderId="2" xfId="6" applyNumberFormat="1" applyFont="1" applyFill="1" applyBorder="1"/>
    <xf numFmtId="0" fontId="11" fillId="8" borderId="5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textRotation="90"/>
    </xf>
    <xf numFmtId="0" fontId="9" fillId="4" borderId="0" xfId="0" applyNumberFormat="1" applyFont="1" applyFill="1" applyBorder="1" applyAlignment="1">
      <alignment horizontal="center"/>
    </xf>
    <xf numFmtId="0" fontId="9" fillId="4" borderId="9" xfId="0" applyFont="1" applyFill="1" applyBorder="1" applyAlignment="1">
      <alignment horizontal="left"/>
    </xf>
    <xf numFmtId="0" fontId="9" fillId="0" borderId="11" xfId="0" applyFont="1" applyBorder="1"/>
    <xf numFmtId="0" fontId="9" fillId="4" borderId="11" xfId="0" applyFont="1" applyFill="1" applyBorder="1" applyAlignment="1">
      <alignment horizontal="center"/>
    </xf>
    <xf numFmtId="172" fontId="9" fillId="4" borderId="11" xfId="0" applyNumberFormat="1" applyFont="1" applyFill="1" applyBorder="1" applyAlignment="1">
      <alignment horizontal="right"/>
    </xf>
    <xf numFmtId="172" fontId="9" fillId="4" borderId="10" xfId="0" applyNumberFormat="1" applyFont="1" applyFill="1" applyBorder="1" applyAlignment="1">
      <alignment horizontal="right"/>
    </xf>
    <xf numFmtId="0" fontId="9" fillId="4" borderId="19" xfId="0" applyNumberFormat="1" applyFont="1" applyFill="1" applyBorder="1" applyAlignment="1">
      <alignment horizontal="center"/>
    </xf>
    <xf numFmtId="0" fontId="9" fillId="4" borderId="12" xfId="0" applyNumberFormat="1" applyFont="1" applyFill="1" applyBorder="1" applyAlignment="1">
      <alignment horizontal="center"/>
    </xf>
    <xf numFmtId="0" fontId="9" fillId="4" borderId="19" xfId="0" applyNumberFormat="1" applyFont="1" applyFill="1" applyBorder="1" applyAlignment="1">
      <alignment horizontal="left"/>
    </xf>
    <xf numFmtId="0" fontId="9" fillId="4" borderId="12" xfId="0" applyFont="1" applyFill="1" applyBorder="1" applyAlignment="1">
      <alignment horizontal="center"/>
    </xf>
    <xf numFmtId="172" fontId="9" fillId="4" borderId="12" xfId="0" applyNumberFormat="1" applyFont="1" applyFill="1" applyBorder="1" applyAlignment="1">
      <alignment horizontal="right"/>
    </xf>
    <xf numFmtId="172" fontId="9" fillId="4" borderId="3" xfId="0" applyNumberFormat="1" applyFont="1" applyFill="1" applyBorder="1" applyAlignment="1">
      <alignment horizontal="right"/>
    </xf>
    <xf numFmtId="0" fontId="9" fillId="4" borderId="1" xfId="0" applyNumberFormat="1" applyFont="1" applyFill="1" applyBorder="1" applyAlignment="1">
      <alignment horizontal="center"/>
    </xf>
    <xf numFmtId="49" fontId="9" fillId="4" borderId="1" xfId="0" applyNumberFormat="1" applyFont="1" applyFill="1" applyBorder="1" applyAlignment="1">
      <alignment horizontal="left"/>
    </xf>
    <xf numFmtId="0" fontId="9" fillId="0" borderId="0" xfId="0" applyFont="1" applyBorder="1"/>
    <xf numFmtId="0" fontId="9" fillId="4" borderId="0" xfId="0" applyFont="1" applyFill="1" applyBorder="1" applyAlignment="1">
      <alignment horizontal="center"/>
    </xf>
    <xf numFmtId="172" fontId="9" fillId="4" borderId="0" xfId="0" applyNumberFormat="1" applyFont="1" applyFill="1" applyBorder="1" applyAlignment="1">
      <alignment horizontal="right"/>
    </xf>
    <xf numFmtId="172" fontId="9" fillId="4" borderId="2" xfId="0" applyNumberFormat="1" applyFont="1" applyFill="1" applyBorder="1" applyAlignment="1">
      <alignment horizontal="right"/>
    </xf>
    <xf numFmtId="170" fontId="9" fillId="0" borderId="0" xfId="0" applyNumberFormat="1" applyFont="1"/>
    <xf numFmtId="0" fontId="9" fillId="4" borderId="20" xfId="0" applyNumberFormat="1" applyFont="1" applyFill="1" applyBorder="1" applyAlignment="1">
      <alignment horizontal="center"/>
    </xf>
    <xf numFmtId="0" fontId="9" fillId="4" borderId="13" xfId="0" applyNumberFormat="1" applyFont="1" applyFill="1" applyBorder="1" applyAlignment="1">
      <alignment horizontal="center"/>
    </xf>
    <xf numFmtId="49" fontId="9" fillId="4" borderId="20" xfId="0" applyNumberFormat="1" applyFont="1" applyFill="1" applyBorder="1" applyAlignment="1">
      <alignment horizontal="left"/>
    </xf>
    <xf numFmtId="0" fontId="9" fillId="4" borderId="13" xfId="0" applyFont="1" applyFill="1" applyBorder="1" applyAlignment="1">
      <alignment horizontal="center"/>
    </xf>
    <xf numFmtId="172" fontId="9" fillId="4" borderId="13" xfId="0" applyNumberFormat="1" applyFont="1" applyFill="1" applyBorder="1" applyAlignment="1">
      <alignment horizontal="right"/>
    </xf>
    <xf numFmtId="172" fontId="9" fillId="4" borderId="4" xfId="0" applyNumberFormat="1" applyFont="1" applyFill="1" applyBorder="1" applyAlignment="1">
      <alignment horizontal="right"/>
    </xf>
    <xf numFmtId="0" fontId="9" fillId="4" borderId="3" xfId="0" applyNumberFormat="1" applyFont="1" applyFill="1" applyBorder="1" applyAlignment="1">
      <alignment horizontal="center"/>
    </xf>
    <xf numFmtId="0" fontId="9" fillId="4" borderId="19" xfId="0" applyFont="1" applyFill="1" applyBorder="1" applyAlignment="1">
      <alignment horizontal="left"/>
    </xf>
    <xf numFmtId="0" fontId="9" fillId="4" borderId="2" xfId="0" applyNumberFormat="1" applyFont="1" applyFill="1" applyBorder="1" applyAlignment="1">
      <alignment horizontal="center"/>
    </xf>
    <xf numFmtId="0" fontId="9" fillId="4" borderId="1" xfId="0" applyFont="1" applyFill="1" applyBorder="1" applyAlignment="1">
      <alignment horizontal="left"/>
    </xf>
    <xf numFmtId="0" fontId="9" fillId="0" borderId="12" xfId="0" applyFont="1" applyBorder="1" applyAlignment="1">
      <alignment horizontal="left"/>
    </xf>
    <xf numFmtId="0" fontId="9" fillId="4" borderId="0" xfId="0" applyFont="1" applyFill="1" applyBorder="1" applyAlignment="1"/>
    <xf numFmtId="168" fontId="15" fillId="11" borderId="10" xfId="4" applyNumberFormat="1" applyFont="1" applyFill="1" applyBorder="1" applyAlignment="1" applyProtection="1">
      <alignment horizontal="center" vertical="center"/>
    </xf>
    <xf numFmtId="0" fontId="10" fillId="12" borderId="9" xfId="7" applyFont="1" applyFill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1" fillId="8" borderId="9" xfId="0" applyFont="1" applyFill="1" applyBorder="1" applyAlignment="1">
      <alignment horizontal="center" vertical="center" wrapText="1"/>
    </xf>
    <xf numFmtId="0" fontId="11" fillId="8" borderId="11" xfId="0" applyFont="1" applyFill="1" applyBorder="1" applyAlignment="1">
      <alignment horizontal="center" vertical="center" wrapText="1"/>
    </xf>
    <xf numFmtId="0" fontId="11" fillId="8" borderId="10" xfId="0" applyFont="1" applyFill="1" applyBorder="1" applyAlignment="1">
      <alignment horizontal="center" vertical="center" wrapText="1"/>
    </xf>
    <xf numFmtId="0" fontId="8" fillId="5" borderId="6" xfId="4" applyFont="1" applyFill="1" applyBorder="1" applyProtection="1"/>
    <xf numFmtId="0" fontId="8" fillId="5" borderId="7" xfId="4" applyFont="1" applyFill="1" applyBorder="1" applyProtection="1"/>
    <xf numFmtId="0" fontId="2" fillId="13" borderId="7" xfId="4" applyFill="1" applyBorder="1" applyAlignment="1">
      <alignment horizontal="center" vertical="center"/>
    </xf>
    <xf numFmtId="22" fontId="2" fillId="13" borderId="6" xfId="4" applyNumberFormat="1" applyFill="1" applyBorder="1" applyAlignment="1">
      <alignment horizontal="center" vertical="center"/>
    </xf>
  </cellXfs>
  <cellStyles count="14">
    <cellStyle name="Euro" xfId="1"/>
    <cellStyle name="Migliaia (0)_AZIONI" xfId="2"/>
    <cellStyle name="Migliaia_AZIONI" xfId="3"/>
    <cellStyle name="Normal" xfId="0" builtinId="0"/>
    <cellStyle name="Normal_EUR_SynthDepoQuotesFeed" xfId="4"/>
    <cellStyle name="Normal_EUR_TurnOfYearQuotesFeed2" xfId="5"/>
    <cellStyle name="Normal_InterestRateQuotesFeed" xfId="6"/>
    <cellStyle name="Normal_SwaptionATMVols" xfId="7"/>
    <cellStyle name="Normal_TestSyntDisc" xfId="8"/>
    <cellStyle name="Normale_AZIONI" xfId="9"/>
    <cellStyle name="Percent" xfId="10" builtinId="5"/>
    <cellStyle name="result" xfId="11"/>
    <cellStyle name="Valuta (0)_AZIONI" xfId="12"/>
    <cellStyle name="Valuta_AZIONI" xfId="13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26</xdr:row>
          <xdr:rowOff>19050</xdr:rowOff>
        </xdr:from>
        <xdr:to>
          <xdr:col>3</xdr:col>
          <xdr:colOff>9525</xdr:colOff>
          <xdr:row>28</xdr:row>
          <xdr:rowOff>28575</xdr:rowOff>
        </xdr:to>
        <xdr:sp macro="" textlink="">
          <xdr:nvSpPr>
            <xdr:cNvPr id="3197" name="CommandButton1" hidden="1">
              <a:extLst>
                <a:ext uri="{63B3BB69-23CF-44E3-9099-C40C66FF867C}">
                  <a14:compatExt spid="_x0000_s3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29</xdr:row>
          <xdr:rowOff>19050</xdr:rowOff>
        </xdr:from>
        <xdr:to>
          <xdr:col>3</xdr:col>
          <xdr:colOff>9525</xdr:colOff>
          <xdr:row>31</xdr:row>
          <xdr:rowOff>28575</xdr:rowOff>
        </xdr:to>
        <xdr:sp macro="" textlink="">
          <xdr:nvSpPr>
            <xdr:cNvPr id="3198" name="CommandButton2" hidden="1">
              <a:extLst>
                <a:ext uri="{63B3BB69-23CF-44E3-9099-C40C66FF867C}">
                  <a14:compatExt spid="_x0000_s3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64"/>
  <sheetViews>
    <sheetView topLeftCell="A7" workbookViewId="0">
      <selection activeCell="D7" sqref="D7"/>
    </sheetView>
  </sheetViews>
  <sheetFormatPr defaultColWidth="7.140625" defaultRowHeight="11.25" x14ac:dyDescent="0.2"/>
  <cols>
    <col min="1" max="2" width="7.140625" style="6" customWidth="1"/>
    <col min="3" max="3" width="22.7109375" style="6" customWidth="1"/>
    <col min="4" max="4" width="17.28515625" style="6" bestFit="1" customWidth="1"/>
    <col min="5" max="5" width="27.5703125" style="6" bestFit="1" customWidth="1"/>
    <col min="6" max="16384" width="7.140625" style="6"/>
  </cols>
  <sheetData>
    <row r="1" spans="1:26" s="1" customFormat="1" x14ac:dyDescent="0.2">
      <c r="B1" s="1" t="str">
        <f>_xll.qlxlVersion(TRUE,EvaluationDate)</f>
        <v>QuantLibXL 1.4.0 - MS VC++ 9.0 - Multithreaded Dynamic Runtime library - Release Configuration - Mar  3 2014 10:58:57</v>
      </c>
    </row>
    <row r="2" spans="1:26" s="1" customFormat="1" ht="18.75" x14ac:dyDescent="0.2">
      <c r="B2" s="152" t="s">
        <v>9</v>
      </c>
      <c r="C2" s="153"/>
      <c r="D2" s="153"/>
      <c r="E2" s="153"/>
      <c r="F2" s="154"/>
    </row>
    <row r="3" spans="1:26" x14ac:dyDescent="0.2">
      <c r="A3" s="1"/>
      <c r="B3" s="2"/>
      <c r="C3" s="3"/>
      <c r="D3" s="4"/>
      <c r="E3" s="4"/>
      <c r="F3" s="5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1"/>
      <c r="B4" s="2"/>
      <c r="C4" s="99" t="s">
        <v>5</v>
      </c>
      <c r="D4" s="7" t="s">
        <v>6</v>
      </c>
      <c r="E4" s="4"/>
      <c r="F4" s="5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">
      <c r="A5" s="1"/>
      <c r="B5" s="2"/>
      <c r="C5" s="100" t="s">
        <v>22</v>
      </c>
      <c r="D5" s="8" t="s">
        <v>25</v>
      </c>
      <c r="E5" s="4"/>
      <c r="F5" s="5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">
      <c r="A6" s="1"/>
      <c r="B6" s="110"/>
      <c r="C6" s="105" t="s">
        <v>71</v>
      </c>
      <c r="D6" s="111" t="s">
        <v>72</v>
      </c>
      <c r="E6" s="10"/>
      <c r="F6" s="12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">
      <c r="A7" s="1"/>
      <c r="B7" s="2"/>
      <c r="C7" s="101" t="s">
        <v>69</v>
      </c>
      <c r="D7" s="98">
        <f>_xll.ohTrigger(Contribution!I3)</f>
        <v>4</v>
      </c>
      <c r="E7" s="4"/>
      <c r="F7" s="5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">
      <c r="A8" s="1"/>
      <c r="B8" s="110"/>
      <c r="C8" s="10"/>
      <c r="D8" s="11"/>
      <c r="E8" s="10"/>
      <c r="F8" s="12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">
      <c r="A9" s="1"/>
      <c r="B9" s="110"/>
      <c r="C9" s="104" t="s">
        <v>48</v>
      </c>
      <c r="D9" s="107">
        <f>_xll.qlCalendarAdvance(Calendar,EvaluationDate,"2d","f")</f>
        <v>41712</v>
      </c>
      <c r="E9" s="10"/>
      <c r="F9" s="12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">
      <c r="A10" s="1"/>
      <c r="B10" s="110"/>
      <c r="C10" s="102" t="s">
        <v>49</v>
      </c>
      <c r="D10" s="109">
        <f>_xll.qlCalendarAdjust(Calendar,DATE(YEAR(SettlementDate),12,31),"Preceding")</f>
        <v>42004</v>
      </c>
      <c r="E10" s="109">
        <f>_xll.qlCalendarAdvance(Calendar,D10,"1d","f")</f>
        <v>42006</v>
      </c>
      <c r="F10" s="117">
        <f>_xll.qlDayCounterYearFraction(DayCounter,LastDayInYear,E10)</f>
        <v>5.5555555555555558E-3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">
      <c r="A11" s="1"/>
      <c r="B11" s="110"/>
      <c r="C11" s="106" t="s">
        <v>50</v>
      </c>
      <c r="D11" s="108">
        <f>_xll.qlCalendarAdjust(Calendar,DATE(YEAR(SettlementDate)+1,12,31),"Preceding")</f>
        <v>42369</v>
      </c>
      <c r="E11" s="108">
        <f>_xll.qlCalendarAdvance(Calendar,D11,"1d","f")</f>
        <v>42373</v>
      </c>
      <c r="F11" s="117">
        <f>_xll.qlDayCounterYearFraction(DayCounter,LastDayInNextYear,E11)</f>
        <v>1.1111111111111112E-2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">
      <c r="A12" s="1"/>
      <c r="B12" s="2"/>
      <c r="C12" s="14"/>
      <c r="D12" s="14"/>
      <c r="E12" s="4"/>
      <c r="F12" s="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">
      <c r="A13" s="1"/>
      <c r="B13" s="2"/>
      <c r="C13" s="15" t="s">
        <v>14</v>
      </c>
      <c r="D13" s="16" t="str">
        <f>_xll.qlPiecewiseYieldCurve(,NDays,Calendar,_xll.ohPack(Calculation!B3:B127),DayCounter,,,Accuracy,TraitsID,InterpolatorID)</f>
        <v>obj_006c8#0001</v>
      </c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">
      <c r="A14" s="1"/>
      <c r="B14" s="2"/>
      <c r="C14" s="17" t="s">
        <v>15</v>
      </c>
      <c r="D14" s="18" t="str">
        <f>_xll.ohRangeRetrieveError(YieldCurve)</f>
        <v/>
      </c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">
      <c r="A15" s="1"/>
      <c r="B15" s="2"/>
      <c r="C15" s="19" t="s">
        <v>11</v>
      </c>
      <c r="D15" s="20">
        <v>2</v>
      </c>
      <c r="E15" s="4">
        <f>_xll.ohTrigger(_xll.ohFilter(MinDistance,RateHelpersIncluded))</f>
        <v>1</v>
      </c>
      <c r="F15" s="5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">
      <c r="A16" s="1"/>
      <c r="B16" s="2"/>
      <c r="C16" s="19" t="s">
        <v>4</v>
      </c>
      <c r="D16" s="21" t="s">
        <v>8</v>
      </c>
      <c r="E16" s="4"/>
      <c r="F16" s="5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">
      <c r="A17" s="1"/>
      <c r="B17" s="2"/>
      <c r="C17" s="19" t="s">
        <v>10</v>
      </c>
      <c r="D17" s="21" t="s">
        <v>44</v>
      </c>
      <c r="E17" s="4"/>
      <c r="F17" s="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">
      <c r="A18" s="1"/>
      <c r="B18" s="2"/>
      <c r="C18" s="19" t="s">
        <v>16</v>
      </c>
      <c r="D18" s="22" t="e">
        <f>NA()</f>
        <v>#N/A</v>
      </c>
      <c r="E18" s="4"/>
      <c r="F18" s="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">
      <c r="A19" s="1"/>
      <c r="B19" s="2"/>
      <c r="C19" s="19" t="s">
        <v>12</v>
      </c>
      <c r="D19" s="23" t="s">
        <v>42</v>
      </c>
      <c r="E19" s="4"/>
      <c r="F19" s="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">
      <c r="A20" s="1"/>
      <c r="B20" s="2"/>
      <c r="C20" s="17" t="s">
        <v>13</v>
      </c>
      <c r="D20" s="24" t="s">
        <v>43</v>
      </c>
      <c r="E20" s="4"/>
      <c r="F20" s="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">
      <c r="A21" s="1"/>
      <c r="B21" s="110"/>
      <c r="C21" s="10"/>
      <c r="D21" s="11"/>
      <c r="E21" s="10"/>
      <c r="F21" s="1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">
      <c r="A22" s="1"/>
      <c r="B22" s="110"/>
      <c r="C22" s="13" t="s">
        <v>55</v>
      </c>
      <c r="D22" s="103" t="s">
        <v>75</v>
      </c>
      <c r="E22" s="10"/>
      <c r="F22" s="1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">
      <c r="A23" s="1"/>
      <c r="B23" s="2"/>
      <c r="C23" s="14"/>
      <c r="D23" s="14"/>
      <c r="E23" s="10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">
      <c r="A24" s="1"/>
      <c r="B24" s="2"/>
      <c r="C24" s="25">
        <f>_xll.qlTermStructureReferenceDate(YieldCurve)</f>
        <v>41712</v>
      </c>
      <c r="D24" s="26">
        <f>MAX(_xll.ohPack(Calculation!J2:J127))</f>
        <v>2.71102629033109E-3</v>
      </c>
      <c r="E24" s="10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">
      <c r="A25" s="112"/>
      <c r="B25" s="2"/>
      <c r="C25" s="42">
        <f>MAX(_xll.ohPack(Calculation!E3:E127))</f>
        <v>42443</v>
      </c>
      <c r="D25" s="9">
        <f>MIN(_xll.ohPack(Calculation!J2:J127))</f>
        <v>1.3803878405539835E-3</v>
      </c>
      <c r="E25" s="10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">
      <c r="A26" s="112"/>
      <c r="B26" s="110"/>
      <c r="C26" s="10"/>
      <c r="D26" s="10"/>
      <c r="E26" s="10"/>
      <c r="F26" s="1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">
      <c r="A27" s="112"/>
      <c r="B27" s="110"/>
      <c r="C27" s="79"/>
      <c r="D27" s="79"/>
      <c r="E27" s="10"/>
      <c r="F27" s="1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">
      <c r="A28" s="112"/>
      <c r="B28" s="110"/>
      <c r="C28" s="79"/>
      <c r="D28" s="80" t="s">
        <v>63</v>
      </c>
      <c r="E28" s="81">
        <v>41479.71230324074</v>
      </c>
      <c r="F28" s="1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">
      <c r="A29" s="112"/>
      <c r="B29" s="110"/>
      <c r="C29" s="79"/>
      <c r="D29" s="113"/>
      <c r="E29" s="114"/>
      <c r="F29" s="1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">
      <c r="A30" s="112"/>
      <c r="B30" s="110"/>
      <c r="C30" s="79"/>
      <c r="D30" s="80"/>
      <c r="E30" s="114"/>
      <c r="F30" s="1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">
      <c r="A31" s="112"/>
      <c r="B31" s="110"/>
      <c r="C31" s="79"/>
      <c r="D31" s="80" t="s">
        <v>62</v>
      </c>
      <c r="E31" s="82" t="b">
        <v>1</v>
      </c>
      <c r="F31" s="1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">
      <c r="A32" s="1"/>
      <c r="B32" s="115"/>
      <c r="C32" s="83"/>
      <c r="D32" s="83"/>
      <c r="E32" s="83"/>
      <c r="F32" s="8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">
      <c r="B62" s="1"/>
      <c r="C62" s="1"/>
      <c r="D62" s="1"/>
      <c r="E62" s="1"/>
      <c r="F62" s="1"/>
    </row>
    <row r="63" spans="1:26" x14ac:dyDescent="0.2">
      <c r="B63" s="1"/>
      <c r="C63" s="1"/>
      <c r="D63" s="1"/>
      <c r="E63" s="1"/>
      <c r="F63" s="1"/>
    </row>
    <row r="64" spans="1:26" x14ac:dyDescent="0.2">
      <c r="B64" s="1"/>
      <c r="C64" s="1"/>
      <c r="D64" s="1"/>
      <c r="E64" s="1"/>
      <c r="F64" s="1"/>
    </row>
  </sheetData>
  <mergeCells count="1">
    <mergeCell ref="B2:F2"/>
  </mergeCells>
  <phoneticPr fontId="2" type="noConversion"/>
  <conditionalFormatting sqref="E31">
    <cfRule type="cellIs" dxfId="0" priority="1" stopIfTrue="1" operator="equal">
      <formula>TRUE</formula>
    </cfRule>
  </conditionalFormatting>
  <dataValidations count="6">
    <dataValidation type="list" allowBlank="1" showInputMessage="1" showErrorMessage="1" sqref="D16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7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19">
      <formula1>"Discount,ZeroYield,ForwardRate"</formula1>
    </dataValidation>
    <dataValidation type="list" allowBlank="1" showInputMessage="1" showErrorMessage="1" sqref="D20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2">
      <formula1>"BackwardFlat,ForwardFlat,Linear,Parabolic,MonotonicParabolic,CubicNaturalSpline,MonotonicCubicNaturalSpline,KrugerCubic,FritschButlandCubic,Abcd"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98" r:id="rId4" name="CommandButton2">
          <controlPr defaultSize="0" autoLine="0" r:id="rId5">
            <anchor moveWithCells="1">
              <from>
                <xdr:col>2</xdr:col>
                <xdr:colOff>28575</xdr:colOff>
                <xdr:row>29</xdr:row>
                <xdr:rowOff>19050</xdr:rowOff>
              </from>
              <to>
                <xdr:col>3</xdr:col>
                <xdr:colOff>9525</xdr:colOff>
                <xdr:row>31</xdr:row>
                <xdr:rowOff>28575</xdr:rowOff>
              </to>
            </anchor>
          </controlPr>
        </control>
      </mc:Choice>
      <mc:Fallback>
        <control shapeId="3198" r:id="rId4" name="CommandButton2"/>
      </mc:Fallback>
    </mc:AlternateContent>
    <mc:AlternateContent xmlns:mc="http://schemas.openxmlformats.org/markup-compatibility/2006">
      <mc:Choice Requires="x14">
        <control shapeId="3197" r:id="rId6" name="CommandButton1">
          <controlPr autoLine="0" autoPict="0" r:id="rId7">
            <anchor moveWithCells="1">
              <from>
                <xdr:col>2</xdr:col>
                <xdr:colOff>28575</xdr:colOff>
                <xdr:row>26</xdr:row>
                <xdr:rowOff>19050</xdr:rowOff>
              </from>
              <to>
                <xdr:col>3</xdr:col>
                <xdr:colOff>9525</xdr:colOff>
                <xdr:row>28</xdr:row>
                <xdr:rowOff>28575</xdr:rowOff>
              </to>
            </anchor>
          </controlPr>
        </control>
      </mc:Choice>
      <mc:Fallback>
        <control shapeId="3197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5"/>
  <sheetViews>
    <sheetView tabSelected="1" workbookViewId="0">
      <selection activeCell="E14" sqref="E14"/>
    </sheetView>
  </sheetViews>
  <sheetFormatPr defaultColWidth="8" defaultRowHeight="11.25" x14ac:dyDescent="0.2"/>
  <cols>
    <col min="1" max="1" width="3.28515625" style="93" customWidth="1"/>
    <col min="2" max="2" width="23.5703125" style="93" bestFit="1" customWidth="1"/>
    <col min="3" max="3" width="18.28515625" style="93" customWidth="1"/>
    <col min="4" max="16384" width="8" style="93"/>
  </cols>
  <sheetData>
    <row r="1" spans="1:26" x14ac:dyDescent="0.2">
      <c r="A1" s="89"/>
      <c r="B1" s="90"/>
      <c r="C1" s="90"/>
      <c r="D1" s="91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</row>
    <row r="2" spans="1:26" x14ac:dyDescent="0.2">
      <c r="A2" s="89"/>
      <c r="B2" s="94" t="s">
        <v>67</v>
      </c>
      <c r="C2" s="151">
        <f>_xll.qlSettingsEvaluationDate()</f>
        <v>41710</v>
      </c>
      <c r="D2" s="91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</row>
    <row r="3" spans="1:26" x14ac:dyDescent="0.2">
      <c r="A3" s="89"/>
      <c r="B3" s="90"/>
      <c r="C3" s="90"/>
      <c r="D3" s="91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92"/>
      <c r="Y3" s="92"/>
      <c r="Z3" s="92"/>
    </row>
    <row r="4" spans="1:26" x14ac:dyDescent="0.2">
      <c r="A4" s="89"/>
      <c r="B4" s="158" t="s">
        <v>79</v>
      </c>
      <c r="C4" s="161"/>
      <c r="D4" s="91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</row>
    <row r="5" spans="1:26" x14ac:dyDescent="0.2">
      <c r="A5" s="89"/>
      <c r="B5" s="159" t="s">
        <v>68</v>
      </c>
      <c r="C5" s="160" t="s">
        <v>78</v>
      </c>
      <c r="D5" s="91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</row>
    <row r="6" spans="1:26" x14ac:dyDescent="0.2">
      <c r="A6" s="95"/>
      <c r="B6" s="96"/>
      <c r="C6" s="96"/>
      <c r="D6" s="97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</row>
    <row r="7" spans="1:26" x14ac:dyDescent="0.2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</row>
    <row r="8" spans="1:26" x14ac:dyDescent="0.2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</row>
    <row r="9" spans="1:26" x14ac:dyDescent="0.2">
      <c r="A9" s="92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</row>
    <row r="10" spans="1:26" x14ac:dyDescent="0.2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</row>
    <row r="11" spans="1:26" x14ac:dyDescent="0.2">
      <c r="A11" s="92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</row>
    <row r="12" spans="1:26" x14ac:dyDescent="0.2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</row>
    <row r="13" spans="1:26" x14ac:dyDescent="0.2">
      <c r="A13" s="92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</row>
    <row r="14" spans="1:26" x14ac:dyDescent="0.2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</row>
    <row r="15" spans="1:26" x14ac:dyDescent="0.2">
      <c r="A15" s="92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</row>
    <row r="16" spans="1:26" x14ac:dyDescent="0.2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</row>
    <row r="17" spans="1:26" x14ac:dyDescent="0.2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</row>
    <row r="18" spans="1:26" x14ac:dyDescent="0.2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</row>
    <row r="19" spans="1:26" x14ac:dyDescent="0.2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</row>
    <row r="20" spans="1:26" x14ac:dyDescent="0.2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</row>
    <row r="21" spans="1:26" x14ac:dyDescent="0.2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</row>
    <row r="22" spans="1:26" x14ac:dyDescent="0.2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</row>
    <row r="23" spans="1:26" x14ac:dyDescent="0.2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</row>
    <row r="24" spans="1:26" x14ac:dyDescent="0.2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</row>
    <row r="25" spans="1:26" x14ac:dyDescent="0.2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</row>
    <row r="26" spans="1:26" x14ac:dyDescent="0.2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</row>
    <row r="27" spans="1:26" x14ac:dyDescent="0.2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</row>
    <row r="28" spans="1:26" x14ac:dyDescent="0.2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</row>
    <row r="29" spans="1:26" x14ac:dyDescent="0.2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</row>
    <row r="30" spans="1:26" x14ac:dyDescent="0.2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</row>
    <row r="31" spans="1:26" x14ac:dyDescent="0.2">
      <c r="A31" s="92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</row>
    <row r="32" spans="1:26" x14ac:dyDescent="0.2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</row>
    <row r="33" spans="1:26" x14ac:dyDescent="0.2">
      <c r="A33" s="92"/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</row>
    <row r="34" spans="1:26" x14ac:dyDescent="0.2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</row>
    <row r="35" spans="1:26" x14ac:dyDescent="0.2">
      <c r="A35" s="92"/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</row>
    <row r="36" spans="1:26" x14ac:dyDescent="0.2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</row>
    <row r="37" spans="1:26" x14ac:dyDescent="0.2">
      <c r="A37" s="92"/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</row>
    <row r="38" spans="1:26" x14ac:dyDescent="0.2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</row>
    <row r="39" spans="1:26" x14ac:dyDescent="0.2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</row>
    <row r="40" spans="1:26" x14ac:dyDescent="0.2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</row>
    <row r="41" spans="1:26" x14ac:dyDescent="0.2">
      <c r="A41" s="92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</row>
    <row r="42" spans="1:26" x14ac:dyDescent="0.2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</row>
    <row r="43" spans="1:26" x14ac:dyDescent="0.2">
      <c r="A43" s="92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</row>
    <row r="44" spans="1:26" x14ac:dyDescent="0.2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</row>
    <row r="45" spans="1:26" x14ac:dyDescent="0.2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</row>
    <row r="46" spans="1:26" x14ac:dyDescent="0.2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</row>
    <row r="47" spans="1:26" x14ac:dyDescent="0.2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</row>
    <row r="48" spans="1:26" x14ac:dyDescent="0.2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</row>
    <row r="49" spans="1:26" x14ac:dyDescent="0.2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</row>
    <row r="50" spans="1:26" x14ac:dyDescent="0.2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</row>
    <row r="51" spans="1:26" x14ac:dyDescent="0.2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</row>
    <row r="52" spans="1:26" x14ac:dyDescent="0.2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</row>
    <row r="53" spans="1:26" x14ac:dyDescent="0.2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</row>
    <row r="54" spans="1:26" x14ac:dyDescent="0.2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</row>
    <row r="55" spans="1:26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</row>
    <row r="56" spans="1:26" x14ac:dyDescent="0.2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</row>
    <row r="57" spans="1:26" x14ac:dyDescent="0.2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</row>
    <row r="58" spans="1:26" x14ac:dyDescent="0.2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</row>
    <row r="59" spans="1:26" x14ac:dyDescent="0.2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</row>
    <row r="60" spans="1:26" x14ac:dyDescent="0.2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</row>
    <row r="61" spans="1:26" x14ac:dyDescent="0.2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</row>
    <row r="62" spans="1:26" x14ac:dyDescent="0.2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</row>
    <row r="63" spans="1:26" x14ac:dyDescent="0.2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</row>
    <row r="64" spans="1:26" x14ac:dyDescent="0.2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</row>
    <row r="65" spans="1:26" x14ac:dyDescent="0.2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</row>
    <row r="66" spans="1:26" x14ac:dyDescent="0.2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</row>
    <row r="67" spans="1:26" x14ac:dyDescent="0.2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</row>
    <row r="68" spans="1:26" x14ac:dyDescent="0.2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</row>
    <row r="69" spans="1:26" x14ac:dyDescent="0.2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</row>
    <row r="70" spans="1:26" x14ac:dyDescent="0.2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</row>
    <row r="71" spans="1:26" x14ac:dyDescent="0.2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</row>
    <row r="72" spans="1:26" x14ac:dyDescent="0.2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</row>
    <row r="73" spans="1:26" x14ac:dyDescent="0.2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</row>
    <row r="74" spans="1:26" x14ac:dyDescent="0.2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</row>
    <row r="75" spans="1:26" x14ac:dyDescent="0.2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</row>
    <row r="76" spans="1:26" x14ac:dyDescent="0.2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</row>
    <row r="77" spans="1:26" x14ac:dyDescent="0.2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</row>
    <row r="78" spans="1:26" x14ac:dyDescent="0.2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</row>
    <row r="79" spans="1:26" x14ac:dyDescent="0.2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</row>
    <row r="80" spans="1:26" x14ac:dyDescent="0.2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</row>
    <row r="81" spans="1:26" x14ac:dyDescent="0.2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</row>
    <row r="82" spans="1:26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</row>
    <row r="83" spans="1:26" x14ac:dyDescent="0.2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</row>
    <row r="84" spans="1:26" x14ac:dyDescent="0.2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</row>
    <row r="85" spans="1:26" x14ac:dyDescent="0.2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</row>
    <row r="86" spans="1:26" x14ac:dyDescent="0.2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</row>
    <row r="87" spans="1:26" x14ac:dyDescent="0.2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</row>
    <row r="88" spans="1:26" x14ac:dyDescent="0.2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</row>
    <row r="89" spans="1:26" x14ac:dyDescent="0.2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</row>
    <row r="90" spans="1:26" x14ac:dyDescent="0.2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</row>
    <row r="91" spans="1:26" x14ac:dyDescent="0.2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</row>
    <row r="92" spans="1:26" x14ac:dyDescent="0.2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</row>
    <row r="93" spans="1:26" x14ac:dyDescent="0.2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</row>
    <row r="94" spans="1:26" x14ac:dyDescent="0.2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</row>
    <row r="95" spans="1:26" x14ac:dyDescent="0.2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</row>
    <row r="96" spans="1:26" x14ac:dyDescent="0.2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</row>
    <row r="97" spans="1:26" x14ac:dyDescent="0.2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</row>
    <row r="98" spans="1:26" x14ac:dyDescent="0.2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</row>
    <row r="99" spans="1:26" x14ac:dyDescent="0.2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</row>
    <row r="100" spans="1:26" x14ac:dyDescent="0.2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</row>
    <row r="101" spans="1:26" x14ac:dyDescent="0.2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</row>
    <row r="102" spans="1:26" x14ac:dyDescent="0.2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</row>
    <row r="103" spans="1:26" x14ac:dyDescent="0.2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</row>
    <row r="104" spans="1:26" x14ac:dyDescent="0.2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</row>
    <row r="105" spans="1:26" x14ac:dyDescent="0.2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</row>
    <row r="106" spans="1:26" x14ac:dyDescent="0.2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</row>
    <row r="107" spans="1:26" x14ac:dyDescent="0.2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</row>
    <row r="108" spans="1:26" x14ac:dyDescent="0.2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</row>
    <row r="109" spans="1:26" x14ac:dyDescent="0.2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</row>
    <row r="110" spans="1:26" x14ac:dyDescent="0.2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</row>
    <row r="111" spans="1:26" x14ac:dyDescent="0.2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</row>
    <row r="112" spans="1:26" x14ac:dyDescent="0.2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</row>
    <row r="113" spans="1:26" x14ac:dyDescent="0.2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</row>
    <row r="114" spans="1:26" x14ac:dyDescent="0.2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</row>
    <row r="115" spans="1:26" x14ac:dyDescent="0.2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</row>
    <row r="116" spans="1:26" x14ac:dyDescent="0.2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</row>
    <row r="117" spans="1:26" x14ac:dyDescent="0.2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</row>
    <row r="118" spans="1:26" x14ac:dyDescent="0.2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</row>
    <row r="119" spans="1:26" x14ac:dyDescent="0.2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</row>
    <row r="120" spans="1:26" x14ac:dyDescent="0.2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</row>
    <row r="121" spans="1:26" x14ac:dyDescent="0.2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</row>
    <row r="122" spans="1:26" x14ac:dyDescent="0.2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</row>
    <row r="123" spans="1:26" x14ac:dyDescent="0.2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</row>
    <row r="124" spans="1:26" x14ac:dyDescent="0.2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</row>
    <row r="125" spans="1:26" x14ac:dyDescent="0.2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</row>
    <row r="126" spans="1:26" x14ac:dyDescent="0.2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</row>
    <row r="127" spans="1:26" x14ac:dyDescent="0.2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</row>
    <row r="128" spans="1:26" x14ac:dyDescent="0.2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</row>
    <row r="129" spans="1:26" x14ac:dyDescent="0.2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</row>
    <row r="130" spans="1:26" x14ac:dyDescent="0.2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</row>
    <row r="131" spans="1:26" x14ac:dyDescent="0.2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</row>
    <row r="132" spans="1:26" x14ac:dyDescent="0.2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</row>
    <row r="133" spans="1:26" x14ac:dyDescent="0.2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</row>
    <row r="134" spans="1:26" x14ac:dyDescent="0.2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</row>
    <row r="135" spans="1:26" x14ac:dyDescent="0.2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</row>
    <row r="136" spans="1:26" x14ac:dyDescent="0.2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</row>
    <row r="137" spans="1:26" x14ac:dyDescent="0.2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</row>
    <row r="138" spans="1:26" x14ac:dyDescent="0.2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</row>
    <row r="139" spans="1:26" x14ac:dyDescent="0.2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</row>
    <row r="140" spans="1:26" x14ac:dyDescent="0.2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</row>
    <row r="141" spans="1:26" x14ac:dyDescent="0.2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</row>
    <row r="142" spans="1:26" x14ac:dyDescent="0.2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</row>
    <row r="143" spans="1:26" x14ac:dyDescent="0.2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</row>
    <row r="144" spans="1:26" x14ac:dyDescent="0.2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</row>
    <row r="145" spans="1:26" x14ac:dyDescent="0.2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</row>
    <row r="146" spans="1:26" x14ac:dyDescent="0.2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</row>
    <row r="147" spans="1:26" x14ac:dyDescent="0.2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</row>
    <row r="148" spans="1:26" x14ac:dyDescent="0.2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</row>
    <row r="149" spans="1:26" x14ac:dyDescent="0.2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</row>
    <row r="150" spans="1:26" x14ac:dyDescent="0.2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</row>
    <row r="151" spans="1:26" x14ac:dyDescent="0.2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</row>
    <row r="152" spans="1:26" x14ac:dyDescent="0.2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</row>
    <row r="153" spans="1:26" x14ac:dyDescent="0.2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</row>
    <row r="154" spans="1:26" x14ac:dyDescent="0.2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</row>
    <row r="155" spans="1:26" x14ac:dyDescent="0.2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</row>
    <row r="156" spans="1:26" x14ac:dyDescent="0.2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</row>
    <row r="157" spans="1:26" x14ac:dyDescent="0.2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</row>
    <row r="158" spans="1:26" x14ac:dyDescent="0.2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</row>
    <row r="159" spans="1:26" x14ac:dyDescent="0.2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</row>
    <row r="160" spans="1:26" x14ac:dyDescent="0.2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</row>
    <row r="161" spans="1:26" x14ac:dyDescent="0.2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</row>
    <row r="162" spans="1:26" x14ac:dyDescent="0.2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</row>
    <row r="163" spans="1:26" x14ac:dyDescent="0.2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</row>
    <row r="164" spans="1:26" x14ac:dyDescent="0.2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</row>
    <row r="165" spans="1:26" x14ac:dyDescent="0.2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</row>
    <row r="166" spans="1:26" x14ac:dyDescent="0.2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</row>
    <row r="167" spans="1:26" x14ac:dyDescent="0.2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</row>
    <row r="168" spans="1:26" x14ac:dyDescent="0.2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</row>
    <row r="169" spans="1:26" x14ac:dyDescent="0.2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</row>
    <row r="170" spans="1:26" x14ac:dyDescent="0.2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</row>
    <row r="171" spans="1:26" x14ac:dyDescent="0.2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</row>
    <row r="172" spans="1:26" x14ac:dyDescent="0.2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</row>
    <row r="173" spans="1:26" x14ac:dyDescent="0.2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</row>
    <row r="174" spans="1:26" x14ac:dyDescent="0.2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</row>
    <row r="175" spans="1:26" x14ac:dyDescent="0.2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</row>
    <row r="176" spans="1:26" x14ac:dyDescent="0.2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</row>
    <row r="177" spans="1:26" x14ac:dyDescent="0.2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</row>
    <row r="178" spans="1:26" x14ac:dyDescent="0.2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</row>
    <row r="179" spans="1:26" x14ac:dyDescent="0.2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</row>
    <row r="180" spans="1:26" x14ac:dyDescent="0.2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</row>
    <row r="181" spans="1:26" x14ac:dyDescent="0.2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</row>
    <row r="182" spans="1:26" x14ac:dyDescent="0.2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</row>
    <row r="183" spans="1:26" x14ac:dyDescent="0.2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</row>
    <row r="184" spans="1:26" x14ac:dyDescent="0.2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</row>
    <row r="185" spans="1:26" x14ac:dyDescent="0.2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</row>
    <row r="186" spans="1:26" x14ac:dyDescent="0.2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</row>
    <row r="187" spans="1:26" x14ac:dyDescent="0.2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</row>
    <row r="188" spans="1:26" x14ac:dyDescent="0.2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</row>
    <row r="189" spans="1:26" x14ac:dyDescent="0.2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</row>
    <row r="190" spans="1:26" x14ac:dyDescent="0.2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</row>
    <row r="191" spans="1:26" x14ac:dyDescent="0.2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</row>
    <row r="192" spans="1:26" x14ac:dyDescent="0.2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</row>
    <row r="193" spans="1:26" x14ac:dyDescent="0.2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</row>
    <row r="194" spans="1:26" x14ac:dyDescent="0.2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</row>
    <row r="195" spans="1:26" x14ac:dyDescent="0.2">
      <c r="A195" s="92"/>
      <c r="B195" s="92"/>
      <c r="C195" s="92"/>
      <c r="D195" s="92"/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5"/>
  <sheetViews>
    <sheetView workbookViewId="0">
      <selection activeCell="AB9" sqref="AB9"/>
    </sheetView>
  </sheetViews>
  <sheetFormatPr defaultRowHeight="11.25" outlineLevelCol="1" x14ac:dyDescent="0.2"/>
  <cols>
    <col min="1" max="1" width="5.7109375" style="29" customWidth="1" outlineLevel="1"/>
    <col min="2" max="3" width="4" style="34" customWidth="1" outlineLevel="1"/>
    <col min="4" max="4" width="6" style="34" bestFit="1" customWidth="1"/>
    <col min="5" max="6" width="21.42578125" style="29" bestFit="1" customWidth="1"/>
    <col min="7" max="7" width="8" style="34" bestFit="1" customWidth="1"/>
    <col min="8" max="8" width="9.85546875" style="34" customWidth="1"/>
    <col min="9" max="9" width="9" style="34" customWidth="1"/>
    <col min="10" max="11" width="17.28515625" style="34" bestFit="1" customWidth="1"/>
    <col min="12" max="12" width="2.7109375" style="29" bestFit="1" customWidth="1"/>
    <col min="13" max="16384" width="9.140625" style="29"/>
  </cols>
  <sheetData>
    <row r="1" spans="1:12" ht="22.5" x14ac:dyDescent="0.2">
      <c r="B1" s="155" t="s">
        <v>66</v>
      </c>
      <c r="C1" s="156"/>
      <c r="D1" s="157"/>
      <c r="E1" s="118" t="s">
        <v>64</v>
      </c>
      <c r="F1" s="118" t="s">
        <v>65</v>
      </c>
      <c r="G1" s="118" t="s">
        <v>2</v>
      </c>
      <c r="H1" s="118" t="s">
        <v>3</v>
      </c>
      <c r="I1" s="118" t="s">
        <v>23</v>
      </c>
      <c r="J1" s="118" t="s">
        <v>0</v>
      </c>
      <c r="K1" s="118" t="s">
        <v>1</v>
      </c>
    </row>
    <row r="2" spans="1:12" x14ac:dyDescent="0.2">
      <c r="B2" s="119"/>
      <c r="C2" s="120"/>
      <c r="D2" s="121" t="s">
        <v>7</v>
      </c>
      <c r="E2" s="122" t="str">
        <f t="shared" ref="E2:E33" si="0">UPPER(Currency)&amp;B2&amp;C2&amp;D2&amp;"_Quote"</f>
        <v>EURSND_Quote</v>
      </c>
      <c r="F2" s="122" t="str">
        <f>_xll.qlFraRateHelper("W"&amp;Currency&amp;B2&amp;C2&amp;D2,E2,"2d",OvernightIndex,,EvaluationDate)</f>
        <v>WEURSND#0002</v>
      </c>
      <c r="G2" s="123" t="b">
        <v>1</v>
      </c>
      <c r="H2" s="123">
        <v>70</v>
      </c>
      <c r="I2" s="123">
        <v>1</v>
      </c>
      <c r="J2" s="124">
        <f>_xll.qlRateHelperEarliestDate($F2)</f>
        <v>41712</v>
      </c>
      <c r="K2" s="125">
        <f>_xll.qlRateHelperLatestDate($F2)</f>
        <v>41715</v>
      </c>
    </row>
    <row r="3" spans="1:12" ht="11.25" customHeight="1" x14ac:dyDescent="0.2">
      <c r="A3" s="29" t="e">
        <f>_xll.qlECBNextDate(SettlementDate)</f>
        <v>#NUM!</v>
      </c>
      <c r="B3" s="126" t="s">
        <v>40</v>
      </c>
      <c r="C3" s="127" t="s">
        <v>41</v>
      </c>
      <c r="D3" s="128" t="e">
        <f>_xll.qlECBcode(A3)</f>
        <v>#NUM!</v>
      </c>
      <c r="E3" s="43" t="e">
        <f t="shared" si="0"/>
        <v>#NUM!</v>
      </c>
      <c r="F3" s="43" t="e">
        <f>_xll.qlDatedOISRateHelper("W"&amp;Currency&amp;B3&amp;C3&amp;D3,A3,A4,E3,OvernightIndex)</f>
        <v>#VALUE!</v>
      </c>
      <c r="G3" s="135" t="b">
        <v>0</v>
      </c>
      <c r="H3" s="129">
        <v>70</v>
      </c>
      <c r="I3" s="129">
        <v>1</v>
      </c>
      <c r="J3" s="130" t="e">
        <f>_xll.qlRateHelperEarliestDate($F3)</f>
        <v>#VALUE!</v>
      </c>
      <c r="K3" s="131" t="e">
        <f>_xll.qlRateHelperLatestDate($F3)</f>
        <v>#VALUE!</v>
      </c>
      <c r="L3" s="85"/>
    </row>
    <row r="4" spans="1:12" x14ac:dyDescent="0.2">
      <c r="A4" s="29" t="e">
        <f>_xll.qlECBNextDate(A3)</f>
        <v>#NUM!</v>
      </c>
      <c r="B4" s="132" t="s">
        <v>40</v>
      </c>
      <c r="C4" s="120" t="s">
        <v>41</v>
      </c>
      <c r="D4" s="133" t="e">
        <f>_xll.qlECBcode(A4)</f>
        <v>#NUM!</v>
      </c>
      <c r="E4" s="134" t="e">
        <f t="shared" si="0"/>
        <v>#NUM!</v>
      </c>
      <c r="F4" s="134" t="e">
        <f>_xll.qlDatedOISRateHelper("W"&amp;Currency&amp;B4&amp;C4&amp;D4,A4,A5,E4,OvernightIndex)</f>
        <v>#VALUE!</v>
      </c>
      <c r="G4" s="135" t="b">
        <v>0</v>
      </c>
      <c r="H4" s="135">
        <v>70</v>
      </c>
      <c r="I4" s="135">
        <v>5</v>
      </c>
      <c r="J4" s="136" t="e">
        <f>_xll.qlRateHelperEarliestDate($F4)</f>
        <v>#VALUE!</v>
      </c>
      <c r="K4" s="137" t="e">
        <f>_xll.qlRateHelperLatestDate($F4)</f>
        <v>#VALUE!</v>
      </c>
      <c r="L4" s="138"/>
    </row>
    <row r="5" spans="1:12" x14ac:dyDescent="0.2">
      <c r="A5" s="29" t="e">
        <f>_xll.qlECBNextDate(A4)</f>
        <v>#NUM!</v>
      </c>
      <c r="B5" s="132" t="s">
        <v>40</v>
      </c>
      <c r="C5" s="120" t="s">
        <v>41</v>
      </c>
      <c r="D5" s="133" t="e">
        <f>_xll.qlECBcode(A5)</f>
        <v>#NUM!</v>
      </c>
      <c r="E5" s="134" t="e">
        <f t="shared" si="0"/>
        <v>#NUM!</v>
      </c>
      <c r="F5" s="134" t="e">
        <f>_xll.qlDatedOISRateHelper("W"&amp;Currency&amp;B5&amp;C5&amp;D5,A5,A6,E5,OvernightIndex)</f>
        <v>#VALUE!</v>
      </c>
      <c r="G5" s="135" t="b">
        <v>0</v>
      </c>
      <c r="H5" s="135">
        <v>70</v>
      </c>
      <c r="I5" s="135">
        <v>5</v>
      </c>
      <c r="J5" s="136" t="e">
        <f>_xll.qlRateHelperEarliestDate($F5)</f>
        <v>#VALUE!</v>
      </c>
      <c r="K5" s="137" t="e">
        <f>_xll.qlRateHelperLatestDate($F5)</f>
        <v>#VALUE!</v>
      </c>
    </row>
    <row r="6" spans="1:12" x14ac:dyDescent="0.2">
      <c r="A6" s="29" t="e">
        <f>_xll.qlECBNextDate(A5)</f>
        <v>#NUM!</v>
      </c>
      <c r="B6" s="132" t="s">
        <v>40</v>
      </c>
      <c r="C6" s="120" t="s">
        <v>41</v>
      </c>
      <c r="D6" s="133" t="e">
        <f>_xll.qlECBcode(A6)</f>
        <v>#NUM!</v>
      </c>
      <c r="E6" s="134" t="e">
        <f t="shared" si="0"/>
        <v>#NUM!</v>
      </c>
      <c r="F6" s="134" t="e">
        <f>_xll.qlDatedOISRateHelper("W"&amp;Currency&amp;B6&amp;C6&amp;D6,A6,A7,E6,OvernightIndex)</f>
        <v>#VALUE!</v>
      </c>
      <c r="G6" s="135" t="b">
        <v>0</v>
      </c>
      <c r="H6" s="135">
        <v>70</v>
      </c>
      <c r="I6" s="135">
        <v>5</v>
      </c>
      <c r="J6" s="136" t="e">
        <f>_xll.qlRateHelperEarliestDate($F6)</f>
        <v>#VALUE!</v>
      </c>
      <c r="K6" s="137" t="e">
        <f>_xll.qlRateHelperLatestDate($F6)</f>
        <v>#VALUE!</v>
      </c>
    </row>
    <row r="7" spans="1:12" x14ac:dyDescent="0.2">
      <c r="A7" s="29" t="e">
        <f>_xll.qlECBNextDate(A6)</f>
        <v>#NUM!</v>
      </c>
      <c r="B7" s="132" t="s">
        <v>40</v>
      </c>
      <c r="C7" s="120" t="s">
        <v>41</v>
      </c>
      <c r="D7" s="133" t="e">
        <f>_xll.qlECBcode(A7)</f>
        <v>#NUM!</v>
      </c>
      <c r="E7" s="134" t="e">
        <f t="shared" si="0"/>
        <v>#NUM!</v>
      </c>
      <c r="F7" s="134" t="e">
        <f>_xll.qlDatedOISRateHelper("W"&amp;Currency&amp;B7&amp;C7&amp;D7,A7,A8,E7,OvernightIndex)</f>
        <v>#VALUE!</v>
      </c>
      <c r="G7" s="135" t="b">
        <v>0</v>
      </c>
      <c r="H7" s="135">
        <v>70</v>
      </c>
      <c r="I7" s="135">
        <v>5</v>
      </c>
      <c r="J7" s="136" t="e">
        <f>_xll.qlRateHelperEarliestDate($F7)</f>
        <v>#VALUE!</v>
      </c>
      <c r="K7" s="137" t="e">
        <f>_xll.qlRateHelperLatestDate($F7)</f>
        <v>#VALUE!</v>
      </c>
    </row>
    <row r="8" spans="1:12" x14ac:dyDescent="0.2">
      <c r="A8" s="29" t="e">
        <f>_xll.qlECBNextDate(A7)</f>
        <v>#NUM!</v>
      </c>
      <c r="B8" s="132" t="s">
        <v>40</v>
      </c>
      <c r="C8" s="120" t="s">
        <v>41</v>
      </c>
      <c r="D8" s="133" t="e">
        <f>_xll.qlECBcode(A8)</f>
        <v>#NUM!</v>
      </c>
      <c r="E8" s="134" t="e">
        <f t="shared" si="0"/>
        <v>#NUM!</v>
      </c>
      <c r="F8" s="134" t="e">
        <f>_xll.qlDatedOISRateHelper("W"&amp;Currency&amp;B8&amp;C8&amp;D8,A8,A9,E8,OvernightIndex)</f>
        <v>#VALUE!</v>
      </c>
      <c r="G8" s="135" t="b">
        <v>0</v>
      </c>
      <c r="H8" s="135">
        <v>70</v>
      </c>
      <c r="I8" s="135">
        <v>1</v>
      </c>
      <c r="J8" s="136" t="e">
        <f>_xll.qlRateHelperEarliestDate($F8)</f>
        <v>#VALUE!</v>
      </c>
      <c r="K8" s="137" t="e">
        <f>_xll.qlRateHelperLatestDate($F8)</f>
        <v>#VALUE!</v>
      </c>
    </row>
    <row r="9" spans="1:12" x14ac:dyDescent="0.2">
      <c r="A9" s="29" t="e">
        <f>_xll.qlECBNextDate(A8)</f>
        <v>#NUM!</v>
      </c>
      <c r="B9" s="132" t="s">
        <v>40</v>
      </c>
      <c r="C9" s="120" t="s">
        <v>41</v>
      </c>
      <c r="D9" s="133" t="e">
        <f>_xll.qlECBcode(A9)</f>
        <v>#NUM!</v>
      </c>
      <c r="E9" s="134" t="e">
        <f t="shared" si="0"/>
        <v>#NUM!</v>
      </c>
      <c r="F9" s="134" t="e">
        <f>_xll.qlDatedOISRateHelper("W"&amp;Currency&amp;B9&amp;C9&amp;D9,A9,A10,E9,OvernightIndex)</f>
        <v>#VALUE!</v>
      </c>
      <c r="G9" s="135" t="b">
        <v>0</v>
      </c>
      <c r="H9" s="135">
        <v>70</v>
      </c>
      <c r="I9" s="135">
        <v>5</v>
      </c>
      <c r="J9" s="136" t="e">
        <f>_xll.qlRateHelperEarliestDate($F9)</f>
        <v>#VALUE!</v>
      </c>
      <c r="K9" s="137" t="e">
        <f>_xll.qlRateHelperLatestDate($F9)</f>
        <v>#VALUE!</v>
      </c>
    </row>
    <row r="10" spans="1:12" x14ac:dyDescent="0.2">
      <c r="A10" s="29" t="e">
        <f>_xll.qlECBNextDate(A9)</f>
        <v>#NUM!</v>
      </c>
      <c r="B10" s="132" t="s">
        <v>40</v>
      </c>
      <c r="C10" s="120" t="s">
        <v>41</v>
      </c>
      <c r="D10" s="133" t="e">
        <f>_xll.qlECBcode(A10)</f>
        <v>#NUM!</v>
      </c>
      <c r="E10" s="134" t="e">
        <f t="shared" si="0"/>
        <v>#NUM!</v>
      </c>
      <c r="F10" s="134" t="e">
        <f>_xll.qlDatedOISRateHelper("W"&amp;Currency&amp;B10&amp;C10&amp;D10,A10,A11,E10,OvernightIndex)</f>
        <v>#VALUE!</v>
      </c>
      <c r="G10" s="135" t="b">
        <v>0</v>
      </c>
      <c r="H10" s="135">
        <v>70</v>
      </c>
      <c r="I10" s="135">
        <v>5</v>
      </c>
      <c r="J10" s="136" t="e">
        <f>_xll.qlRateHelperEarliestDate($F10)</f>
        <v>#VALUE!</v>
      </c>
      <c r="K10" s="137" t="e">
        <f>_xll.qlRateHelperLatestDate($F10)</f>
        <v>#VALUE!</v>
      </c>
    </row>
    <row r="11" spans="1:12" x14ac:dyDescent="0.2">
      <c r="A11" s="29" t="e">
        <f>_xll.qlECBNextDate(A10)</f>
        <v>#NUM!</v>
      </c>
      <c r="B11" s="132" t="s">
        <v>40</v>
      </c>
      <c r="C11" s="120" t="s">
        <v>41</v>
      </c>
      <c r="D11" s="133" t="e">
        <f>_xll.qlECBcode(A11)</f>
        <v>#NUM!</v>
      </c>
      <c r="E11" s="134" t="e">
        <f t="shared" si="0"/>
        <v>#NUM!</v>
      </c>
      <c r="F11" s="134" t="e">
        <f>_xll.qlDatedOISRateHelper("W"&amp;Currency&amp;B11&amp;C11&amp;D11,A11,A12,E11,OvernightIndex)</f>
        <v>#VALUE!</v>
      </c>
      <c r="G11" s="135" t="b">
        <v>0</v>
      </c>
      <c r="H11" s="135">
        <v>70</v>
      </c>
      <c r="I11" s="135">
        <v>5</v>
      </c>
      <c r="J11" s="136" t="e">
        <f>_xll.qlRateHelperEarliestDate($F11)</f>
        <v>#VALUE!</v>
      </c>
      <c r="K11" s="137" t="e">
        <f>_xll.qlRateHelperLatestDate($F11)</f>
        <v>#VALUE!</v>
      </c>
    </row>
    <row r="12" spans="1:12" x14ac:dyDescent="0.2">
      <c r="A12" s="29" t="e">
        <f>_xll.qlECBNextDate(A11)</f>
        <v>#NUM!</v>
      </c>
      <c r="B12" s="132" t="s">
        <v>40</v>
      </c>
      <c r="C12" s="120" t="s">
        <v>41</v>
      </c>
      <c r="D12" s="133" t="e">
        <f>_xll.qlECBcode(A12)</f>
        <v>#NUM!</v>
      </c>
      <c r="E12" s="134" t="e">
        <f t="shared" si="0"/>
        <v>#NUM!</v>
      </c>
      <c r="F12" s="134" t="e">
        <f>_xll.qlDatedOISRateHelper("W"&amp;Currency&amp;B12&amp;C12&amp;D12,A12,A13,E12,OvernightIndex)</f>
        <v>#VALUE!</v>
      </c>
      <c r="G12" s="135" t="b">
        <v>0</v>
      </c>
      <c r="H12" s="135">
        <v>70</v>
      </c>
      <c r="I12" s="135">
        <v>5</v>
      </c>
      <c r="J12" s="136" t="e">
        <f>_xll.qlRateHelperEarliestDate($F12)</f>
        <v>#VALUE!</v>
      </c>
      <c r="K12" s="137" t="e">
        <f>_xll.qlRateHelperLatestDate($F12)</f>
        <v>#VALUE!</v>
      </c>
    </row>
    <row r="13" spans="1:12" ht="11.25" customHeight="1" x14ac:dyDescent="0.2">
      <c r="A13" s="29" t="e">
        <f>_xll.qlECBNextDate(A12)</f>
        <v>#NUM!</v>
      </c>
      <c r="B13" s="132" t="s">
        <v>40</v>
      </c>
      <c r="C13" s="120" t="s">
        <v>41</v>
      </c>
      <c r="D13" s="133" t="e">
        <f>_xll.qlECBcode(A13)</f>
        <v>#NUM!</v>
      </c>
      <c r="E13" s="134" t="e">
        <f t="shared" si="0"/>
        <v>#NUM!</v>
      </c>
      <c r="F13" s="134" t="e">
        <f>_xll.qlDatedOISRateHelper("W"&amp;Currency&amp;B13&amp;C13&amp;D13,A13,A14,E13,OvernightIndex)</f>
        <v>#VALUE!</v>
      </c>
      <c r="G13" s="135" t="b">
        <v>0</v>
      </c>
      <c r="H13" s="135">
        <v>70</v>
      </c>
      <c r="I13" s="135">
        <v>5</v>
      </c>
      <c r="J13" s="136" t="e">
        <f>_xll.qlRateHelperEarliestDate($F13)</f>
        <v>#VALUE!</v>
      </c>
      <c r="K13" s="137" t="e">
        <f>_xll.qlRateHelperLatestDate($F13)</f>
        <v>#VALUE!</v>
      </c>
    </row>
    <row r="14" spans="1:12" x14ac:dyDescent="0.2">
      <c r="A14" s="29" t="e">
        <f>_xll.qlECBNextDate(A13)</f>
        <v>#NUM!</v>
      </c>
      <c r="B14" s="139" t="s">
        <v>40</v>
      </c>
      <c r="C14" s="140" t="s">
        <v>41</v>
      </c>
      <c r="D14" s="141" t="e">
        <f>_xll.qlECBcode(A14)</f>
        <v>#NUM!</v>
      </c>
      <c r="E14" s="45" t="e">
        <f t="shared" si="0"/>
        <v>#NUM!</v>
      </c>
      <c r="F14" s="134" t="e">
        <f>_xll.qlDatedOISRateHelper("W"&amp;Currency&amp;B14&amp;C14&amp;D14,A14,A15,E14,OvernightIndex)</f>
        <v>#VALUE!</v>
      </c>
      <c r="G14" s="142" t="b">
        <v>0</v>
      </c>
      <c r="H14" s="142">
        <v>70</v>
      </c>
      <c r="I14" s="142">
        <v>5</v>
      </c>
      <c r="J14" s="143" t="e">
        <f>_xll.qlRateHelperEarliestDate($F14)</f>
        <v>#VALUE!</v>
      </c>
      <c r="K14" s="144" t="e">
        <f>_xll.qlRateHelperLatestDate($F14)</f>
        <v>#VALUE!</v>
      </c>
    </row>
    <row r="15" spans="1:12" x14ac:dyDescent="0.2">
      <c r="A15" s="29" t="e">
        <f>_xll.qlECBNextDate(A14)</f>
        <v>#NUM!</v>
      </c>
      <c r="B15" s="126"/>
      <c r="C15" s="145" t="str">
        <f t="shared" ref="C15:C33" si="1">IborType</f>
        <v>EON</v>
      </c>
      <c r="D15" s="146" t="s">
        <v>39</v>
      </c>
      <c r="E15" s="43" t="str">
        <f t="shared" si="0"/>
        <v>EUREONSW_Quote</v>
      </c>
      <c r="F15" s="43" t="str">
        <f>_xll.qlOISRateHelper("W"&amp;Currency&amp;B15&amp;C15&amp;D15,2,"1w",E15,OvernightIndex,,EvaluationDate)</f>
        <v>WEUREONSW#0002</v>
      </c>
      <c r="G15" s="129" t="b">
        <v>1</v>
      </c>
      <c r="H15" s="129">
        <v>50</v>
      </c>
      <c r="I15" s="129">
        <v>1</v>
      </c>
      <c r="J15" s="130">
        <f>_xll.qlRateHelperEarliestDate($F15)</f>
        <v>41712</v>
      </c>
      <c r="K15" s="131">
        <f>_xll.qlRateHelperLatestDate($F15)</f>
        <v>41719</v>
      </c>
    </row>
    <row r="16" spans="1:12" x14ac:dyDescent="0.2">
      <c r="B16" s="132"/>
      <c r="C16" s="147" t="str">
        <f t="shared" si="1"/>
        <v>EON</v>
      </c>
      <c r="D16" s="148" t="s">
        <v>26</v>
      </c>
      <c r="E16" s="134" t="str">
        <f t="shared" si="0"/>
        <v>EUREON2W_Quote</v>
      </c>
      <c r="F16" s="134" t="str">
        <f>_xll.qlOISRateHelper("W"&amp;Currency&amp;B16&amp;C16&amp;D16,2,D16,E16,OvernightIndex,,EvaluationDate)</f>
        <v>WEUREON2W#0002</v>
      </c>
      <c r="G16" s="135" t="b">
        <v>1</v>
      </c>
      <c r="H16" s="135">
        <v>50</v>
      </c>
      <c r="I16" s="135">
        <v>1</v>
      </c>
      <c r="J16" s="136">
        <f>_xll.qlRateHelperEarliestDate($F16)</f>
        <v>41712</v>
      </c>
      <c r="K16" s="137">
        <f>_xll.qlRateHelperLatestDate($F16)</f>
        <v>41726</v>
      </c>
    </row>
    <row r="17" spans="2:11" x14ac:dyDescent="0.2">
      <c r="B17" s="132"/>
      <c r="C17" s="147" t="str">
        <f t="shared" si="1"/>
        <v>EON</v>
      </c>
      <c r="D17" s="148" t="s">
        <v>27</v>
      </c>
      <c r="E17" s="134" t="str">
        <f t="shared" si="0"/>
        <v>EUREON3W_Quote</v>
      </c>
      <c r="F17" s="134" t="str">
        <f>_xll.qlOISRateHelper("W"&amp;Currency&amp;B17&amp;C17&amp;D17,2,D17,E17,OvernightIndex,,EvaluationDate)</f>
        <v>WEUREON3W#0002</v>
      </c>
      <c r="G17" s="135" t="b">
        <v>1</v>
      </c>
      <c r="H17" s="135">
        <v>50</v>
      </c>
      <c r="I17" s="135">
        <v>1</v>
      </c>
      <c r="J17" s="136">
        <f>_xll.qlRateHelperEarliestDate($F17)</f>
        <v>41712</v>
      </c>
      <c r="K17" s="137">
        <f>_xll.qlRateHelperLatestDate($F17)</f>
        <v>41733</v>
      </c>
    </row>
    <row r="18" spans="2:11" x14ac:dyDescent="0.2">
      <c r="B18" s="132"/>
      <c r="C18" s="147" t="str">
        <f t="shared" si="1"/>
        <v>EON</v>
      </c>
      <c r="D18" s="148" t="s">
        <v>28</v>
      </c>
      <c r="E18" s="134" t="str">
        <f t="shared" si="0"/>
        <v>EUREON1M_Quote</v>
      </c>
      <c r="F18" s="134" t="str">
        <f>_xll.qlOISRateHelper("W"&amp;Currency&amp;B18&amp;C18&amp;D18,2,D18,E18,OvernightIndex,,EvaluationDate)</f>
        <v>WEUREON1M#0002</v>
      </c>
      <c r="G18" s="135" t="b">
        <v>1</v>
      </c>
      <c r="H18" s="135">
        <v>50</v>
      </c>
      <c r="I18" s="135">
        <v>1</v>
      </c>
      <c r="J18" s="136">
        <f>_xll.qlRateHelperEarliestDate($F18)</f>
        <v>41712</v>
      </c>
      <c r="K18" s="137">
        <f>_xll.qlRateHelperLatestDate($F18)</f>
        <v>41743</v>
      </c>
    </row>
    <row r="19" spans="2:11" x14ac:dyDescent="0.2">
      <c r="B19" s="132"/>
      <c r="C19" s="147" t="str">
        <f t="shared" si="1"/>
        <v>EON</v>
      </c>
      <c r="D19" s="148" t="s">
        <v>29</v>
      </c>
      <c r="E19" s="134" t="str">
        <f t="shared" si="0"/>
        <v>EUREON2M_Quote</v>
      </c>
      <c r="F19" s="134" t="str">
        <f>_xll.qlOISRateHelper("W"&amp;Currency&amp;B19&amp;C19&amp;D19,2,D19,E19,OvernightIndex,,EvaluationDate)</f>
        <v>WEUREON2M#0002</v>
      </c>
      <c r="G19" s="135" t="b">
        <v>1</v>
      </c>
      <c r="H19" s="135">
        <v>50</v>
      </c>
      <c r="I19" s="135">
        <v>1</v>
      </c>
      <c r="J19" s="136">
        <f>_xll.qlRateHelperEarliestDate($F19)</f>
        <v>41712</v>
      </c>
      <c r="K19" s="137">
        <f>_xll.qlRateHelperLatestDate($F19)</f>
        <v>41773</v>
      </c>
    </row>
    <row r="20" spans="2:11" x14ac:dyDescent="0.2">
      <c r="B20" s="132"/>
      <c r="C20" s="147" t="str">
        <f t="shared" si="1"/>
        <v>EON</v>
      </c>
      <c r="D20" s="148" t="s">
        <v>30</v>
      </c>
      <c r="E20" s="134" t="str">
        <f t="shared" si="0"/>
        <v>EUREON3M_Quote</v>
      </c>
      <c r="F20" s="134" t="str">
        <f>_xll.qlOISRateHelper("W"&amp;Currency&amp;B20&amp;C20&amp;D20,2,D20,E20,OvernightIndex,,EvaluationDate)</f>
        <v>WEUREON3M#0002</v>
      </c>
      <c r="G20" s="135" t="b">
        <v>1</v>
      </c>
      <c r="H20" s="135">
        <v>50</v>
      </c>
      <c r="I20" s="135">
        <v>1</v>
      </c>
      <c r="J20" s="136">
        <f>_xll.qlRateHelperEarliestDate($F20)</f>
        <v>41712</v>
      </c>
      <c r="K20" s="137">
        <f>_xll.qlRateHelperLatestDate($F20)</f>
        <v>41806</v>
      </c>
    </row>
    <row r="21" spans="2:11" x14ac:dyDescent="0.2">
      <c r="B21" s="132"/>
      <c r="C21" s="147" t="str">
        <f t="shared" si="1"/>
        <v>EON</v>
      </c>
      <c r="D21" s="148" t="s">
        <v>31</v>
      </c>
      <c r="E21" s="134" t="str">
        <f t="shared" si="0"/>
        <v>EUREON4M_Quote</v>
      </c>
      <c r="F21" s="134" t="str">
        <f>_xll.qlOISRateHelper("W"&amp;Currency&amp;B21&amp;C21&amp;D21,2,D21,E21,OvernightIndex,,EvaluationDate)</f>
        <v>WEUREON4M#0002</v>
      </c>
      <c r="G21" s="135" t="b">
        <v>1</v>
      </c>
      <c r="H21" s="135">
        <v>50</v>
      </c>
      <c r="I21" s="135">
        <v>1</v>
      </c>
      <c r="J21" s="136">
        <f>_xll.qlRateHelperEarliestDate($F21)</f>
        <v>41712</v>
      </c>
      <c r="K21" s="137">
        <f>_xll.qlRateHelperLatestDate($F21)</f>
        <v>41834</v>
      </c>
    </row>
    <row r="22" spans="2:11" x14ac:dyDescent="0.2">
      <c r="B22" s="132"/>
      <c r="C22" s="147" t="str">
        <f t="shared" si="1"/>
        <v>EON</v>
      </c>
      <c r="D22" s="148" t="s">
        <v>32</v>
      </c>
      <c r="E22" s="134" t="str">
        <f t="shared" si="0"/>
        <v>EUREON5M_Quote</v>
      </c>
      <c r="F22" s="134" t="str">
        <f>_xll.qlOISRateHelper("W"&amp;Currency&amp;B22&amp;C22&amp;D22,2,D22,E22,OvernightIndex,,EvaluationDate)</f>
        <v>WEUREON5M#0002</v>
      </c>
      <c r="G22" s="135" t="b">
        <v>1</v>
      </c>
      <c r="H22" s="135">
        <v>50</v>
      </c>
      <c r="I22" s="135">
        <v>1</v>
      </c>
      <c r="J22" s="136">
        <f>_xll.qlRateHelperEarliestDate($F22)</f>
        <v>41712</v>
      </c>
      <c r="K22" s="137">
        <f>_xll.qlRateHelperLatestDate($F22)</f>
        <v>41865</v>
      </c>
    </row>
    <row r="23" spans="2:11" x14ac:dyDescent="0.2">
      <c r="B23" s="132"/>
      <c r="C23" s="147" t="str">
        <f t="shared" si="1"/>
        <v>EON</v>
      </c>
      <c r="D23" s="148" t="s">
        <v>33</v>
      </c>
      <c r="E23" s="134" t="str">
        <f t="shared" si="0"/>
        <v>EUREON6M_Quote</v>
      </c>
      <c r="F23" s="134" t="str">
        <f>_xll.qlOISRateHelper("W"&amp;Currency&amp;B23&amp;C23&amp;D23,2,D23,E23,OvernightIndex,,EvaluationDate)</f>
        <v>WEUREON6M#0002</v>
      </c>
      <c r="G23" s="135" t="b">
        <v>1</v>
      </c>
      <c r="H23" s="135">
        <v>50</v>
      </c>
      <c r="I23" s="135">
        <v>1</v>
      </c>
      <c r="J23" s="136">
        <f>_xll.qlRateHelperEarliestDate($F23)</f>
        <v>41712</v>
      </c>
      <c r="K23" s="137">
        <f>_xll.qlRateHelperLatestDate($F23)</f>
        <v>41897</v>
      </c>
    </row>
    <row r="24" spans="2:11" x14ac:dyDescent="0.2">
      <c r="B24" s="132"/>
      <c r="C24" s="147" t="str">
        <f t="shared" si="1"/>
        <v>EON</v>
      </c>
      <c r="D24" s="148" t="s">
        <v>34</v>
      </c>
      <c r="E24" s="134" t="str">
        <f t="shared" si="0"/>
        <v>EUREON7M_Quote</v>
      </c>
      <c r="F24" s="134" t="str">
        <f>_xll.qlOISRateHelper("W"&amp;Currency&amp;B24&amp;C24&amp;D24,2,D24,E24,OvernightIndex,,EvaluationDate)</f>
        <v>WEUREON7M#0002</v>
      </c>
      <c r="G24" s="135" t="b">
        <v>1</v>
      </c>
      <c r="H24" s="135">
        <v>50</v>
      </c>
      <c r="I24" s="135">
        <v>1</v>
      </c>
      <c r="J24" s="136">
        <f>_xll.qlRateHelperEarliestDate($F24)</f>
        <v>41712</v>
      </c>
      <c r="K24" s="137">
        <f>_xll.qlRateHelperLatestDate($F24)</f>
        <v>41926</v>
      </c>
    </row>
    <row r="25" spans="2:11" x14ac:dyDescent="0.2">
      <c r="B25" s="132"/>
      <c r="C25" s="147" t="str">
        <f t="shared" si="1"/>
        <v>EON</v>
      </c>
      <c r="D25" s="148" t="s">
        <v>35</v>
      </c>
      <c r="E25" s="134" t="str">
        <f t="shared" si="0"/>
        <v>EUREON8M_Quote</v>
      </c>
      <c r="F25" s="134" t="str">
        <f>_xll.qlOISRateHelper("W"&amp;Currency&amp;B25&amp;C25&amp;D25,2,D25,E25,OvernightIndex,,EvaluationDate)</f>
        <v>WEUREON8M#0002</v>
      </c>
      <c r="G25" s="135" t="b">
        <v>1</v>
      </c>
      <c r="H25" s="135">
        <v>50</v>
      </c>
      <c r="I25" s="135">
        <v>1</v>
      </c>
      <c r="J25" s="136">
        <f>_xll.qlRateHelperEarliestDate($F25)</f>
        <v>41712</v>
      </c>
      <c r="K25" s="137">
        <f>_xll.qlRateHelperLatestDate($F25)</f>
        <v>41957</v>
      </c>
    </row>
    <row r="26" spans="2:11" x14ac:dyDescent="0.2">
      <c r="B26" s="132"/>
      <c r="C26" s="147" t="str">
        <f t="shared" si="1"/>
        <v>EON</v>
      </c>
      <c r="D26" s="148" t="s">
        <v>36</v>
      </c>
      <c r="E26" s="134" t="str">
        <f t="shared" si="0"/>
        <v>EUREON9M_Quote</v>
      </c>
      <c r="F26" s="134" t="str">
        <f>_xll.qlOISRateHelper("W"&amp;Currency&amp;B26&amp;C26&amp;D26,2,D26,E26,OvernightIndex,,EvaluationDate)</f>
        <v>WEUREON9M#0002</v>
      </c>
      <c r="G26" s="135" t="b">
        <v>1</v>
      </c>
      <c r="H26" s="135">
        <v>50</v>
      </c>
      <c r="I26" s="135">
        <v>1</v>
      </c>
      <c r="J26" s="136">
        <f>_xll.qlRateHelperEarliestDate($F26)</f>
        <v>41712</v>
      </c>
      <c r="K26" s="137">
        <f>_xll.qlRateHelperLatestDate($F26)</f>
        <v>41988</v>
      </c>
    </row>
    <row r="27" spans="2:11" x14ac:dyDescent="0.2">
      <c r="B27" s="132"/>
      <c r="C27" s="147" t="str">
        <f t="shared" si="1"/>
        <v>EON</v>
      </c>
      <c r="D27" s="148" t="s">
        <v>37</v>
      </c>
      <c r="E27" s="134" t="str">
        <f t="shared" si="0"/>
        <v>EUREON10M_Quote</v>
      </c>
      <c r="F27" s="134" t="str">
        <f>_xll.qlOISRateHelper("W"&amp;Currency&amp;B27&amp;C27&amp;D27,2,D27,E27,OvernightIndex,,EvaluationDate)</f>
        <v>WEUREON10M#0002</v>
      </c>
      <c r="G27" s="135" t="b">
        <v>1</v>
      </c>
      <c r="H27" s="135">
        <v>50</v>
      </c>
      <c r="I27" s="135">
        <v>1</v>
      </c>
      <c r="J27" s="136">
        <f>_xll.qlRateHelperEarliestDate($F27)</f>
        <v>41712</v>
      </c>
      <c r="K27" s="137">
        <f>_xll.qlRateHelperLatestDate($F27)</f>
        <v>42018</v>
      </c>
    </row>
    <row r="28" spans="2:11" x14ac:dyDescent="0.2">
      <c r="B28" s="132"/>
      <c r="C28" s="147" t="str">
        <f t="shared" si="1"/>
        <v>EON</v>
      </c>
      <c r="D28" s="148" t="s">
        <v>38</v>
      </c>
      <c r="E28" s="134" t="str">
        <f t="shared" si="0"/>
        <v>EUREON11M_Quote</v>
      </c>
      <c r="F28" s="134" t="str">
        <f>_xll.qlOISRateHelper("W"&amp;Currency&amp;B28&amp;C28&amp;D28,2,D28,E28,OvernightIndex,,EvaluationDate)</f>
        <v>WEUREON11M#0002</v>
      </c>
      <c r="G28" s="135" t="b">
        <v>1</v>
      </c>
      <c r="H28" s="135">
        <v>50</v>
      </c>
      <c r="I28" s="135">
        <v>1</v>
      </c>
      <c r="J28" s="136">
        <f>_xll.qlRateHelperEarliestDate($F28)</f>
        <v>41712</v>
      </c>
      <c r="K28" s="137">
        <f>_xll.qlRateHelperLatestDate($F28)</f>
        <v>42051</v>
      </c>
    </row>
    <row r="29" spans="2:11" x14ac:dyDescent="0.2">
      <c r="B29" s="132"/>
      <c r="C29" s="147" t="str">
        <f t="shared" si="1"/>
        <v>EON</v>
      </c>
      <c r="D29" s="148" t="s">
        <v>17</v>
      </c>
      <c r="E29" s="134" t="str">
        <f t="shared" si="0"/>
        <v>EUREON1Y_Quote</v>
      </c>
      <c r="F29" s="134" t="str">
        <f>_xll.qlOISRateHelper("W"&amp;Currency&amp;B29&amp;C29&amp;D29,2,D29,E29,OvernightIndex,,EvaluationDate)</f>
        <v>WEUREON1Y#0002</v>
      </c>
      <c r="G29" s="135" t="b">
        <v>1</v>
      </c>
      <c r="H29" s="135">
        <v>50</v>
      </c>
      <c r="I29" s="135">
        <v>1</v>
      </c>
      <c r="J29" s="136">
        <f>_xll.qlRateHelperEarliestDate($F29)</f>
        <v>41712</v>
      </c>
      <c r="K29" s="137">
        <f>_xll.qlRateHelperLatestDate($F29)</f>
        <v>42079</v>
      </c>
    </row>
    <row r="30" spans="2:11" x14ac:dyDescent="0.2">
      <c r="B30" s="132"/>
      <c r="C30" s="147" t="str">
        <f t="shared" si="1"/>
        <v>EON</v>
      </c>
      <c r="D30" s="148" t="s">
        <v>18</v>
      </c>
      <c r="E30" s="134" t="str">
        <f t="shared" si="0"/>
        <v>EUREON15M_Quote</v>
      </c>
      <c r="F30" s="134" t="str">
        <f>_xll.qlOISRateHelper("W"&amp;Currency&amp;B30&amp;C30&amp;D30,2,D30,E30,OvernightIndex,,EvaluationDate)</f>
        <v>WEUREON15M#0002</v>
      </c>
      <c r="G30" s="135" t="b">
        <v>1</v>
      </c>
      <c r="H30" s="135">
        <v>50</v>
      </c>
      <c r="I30" s="135">
        <v>1</v>
      </c>
      <c r="J30" s="136">
        <f>_xll.qlRateHelperEarliestDate($F30)</f>
        <v>41712</v>
      </c>
      <c r="K30" s="137">
        <f>_xll.qlRateHelperLatestDate($F30)</f>
        <v>42170</v>
      </c>
    </row>
    <row r="31" spans="2:11" x14ac:dyDescent="0.2">
      <c r="B31" s="132"/>
      <c r="C31" s="147" t="str">
        <f t="shared" si="1"/>
        <v>EON</v>
      </c>
      <c r="D31" s="148" t="s">
        <v>19</v>
      </c>
      <c r="E31" s="134" t="str">
        <f t="shared" si="0"/>
        <v>EUREON18M_Quote</v>
      </c>
      <c r="F31" s="134" t="str">
        <f>_xll.qlOISRateHelper("W"&amp;Currency&amp;B31&amp;C31&amp;D31,2,D31,E31,OvernightIndex,,EvaluationDate)</f>
        <v>WEUREON18M#0002</v>
      </c>
      <c r="G31" s="135" t="b">
        <v>1</v>
      </c>
      <c r="H31" s="135">
        <v>50</v>
      </c>
      <c r="I31" s="135">
        <v>1</v>
      </c>
      <c r="J31" s="136">
        <f>_xll.qlRateHelperEarliestDate($F31)</f>
        <v>41712</v>
      </c>
      <c r="K31" s="137">
        <f>_xll.qlRateHelperLatestDate($F31)</f>
        <v>42261</v>
      </c>
    </row>
    <row r="32" spans="2:11" x14ac:dyDescent="0.2">
      <c r="B32" s="132"/>
      <c r="C32" s="147" t="str">
        <f t="shared" si="1"/>
        <v>EON</v>
      </c>
      <c r="D32" s="148" t="s">
        <v>20</v>
      </c>
      <c r="E32" s="134" t="str">
        <f t="shared" si="0"/>
        <v>EUREON21M_Quote</v>
      </c>
      <c r="F32" s="134" t="str">
        <f>_xll.qlOISRateHelper("W"&amp;Currency&amp;B32&amp;C32&amp;D32,2,D32,E32,OvernightIndex,,EvaluationDate)</f>
        <v>WEUREON21M#0002</v>
      </c>
      <c r="G32" s="135" t="b">
        <v>1</v>
      </c>
      <c r="H32" s="135">
        <v>50</v>
      </c>
      <c r="I32" s="135">
        <v>1</v>
      </c>
      <c r="J32" s="136">
        <f>_xll.qlRateHelperEarliestDate($F32)</f>
        <v>41712</v>
      </c>
      <c r="K32" s="137">
        <f>_xll.qlRateHelperLatestDate($F32)</f>
        <v>42352</v>
      </c>
    </row>
    <row r="33" spans="2:11" x14ac:dyDescent="0.2">
      <c r="B33" s="139"/>
      <c r="C33" s="98" t="str">
        <f t="shared" si="1"/>
        <v>EON</v>
      </c>
      <c r="D33" s="148" t="s">
        <v>21</v>
      </c>
      <c r="E33" s="134" t="str">
        <f t="shared" si="0"/>
        <v>EUREON2Y_Quote</v>
      </c>
      <c r="F33" s="134" t="str">
        <f>_xll.qlOISRateHelper("W"&amp;Currency&amp;B33&amp;C33&amp;D33,2,D33,E33,OvernightIndex,,EvaluationDate)</f>
        <v>WEUREON2Y#0002</v>
      </c>
      <c r="G33" s="135" t="b">
        <v>1</v>
      </c>
      <c r="H33" s="135">
        <v>50</v>
      </c>
      <c r="I33" s="135">
        <v>1</v>
      </c>
      <c r="J33" s="136">
        <f>_xll.qlRateHelperEarliestDate($F33)</f>
        <v>41712</v>
      </c>
      <c r="K33" s="137">
        <f>_xll.qlRateHelperLatestDate($F33)</f>
        <v>42443</v>
      </c>
    </row>
    <row r="34" spans="2:11" x14ac:dyDescent="0.2">
      <c r="D34" s="149"/>
      <c r="E34" s="43"/>
      <c r="F34" s="43"/>
      <c r="G34" s="149"/>
      <c r="H34" s="149"/>
      <c r="I34" s="149"/>
      <c r="J34" s="149"/>
      <c r="K34" s="149"/>
    </row>
    <row r="35" spans="2:11" x14ac:dyDescent="0.2">
      <c r="D35" s="29">
        <f>_xll.ohTrigger(RateHelpers)</f>
        <v>2</v>
      </c>
      <c r="E35" s="29">
        <f>_xll.ohTrigger(RateHelpers)</f>
        <v>2</v>
      </c>
      <c r="F35" s="29">
        <f>_xll.ohTrigger(RateHelpers)</f>
        <v>2</v>
      </c>
      <c r="G35" s="29">
        <f>_xll.ohTrigger(RateHelpers)</f>
        <v>2</v>
      </c>
      <c r="H35" s="29">
        <f>_xll.ohTrigger(RateHelpers)</f>
        <v>2</v>
      </c>
      <c r="I35" s="29">
        <f>_xll.ohTrigger(RateHelpers)</f>
        <v>2</v>
      </c>
      <c r="J35" s="29">
        <f>_xll.ohTrigger(RateHelpers)</f>
        <v>2</v>
      </c>
      <c r="K35" s="29">
        <f>_xll.ohTrigger(RateHelpers)</f>
        <v>2</v>
      </c>
    </row>
  </sheetData>
  <mergeCells count="1">
    <mergeCell ref="B1:D1"/>
  </mergeCells>
  <phoneticPr fontId="2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28"/>
  <sheetViews>
    <sheetView workbookViewId="0">
      <selection activeCell="D27" sqref="D27"/>
    </sheetView>
  </sheetViews>
  <sheetFormatPr defaultRowHeight="11.25" x14ac:dyDescent="0.2"/>
  <cols>
    <col min="1" max="1" width="16.140625" style="34" bestFit="1" customWidth="1"/>
    <col min="2" max="2" width="16.140625" style="34" customWidth="1"/>
    <col min="3" max="3" width="10" style="34" bestFit="1" customWidth="1"/>
    <col min="4" max="5" width="17.28515625" style="34" bestFit="1" customWidth="1"/>
    <col min="6" max="6" width="8" style="29" bestFit="1" customWidth="1"/>
    <col min="7" max="7" width="7.140625" style="29" bestFit="1" customWidth="1"/>
    <col min="8" max="8" width="6.42578125" style="29" bestFit="1" customWidth="1"/>
    <col min="9" max="9" width="10" style="29" bestFit="1" customWidth="1"/>
    <col min="10" max="10" width="8" style="29" bestFit="1" customWidth="1"/>
    <col min="11" max="11" width="15.140625" style="29" bestFit="1" customWidth="1"/>
    <col min="12" max="12" width="10.140625" style="29" customWidth="1"/>
    <col min="13" max="13" width="15.140625" style="29" bestFit="1" customWidth="1"/>
    <col min="14" max="14" width="7" style="29" bestFit="1" customWidth="1"/>
    <col min="15" max="15" width="10" style="29" bestFit="1" customWidth="1"/>
    <col min="16" max="16" width="2.140625" style="29" customWidth="1"/>
    <col min="17" max="17" width="5" style="29" bestFit="1" customWidth="1"/>
    <col min="18" max="19" width="10" style="29" customWidth="1"/>
    <col min="20" max="20" width="8" style="29" bestFit="1" customWidth="1"/>
    <col min="21" max="16384" width="9.140625" style="29"/>
  </cols>
  <sheetData>
    <row r="1" spans="1:20" ht="33.75" x14ac:dyDescent="0.2">
      <c r="A1" s="27">
        <f>_xll.ohTrigger(A31)</f>
        <v>1</v>
      </c>
      <c r="B1" s="27" t="s">
        <v>52</v>
      </c>
      <c r="C1" s="38" t="s">
        <v>24</v>
      </c>
      <c r="D1" s="38" t="s">
        <v>0</v>
      </c>
      <c r="E1" s="28" t="s">
        <v>1</v>
      </c>
      <c r="F1" s="116" t="s">
        <v>46</v>
      </c>
      <c r="G1" s="116" t="s">
        <v>47</v>
      </c>
      <c r="H1" s="116" t="s">
        <v>51</v>
      </c>
      <c r="I1" s="116" t="s">
        <v>53</v>
      </c>
      <c r="J1" s="116" t="s">
        <v>73</v>
      </c>
      <c r="K1" s="116"/>
      <c r="L1" s="116"/>
      <c r="M1" s="116" t="str">
        <f>_xll.qlInterpolation(,FwdInterpolation,_xll.ohFilter(I3:I127,H3:H127),_xll.ohFilter(K3:K127,H3:H127))</f>
        <v>obj_006c9#0001</v>
      </c>
      <c r="N1" s="116" t="s">
        <v>54</v>
      </c>
      <c r="O1" s="116" t="s">
        <v>45</v>
      </c>
      <c r="P1" s="116"/>
      <c r="R1" s="116" t="s">
        <v>76</v>
      </c>
      <c r="S1" s="116" t="s">
        <v>77</v>
      </c>
      <c r="T1" s="116" t="s">
        <v>74</v>
      </c>
    </row>
    <row r="2" spans="1:20" x14ac:dyDescent="0.2">
      <c r="A2" s="39"/>
      <c r="B2" s="40"/>
      <c r="C2" s="40"/>
      <c r="D2" s="41"/>
      <c r="E2" s="36">
        <f>'General Settings'!C24</f>
        <v>41712</v>
      </c>
      <c r="J2" s="33">
        <f t="array" ref="J2:J127">_xll.qlPiecewiseYieldCurveData(YieldCurve,InterestRatesTrigger)</f>
        <v>1.6999879584615467E-3</v>
      </c>
      <c r="K2" s="33"/>
      <c r="L2" s="33"/>
      <c r="M2" s="85"/>
    </row>
    <row r="3" spans="1:20" x14ac:dyDescent="0.2">
      <c r="A3" s="30"/>
      <c r="B3" s="150" t="str">
        <f t="array" ref="B3:B127">_xll.qlRateHelperSelection(_xll.ohFilter(RateHelpers,RateHelpersIncluded),_xll.ohFilter(RateHelpersPriority,RateHelpersIncluded),0,0,2,"AllDepos",_xll.ohFilter(MinDistance,RateHelpersIncluded))</f>
        <v>WEURSND</v>
      </c>
      <c r="C3" s="31">
        <f>_xll.qlRateHelperRate($B3,InterestRatesTrigger)</f>
        <v>1.7000000000000001E-3</v>
      </c>
      <c r="D3" s="35">
        <f>_xll.qlRateHelperEarliestDate($B3)</f>
        <v>41712</v>
      </c>
      <c r="E3" s="36">
        <f>_xll.qlRateHelperLatestDate($B3)</f>
        <v>41715</v>
      </c>
      <c r="F3" s="29" t="b">
        <f t="shared" ref="F3:F34" si="0">IF(ISERROR($E3),FALSE,AND($E2&lt;=LastDayInYear,$E3&gt;LastDayInYear))</f>
        <v>0</v>
      </c>
      <c r="G3" s="29" t="b">
        <f t="shared" ref="G3:G34" si="1">IF(ISERROR($E3),FALSE,AND($E2&lt;=LastDayInNextYear,$E3&gt;LastDayInNextYear))</f>
        <v>0</v>
      </c>
      <c r="H3" s="29" t="b">
        <f t="shared" ref="H3:H34" si="2">IF(ISERROR(E3),FALSE,AND(NOT(F3),NOT(G3)))</f>
        <v>1</v>
      </c>
      <c r="I3" s="32">
        <f t="shared" ref="I3:I27" si="3">IF(ISERROR(E3),NA(),(E3-E2)/2+E2)</f>
        <v>41713.5</v>
      </c>
      <c r="J3" s="33">
        <v>1.6999879584615467E-3</v>
      </c>
      <c r="K3" s="33" t="str">
        <f>_xll.qlSimpleQuote(,,,,EvaluationDate)</f>
        <v>obj_0069c#0002</v>
      </c>
      <c r="L3" s="33">
        <f>_xll.qlSimpleQuoteSetValue(K3,J3)</f>
        <v>0</v>
      </c>
      <c r="M3" s="86">
        <f>_xll.qlInterpolationInterpolate($M$1,I3,TRUE,ISERROR($L$3:$L$127))</f>
        <v>1.6999879584615467E-3</v>
      </c>
      <c r="N3" s="37">
        <f>_xll.qlDayCounterYearFraction(DayCounter,E2,E3)</f>
        <v>8.3333333333333332E-3</v>
      </c>
      <c r="O3" s="33">
        <f>MIN(EXP((M3-J3)*N3),1)</f>
        <v>1</v>
      </c>
      <c r="P3" s="33"/>
      <c r="Q3" s="87" t="s">
        <v>45</v>
      </c>
      <c r="R3" s="43">
        <v>100</v>
      </c>
      <c r="S3" s="44">
        <f>MIN(IF(ISBLANK($R3),AVERAGE(_xll.ohFilter($O$3:$O$127,$F$3:$F$127)),$R3),1)</f>
        <v>1</v>
      </c>
      <c r="T3" s="33">
        <f>-LN(TOY_1)/'General Settings'!$F10</f>
        <v>0</v>
      </c>
    </row>
    <row r="4" spans="1:20" x14ac:dyDescent="0.2">
      <c r="A4" s="30"/>
      <c r="B4" s="150" t="str">
        <v>WEUREONSW</v>
      </c>
      <c r="C4" s="31">
        <f>_xll.qlRateHelperRate($B4,InterestRatesTrigger)</f>
        <v>1.83E-3</v>
      </c>
      <c r="D4" s="35">
        <f>_xll.qlRateHelperEarliestDate($B4)</f>
        <v>41712</v>
      </c>
      <c r="E4" s="36">
        <f>_xll.qlRateHelperLatestDate($B4)</f>
        <v>41719</v>
      </c>
      <c r="F4" s="29" t="b">
        <f t="shared" si="0"/>
        <v>0</v>
      </c>
      <c r="G4" s="29" t="b">
        <f t="shared" si="1"/>
        <v>0</v>
      </c>
      <c r="H4" s="29" t="b">
        <f t="shared" si="2"/>
        <v>1</v>
      </c>
      <c r="I4" s="32">
        <f t="shared" si="3"/>
        <v>41717</v>
      </c>
      <c r="J4" s="33">
        <v>1.9274520546991624E-3</v>
      </c>
      <c r="K4" s="33" t="str">
        <f>_xll.qlSimpleQuote(,,,,EvaluationDate)</f>
        <v>obj_006b9#0002</v>
      </c>
      <c r="L4" s="33">
        <f>_xll.qlSimpleQuoteSetValue(K4,J4)</f>
        <v>0</v>
      </c>
      <c r="M4" s="86">
        <f>_xll.qlInterpolationInterpolate($M$1,I4,TRUE,ISERROR($L$3:$L$127))</f>
        <v>1.9274520546991624E-3</v>
      </c>
      <c r="N4" s="37">
        <f>_xll.qlDayCounterYearFraction(DayCounter,E3,E4)</f>
        <v>1.1111111111111112E-2</v>
      </c>
      <c r="O4" s="33">
        <f t="shared" ref="O4:O67" si="4">MIN(EXP((M4-J4)*N4),1)</f>
        <v>1</v>
      </c>
      <c r="P4" s="33"/>
      <c r="Q4" s="88" t="s">
        <v>47</v>
      </c>
      <c r="R4" s="45">
        <v>100</v>
      </c>
      <c r="S4" s="46">
        <f>MIN(IF(ISBLANK($R4),AVERAGE(_xll.ohFilter($O$3:$O$127,$G$3:$G$127)),$R4),1)</f>
        <v>1</v>
      </c>
      <c r="T4" s="33">
        <f>-LN(TOY_2)/'General Settings'!$F11</f>
        <v>0</v>
      </c>
    </row>
    <row r="5" spans="1:20" x14ac:dyDescent="0.2">
      <c r="A5" s="30"/>
      <c r="B5" s="150" t="str">
        <v>WEUREON2W</v>
      </c>
      <c r="C5" s="31">
        <f>_xll.qlRateHelperRate($B5,InterestRatesTrigger)</f>
        <v>1.8400000000000001E-3</v>
      </c>
      <c r="D5" s="35">
        <f>_xll.qlRateHelperEarliestDate($B5)</f>
        <v>41712</v>
      </c>
      <c r="E5" s="36">
        <f>_xll.qlRateHelperLatestDate($B5)</f>
        <v>41726</v>
      </c>
      <c r="F5" s="29" t="b">
        <f t="shared" si="0"/>
        <v>0</v>
      </c>
      <c r="G5" s="29" t="b">
        <f t="shared" si="1"/>
        <v>0</v>
      </c>
      <c r="H5" s="29" t="b">
        <f t="shared" si="2"/>
        <v>1</v>
      </c>
      <c r="I5" s="32">
        <f t="shared" si="3"/>
        <v>41722.5</v>
      </c>
      <c r="J5" s="33">
        <v>1.8499009020286679E-3</v>
      </c>
      <c r="K5" s="33" t="str">
        <f>_xll.qlSimpleQuote(,,,,EvaluationDate)</f>
        <v>obj_006a5#0002</v>
      </c>
      <c r="L5" s="33">
        <f>_xll.qlSimpleQuoteSetValue(K5,J5)</f>
        <v>0</v>
      </c>
      <c r="M5" s="86">
        <f>_xll.qlInterpolationInterpolate($M$1,I5,TRUE,ISERROR($L$3:$L$127))</f>
        <v>1.8499009020286679E-3</v>
      </c>
      <c r="N5" s="37">
        <f>_xll.qlDayCounterYearFraction(DayCounter,E4,E5)</f>
        <v>1.9444444444444445E-2</v>
      </c>
      <c r="O5" s="33">
        <f t="shared" si="4"/>
        <v>1</v>
      </c>
      <c r="P5" s="33"/>
    </row>
    <row r="6" spans="1:20" x14ac:dyDescent="0.2">
      <c r="A6" s="30"/>
      <c r="B6" s="150" t="str">
        <v>WEUREON3W</v>
      </c>
      <c r="C6" s="31">
        <f>_xll.qlRateHelperRate($B6,InterestRatesTrigger)</f>
        <v>1.8599999999999999E-3</v>
      </c>
      <c r="D6" s="35">
        <f>_xll.qlRateHelperEarliestDate($B6)</f>
        <v>41712</v>
      </c>
      <c r="E6" s="36">
        <f>_xll.qlRateHelperLatestDate($B6)</f>
        <v>41733</v>
      </c>
      <c r="F6" s="29" t="b">
        <f t="shared" si="0"/>
        <v>0</v>
      </c>
      <c r="G6" s="29" t="b">
        <f t="shared" si="1"/>
        <v>0</v>
      </c>
      <c r="H6" s="29" t="b">
        <f t="shared" si="2"/>
        <v>1</v>
      </c>
      <c r="I6" s="32">
        <f t="shared" si="3"/>
        <v>41729.5</v>
      </c>
      <c r="J6" s="33">
        <v>1.8998289628418916E-3</v>
      </c>
      <c r="K6" s="33" t="str">
        <f>_xll.qlSimpleQuote(,,,,EvaluationDate)</f>
        <v>obj_0065b#0002</v>
      </c>
      <c r="L6" s="33">
        <f>_xll.qlSimpleQuoteSetValue(K6,J6)</f>
        <v>0</v>
      </c>
      <c r="M6" s="86">
        <f>_xll.qlInterpolationInterpolate($M$1,I6,TRUE,ISERROR($L$3:$L$127))</f>
        <v>1.8998289628418916E-3</v>
      </c>
      <c r="N6" s="37">
        <f>_xll.qlDayCounterYearFraction(DayCounter,E5,E6)</f>
        <v>1.9444444444444445E-2</v>
      </c>
      <c r="O6" s="33">
        <f t="shared" si="4"/>
        <v>1</v>
      </c>
      <c r="P6" s="33"/>
    </row>
    <row r="7" spans="1:20" x14ac:dyDescent="0.2">
      <c r="A7" s="30"/>
      <c r="B7" s="150" t="str">
        <v>WEUREON1M</v>
      </c>
      <c r="C7" s="31">
        <f>_xll.qlRateHelperRate($B7,InterestRatesTrigger)</f>
        <v>1.8E-3</v>
      </c>
      <c r="D7" s="35">
        <f>_xll.qlRateHelperEarliestDate($B7)</f>
        <v>41712</v>
      </c>
      <c r="E7" s="36">
        <f>_xll.qlRateHelperLatestDate($B7)</f>
        <v>41743</v>
      </c>
      <c r="F7" s="29" t="b">
        <f t="shared" si="0"/>
        <v>0</v>
      </c>
      <c r="G7" s="29" t="b">
        <f t="shared" si="1"/>
        <v>0</v>
      </c>
      <c r="H7" s="29" t="b">
        <f t="shared" si="2"/>
        <v>1</v>
      </c>
      <c r="I7" s="32">
        <f t="shared" si="3"/>
        <v>41738</v>
      </c>
      <c r="J7" s="33">
        <v>1.6737794798530334E-3</v>
      </c>
      <c r="K7" s="33" t="str">
        <f>_xll.qlSimpleQuote(,,,,EvaluationDate)</f>
        <v>obj_006c5#0002</v>
      </c>
      <c r="L7" s="33">
        <f>_xll.qlSimpleQuoteSetValue(K7,J7)</f>
        <v>0</v>
      </c>
      <c r="M7" s="86">
        <f>_xll.qlInterpolationInterpolate($M$1,I7,TRUE,ISERROR($L$3:$L$127))</f>
        <v>1.6737794798530334E-3</v>
      </c>
      <c r="N7" s="37">
        <f>_xll.qlDayCounterYearFraction(DayCounter,E6,E7)</f>
        <v>2.7777777777777776E-2</v>
      </c>
      <c r="O7" s="33">
        <f t="shared" si="4"/>
        <v>1</v>
      </c>
      <c r="P7" s="33"/>
    </row>
    <row r="8" spans="1:20" x14ac:dyDescent="0.2">
      <c r="A8" s="30"/>
      <c r="B8" s="150" t="str">
        <v>WEUREON2M</v>
      </c>
      <c r="C8" s="31">
        <f>_xll.qlRateHelperRate($B8,InterestRatesTrigger)</f>
        <v>1.7499999999999998E-3</v>
      </c>
      <c r="D8" s="35">
        <f>_xll.qlRateHelperEarliestDate($B8)</f>
        <v>41712</v>
      </c>
      <c r="E8" s="36">
        <f>_xll.qlRateHelperLatestDate($B8)</f>
        <v>41773</v>
      </c>
      <c r="F8" s="29" t="b">
        <f t="shared" si="0"/>
        <v>0</v>
      </c>
      <c r="G8" s="29" t="b">
        <f t="shared" si="1"/>
        <v>0</v>
      </c>
      <c r="H8" s="29" t="b">
        <f t="shared" si="2"/>
        <v>1</v>
      </c>
      <c r="I8" s="32">
        <f t="shared" si="3"/>
        <v>41758</v>
      </c>
      <c r="J8" s="33">
        <v>1.6979500004272229E-3</v>
      </c>
      <c r="K8" s="33" t="str">
        <f>_xll.qlSimpleQuote(,,,,EvaluationDate)</f>
        <v>obj_0068f#0002</v>
      </c>
      <c r="L8" s="33">
        <f>_xll.qlSimpleQuoteSetValue(K8,J8)</f>
        <v>0</v>
      </c>
      <c r="M8" s="86">
        <f>_xll.qlInterpolationInterpolate($M$1,I8,TRUE,ISERROR($L$3:$L$127))</f>
        <v>1.6979500004272229E-3</v>
      </c>
      <c r="N8" s="37">
        <f>_xll.qlDayCounterYearFraction(DayCounter,E7,E8)</f>
        <v>8.3333333333333329E-2</v>
      </c>
      <c r="O8" s="33">
        <f t="shared" si="4"/>
        <v>1</v>
      </c>
      <c r="P8" s="33"/>
    </row>
    <row r="9" spans="1:20" x14ac:dyDescent="0.2">
      <c r="A9" s="30"/>
      <c r="B9" s="150" t="str">
        <v>WEUREON3M</v>
      </c>
      <c r="C9" s="31">
        <f>_xll.qlRateHelperRate($B9,InterestRatesTrigger)</f>
        <v>1.6899999999999999E-3</v>
      </c>
      <c r="D9" s="35">
        <f>_xll.qlRateHelperEarliestDate($B9)</f>
        <v>41712</v>
      </c>
      <c r="E9" s="36">
        <f>_xll.qlRateHelperLatestDate($B9)</f>
        <v>41806</v>
      </c>
      <c r="F9" s="29" t="b">
        <f t="shared" si="0"/>
        <v>0</v>
      </c>
      <c r="G9" s="29" t="b">
        <f t="shared" si="1"/>
        <v>0</v>
      </c>
      <c r="H9" s="29" t="b">
        <f t="shared" si="2"/>
        <v>1</v>
      </c>
      <c r="I9" s="32">
        <f t="shared" si="3"/>
        <v>41789.5</v>
      </c>
      <c r="J9" s="33">
        <v>1.5785085955901178E-3</v>
      </c>
      <c r="K9" s="33" t="str">
        <f>_xll.qlSimpleQuote(,,,,EvaluationDate)</f>
        <v>obj_006c1#0002</v>
      </c>
      <c r="L9" s="33">
        <f>_xll.qlSimpleQuoteSetValue(K9,J9)</f>
        <v>0</v>
      </c>
      <c r="M9" s="86">
        <f>_xll.qlInterpolationInterpolate($M$1,I9,TRUE,ISERROR($L$3:$L$127))</f>
        <v>1.5785085955901178E-3</v>
      </c>
      <c r="N9" s="37">
        <f>_xll.qlDayCounterYearFraction(DayCounter,E8,E9)</f>
        <v>9.166666666666666E-2</v>
      </c>
      <c r="O9" s="33">
        <f t="shared" si="4"/>
        <v>1</v>
      </c>
      <c r="P9" s="33"/>
    </row>
    <row r="10" spans="1:20" x14ac:dyDescent="0.2">
      <c r="A10" s="30"/>
      <c r="B10" s="150" t="str">
        <v>WEUREON4M</v>
      </c>
      <c r="C10" s="31">
        <f>_xll.qlRateHelperRate($B10,InterestRatesTrigger)</f>
        <v>1.6699999999999998E-3</v>
      </c>
      <c r="D10" s="35">
        <f>_xll.qlRateHelperEarliestDate($B10)</f>
        <v>41712</v>
      </c>
      <c r="E10" s="36">
        <f>_xll.qlRateHelperLatestDate($B10)</f>
        <v>41834</v>
      </c>
      <c r="F10" s="29" t="b">
        <f t="shared" si="0"/>
        <v>0</v>
      </c>
      <c r="G10" s="29" t="b">
        <f t="shared" si="1"/>
        <v>0</v>
      </c>
      <c r="H10" s="29" t="b">
        <f t="shared" si="2"/>
        <v>1</v>
      </c>
      <c r="I10" s="32">
        <f t="shared" si="3"/>
        <v>41820</v>
      </c>
      <c r="J10" s="33">
        <v>1.6020503346233135E-3</v>
      </c>
      <c r="K10" s="33" t="str">
        <f>_xll.qlSimpleQuote(,,,,EvaluationDate)</f>
        <v>obj_00667#0002</v>
      </c>
      <c r="L10" s="33">
        <f>_xll.qlSimpleQuoteSetValue(K10,J10)</f>
        <v>0</v>
      </c>
      <c r="M10" s="86">
        <f>_xll.qlInterpolationInterpolate($M$1,I10,TRUE,ISERROR($L$3:$L$127))</f>
        <v>1.6020503346233135E-3</v>
      </c>
      <c r="N10" s="37">
        <f>_xll.qlDayCounterYearFraction(DayCounter,E9,E10)</f>
        <v>7.7777777777777779E-2</v>
      </c>
      <c r="O10" s="33">
        <f t="shared" si="4"/>
        <v>1</v>
      </c>
      <c r="P10" s="33"/>
    </row>
    <row r="11" spans="1:20" x14ac:dyDescent="0.2">
      <c r="A11" s="30"/>
      <c r="B11" s="150" t="str">
        <v>WEUREON5M</v>
      </c>
      <c r="C11" s="31">
        <f>_xll.qlRateHelperRate($B11,InterestRatesTrigger)</f>
        <v>1.6300000000000002E-3</v>
      </c>
      <c r="D11" s="35">
        <f>_xll.qlRateHelperEarliestDate($B11)</f>
        <v>41712</v>
      </c>
      <c r="E11" s="36">
        <f>_xll.qlRateHelperLatestDate($B11)</f>
        <v>41865</v>
      </c>
      <c r="F11" s="29" t="b">
        <f t="shared" si="0"/>
        <v>0</v>
      </c>
      <c r="G11" s="29" t="b">
        <f t="shared" si="1"/>
        <v>0</v>
      </c>
      <c r="H11" s="29" t="b">
        <f t="shared" si="2"/>
        <v>1</v>
      </c>
      <c r="I11" s="32">
        <f t="shared" si="3"/>
        <v>41849.5</v>
      </c>
      <c r="J11" s="33">
        <v>1.4716544654457414E-3</v>
      </c>
      <c r="K11" s="33" t="str">
        <f>_xll.qlSimpleQuote(,,,,EvaluationDate)</f>
        <v>obj_00673#0002</v>
      </c>
      <c r="L11" s="33">
        <f>_xll.qlSimpleQuoteSetValue(K11,J11)</f>
        <v>0</v>
      </c>
      <c r="M11" s="86">
        <f>_xll.qlInterpolationInterpolate($M$1,I11,TRUE,ISERROR($L$3:$L$127))</f>
        <v>1.4716544654457414E-3</v>
      </c>
      <c r="N11" s="37">
        <f>_xll.qlDayCounterYearFraction(DayCounter,E10,E11)</f>
        <v>8.611111111111111E-2</v>
      </c>
      <c r="O11" s="33">
        <f t="shared" si="4"/>
        <v>1</v>
      </c>
      <c r="P11" s="33"/>
    </row>
    <row r="12" spans="1:20" x14ac:dyDescent="0.2">
      <c r="A12" s="30"/>
      <c r="B12" s="150" t="str">
        <v>WEUREON6M</v>
      </c>
      <c r="C12" s="31">
        <f>_xll.qlRateHelperRate($B12,InterestRatesTrigger)</f>
        <v>1.6100000000000001E-3</v>
      </c>
      <c r="D12" s="35">
        <f>_xll.qlRateHelperEarliestDate($B12)</f>
        <v>41712</v>
      </c>
      <c r="E12" s="36">
        <f>_xll.qlRateHelperLatestDate($B12)</f>
        <v>41897</v>
      </c>
      <c r="F12" s="29" t="b">
        <f t="shared" si="0"/>
        <v>0</v>
      </c>
      <c r="G12" s="29" t="b">
        <f t="shared" si="1"/>
        <v>0</v>
      </c>
      <c r="H12" s="29" t="b">
        <f t="shared" si="2"/>
        <v>1</v>
      </c>
      <c r="I12" s="32">
        <f t="shared" si="3"/>
        <v>41881</v>
      </c>
      <c r="J12" s="33">
        <v>1.5132248675100793E-3</v>
      </c>
      <c r="K12" s="33" t="str">
        <f>_xll.qlSimpleQuote(,,,,EvaluationDate)</f>
        <v>obj_0065f#0002</v>
      </c>
      <c r="L12" s="33">
        <f>_xll.qlSimpleQuoteSetValue(K12,J12)</f>
        <v>0</v>
      </c>
      <c r="M12" s="86">
        <f>_xll.qlInterpolationInterpolate($M$1,I12,TRUE,ISERROR($L$3:$L$127))</f>
        <v>1.5132248675100793E-3</v>
      </c>
      <c r="N12" s="37">
        <f>_xll.qlDayCounterYearFraction(DayCounter,E11,E12)</f>
        <v>8.8888888888888892E-2</v>
      </c>
      <c r="O12" s="33">
        <f t="shared" si="4"/>
        <v>1</v>
      </c>
      <c r="P12" s="33"/>
    </row>
    <row r="13" spans="1:20" x14ac:dyDescent="0.2">
      <c r="A13" s="30"/>
      <c r="B13" s="150" t="str">
        <v>WEUREON7M</v>
      </c>
      <c r="C13" s="31">
        <f>_xll.qlRateHelperRate($B13,InterestRatesTrigger)</f>
        <v>1.58E-3</v>
      </c>
      <c r="D13" s="35">
        <f>_xll.qlRateHelperEarliestDate($B13)</f>
        <v>41712</v>
      </c>
      <c r="E13" s="36">
        <f>_xll.qlRateHelperLatestDate($B13)</f>
        <v>41926</v>
      </c>
      <c r="F13" s="29" t="b">
        <f t="shared" si="0"/>
        <v>0</v>
      </c>
      <c r="G13" s="29" t="b">
        <f t="shared" si="1"/>
        <v>0</v>
      </c>
      <c r="H13" s="29" t="b">
        <f t="shared" si="2"/>
        <v>1</v>
      </c>
      <c r="I13" s="32">
        <f t="shared" si="3"/>
        <v>41911.5</v>
      </c>
      <c r="J13" s="33">
        <v>1.3873952162527308E-3</v>
      </c>
      <c r="K13" s="33" t="str">
        <f>_xll.qlSimpleQuote(,,,,EvaluationDate)</f>
        <v>obj_006b8#0002</v>
      </c>
      <c r="L13" s="33">
        <f>_xll.qlSimpleQuoteSetValue(K13,J13)</f>
        <v>0</v>
      </c>
      <c r="M13" s="86">
        <f>_xll.qlInterpolationInterpolate($M$1,I13,TRUE,ISERROR($L$3:$L$127))</f>
        <v>1.3873952162527308E-3</v>
      </c>
      <c r="N13" s="37">
        <f>_xll.qlDayCounterYearFraction(DayCounter,E12,E13)</f>
        <v>8.0555555555555561E-2</v>
      </c>
      <c r="O13" s="33">
        <f t="shared" si="4"/>
        <v>1</v>
      </c>
      <c r="P13" s="33"/>
    </row>
    <row r="14" spans="1:20" x14ac:dyDescent="0.2">
      <c r="A14" s="30"/>
      <c r="B14" s="150" t="str">
        <v>WEUREON8M</v>
      </c>
      <c r="C14" s="31">
        <f>_xll.qlRateHelperRate($B14,InterestRatesTrigger)</f>
        <v>1.56E-3</v>
      </c>
      <c r="D14" s="35">
        <f>_xll.qlRateHelperEarliestDate($B14)</f>
        <v>41712</v>
      </c>
      <c r="E14" s="36">
        <f>_xll.qlRateHelperLatestDate($B14)</f>
        <v>41957</v>
      </c>
      <c r="F14" s="29" t="b">
        <f t="shared" si="0"/>
        <v>0</v>
      </c>
      <c r="G14" s="29" t="b">
        <f t="shared" si="1"/>
        <v>0</v>
      </c>
      <c r="H14" s="29" t="b">
        <f t="shared" si="2"/>
        <v>1</v>
      </c>
      <c r="I14" s="32">
        <f t="shared" si="3"/>
        <v>41941.5</v>
      </c>
      <c r="J14" s="33">
        <v>1.4205143400747027E-3</v>
      </c>
      <c r="K14" s="33" t="str">
        <f>_xll.qlSimpleQuote(,,,,EvaluationDate)</f>
        <v>obj_00693#0002</v>
      </c>
      <c r="L14" s="33">
        <f>_xll.qlSimpleQuoteSetValue(K14,J14)</f>
        <v>0</v>
      </c>
      <c r="M14" s="86">
        <f>_xll.qlInterpolationInterpolate($M$1,I14,TRUE,ISERROR($L$3:$L$127))</f>
        <v>1.4205143400747027E-3</v>
      </c>
      <c r="N14" s="37">
        <f>_xll.qlDayCounterYearFraction(DayCounter,E13,E14)</f>
        <v>8.611111111111111E-2</v>
      </c>
      <c r="O14" s="33">
        <f t="shared" si="4"/>
        <v>1</v>
      </c>
      <c r="P14" s="33"/>
    </row>
    <row r="15" spans="1:20" x14ac:dyDescent="0.2">
      <c r="A15" s="30"/>
      <c r="B15" s="150" t="str">
        <v>WEUREON9M</v>
      </c>
      <c r="C15" s="31">
        <f>_xll.qlRateHelperRate($B15,InterestRatesTrigger)</f>
        <v>1.5399999999999999E-3</v>
      </c>
      <c r="D15" s="35">
        <f>_xll.qlRateHelperEarliestDate($B15)</f>
        <v>41712</v>
      </c>
      <c r="E15" s="36">
        <f>_xll.qlRateHelperLatestDate($B15)</f>
        <v>41988</v>
      </c>
      <c r="F15" s="29" t="b">
        <f t="shared" si="0"/>
        <v>0</v>
      </c>
      <c r="G15" s="29" t="b">
        <f t="shared" si="1"/>
        <v>0</v>
      </c>
      <c r="H15" s="29" t="b">
        <f t="shared" si="2"/>
        <v>1</v>
      </c>
      <c r="I15" s="32">
        <f t="shared" si="3"/>
        <v>41972.5</v>
      </c>
      <c r="J15" s="33">
        <v>1.3803878405539835E-3</v>
      </c>
      <c r="K15" s="33" t="str">
        <f>_xll.qlSimpleQuote(,,,,EvaluationDate)</f>
        <v>obj_0064b#0002</v>
      </c>
      <c r="L15" s="33">
        <f>_xll.qlSimpleQuoteSetValue(K15,J15)</f>
        <v>0</v>
      </c>
      <c r="M15" s="86">
        <f>_xll.qlInterpolationInterpolate($M$1,I15,TRUE,ISERROR($L$3:$L$127))</f>
        <v>1.3803878405539835E-3</v>
      </c>
      <c r="N15" s="37">
        <f>_xll.qlDayCounterYearFraction(DayCounter,E14,E15)</f>
        <v>8.611111111111111E-2</v>
      </c>
      <c r="O15" s="33">
        <f t="shared" si="4"/>
        <v>1</v>
      </c>
      <c r="P15" s="33"/>
    </row>
    <row r="16" spans="1:20" x14ac:dyDescent="0.2">
      <c r="A16" s="30"/>
      <c r="B16" s="150" t="str">
        <v>WEUREON10M</v>
      </c>
      <c r="C16" s="31">
        <f>_xll.qlRateHelperRate($B16,InterestRatesTrigger)</f>
        <v>1.5399999999999999E-3</v>
      </c>
      <c r="D16" s="35">
        <f>_xll.qlRateHelperEarliestDate($B16)</f>
        <v>41712</v>
      </c>
      <c r="E16" s="36">
        <f>_xll.qlRateHelperLatestDate($B16)</f>
        <v>42018</v>
      </c>
      <c r="F16" s="29" t="b">
        <f t="shared" si="0"/>
        <v>1</v>
      </c>
      <c r="G16" s="29" t="b">
        <f t="shared" si="1"/>
        <v>0</v>
      </c>
      <c r="H16" s="29" t="b">
        <f t="shared" si="2"/>
        <v>0</v>
      </c>
      <c r="I16" s="32">
        <f t="shared" si="3"/>
        <v>42003</v>
      </c>
      <c r="J16" s="33">
        <v>1.5380853422035567E-3</v>
      </c>
      <c r="K16" s="33" t="str">
        <f>_xll.qlSimpleQuote(,,,,EvaluationDate)</f>
        <v>obj_00640#0002</v>
      </c>
      <c r="L16" s="33">
        <f>_xll.qlSimpleQuoteSetValue(K16,J16)</f>
        <v>0</v>
      </c>
      <c r="M16" s="86">
        <f>_xll.qlInterpolationInterpolate($M$1,I16,TRUE,ISERROR($L$3:$L$127))</f>
        <v>1.4074007714060936E-3</v>
      </c>
      <c r="N16" s="37">
        <f>_xll.qlDayCounterYearFraction(DayCounter,E15,E16)</f>
        <v>8.3333333333333329E-2</v>
      </c>
      <c r="O16" s="33">
        <f t="shared" si="4"/>
        <v>0.99998910967840016</v>
      </c>
      <c r="P16" s="33"/>
    </row>
    <row r="17" spans="1:16" x14ac:dyDescent="0.2">
      <c r="A17" s="30"/>
      <c r="B17" s="150" t="str">
        <v>WEUREON11M</v>
      </c>
      <c r="C17" s="31">
        <f>_xll.qlRateHelperRate($B17,InterestRatesTrigger)</f>
        <v>1.5299999999999999E-3</v>
      </c>
      <c r="D17" s="35">
        <f>_xll.qlRateHelperEarliestDate($B17)</f>
        <v>41712</v>
      </c>
      <c r="E17" s="36">
        <f>_xll.qlRateHelperLatestDate($B17)</f>
        <v>42051</v>
      </c>
      <c r="F17" s="29" t="b">
        <f t="shared" si="0"/>
        <v>0</v>
      </c>
      <c r="G17" s="29" t="b">
        <f t="shared" si="1"/>
        <v>0</v>
      </c>
      <c r="H17" s="29" t="b">
        <f t="shared" si="2"/>
        <v>1</v>
      </c>
      <c r="I17" s="32">
        <f t="shared" si="3"/>
        <v>42034.5</v>
      </c>
      <c r="J17" s="33">
        <v>1.4352993721222071E-3</v>
      </c>
      <c r="K17" s="33" t="str">
        <f>_xll.qlSimpleQuote(,,,,EvaluationDate)</f>
        <v>obj_00644#0002</v>
      </c>
      <c r="L17" s="33">
        <f>_xll.qlSimpleQuoteSetValue(K17,J17)</f>
        <v>0</v>
      </c>
      <c r="M17" s="86">
        <f>_xll.qlInterpolationInterpolate($M$1,I17,TRUE,ISERROR($L$3:$L$127))</f>
        <v>1.4352993721222071E-3</v>
      </c>
      <c r="N17" s="37">
        <f>_xll.qlDayCounterYearFraction(DayCounter,E16,E17)</f>
        <v>9.166666666666666E-2</v>
      </c>
      <c r="O17" s="33">
        <f t="shared" si="4"/>
        <v>1</v>
      </c>
      <c r="P17" s="33"/>
    </row>
    <row r="18" spans="1:16" x14ac:dyDescent="0.2">
      <c r="A18" s="30"/>
      <c r="B18" s="150" t="str">
        <v>WEUREON1Y</v>
      </c>
      <c r="C18" s="31">
        <f>_xll.qlRateHelperRate($B18,InterestRatesTrigger)</f>
        <v>1.5199999999999999E-3</v>
      </c>
      <c r="D18" s="35">
        <f>_xll.qlRateHelperEarliestDate($B18)</f>
        <v>41712</v>
      </c>
      <c r="E18" s="36">
        <f>_xll.qlRateHelperLatestDate($B18)</f>
        <v>42079</v>
      </c>
      <c r="F18" s="29" t="b">
        <f t="shared" si="0"/>
        <v>0</v>
      </c>
      <c r="G18" s="29" t="b">
        <f t="shared" si="1"/>
        <v>0</v>
      </c>
      <c r="H18" s="29" t="b">
        <f t="shared" si="2"/>
        <v>1</v>
      </c>
      <c r="I18" s="32">
        <f t="shared" si="3"/>
        <v>42065</v>
      </c>
      <c r="J18" s="33">
        <v>1.3968400834726052E-3</v>
      </c>
      <c r="K18" s="33" t="str">
        <f>_xll.qlSimpleQuote(,,,,EvaluationDate)</f>
        <v>obj_00680#0002</v>
      </c>
      <c r="L18" s="33">
        <f>_xll.qlSimpleQuoteSetValue(K18,J18)</f>
        <v>0</v>
      </c>
      <c r="M18" s="86">
        <f>_xll.qlInterpolationInterpolate($M$1,I18,TRUE,ISERROR($L$3:$L$127))</f>
        <v>1.3968400834726052E-3</v>
      </c>
      <c r="N18" s="37">
        <f>_xll.qlDayCounterYearFraction(DayCounter,E17,E18)</f>
        <v>7.7777777777777779E-2</v>
      </c>
      <c r="O18" s="33">
        <f t="shared" si="4"/>
        <v>1</v>
      </c>
      <c r="P18" s="33"/>
    </row>
    <row r="19" spans="1:16" x14ac:dyDescent="0.2">
      <c r="A19" s="30"/>
      <c r="B19" s="150" t="str">
        <v>WEUREON15M</v>
      </c>
      <c r="C19" s="31">
        <f>_xll.qlRateHelperRate($B19,InterestRatesTrigger)</f>
        <v>1.5399999999999999E-3</v>
      </c>
      <c r="D19" s="35">
        <f>_xll.qlRateHelperEarliestDate($B19)</f>
        <v>41712</v>
      </c>
      <c r="E19" s="36">
        <f>_xll.qlRateHelperLatestDate($B19)</f>
        <v>42170</v>
      </c>
      <c r="F19" s="29" t="b">
        <f t="shared" si="0"/>
        <v>0</v>
      </c>
      <c r="G19" s="29" t="b">
        <f t="shared" si="1"/>
        <v>0</v>
      </c>
      <c r="H19" s="29" t="b">
        <f t="shared" si="2"/>
        <v>1</v>
      </c>
      <c r="I19" s="32">
        <f t="shared" si="3"/>
        <v>42124.5</v>
      </c>
      <c r="J19" s="33">
        <v>1.6203604968244836E-3</v>
      </c>
      <c r="K19" s="33" t="str">
        <f>_xll.qlSimpleQuote(,,,,EvaluationDate)</f>
        <v>obj_006b5#0002</v>
      </c>
      <c r="L19" s="33">
        <f>_xll.qlSimpleQuoteSetValue(K19,J19)</f>
        <v>0</v>
      </c>
      <c r="M19" s="86">
        <f>_xll.qlInterpolationInterpolate($M$1,I19,TRUE,ISERROR($L$3:$L$127))</f>
        <v>1.6203604968244836E-3</v>
      </c>
      <c r="N19" s="37">
        <f>_xll.qlDayCounterYearFraction(DayCounter,E18,E19)</f>
        <v>0.25277777777777777</v>
      </c>
      <c r="O19" s="33">
        <f t="shared" si="4"/>
        <v>1</v>
      </c>
      <c r="P19" s="33"/>
    </row>
    <row r="20" spans="1:16" x14ac:dyDescent="0.2">
      <c r="A20" s="30"/>
      <c r="B20" s="150" t="str">
        <v>WEUREON18M</v>
      </c>
      <c r="C20" s="31">
        <f>_xll.qlRateHelperRate($B20,InterestRatesTrigger)</f>
        <v>1.5900000000000001E-3</v>
      </c>
      <c r="D20" s="35">
        <f>_xll.qlRateHelperEarliestDate($B20)</f>
        <v>41712</v>
      </c>
      <c r="E20" s="36">
        <f>_xll.qlRateHelperLatestDate($B20)</f>
        <v>42261</v>
      </c>
      <c r="F20" s="29" t="b">
        <f t="shared" si="0"/>
        <v>0</v>
      </c>
      <c r="G20" s="29" t="b">
        <f t="shared" si="1"/>
        <v>0</v>
      </c>
      <c r="H20" s="29" t="b">
        <f t="shared" si="2"/>
        <v>1</v>
      </c>
      <c r="I20" s="32">
        <f t="shared" si="3"/>
        <v>42215.5</v>
      </c>
      <c r="J20" s="33">
        <v>1.8406798583616905E-3</v>
      </c>
      <c r="K20" s="33" t="str">
        <f>_xll.qlSimpleQuote(,,,,EvaluationDate)</f>
        <v>obj_0065e#0002</v>
      </c>
      <c r="L20" s="33">
        <f>_xll.qlSimpleQuoteSetValue(K20,J20)</f>
        <v>0</v>
      </c>
      <c r="M20" s="86">
        <f>_xll.qlInterpolationInterpolate($M$1,I20,TRUE,ISERROR($L$3:$L$127))</f>
        <v>1.8406798583616905E-3</v>
      </c>
      <c r="N20" s="37">
        <f>_xll.qlDayCounterYearFraction(DayCounter,E19,E20)</f>
        <v>0.25277777777777777</v>
      </c>
      <c r="O20" s="33">
        <f t="shared" si="4"/>
        <v>1</v>
      </c>
      <c r="P20" s="33"/>
    </row>
    <row r="21" spans="1:16" x14ac:dyDescent="0.2">
      <c r="A21" s="30"/>
      <c r="B21" s="150" t="str">
        <v>WEUREON21M</v>
      </c>
      <c r="C21" s="31">
        <f>_xll.qlRateHelperRate($B21,InterestRatesTrigger)</f>
        <v>1.6699999999999998E-3</v>
      </c>
      <c r="D21" s="35">
        <f>_xll.qlRateHelperEarliestDate($B21)</f>
        <v>41712</v>
      </c>
      <c r="E21" s="36">
        <f>_xll.qlRateHelperLatestDate($B21)</f>
        <v>42352</v>
      </c>
      <c r="F21" s="29" t="b">
        <f t="shared" si="0"/>
        <v>0</v>
      </c>
      <c r="G21" s="29" t="b">
        <f t="shared" si="1"/>
        <v>0</v>
      </c>
      <c r="H21" s="29" t="b">
        <f t="shared" si="2"/>
        <v>1</v>
      </c>
      <c r="I21" s="32">
        <f t="shared" si="3"/>
        <v>42306.5</v>
      </c>
      <c r="J21" s="33">
        <v>2.150781259638405E-3</v>
      </c>
      <c r="K21" s="33" t="str">
        <f>_xll.qlSimpleQuote(,,,,EvaluationDate)</f>
        <v>obj_0063c#0002</v>
      </c>
      <c r="L21" s="33">
        <f>_xll.qlSimpleQuoteSetValue(K21,J21)</f>
        <v>0</v>
      </c>
      <c r="M21" s="86">
        <f>_xll.qlInterpolationInterpolate($M$1,I21,TRUE,ISERROR($L$3:$L$127))</f>
        <v>2.150781259638405E-3</v>
      </c>
      <c r="N21" s="37">
        <f>_xll.qlDayCounterYearFraction(DayCounter,E20,E21)</f>
        <v>0.25277777777777777</v>
      </c>
      <c r="O21" s="33">
        <f t="shared" si="4"/>
        <v>1</v>
      </c>
      <c r="P21" s="33"/>
    </row>
    <row r="22" spans="1:16" x14ac:dyDescent="0.2">
      <c r="A22" s="30"/>
      <c r="B22" s="150" t="str">
        <v>WEUREON2Y</v>
      </c>
      <c r="C22" s="31">
        <f>_xll.qlRateHelperRate($B22,InterestRatesTrigger)</f>
        <v>1.8E-3</v>
      </c>
      <c r="D22" s="35">
        <f>_xll.qlRateHelperEarliestDate($B22)</f>
        <v>41712</v>
      </c>
      <c r="E22" s="36">
        <f>_xll.qlRateHelperLatestDate($B22)</f>
        <v>42443</v>
      </c>
      <c r="F22" s="29" t="b">
        <f t="shared" si="0"/>
        <v>0</v>
      </c>
      <c r="G22" s="29" t="b">
        <f t="shared" si="1"/>
        <v>1</v>
      </c>
      <c r="H22" s="29" t="b">
        <f t="shared" si="2"/>
        <v>0</v>
      </c>
      <c r="I22" s="32">
        <f t="shared" si="3"/>
        <v>42397.5</v>
      </c>
      <c r="J22" s="33">
        <v>2.71102629033109E-3</v>
      </c>
      <c r="K22" s="33" t="str">
        <f>_xll.qlSimpleQuote(,,,,EvaluationDate)</f>
        <v>obj_0064c#0002</v>
      </c>
      <c r="L22" s="33">
        <f>_xll.qlSimpleQuoteSetValue(K22,J22)</f>
        <v>0</v>
      </c>
      <c r="M22" s="86">
        <f>_xll.qlInterpolationInterpolate($M$1,I22,TRUE,ISERROR($L$3:$L$127))</f>
        <v>2.4608826609151197E-3</v>
      </c>
      <c r="N22" s="37">
        <f>_xll.qlDayCounterYearFraction(DayCounter,E21,E22)</f>
        <v>0.25277777777777777</v>
      </c>
      <c r="O22" s="33">
        <f t="shared" si="4"/>
        <v>0.99993677124825275</v>
      </c>
      <c r="P22" s="33"/>
    </row>
    <row r="23" spans="1:16" x14ac:dyDescent="0.2">
      <c r="A23" s="30"/>
      <c r="B23" s="150" t="e">
        <v>#N/A</v>
      </c>
      <c r="C23" s="31" t="e">
        <f>_xll.qlRateHelperRate($B23,InterestRatesTrigger)</f>
        <v>#VALUE!</v>
      </c>
      <c r="D23" s="35" t="e">
        <f>_xll.qlRateHelperEarliestDate($B23)</f>
        <v>#VALUE!</v>
      </c>
      <c r="E23" s="36" t="e">
        <f>_xll.qlRateHelperLatestDate($B23)</f>
        <v>#VALUE!</v>
      </c>
      <c r="F23" s="29" t="b">
        <f t="shared" si="0"/>
        <v>0</v>
      </c>
      <c r="G23" s="29" t="b">
        <f t="shared" si="1"/>
        <v>0</v>
      </c>
      <c r="H23" s="29" t="b">
        <f t="shared" si="2"/>
        <v>0</v>
      </c>
      <c r="I23" s="32" t="e">
        <f t="shared" si="3"/>
        <v>#N/A</v>
      </c>
      <c r="J23" s="33" t="e">
        <v>#N/A</v>
      </c>
      <c r="K23" s="33" t="str">
        <f>_xll.qlSimpleQuote(,,,,EvaluationDate)</f>
        <v>obj_006b7#0002</v>
      </c>
      <c r="L23" s="33">
        <f>_xll.qlSimpleQuoteSetValue(K23,J23)</f>
        <v>0</v>
      </c>
      <c r="M23" s="86" t="e">
        <f>_xll.qlInterpolationInterpolate($M$1,I23,TRUE,ISERROR($L$3:$L$127))</f>
        <v>#NUM!</v>
      </c>
      <c r="N23" s="37" t="e">
        <f>_xll.qlDayCounterYearFraction(DayCounter,E22,E23)</f>
        <v>#NUM!</v>
      </c>
      <c r="O23" s="33" t="e">
        <f t="shared" si="4"/>
        <v>#NUM!</v>
      </c>
      <c r="P23" s="33"/>
    </row>
    <row r="24" spans="1:16" x14ac:dyDescent="0.2">
      <c r="A24" s="30"/>
      <c r="B24" s="150" t="e">
        <v>#N/A</v>
      </c>
      <c r="C24" s="31" t="e">
        <f>_xll.qlRateHelperRate($B24,InterestRatesTrigger)</f>
        <v>#VALUE!</v>
      </c>
      <c r="D24" s="35" t="e">
        <f>_xll.qlRateHelperEarliestDate($B24)</f>
        <v>#VALUE!</v>
      </c>
      <c r="E24" s="36" t="e">
        <f>_xll.qlRateHelperLatestDate($B24)</f>
        <v>#VALUE!</v>
      </c>
      <c r="F24" s="29" t="b">
        <f t="shared" si="0"/>
        <v>0</v>
      </c>
      <c r="G24" s="29" t="b">
        <f t="shared" si="1"/>
        <v>0</v>
      </c>
      <c r="H24" s="29" t="b">
        <f t="shared" si="2"/>
        <v>0</v>
      </c>
      <c r="I24" s="32" t="e">
        <f t="shared" si="3"/>
        <v>#N/A</v>
      </c>
      <c r="J24" s="33" t="e">
        <v>#N/A</v>
      </c>
      <c r="K24" s="33" t="str">
        <f>_xll.qlSimpleQuote(,,,,EvaluationDate)</f>
        <v>obj_006a0#0002</v>
      </c>
      <c r="L24" s="33">
        <f>_xll.qlSimpleQuoteSetValue(K24,J24)</f>
        <v>0</v>
      </c>
      <c r="M24" s="86" t="e">
        <f>_xll.qlInterpolationInterpolate($M$1,I24,TRUE,ISERROR($L$3:$L$127))</f>
        <v>#NUM!</v>
      </c>
      <c r="N24" s="37" t="e">
        <f>_xll.qlDayCounterYearFraction(DayCounter,E23,E24)</f>
        <v>#NUM!</v>
      </c>
      <c r="O24" s="33" t="e">
        <f t="shared" si="4"/>
        <v>#NUM!</v>
      </c>
      <c r="P24" s="33"/>
    </row>
    <row r="25" spans="1:16" x14ac:dyDescent="0.2">
      <c r="A25" s="30"/>
      <c r="B25" s="150" t="e">
        <v>#N/A</v>
      </c>
      <c r="C25" s="31" t="e">
        <f>_xll.qlRateHelperRate($B25,InterestRatesTrigger)</f>
        <v>#VALUE!</v>
      </c>
      <c r="D25" s="35" t="e">
        <f>_xll.qlRateHelperEarliestDate($B25)</f>
        <v>#VALUE!</v>
      </c>
      <c r="E25" s="36" t="e">
        <f>_xll.qlRateHelperLatestDate($B25)</f>
        <v>#VALUE!</v>
      </c>
      <c r="F25" s="29" t="b">
        <f t="shared" si="0"/>
        <v>0</v>
      </c>
      <c r="G25" s="29" t="b">
        <f t="shared" si="1"/>
        <v>0</v>
      </c>
      <c r="H25" s="29" t="b">
        <f t="shared" si="2"/>
        <v>0</v>
      </c>
      <c r="I25" s="32" t="e">
        <f t="shared" si="3"/>
        <v>#N/A</v>
      </c>
      <c r="J25" s="33" t="e">
        <v>#N/A</v>
      </c>
      <c r="K25" s="33" t="str">
        <f>_xll.qlSimpleQuote(,,,,EvaluationDate)</f>
        <v>obj_006ba#0002</v>
      </c>
      <c r="L25" s="33">
        <f>_xll.qlSimpleQuoteSetValue(K25,J25)</f>
        <v>0</v>
      </c>
      <c r="M25" s="86" t="e">
        <f>_xll.qlInterpolationInterpolate($M$1,I25,TRUE,ISERROR($L$3:$L$127))</f>
        <v>#NUM!</v>
      </c>
      <c r="N25" s="37" t="e">
        <f>_xll.qlDayCounterYearFraction(DayCounter,E24,E25)</f>
        <v>#NUM!</v>
      </c>
      <c r="O25" s="33" t="e">
        <f t="shared" si="4"/>
        <v>#NUM!</v>
      </c>
      <c r="P25" s="33"/>
    </row>
    <row r="26" spans="1:16" x14ac:dyDescent="0.2">
      <c r="A26" s="30"/>
      <c r="B26" s="150" t="e">
        <v>#N/A</v>
      </c>
      <c r="C26" s="31" t="e">
        <f>_xll.qlRateHelperRate($B26,InterestRatesTrigger)</f>
        <v>#VALUE!</v>
      </c>
      <c r="D26" s="35" t="e">
        <f>_xll.qlRateHelperEarliestDate($B26)</f>
        <v>#VALUE!</v>
      </c>
      <c r="E26" s="36" t="e">
        <f>_xll.qlRateHelperLatestDate($B26)</f>
        <v>#VALUE!</v>
      </c>
      <c r="F26" s="29" t="b">
        <f t="shared" si="0"/>
        <v>0</v>
      </c>
      <c r="G26" s="29" t="b">
        <f t="shared" si="1"/>
        <v>0</v>
      </c>
      <c r="H26" s="29" t="b">
        <f t="shared" si="2"/>
        <v>0</v>
      </c>
      <c r="I26" s="32" t="e">
        <f t="shared" si="3"/>
        <v>#N/A</v>
      </c>
      <c r="J26" s="33" t="e">
        <v>#N/A</v>
      </c>
      <c r="K26" s="33" t="str">
        <f>_xll.qlSimpleQuote(,,,,EvaluationDate)</f>
        <v>obj_006bb#0002</v>
      </c>
      <c r="L26" s="33">
        <f>_xll.qlSimpleQuoteSetValue(K26,J26)</f>
        <v>0</v>
      </c>
      <c r="M26" s="86" t="e">
        <f>_xll.qlInterpolationInterpolate($M$1,I26,TRUE,ISERROR($L$3:$L$127))</f>
        <v>#NUM!</v>
      </c>
      <c r="N26" s="37" t="e">
        <f>_xll.qlDayCounterYearFraction(DayCounter,E25,E26)</f>
        <v>#NUM!</v>
      </c>
      <c r="O26" s="33" t="e">
        <f t="shared" si="4"/>
        <v>#NUM!</v>
      </c>
      <c r="P26" s="33"/>
    </row>
    <row r="27" spans="1:16" x14ac:dyDescent="0.2">
      <c r="A27" s="30"/>
      <c r="B27" s="150" t="e">
        <v>#N/A</v>
      </c>
      <c r="C27" s="31" t="e">
        <f>_xll.qlRateHelperRate($B27,InterestRatesTrigger)</f>
        <v>#VALUE!</v>
      </c>
      <c r="D27" s="35" t="e">
        <f>_xll.qlRateHelperEarliestDate($B27)</f>
        <v>#VALUE!</v>
      </c>
      <c r="E27" s="36" t="e">
        <f>_xll.qlRateHelperLatestDate($B27)</f>
        <v>#VALUE!</v>
      </c>
      <c r="F27" s="29" t="b">
        <f t="shared" si="0"/>
        <v>0</v>
      </c>
      <c r="G27" s="29" t="b">
        <f t="shared" si="1"/>
        <v>0</v>
      </c>
      <c r="H27" s="29" t="b">
        <f t="shared" si="2"/>
        <v>0</v>
      </c>
      <c r="I27" s="32" t="e">
        <f t="shared" si="3"/>
        <v>#N/A</v>
      </c>
      <c r="J27" s="33" t="e">
        <v>#N/A</v>
      </c>
      <c r="K27" s="33" t="str">
        <f>_xll.qlSimpleQuote(,,,,EvaluationDate)</f>
        <v>obj_0069e#0002</v>
      </c>
      <c r="L27" s="33">
        <f>_xll.qlSimpleQuoteSetValue(K27,J27)</f>
        <v>0</v>
      </c>
      <c r="M27" s="86" t="e">
        <f>_xll.qlInterpolationInterpolate($M$1,I27,TRUE,ISERROR($L$3:$L$127))</f>
        <v>#NUM!</v>
      </c>
      <c r="N27" s="37" t="e">
        <f>_xll.qlDayCounterYearFraction(DayCounter,E26,E27)</f>
        <v>#NUM!</v>
      </c>
      <c r="O27" s="33" t="e">
        <f t="shared" si="4"/>
        <v>#NUM!</v>
      </c>
      <c r="P27" s="33"/>
    </row>
    <row r="28" spans="1:16" x14ac:dyDescent="0.2">
      <c r="A28" s="30"/>
      <c r="B28" s="150" t="e">
        <v>#N/A</v>
      </c>
      <c r="C28" s="31" t="e">
        <f>_xll.qlRateHelperRate($B28,InterestRatesTrigger)</f>
        <v>#VALUE!</v>
      </c>
      <c r="D28" s="35" t="e">
        <f>_xll.qlRateHelperEarliestDate($B28)</f>
        <v>#VALUE!</v>
      </c>
      <c r="E28" s="36" t="e">
        <f>_xll.qlRateHelperLatestDate($B28)</f>
        <v>#VALUE!</v>
      </c>
      <c r="F28" s="29" t="b">
        <f t="shared" si="0"/>
        <v>0</v>
      </c>
      <c r="G28" s="29" t="b">
        <f t="shared" si="1"/>
        <v>0</v>
      </c>
      <c r="H28" s="29" t="b">
        <f t="shared" si="2"/>
        <v>0</v>
      </c>
      <c r="I28" s="32" t="e">
        <f>IF(ISERROR(E28),NA(),(E28-E27)/2+E27)</f>
        <v>#N/A</v>
      </c>
      <c r="J28" s="33" t="e">
        <v>#N/A</v>
      </c>
      <c r="K28" s="33" t="str">
        <f>_xll.qlSimpleQuote(,,,,EvaluationDate)</f>
        <v>obj_00668#0002</v>
      </c>
      <c r="L28" s="33">
        <f>_xll.qlSimpleQuoteSetValue(K28,J28)</f>
        <v>0</v>
      </c>
      <c r="M28" s="86" t="e">
        <f>_xll.qlInterpolationInterpolate($M$1,I28,TRUE,ISERROR($L$3:$L$127))</f>
        <v>#NUM!</v>
      </c>
      <c r="N28" s="37" t="e">
        <f>_xll.qlDayCounterYearFraction(DayCounter,E27,E28)</f>
        <v>#NUM!</v>
      </c>
      <c r="O28" s="33" t="e">
        <f t="shared" si="4"/>
        <v>#NUM!</v>
      </c>
      <c r="P28" s="33"/>
    </row>
    <row r="29" spans="1:16" x14ac:dyDescent="0.2">
      <c r="A29" s="30"/>
      <c r="B29" s="150" t="e">
        <v>#N/A</v>
      </c>
      <c r="C29" s="31" t="e">
        <f>_xll.qlRateHelperRate($B29,InterestRatesTrigger)</f>
        <v>#VALUE!</v>
      </c>
      <c r="D29" s="35" t="e">
        <f>_xll.qlRateHelperEarliestDate($B29)</f>
        <v>#VALUE!</v>
      </c>
      <c r="E29" s="36" t="e">
        <f>_xll.qlRateHelperLatestDate($B29)</f>
        <v>#VALUE!</v>
      </c>
      <c r="F29" s="29" t="b">
        <f t="shared" si="0"/>
        <v>0</v>
      </c>
      <c r="G29" s="29" t="b">
        <f t="shared" si="1"/>
        <v>0</v>
      </c>
      <c r="H29" s="29" t="b">
        <f t="shared" si="2"/>
        <v>0</v>
      </c>
      <c r="I29" s="32" t="e">
        <f t="shared" ref="I29:I92" si="5">IF(ISERROR(E29),NA(),(E29-E28)/2+E28)</f>
        <v>#N/A</v>
      </c>
      <c r="J29" s="33" t="e">
        <v>#N/A</v>
      </c>
      <c r="K29" s="33" t="str">
        <f>_xll.qlSimpleQuote(,,,,EvaluationDate)</f>
        <v>obj_00651#0002</v>
      </c>
      <c r="L29" s="33">
        <f>_xll.qlSimpleQuoteSetValue(K29,J29)</f>
        <v>0</v>
      </c>
      <c r="M29" s="86" t="e">
        <f>_xll.qlInterpolationInterpolate($M$1,I29,TRUE,ISERROR($L$3:$L$127))</f>
        <v>#NUM!</v>
      </c>
      <c r="N29" s="37" t="e">
        <f>_xll.qlDayCounterYearFraction(DayCounter,E28,E29)</f>
        <v>#NUM!</v>
      </c>
      <c r="O29" s="33" t="e">
        <f t="shared" si="4"/>
        <v>#NUM!</v>
      </c>
      <c r="P29" s="33"/>
    </row>
    <row r="30" spans="1:16" x14ac:dyDescent="0.2">
      <c r="A30" s="30"/>
      <c r="B30" s="150" t="e">
        <v>#N/A</v>
      </c>
      <c r="C30" s="31" t="e">
        <f>_xll.qlRateHelperRate($B30,InterestRatesTrigger)</f>
        <v>#VALUE!</v>
      </c>
      <c r="D30" s="35" t="e">
        <f>_xll.qlRateHelperEarliestDate($B30)</f>
        <v>#VALUE!</v>
      </c>
      <c r="E30" s="36" t="e">
        <f>_xll.qlRateHelperLatestDate($B30)</f>
        <v>#VALUE!</v>
      </c>
      <c r="F30" s="29" t="b">
        <f t="shared" si="0"/>
        <v>0</v>
      </c>
      <c r="G30" s="29" t="b">
        <f t="shared" si="1"/>
        <v>0</v>
      </c>
      <c r="H30" s="29" t="b">
        <f t="shared" si="2"/>
        <v>0</v>
      </c>
      <c r="I30" s="32" t="e">
        <f t="shared" si="5"/>
        <v>#N/A</v>
      </c>
      <c r="J30" s="33" t="e">
        <v>#N/A</v>
      </c>
      <c r="K30" s="33" t="str">
        <f>_xll.qlSimpleQuote(,,,,EvaluationDate)</f>
        <v>obj_006c7#0002</v>
      </c>
      <c r="L30" s="33">
        <f>_xll.qlSimpleQuoteSetValue(K30,J30)</f>
        <v>0</v>
      </c>
      <c r="M30" s="86" t="e">
        <f>_xll.qlInterpolationInterpolate($M$1,I30,TRUE,ISERROR($L$3:$L$127))</f>
        <v>#NUM!</v>
      </c>
      <c r="N30" s="37" t="e">
        <f>_xll.qlDayCounterYearFraction(DayCounter,E29,E30)</f>
        <v>#NUM!</v>
      </c>
      <c r="O30" s="33" t="e">
        <f t="shared" si="4"/>
        <v>#NUM!</v>
      </c>
      <c r="P30" s="33"/>
    </row>
    <row r="31" spans="1:16" x14ac:dyDescent="0.2">
      <c r="A31" s="30">
        <f>1+2</f>
        <v>3</v>
      </c>
      <c r="B31" s="150" t="e">
        <v>#N/A</v>
      </c>
      <c r="C31" s="31" t="e">
        <f>_xll.qlRateHelperRate($B31,InterestRatesTrigger)</f>
        <v>#VALUE!</v>
      </c>
      <c r="D31" s="35" t="e">
        <f>_xll.qlRateHelperEarliestDate($B31)</f>
        <v>#VALUE!</v>
      </c>
      <c r="E31" s="36" t="e">
        <f>_xll.qlRateHelperLatestDate($B31)</f>
        <v>#VALUE!</v>
      </c>
      <c r="F31" s="29" t="b">
        <f t="shared" si="0"/>
        <v>0</v>
      </c>
      <c r="G31" s="29" t="b">
        <f t="shared" si="1"/>
        <v>0</v>
      </c>
      <c r="H31" s="29" t="b">
        <f t="shared" si="2"/>
        <v>0</v>
      </c>
      <c r="I31" s="32" t="e">
        <f t="shared" si="5"/>
        <v>#N/A</v>
      </c>
      <c r="J31" s="33" t="e">
        <v>#N/A</v>
      </c>
      <c r="K31" s="33" t="str">
        <f>_xll.qlSimpleQuote(,,,,EvaluationDate)</f>
        <v>obj_00658#0002</v>
      </c>
      <c r="L31" s="33">
        <f>_xll.qlSimpleQuoteSetValue(K31,J31)</f>
        <v>0</v>
      </c>
      <c r="M31" s="86" t="e">
        <f>_xll.qlInterpolationInterpolate($M$1,I31,TRUE,ISERROR($L$3:$L$127))</f>
        <v>#NUM!</v>
      </c>
      <c r="N31" s="37" t="e">
        <f>_xll.qlDayCounterYearFraction(DayCounter,E30,E31)</f>
        <v>#NUM!</v>
      </c>
      <c r="O31" s="33" t="e">
        <f t="shared" si="4"/>
        <v>#NUM!</v>
      </c>
      <c r="P31" s="33"/>
    </row>
    <row r="32" spans="1:16" x14ac:dyDescent="0.2">
      <c r="A32" s="30"/>
      <c r="B32" s="150" t="e">
        <v>#N/A</v>
      </c>
      <c r="C32" s="31" t="e">
        <f>_xll.qlRateHelperRate($B32,InterestRatesTrigger)</f>
        <v>#VALUE!</v>
      </c>
      <c r="D32" s="35" t="e">
        <f>_xll.qlRateHelperEarliestDate($B32)</f>
        <v>#VALUE!</v>
      </c>
      <c r="E32" s="36" t="e">
        <f>_xll.qlRateHelperLatestDate($B32)</f>
        <v>#VALUE!</v>
      </c>
      <c r="F32" s="29" t="b">
        <f t="shared" si="0"/>
        <v>0</v>
      </c>
      <c r="G32" s="29" t="b">
        <f t="shared" si="1"/>
        <v>0</v>
      </c>
      <c r="H32" s="29" t="b">
        <f t="shared" si="2"/>
        <v>0</v>
      </c>
      <c r="I32" s="32" t="e">
        <f t="shared" si="5"/>
        <v>#N/A</v>
      </c>
      <c r="J32" s="33" t="e">
        <v>#N/A</v>
      </c>
      <c r="K32" s="33" t="str">
        <f>_xll.qlSimpleQuote(,,,,EvaluationDate)</f>
        <v>obj_0067b#0002</v>
      </c>
      <c r="L32" s="33">
        <f>_xll.qlSimpleQuoteSetValue(K32,J32)</f>
        <v>0</v>
      </c>
      <c r="M32" s="86" t="e">
        <f>_xll.qlInterpolationInterpolate($M$1,I32,TRUE,ISERROR($L$3:$L$127))</f>
        <v>#NUM!</v>
      </c>
      <c r="N32" s="37" t="e">
        <f>_xll.qlDayCounterYearFraction(DayCounter,E31,E32)</f>
        <v>#NUM!</v>
      </c>
      <c r="O32" s="33" t="e">
        <f t="shared" si="4"/>
        <v>#NUM!</v>
      </c>
      <c r="P32" s="33"/>
    </row>
    <row r="33" spans="1:16" x14ac:dyDescent="0.2">
      <c r="A33" s="30"/>
      <c r="B33" s="150" t="e">
        <v>#N/A</v>
      </c>
      <c r="C33" s="31" t="e">
        <f>_xll.qlRateHelperRate($B33,InterestRatesTrigger)</f>
        <v>#VALUE!</v>
      </c>
      <c r="D33" s="35" t="e">
        <f>_xll.qlRateHelperEarliestDate($B33)</f>
        <v>#VALUE!</v>
      </c>
      <c r="E33" s="36" t="e">
        <f>_xll.qlRateHelperLatestDate($B33)</f>
        <v>#VALUE!</v>
      </c>
      <c r="F33" s="29" t="b">
        <f t="shared" si="0"/>
        <v>0</v>
      </c>
      <c r="G33" s="29" t="b">
        <f t="shared" si="1"/>
        <v>0</v>
      </c>
      <c r="H33" s="29" t="b">
        <f t="shared" si="2"/>
        <v>0</v>
      </c>
      <c r="I33" s="32" t="e">
        <f t="shared" si="5"/>
        <v>#N/A</v>
      </c>
      <c r="J33" s="33" t="e">
        <v>#N/A</v>
      </c>
      <c r="K33" s="33" t="str">
        <f>_xll.qlSimpleQuote(,,,,EvaluationDate)</f>
        <v>obj_00683#0002</v>
      </c>
      <c r="L33" s="33">
        <f>_xll.qlSimpleQuoteSetValue(K33,J33)</f>
        <v>0</v>
      </c>
      <c r="M33" s="86" t="e">
        <f>_xll.qlInterpolationInterpolate($M$1,I33,TRUE,ISERROR($L$3:$L$127))</f>
        <v>#NUM!</v>
      </c>
      <c r="N33" s="37" t="e">
        <f>_xll.qlDayCounterYearFraction(DayCounter,E32,E33)</f>
        <v>#NUM!</v>
      </c>
      <c r="O33" s="33" t="e">
        <f t="shared" si="4"/>
        <v>#NUM!</v>
      </c>
      <c r="P33" s="33"/>
    </row>
    <row r="34" spans="1:16" x14ac:dyDescent="0.2">
      <c r="A34" s="30"/>
      <c r="B34" s="150" t="e">
        <v>#N/A</v>
      </c>
      <c r="C34" s="31" t="e">
        <f>_xll.qlRateHelperRate($B34,InterestRatesTrigger)</f>
        <v>#VALUE!</v>
      </c>
      <c r="D34" s="35" t="e">
        <f>_xll.qlRateHelperEarliestDate($B34)</f>
        <v>#VALUE!</v>
      </c>
      <c r="E34" s="36" t="e">
        <f>_xll.qlRateHelperLatestDate($B34)</f>
        <v>#VALUE!</v>
      </c>
      <c r="F34" s="29" t="b">
        <f t="shared" si="0"/>
        <v>0</v>
      </c>
      <c r="G34" s="29" t="b">
        <f t="shared" si="1"/>
        <v>0</v>
      </c>
      <c r="H34" s="29" t="b">
        <f t="shared" si="2"/>
        <v>0</v>
      </c>
      <c r="I34" s="32" t="e">
        <f t="shared" si="5"/>
        <v>#N/A</v>
      </c>
      <c r="J34" s="33" t="e">
        <v>#N/A</v>
      </c>
      <c r="K34" s="33" t="str">
        <f>_xll.qlSimpleQuote(,,,,EvaluationDate)</f>
        <v>obj_0066d#0002</v>
      </c>
      <c r="L34" s="33">
        <f>_xll.qlSimpleQuoteSetValue(K34,J34)</f>
        <v>0</v>
      </c>
      <c r="M34" s="86" t="e">
        <f>_xll.qlInterpolationInterpolate($M$1,I34,TRUE,ISERROR($L$3:$L$127))</f>
        <v>#NUM!</v>
      </c>
      <c r="N34" s="37" t="e">
        <f>_xll.qlDayCounterYearFraction(DayCounter,E33,E34)</f>
        <v>#NUM!</v>
      </c>
      <c r="O34" s="33" t="e">
        <f t="shared" si="4"/>
        <v>#NUM!</v>
      </c>
      <c r="P34" s="33"/>
    </row>
    <row r="35" spans="1:16" x14ac:dyDescent="0.2">
      <c r="A35" s="30"/>
      <c r="B35" s="150" t="e">
        <v>#N/A</v>
      </c>
      <c r="C35" s="31" t="e">
        <f>_xll.qlRateHelperRate($B35,InterestRatesTrigger)</f>
        <v>#VALUE!</v>
      </c>
      <c r="D35" s="35" t="e">
        <f>_xll.qlRateHelperEarliestDate($B35)</f>
        <v>#VALUE!</v>
      </c>
      <c r="E35" s="36" t="e">
        <f>_xll.qlRateHelperLatestDate($B35)</f>
        <v>#VALUE!</v>
      </c>
      <c r="F35" s="29" t="b">
        <f t="shared" ref="F35:F66" si="6">IF(ISERROR($E35),FALSE,AND($E34&lt;=LastDayInYear,$E35&gt;LastDayInYear))</f>
        <v>0</v>
      </c>
      <c r="G35" s="29" t="b">
        <f t="shared" ref="G35:G66" si="7">IF(ISERROR($E35),FALSE,AND($E34&lt;=LastDayInNextYear,$E35&gt;LastDayInNextYear))</f>
        <v>0</v>
      </c>
      <c r="H35" s="29" t="b">
        <f t="shared" ref="H35:H66" si="8">IF(ISERROR(E35),FALSE,AND(NOT(F35),NOT(G35)))</f>
        <v>0</v>
      </c>
      <c r="I35" s="32" t="e">
        <f t="shared" si="5"/>
        <v>#N/A</v>
      </c>
      <c r="J35" s="33" t="e">
        <v>#N/A</v>
      </c>
      <c r="K35" s="33" t="str">
        <f>_xll.qlSimpleQuote(,,,,EvaluationDate)</f>
        <v>obj_00676#0002</v>
      </c>
      <c r="L35" s="33">
        <f>_xll.qlSimpleQuoteSetValue(K35,J35)</f>
        <v>0</v>
      </c>
      <c r="M35" s="86" t="e">
        <f>_xll.qlInterpolationInterpolate($M$1,I35,TRUE,ISERROR($L$3:$L$127))</f>
        <v>#NUM!</v>
      </c>
      <c r="N35" s="37" t="e">
        <f>_xll.qlDayCounterYearFraction(DayCounter,E34,E35)</f>
        <v>#NUM!</v>
      </c>
      <c r="O35" s="33" t="e">
        <f t="shared" si="4"/>
        <v>#NUM!</v>
      </c>
      <c r="P35" s="33"/>
    </row>
    <row r="36" spans="1:16" x14ac:dyDescent="0.2">
      <c r="A36" s="30"/>
      <c r="B36" s="150" t="e">
        <v>#N/A</v>
      </c>
      <c r="C36" s="31" t="e">
        <f>_xll.qlRateHelperRate($B36,InterestRatesTrigger)</f>
        <v>#VALUE!</v>
      </c>
      <c r="D36" s="35" t="e">
        <f>_xll.qlRateHelperEarliestDate($B36)</f>
        <v>#VALUE!</v>
      </c>
      <c r="E36" s="36" t="e">
        <f>_xll.qlRateHelperLatestDate($B36)</f>
        <v>#VALUE!</v>
      </c>
      <c r="F36" s="29" t="b">
        <f t="shared" si="6"/>
        <v>0</v>
      </c>
      <c r="G36" s="29" t="b">
        <f t="shared" si="7"/>
        <v>0</v>
      </c>
      <c r="H36" s="29" t="b">
        <f t="shared" si="8"/>
        <v>0</v>
      </c>
      <c r="I36" s="32" t="e">
        <f t="shared" si="5"/>
        <v>#N/A</v>
      </c>
      <c r="J36" s="33" t="e">
        <v>#N/A</v>
      </c>
      <c r="K36" s="33" t="str">
        <f>_xll.qlSimpleQuote(,,,,EvaluationDate)</f>
        <v>obj_006a1#0002</v>
      </c>
      <c r="L36" s="33">
        <f>_xll.qlSimpleQuoteSetValue(K36,J36)</f>
        <v>0</v>
      </c>
      <c r="M36" s="86" t="e">
        <f>_xll.qlInterpolationInterpolate($M$1,I36,TRUE,ISERROR($L$3:$L$127))</f>
        <v>#NUM!</v>
      </c>
      <c r="N36" s="37" t="e">
        <f>_xll.qlDayCounterYearFraction(DayCounter,E35,E36)</f>
        <v>#NUM!</v>
      </c>
      <c r="O36" s="33" t="e">
        <f t="shared" si="4"/>
        <v>#NUM!</v>
      </c>
      <c r="P36" s="33"/>
    </row>
    <row r="37" spans="1:16" x14ac:dyDescent="0.2">
      <c r="A37" s="30"/>
      <c r="B37" s="150" t="e">
        <v>#N/A</v>
      </c>
      <c r="C37" s="31" t="e">
        <f>_xll.qlRateHelperRate($B37,InterestRatesTrigger)</f>
        <v>#VALUE!</v>
      </c>
      <c r="D37" s="35" t="e">
        <f>_xll.qlRateHelperEarliestDate($B37)</f>
        <v>#VALUE!</v>
      </c>
      <c r="E37" s="36" t="e">
        <f>_xll.qlRateHelperLatestDate($B37)</f>
        <v>#VALUE!</v>
      </c>
      <c r="F37" s="29" t="b">
        <f t="shared" si="6"/>
        <v>0</v>
      </c>
      <c r="G37" s="29" t="b">
        <f t="shared" si="7"/>
        <v>0</v>
      </c>
      <c r="H37" s="29" t="b">
        <f t="shared" si="8"/>
        <v>0</v>
      </c>
      <c r="I37" s="32" t="e">
        <f t="shared" si="5"/>
        <v>#N/A</v>
      </c>
      <c r="J37" s="33" t="e">
        <v>#N/A</v>
      </c>
      <c r="K37" s="33" t="str">
        <f>_xll.qlSimpleQuote(,,,,EvaluationDate)</f>
        <v>obj_00679#0002</v>
      </c>
      <c r="L37" s="33">
        <f>_xll.qlSimpleQuoteSetValue(K37,J37)</f>
        <v>0</v>
      </c>
      <c r="M37" s="86" t="e">
        <f>_xll.qlInterpolationInterpolate($M$1,I37,TRUE,ISERROR($L$3:$L$127))</f>
        <v>#NUM!</v>
      </c>
      <c r="N37" s="37" t="e">
        <f>_xll.qlDayCounterYearFraction(DayCounter,E36,E37)</f>
        <v>#NUM!</v>
      </c>
      <c r="O37" s="33" t="e">
        <f t="shared" si="4"/>
        <v>#NUM!</v>
      </c>
      <c r="P37" s="33"/>
    </row>
    <row r="38" spans="1:16" x14ac:dyDescent="0.2">
      <c r="A38" s="30"/>
      <c r="B38" s="150" t="e">
        <v>#N/A</v>
      </c>
      <c r="C38" s="31" t="e">
        <f>_xll.qlRateHelperRate($B38,InterestRatesTrigger)</f>
        <v>#VALUE!</v>
      </c>
      <c r="D38" s="35" t="e">
        <f>_xll.qlRateHelperEarliestDate($B38)</f>
        <v>#VALUE!</v>
      </c>
      <c r="E38" s="36" t="e">
        <f>_xll.qlRateHelperLatestDate($B38)</f>
        <v>#VALUE!</v>
      </c>
      <c r="F38" s="29" t="b">
        <f t="shared" si="6"/>
        <v>0</v>
      </c>
      <c r="G38" s="29" t="b">
        <f t="shared" si="7"/>
        <v>0</v>
      </c>
      <c r="H38" s="29" t="b">
        <f t="shared" si="8"/>
        <v>0</v>
      </c>
      <c r="I38" s="32" t="e">
        <f t="shared" si="5"/>
        <v>#N/A</v>
      </c>
      <c r="J38" s="33" t="e">
        <v>#N/A</v>
      </c>
      <c r="K38" s="33" t="str">
        <f>_xll.qlSimpleQuote(,,,,EvaluationDate)</f>
        <v>obj_00639#0002</v>
      </c>
      <c r="L38" s="33">
        <f>_xll.qlSimpleQuoteSetValue(K38,J38)</f>
        <v>0</v>
      </c>
      <c r="M38" s="86" t="e">
        <f>_xll.qlInterpolationInterpolate($M$1,I38,TRUE,ISERROR($L$3:$L$127))</f>
        <v>#NUM!</v>
      </c>
      <c r="N38" s="37" t="e">
        <f>_xll.qlDayCounterYearFraction(DayCounter,E37,E38)</f>
        <v>#NUM!</v>
      </c>
      <c r="O38" s="33" t="e">
        <f t="shared" si="4"/>
        <v>#NUM!</v>
      </c>
      <c r="P38" s="33"/>
    </row>
    <row r="39" spans="1:16" x14ac:dyDescent="0.2">
      <c r="A39" s="30"/>
      <c r="B39" s="150" t="e">
        <v>#N/A</v>
      </c>
      <c r="C39" s="31" t="e">
        <f>_xll.qlRateHelperRate($B39,InterestRatesTrigger)</f>
        <v>#VALUE!</v>
      </c>
      <c r="D39" s="35" t="e">
        <f>_xll.qlRateHelperEarliestDate($B39)</f>
        <v>#VALUE!</v>
      </c>
      <c r="E39" s="36" t="e">
        <f>_xll.qlRateHelperLatestDate($B39)</f>
        <v>#VALUE!</v>
      </c>
      <c r="F39" s="29" t="b">
        <f t="shared" si="6"/>
        <v>0</v>
      </c>
      <c r="G39" s="29" t="b">
        <f t="shared" si="7"/>
        <v>0</v>
      </c>
      <c r="H39" s="29" t="b">
        <f t="shared" si="8"/>
        <v>0</v>
      </c>
      <c r="I39" s="32" t="e">
        <f t="shared" si="5"/>
        <v>#N/A</v>
      </c>
      <c r="J39" s="33" t="e">
        <v>#N/A</v>
      </c>
      <c r="K39" s="33" t="str">
        <f>_xll.qlSimpleQuote(,,,,EvaluationDate)</f>
        <v>obj_006c0#0002</v>
      </c>
      <c r="L39" s="33">
        <f>_xll.qlSimpleQuoteSetValue(K39,J39)</f>
        <v>0</v>
      </c>
      <c r="M39" s="86" t="e">
        <f>_xll.qlInterpolationInterpolate($M$1,I39,TRUE,ISERROR($L$3:$L$127))</f>
        <v>#NUM!</v>
      </c>
      <c r="N39" s="37" t="e">
        <f>_xll.qlDayCounterYearFraction(DayCounter,E38,E39)</f>
        <v>#NUM!</v>
      </c>
      <c r="O39" s="33" t="e">
        <f t="shared" si="4"/>
        <v>#NUM!</v>
      </c>
      <c r="P39" s="33"/>
    </row>
    <row r="40" spans="1:16" x14ac:dyDescent="0.2">
      <c r="A40" s="30"/>
      <c r="B40" s="150" t="e">
        <v>#N/A</v>
      </c>
      <c r="C40" s="31" t="e">
        <f>_xll.qlRateHelperRate($B40,InterestRatesTrigger)</f>
        <v>#VALUE!</v>
      </c>
      <c r="D40" s="35" t="e">
        <f>_xll.qlRateHelperEarliestDate($B40)</f>
        <v>#VALUE!</v>
      </c>
      <c r="E40" s="36" t="e">
        <f>_xll.qlRateHelperLatestDate($B40)</f>
        <v>#VALUE!</v>
      </c>
      <c r="F40" s="29" t="b">
        <f t="shared" si="6"/>
        <v>0</v>
      </c>
      <c r="G40" s="29" t="b">
        <f t="shared" si="7"/>
        <v>0</v>
      </c>
      <c r="H40" s="29" t="b">
        <f t="shared" si="8"/>
        <v>0</v>
      </c>
      <c r="I40" s="32" t="e">
        <f t="shared" si="5"/>
        <v>#N/A</v>
      </c>
      <c r="J40" s="33" t="e">
        <v>#N/A</v>
      </c>
      <c r="K40" s="33" t="str">
        <f>_xll.qlSimpleQuote(,,,,EvaluationDate)</f>
        <v>obj_0063a#0002</v>
      </c>
      <c r="L40" s="33">
        <f>_xll.qlSimpleQuoteSetValue(K40,J40)</f>
        <v>0</v>
      </c>
      <c r="M40" s="86" t="e">
        <f>_xll.qlInterpolationInterpolate($M$1,I40,TRUE,ISERROR($L$3:$L$127))</f>
        <v>#NUM!</v>
      </c>
      <c r="N40" s="37" t="e">
        <f>_xll.qlDayCounterYearFraction(DayCounter,E39,E40)</f>
        <v>#NUM!</v>
      </c>
      <c r="O40" s="33" t="e">
        <f t="shared" si="4"/>
        <v>#NUM!</v>
      </c>
      <c r="P40" s="33"/>
    </row>
    <row r="41" spans="1:16" x14ac:dyDescent="0.2">
      <c r="A41" s="30"/>
      <c r="B41" s="150" t="e">
        <v>#N/A</v>
      </c>
      <c r="C41" s="31" t="e">
        <f>_xll.qlRateHelperRate($B41,InterestRatesTrigger)</f>
        <v>#VALUE!</v>
      </c>
      <c r="D41" s="35" t="e">
        <f>_xll.qlRateHelperEarliestDate($B41)</f>
        <v>#VALUE!</v>
      </c>
      <c r="E41" s="36" t="e">
        <f>_xll.qlRateHelperLatestDate($B41)</f>
        <v>#VALUE!</v>
      </c>
      <c r="F41" s="29" t="b">
        <f t="shared" si="6"/>
        <v>0</v>
      </c>
      <c r="G41" s="29" t="b">
        <f t="shared" si="7"/>
        <v>0</v>
      </c>
      <c r="H41" s="29" t="b">
        <f t="shared" si="8"/>
        <v>0</v>
      </c>
      <c r="I41" s="32" t="e">
        <f t="shared" si="5"/>
        <v>#N/A</v>
      </c>
      <c r="J41" s="33" t="e">
        <v>#N/A</v>
      </c>
      <c r="K41" s="33" t="str">
        <f>_xll.qlSimpleQuote(,,,,EvaluationDate)</f>
        <v>obj_0067f#0002</v>
      </c>
      <c r="L41" s="33">
        <f>_xll.qlSimpleQuoteSetValue(K41,J41)</f>
        <v>0</v>
      </c>
      <c r="M41" s="86" t="e">
        <f>_xll.qlInterpolationInterpolate($M$1,I41,TRUE,ISERROR($L$3:$L$127))</f>
        <v>#NUM!</v>
      </c>
      <c r="N41" s="37" t="e">
        <f>_xll.qlDayCounterYearFraction(DayCounter,E40,E41)</f>
        <v>#NUM!</v>
      </c>
      <c r="O41" s="33" t="e">
        <f t="shared" si="4"/>
        <v>#NUM!</v>
      </c>
      <c r="P41" s="33"/>
    </row>
    <row r="42" spans="1:16" x14ac:dyDescent="0.2">
      <c r="A42" s="30"/>
      <c r="B42" s="150" t="e">
        <v>#N/A</v>
      </c>
      <c r="C42" s="31" t="e">
        <f>_xll.qlRateHelperRate($B42,InterestRatesTrigger)</f>
        <v>#VALUE!</v>
      </c>
      <c r="D42" s="35" t="e">
        <f>_xll.qlRateHelperEarliestDate($B42)</f>
        <v>#VALUE!</v>
      </c>
      <c r="E42" s="36" t="e">
        <f>_xll.qlRateHelperLatestDate($B42)</f>
        <v>#VALUE!</v>
      </c>
      <c r="F42" s="29" t="b">
        <f t="shared" si="6"/>
        <v>0</v>
      </c>
      <c r="G42" s="29" t="b">
        <f t="shared" si="7"/>
        <v>0</v>
      </c>
      <c r="H42" s="29" t="b">
        <f t="shared" si="8"/>
        <v>0</v>
      </c>
      <c r="I42" s="32" t="e">
        <f t="shared" si="5"/>
        <v>#N/A</v>
      </c>
      <c r="J42" s="33" t="e">
        <v>#N/A</v>
      </c>
      <c r="K42" s="33" t="str">
        <f>_xll.qlSimpleQuote(,,,,EvaluationDate)</f>
        <v>obj_006bc#0002</v>
      </c>
      <c r="L42" s="33">
        <f>_xll.qlSimpleQuoteSetValue(K42,J42)</f>
        <v>0</v>
      </c>
      <c r="M42" s="86" t="e">
        <f>_xll.qlInterpolationInterpolate($M$1,I42,TRUE,ISERROR($L$3:$L$127))</f>
        <v>#NUM!</v>
      </c>
      <c r="N42" s="37" t="e">
        <f>_xll.qlDayCounterYearFraction(DayCounter,E41,E42)</f>
        <v>#NUM!</v>
      </c>
      <c r="O42" s="33" t="e">
        <f t="shared" si="4"/>
        <v>#NUM!</v>
      </c>
      <c r="P42" s="33"/>
    </row>
    <row r="43" spans="1:16" x14ac:dyDescent="0.2">
      <c r="A43" s="30"/>
      <c r="B43" s="150" t="e">
        <v>#N/A</v>
      </c>
      <c r="C43" s="31" t="e">
        <f>_xll.qlRateHelperRate($B43,InterestRatesTrigger)</f>
        <v>#VALUE!</v>
      </c>
      <c r="D43" s="35" t="e">
        <f>_xll.qlRateHelperEarliestDate($B43)</f>
        <v>#VALUE!</v>
      </c>
      <c r="E43" s="36" t="e">
        <f>_xll.qlRateHelperLatestDate($B43)</f>
        <v>#VALUE!</v>
      </c>
      <c r="F43" s="29" t="b">
        <f t="shared" si="6"/>
        <v>0</v>
      </c>
      <c r="G43" s="29" t="b">
        <f t="shared" si="7"/>
        <v>0</v>
      </c>
      <c r="H43" s="29" t="b">
        <f t="shared" si="8"/>
        <v>0</v>
      </c>
      <c r="I43" s="32" t="e">
        <f t="shared" si="5"/>
        <v>#N/A</v>
      </c>
      <c r="J43" s="33" t="e">
        <v>#N/A</v>
      </c>
      <c r="K43" s="33" t="str">
        <f>_xll.qlSimpleQuote(,,,,EvaluationDate)</f>
        <v>obj_00657#0002</v>
      </c>
      <c r="L43" s="33">
        <f>_xll.qlSimpleQuoteSetValue(K43,J43)</f>
        <v>0</v>
      </c>
      <c r="M43" s="86" t="e">
        <f>_xll.qlInterpolationInterpolate($M$1,I43,TRUE,ISERROR($L$3:$L$127))</f>
        <v>#NUM!</v>
      </c>
      <c r="N43" s="37" t="e">
        <f>_xll.qlDayCounterYearFraction(DayCounter,E42,E43)</f>
        <v>#NUM!</v>
      </c>
      <c r="O43" s="33" t="e">
        <f t="shared" si="4"/>
        <v>#NUM!</v>
      </c>
      <c r="P43" s="33"/>
    </row>
    <row r="44" spans="1:16" x14ac:dyDescent="0.2">
      <c r="A44" s="30"/>
      <c r="B44" s="150" t="e">
        <v>#N/A</v>
      </c>
      <c r="C44" s="31" t="e">
        <f>_xll.qlRateHelperRate($B44,InterestRatesTrigger)</f>
        <v>#VALUE!</v>
      </c>
      <c r="D44" s="35" t="e">
        <f>_xll.qlRateHelperEarliestDate($B44)</f>
        <v>#VALUE!</v>
      </c>
      <c r="E44" s="36" t="e">
        <f>_xll.qlRateHelperLatestDate($B44)</f>
        <v>#VALUE!</v>
      </c>
      <c r="F44" s="29" t="b">
        <f t="shared" si="6"/>
        <v>0</v>
      </c>
      <c r="G44" s="29" t="b">
        <f t="shared" si="7"/>
        <v>0</v>
      </c>
      <c r="H44" s="29" t="b">
        <f t="shared" si="8"/>
        <v>0</v>
      </c>
      <c r="I44" s="32" t="e">
        <f t="shared" si="5"/>
        <v>#N/A</v>
      </c>
      <c r="J44" s="33" t="e">
        <v>#N/A</v>
      </c>
      <c r="K44" s="33" t="str">
        <f>_xll.qlSimpleQuote(,,,,EvaluationDate)</f>
        <v>obj_00694#0002</v>
      </c>
      <c r="L44" s="33">
        <f>_xll.qlSimpleQuoteSetValue(K44,J44)</f>
        <v>0</v>
      </c>
      <c r="M44" s="86" t="e">
        <f>_xll.qlInterpolationInterpolate($M$1,I44,TRUE,ISERROR($L$3:$L$127))</f>
        <v>#NUM!</v>
      </c>
      <c r="N44" s="37" t="e">
        <f>_xll.qlDayCounterYearFraction(DayCounter,E43,E44)</f>
        <v>#NUM!</v>
      </c>
      <c r="O44" s="33" t="e">
        <f t="shared" si="4"/>
        <v>#NUM!</v>
      </c>
      <c r="P44" s="33"/>
    </row>
    <row r="45" spans="1:16" x14ac:dyDescent="0.2">
      <c r="A45" s="30"/>
      <c r="B45" s="150" t="e">
        <v>#N/A</v>
      </c>
      <c r="C45" s="31" t="e">
        <f>_xll.qlRateHelperRate($B45,InterestRatesTrigger)</f>
        <v>#VALUE!</v>
      </c>
      <c r="D45" s="35" t="e">
        <f>_xll.qlRateHelperEarliestDate($B45)</f>
        <v>#VALUE!</v>
      </c>
      <c r="E45" s="36" t="e">
        <f>_xll.qlRateHelperLatestDate($B45)</f>
        <v>#VALUE!</v>
      </c>
      <c r="F45" s="29" t="b">
        <f t="shared" si="6"/>
        <v>0</v>
      </c>
      <c r="G45" s="29" t="b">
        <f t="shared" si="7"/>
        <v>0</v>
      </c>
      <c r="H45" s="29" t="b">
        <f t="shared" si="8"/>
        <v>0</v>
      </c>
      <c r="I45" s="32" t="e">
        <f t="shared" si="5"/>
        <v>#N/A</v>
      </c>
      <c r="J45" s="33" t="e">
        <v>#N/A</v>
      </c>
      <c r="K45" s="33" t="str">
        <f>_xll.qlSimpleQuote(,,,,EvaluationDate)</f>
        <v>obj_00652#0002</v>
      </c>
      <c r="L45" s="33">
        <f>_xll.qlSimpleQuoteSetValue(K45,J45)</f>
        <v>0</v>
      </c>
      <c r="M45" s="86" t="e">
        <f>_xll.qlInterpolationInterpolate($M$1,I45,TRUE,ISERROR($L$3:$L$127))</f>
        <v>#NUM!</v>
      </c>
      <c r="N45" s="37" t="e">
        <f>_xll.qlDayCounterYearFraction(DayCounter,E44,E45)</f>
        <v>#NUM!</v>
      </c>
      <c r="O45" s="33" t="e">
        <f t="shared" si="4"/>
        <v>#NUM!</v>
      </c>
      <c r="P45" s="33"/>
    </row>
    <row r="46" spans="1:16" x14ac:dyDescent="0.2">
      <c r="A46" s="30"/>
      <c r="B46" s="150" t="e">
        <v>#N/A</v>
      </c>
      <c r="C46" s="31" t="e">
        <f>_xll.qlRateHelperRate($B46,InterestRatesTrigger)</f>
        <v>#VALUE!</v>
      </c>
      <c r="D46" s="35" t="e">
        <f>_xll.qlRateHelperEarliestDate($B46)</f>
        <v>#VALUE!</v>
      </c>
      <c r="E46" s="36" t="e">
        <f>_xll.qlRateHelperLatestDate($B46)</f>
        <v>#VALUE!</v>
      </c>
      <c r="F46" s="29" t="b">
        <f t="shared" si="6"/>
        <v>0</v>
      </c>
      <c r="G46" s="29" t="b">
        <f t="shared" si="7"/>
        <v>0</v>
      </c>
      <c r="H46" s="29" t="b">
        <f t="shared" si="8"/>
        <v>0</v>
      </c>
      <c r="I46" s="32" t="e">
        <f t="shared" si="5"/>
        <v>#N/A</v>
      </c>
      <c r="J46" s="33" t="e">
        <v>#N/A</v>
      </c>
      <c r="K46" s="33" t="str">
        <f>_xll.qlSimpleQuote(,,,,EvaluationDate)</f>
        <v>obj_0068e#0002</v>
      </c>
      <c r="L46" s="33">
        <f>_xll.qlSimpleQuoteSetValue(K46,J46)</f>
        <v>0</v>
      </c>
      <c r="M46" s="86" t="e">
        <f>_xll.qlInterpolationInterpolate($M$1,I46,TRUE,ISERROR($L$3:$L$127))</f>
        <v>#NUM!</v>
      </c>
      <c r="N46" s="37" t="e">
        <f>_xll.qlDayCounterYearFraction(DayCounter,E45,E46)</f>
        <v>#NUM!</v>
      </c>
      <c r="O46" s="33" t="e">
        <f t="shared" si="4"/>
        <v>#NUM!</v>
      </c>
      <c r="P46" s="33"/>
    </row>
    <row r="47" spans="1:16" x14ac:dyDescent="0.2">
      <c r="A47" s="30"/>
      <c r="B47" s="150" t="e">
        <v>#N/A</v>
      </c>
      <c r="C47" s="31" t="e">
        <f>_xll.qlRateHelperRate($B47,InterestRatesTrigger)</f>
        <v>#VALUE!</v>
      </c>
      <c r="D47" s="35" t="e">
        <f>_xll.qlRateHelperEarliestDate($B47)</f>
        <v>#VALUE!</v>
      </c>
      <c r="E47" s="36" t="e">
        <f>_xll.qlRateHelperLatestDate($B47)</f>
        <v>#VALUE!</v>
      </c>
      <c r="F47" s="29" t="b">
        <f t="shared" si="6"/>
        <v>0</v>
      </c>
      <c r="G47" s="29" t="b">
        <f t="shared" si="7"/>
        <v>0</v>
      </c>
      <c r="H47" s="29" t="b">
        <f t="shared" si="8"/>
        <v>0</v>
      </c>
      <c r="I47" s="32" t="e">
        <f t="shared" si="5"/>
        <v>#N/A</v>
      </c>
      <c r="J47" s="33" t="e">
        <v>#N/A</v>
      </c>
      <c r="K47" s="33" t="str">
        <f>_xll.qlSimpleQuote(,,,,EvaluationDate)</f>
        <v>obj_00689#0002</v>
      </c>
      <c r="L47" s="33">
        <f>_xll.qlSimpleQuoteSetValue(K47,J47)</f>
        <v>0</v>
      </c>
      <c r="M47" s="86" t="e">
        <f>_xll.qlInterpolationInterpolate($M$1,I47,TRUE,ISERROR($L$3:$L$127))</f>
        <v>#NUM!</v>
      </c>
      <c r="N47" s="37" t="e">
        <f>_xll.qlDayCounterYearFraction(DayCounter,E46,E47)</f>
        <v>#NUM!</v>
      </c>
      <c r="O47" s="33" t="e">
        <f t="shared" si="4"/>
        <v>#NUM!</v>
      </c>
      <c r="P47" s="33"/>
    </row>
    <row r="48" spans="1:16" x14ac:dyDescent="0.2">
      <c r="A48" s="30"/>
      <c r="B48" s="150" t="e">
        <v>#N/A</v>
      </c>
      <c r="C48" s="31" t="e">
        <f>_xll.qlRateHelperRate($B48,InterestRatesTrigger)</f>
        <v>#VALUE!</v>
      </c>
      <c r="D48" s="35" t="e">
        <f>_xll.qlRateHelperEarliestDate($B48)</f>
        <v>#VALUE!</v>
      </c>
      <c r="E48" s="36" t="e">
        <f>_xll.qlRateHelperLatestDate($B48)</f>
        <v>#VALUE!</v>
      </c>
      <c r="F48" s="29" t="b">
        <f t="shared" si="6"/>
        <v>0</v>
      </c>
      <c r="G48" s="29" t="b">
        <f t="shared" si="7"/>
        <v>0</v>
      </c>
      <c r="H48" s="29" t="b">
        <f t="shared" si="8"/>
        <v>0</v>
      </c>
      <c r="I48" s="32" t="e">
        <f t="shared" si="5"/>
        <v>#N/A</v>
      </c>
      <c r="J48" s="33" t="e">
        <v>#N/A</v>
      </c>
      <c r="K48" s="33" t="str">
        <f>_xll.qlSimpleQuote(,,,,EvaluationDate)</f>
        <v>obj_0065d#0002</v>
      </c>
      <c r="L48" s="33">
        <f>_xll.qlSimpleQuoteSetValue(K48,J48)</f>
        <v>0</v>
      </c>
      <c r="M48" s="86" t="e">
        <f>_xll.qlInterpolationInterpolate($M$1,I48,TRUE,ISERROR($L$3:$L$127))</f>
        <v>#NUM!</v>
      </c>
      <c r="N48" s="37" t="e">
        <f>_xll.qlDayCounterYearFraction(DayCounter,E47,E48)</f>
        <v>#NUM!</v>
      </c>
      <c r="O48" s="33" t="e">
        <f t="shared" si="4"/>
        <v>#NUM!</v>
      </c>
      <c r="P48" s="33"/>
    </row>
    <row r="49" spans="1:16" x14ac:dyDescent="0.2">
      <c r="A49" s="30"/>
      <c r="B49" s="150" t="e">
        <v>#N/A</v>
      </c>
      <c r="C49" s="31" t="e">
        <f>_xll.qlRateHelperRate($B49,InterestRatesTrigger)</f>
        <v>#VALUE!</v>
      </c>
      <c r="D49" s="35" t="e">
        <f>_xll.qlRateHelperEarliestDate($B49)</f>
        <v>#VALUE!</v>
      </c>
      <c r="E49" s="36" t="e">
        <f>_xll.qlRateHelperLatestDate($B49)</f>
        <v>#VALUE!</v>
      </c>
      <c r="F49" s="29" t="b">
        <f t="shared" si="6"/>
        <v>0</v>
      </c>
      <c r="G49" s="29" t="b">
        <f t="shared" si="7"/>
        <v>0</v>
      </c>
      <c r="H49" s="29" t="b">
        <f t="shared" si="8"/>
        <v>0</v>
      </c>
      <c r="I49" s="32" t="e">
        <f t="shared" si="5"/>
        <v>#N/A</v>
      </c>
      <c r="J49" s="33" t="e">
        <v>#N/A</v>
      </c>
      <c r="K49" s="33" t="str">
        <f>_xll.qlSimpleQuote(,,,,EvaluationDate)</f>
        <v>obj_00655#0002</v>
      </c>
      <c r="L49" s="33">
        <f>_xll.qlSimpleQuoteSetValue(K49,J49)</f>
        <v>0</v>
      </c>
      <c r="M49" s="86" t="e">
        <f>_xll.qlInterpolationInterpolate($M$1,I49,TRUE,ISERROR($L$3:$L$127))</f>
        <v>#NUM!</v>
      </c>
      <c r="N49" s="37" t="e">
        <f>_xll.qlDayCounterYearFraction(DayCounter,E48,E49)</f>
        <v>#NUM!</v>
      </c>
      <c r="O49" s="33" t="e">
        <f t="shared" si="4"/>
        <v>#NUM!</v>
      </c>
      <c r="P49" s="33"/>
    </row>
    <row r="50" spans="1:16" x14ac:dyDescent="0.2">
      <c r="A50" s="30"/>
      <c r="B50" s="150" t="e">
        <v>#N/A</v>
      </c>
      <c r="C50" s="31" t="e">
        <f>_xll.qlRateHelperRate($B50,InterestRatesTrigger)</f>
        <v>#VALUE!</v>
      </c>
      <c r="D50" s="35" t="e">
        <f>_xll.qlRateHelperEarliestDate($B50)</f>
        <v>#VALUE!</v>
      </c>
      <c r="E50" s="36" t="e">
        <f>_xll.qlRateHelperLatestDate($B50)</f>
        <v>#VALUE!</v>
      </c>
      <c r="F50" s="29" t="b">
        <f t="shared" si="6"/>
        <v>0</v>
      </c>
      <c r="G50" s="29" t="b">
        <f t="shared" si="7"/>
        <v>0</v>
      </c>
      <c r="H50" s="29" t="b">
        <f t="shared" si="8"/>
        <v>0</v>
      </c>
      <c r="I50" s="32" t="e">
        <f t="shared" si="5"/>
        <v>#N/A</v>
      </c>
      <c r="J50" s="33" t="e">
        <v>#N/A</v>
      </c>
      <c r="K50" s="33" t="str">
        <f>_xll.qlSimpleQuote(,,,,EvaluationDate)</f>
        <v>obj_00642#0002</v>
      </c>
      <c r="L50" s="33">
        <f>_xll.qlSimpleQuoteSetValue(K50,J50)</f>
        <v>0</v>
      </c>
      <c r="M50" s="86" t="e">
        <f>_xll.qlInterpolationInterpolate($M$1,I50,TRUE,ISERROR($L$3:$L$127))</f>
        <v>#NUM!</v>
      </c>
      <c r="N50" s="37" t="e">
        <f>_xll.qlDayCounterYearFraction(DayCounter,E49,E50)</f>
        <v>#NUM!</v>
      </c>
      <c r="O50" s="33" t="e">
        <f t="shared" si="4"/>
        <v>#NUM!</v>
      </c>
      <c r="P50" s="33"/>
    </row>
    <row r="51" spans="1:16" x14ac:dyDescent="0.2">
      <c r="A51" s="30"/>
      <c r="B51" s="150" t="e">
        <v>#N/A</v>
      </c>
      <c r="C51" s="31" t="e">
        <f>_xll.qlRateHelperRate($B51,InterestRatesTrigger)</f>
        <v>#VALUE!</v>
      </c>
      <c r="D51" s="35" t="e">
        <f>_xll.qlRateHelperEarliestDate($B51)</f>
        <v>#VALUE!</v>
      </c>
      <c r="E51" s="36" t="e">
        <f>_xll.qlRateHelperLatestDate($B51)</f>
        <v>#VALUE!</v>
      </c>
      <c r="F51" s="29" t="b">
        <f t="shared" si="6"/>
        <v>0</v>
      </c>
      <c r="G51" s="29" t="b">
        <f t="shared" si="7"/>
        <v>0</v>
      </c>
      <c r="H51" s="29" t="b">
        <f t="shared" si="8"/>
        <v>0</v>
      </c>
      <c r="I51" s="32" t="e">
        <f t="shared" si="5"/>
        <v>#N/A</v>
      </c>
      <c r="J51" s="33" t="e">
        <v>#N/A</v>
      </c>
      <c r="K51" s="33" t="str">
        <f>_xll.qlSimpleQuote(,,,,EvaluationDate)</f>
        <v>obj_00650#0002</v>
      </c>
      <c r="L51" s="33">
        <f>_xll.qlSimpleQuoteSetValue(K51,J51)</f>
        <v>0</v>
      </c>
      <c r="M51" s="86" t="e">
        <f>_xll.qlInterpolationInterpolate($M$1,I51,TRUE,ISERROR($L$3:$L$127))</f>
        <v>#NUM!</v>
      </c>
      <c r="N51" s="37" t="e">
        <f>_xll.qlDayCounterYearFraction(DayCounter,E50,E51)</f>
        <v>#NUM!</v>
      </c>
      <c r="O51" s="33" t="e">
        <f t="shared" si="4"/>
        <v>#NUM!</v>
      </c>
      <c r="P51" s="33"/>
    </row>
    <row r="52" spans="1:16" x14ac:dyDescent="0.2">
      <c r="A52" s="30"/>
      <c r="B52" s="150" t="e">
        <v>#N/A</v>
      </c>
      <c r="C52" s="31" t="e">
        <f>_xll.qlRateHelperRate($B52,InterestRatesTrigger)</f>
        <v>#VALUE!</v>
      </c>
      <c r="D52" s="35" t="e">
        <f>_xll.qlRateHelperEarliestDate($B52)</f>
        <v>#VALUE!</v>
      </c>
      <c r="E52" s="36" t="e">
        <f>_xll.qlRateHelperLatestDate($B52)</f>
        <v>#VALUE!</v>
      </c>
      <c r="F52" s="29" t="b">
        <f t="shared" si="6"/>
        <v>0</v>
      </c>
      <c r="G52" s="29" t="b">
        <f t="shared" si="7"/>
        <v>0</v>
      </c>
      <c r="H52" s="29" t="b">
        <f t="shared" si="8"/>
        <v>0</v>
      </c>
      <c r="I52" s="32" t="e">
        <f t="shared" si="5"/>
        <v>#N/A</v>
      </c>
      <c r="J52" s="33" t="e">
        <v>#N/A</v>
      </c>
      <c r="K52" s="33" t="str">
        <f>_xll.qlSimpleQuote(,,,,EvaluationDate)</f>
        <v>obj_00646#0002</v>
      </c>
      <c r="L52" s="33">
        <f>_xll.qlSimpleQuoteSetValue(K52,J52)</f>
        <v>0</v>
      </c>
      <c r="M52" s="86" t="e">
        <f>_xll.qlInterpolationInterpolate($M$1,I52,TRUE,ISERROR($L$3:$L$127))</f>
        <v>#NUM!</v>
      </c>
      <c r="N52" s="37" t="e">
        <f>_xll.qlDayCounterYearFraction(DayCounter,E51,E52)</f>
        <v>#NUM!</v>
      </c>
      <c r="O52" s="33" t="e">
        <f t="shared" si="4"/>
        <v>#NUM!</v>
      </c>
      <c r="P52" s="33"/>
    </row>
    <row r="53" spans="1:16" x14ac:dyDescent="0.2">
      <c r="A53" s="30"/>
      <c r="B53" s="150" t="e">
        <v>#N/A</v>
      </c>
      <c r="C53" s="31" t="e">
        <f>_xll.qlRateHelperRate($B53,InterestRatesTrigger)</f>
        <v>#VALUE!</v>
      </c>
      <c r="D53" s="35" t="e">
        <f>_xll.qlRateHelperEarliestDate($B53)</f>
        <v>#VALUE!</v>
      </c>
      <c r="E53" s="36" t="e">
        <f>_xll.qlRateHelperLatestDate($B53)</f>
        <v>#VALUE!</v>
      </c>
      <c r="F53" s="29" t="b">
        <f t="shared" si="6"/>
        <v>0</v>
      </c>
      <c r="G53" s="29" t="b">
        <f t="shared" si="7"/>
        <v>0</v>
      </c>
      <c r="H53" s="29" t="b">
        <f t="shared" si="8"/>
        <v>0</v>
      </c>
      <c r="I53" s="32" t="e">
        <f t="shared" si="5"/>
        <v>#N/A</v>
      </c>
      <c r="J53" s="33" t="e">
        <v>#N/A</v>
      </c>
      <c r="K53" s="33" t="str">
        <f>_xll.qlSimpleQuote(,,,,EvaluationDate)</f>
        <v>obj_00685#0002</v>
      </c>
      <c r="L53" s="33">
        <f>_xll.qlSimpleQuoteSetValue(K53,J53)</f>
        <v>0</v>
      </c>
      <c r="M53" s="86" t="e">
        <f>_xll.qlInterpolationInterpolate($M$1,I53,TRUE,ISERROR($L$3:$L$127))</f>
        <v>#NUM!</v>
      </c>
      <c r="N53" s="37" t="e">
        <f>_xll.qlDayCounterYearFraction(DayCounter,E52,E53)</f>
        <v>#NUM!</v>
      </c>
      <c r="O53" s="33" t="e">
        <f t="shared" si="4"/>
        <v>#NUM!</v>
      </c>
      <c r="P53" s="33"/>
    </row>
    <row r="54" spans="1:16" x14ac:dyDescent="0.2">
      <c r="A54" s="30"/>
      <c r="B54" s="150" t="e">
        <v>#N/A</v>
      </c>
      <c r="C54" s="31" t="e">
        <f>_xll.qlRateHelperRate($B54,InterestRatesTrigger)</f>
        <v>#VALUE!</v>
      </c>
      <c r="D54" s="35" t="e">
        <f>_xll.qlRateHelperEarliestDate($B54)</f>
        <v>#VALUE!</v>
      </c>
      <c r="E54" s="36" t="e">
        <f>_xll.qlRateHelperLatestDate($B54)</f>
        <v>#VALUE!</v>
      </c>
      <c r="F54" s="29" t="b">
        <f t="shared" si="6"/>
        <v>0</v>
      </c>
      <c r="G54" s="29" t="b">
        <f t="shared" si="7"/>
        <v>0</v>
      </c>
      <c r="H54" s="29" t="b">
        <f t="shared" si="8"/>
        <v>0</v>
      </c>
      <c r="I54" s="32" t="e">
        <f t="shared" si="5"/>
        <v>#N/A</v>
      </c>
      <c r="J54" s="33" t="e">
        <v>#N/A</v>
      </c>
      <c r="K54" s="33" t="str">
        <f>_xll.qlSimpleQuote(,,,,EvaluationDate)</f>
        <v>obj_0063f#0002</v>
      </c>
      <c r="L54" s="33">
        <f>_xll.qlSimpleQuoteSetValue(K54,J54)</f>
        <v>0</v>
      </c>
      <c r="M54" s="86" t="e">
        <f>_xll.qlInterpolationInterpolate($M$1,I54,TRUE,ISERROR($L$3:$L$127))</f>
        <v>#NUM!</v>
      </c>
      <c r="N54" s="37" t="e">
        <f>_xll.qlDayCounterYearFraction(DayCounter,E53,E54)</f>
        <v>#NUM!</v>
      </c>
      <c r="O54" s="33" t="e">
        <f t="shared" si="4"/>
        <v>#NUM!</v>
      </c>
      <c r="P54" s="33"/>
    </row>
    <row r="55" spans="1:16" x14ac:dyDescent="0.2">
      <c r="A55" s="30"/>
      <c r="B55" s="150" t="e">
        <v>#N/A</v>
      </c>
      <c r="C55" s="31" t="e">
        <f>_xll.qlRateHelperRate($B55,InterestRatesTrigger)</f>
        <v>#VALUE!</v>
      </c>
      <c r="D55" s="35" t="e">
        <f>_xll.qlRateHelperEarliestDate($B55)</f>
        <v>#VALUE!</v>
      </c>
      <c r="E55" s="36" t="e">
        <f>_xll.qlRateHelperLatestDate($B55)</f>
        <v>#VALUE!</v>
      </c>
      <c r="F55" s="29" t="b">
        <f t="shared" si="6"/>
        <v>0</v>
      </c>
      <c r="G55" s="29" t="b">
        <f t="shared" si="7"/>
        <v>0</v>
      </c>
      <c r="H55" s="29" t="b">
        <f t="shared" si="8"/>
        <v>0</v>
      </c>
      <c r="I55" s="32" t="e">
        <f t="shared" si="5"/>
        <v>#N/A</v>
      </c>
      <c r="J55" s="33" t="e">
        <v>#N/A</v>
      </c>
      <c r="K55" s="33" t="str">
        <f>_xll.qlSimpleQuote(,,,,EvaluationDate)</f>
        <v>obj_00670#0002</v>
      </c>
      <c r="L55" s="33">
        <f>_xll.qlSimpleQuoteSetValue(K55,J55)</f>
        <v>0</v>
      </c>
      <c r="M55" s="86" t="e">
        <f>_xll.qlInterpolationInterpolate($M$1,I55,TRUE,ISERROR($L$3:$L$127))</f>
        <v>#NUM!</v>
      </c>
      <c r="N55" s="37" t="e">
        <f>_xll.qlDayCounterYearFraction(DayCounter,E54,E55)</f>
        <v>#NUM!</v>
      </c>
      <c r="O55" s="33" t="e">
        <f t="shared" si="4"/>
        <v>#NUM!</v>
      </c>
      <c r="P55" s="33"/>
    </row>
    <row r="56" spans="1:16" x14ac:dyDescent="0.2">
      <c r="A56" s="30"/>
      <c r="B56" s="150" t="e">
        <v>#N/A</v>
      </c>
      <c r="C56" s="31" t="e">
        <f>_xll.qlRateHelperRate($B56,InterestRatesTrigger)</f>
        <v>#VALUE!</v>
      </c>
      <c r="D56" s="35" t="e">
        <f>_xll.qlRateHelperEarliestDate($B56)</f>
        <v>#VALUE!</v>
      </c>
      <c r="E56" s="36" t="e">
        <f>_xll.qlRateHelperLatestDate($B56)</f>
        <v>#VALUE!</v>
      </c>
      <c r="F56" s="29" t="b">
        <f t="shared" si="6"/>
        <v>0</v>
      </c>
      <c r="G56" s="29" t="b">
        <f t="shared" si="7"/>
        <v>0</v>
      </c>
      <c r="H56" s="29" t="b">
        <f t="shared" si="8"/>
        <v>0</v>
      </c>
      <c r="I56" s="32" t="e">
        <f t="shared" si="5"/>
        <v>#N/A</v>
      </c>
      <c r="J56" s="33" t="e">
        <v>#N/A</v>
      </c>
      <c r="K56" s="33" t="str">
        <f>_xll.qlSimpleQuote(,,,,EvaluationDate)</f>
        <v>obj_006b0#0002</v>
      </c>
      <c r="L56" s="33">
        <f>_xll.qlSimpleQuoteSetValue(K56,J56)</f>
        <v>0</v>
      </c>
      <c r="M56" s="86" t="e">
        <f>_xll.qlInterpolationInterpolate($M$1,I56,TRUE,ISERROR($L$3:$L$127))</f>
        <v>#NUM!</v>
      </c>
      <c r="N56" s="37" t="e">
        <f>_xll.qlDayCounterYearFraction(DayCounter,E55,E56)</f>
        <v>#NUM!</v>
      </c>
      <c r="O56" s="33" t="e">
        <f t="shared" si="4"/>
        <v>#NUM!</v>
      </c>
      <c r="P56" s="33"/>
    </row>
    <row r="57" spans="1:16" x14ac:dyDescent="0.2">
      <c r="A57" s="30"/>
      <c r="B57" s="150" t="e">
        <v>#N/A</v>
      </c>
      <c r="C57" s="31" t="e">
        <f>_xll.qlRateHelperRate($B57,InterestRatesTrigger)</f>
        <v>#VALUE!</v>
      </c>
      <c r="D57" s="35" t="e">
        <f>_xll.qlRateHelperEarliestDate($B57)</f>
        <v>#VALUE!</v>
      </c>
      <c r="E57" s="36" t="e">
        <f>_xll.qlRateHelperLatestDate($B57)</f>
        <v>#VALUE!</v>
      </c>
      <c r="F57" s="29" t="b">
        <f t="shared" si="6"/>
        <v>0</v>
      </c>
      <c r="G57" s="29" t="b">
        <f t="shared" si="7"/>
        <v>0</v>
      </c>
      <c r="H57" s="29" t="b">
        <f t="shared" si="8"/>
        <v>0</v>
      </c>
      <c r="I57" s="32" t="e">
        <f t="shared" si="5"/>
        <v>#N/A</v>
      </c>
      <c r="J57" s="33" t="e">
        <v>#N/A</v>
      </c>
      <c r="K57" s="33" t="str">
        <f>_xll.qlSimpleQuote(,,,,EvaluationDate)</f>
        <v>obj_006b6#0002</v>
      </c>
      <c r="L57" s="33">
        <f>_xll.qlSimpleQuoteSetValue(K57,J57)</f>
        <v>0</v>
      </c>
      <c r="M57" s="86" t="e">
        <f>_xll.qlInterpolationInterpolate($M$1,I57,TRUE,ISERROR($L$3:$L$127))</f>
        <v>#NUM!</v>
      </c>
      <c r="N57" s="37" t="e">
        <f>_xll.qlDayCounterYearFraction(DayCounter,E56,E57)</f>
        <v>#NUM!</v>
      </c>
      <c r="O57" s="33" t="e">
        <f t="shared" si="4"/>
        <v>#NUM!</v>
      </c>
      <c r="P57" s="33"/>
    </row>
    <row r="58" spans="1:16" x14ac:dyDescent="0.2">
      <c r="A58" s="30"/>
      <c r="B58" s="150" t="e">
        <v>#N/A</v>
      </c>
      <c r="C58" s="31" t="e">
        <f>_xll.qlRateHelperRate($B58,InterestRatesTrigger)</f>
        <v>#VALUE!</v>
      </c>
      <c r="D58" s="35" t="e">
        <f>_xll.qlRateHelperEarliestDate($B58)</f>
        <v>#VALUE!</v>
      </c>
      <c r="E58" s="36" t="e">
        <f>_xll.qlRateHelperLatestDate($B58)</f>
        <v>#VALUE!</v>
      </c>
      <c r="F58" s="29" t="b">
        <f t="shared" si="6"/>
        <v>0</v>
      </c>
      <c r="G58" s="29" t="b">
        <f t="shared" si="7"/>
        <v>0</v>
      </c>
      <c r="H58" s="29" t="b">
        <f t="shared" si="8"/>
        <v>0</v>
      </c>
      <c r="I58" s="32" t="e">
        <f t="shared" si="5"/>
        <v>#N/A</v>
      </c>
      <c r="J58" s="33" t="e">
        <v>#N/A</v>
      </c>
      <c r="K58" s="33" t="str">
        <f>_xll.qlSimpleQuote(,,,,EvaluationDate)</f>
        <v>obj_006a6#0002</v>
      </c>
      <c r="L58" s="33">
        <f>_xll.qlSimpleQuoteSetValue(K58,J58)</f>
        <v>0</v>
      </c>
      <c r="M58" s="86" t="e">
        <f>_xll.qlInterpolationInterpolate($M$1,I58,TRUE,ISERROR($L$3:$L$127))</f>
        <v>#NUM!</v>
      </c>
      <c r="N58" s="37" t="e">
        <f>_xll.qlDayCounterYearFraction(DayCounter,E57,E58)</f>
        <v>#NUM!</v>
      </c>
      <c r="O58" s="33" t="e">
        <f t="shared" si="4"/>
        <v>#NUM!</v>
      </c>
      <c r="P58" s="33"/>
    </row>
    <row r="59" spans="1:16" x14ac:dyDescent="0.2">
      <c r="A59" s="30"/>
      <c r="B59" s="150" t="e">
        <v>#N/A</v>
      </c>
      <c r="C59" s="31" t="e">
        <f>_xll.qlRateHelperRate($B59,InterestRatesTrigger)</f>
        <v>#VALUE!</v>
      </c>
      <c r="D59" s="35" t="e">
        <f>_xll.qlRateHelperEarliestDate($B59)</f>
        <v>#VALUE!</v>
      </c>
      <c r="E59" s="36" t="e">
        <f>_xll.qlRateHelperLatestDate($B59)</f>
        <v>#VALUE!</v>
      </c>
      <c r="F59" s="29" t="b">
        <f t="shared" si="6"/>
        <v>0</v>
      </c>
      <c r="G59" s="29" t="b">
        <f t="shared" si="7"/>
        <v>0</v>
      </c>
      <c r="H59" s="29" t="b">
        <f t="shared" si="8"/>
        <v>0</v>
      </c>
      <c r="I59" s="32" t="e">
        <f t="shared" si="5"/>
        <v>#N/A</v>
      </c>
      <c r="J59" s="33" t="e">
        <v>#N/A</v>
      </c>
      <c r="K59" s="33" t="str">
        <f>_xll.qlSimpleQuote(,,,,EvaluationDate)</f>
        <v>obj_0068b#0002</v>
      </c>
      <c r="L59" s="33">
        <f>_xll.qlSimpleQuoteSetValue(K59,J59)</f>
        <v>0</v>
      </c>
      <c r="M59" s="86" t="e">
        <f>_xll.qlInterpolationInterpolate($M$1,I59,TRUE,ISERROR($L$3:$L$127))</f>
        <v>#NUM!</v>
      </c>
      <c r="N59" s="37" t="e">
        <f>_xll.qlDayCounterYearFraction(DayCounter,E58,E59)</f>
        <v>#NUM!</v>
      </c>
      <c r="O59" s="33" t="e">
        <f t="shared" si="4"/>
        <v>#NUM!</v>
      </c>
      <c r="P59" s="33"/>
    </row>
    <row r="60" spans="1:16" x14ac:dyDescent="0.2">
      <c r="A60" s="30"/>
      <c r="B60" s="150" t="e">
        <v>#N/A</v>
      </c>
      <c r="C60" s="31" t="e">
        <f>_xll.qlRateHelperRate($B60,InterestRatesTrigger)</f>
        <v>#VALUE!</v>
      </c>
      <c r="D60" s="35" t="e">
        <f>_xll.qlRateHelperEarliestDate($B60)</f>
        <v>#VALUE!</v>
      </c>
      <c r="E60" s="36" t="e">
        <f>_xll.qlRateHelperLatestDate($B60)</f>
        <v>#VALUE!</v>
      </c>
      <c r="F60" s="29" t="b">
        <f t="shared" si="6"/>
        <v>0</v>
      </c>
      <c r="G60" s="29" t="b">
        <f t="shared" si="7"/>
        <v>0</v>
      </c>
      <c r="H60" s="29" t="b">
        <f t="shared" si="8"/>
        <v>0</v>
      </c>
      <c r="I60" s="32" t="e">
        <f t="shared" si="5"/>
        <v>#N/A</v>
      </c>
      <c r="J60" s="33" t="e">
        <v>#N/A</v>
      </c>
      <c r="K60" s="33" t="str">
        <f>_xll.qlSimpleQuote(,,,,EvaluationDate)</f>
        <v>obj_006a9#0002</v>
      </c>
      <c r="L60" s="33">
        <f>_xll.qlSimpleQuoteSetValue(K60,J60)</f>
        <v>0</v>
      </c>
      <c r="M60" s="86" t="e">
        <f>_xll.qlInterpolationInterpolate($M$1,I60,TRUE,ISERROR($L$3:$L$127))</f>
        <v>#NUM!</v>
      </c>
      <c r="N60" s="37" t="e">
        <f>_xll.qlDayCounterYearFraction(DayCounter,E59,E60)</f>
        <v>#NUM!</v>
      </c>
      <c r="O60" s="33" t="e">
        <f t="shared" si="4"/>
        <v>#NUM!</v>
      </c>
      <c r="P60" s="33"/>
    </row>
    <row r="61" spans="1:16" x14ac:dyDescent="0.2">
      <c r="A61" s="30"/>
      <c r="B61" s="150" t="e">
        <v>#N/A</v>
      </c>
      <c r="C61" s="31" t="e">
        <f>_xll.qlRateHelperRate($B61,InterestRatesTrigger)</f>
        <v>#VALUE!</v>
      </c>
      <c r="D61" s="35" t="e">
        <f>_xll.qlRateHelperEarliestDate($B61)</f>
        <v>#VALUE!</v>
      </c>
      <c r="E61" s="36" t="e">
        <f>_xll.qlRateHelperLatestDate($B61)</f>
        <v>#VALUE!</v>
      </c>
      <c r="F61" s="29" t="b">
        <f t="shared" si="6"/>
        <v>0</v>
      </c>
      <c r="G61" s="29" t="b">
        <f t="shared" si="7"/>
        <v>0</v>
      </c>
      <c r="H61" s="29" t="b">
        <f t="shared" si="8"/>
        <v>0</v>
      </c>
      <c r="I61" s="32" t="e">
        <f t="shared" si="5"/>
        <v>#N/A</v>
      </c>
      <c r="J61" s="33" t="e">
        <v>#N/A</v>
      </c>
      <c r="K61" s="33" t="str">
        <f>_xll.qlSimpleQuote(,,,,EvaluationDate)</f>
        <v>obj_00695#0002</v>
      </c>
      <c r="L61" s="33">
        <f>_xll.qlSimpleQuoteSetValue(K61,J61)</f>
        <v>0</v>
      </c>
      <c r="M61" s="86" t="e">
        <f>_xll.qlInterpolationInterpolate($M$1,I61,TRUE,ISERROR($L$3:$L$127))</f>
        <v>#NUM!</v>
      </c>
      <c r="N61" s="37" t="e">
        <f>_xll.qlDayCounterYearFraction(DayCounter,E60,E61)</f>
        <v>#NUM!</v>
      </c>
      <c r="O61" s="33" t="e">
        <f t="shared" si="4"/>
        <v>#NUM!</v>
      </c>
      <c r="P61" s="33"/>
    </row>
    <row r="62" spans="1:16" x14ac:dyDescent="0.2">
      <c r="A62" s="30"/>
      <c r="B62" s="150" t="e">
        <v>#N/A</v>
      </c>
      <c r="C62" s="31" t="e">
        <f>_xll.qlRateHelperRate($B62,InterestRatesTrigger)</f>
        <v>#VALUE!</v>
      </c>
      <c r="D62" s="35" t="e">
        <f>_xll.qlRateHelperEarliestDate($B62)</f>
        <v>#VALUE!</v>
      </c>
      <c r="E62" s="36" t="e">
        <f>_xll.qlRateHelperLatestDate($B62)</f>
        <v>#VALUE!</v>
      </c>
      <c r="F62" s="29" t="b">
        <f t="shared" si="6"/>
        <v>0</v>
      </c>
      <c r="G62" s="29" t="b">
        <f t="shared" si="7"/>
        <v>0</v>
      </c>
      <c r="H62" s="29" t="b">
        <f t="shared" si="8"/>
        <v>0</v>
      </c>
      <c r="I62" s="32" t="e">
        <f t="shared" si="5"/>
        <v>#N/A</v>
      </c>
      <c r="J62" s="33" t="e">
        <v>#N/A</v>
      </c>
      <c r="K62" s="33" t="str">
        <f>_xll.qlSimpleQuote(,,,,EvaluationDate)</f>
        <v>obj_00654#0002</v>
      </c>
      <c r="L62" s="33">
        <f>_xll.qlSimpleQuoteSetValue(K62,J62)</f>
        <v>0</v>
      </c>
      <c r="M62" s="86" t="e">
        <f>_xll.qlInterpolationInterpolate($M$1,I62,TRUE,ISERROR($L$3:$L$127))</f>
        <v>#NUM!</v>
      </c>
      <c r="N62" s="37" t="e">
        <f>_xll.qlDayCounterYearFraction(DayCounter,E61,E62)</f>
        <v>#NUM!</v>
      </c>
      <c r="O62" s="33" t="e">
        <f t="shared" si="4"/>
        <v>#NUM!</v>
      </c>
      <c r="P62" s="33"/>
    </row>
    <row r="63" spans="1:16" x14ac:dyDescent="0.2">
      <c r="A63" s="30"/>
      <c r="B63" s="150" t="e">
        <v>#N/A</v>
      </c>
      <c r="C63" s="31" t="e">
        <f>_xll.qlRateHelperRate($B63,InterestRatesTrigger)</f>
        <v>#VALUE!</v>
      </c>
      <c r="D63" s="35" t="e">
        <f>_xll.qlRateHelperEarliestDate($B63)</f>
        <v>#VALUE!</v>
      </c>
      <c r="E63" s="36" t="e">
        <f>_xll.qlRateHelperLatestDate($B63)</f>
        <v>#VALUE!</v>
      </c>
      <c r="F63" s="29" t="b">
        <f t="shared" si="6"/>
        <v>0</v>
      </c>
      <c r="G63" s="29" t="b">
        <f t="shared" si="7"/>
        <v>0</v>
      </c>
      <c r="H63" s="29" t="b">
        <f t="shared" si="8"/>
        <v>0</v>
      </c>
      <c r="I63" s="32" t="e">
        <f t="shared" si="5"/>
        <v>#N/A</v>
      </c>
      <c r="J63" s="33" t="e">
        <v>#N/A</v>
      </c>
      <c r="K63" s="33" t="str">
        <f>_xll.qlSimpleQuote(,,,,EvaluationDate)</f>
        <v>obj_00666#0002</v>
      </c>
      <c r="L63" s="33">
        <f>_xll.qlSimpleQuoteSetValue(K63,J63)</f>
        <v>0</v>
      </c>
      <c r="M63" s="86" t="e">
        <f>_xll.qlInterpolationInterpolate($M$1,I63,TRUE,ISERROR($L$3:$L$127))</f>
        <v>#NUM!</v>
      </c>
      <c r="N63" s="37" t="e">
        <f>_xll.qlDayCounterYearFraction(DayCounter,E62,E63)</f>
        <v>#NUM!</v>
      </c>
      <c r="O63" s="33" t="e">
        <f t="shared" si="4"/>
        <v>#NUM!</v>
      </c>
      <c r="P63" s="33"/>
    </row>
    <row r="64" spans="1:16" x14ac:dyDescent="0.2">
      <c r="A64" s="30"/>
      <c r="B64" s="150" t="e">
        <v>#N/A</v>
      </c>
      <c r="C64" s="31" t="e">
        <f>_xll.qlRateHelperRate($B64,InterestRatesTrigger)</f>
        <v>#VALUE!</v>
      </c>
      <c r="D64" s="35" t="e">
        <f>_xll.qlRateHelperEarliestDate($B64)</f>
        <v>#VALUE!</v>
      </c>
      <c r="E64" s="36" t="e">
        <f>_xll.qlRateHelperLatestDate($B64)</f>
        <v>#VALUE!</v>
      </c>
      <c r="F64" s="29" t="b">
        <f t="shared" si="6"/>
        <v>0</v>
      </c>
      <c r="G64" s="29" t="b">
        <f t="shared" si="7"/>
        <v>0</v>
      </c>
      <c r="H64" s="29" t="b">
        <f t="shared" si="8"/>
        <v>0</v>
      </c>
      <c r="I64" s="32" t="e">
        <f t="shared" si="5"/>
        <v>#N/A</v>
      </c>
      <c r="J64" s="33" t="e">
        <v>#N/A</v>
      </c>
      <c r="K64" s="33" t="str">
        <f>_xll.qlSimpleQuote(,,,,EvaluationDate)</f>
        <v>obj_0069f#0002</v>
      </c>
      <c r="L64" s="33">
        <f>_xll.qlSimpleQuoteSetValue(K64,J64)</f>
        <v>0</v>
      </c>
      <c r="M64" s="86" t="e">
        <f>_xll.qlInterpolationInterpolate($M$1,I64,TRUE,ISERROR($L$3:$L$127))</f>
        <v>#NUM!</v>
      </c>
      <c r="N64" s="37" t="e">
        <f>_xll.qlDayCounterYearFraction(DayCounter,E63,E64)</f>
        <v>#NUM!</v>
      </c>
      <c r="O64" s="33" t="e">
        <f t="shared" si="4"/>
        <v>#NUM!</v>
      </c>
      <c r="P64" s="33"/>
    </row>
    <row r="65" spans="1:16" x14ac:dyDescent="0.2">
      <c r="A65" s="30"/>
      <c r="B65" s="150" t="e">
        <v>#N/A</v>
      </c>
      <c r="C65" s="31" t="e">
        <f>_xll.qlRateHelperRate($B65,InterestRatesTrigger)</f>
        <v>#VALUE!</v>
      </c>
      <c r="D65" s="35" t="e">
        <f>_xll.qlRateHelperEarliestDate($B65)</f>
        <v>#VALUE!</v>
      </c>
      <c r="E65" s="36" t="e">
        <f>_xll.qlRateHelperLatestDate($B65)</f>
        <v>#VALUE!</v>
      </c>
      <c r="F65" s="29" t="b">
        <f t="shared" si="6"/>
        <v>0</v>
      </c>
      <c r="G65" s="29" t="b">
        <f t="shared" si="7"/>
        <v>0</v>
      </c>
      <c r="H65" s="29" t="b">
        <f t="shared" si="8"/>
        <v>0</v>
      </c>
      <c r="I65" s="32" t="e">
        <f t="shared" si="5"/>
        <v>#N/A</v>
      </c>
      <c r="J65" s="33" t="e">
        <v>#N/A</v>
      </c>
      <c r="K65" s="33" t="str">
        <f>_xll.qlSimpleQuote(,,,,EvaluationDate)</f>
        <v>obj_006b2#0002</v>
      </c>
      <c r="L65" s="33">
        <f>_xll.qlSimpleQuoteSetValue(K65,J65)</f>
        <v>0</v>
      </c>
      <c r="M65" s="86" t="e">
        <f>_xll.qlInterpolationInterpolate($M$1,I65,TRUE,ISERROR($L$3:$L$127))</f>
        <v>#NUM!</v>
      </c>
      <c r="N65" s="37" t="e">
        <f>_xll.qlDayCounterYearFraction(DayCounter,E64,E65)</f>
        <v>#NUM!</v>
      </c>
      <c r="O65" s="33" t="e">
        <f t="shared" si="4"/>
        <v>#NUM!</v>
      </c>
      <c r="P65" s="33"/>
    </row>
    <row r="66" spans="1:16" x14ac:dyDescent="0.2">
      <c r="A66" s="30"/>
      <c r="B66" s="150" t="e">
        <v>#N/A</v>
      </c>
      <c r="C66" s="31" t="e">
        <f>_xll.qlRateHelperRate($B66,InterestRatesTrigger)</f>
        <v>#VALUE!</v>
      </c>
      <c r="D66" s="35" t="e">
        <f>_xll.qlRateHelperEarliestDate($B66)</f>
        <v>#VALUE!</v>
      </c>
      <c r="E66" s="36" t="e">
        <f>_xll.qlRateHelperLatestDate($B66)</f>
        <v>#VALUE!</v>
      </c>
      <c r="F66" s="29" t="b">
        <f t="shared" si="6"/>
        <v>0</v>
      </c>
      <c r="G66" s="29" t="b">
        <f t="shared" si="7"/>
        <v>0</v>
      </c>
      <c r="H66" s="29" t="b">
        <f t="shared" si="8"/>
        <v>0</v>
      </c>
      <c r="I66" s="32" t="e">
        <f t="shared" si="5"/>
        <v>#N/A</v>
      </c>
      <c r="J66" s="33" t="e">
        <v>#N/A</v>
      </c>
      <c r="K66" s="33" t="str">
        <f>_xll.qlSimpleQuote(,,,,EvaluationDate)</f>
        <v>obj_00669#0002</v>
      </c>
      <c r="L66" s="33">
        <f>_xll.qlSimpleQuoteSetValue(K66,J66)</f>
        <v>0</v>
      </c>
      <c r="M66" s="86" t="e">
        <f>_xll.qlInterpolationInterpolate($M$1,I66,TRUE,ISERROR($L$3:$L$127))</f>
        <v>#NUM!</v>
      </c>
      <c r="N66" s="37" t="e">
        <f>_xll.qlDayCounterYearFraction(DayCounter,E65,E66)</f>
        <v>#NUM!</v>
      </c>
      <c r="O66" s="33" t="e">
        <f t="shared" si="4"/>
        <v>#NUM!</v>
      </c>
      <c r="P66" s="33"/>
    </row>
    <row r="67" spans="1:16" x14ac:dyDescent="0.2">
      <c r="A67" s="30"/>
      <c r="B67" s="150" t="e">
        <v>#N/A</v>
      </c>
      <c r="C67" s="31" t="e">
        <f>_xll.qlRateHelperRate($B67,InterestRatesTrigger)</f>
        <v>#VALUE!</v>
      </c>
      <c r="D67" s="35" t="e">
        <f>_xll.qlRateHelperEarliestDate($B67)</f>
        <v>#VALUE!</v>
      </c>
      <c r="E67" s="36" t="e">
        <f>_xll.qlRateHelperLatestDate($B67)</f>
        <v>#VALUE!</v>
      </c>
      <c r="F67" s="29" t="b">
        <f t="shared" ref="F67:F98" si="9">IF(ISERROR($E67),FALSE,AND($E66&lt;=LastDayInYear,$E67&gt;LastDayInYear))</f>
        <v>0</v>
      </c>
      <c r="G67" s="29" t="b">
        <f t="shared" ref="G67:G98" si="10">IF(ISERROR($E67),FALSE,AND($E66&lt;=LastDayInNextYear,$E67&gt;LastDayInNextYear))</f>
        <v>0</v>
      </c>
      <c r="H67" s="29" t="b">
        <f t="shared" ref="H67:H98" si="11">IF(ISERROR(E67),FALSE,AND(NOT(F67),NOT(G67)))</f>
        <v>0</v>
      </c>
      <c r="I67" s="32" t="e">
        <f t="shared" si="5"/>
        <v>#N/A</v>
      </c>
      <c r="J67" s="33" t="e">
        <v>#N/A</v>
      </c>
      <c r="K67" s="33" t="str">
        <f>_xll.qlSimpleQuote(,,,,EvaluationDate)</f>
        <v>obj_00645#0002</v>
      </c>
      <c r="L67" s="33">
        <f>_xll.qlSimpleQuoteSetValue(K67,J67)</f>
        <v>0</v>
      </c>
      <c r="M67" s="86" t="e">
        <f>_xll.qlInterpolationInterpolate($M$1,I67,TRUE,ISERROR($L$3:$L$127))</f>
        <v>#NUM!</v>
      </c>
      <c r="N67" s="37" t="e">
        <f>_xll.qlDayCounterYearFraction(DayCounter,E66,E67)</f>
        <v>#NUM!</v>
      </c>
      <c r="O67" s="33" t="e">
        <f t="shared" si="4"/>
        <v>#NUM!</v>
      </c>
      <c r="P67" s="33"/>
    </row>
    <row r="68" spans="1:16" x14ac:dyDescent="0.2">
      <c r="A68" s="30"/>
      <c r="B68" s="150" t="e">
        <v>#N/A</v>
      </c>
      <c r="C68" s="31" t="e">
        <f>_xll.qlRateHelperRate($B68,InterestRatesTrigger)</f>
        <v>#VALUE!</v>
      </c>
      <c r="D68" s="35" t="e">
        <f>_xll.qlRateHelperEarliestDate($B68)</f>
        <v>#VALUE!</v>
      </c>
      <c r="E68" s="36" t="e">
        <f>_xll.qlRateHelperLatestDate($B68)</f>
        <v>#VALUE!</v>
      </c>
      <c r="F68" s="29" t="b">
        <f t="shared" si="9"/>
        <v>0</v>
      </c>
      <c r="G68" s="29" t="b">
        <f t="shared" si="10"/>
        <v>0</v>
      </c>
      <c r="H68" s="29" t="b">
        <f t="shared" si="11"/>
        <v>0</v>
      </c>
      <c r="I68" s="32" t="e">
        <f t="shared" si="5"/>
        <v>#N/A</v>
      </c>
      <c r="J68" s="33" t="e">
        <v>#N/A</v>
      </c>
      <c r="K68" s="33" t="str">
        <f>_xll.qlSimpleQuote(,,,,EvaluationDate)</f>
        <v>obj_006c4#0002</v>
      </c>
      <c r="L68" s="33">
        <f>_xll.qlSimpleQuoteSetValue(K68,J68)</f>
        <v>0</v>
      </c>
      <c r="M68" s="86" t="e">
        <f>_xll.qlInterpolationInterpolate($M$1,I68,TRUE,ISERROR($L$3:$L$127))</f>
        <v>#NUM!</v>
      </c>
      <c r="N68" s="37" t="e">
        <f>_xll.qlDayCounterYearFraction(DayCounter,E67,E68)</f>
        <v>#NUM!</v>
      </c>
      <c r="O68" s="33" t="e">
        <f t="shared" ref="O68:O127" si="12">MIN(EXP((M68-J68)*N68),1)</f>
        <v>#NUM!</v>
      </c>
      <c r="P68" s="33"/>
    </row>
    <row r="69" spans="1:16" x14ac:dyDescent="0.2">
      <c r="A69" s="30"/>
      <c r="B69" s="150" t="e">
        <v>#N/A</v>
      </c>
      <c r="C69" s="31" t="e">
        <f>_xll.qlRateHelperRate($B69,InterestRatesTrigger)</f>
        <v>#VALUE!</v>
      </c>
      <c r="D69" s="35" t="e">
        <f>_xll.qlRateHelperEarliestDate($B69)</f>
        <v>#VALUE!</v>
      </c>
      <c r="E69" s="36" t="e">
        <f>_xll.qlRateHelperLatestDate($B69)</f>
        <v>#VALUE!</v>
      </c>
      <c r="F69" s="29" t="b">
        <f t="shared" si="9"/>
        <v>0</v>
      </c>
      <c r="G69" s="29" t="b">
        <f t="shared" si="10"/>
        <v>0</v>
      </c>
      <c r="H69" s="29" t="b">
        <f t="shared" si="11"/>
        <v>0</v>
      </c>
      <c r="I69" s="32" t="e">
        <f t="shared" si="5"/>
        <v>#N/A</v>
      </c>
      <c r="J69" s="33" t="e">
        <v>#N/A</v>
      </c>
      <c r="K69" s="33" t="str">
        <f>_xll.qlSimpleQuote(,,,,EvaluationDate)</f>
        <v>obj_006b1#0002</v>
      </c>
      <c r="L69" s="33">
        <f>_xll.qlSimpleQuoteSetValue(K69,J69)</f>
        <v>0</v>
      </c>
      <c r="M69" s="86" t="e">
        <f>_xll.qlInterpolationInterpolate($M$1,I69,TRUE,ISERROR($L$3:$L$127))</f>
        <v>#NUM!</v>
      </c>
      <c r="N69" s="37" t="e">
        <f>_xll.qlDayCounterYearFraction(DayCounter,E68,E69)</f>
        <v>#NUM!</v>
      </c>
      <c r="O69" s="33" t="e">
        <f t="shared" si="12"/>
        <v>#NUM!</v>
      </c>
      <c r="P69" s="33"/>
    </row>
    <row r="70" spans="1:16" x14ac:dyDescent="0.2">
      <c r="A70" s="30"/>
      <c r="B70" s="150" t="e">
        <v>#N/A</v>
      </c>
      <c r="C70" s="31" t="e">
        <f>_xll.qlRateHelperRate($B70,InterestRatesTrigger)</f>
        <v>#VALUE!</v>
      </c>
      <c r="D70" s="35" t="e">
        <f>_xll.qlRateHelperEarliestDate($B70)</f>
        <v>#VALUE!</v>
      </c>
      <c r="E70" s="36" t="e">
        <f>_xll.qlRateHelperLatestDate($B70)</f>
        <v>#VALUE!</v>
      </c>
      <c r="F70" s="29" t="b">
        <f t="shared" si="9"/>
        <v>0</v>
      </c>
      <c r="G70" s="29" t="b">
        <f t="shared" si="10"/>
        <v>0</v>
      </c>
      <c r="H70" s="29" t="b">
        <f t="shared" si="11"/>
        <v>0</v>
      </c>
      <c r="I70" s="32" t="e">
        <f t="shared" si="5"/>
        <v>#N/A</v>
      </c>
      <c r="J70" s="33" t="e">
        <v>#N/A</v>
      </c>
      <c r="K70" s="33" t="str">
        <f>_xll.qlSimpleQuote(,,,,EvaluationDate)</f>
        <v>obj_0067e#0002</v>
      </c>
      <c r="L70" s="33">
        <f>_xll.qlSimpleQuoteSetValue(K70,J70)</f>
        <v>0</v>
      </c>
      <c r="M70" s="86" t="e">
        <f>_xll.qlInterpolationInterpolate($M$1,I70,TRUE,ISERROR($L$3:$L$127))</f>
        <v>#NUM!</v>
      </c>
      <c r="N70" s="37" t="e">
        <f>_xll.qlDayCounterYearFraction(DayCounter,E69,E70)</f>
        <v>#NUM!</v>
      </c>
      <c r="O70" s="33" t="e">
        <f t="shared" si="12"/>
        <v>#NUM!</v>
      </c>
      <c r="P70" s="33"/>
    </row>
    <row r="71" spans="1:16" x14ac:dyDescent="0.2">
      <c r="A71" s="30"/>
      <c r="B71" s="150" t="e">
        <v>#N/A</v>
      </c>
      <c r="C71" s="31" t="e">
        <f>_xll.qlRateHelperRate($B71,InterestRatesTrigger)</f>
        <v>#VALUE!</v>
      </c>
      <c r="D71" s="35" t="e">
        <f>_xll.qlRateHelperEarliestDate($B71)</f>
        <v>#VALUE!</v>
      </c>
      <c r="E71" s="36" t="e">
        <f>_xll.qlRateHelperLatestDate($B71)</f>
        <v>#VALUE!</v>
      </c>
      <c r="F71" s="29" t="b">
        <f t="shared" si="9"/>
        <v>0</v>
      </c>
      <c r="G71" s="29" t="b">
        <f t="shared" si="10"/>
        <v>0</v>
      </c>
      <c r="H71" s="29" t="b">
        <f t="shared" si="11"/>
        <v>0</v>
      </c>
      <c r="I71" s="32" t="e">
        <f t="shared" si="5"/>
        <v>#N/A</v>
      </c>
      <c r="J71" s="33" t="e">
        <v>#N/A</v>
      </c>
      <c r="K71" s="33" t="str">
        <f>_xll.qlSimpleQuote(,,,,EvaluationDate)</f>
        <v>obj_006bf#0002</v>
      </c>
      <c r="L71" s="33">
        <f>_xll.qlSimpleQuoteSetValue(K71,J71)</f>
        <v>0</v>
      </c>
      <c r="M71" s="86" t="e">
        <f>_xll.qlInterpolationInterpolate($M$1,I71,TRUE,ISERROR($L$3:$L$127))</f>
        <v>#NUM!</v>
      </c>
      <c r="N71" s="37" t="e">
        <f>_xll.qlDayCounterYearFraction(DayCounter,E70,E71)</f>
        <v>#NUM!</v>
      </c>
      <c r="O71" s="33" t="e">
        <f t="shared" si="12"/>
        <v>#NUM!</v>
      </c>
      <c r="P71" s="33"/>
    </row>
    <row r="72" spans="1:16" x14ac:dyDescent="0.2">
      <c r="A72" s="30"/>
      <c r="B72" s="150" t="e">
        <v>#N/A</v>
      </c>
      <c r="C72" s="31" t="e">
        <f>_xll.qlRateHelperRate($B72,InterestRatesTrigger)</f>
        <v>#VALUE!</v>
      </c>
      <c r="D72" s="35" t="e">
        <f>_xll.qlRateHelperEarliestDate($B72)</f>
        <v>#VALUE!</v>
      </c>
      <c r="E72" s="36" t="e">
        <f>_xll.qlRateHelperLatestDate($B72)</f>
        <v>#VALUE!</v>
      </c>
      <c r="F72" s="29" t="b">
        <f t="shared" si="9"/>
        <v>0</v>
      </c>
      <c r="G72" s="29" t="b">
        <f t="shared" si="10"/>
        <v>0</v>
      </c>
      <c r="H72" s="29" t="b">
        <f t="shared" si="11"/>
        <v>0</v>
      </c>
      <c r="I72" s="32" t="e">
        <f t="shared" si="5"/>
        <v>#N/A</v>
      </c>
      <c r="J72" s="33" t="e">
        <v>#N/A</v>
      </c>
      <c r="K72" s="33" t="str">
        <f>_xll.qlSimpleQuote(,,,,EvaluationDate)</f>
        <v>obj_0064a#0002</v>
      </c>
      <c r="L72" s="33">
        <f>_xll.qlSimpleQuoteSetValue(K72,J72)</f>
        <v>0</v>
      </c>
      <c r="M72" s="86" t="e">
        <f>_xll.qlInterpolationInterpolate($M$1,I72,TRUE,ISERROR($L$3:$L$127))</f>
        <v>#NUM!</v>
      </c>
      <c r="N72" s="37" t="e">
        <f>_xll.qlDayCounterYearFraction(DayCounter,E71,E72)</f>
        <v>#NUM!</v>
      </c>
      <c r="O72" s="33" t="e">
        <f t="shared" si="12"/>
        <v>#NUM!</v>
      </c>
      <c r="P72" s="33"/>
    </row>
    <row r="73" spans="1:16" x14ac:dyDescent="0.2">
      <c r="A73" s="30"/>
      <c r="B73" s="150" t="e">
        <v>#N/A</v>
      </c>
      <c r="C73" s="31" t="e">
        <f>_xll.qlRateHelperRate($B73,InterestRatesTrigger)</f>
        <v>#VALUE!</v>
      </c>
      <c r="D73" s="35" t="e">
        <f>_xll.qlRateHelperEarliestDate($B73)</f>
        <v>#VALUE!</v>
      </c>
      <c r="E73" s="36" t="e">
        <f>_xll.qlRateHelperLatestDate($B73)</f>
        <v>#VALUE!</v>
      </c>
      <c r="F73" s="29" t="b">
        <f t="shared" si="9"/>
        <v>0</v>
      </c>
      <c r="G73" s="29" t="b">
        <f t="shared" si="10"/>
        <v>0</v>
      </c>
      <c r="H73" s="29" t="b">
        <f t="shared" si="11"/>
        <v>0</v>
      </c>
      <c r="I73" s="32" t="e">
        <f t="shared" si="5"/>
        <v>#N/A</v>
      </c>
      <c r="J73" s="33" t="e">
        <v>#N/A</v>
      </c>
      <c r="K73" s="33" t="str">
        <f>_xll.qlSimpleQuote(,,,,EvaluationDate)</f>
        <v>obj_006b4#0002</v>
      </c>
      <c r="L73" s="33">
        <f>_xll.qlSimpleQuoteSetValue(K73,J73)</f>
        <v>0</v>
      </c>
      <c r="M73" s="86" t="e">
        <f>_xll.qlInterpolationInterpolate($M$1,I73,TRUE,ISERROR($L$3:$L$127))</f>
        <v>#NUM!</v>
      </c>
      <c r="N73" s="37" t="e">
        <f>_xll.qlDayCounterYearFraction(DayCounter,E72,E73)</f>
        <v>#NUM!</v>
      </c>
      <c r="O73" s="33" t="e">
        <f t="shared" si="12"/>
        <v>#NUM!</v>
      </c>
      <c r="P73" s="33"/>
    </row>
    <row r="74" spans="1:16" x14ac:dyDescent="0.2">
      <c r="A74" s="30"/>
      <c r="B74" s="150" t="e">
        <v>#N/A</v>
      </c>
      <c r="C74" s="31" t="e">
        <f>_xll.qlRateHelperRate($B74,InterestRatesTrigger)</f>
        <v>#VALUE!</v>
      </c>
      <c r="D74" s="35" t="e">
        <f>_xll.qlRateHelperEarliestDate($B74)</f>
        <v>#VALUE!</v>
      </c>
      <c r="E74" s="36" t="e">
        <f>_xll.qlRateHelperLatestDate($B74)</f>
        <v>#VALUE!</v>
      </c>
      <c r="F74" s="29" t="b">
        <f t="shared" si="9"/>
        <v>0</v>
      </c>
      <c r="G74" s="29" t="b">
        <f t="shared" si="10"/>
        <v>0</v>
      </c>
      <c r="H74" s="29" t="b">
        <f t="shared" si="11"/>
        <v>0</v>
      </c>
      <c r="I74" s="32" t="e">
        <f t="shared" si="5"/>
        <v>#N/A</v>
      </c>
      <c r="J74" s="33" t="e">
        <v>#N/A</v>
      </c>
      <c r="K74" s="33" t="str">
        <f>_xll.qlSimpleQuote(,,,,EvaluationDate)</f>
        <v>obj_006bd#0002</v>
      </c>
      <c r="L74" s="33">
        <f>_xll.qlSimpleQuoteSetValue(K74,J74)</f>
        <v>0</v>
      </c>
      <c r="M74" s="86" t="e">
        <f>_xll.qlInterpolationInterpolate($M$1,I74,TRUE,ISERROR($L$3:$L$127))</f>
        <v>#NUM!</v>
      </c>
      <c r="N74" s="37" t="e">
        <f>_xll.qlDayCounterYearFraction(DayCounter,E73,E74)</f>
        <v>#NUM!</v>
      </c>
      <c r="O74" s="33" t="e">
        <f t="shared" si="12"/>
        <v>#NUM!</v>
      </c>
      <c r="P74" s="33"/>
    </row>
    <row r="75" spans="1:16" x14ac:dyDescent="0.2">
      <c r="A75" s="30"/>
      <c r="B75" s="150" t="e">
        <v>#N/A</v>
      </c>
      <c r="C75" s="31" t="e">
        <f>_xll.qlRateHelperRate($B75,InterestRatesTrigger)</f>
        <v>#VALUE!</v>
      </c>
      <c r="D75" s="35" t="e">
        <f>_xll.qlRateHelperEarliestDate($B75)</f>
        <v>#VALUE!</v>
      </c>
      <c r="E75" s="36" t="e">
        <f>_xll.qlRateHelperLatestDate($B75)</f>
        <v>#VALUE!</v>
      </c>
      <c r="F75" s="29" t="b">
        <f t="shared" si="9"/>
        <v>0</v>
      </c>
      <c r="G75" s="29" t="b">
        <f t="shared" si="10"/>
        <v>0</v>
      </c>
      <c r="H75" s="29" t="b">
        <f t="shared" si="11"/>
        <v>0</v>
      </c>
      <c r="I75" s="32" t="e">
        <f t="shared" si="5"/>
        <v>#N/A</v>
      </c>
      <c r="J75" s="33" t="e">
        <v>#N/A</v>
      </c>
      <c r="K75" s="33" t="str">
        <f>_xll.qlSimpleQuote(,,,,EvaluationDate)</f>
        <v>obj_0069b#0002</v>
      </c>
      <c r="L75" s="33">
        <f>_xll.qlSimpleQuoteSetValue(K75,J75)</f>
        <v>0</v>
      </c>
      <c r="M75" s="86" t="e">
        <f>_xll.qlInterpolationInterpolate($M$1,I75,TRUE,ISERROR($L$3:$L$127))</f>
        <v>#NUM!</v>
      </c>
      <c r="N75" s="37" t="e">
        <f>_xll.qlDayCounterYearFraction(DayCounter,E74,E75)</f>
        <v>#NUM!</v>
      </c>
      <c r="O75" s="33" t="e">
        <f t="shared" si="12"/>
        <v>#NUM!</v>
      </c>
      <c r="P75" s="33"/>
    </row>
    <row r="76" spans="1:16" x14ac:dyDescent="0.2">
      <c r="A76" s="30"/>
      <c r="B76" s="150" t="e">
        <v>#N/A</v>
      </c>
      <c r="C76" s="31" t="e">
        <f>_xll.qlRateHelperRate($B76,InterestRatesTrigger)</f>
        <v>#VALUE!</v>
      </c>
      <c r="D76" s="35" t="e">
        <f>_xll.qlRateHelperEarliestDate($B76)</f>
        <v>#VALUE!</v>
      </c>
      <c r="E76" s="36" t="e">
        <f>_xll.qlRateHelperLatestDate($B76)</f>
        <v>#VALUE!</v>
      </c>
      <c r="F76" s="29" t="b">
        <f t="shared" si="9"/>
        <v>0</v>
      </c>
      <c r="G76" s="29" t="b">
        <f t="shared" si="10"/>
        <v>0</v>
      </c>
      <c r="H76" s="29" t="b">
        <f t="shared" si="11"/>
        <v>0</v>
      </c>
      <c r="I76" s="32" t="e">
        <f t="shared" si="5"/>
        <v>#N/A</v>
      </c>
      <c r="J76" s="33" t="e">
        <v>#N/A</v>
      </c>
      <c r="K76" s="33" t="str">
        <f>_xll.qlSimpleQuote(,,,,EvaluationDate)</f>
        <v>obj_00698#0002</v>
      </c>
      <c r="L76" s="33">
        <f>_xll.qlSimpleQuoteSetValue(K76,J76)</f>
        <v>0</v>
      </c>
      <c r="M76" s="86" t="e">
        <f>_xll.qlInterpolationInterpolate($M$1,I76,TRUE,ISERROR($L$3:$L$127))</f>
        <v>#NUM!</v>
      </c>
      <c r="N76" s="37" t="e">
        <f>_xll.qlDayCounterYearFraction(DayCounter,E75,E76)</f>
        <v>#NUM!</v>
      </c>
      <c r="O76" s="33" t="e">
        <f t="shared" si="12"/>
        <v>#NUM!</v>
      </c>
      <c r="P76" s="33"/>
    </row>
    <row r="77" spans="1:16" x14ac:dyDescent="0.2">
      <c r="A77" s="30"/>
      <c r="B77" s="150" t="e">
        <v>#N/A</v>
      </c>
      <c r="C77" s="31" t="e">
        <f>_xll.qlRateHelperRate($B77,InterestRatesTrigger)</f>
        <v>#VALUE!</v>
      </c>
      <c r="D77" s="35" t="e">
        <f>_xll.qlRateHelperEarliestDate($B77)</f>
        <v>#VALUE!</v>
      </c>
      <c r="E77" s="36" t="e">
        <f>_xll.qlRateHelperLatestDate($B77)</f>
        <v>#VALUE!</v>
      </c>
      <c r="F77" s="29" t="b">
        <f t="shared" si="9"/>
        <v>0</v>
      </c>
      <c r="G77" s="29" t="b">
        <f t="shared" si="10"/>
        <v>0</v>
      </c>
      <c r="H77" s="29" t="b">
        <f t="shared" si="11"/>
        <v>0</v>
      </c>
      <c r="I77" s="32" t="e">
        <f t="shared" si="5"/>
        <v>#N/A</v>
      </c>
      <c r="J77" s="33" t="e">
        <v>#N/A</v>
      </c>
      <c r="K77" s="33" t="str">
        <f>_xll.qlSimpleQuote(,,,,EvaluationDate)</f>
        <v>obj_0066f#0002</v>
      </c>
      <c r="L77" s="33">
        <f>_xll.qlSimpleQuoteSetValue(K77,J77)</f>
        <v>0</v>
      </c>
      <c r="M77" s="86" t="e">
        <f>_xll.qlInterpolationInterpolate($M$1,I77,TRUE,ISERROR($L$3:$L$127))</f>
        <v>#NUM!</v>
      </c>
      <c r="N77" s="37" t="e">
        <f>_xll.qlDayCounterYearFraction(DayCounter,E76,E77)</f>
        <v>#NUM!</v>
      </c>
      <c r="O77" s="33" t="e">
        <f t="shared" si="12"/>
        <v>#NUM!</v>
      </c>
      <c r="P77" s="33"/>
    </row>
    <row r="78" spans="1:16" x14ac:dyDescent="0.2">
      <c r="A78" s="30"/>
      <c r="B78" s="150" t="e">
        <v>#N/A</v>
      </c>
      <c r="C78" s="31" t="e">
        <f>_xll.qlRateHelperRate($B78,InterestRatesTrigger)</f>
        <v>#VALUE!</v>
      </c>
      <c r="D78" s="35" t="e">
        <f>_xll.qlRateHelperEarliestDate($B78)</f>
        <v>#VALUE!</v>
      </c>
      <c r="E78" s="36" t="e">
        <f>_xll.qlRateHelperLatestDate($B78)</f>
        <v>#VALUE!</v>
      </c>
      <c r="F78" s="29" t="b">
        <f t="shared" si="9"/>
        <v>0</v>
      </c>
      <c r="G78" s="29" t="b">
        <f t="shared" si="10"/>
        <v>0</v>
      </c>
      <c r="H78" s="29" t="b">
        <f t="shared" si="11"/>
        <v>0</v>
      </c>
      <c r="I78" s="32" t="e">
        <f t="shared" si="5"/>
        <v>#N/A</v>
      </c>
      <c r="J78" s="33" t="e">
        <v>#N/A</v>
      </c>
      <c r="K78" s="33" t="str">
        <f>_xll.qlSimpleQuote(,,,,EvaluationDate)</f>
        <v>obj_00660#0002</v>
      </c>
      <c r="L78" s="33">
        <f>_xll.qlSimpleQuoteSetValue(K78,J78)</f>
        <v>0</v>
      </c>
      <c r="M78" s="86" t="e">
        <f>_xll.qlInterpolationInterpolate($M$1,I78,TRUE,ISERROR($L$3:$L$127))</f>
        <v>#NUM!</v>
      </c>
      <c r="N78" s="37" t="e">
        <f>_xll.qlDayCounterYearFraction(DayCounter,E77,E78)</f>
        <v>#NUM!</v>
      </c>
      <c r="O78" s="33" t="e">
        <f t="shared" si="12"/>
        <v>#NUM!</v>
      </c>
      <c r="P78" s="33"/>
    </row>
    <row r="79" spans="1:16" x14ac:dyDescent="0.2">
      <c r="A79" s="30"/>
      <c r="B79" s="150" t="e">
        <v>#N/A</v>
      </c>
      <c r="C79" s="31" t="e">
        <f>_xll.qlRateHelperRate($B79,InterestRatesTrigger)</f>
        <v>#VALUE!</v>
      </c>
      <c r="D79" s="35" t="e">
        <f>_xll.qlRateHelperEarliestDate($B79)</f>
        <v>#VALUE!</v>
      </c>
      <c r="E79" s="36" t="e">
        <f>_xll.qlRateHelperLatestDate($B79)</f>
        <v>#VALUE!</v>
      </c>
      <c r="F79" s="29" t="b">
        <f t="shared" si="9"/>
        <v>0</v>
      </c>
      <c r="G79" s="29" t="b">
        <f t="shared" si="10"/>
        <v>0</v>
      </c>
      <c r="H79" s="29" t="b">
        <f t="shared" si="11"/>
        <v>0</v>
      </c>
      <c r="I79" s="32" t="e">
        <f t="shared" si="5"/>
        <v>#N/A</v>
      </c>
      <c r="J79" s="33" t="e">
        <v>#N/A</v>
      </c>
      <c r="K79" s="33" t="str">
        <f>_xll.qlSimpleQuote(,,,,EvaluationDate)</f>
        <v>obj_006a2#0002</v>
      </c>
      <c r="L79" s="33">
        <f>_xll.qlSimpleQuoteSetValue(K79,J79)</f>
        <v>0</v>
      </c>
      <c r="M79" s="86" t="e">
        <f>_xll.qlInterpolationInterpolate($M$1,I79,TRUE,ISERROR($L$3:$L$127))</f>
        <v>#NUM!</v>
      </c>
      <c r="N79" s="37" t="e">
        <f>_xll.qlDayCounterYearFraction(DayCounter,E78,E79)</f>
        <v>#NUM!</v>
      </c>
      <c r="O79" s="33" t="e">
        <f t="shared" si="12"/>
        <v>#NUM!</v>
      </c>
      <c r="P79" s="33"/>
    </row>
    <row r="80" spans="1:16" x14ac:dyDescent="0.2">
      <c r="A80" s="30"/>
      <c r="B80" s="150" t="e">
        <v>#N/A</v>
      </c>
      <c r="C80" s="31" t="e">
        <f>_xll.qlRateHelperRate($B80,InterestRatesTrigger)</f>
        <v>#VALUE!</v>
      </c>
      <c r="D80" s="35" t="e">
        <f>_xll.qlRateHelperEarliestDate($B80)</f>
        <v>#VALUE!</v>
      </c>
      <c r="E80" s="36" t="e">
        <f>_xll.qlRateHelperLatestDate($B80)</f>
        <v>#VALUE!</v>
      </c>
      <c r="F80" s="29" t="b">
        <f t="shared" si="9"/>
        <v>0</v>
      </c>
      <c r="G80" s="29" t="b">
        <f t="shared" si="10"/>
        <v>0</v>
      </c>
      <c r="H80" s="29" t="b">
        <f t="shared" si="11"/>
        <v>0</v>
      </c>
      <c r="I80" s="32" t="e">
        <f t="shared" si="5"/>
        <v>#N/A</v>
      </c>
      <c r="J80" s="33" t="e">
        <v>#N/A</v>
      </c>
      <c r="K80" s="33" t="str">
        <f>_xll.qlSimpleQuote(,,,,EvaluationDate)</f>
        <v>obj_00675#0002</v>
      </c>
      <c r="L80" s="33">
        <f>_xll.qlSimpleQuoteSetValue(K80,J80)</f>
        <v>0</v>
      </c>
      <c r="M80" s="86" t="e">
        <f>_xll.qlInterpolationInterpolate($M$1,I80,TRUE,ISERROR($L$3:$L$127))</f>
        <v>#NUM!</v>
      </c>
      <c r="N80" s="37" t="e">
        <f>_xll.qlDayCounterYearFraction(DayCounter,E79,E80)</f>
        <v>#NUM!</v>
      </c>
      <c r="O80" s="33" t="e">
        <f t="shared" si="12"/>
        <v>#NUM!</v>
      </c>
      <c r="P80" s="33"/>
    </row>
    <row r="81" spans="1:16" x14ac:dyDescent="0.2">
      <c r="A81" s="30"/>
      <c r="B81" s="150" t="e">
        <v>#N/A</v>
      </c>
      <c r="C81" s="31" t="e">
        <f>_xll.qlRateHelperRate($B81,InterestRatesTrigger)</f>
        <v>#VALUE!</v>
      </c>
      <c r="D81" s="35" t="e">
        <f>_xll.qlRateHelperEarliestDate($B81)</f>
        <v>#VALUE!</v>
      </c>
      <c r="E81" s="36" t="e">
        <f>_xll.qlRateHelperLatestDate($B81)</f>
        <v>#VALUE!</v>
      </c>
      <c r="F81" s="29" t="b">
        <f t="shared" si="9"/>
        <v>0</v>
      </c>
      <c r="G81" s="29" t="b">
        <f t="shared" si="10"/>
        <v>0</v>
      </c>
      <c r="H81" s="29" t="b">
        <f t="shared" si="11"/>
        <v>0</v>
      </c>
      <c r="I81" s="32" t="e">
        <f t="shared" si="5"/>
        <v>#N/A</v>
      </c>
      <c r="J81" s="33" t="e">
        <v>#N/A</v>
      </c>
      <c r="K81" s="33" t="str">
        <f>_xll.qlSimpleQuote(,,,,EvaluationDate)</f>
        <v>obj_0068c#0002</v>
      </c>
      <c r="L81" s="33">
        <f>_xll.qlSimpleQuoteSetValue(K81,J81)</f>
        <v>0</v>
      </c>
      <c r="M81" s="86" t="e">
        <f>_xll.qlInterpolationInterpolate($M$1,I81,TRUE,ISERROR($L$3:$L$127))</f>
        <v>#NUM!</v>
      </c>
      <c r="N81" s="37" t="e">
        <f>_xll.qlDayCounterYearFraction(DayCounter,E80,E81)</f>
        <v>#NUM!</v>
      </c>
      <c r="O81" s="33" t="e">
        <f t="shared" si="12"/>
        <v>#NUM!</v>
      </c>
      <c r="P81" s="33"/>
    </row>
    <row r="82" spans="1:16" x14ac:dyDescent="0.2">
      <c r="A82" s="30"/>
      <c r="B82" s="150" t="e">
        <v>#N/A</v>
      </c>
      <c r="C82" s="31" t="e">
        <f>_xll.qlRateHelperRate($B82,InterestRatesTrigger)</f>
        <v>#VALUE!</v>
      </c>
      <c r="D82" s="35" t="e">
        <f>_xll.qlRateHelperEarliestDate($B82)</f>
        <v>#VALUE!</v>
      </c>
      <c r="E82" s="36" t="e">
        <f>_xll.qlRateHelperLatestDate($B82)</f>
        <v>#VALUE!</v>
      </c>
      <c r="F82" s="29" t="b">
        <f t="shared" si="9"/>
        <v>0</v>
      </c>
      <c r="G82" s="29" t="b">
        <f t="shared" si="10"/>
        <v>0</v>
      </c>
      <c r="H82" s="29" t="b">
        <f t="shared" si="11"/>
        <v>0</v>
      </c>
      <c r="I82" s="32" t="e">
        <f t="shared" si="5"/>
        <v>#N/A</v>
      </c>
      <c r="J82" s="33" t="e">
        <v>#N/A</v>
      </c>
      <c r="K82" s="33" t="str">
        <f>_xll.qlSimpleQuote(,,,,EvaluationDate)</f>
        <v>obj_006b3#0002</v>
      </c>
      <c r="L82" s="33">
        <f>_xll.qlSimpleQuoteSetValue(K82,J82)</f>
        <v>0</v>
      </c>
      <c r="M82" s="86" t="e">
        <f>_xll.qlInterpolationInterpolate($M$1,I82,TRUE,ISERROR($L$3:$L$127))</f>
        <v>#NUM!</v>
      </c>
      <c r="N82" s="37" t="e">
        <f>_xll.qlDayCounterYearFraction(DayCounter,E81,E82)</f>
        <v>#NUM!</v>
      </c>
      <c r="O82" s="33" t="e">
        <f t="shared" si="12"/>
        <v>#NUM!</v>
      </c>
      <c r="P82" s="33"/>
    </row>
    <row r="83" spans="1:16" x14ac:dyDescent="0.2">
      <c r="A83" s="30"/>
      <c r="B83" s="150" t="e">
        <v>#N/A</v>
      </c>
      <c r="C83" s="31" t="e">
        <f>_xll.qlRateHelperRate($B83,InterestRatesTrigger)</f>
        <v>#VALUE!</v>
      </c>
      <c r="D83" s="35" t="e">
        <f>_xll.qlRateHelperEarliestDate($B83)</f>
        <v>#VALUE!</v>
      </c>
      <c r="E83" s="36" t="e">
        <f>_xll.qlRateHelperLatestDate($B83)</f>
        <v>#VALUE!</v>
      </c>
      <c r="F83" s="29" t="b">
        <f t="shared" si="9"/>
        <v>0</v>
      </c>
      <c r="G83" s="29" t="b">
        <f t="shared" si="10"/>
        <v>0</v>
      </c>
      <c r="H83" s="29" t="b">
        <f t="shared" si="11"/>
        <v>0</v>
      </c>
      <c r="I83" s="32" t="e">
        <f t="shared" si="5"/>
        <v>#N/A</v>
      </c>
      <c r="J83" s="33" t="e">
        <v>#N/A</v>
      </c>
      <c r="K83" s="33" t="str">
        <f>_xll.qlSimpleQuote(,,,,EvaluationDate)</f>
        <v>obj_00637#0002</v>
      </c>
      <c r="L83" s="33">
        <f>_xll.qlSimpleQuoteSetValue(K83,J83)</f>
        <v>0</v>
      </c>
      <c r="M83" s="86" t="e">
        <f>_xll.qlInterpolationInterpolate($M$1,I83,TRUE,ISERROR($L$3:$L$127))</f>
        <v>#NUM!</v>
      </c>
      <c r="N83" s="37" t="e">
        <f>_xll.qlDayCounterYearFraction(DayCounter,E82,E83)</f>
        <v>#NUM!</v>
      </c>
      <c r="O83" s="33" t="e">
        <f t="shared" si="12"/>
        <v>#NUM!</v>
      </c>
      <c r="P83" s="33"/>
    </row>
    <row r="84" spans="1:16" x14ac:dyDescent="0.2">
      <c r="A84" s="30"/>
      <c r="B84" s="150" t="e">
        <v>#N/A</v>
      </c>
      <c r="C84" s="31" t="e">
        <f>_xll.qlRateHelperRate($B84,InterestRatesTrigger)</f>
        <v>#VALUE!</v>
      </c>
      <c r="D84" s="35" t="e">
        <f>_xll.qlRateHelperEarliestDate($B84)</f>
        <v>#VALUE!</v>
      </c>
      <c r="E84" s="36" t="e">
        <f>_xll.qlRateHelperLatestDate($B84)</f>
        <v>#VALUE!</v>
      </c>
      <c r="F84" s="29" t="b">
        <f t="shared" si="9"/>
        <v>0</v>
      </c>
      <c r="G84" s="29" t="b">
        <f t="shared" si="10"/>
        <v>0</v>
      </c>
      <c r="H84" s="29" t="b">
        <f t="shared" si="11"/>
        <v>0</v>
      </c>
      <c r="I84" s="32" t="e">
        <f t="shared" si="5"/>
        <v>#N/A</v>
      </c>
      <c r="J84" s="33" t="e">
        <v>#N/A</v>
      </c>
      <c r="K84" s="33" t="str">
        <f>_xll.qlSimpleQuote(,,,,EvaluationDate)</f>
        <v>obj_00696#0002</v>
      </c>
      <c r="L84" s="33">
        <f>_xll.qlSimpleQuoteSetValue(K84,J84)</f>
        <v>0</v>
      </c>
      <c r="M84" s="86" t="e">
        <f>_xll.qlInterpolationInterpolate($M$1,I84,TRUE,ISERROR($L$3:$L$127))</f>
        <v>#NUM!</v>
      </c>
      <c r="N84" s="37" t="e">
        <f>_xll.qlDayCounterYearFraction(DayCounter,E83,E84)</f>
        <v>#NUM!</v>
      </c>
      <c r="O84" s="33" t="e">
        <f t="shared" si="12"/>
        <v>#NUM!</v>
      </c>
      <c r="P84" s="33"/>
    </row>
    <row r="85" spans="1:16" x14ac:dyDescent="0.2">
      <c r="A85" s="30"/>
      <c r="B85" s="150" t="e">
        <v>#N/A</v>
      </c>
      <c r="C85" s="31" t="e">
        <f>_xll.qlRateHelperRate($B85,InterestRatesTrigger)</f>
        <v>#VALUE!</v>
      </c>
      <c r="D85" s="35" t="e">
        <f>_xll.qlRateHelperEarliestDate($B85)</f>
        <v>#VALUE!</v>
      </c>
      <c r="E85" s="36" t="e">
        <f>_xll.qlRateHelperLatestDate($B85)</f>
        <v>#VALUE!</v>
      </c>
      <c r="F85" s="29" t="b">
        <f t="shared" si="9"/>
        <v>0</v>
      </c>
      <c r="G85" s="29" t="b">
        <f t="shared" si="10"/>
        <v>0</v>
      </c>
      <c r="H85" s="29" t="b">
        <f t="shared" si="11"/>
        <v>0</v>
      </c>
      <c r="I85" s="32" t="e">
        <f t="shared" si="5"/>
        <v>#N/A</v>
      </c>
      <c r="J85" s="33" t="e">
        <v>#N/A</v>
      </c>
      <c r="K85" s="33" t="str">
        <f>_xll.qlSimpleQuote(,,,,EvaluationDate)</f>
        <v>obj_006af#0002</v>
      </c>
      <c r="L85" s="33">
        <f>_xll.qlSimpleQuoteSetValue(K85,J85)</f>
        <v>0</v>
      </c>
      <c r="M85" s="86" t="e">
        <f>_xll.qlInterpolationInterpolate($M$1,I85,TRUE,ISERROR($L$3:$L$127))</f>
        <v>#NUM!</v>
      </c>
      <c r="N85" s="37" t="e">
        <f>_xll.qlDayCounterYearFraction(DayCounter,E84,E85)</f>
        <v>#NUM!</v>
      </c>
      <c r="O85" s="33" t="e">
        <f t="shared" si="12"/>
        <v>#NUM!</v>
      </c>
      <c r="P85" s="33"/>
    </row>
    <row r="86" spans="1:16" x14ac:dyDescent="0.2">
      <c r="A86" s="30"/>
      <c r="B86" s="150" t="e">
        <v>#N/A</v>
      </c>
      <c r="C86" s="31" t="e">
        <f>_xll.qlRateHelperRate($B86,InterestRatesTrigger)</f>
        <v>#VALUE!</v>
      </c>
      <c r="D86" s="35" t="e">
        <f>_xll.qlRateHelperEarliestDate($B86)</f>
        <v>#VALUE!</v>
      </c>
      <c r="E86" s="36" t="e">
        <f>_xll.qlRateHelperLatestDate($B86)</f>
        <v>#VALUE!</v>
      </c>
      <c r="F86" s="29" t="b">
        <f t="shared" si="9"/>
        <v>0</v>
      </c>
      <c r="G86" s="29" t="b">
        <f t="shared" si="10"/>
        <v>0</v>
      </c>
      <c r="H86" s="29" t="b">
        <f t="shared" si="11"/>
        <v>0</v>
      </c>
      <c r="I86" s="32" t="e">
        <f t="shared" si="5"/>
        <v>#N/A</v>
      </c>
      <c r="J86" s="33" t="e">
        <v>#N/A</v>
      </c>
      <c r="K86" s="33" t="str">
        <f>_xll.qlSimpleQuote(,,,,EvaluationDate)</f>
        <v>obj_0066a#0002</v>
      </c>
      <c r="L86" s="33">
        <f>_xll.qlSimpleQuoteSetValue(K86,J86)</f>
        <v>0</v>
      </c>
      <c r="M86" s="86" t="e">
        <f>_xll.qlInterpolationInterpolate($M$1,I86,TRUE,ISERROR($L$3:$L$127))</f>
        <v>#NUM!</v>
      </c>
      <c r="N86" s="37" t="e">
        <f>_xll.qlDayCounterYearFraction(DayCounter,E85,E86)</f>
        <v>#NUM!</v>
      </c>
      <c r="O86" s="33" t="e">
        <f t="shared" si="12"/>
        <v>#NUM!</v>
      </c>
      <c r="P86" s="33"/>
    </row>
    <row r="87" spans="1:16" x14ac:dyDescent="0.2">
      <c r="A87" s="30"/>
      <c r="B87" s="150" t="e">
        <v>#N/A</v>
      </c>
      <c r="C87" s="31" t="e">
        <f>_xll.qlRateHelperRate($B87,InterestRatesTrigger)</f>
        <v>#VALUE!</v>
      </c>
      <c r="D87" s="35" t="e">
        <f>_xll.qlRateHelperEarliestDate($B87)</f>
        <v>#VALUE!</v>
      </c>
      <c r="E87" s="36" t="e">
        <f>_xll.qlRateHelperLatestDate($B87)</f>
        <v>#VALUE!</v>
      </c>
      <c r="F87" s="29" t="b">
        <f t="shared" si="9"/>
        <v>0</v>
      </c>
      <c r="G87" s="29" t="b">
        <f t="shared" si="10"/>
        <v>0</v>
      </c>
      <c r="H87" s="29" t="b">
        <f t="shared" si="11"/>
        <v>0</v>
      </c>
      <c r="I87" s="32" t="e">
        <f t="shared" si="5"/>
        <v>#N/A</v>
      </c>
      <c r="J87" s="33" t="e">
        <v>#N/A</v>
      </c>
      <c r="K87" s="33" t="str">
        <f>_xll.qlSimpleQuote(,,,,EvaluationDate)</f>
        <v>obj_006ae#0002</v>
      </c>
      <c r="L87" s="33">
        <f>_xll.qlSimpleQuoteSetValue(K87,J87)</f>
        <v>0</v>
      </c>
      <c r="M87" s="86" t="e">
        <f>_xll.qlInterpolationInterpolate($M$1,I87,TRUE,ISERROR($L$3:$L$127))</f>
        <v>#NUM!</v>
      </c>
      <c r="N87" s="37" t="e">
        <f>_xll.qlDayCounterYearFraction(DayCounter,E86,E87)</f>
        <v>#NUM!</v>
      </c>
      <c r="O87" s="33" t="e">
        <f t="shared" si="12"/>
        <v>#NUM!</v>
      </c>
      <c r="P87" s="33"/>
    </row>
    <row r="88" spans="1:16" x14ac:dyDescent="0.2">
      <c r="A88" s="30"/>
      <c r="B88" s="150" t="e">
        <v>#N/A</v>
      </c>
      <c r="C88" s="31" t="e">
        <f>_xll.qlRateHelperRate($B88,InterestRatesTrigger)</f>
        <v>#VALUE!</v>
      </c>
      <c r="D88" s="35" t="e">
        <f>_xll.qlRateHelperEarliestDate($B88)</f>
        <v>#VALUE!</v>
      </c>
      <c r="E88" s="36" t="e">
        <f>_xll.qlRateHelperLatestDate($B88)</f>
        <v>#VALUE!</v>
      </c>
      <c r="F88" s="29" t="b">
        <f t="shared" si="9"/>
        <v>0</v>
      </c>
      <c r="G88" s="29" t="b">
        <f t="shared" si="10"/>
        <v>0</v>
      </c>
      <c r="H88" s="29" t="b">
        <f t="shared" si="11"/>
        <v>0</v>
      </c>
      <c r="I88" s="32" t="e">
        <f t="shared" si="5"/>
        <v>#N/A</v>
      </c>
      <c r="J88" s="33" t="e">
        <v>#N/A</v>
      </c>
      <c r="K88" s="33" t="str">
        <f>_xll.qlSimpleQuote(,,,,EvaluationDate)</f>
        <v>obj_00699#0002</v>
      </c>
      <c r="L88" s="33">
        <f>_xll.qlSimpleQuoteSetValue(K88,J88)</f>
        <v>0</v>
      </c>
      <c r="M88" s="86" t="e">
        <f>_xll.qlInterpolationInterpolate($M$1,I88,TRUE,ISERROR($L$3:$L$127))</f>
        <v>#NUM!</v>
      </c>
      <c r="N88" s="37" t="e">
        <f>_xll.qlDayCounterYearFraction(DayCounter,E87,E88)</f>
        <v>#NUM!</v>
      </c>
      <c r="O88" s="33" t="e">
        <f t="shared" si="12"/>
        <v>#NUM!</v>
      </c>
      <c r="P88" s="33"/>
    </row>
    <row r="89" spans="1:16" x14ac:dyDescent="0.2">
      <c r="A89" s="30"/>
      <c r="B89" s="150" t="e">
        <v>#N/A</v>
      </c>
      <c r="C89" s="31" t="e">
        <f>_xll.qlRateHelperRate($B89,InterestRatesTrigger)</f>
        <v>#VALUE!</v>
      </c>
      <c r="D89" s="35" t="e">
        <f>_xll.qlRateHelperEarliestDate($B89)</f>
        <v>#VALUE!</v>
      </c>
      <c r="E89" s="36" t="e">
        <f>_xll.qlRateHelperLatestDate($B89)</f>
        <v>#VALUE!</v>
      </c>
      <c r="F89" s="29" t="b">
        <f t="shared" si="9"/>
        <v>0</v>
      </c>
      <c r="G89" s="29" t="b">
        <f t="shared" si="10"/>
        <v>0</v>
      </c>
      <c r="H89" s="29" t="b">
        <f t="shared" si="11"/>
        <v>0</v>
      </c>
      <c r="I89" s="32" t="e">
        <f t="shared" si="5"/>
        <v>#N/A</v>
      </c>
      <c r="J89" s="33" t="e">
        <v>#N/A</v>
      </c>
      <c r="K89" s="33" t="str">
        <f>_xll.qlSimpleQuote(,,,,EvaluationDate)</f>
        <v>obj_00681#0002</v>
      </c>
      <c r="L89" s="33">
        <f>_xll.qlSimpleQuoteSetValue(K89,J89)</f>
        <v>0</v>
      </c>
      <c r="M89" s="86" t="e">
        <f>_xll.qlInterpolationInterpolate($M$1,I89,TRUE,ISERROR($L$3:$L$127))</f>
        <v>#NUM!</v>
      </c>
      <c r="N89" s="37" t="e">
        <f>_xll.qlDayCounterYearFraction(DayCounter,E88,E89)</f>
        <v>#NUM!</v>
      </c>
      <c r="O89" s="33" t="e">
        <f t="shared" si="12"/>
        <v>#NUM!</v>
      </c>
      <c r="P89" s="33"/>
    </row>
    <row r="90" spans="1:16" x14ac:dyDescent="0.2">
      <c r="A90" s="30"/>
      <c r="B90" s="150" t="e">
        <v>#N/A</v>
      </c>
      <c r="C90" s="31" t="e">
        <f>_xll.qlRateHelperRate($B90,InterestRatesTrigger)</f>
        <v>#VALUE!</v>
      </c>
      <c r="D90" s="35" t="e">
        <f>_xll.qlRateHelperEarliestDate($B90)</f>
        <v>#VALUE!</v>
      </c>
      <c r="E90" s="36" t="e">
        <f>_xll.qlRateHelperLatestDate($B90)</f>
        <v>#VALUE!</v>
      </c>
      <c r="F90" s="29" t="b">
        <f t="shared" si="9"/>
        <v>0</v>
      </c>
      <c r="G90" s="29" t="b">
        <f t="shared" si="10"/>
        <v>0</v>
      </c>
      <c r="H90" s="29" t="b">
        <f t="shared" si="11"/>
        <v>0</v>
      </c>
      <c r="I90" s="32" t="e">
        <f t="shared" si="5"/>
        <v>#N/A</v>
      </c>
      <c r="J90" s="33" t="e">
        <v>#N/A</v>
      </c>
      <c r="K90" s="33" t="str">
        <f>_xll.qlSimpleQuote(,,,,EvaluationDate)</f>
        <v>obj_006c2#0002</v>
      </c>
      <c r="L90" s="33">
        <f>_xll.qlSimpleQuoteSetValue(K90,J90)</f>
        <v>0</v>
      </c>
      <c r="M90" s="86" t="e">
        <f>_xll.qlInterpolationInterpolate($M$1,I90,TRUE,ISERROR($L$3:$L$127))</f>
        <v>#NUM!</v>
      </c>
      <c r="N90" s="37" t="e">
        <f>_xll.qlDayCounterYearFraction(DayCounter,E89,E90)</f>
        <v>#NUM!</v>
      </c>
      <c r="O90" s="33" t="e">
        <f t="shared" si="12"/>
        <v>#NUM!</v>
      </c>
      <c r="P90" s="33"/>
    </row>
    <row r="91" spans="1:16" x14ac:dyDescent="0.2">
      <c r="A91" s="30"/>
      <c r="B91" s="150" t="e">
        <v>#N/A</v>
      </c>
      <c r="C91" s="31" t="e">
        <f>_xll.qlRateHelperRate($B91,InterestRatesTrigger)</f>
        <v>#VALUE!</v>
      </c>
      <c r="D91" s="35" t="e">
        <f>_xll.qlRateHelperEarliestDate($B91)</f>
        <v>#VALUE!</v>
      </c>
      <c r="E91" s="36" t="e">
        <f>_xll.qlRateHelperLatestDate($B91)</f>
        <v>#VALUE!</v>
      </c>
      <c r="F91" s="29" t="b">
        <f t="shared" si="9"/>
        <v>0</v>
      </c>
      <c r="G91" s="29" t="b">
        <f t="shared" si="10"/>
        <v>0</v>
      </c>
      <c r="H91" s="29" t="b">
        <f t="shared" si="11"/>
        <v>0</v>
      </c>
      <c r="I91" s="32" t="e">
        <f t="shared" si="5"/>
        <v>#N/A</v>
      </c>
      <c r="J91" s="33" t="e">
        <v>#N/A</v>
      </c>
      <c r="K91" s="33" t="str">
        <f>_xll.qlSimpleQuote(,,,,EvaluationDate)</f>
        <v>obj_00691#0002</v>
      </c>
      <c r="L91" s="33">
        <f>_xll.qlSimpleQuoteSetValue(K91,J91)</f>
        <v>0</v>
      </c>
      <c r="M91" s="86" t="e">
        <f>_xll.qlInterpolationInterpolate($M$1,I91,TRUE,ISERROR($L$3:$L$127))</f>
        <v>#NUM!</v>
      </c>
      <c r="N91" s="37" t="e">
        <f>_xll.qlDayCounterYearFraction(DayCounter,E90,E91)</f>
        <v>#NUM!</v>
      </c>
      <c r="O91" s="33" t="e">
        <f t="shared" si="12"/>
        <v>#NUM!</v>
      </c>
      <c r="P91" s="33"/>
    </row>
    <row r="92" spans="1:16" x14ac:dyDescent="0.2">
      <c r="A92" s="30"/>
      <c r="B92" s="150" t="e">
        <v>#N/A</v>
      </c>
      <c r="C92" s="31" t="e">
        <f>_xll.qlRateHelperRate($B92,InterestRatesTrigger)</f>
        <v>#VALUE!</v>
      </c>
      <c r="D92" s="35" t="e">
        <f>_xll.qlRateHelperEarliestDate($B92)</f>
        <v>#VALUE!</v>
      </c>
      <c r="E92" s="36" t="e">
        <f>_xll.qlRateHelperLatestDate($B92)</f>
        <v>#VALUE!</v>
      </c>
      <c r="F92" s="29" t="b">
        <f t="shared" si="9"/>
        <v>0</v>
      </c>
      <c r="G92" s="29" t="b">
        <f t="shared" si="10"/>
        <v>0</v>
      </c>
      <c r="H92" s="29" t="b">
        <f t="shared" si="11"/>
        <v>0</v>
      </c>
      <c r="I92" s="32" t="e">
        <f t="shared" si="5"/>
        <v>#N/A</v>
      </c>
      <c r="J92" s="33" t="e">
        <v>#N/A</v>
      </c>
      <c r="K92" s="33" t="str">
        <f>_xll.qlSimpleQuote(,,,,EvaluationDate)</f>
        <v>obj_00656#0002</v>
      </c>
      <c r="L92" s="33">
        <f>_xll.qlSimpleQuoteSetValue(K92,J92)</f>
        <v>0</v>
      </c>
      <c r="M92" s="86" t="e">
        <f>_xll.qlInterpolationInterpolate($M$1,I92,TRUE,ISERROR($L$3:$L$127))</f>
        <v>#NUM!</v>
      </c>
      <c r="N92" s="37" t="e">
        <f>_xll.qlDayCounterYearFraction(DayCounter,E91,E92)</f>
        <v>#NUM!</v>
      </c>
      <c r="O92" s="33" t="e">
        <f t="shared" si="12"/>
        <v>#NUM!</v>
      </c>
      <c r="P92" s="33"/>
    </row>
    <row r="93" spans="1:16" x14ac:dyDescent="0.2">
      <c r="A93" s="30"/>
      <c r="B93" s="150" t="e">
        <v>#N/A</v>
      </c>
      <c r="C93" s="31" t="e">
        <f>_xll.qlRateHelperRate($B93,InterestRatesTrigger)</f>
        <v>#VALUE!</v>
      </c>
      <c r="D93" s="35" t="e">
        <f>_xll.qlRateHelperEarliestDate($B93)</f>
        <v>#VALUE!</v>
      </c>
      <c r="E93" s="36" t="e">
        <f>_xll.qlRateHelperLatestDate($B93)</f>
        <v>#VALUE!</v>
      </c>
      <c r="F93" s="29" t="b">
        <f t="shared" si="9"/>
        <v>0</v>
      </c>
      <c r="G93" s="29" t="b">
        <f t="shared" si="10"/>
        <v>0</v>
      </c>
      <c r="H93" s="29" t="b">
        <f t="shared" si="11"/>
        <v>0</v>
      </c>
      <c r="I93" s="32" t="e">
        <f t="shared" ref="I93:I127" si="13">IF(ISERROR(E93),NA(),(E93-E92)/2+E92)</f>
        <v>#N/A</v>
      </c>
      <c r="J93" s="33" t="e">
        <v>#N/A</v>
      </c>
      <c r="K93" s="33" t="str">
        <f>_xll.qlSimpleQuote(,,,,EvaluationDate)</f>
        <v>obj_0064e#0002</v>
      </c>
      <c r="L93" s="33">
        <f>_xll.qlSimpleQuoteSetValue(K93,J93)</f>
        <v>0</v>
      </c>
      <c r="M93" s="86" t="e">
        <f>_xll.qlInterpolationInterpolate($M$1,I93,TRUE,ISERROR($L$3:$L$127))</f>
        <v>#NUM!</v>
      </c>
      <c r="N93" s="37" t="e">
        <f>_xll.qlDayCounterYearFraction(DayCounter,E92,E93)</f>
        <v>#NUM!</v>
      </c>
      <c r="O93" s="33" t="e">
        <f t="shared" si="12"/>
        <v>#NUM!</v>
      </c>
      <c r="P93" s="33"/>
    </row>
    <row r="94" spans="1:16" x14ac:dyDescent="0.2">
      <c r="A94" s="30"/>
      <c r="B94" s="150" t="e">
        <v>#N/A</v>
      </c>
      <c r="C94" s="31" t="e">
        <f>_xll.qlRateHelperRate($B94,InterestRatesTrigger)</f>
        <v>#VALUE!</v>
      </c>
      <c r="D94" s="35" t="e">
        <f>_xll.qlRateHelperEarliestDate($B94)</f>
        <v>#VALUE!</v>
      </c>
      <c r="E94" s="36" t="e">
        <f>_xll.qlRateHelperLatestDate($B94)</f>
        <v>#VALUE!</v>
      </c>
      <c r="F94" s="29" t="b">
        <f t="shared" si="9"/>
        <v>0</v>
      </c>
      <c r="G94" s="29" t="b">
        <f t="shared" si="10"/>
        <v>0</v>
      </c>
      <c r="H94" s="29" t="b">
        <f t="shared" si="11"/>
        <v>0</v>
      </c>
      <c r="I94" s="32" t="e">
        <f t="shared" si="13"/>
        <v>#N/A</v>
      </c>
      <c r="J94" s="33" t="e">
        <v>#N/A</v>
      </c>
      <c r="K94" s="33" t="str">
        <f>_xll.qlSimpleQuote(,,,,EvaluationDate)</f>
        <v>obj_006a3#0002</v>
      </c>
      <c r="L94" s="33">
        <f>_xll.qlSimpleQuoteSetValue(K94,J94)</f>
        <v>0</v>
      </c>
      <c r="M94" s="86" t="e">
        <f>_xll.qlInterpolationInterpolate($M$1,I94,TRUE,ISERROR($L$3:$L$127))</f>
        <v>#NUM!</v>
      </c>
      <c r="N94" s="37" t="e">
        <f>_xll.qlDayCounterYearFraction(DayCounter,E93,E94)</f>
        <v>#NUM!</v>
      </c>
      <c r="O94" s="33" t="e">
        <f t="shared" si="12"/>
        <v>#NUM!</v>
      </c>
      <c r="P94" s="33"/>
    </row>
    <row r="95" spans="1:16" x14ac:dyDescent="0.2">
      <c r="A95" s="30"/>
      <c r="B95" s="150" t="e">
        <v>#N/A</v>
      </c>
      <c r="C95" s="31" t="e">
        <f>_xll.qlRateHelperRate($B95,InterestRatesTrigger)</f>
        <v>#VALUE!</v>
      </c>
      <c r="D95" s="35" t="e">
        <f>_xll.qlRateHelperEarliestDate($B95)</f>
        <v>#VALUE!</v>
      </c>
      <c r="E95" s="36" t="e">
        <f>_xll.qlRateHelperLatestDate($B95)</f>
        <v>#VALUE!</v>
      </c>
      <c r="F95" s="29" t="b">
        <f t="shared" si="9"/>
        <v>0</v>
      </c>
      <c r="G95" s="29" t="b">
        <f t="shared" si="10"/>
        <v>0</v>
      </c>
      <c r="H95" s="29" t="b">
        <f t="shared" si="11"/>
        <v>0</v>
      </c>
      <c r="I95" s="32" t="e">
        <f t="shared" si="13"/>
        <v>#N/A</v>
      </c>
      <c r="J95" s="33" t="e">
        <v>#N/A</v>
      </c>
      <c r="K95" s="33" t="str">
        <f>_xll.qlSimpleQuote(,,,,EvaluationDate)</f>
        <v>obj_006be#0002</v>
      </c>
      <c r="L95" s="33">
        <f>_xll.qlSimpleQuoteSetValue(K95,J95)</f>
        <v>0</v>
      </c>
      <c r="M95" s="86" t="e">
        <f>_xll.qlInterpolationInterpolate($M$1,I95,TRUE,ISERROR($L$3:$L$127))</f>
        <v>#NUM!</v>
      </c>
      <c r="N95" s="37" t="e">
        <f>_xll.qlDayCounterYearFraction(DayCounter,E94,E95)</f>
        <v>#NUM!</v>
      </c>
      <c r="O95" s="33" t="e">
        <f t="shared" si="12"/>
        <v>#NUM!</v>
      </c>
      <c r="P95" s="33"/>
    </row>
    <row r="96" spans="1:16" x14ac:dyDescent="0.2">
      <c r="A96" s="30"/>
      <c r="B96" s="150" t="e">
        <v>#N/A</v>
      </c>
      <c r="C96" s="31" t="e">
        <f>_xll.qlRateHelperRate($B96,InterestRatesTrigger)</f>
        <v>#VALUE!</v>
      </c>
      <c r="D96" s="35" t="e">
        <f>_xll.qlRateHelperEarliestDate($B96)</f>
        <v>#VALUE!</v>
      </c>
      <c r="E96" s="36" t="e">
        <f>_xll.qlRateHelperLatestDate($B96)</f>
        <v>#VALUE!</v>
      </c>
      <c r="F96" s="29" t="b">
        <f t="shared" si="9"/>
        <v>0</v>
      </c>
      <c r="G96" s="29" t="b">
        <f t="shared" si="10"/>
        <v>0</v>
      </c>
      <c r="H96" s="29" t="b">
        <f t="shared" si="11"/>
        <v>0</v>
      </c>
      <c r="I96" s="32" t="e">
        <f t="shared" si="13"/>
        <v>#N/A</v>
      </c>
      <c r="J96" s="33" t="e">
        <v>#N/A</v>
      </c>
      <c r="K96" s="33" t="str">
        <f>_xll.qlSimpleQuote(,,,,EvaluationDate)</f>
        <v>obj_0063e#0002</v>
      </c>
      <c r="L96" s="33">
        <f>_xll.qlSimpleQuoteSetValue(K96,J96)</f>
        <v>0</v>
      </c>
      <c r="M96" s="86" t="e">
        <f>_xll.qlInterpolationInterpolate($M$1,I96,TRUE,ISERROR($L$3:$L$127))</f>
        <v>#NUM!</v>
      </c>
      <c r="N96" s="37" t="e">
        <f>_xll.qlDayCounterYearFraction(DayCounter,E95,E96)</f>
        <v>#NUM!</v>
      </c>
      <c r="O96" s="33" t="e">
        <f t="shared" si="12"/>
        <v>#NUM!</v>
      </c>
      <c r="P96" s="33"/>
    </row>
    <row r="97" spans="1:16" x14ac:dyDescent="0.2">
      <c r="A97" s="30"/>
      <c r="B97" s="150" t="e">
        <v>#N/A</v>
      </c>
      <c r="C97" s="31" t="e">
        <f>_xll.qlRateHelperRate($B97,InterestRatesTrigger)</f>
        <v>#VALUE!</v>
      </c>
      <c r="D97" s="35" t="e">
        <f>_xll.qlRateHelperEarliestDate($B97)</f>
        <v>#VALUE!</v>
      </c>
      <c r="E97" s="36" t="e">
        <f>_xll.qlRateHelperLatestDate($B97)</f>
        <v>#VALUE!</v>
      </c>
      <c r="F97" s="29" t="b">
        <f t="shared" si="9"/>
        <v>0</v>
      </c>
      <c r="G97" s="29" t="b">
        <f t="shared" si="10"/>
        <v>0</v>
      </c>
      <c r="H97" s="29" t="b">
        <f t="shared" si="11"/>
        <v>0</v>
      </c>
      <c r="I97" s="32" t="e">
        <f t="shared" si="13"/>
        <v>#N/A</v>
      </c>
      <c r="J97" s="33" t="e">
        <v>#N/A</v>
      </c>
      <c r="K97" s="33" t="str">
        <f>_xll.qlSimpleQuote(,,,,EvaluationDate)</f>
        <v>obj_0067d#0002</v>
      </c>
      <c r="L97" s="33">
        <f>_xll.qlSimpleQuoteSetValue(K97,J97)</f>
        <v>0</v>
      </c>
      <c r="M97" s="86" t="e">
        <f>_xll.qlInterpolationInterpolate($M$1,I97,TRUE,ISERROR($L$3:$L$127))</f>
        <v>#NUM!</v>
      </c>
      <c r="N97" s="37" t="e">
        <f>_xll.qlDayCounterYearFraction(DayCounter,E96,E97)</f>
        <v>#NUM!</v>
      </c>
      <c r="O97" s="33" t="e">
        <f t="shared" si="12"/>
        <v>#NUM!</v>
      </c>
      <c r="P97" s="33"/>
    </row>
    <row r="98" spans="1:16" x14ac:dyDescent="0.2">
      <c r="A98" s="30"/>
      <c r="B98" s="150" t="e">
        <v>#N/A</v>
      </c>
      <c r="C98" s="31" t="e">
        <f>_xll.qlRateHelperRate($B98,InterestRatesTrigger)</f>
        <v>#VALUE!</v>
      </c>
      <c r="D98" s="35" t="e">
        <f>_xll.qlRateHelperEarliestDate($B98)</f>
        <v>#VALUE!</v>
      </c>
      <c r="E98" s="36" t="e">
        <f>_xll.qlRateHelperLatestDate($B98)</f>
        <v>#VALUE!</v>
      </c>
      <c r="F98" s="29" t="b">
        <f t="shared" si="9"/>
        <v>0</v>
      </c>
      <c r="G98" s="29" t="b">
        <f t="shared" si="10"/>
        <v>0</v>
      </c>
      <c r="H98" s="29" t="b">
        <f t="shared" si="11"/>
        <v>0</v>
      </c>
      <c r="I98" s="32" t="e">
        <f t="shared" si="13"/>
        <v>#N/A</v>
      </c>
      <c r="J98" s="33" t="e">
        <v>#N/A</v>
      </c>
      <c r="K98" s="33" t="str">
        <f>_xll.qlSimpleQuote(,,,,EvaluationDate)</f>
        <v>obj_006a8#0002</v>
      </c>
      <c r="L98" s="33">
        <f>_xll.qlSimpleQuoteSetValue(K98,J98)</f>
        <v>0</v>
      </c>
      <c r="M98" s="86" t="e">
        <f>_xll.qlInterpolationInterpolate($M$1,I98,TRUE,ISERROR($L$3:$L$127))</f>
        <v>#NUM!</v>
      </c>
      <c r="N98" s="37" t="e">
        <f>_xll.qlDayCounterYearFraction(DayCounter,E97,E98)</f>
        <v>#NUM!</v>
      </c>
      <c r="O98" s="33" t="e">
        <f t="shared" si="12"/>
        <v>#NUM!</v>
      </c>
      <c r="P98" s="33"/>
    </row>
    <row r="99" spans="1:16" x14ac:dyDescent="0.2">
      <c r="A99" s="30"/>
      <c r="B99" s="150" t="e">
        <v>#N/A</v>
      </c>
      <c r="C99" s="31" t="e">
        <f>_xll.qlRateHelperRate($B99,InterestRatesTrigger)</f>
        <v>#VALUE!</v>
      </c>
      <c r="D99" s="35" t="e">
        <f>_xll.qlRateHelperEarliestDate($B99)</f>
        <v>#VALUE!</v>
      </c>
      <c r="E99" s="36" t="e">
        <f>_xll.qlRateHelperLatestDate($B99)</f>
        <v>#VALUE!</v>
      </c>
      <c r="F99" s="29" t="b">
        <f t="shared" ref="F99:F127" si="14">IF(ISERROR($E99),FALSE,AND($E98&lt;=LastDayInYear,$E99&gt;LastDayInYear))</f>
        <v>0</v>
      </c>
      <c r="G99" s="29" t="b">
        <f t="shared" ref="G99:G127" si="15">IF(ISERROR($E99),FALSE,AND($E98&lt;=LastDayInNextYear,$E99&gt;LastDayInNextYear))</f>
        <v>0</v>
      </c>
      <c r="H99" s="29" t="b">
        <f t="shared" ref="H99:H127" si="16">IF(ISERROR(E99),FALSE,AND(NOT(F99),NOT(G99)))</f>
        <v>0</v>
      </c>
      <c r="I99" s="32" t="e">
        <f t="shared" si="13"/>
        <v>#N/A</v>
      </c>
      <c r="J99" s="33" t="e">
        <v>#N/A</v>
      </c>
      <c r="K99" s="33" t="str">
        <f>_xll.qlSimpleQuote(,,,,EvaluationDate)</f>
        <v>obj_00687#0002</v>
      </c>
      <c r="L99" s="33">
        <f>_xll.qlSimpleQuoteSetValue(K99,J99)</f>
        <v>0</v>
      </c>
      <c r="M99" s="86" t="e">
        <f>_xll.qlInterpolationInterpolate($M$1,I99,TRUE,ISERROR($L$3:$L$127))</f>
        <v>#NUM!</v>
      </c>
      <c r="N99" s="37" t="e">
        <f>_xll.qlDayCounterYearFraction(DayCounter,E98,E99)</f>
        <v>#NUM!</v>
      </c>
      <c r="O99" s="33" t="e">
        <f t="shared" si="12"/>
        <v>#NUM!</v>
      </c>
      <c r="P99" s="33"/>
    </row>
    <row r="100" spans="1:16" x14ac:dyDescent="0.2">
      <c r="A100" s="30"/>
      <c r="B100" s="150" t="e">
        <v>#N/A</v>
      </c>
      <c r="C100" s="31" t="e">
        <f>_xll.qlRateHelperRate($B100,InterestRatesTrigger)</f>
        <v>#VALUE!</v>
      </c>
      <c r="D100" s="35" t="e">
        <f>_xll.qlRateHelperEarliestDate($B100)</f>
        <v>#VALUE!</v>
      </c>
      <c r="E100" s="36" t="e">
        <f>_xll.qlRateHelperLatestDate($B100)</f>
        <v>#VALUE!</v>
      </c>
      <c r="F100" s="29" t="b">
        <f t="shared" si="14"/>
        <v>0</v>
      </c>
      <c r="G100" s="29" t="b">
        <f t="shared" si="15"/>
        <v>0</v>
      </c>
      <c r="H100" s="29" t="b">
        <f t="shared" si="16"/>
        <v>0</v>
      </c>
      <c r="I100" s="32" t="e">
        <f t="shared" si="13"/>
        <v>#N/A</v>
      </c>
      <c r="J100" s="33" t="e">
        <v>#N/A</v>
      </c>
      <c r="K100" s="33" t="str">
        <f>_xll.qlSimpleQuote(,,,,EvaluationDate)</f>
        <v>obj_00649#0002</v>
      </c>
      <c r="L100" s="33">
        <f>_xll.qlSimpleQuoteSetValue(K100,J100)</f>
        <v>0</v>
      </c>
      <c r="M100" s="86" t="e">
        <f>_xll.qlInterpolationInterpolate($M$1,I100,TRUE,ISERROR($L$3:$L$127))</f>
        <v>#NUM!</v>
      </c>
      <c r="N100" s="37" t="e">
        <f>_xll.qlDayCounterYearFraction(DayCounter,E99,E100)</f>
        <v>#NUM!</v>
      </c>
      <c r="O100" s="33" t="e">
        <f t="shared" si="12"/>
        <v>#NUM!</v>
      </c>
      <c r="P100" s="33"/>
    </row>
    <row r="101" spans="1:16" x14ac:dyDescent="0.2">
      <c r="A101" s="30"/>
      <c r="B101" s="150" t="e">
        <v>#N/A</v>
      </c>
      <c r="C101" s="31" t="e">
        <f>_xll.qlRateHelperRate($B101,InterestRatesTrigger)</f>
        <v>#VALUE!</v>
      </c>
      <c r="D101" s="35" t="e">
        <f>_xll.qlRateHelperEarliestDate($B101)</f>
        <v>#VALUE!</v>
      </c>
      <c r="E101" s="36" t="e">
        <f>_xll.qlRateHelperLatestDate($B101)</f>
        <v>#VALUE!</v>
      </c>
      <c r="F101" s="29" t="b">
        <f t="shared" si="14"/>
        <v>0</v>
      </c>
      <c r="G101" s="29" t="b">
        <f t="shared" si="15"/>
        <v>0</v>
      </c>
      <c r="H101" s="29" t="b">
        <f t="shared" si="16"/>
        <v>0</v>
      </c>
      <c r="I101" s="32" t="e">
        <f t="shared" si="13"/>
        <v>#N/A</v>
      </c>
      <c r="J101" s="33" t="e">
        <v>#N/A</v>
      </c>
      <c r="K101" s="33" t="str">
        <f>_xll.qlSimpleQuote(,,,,EvaluationDate)</f>
        <v>obj_00692#0002</v>
      </c>
      <c r="L101" s="33">
        <f>_xll.qlSimpleQuoteSetValue(K101,J101)</f>
        <v>0</v>
      </c>
      <c r="M101" s="86" t="e">
        <f>_xll.qlInterpolationInterpolate($M$1,I101,TRUE,ISERROR($L$3:$L$127))</f>
        <v>#NUM!</v>
      </c>
      <c r="N101" s="37" t="e">
        <f>_xll.qlDayCounterYearFraction(DayCounter,E100,E101)</f>
        <v>#NUM!</v>
      </c>
      <c r="O101" s="33" t="e">
        <f t="shared" si="12"/>
        <v>#NUM!</v>
      </c>
      <c r="P101" s="33"/>
    </row>
    <row r="102" spans="1:16" x14ac:dyDescent="0.2">
      <c r="A102" s="30"/>
      <c r="B102" s="150" t="e">
        <v>#N/A</v>
      </c>
      <c r="C102" s="31" t="e">
        <f>_xll.qlRateHelperRate($B102,InterestRatesTrigger)</f>
        <v>#VALUE!</v>
      </c>
      <c r="D102" s="35" t="e">
        <f>_xll.qlRateHelperEarliestDate($B102)</f>
        <v>#VALUE!</v>
      </c>
      <c r="E102" s="36" t="e">
        <f>_xll.qlRateHelperLatestDate($B102)</f>
        <v>#VALUE!</v>
      </c>
      <c r="F102" s="29" t="b">
        <f t="shared" si="14"/>
        <v>0</v>
      </c>
      <c r="G102" s="29" t="b">
        <f t="shared" si="15"/>
        <v>0</v>
      </c>
      <c r="H102" s="29" t="b">
        <f t="shared" si="16"/>
        <v>0</v>
      </c>
      <c r="I102" s="32" t="e">
        <f t="shared" si="13"/>
        <v>#N/A</v>
      </c>
      <c r="J102" s="33" t="e">
        <v>#N/A</v>
      </c>
      <c r="K102" s="33" t="str">
        <f>_xll.qlSimpleQuote(,,,,EvaluationDate)</f>
        <v>obj_00653#0002</v>
      </c>
      <c r="L102" s="33">
        <f>_xll.qlSimpleQuoteSetValue(K102,J102)</f>
        <v>0</v>
      </c>
      <c r="M102" s="86" t="e">
        <f>_xll.qlInterpolationInterpolate($M$1,I102,TRUE,ISERROR($L$3:$L$127))</f>
        <v>#NUM!</v>
      </c>
      <c r="N102" s="37" t="e">
        <f>_xll.qlDayCounterYearFraction(DayCounter,E101,E102)</f>
        <v>#NUM!</v>
      </c>
      <c r="O102" s="33" t="e">
        <f t="shared" si="12"/>
        <v>#NUM!</v>
      </c>
      <c r="P102" s="33"/>
    </row>
    <row r="103" spans="1:16" x14ac:dyDescent="0.2">
      <c r="A103" s="30"/>
      <c r="B103" s="150" t="e">
        <v>#N/A</v>
      </c>
      <c r="C103" s="31" t="e">
        <f>_xll.qlRateHelperRate($B103,InterestRatesTrigger)</f>
        <v>#VALUE!</v>
      </c>
      <c r="D103" s="35" t="e">
        <f>_xll.qlRateHelperEarliestDate($B103)</f>
        <v>#VALUE!</v>
      </c>
      <c r="E103" s="36" t="e">
        <f>_xll.qlRateHelperLatestDate($B103)</f>
        <v>#VALUE!</v>
      </c>
      <c r="F103" s="29" t="b">
        <f t="shared" si="14"/>
        <v>0</v>
      </c>
      <c r="G103" s="29" t="b">
        <f t="shared" si="15"/>
        <v>0</v>
      </c>
      <c r="H103" s="29" t="b">
        <f t="shared" si="16"/>
        <v>0</v>
      </c>
      <c r="I103" s="32" t="e">
        <f t="shared" si="13"/>
        <v>#N/A</v>
      </c>
      <c r="J103" s="33" t="e">
        <v>#N/A</v>
      </c>
      <c r="K103" s="33" t="str">
        <f>_xll.qlSimpleQuote(,,,,EvaluationDate)</f>
        <v>obj_00688#0002</v>
      </c>
      <c r="L103" s="33">
        <f>_xll.qlSimpleQuoteSetValue(K103,J103)</f>
        <v>0</v>
      </c>
      <c r="M103" s="86" t="e">
        <f>_xll.qlInterpolationInterpolate($M$1,I103,TRUE,ISERROR($L$3:$L$127))</f>
        <v>#NUM!</v>
      </c>
      <c r="N103" s="37" t="e">
        <f>_xll.qlDayCounterYearFraction(DayCounter,E102,E103)</f>
        <v>#NUM!</v>
      </c>
      <c r="O103" s="33" t="e">
        <f t="shared" si="12"/>
        <v>#NUM!</v>
      </c>
      <c r="P103" s="33"/>
    </row>
    <row r="104" spans="1:16" x14ac:dyDescent="0.2">
      <c r="A104" s="30"/>
      <c r="B104" s="150" t="e">
        <v>#N/A</v>
      </c>
      <c r="C104" s="31" t="e">
        <f>_xll.qlRateHelperRate($B104,InterestRatesTrigger)</f>
        <v>#VALUE!</v>
      </c>
      <c r="D104" s="35" t="e">
        <f>_xll.qlRateHelperEarliestDate($B104)</f>
        <v>#VALUE!</v>
      </c>
      <c r="E104" s="36" t="e">
        <f>_xll.qlRateHelperLatestDate($B104)</f>
        <v>#VALUE!</v>
      </c>
      <c r="F104" s="29" t="b">
        <f t="shared" si="14"/>
        <v>0</v>
      </c>
      <c r="G104" s="29" t="b">
        <f t="shared" si="15"/>
        <v>0</v>
      </c>
      <c r="H104" s="29" t="b">
        <f t="shared" si="16"/>
        <v>0</v>
      </c>
      <c r="I104" s="32" t="e">
        <f t="shared" si="13"/>
        <v>#N/A</v>
      </c>
      <c r="J104" s="33" t="e">
        <v>#N/A</v>
      </c>
      <c r="K104" s="33" t="str">
        <f>_xll.qlSimpleQuote(,,,,EvaluationDate)</f>
        <v>obj_00641#0002</v>
      </c>
      <c r="L104" s="33">
        <f>_xll.qlSimpleQuoteSetValue(K104,J104)</f>
        <v>0</v>
      </c>
      <c r="M104" s="86" t="e">
        <f>_xll.qlInterpolationInterpolate($M$1,I104,TRUE,ISERROR($L$3:$L$127))</f>
        <v>#NUM!</v>
      </c>
      <c r="N104" s="37" t="e">
        <f>_xll.qlDayCounterYearFraction(DayCounter,E103,E104)</f>
        <v>#NUM!</v>
      </c>
      <c r="O104" s="33" t="e">
        <f t="shared" si="12"/>
        <v>#NUM!</v>
      </c>
      <c r="P104" s="33"/>
    </row>
    <row r="105" spans="1:16" x14ac:dyDescent="0.2">
      <c r="A105" s="30"/>
      <c r="B105" s="150" t="e">
        <v>#N/A</v>
      </c>
      <c r="C105" s="31" t="e">
        <f>_xll.qlRateHelperRate($B105,InterestRatesTrigger)</f>
        <v>#VALUE!</v>
      </c>
      <c r="D105" s="35" t="e">
        <f>_xll.qlRateHelperEarliestDate($B105)</f>
        <v>#VALUE!</v>
      </c>
      <c r="E105" s="36" t="e">
        <f>_xll.qlRateHelperLatestDate($B105)</f>
        <v>#VALUE!</v>
      </c>
      <c r="F105" s="29" t="b">
        <f t="shared" si="14"/>
        <v>0</v>
      </c>
      <c r="G105" s="29" t="b">
        <f t="shared" si="15"/>
        <v>0</v>
      </c>
      <c r="H105" s="29" t="b">
        <f t="shared" si="16"/>
        <v>0</v>
      </c>
      <c r="I105" s="32" t="e">
        <f t="shared" si="13"/>
        <v>#N/A</v>
      </c>
      <c r="J105" s="33" t="e">
        <v>#N/A</v>
      </c>
      <c r="K105" s="33" t="str">
        <f>_xll.qlSimpleQuote(,,,,EvaluationDate)</f>
        <v>obj_006a4#0002</v>
      </c>
      <c r="L105" s="33">
        <f>_xll.qlSimpleQuoteSetValue(K105,J105)</f>
        <v>0</v>
      </c>
      <c r="M105" s="86" t="e">
        <f>_xll.qlInterpolationInterpolate($M$1,I105,TRUE,ISERROR($L$3:$L$127))</f>
        <v>#NUM!</v>
      </c>
      <c r="N105" s="37" t="e">
        <f>_xll.qlDayCounterYearFraction(DayCounter,E104,E105)</f>
        <v>#NUM!</v>
      </c>
      <c r="O105" s="33" t="e">
        <f t="shared" si="12"/>
        <v>#NUM!</v>
      </c>
      <c r="P105" s="33"/>
    </row>
    <row r="106" spans="1:16" x14ac:dyDescent="0.2">
      <c r="A106" s="30"/>
      <c r="B106" s="150" t="e">
        <v>#N/A</v>
      </c>
      <c r="C106" s="31" t="e">
        <f>_xll.qlRateHelperRate($B106,InterestRatesTrigger)</f>
        <v>#VALUE!</v>
      </c>
      <c r="D106" s="35" t="e">
        <f>_xll.qlRateHelperEarliestDate($B106)</f>
        <v>#VALUE!</v>
      </c>
      <c r="E106" s="36" t="e">
        <f>_xll.qlRateHelperLatestDate($B106)</f>
        <v>#VALUE!</v>
      </c>
      <c r="F106" s="29" t="b">
        <f t="shared" si="14"/>
        <v>0</v>
      </c>
      <c r="G106" s="29" t="b">
        <f t="shared" si="15"/>
        <v>0</v>
      </c>
      <c r="H106" s="29" t="b">
        <f t="shared" si="16"/>
        <v>0</v>
      </c>
      <c r="I106" s="32" t="e">
        <f t="shared" si="13"/>
        <v>#N/A</v>
      </c>
      <c r="J106" s="33" t="e">
        <v>#N/A</v>
      </c>
      <c r="K106" s="33" t="str">
        <f>_xll.qlSimpleQuote(,,,,EvaluationDate)</f>
        <v>obj_0069d#0002</v>
      </c>
      <c r="L106" s="33">
        <f>_xll.qlSimpleQuoteSetValue(K106,J106)</f>
        <v>0</v>
      </c>
      <c r="M106" s="86" t="e">
        <f>_xll.qlInterpolationInterpolate($M$1,I106,TRUE,ISERROR($L$3:$L$127))</f>
        <v>#NUM!</v>
      </c>
      <c r="N106" s="37" t="e">
        <f>_xll.qlDayCounterYearFraction(DayCounter,E105,E106)</f>
        <v>#NUM!</v>
      </c>
      <c r="O106" s="33" t="e">
        <f t="shared" si="12"/>
        <v>#NUM!</v>
      </c>
      <c r="P106" s="33"/>
    </row>
    <row r="107" spans="1:16" x14ac:dyDescent="0.2">
      <c r="A107" s="30"/>
      <c r="B107" s="150" t="e">
        <v>#N/A</v>
      </c>
      <c r="C107" s="31" t="e">
        <f>_xll.qlRateHelperRate($B107,InterestRatesTrigger)</f>
        <v>#VALUE!</v>
      </c>
      <c r="D107" s="35" t="e">
        <f>_xll.qlRateHelperEarliestDate($B107)</f>
        <v>#VALUE!</v>
      </c>
      <c r="E107" s="36" t="e">
        <f>_xll.qlRateHelperLatestDate($B107)</f>
        <v>#VALUE!</v>
      </c>
      <c r="F107" s="29" t="b">
        <f t="shared" si="14"/>
        <v>0</v>
      </c>
      <c r="G107" s="29" t="b">
        <f t="shared" si="15"/>
        <v>0</v>
      </c>
      <c r="H107" s="29" t="b">
        <f t="shared" si="16"/>
        <v>0</v>
      </c>
      <c r="I107" s="32" t="e">
        <f t="shared" si="13"/>
        <v>#N/A</v>
      </c>
      <c r="J107" s="33" t="e">
        <v>#N/A</v>
      </c>
      <c r="K107" s="33" t="str">
        <f>_xll.qlSimpleQuote(,,,,EvaluationDate)</f>
        <v>obj_0069a#0002</v>
      </c>
      <c r="L107" s="33">
        <f>_xll.qlSimpleQuoteSetValue(K107,J107)</f>
        <v>0</v>
      </c>
      <c r="M107" s="86" t="e">
        <f>_xll.qlInterpolationInterpolate($M$1,I107,TRUE,ISERROR($L$3:$L$127))</f>
        <v>#NUM!</v>
      </c>
      <c r="N107" s="37" t="e">
        <f>_xll.qlDayCounterYearFraction(DayCounter,E106,E107)</f>
        <v>#NUM!</v>
      </c>
      <c r="O107" s="33" t="e">
        <f t="shared" si="12"/>
        <v>#NUM!</v>
      </c>
      <c r="P107" s="33"/>
    </row>
    <row r="108" spans="1:16" x14ac:dyDescent="0.2">
      <c r="A108" s="30"/>
      <c r="B108" s="150" t="e">
        <v>#N/A</v>
      </c>
      <c r="C108" s="31" t="e">
        <f>_xll.qlRateHelperRate($B108,InterestRatesTrigger)</f>
        <v>#VALUE!</v>
      </c>
      <c r="D108" s="35" t="e">
        <f>_xll.qlRateHelperEarliestDate($B108)</f>
        <v>#VALUE!</v>
      </c>
      <c r="E108" s="36" t="e">
        <f>_xll.qlRateHelperLatestDate($B108)</f>
        <v>#VALUE!</v>
      </c>
      <c r="F108" s="29" t="b">
        <f t="shared" si="14"/>
        <v>0</v>
      </c>
      <c r="G108" s="29" t="b">
        <f t="shared" si="15"/>
        <v>0</v>
      </c>
      <c r="H108" s="29" t="b">
        <f t="shared" si="16"/>
        <v>0</v>
      </c>
      <c r="I108" s="32" t="e">
        <f t="shared" si="13"/>
        <v>#N/A</v>
      </c>
      <c r="J108" s="33" t="e">
        <v>#N/A</v>
      </c>
      <c r="K108" s="33" t="str">
        <f>_xll.qlSimpleQuote(,,,,EvaluationDate)</f>
        <v>obj_006ac#0002</v>
      </c>
      <c r="L108" s="33">
        <f>_xll.qlSimpleQuoteSetValue(K108,J108)</f>
        <v>0</v>
      </c>
      <c r="M108" s="86" t="e">
        <f>_xll.qlInterpolationInterpolate($M$1,I108,TRUE,ISERROR($L$3:$L$127))</f>
        <v>#NUM!</v>
      </c>
      <c r="N108" s="37" t="e">
        <f>_xll.qlDayCounterYearFraction(DayCounter,E107,E108)</f>
        <v>#NUM!</v>
      </c>
      <c r="O108" s="33" t="e">
        <f t="shared" si="12"/>
        <v>#NUM!</v>
      </c>
      <c r="P108" s="33"/>
    </row>
    <row r="109" spans="1:16" x14ac:dyDescent="0.2">
      <c r="A109" s="30"/>
      <c r="B109" s="150" t="e">
        <v>#N/A</v>
      </c>
      <c r="C109" s="31" t="e">
        <f>_xll.qlRateHelperRate($B109,InterestRatesTrigger)</f>
        <v>#VALUE!</v>
      </c>
      <c r="D109" s="35" t="e">
        <f>_xll.qlRateHelperEarliestDate($B109)</f>
        <v>#VALUE!</v>
      </c>
      <c r="E109" s="36" t="e">
        <f>_xll.qlRateHelperLatestDate($B109)</f>
        <v>#VALUE!</v>
      </c>
      <c r="F109" s="29" t="b">
        <f t="shared" si="14"/>
        <v>0</v>
      </c>
      <c r="G109" s="29" t="b">
        <f t="shared" si="15"/>
        <v>0</v>
      </c>
      <c r="H109" s="29" t="b">
        <f t="shared" si="16"/>
        <v>0</v>
      </c>
      <c r="I109" s="32" t="e">
        <f t="shared" si="13"/>
        <v>#N/A</v>
      </c>
      <c r="J109" s="33" t="e">
        <v>#N/A</v>
      </c>
      <c r="K109" s="33" t="str">
        <f>_xll.qlSimpleQuote(,,,,EvaluationDate)</f>
        <v>obj_00643#0002</v>
      </c>
      <c r="L109" s="33">
        <f>_xll.qlSimpleQuoteSetValue(K109,J109)</f>
        <v>0</v>
      </c>
      <c r="M109" s="86" t="e">
        <f>_xll.qlInterpolationInterpolate($M$1,I109,TRUE,ISERROR($L$3:$L$127))</f>
        <v>#NUM!</v>
      </c>
      <c r="N109" s="37" t="e">
        <f>_xll.qlDayCounterYearFraction(DayCounter,E108,E109)</f>
        <v>#NUM!</v>
      </c>
      <c r="O109" s="33" t="e">
        <f t="shared" si="12"/>
        <v>#NUM!</v>
      </c>
      <c r="P109" s="33"/>
    </row>
    <row r="110" spans="1:16" x14ac:dyDescent="0.2">
      <c r="A110" s="30"/>
      <c r="B110" s="150" t="e">
        <v>#N/A</v>
      </c>
      <c r="C110" s="31" t="e">
        <f>_xll.qlRateHelperRate($B110,InterestRatesTrigger)</f>
        <v>#VALUE!</v>
      </c>
      <c r="D110" s="35" t="e">
        <f>_xll.qlRateHelperEarliestDate($B110)</f>
        <v>#VALUE!</v>
      </c>
      <c r="E110" s="36" t="e">
        <f>_xll.qlRateHelperLatestDate($B110)</f>
        <v>#VALUE!</v>
      </c>
      <c r="F110" s="29" t="b">
        <f t="shared" si="14"/>
        <v>0</v>
      </c>
      <c r="G110" s="29" t="b">
        <f t="shared" si="15"/>
        <v>0</v>
      </c>
      <c r="H110" s="29" t="b">
        <f t="shared" si="16"/>
        <v>0</v>
      </c>
      <c r="I110" s="32" t="e">
        <f t="shared" si="13"/>
        <v>#N/A</v>
      </c>
      <c r="J110" s="33" t="e">
        <v>#N/A</v>
      </c>
      <c r="K110" s="33" t="str">
        <f>_xll.qlSimpleQuote(,,,,EvaluationDate)</f>
        <v>obj_00682#0002</v>
      </c>
      <c r="L110" s="33">
        <f>_xll.qlSimpleQuoteSetValue(K110,J110)</f>
        <v>0</v>
      </c>
      <c r="M110" s="86" t="e">
        <f>_xll.qlInterpolationInterpolate($M$1,I110,TRUE,ISERROR($L$3:$L$127))</f>
        <v>#NUM!</v>
      </c>
      <c r="N110" s="37" t="e">
        <f>_xll.qlDayCounterYearFraction(DayCounter,E109,E110)</f>
        <v>#NUM!</v>
      </c>
      <c r="O110" s="33" t="e">
        <f t="shared" si="12"/>
        <v>#NUM!</v>
      </c>
      <c r="P110" s="33"/>
    </row>
    <row r="111" spans="1:16" x14ac:dyDescent="0.2">
      <c r="A111" s="30"/>
      <c r="B111" s="150" t="e">
        <v>#N/A</v>
      </c>
      <c r="C111" s="31" t="e">
        <f>_xll.qlRateHelperRate($B111,InterestRatesTrigger)</f>
        <v>#VALUE!</v>
      </c>
      <c r="D111" s="35" t="e">
        <f>_xll.qlRateHelperEarliestDate($B111)</f>
        <v>#VALUE!</v>
      </c>
      <c r="E111" s="36" t="e">
        <f>_xll.qlRateHelperLatestDate($B111)</f>
        <v>#VALUE!</v>
      </c>
      <c r="F111" s="29" t="b">
        <f t="shared" si="14"/>
        <v>0</v>
      </c>
      <c r="G111" s="29" t="b">
        <f t="shared" si="15"/>
        <v>0</v>
      </c>
      <c r="H111" s="29" t="b">
        <f t="shared" si="16"/>
        <v>0</v>
      </c>
      <c r="I111" s="32" t="e">
        <f t="shared" si="13"/>
        <v>#N/A</v>
      </c>
      <c r="J111" s="33" t="e">
        <v>#N/A</v>
      </c>
      <c r="K111" s="33" t="str">
        <f>_xll.qlSimpleQuote(,,,,EvaluationDate)</f>
        <v>obj_00647#0002</v>
      </c>
      <c r="L111" s="33">
        <f>_xll.qlSimpleQuoteSetValue(K111,J111)</f>
        <v>0</v>
      </c>
      <c r="M111" s="86" t="e">
        <f>_xll.qlInterpolationInterpolate($M$1,I111,TRUE,ISERROR($L$3:$L$127))</f>
        <v>#NUM!</v>
      </c>
      <c r="N111" s="37" t="e">
        <f>_xll.qlDayCounterYearFraction(DayCounter,E110,E111)</f>
        <v>#NUM!</v>
      </c>
      <c r="O111" s="33" t="e">
        <f t="shared" si="12"/>
        <v>#NUM!</v>
      </c>
      <c r="P111" s="33"/>
    </row>
    <row r="112" spans="1:16" x14ac:dyDescent="0.2">
      <c r="A112" s="30"/>
      <c r="B112" s="150" t="e">
        <v>#N/A</v>
      </c>
      <c r="C112" s="31" t="e">
        <f>_xll.qlRateHelperRate($B112,InterestRatesTrigger)</f>
        <v>#VALUE!</v>
      </c>
      <c r="D112" s="35" t="e">
        <f>_xll.qlRateHelperEarliestDate($B112)</f>
        <v>#VALUE!</v>
      </c>
      <c r="E112" s="36" t="e">
        <f>_xll.qlRateHelperLatestDate($B112)</f>
        <v>#VALUE!</v>
      </c>
      <c r="F112" s="29" t="b">
        <f t="shared" si="14"/>
        <v>0</v>
      </c>
      <c r="G112" s="29" t="b">
        <f t="shared" si="15"/>
        <v>0</v>
      </c>
      <c r="H112" s="29" t="b">
        <f t="shared" si="16"/>
        <v>0</v>
      </c>
      <c r="I112" s="32" t="e">
        <f t="shared" si="13"/>
        <v>#N/A</v>
      </c>
      <c r="J112" s="33" t="e">
        <v>#N/A</v>
      </c>
      <c r="K112" s="33" t="str">
        <f>_xll.qlSimpleQuote(,,,,EvaluationDate)</f>
        <v>obj_00648#0002</v>
      </c>
      <c r="L112" s="33">
        <f>_xll.qlSimpleQuoteSetValue(K112,J112)</f>
        <v>0</v>
      </c>
      <c r="M112" s="86" t="e">
        <f>_xll.qlInterpolationInterpolate($M$1,I112,TRUE,ISERROR($L$3:$L$127))</f>
        <v>#NUM!</v>
      </c>
      <c r="N112" s="37" t="e">
        <f>_xll.qlDayCounterYearFraction(DayCounter,E111,E112)</f>
        <v>#NUM!</v>
      </c>
      <c r="O112" s="33" t="e">
        <f t="shared" si="12"/>
        <v>#NUM!</v>
      </c>
      <c r="P112" s="33"/>
    </row>
    <row r="113" spans="1:16" x14ac:dyDescent="0.2">
      <c r="A113" s="30"/>
      <c r="B113" s="150" t="e">
        <v>#N/A</v>
      </c>
      <c r="C113" s="31" t="e">
        <f>_xll.qlRateHelperRate($B113,InterestRatesTrigger)</f>
        <v>#VALUE!</v>
      </c>
      <c r="D113" s="35" t="e">
        <f>_xll.qlRateHelperEarliestDate($B113)</f>
        <v>#VALUE!</v>
      </c>
      <c r="E113" s="36" t="e">
        <f>_xll.qlRateHelperLatestDate($B113)</f>
        <v>#VALUE!</v>
      </c>
      <c r="F113" s="29" t="b">
        <f t="shared" si="14"/>
        <v>0</v>
      </c>
      <c r="G113" s="29" t="b">
        <f t="shared" si="15"/>
        <v>0</v>
      </c>
      <c r="H113" s="29" t="b">
        <f t="shared" si="16"/>
        <v>0</v>
      </c>
      <c r="I113" s="32" t="e">
        <f t="shared" si="13"/>
        <v>#N/A</v>
      </c>
      <c r="J113" s="33" t="e">
        <v>#N/A</v>
      </c>
      <c r="K113" s="33" t="str">
        <f>_xll.qlSimpleQuote(,,,,EvaluationDate)</f>
        <v>obj_006aa#0002</v>
      </c>
      <c r="L113" s="33">
        <f>_xll.qlSimpleQuoteSetValue(K113,J113)</f>
        <v>0</v>
      </c>
      <c r="M113" s="86" t="e">
        <f>_xll.qlInterpolationInterpolate($M$1,I113,TRUE,ISERROR($L$3:$L$127))</f>
        <v>#NUM!</v>
      </c>
      <c r="N113" s="37" t="e">
        <f>_xll.qlDayCounterYearFraction(DayCounter,E112,E113)</f>
        <v>#NUM!</v>
      </c>
      <c r="O113" s="33" t="e">
        <f t="shared" si="12"/>
        <v>#NUM!</v>
      </c>
      <c r="P113" s="33"/>
    </row>
    <row r="114" spans="1:16" x14ac:dyDescent="0.2">
      <c r="A114" s="30"/>
      <c r="B114" s="150" t="e">
        <v>#N/A</v>
      </c>
      <c r="C114" s="31" t="e">
        <f>_xll.qlRateHelperRate($B114,InterestRatesTrigger)</f>
        <v>#VALUE!</v>
      </c>
      <c r="D114" s="35" t="e">
        <f>_xll.qlRateHelperEarliestDate($B114)</f>
        <v>#VALUE!</v>
      </c>
      <c r="E114" s="36" t="e">
        <f>_xll.qlRateHelperLatestDate($B114)</f>
        <v>#VALUE!</v>
      </c>
      <c r="F114" s="29" t="b">
        <f t="shared" si="14"/>
        <v>0</v>
      </c>
      <c r="G114" s="29" t="b">
        <f t="shared" si="15"/>
        <v>0</v>
      </c>
      <c r="H114" s="29" t="b">
        <f t="shared" si="16"/>
        <v>0</v>
      </c>
      <c r="I114" s="32" t="e">
        <f t="shared" si="13"/>
        <v>#N/A</v>
      </c>
      <c r="J114" s="33" t="e">
        <v>#N/A</v>
      </c>
      <c r="K114" s="33" t="str">
        <f>_xll.qlSimpleQuote(,,,,EvaluationDate)</f>
        <v>obj_00664#0002</v>
      </c>
      <c r="L114" s="33">
        <f>_xll.qlSimpleQuoteSetValue(K114,J114)</f>
        <v>0</v>
      </c>
      <c r="M114" s="86" t="e">
        <f>_xll.qlInterpolationInterpolate($M$1,I114,TRUE,ISERROR($L$3:$L$127))</f>
        <v>#NUM!</v>
      </c>
      <c r="N114" s="37" t="e">
        <f>_xll.qlDayCounterYearFraction(DayCounter,E113,E114)</f>
        <v>#NUM!</v>
      </c>
      <c r="O114" s="33" t="e">
        <f t="shared" si="12"/>
        <v>#NUM!</v>
      </c>
      <c r="P114" s="33"/>
    </row>
    <row r="115" spans="1:16" x14ac:dyDescent="0.2">
      <c r="A115" s="30"/>
      <c r="B115" s="150" t="e">
        <v>#N/A</v>
      </c>
      <c r="C115" s="31" t="e">
        <f>_xll.qlRateHelperRate($B115,InterestRatesTrigger)</f>
        <v>#VALUE!</v>
      </c>
      <c r="D115" s="35" t="e">
        <f>_xll.qlRateHelperEarliestDate($B115)</f>
        <v>#VALUE!</v>
      </c>
      <c r="E115" s="36" t="e">
        <f>_xll.qlRateHelperLatestDate($B115)</f>
        <v>#VALUE!</v>
      </c>
      <c r="F115" s="29" t="b">
        <f t="shared" si="14"/>
        <v>0</v>
      </c>
      <c r="G115" s="29" t="b">
        <f t="shared" si="15"/>
        <v>0</v>
      </c>
      <c r="H115" s="29" t="b">
        <f t="shared" si="16"/>
        <v>0</v>
      </c>
      <c r="I115" s="32" t="e">
        <f t="shared" si="13"/>
        <v>#N/A</v>
      </c>
      <c r="J115" s="33" t="e">
        <v>#N/A</v>
      </c>
      <c r="K115" s="33" t="str">
        <f>_xll.qlSimpleQuote(,,,,EvaluationDate)</f>
        <v>obj_00638#0002</v>
      </c>
      <c r="L115" s="33">
        <f>_xll.qlSimpleQuoteSetValue(K115,J115)</f>
        <v>0</v>
      </c>
      <c r="M115" s="86" t="e">
        <f>_xll.qlInterpolationInterpolate($M$1,I115,TRUE,ISERROR($L$3:$L$127))</f>
        <v>#NUM!</v>
      </c>
      <c r="N115" s="37" t="e">
        <f>_xll.qlDayCounterYearFraction(DayCounter,E114,E115)</f>
        <v>#NUM!</v>
      </c>
      <c r="O115" s="33" t="e">
        <f t="shared" si="12"/>
        <v>#NUM!</v>
      </c>
      <c r="P115" s="33"/>
    </row>
    <row r="116" spans="1:16" x14ac:dyDescent="0.2">
      <c r="A116" s="30"/>
      <c r="B116" s="150" t="e">
        <v>#N/A</v>
      </c>
      <c r="C116" s="31" t="e">
        <f>_xll.qlRateHelperRate($B116,InterestRatesTrigger)</f>
        <v>#VALUE!</v>
      </c>
      <c r="D116" s="35" t="e">
        <f>_xll.qlRateHelperEarliestDate($B116)</f>
        <v>#VALUE!</v>
      </c>
      <c r="E116" s="36" t="e">
        <f>_xll.qlRateHelperLatestDate($B116)</f>
        <v>#VALUE!</v>
      </c>
      <c r="F116" s="29" t="b">
        <f t="shared" si="14"/>
        <v>0</v>
      </c>
      <c r="G116" s="29" t="b">
        <f t="shared" si="15"/>
        <v>0</v>
      </c>
      <c r="H116" s="29" t="b">
        <f t="shared" si="16"/>
        <v>0</v>
      </c>
      <c r="I116" s="32" t="e">
        <f t="shared" si="13"/>
        <v>#N/A</v>
      </c>
      <c r="J116" s="33" t="e">
        <v>#N/A</v>
      </c>
      <c r="K116" s="33" t="str">
        <f>_xll.qlSimpleQuote(,,,,EvaluationDate)</f>
        <v>obj_006c3#0002</v>
      </c>
      <c r="L116" s="33">
        <f>_xll.qlSimpleQuoteSetValue(K116,J116)</f>
        <v>0</v>
      </c>
      <c r="M116" s="86" t="e">
        <f>_xll.qlInterpolationInterpolate($M$1,I116,TRUE,ISERROR($L$3:$L$127))</f>
        <v>#NUM!</v>
      </c>
      <c r="N116" s="37" t="e">
        <f>_xll.qlDayCounterYearFraction(DayCounter,E115,E116)</f>
        <v>#NUM!</v>
      </c>
      <c r="O116" s="33" t="e">
        <f t="shared" si="12"/>
        <v>#NUM!</v>
      </c>
      <c r="P116" s="33"/>
    </row>
    <row r="117" spans="1:16" x14ac:dyDescent="0.2">
      <c r="A117" s="30"/>
      <c r="B117" s="150" t="e">
        <v>#N/A</v>
      </c>
      <c r="C117" s="31" t="e">
        <f>_xll.qlRateHelperRate($B117,InterestRatesTrigger)</f>
        <v>#VALUE!</v>
      </c>
      <c r="D117" s="35" t="e">
        <f>_xll.qlRateHelperEarliestDate($B117)</f>
        <v>#VALUE!</v>
      </c>
      <c r="E117" s="36" t="e">
        <f>_xll.qlRateHelperLatestDate($B117)</f>
        <v>#VALUE!</v>
      </c>
      <c r="F117" s="29" t="b">
        <f t="shared" si="14"/>
        <v>0</v>
      </c>
      <c r="G117" s="29" t="b">
        <f t="shared" si="15"/>
        <v>0</v>
      </c>
      <c r="H117" s="29" t="b">
        <f t="shared" si="16"/>
        <v>0</v>
      </c>
      <c r="I117" s="32" t="e">
        <f t="shared" si="13"/>
        <v>#N/A</v>
      </c>
      <c r="J117" s="33" t="e">
        <v>#N/A</v>
      </c>
      <c r="K117" s="33" t="str">
        <f>_xll.qlSimpleQuote(,,,,EvaluationDate)</f>
        <v>obj_006a7#0002</v>
      </c>
      <c r="L117" s="33">
        <f>_xll.qlSimpleQuoteSetValue(K117,J117)</f>
        <v>0</v>
      </c>
      <c r="M117" s="86" t="e">
        <f>_xll.qlInterpolationInterpolate($M$1,I117,TRUE,ISERROR($L$3:$L$127))</f>
        <v>#NUM!</v>
      </c>
      <c r="N117" s="37" t="e">
        <f>_xll.qlDayCounterYearFraction(DayCounter,E116,E117)</f>
        <v>#NUM!</v>
      </c>
      <c r="O117" s="33" t="e">
        <f t="shared" si="12"/>
        <v>#NUM!</v>
      </c>
      <c r="P117" s="33"/>
    </row>
    <row r="118" spans="1:16" x14ac:dyDescent="0.2">
      <c r="A118" s="30"/>
      <c r="B118" s="150" t="e">
        <v>#N/A</v>
      </c>
      <c r="C118" s="31" t="e">
        <f>_xll.qlRateHelperRate($B118,InterestRatesTrigger)</f>
        <v>#VALUE!</v>
      </c>
      <c r="D118" s="35" t="e">
        <f>_xll.qlRateHelperEarliestDate($B118)</f>
        <v>#VALUE!</v>
      </c>
      <c r="E118" s="36" t="e">
        <f>_xll.qlRateHelperLatestDate($B118)</f>
        <v>#VALUE!</v>
      </c>
      <c r="F118" s="29" t="b">
        <f t="shared" si="14"/>
        <v>0</v>
      </c>
      <c r="G118" s="29" t="b">
        <f t="shared" si="15"/>
        <v>0</v>
      </c>
      <c r="H118" s="29" t="b">
        <f t="shared" si="16"/>
        <v>0</v>
      </c>
      <c r="I118" s="32" t="e">
        <f t="shared" si="13"/>
        <v>#N/A</v>
      </c>
      <c r="J118" s="33" t="e">
        <v>#N/A</v>
      </c>
      <c r="K118" s="33" t="str">
        <f>_xll.qlSimpleQuote(,,,,EvaluationDate)</f>
        <v>obj_0067c#0002</v>
      </c>
      <c r="L118" s="33">
        <f>_xll.qlSimpleQuoteSetValue(K118,J118)</f>
        <v>0</v>
      </c>
      <c r="M118" s="86" t="e">
        <f>_xll.qlInterpolationInterpolate($M$1,I118,TRUE,ISERROR($L$3:$L$127))</f>
        <v>#NUM!</v>
      </c>
      <c r="N118" s="37" t="e">
        <f>_xll.qlDayCounterYearFraction(DayCounter,E117,E118)</f>
        <v>#NUM!</v>
      </c>
      <c r="O118" s="33" t="e">
        <f t="shared" si="12"/>
        <v>#NUM!</v>
      </c>
      <c r="P118" s="33"/>
    </row>
    <row r="119" spans="1:16" x14ac:dyDescent="0.2">
      <c r="A119" s="30"/>
      <c r="B119" s="150" t="e">
        <v>#N/A</v>
      </c>
      <c r="C119" s="31" t="e">
        <f>_xll.qlRateHelperRate($B119,InterestRatesTrigger)</f>
        <v>#VALUE!</v>
      </c>
      <c r="D119" s="35" t="e">
        <f>_xll.qlRateHelperEarliestDate($B119)</f>
        <v>#VALUE!</v>
      </c>
      <c r="E119" s="36" t="e">
        <f>_xll.qlRateHelperLatestDate($B119)</f>
        <v>#VALUE!</v>
      </c>
      <c r="F119" s="29" t="b">
        <f t="shared" si="14"/>
        <v>0</v>
      </c>
      <c r="G119" s="29" t="b">
        <f t="shared" si="15"/>
        <v>0</v>
      </c>
      <c r="H119" s="29" t="b">
        <f t="shared" si="16"/>
        <v>0</v>
      </c>
      <c r="I119" s="32" t="e">
        <f t="shared" si="13"/>
        <v>#N/A</v>
      </c>
      <c r="J119" s="33" t="e">
        <v>#N/A</v>
      </c>
      <c r="K119" s="33" t="str">
        <f>_xll.qlSimpleQuote(,,,,EvaluationDate)</f>
        <v>obj_00662#0002</v>
      </c>
      <c r="L119" s="33">
        <f>_xll.qlSimpleQuoteSetValue(K119,J119)</f>
        <v>0</v>
      </c>
      <c r="M119" s="86" t="e">
        <f>_xll.qlInterpolationInterpolate($M$1,I119,TRUE,ISERROR($L$3:$L$127))</f>
        <v>#NUM!</v>
      </c>
      <c r="N119" s="37" t="e">
        <f>_xll.qlDayCounterYearFraction(DayCounter,E118,E119)</f>
        <v>#NUM!</v>
      </c>
      <c r="O119" s="33" t="e">
        <f t="shared" si="12"/>
        <v>#NUM!</v>
      </c>
      <c r="P119" s="33"/>
    </row>
    <row r="120" spans="1:16" x14ac:dyDescent="0.2">
      <c r="A120" s="30"/>
      <c r="B120" s="150" t="e">
        <v>#N/A</v>
      </c>
      <c r="C120" s="31" t="e">
        <f>_xll.qlRateHelperRate($B120,InterestRatesTrigger)</f>
        <v>#VALUE!</v>
      </c>
      <c r="D120" s="35" t="e">
        <f>_xll.qlRateHelperEarliestDate($B120)</f>
        <v>#VALUE!</v>
      </c>
      <c r="E120" s="36" t="e">
        <f>_xll.qlRateHelperLatestDate($B120)</f>
        <v>#VALUE!</v>
      </c>
      <c r="F120" s="29" t="b">
        <f t="shared" si="14"/>
        <v>0</v>
      </c>
      <c r="G120" s="29" t="b">
        <f t="shared" si="15"/>
        <v>0</v>
      </c>
      <c r="H120" s="29" t="b">
        <f t="shared" si="16"/>
        <v>0</v>
      </c>
      <c r="I120" s="32" t="e">
        <f t="shared" si="13"/>
        <v>#N/A</v>
      </c>
      <c r="J120" s="33" t="e">
        <v>#N/A</v>
      </c>
      <c r="K120" s="33" t="str">
        <f>_xll.qlSimpleQuote(,,,,EvaluationDate)</f>
        <v>obj_006ad#0002</v>
      </c>
      <c r="L120" s="33">
        <f>_xll.qlSimpleQuoteSetValue(K120,J120)</f>
        <v>0</v>
      </c>
      <c r="M120" s="86" t="e">
        <f>_xll.qlInterpolationInterpolate($M$1,I120,TRUE,ISERROR($L$3:$L$127))</f>
        <v>#NUM!</v>
      </c>
      <c r="N120" s="37" t="e">
        <f>_xll.qlDayCounterYearFraction(DayCounter,E119,E120)</f>
        <v>#NUM!</v>
      </c>
      <c r="O120" s="33" t="e">
        <f t="shared" si="12"/>
        <v>#NUM!</v>
      </c>
      <c r="P120" s="33"/>
    </row>
    <row r="121" spans="1:16" x14ac:dyDescent="0.2">
      <c r="A121" s="30"/>
      <c r="B121" s="150" t="e">
        <v>#N/A</v>
      </c>
      <c r="C121" s="31" t="e">
        <f>_xll.qlRateHelperRate($B121,InterestRatesTrigger)</f>
        <v>#VALUE!</v>
      </c>
      <c r="D121" s="35" t="e">
        <f>_xll.qlRateHelperEarliestDate($B121)</f>
        <v>#VALUE!</v>
      </c>
      <c r="E121" s="36" t="e">
        <f>_xll.qlRateHelperLatestDate($B121)</f>
        <v>#VALUE!</v>
      </c>
      <c r="F121" s="29" t="b">
        <f t="shared" si="14"/>
        <v>0</v>
      </c>
      <c r="G121" s="29" t="b">
        <f t="shared" si="15"/>
        <v>0</v>
      </c>
      <c r="H121" s="29" t="b">
        <f t="shared" si="16"/>
        <v>0</v>
      </c>
      <c r="I121" s="32" t="e">
        <f t="shared" si="13"/>
        <v>#N/A</v>
      </c>
      <c r="J121" s="33" t="e">
        <v>#N/A</v>
      </c>
      <c r="K121" s="33" t="str">
        <f>_xll.qlSimpleQuote(,,,,EvaluationDate)</f>
        <v>obj_006c6#0002</v>
      </c>
      <c r="L121" s="33">
        <f>_xll.qlSimpleQuoteSetValue(K121,J121)</f>
        <v>0</v>
      </c>
      <c r="M121" s="86" t="e">
        <f>_xll.qlInterpolationInterpolate($M$1,I121,TRUE,ISERROR($L$3:$L$127))</f>
        <v>#NUM!</v>
      </c>
      <c r="N121" s="37" t="e">
        <f>_xll.qlDayCounterYearFraction(DayCounter,E120,E121)</f>
        <v>#NUM!</v>
      </c>
      <c r="O121" s="33" t="e">
        <f t="shared" si="12"/>
        <v>#NUM!</v>
      </c>
      <c r="P121" s="33"/>
    </row>
    <row r="122" spans="1:16" x14ac:dyDescent="0.2">
      <c r="A122" s="30"/>
      <c r="B122" s="150" t="e">
        <v>#N/A</v>
      </c>
      <c r="C122" s="31" t="e">
        <f>_xll.qlRateHelperRate($B122,InterestRatesTrigger)</f>
        <v>#VALUE!</v>
      </c>
      <c r="D122" s="35" t="e">
        <f>_xll.qlRateHelperEarliestDate($B122)</f>
        <v>#VALUE!</v>
      </c>
      <c r="E122" s="36" t="e">
        <f>_xll.qlRateHelperLatestDate($B122)</f>
        <v>#VALUE!</v>
      </c>
      <c r="F122" s="29" t="b">
        <f t="shared" si="14"/>
        <v>0</v>
      </c>
      <c r="G122" s="29" t="b">
        <f t="shared" si="15"/>
        <v>0</v>
      </c>
      <c r="H122" s="29" t="b">
        <f t="shared" si="16"/>
        <v>0</v>
      </c>
      <c r="I122" s="32" t="e">
        <f t="shared" si="13"/>
        <v>#N/A</v>
      </c>
      <c r="J122" s="33" t="e">
        <v>#N/A</v>
      </c>
      <c r="K122" s="33" t="str">
        <f>_xll.qlSimpleQuote(,,,,EvaluationDate)</f>
        <v>obj_0067a#0002</v>
      </c>
      <c r="L122" s="33">
        <f>_xll.qlSimpleQuoteSetValue(K122,J122)</f>
        <v>0</v>
      </c>
      <c r="M122" s="86" t="e">
        <f>_xll.qlInterpolationInterpolate($M$1,I122,TRUE,ISERROR($L$3:$L$127))</f>
        <v>#NUM!</v>
      </c>
      <c r="N122" s="37" t="e">
        <f>_xll.qlDayCounterYearFraction(DayCounter,E121,E122)</f>
        <v>#NUM!</v>
      </c>
      <c r="O122" s="33" t="e">
        <f t="shared" si="12"/>
        <v>#NUM!</v>
      </c>
      <c r="P122" s="33"/>
    </row>
    <row r="123" spans="1:16" x14ac:dyDescent="0.2">
      <c r="A123" s="30"/>
      <c r="B123" s="150" t="e">
        <v>#N/A</v>
      </c>
      <c r="C123" s="31" t="e">
        <f>_xll.qlRateHelperRate($B123,InterestRatesTrigger)</f>
        <v>#VALUE!</v>
      </c>
      <c r="D123" s="35" t="e">
        <f>_xll.qlRateHelperEarliestDate($B123)</f>
        <v>#VALUE!</v>
      </c>
      <c r="E123" s="36" t="e">
        <f>_xll.qlRateHelperLatestDate($B123)</f>
        <v>#VALUE!</v>
      </c>
      <c r="F123" s="29" t="b">
        <f t="shared" si="14"/>
        <v>0</v>
      </c>
      <c r="G123" s="29" t="b">
        <f t="shared" si="15"/>
        <v>0</v>
      </c>
      <c r="H123" s="29" t="b">
        <f t="shared" si="16"/>
        <v>0</v>
      </c>
      <c r="I123" s="32" t="e">
        <f t="shared" si="13"/>
        <v>#N/A</v>
      </c>
      <c r="J123" s="33" t="e">
        <v>#N/A</v>
      </c>
      <c r="K123" s="33" t="str">
        <f>_xll.qlSimpleQuote(,,,,EvaluationDate)</f>
        <v>obj_00697#0002</v>
      </c>
      <c r="L123" s="33">
        <f>_xll.qlSimpleQuoteSetValue(K123,J123)</f>
        <v>0</v>
      </c>
      <c r="M123" s="86" t="e">
        <f>_xll.qlInterpolationInterpolate($M$1,I123,TRUE,ISERROR($L$3:$L$127))</f>
        <v>#NUM!</v>
      </c>
      <c r="N123" s="37" t="e">
        <f>_xll.qlDayCounterYearFraction(DayCounter,E122,E123)</f>
        <v>#NUM!</v>
      </c>
      <c r="O123" s="33" t="e">
        <f t="shared" si="12"/>
        <v>#NUM!</v>
      </c>
      <c r="P123" s="33"/>
    </row>
    <row r="124" spans="1:16" x14ac:dyDescent="0.2">
      <c r="A124" s="30"/>
      <c r="B124" s="150" t="e">
        <v>#N/A</v>
      </c>
      <c r="C124" s="31" t="e">
        <f>_xll.qlRateHelperRate($B124,InterestRatesTrigger)</f>
        <v>#VALUE!</v>
      </c>
      <c r="D124" s="35" t="e">
        <f>_xll.qlRateHelperEarliestDate($B124)</f>
        <v>#VALUE!</v>
      </c>
      <c r="E124" s="36" t="e">
        <f>_xll.qlRateHelperLatestDate($B124)</f>
        <v>#VALUE!</v>
      </c>
      <c r="F124" s="29" t="b">
        <f t="shared" si="14"/>
        <v>0</v>
      </c>
      <c r="G124" s="29" t="b">
        <f t="shared" si="15"/>
        <v>0</v>
      </c>
      <c r="H124" s="29" t="b">
        <f t="shared" si="16"/>
        <v>0</v>
      </c>
      <c r="I124" s="32" t="e">
        <f t="shared" si="13"/>
        <v>#N/A</v>
      </c>
      <c r="J124" s="33" t="e">
        <v>#N/A</v>
      </c>
      <c r="K124" s="33" t="str">
        <f>_xll.qlSimpleQuote(,,,,EvaluationDate)</f>
        <v>obj_006ab#0002</v>
      </c>
      <c r="L124" s="33">
        <f>_xll.qlSimpleQuoteSetValue(K124,J124)</f>
        <v>0</v>
      </c>
      <c r="M124" s="86" t="e">
        <f>_xll.qlInterpolationInterpolate($M$1,I124,TRUE,ISERROR($L$3:$L$127))</f>
        <v>#NUM!</v>
      </c>
      <c r="N124" s="37" t="e">
        <f>_xll.qlDayCounterYearFraction(DayCounter,E123,E124)</f>
        <v>#NUM!</v>
      </c>
      <c r="O124" s="33" t="e">
        <f t="shared" si="12"/>
        <v>#NUM!</v>
      </c>
      <c r="P124" s="33"/>
    </row>
    <row r="125" spans="1:16" x14ac:dyDescent="0.2">
      <c r="A125" s="30"/>
      <c r="B125" s="150" t="e">
        <v>#N/A</v>
      </c>
      <c r="C125" s="31" t="e">
        <f>_xll.qlRateHelperRate($B125,InterestRatesTrigger)</f>
        <v>#VALUE!</v>
      </c>
      <c r="D125" s="35" t="e">
        <f>_xll.qlRateHelperEarliestDate($B125)</f>
        <v>#VALUE!</v>
      </c>
      <c r="E125" s="36" t="e">
        <f>_xll.qlRateHelperLatestDate($B125)</f>
        <v>#VALUE!</v>
      </c>
      <c r="F125" s="29" t="b">
        <f t="shared" si="14"/>
        <v>0</v>
      </c>
      <c r="G125" s="29" t="b">
        <f t="shared" si="15"/>
        <v>0</v>
      </c>
      <c r="H125" s="29" t="b">
        <f t="shared" si="16"/>
        <v>0</v>
      </c>
      <c r="I125" s="32" t="e">
        <f t="shared" si="13"/>
        <v>#N/A</v>
      </c>
      <c r="J125" s="33" t="e">
        <v>#N/A</v>
      </c>
      <c r="K125" s="33" t="str">
        <f>_xll.qlSimpleQuote(,,,,EvaluationDate)</f>
        <v>obj_0068d#0002</v>
      </c>
      <c r="L125" s="33">
        <f>_xll.qlSimpleQuoteSetValue(K125,J125)</f>
        <v>0</v>
      </c>
      <c r="M125" s="86" t="e">
        <f>_xll.qlInterpolationInterpolate($M$1,I125,TRUE,ISERROR($L$3:$L$127))</f>
        <v>#NUM!</v>
      </c>
      <c r="N125" s="37" t="e">
        <f>_xll.qlDayCounterYearFraction(DayCounter,E124,E125)</f>
        <v>#NUM!</v>
      </c>
      <c r="O125" s="33" t="e">
        <f t="shared" si="12"/>
        <v>#NUM!</v>
      </c>
      <c r="P125" s="33"/>
    </row>
    <row r="126" spans="1:16" x14ac:dyDescent="0.2">
      <c r="A126" s="30"/>
      <c r="B126" s="150" t="e">
        <v>#N/A</v>
      </c>
      <c r="C126" s="31" t="e">
        <f>_xll.qlRateHelperRate($B126,InterestRatesTrigger)</f>
        <v>#VALUE!</v>
      </c>
      <c r="D126" s="35" t="e">
        <f>_xll.qlRateHelperEarliestDate($B126)</f>
        <v>#VALUE!</v>
      </c>
      <c r="E126" s="36" t="e">
        <f>_xll.qlRateHelperLatestDate($B126)</f>
        <v>#VALUE!</v>
      </c>
      <c r="F126" s="29" t="b">
        <f t="shared" si="14"/>
        <v>0</v>
      </c>
      <c r="G126" s="29" t="b">
        <f t="shared" si="15"/>
        <v>0</v>
      </c>
      <c r="H126" s="29" t="b">
        <f t="shared" si="16"/>
        <v>0</v>
      </c>
      <c r="I126" s="32" t="e">
        <f t="shared" si="13"/>
        <v>#N/A</v>
      </c>
      <c r="J126" s="33" t="e">
        <v>#N/A</v>
      </c>
      <c r="K126" s="33" t="str">
        <f>_xll.qlSimpleQuote(,,,,EvaluationDate)</f>
        <v>obj_00665#0002</v>
      </c>
      <c r="L126" s="33">
        <f>_xll.qlSimpleQuoteSetValue(K126,J126)</f>
        <v>0</v>
      </c>
      <c r="M126" s="86" t="e">
        <f>_xll.qlInterpolationInterpolate($M$1,I126,TRUE,ISERROR($L$3:$L$127))</f>
        <v>#NUM!</v>
      </c>
      <c r="N126" s="37" t="e">
        <f>_xll.qlDayCounterYearFraction(DayCounter,E125,E126)</f>
        <v>#NUM!</v>
      </c>
      <c r="O126" s="33" t="e">
        <f t="shared" si="12"/>
        <v>#NUM!</v>
      </c>
      <c r="P126" s="33"/>
    </row>
    <row r="127" spans="1:16" x14ac:dyDescent="0.2">
      <c r="A127" s="30"/>
      <c r="B127" s="150" t="e">
        <v>#N/A</v>
      </c>
      <c r="C127" s="31" t="e">
        <f>_xll.qlRateHelperRate($B127,InterestRatesTrigger)</f>
        <v>#VALUE!</v>
      </c>
      <c r="D127" s="35" t="e">
        <f>_xll.qlRateHelperEarliestDate($B127)</f>
        <v>#VALUE!</v>
      </c>
      <c r="E127" s="36" t="e">
        <f>_xll.qlRateHelperLatestDate($B127)</f>
        <v>#VALUE!</v>
      </c>
      <c r="F127" s="29" t="b">
        <f t="shared" si="14"/>
        <v>0</v>
      </c>
      <c r="G127" s="29" t="b">
        <f t="shared" si="15"/>
        <v>0</v>
      </c>
      <c r="H127" s="29" t="b">
        <f t="shared" si="16"/>
        <v>0</v>
      </c>
      <c r="I127" s="32" t="e">
        <f t="shared" si="13"/>
        <v>#N/A</v>
      </c>
      <c r="J127" s="33" t="e">
        <v>#N/A</v>
      </c>
      <c r="K127" s="33" t="str">
        <f>_xll.qlSimpleQuote(,,,,EvaluationDate)</f>
        <v>obj_00661#0002</v>
      </c>
      <c r="L127" s="33">
        <f>_xll.qlSimpleQuoteSetValue(K127,J127)</f>
        <v>0</v>
      </c>
      <c r="M127" s="86" t="e">
        <f>_xll.qlInterpolationInterpolate($M$1,I127,TRUE,ISERROR($L$3:$L$127))</f>
        <v>#NUM!</v>
      </c>
      <c r="N127" s="37" t="e">
        <f>_xll.qlDayCounterYearFraction(DayCounter,E126,E127)</f>
        <v>#NUM!</v>
      </c>
      <c r="O127" s="33" t="e">
        <f t="shared" si="12"/>
        <v>#NUM!</v>
      </c>
      <c r="P127" s="33"/>
    </row>
    <row r="128" spans="1:16" x14ac:dyDescent="0.2">
      <c r="A128" s="149"/>
      <c r="B128" s="149"/>
      <c r="C128" s="149"/>
      <c r="D128" s="149"/>
      <c r="E128" s="149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7"/>
  <sheetViews>
    <sheetView workbookViewId="0">
      <selection activeCell="C6" sqref="C6"/>
    </sheetView>
  </sheetViews>
  <sheetFormatPr defaultRowHeight="11.25" x14ac:dyDescent="0.2"/>
  <cols>
    <col min="1" max="1" width="3" style="50" bestFit="1" customWidth="1"/>
    <col min="2" max="2" width="5" style="50" bestFit="1" customWidth="1"/>
    <col min="3" max="3" width="10" style="50" bestFit="1" customWidth="1"/>
    <col min="4" max="4" width="3.5703125" style="50" customWidth="1"/>
    <col min="5" max="5" width="10" style="50" bestFit="1" customWidth="1"/>
    <col min="6" max="6" width="5.42578125" style="50" customWidth="1"/>
    <col min="7" max="7" width="22.42578125" style="50" bestFit="1" customWidth="1"/>
    <col min="8" max="8" width="15.28515625" style="50" bestFit="1" customWidth="1"/>
    <col min="9" max="9" width="12" style="50" bestFit="1" customWidth="1"/>
    <col min="10" max="10" width="10.28515625" style="50" bestFit="1" customWidth="1"/>
    <col min="11" max="11" width="10.28515625" style="50" customWidth="1"/>
    <col min="12" max="12" width="9.7109375" style="50" customWidth="1"/>
    <col min="13" max="13" width="2" style="50" customWidth="1"/>
    <col min="14" max="14" width="8" style="50" customWidth="1"/>
    <col min="15" max="17" width="16.42578125" style="50" bestFit="1" customWidth="1"/>
    <col min="18" max="18" width="11" style="50" bestFit="1" customWidth="1"/>
    <col min="19" max="19" width="9.140625" style="50"/>
    <col min="20" max="20" width="7.28515625" style="50" bestFit="1" customWidth="1"/>
    <col min="21" max="21" width="6.42578125" style="50" customWidth="1"/>
    <col min="22" max="16384" width="9.140625" style="50"/>
  </cols>
  <sheetData>
    <row r="1" spans="1:10" x14ac:dyDescent="0.2">
      <c r="A1" s="47"/>
      <c r="B1" s="48"/>
      <c r="C1" s="48"/>
      <c r="D1" s="48"/>
      <c r="E1" s="48"/>
      <c r="F1" s="48"/>
      <c r="G1" s="48"/>
      <c r="H1" s="48"/>
      <c r="I1" s="48"/>
      <c r="J1" s="49"/>
    </row>
    <row r="2" spans="1:10" ht="13.5" x14ac:dyDescent="0.25">
      <c r="A2" s="51"/>
      <c r="B2" s="52"/>
      <c r="C2" s="53"/>
      <c r="D2" s="54"/>
      <c r="E2" s="53"/>
      <c r="F2" s="53"/>
      <c r="G2" s="55" t="s">
        <v>56</v>
      </c>
      <c r="H2" s="56" t="s">
        <v>70</v>
      </c>
      <c r="I2" s="57"/>
      <c r="J2" s="58"/>
    </row>
    <row r="3" spans="1:10" x14ac:dyDescent="0.2">
      <c r="A3" s="59"/>
      <c r="B3" s="57"/>
      <c r="C3" s="57"/>
      <c r="D3" s="53"/>
      <c r="E3" s="53"/>
      <c r="F3" s="53"/>
      <c r="G3" s="57"/>
      <c r="H3" s="57"/>
      <c r="I3" s="60">
        <f>_xll.ohTrigger(I5:I6)</f>
        <v>4</v>
      </c>
      <c r="J3" s="58"/>
    </row>
    <row r="4" spans="1:10" x14ac:dyDescent="0.2">
      <c r="A4" s="59"/>
      <c r="B4" s="61"/>
      <c r="C4" s="62" t="s">
        <v>57</v>
      </c>
      <c r="D4" s="53"/>
      <c r="E4" s="63" t="s">
        <v>58</v>
      </c>
      <c r="F4" s="53"/>
      <c r="G4" s="61" t="s">
        <v>59</v>
      </c>
      <c r="H4" s="64" t="s">
        <v>60</v>
      </c>
      <c r="I4" s="65" t="s">
        <v>61</v>
      </c>
      <c r="J4" s="58"/>
    </row>
    <row r="5" spans="1:10" x14ac:dyDescent="0.2">
      <c r="A5" s="59"/>
      <c r="B5" s="66" t="s">
        <v>45</v>
      </c>
      <c r="C5" s="44">
        <f>TOY_1</f>
        <v>1</v>
      </c>
      <c r="D5" s="53"/>
      <c r="E5" s="67">
        <v>0.99999231007803102</v>
      </c>
      <c r="F5" s="53"/>
      <c r="G5" s="68" t="str">
        <f>Currency&amp;$B5&amp;$H$2</f>
        <v>EURTOY_SYNTHON_Quote</v>
      </c>
      <c r="H5" s="69">
        <f t="array" ref="H5:H6">QuoteLive</f>
        <v>1</v>
      </c>
      <c r="I5" s="70">
        <f>_xll.qlSimpleQuoteSetValue($G5,ROUND($H5,7),EvaluationDate)</f>
        <v>0</v>
      </c>
      <c r="J5" s="58"/>
    </row>
    <row r="6" spans="1:10" x14ac:dyDescent="0.2">
      <c r="A6" s="59"/>
      <c r="B6" s="71" t="s">
        <v>47</v>
      </c>
      <c r="C6" s="46">
        <f>TOY_2</f>
        <v>1</v>
      </c>
      <c r="D6" s="53"/>
      <c r="E6" s="72">
        <v>1</v>
      </c>
      <c r="F6" s="53"/>
      <c r="G6" s="73" t="str">
        <f>Currency&amp;$B6&amp;$H$2</f>
        <v>EURTOY2_SYNTHON_Quote</v>
      </c>
      <c r="H6" s="74">
        <v>1</v>
      </c>
      <c r="I6" s="75">
        <f>_xll.qlSimpleQuoteSetValue($G6,ROUND($H6,7),EvaluationDate)</f>
        <v>0</v>
      </c>
      <c r="J6" s="58"/>
    </row>
    <row r="7" spans="1:10" ht="12" thickBot="1" x14ac:dyDescent="0.25">
      <c r="A7" s="76"/>
      <c r="B7" s="77"/>
      <c r="C7" s="77"/>
      <c r="D7" s="77"/>
      <c r="E7" s="77"/>
      <c r="F7" s="77"/>
      <c r="G7" s="77"/>
      <c r="H7" s="77"/>
      <c r="I7" s="77"/>
      <c r="J7" s="78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30</vt:i4>
      </vt:variant>
    </vt:vector>
  </HeadingPairs>
  <TitlesOfParts>
    <vt:vector size="35" baseType="lpstr">
      <vt:lpstr>General Settings</vt:lpstr>
      <vt:lpstr>Triggers</vt:lpstr>
      <vt:lpstr>RateHelpers</vt:lpstr>
      <vt:lpstr>Calculation</vt:lpstr>
      <vt:lpstr>Contribution</vt:lpstr>
      <vt:lpstr>Accuracy</vt:lpstr>
      <vt:lpstr>Calendar</vt:lpstr>
      <vt:lpstr>Currency</vt:lpstr>
      <vt:lpstr>DayCounter</vt:lpstr>
      <vt:lpstr>EvaluationDate</vt:lpstr>
      <vt:lpstr>FwdInterpolation</vt:lpstr>
      <vt:lpstr>IborType</vt:lpstr>
      <vt:lpstr>InterestRatesTrigger</vt:lpstr>
      <vt:lpstr>InterpolatorID</vt:lpstr>
      <vt:lpstr>LastDayInNextYear</vt:lpstr>
      <vt:lpstr>LastDayInYear</vt:lpstr>
      <vt:lpstr>LastUpdate</vt:lpstr>
      <vt:lpstr>LiveDataFeed</vt:lpstr>
      <vt:lpstr>MinDistance</vt:lpstr>
      <vt:lpstr>NDays</vt:lpstr>
      <vt:lpstr>OvernightIndex</vt:lpstr>
      <vt:lpstr>Calculation!Print_Area</vt:lpstr>
      <vt:lpstr>Contribution!Quote</vt:lpstr>
      <vt:lpstr>Contribution!QuoteLive</vt:lpstr>
      <vt:lpstr>Contribution!QuoteStatic</vt:lpstr>
      <vt:lpstr>RateHelpers</vt:lpstr>
      <vt:lpstr>RateHelpersIncluded</vt:lpstr>
      <vt:lpstr>RateHelpersPriority</vt:lpstr>
      <vt:lpstr>SettlementDate</vt:lpstr>
      <vt:lpstr>TOY_1</vt:lpstr>
      <vt:lpstr>TOY_2</vt:lpstr>
      <vt:lpstr>TraitsID</vt:lpstr>
      <vt:lpstr>Trigger</vt:lpstr>
      <vt:lpstr>TriggerCounter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2009-10-19T16:16:39Z</cp:lastPrinted>
  <dcterms:created xsi:type="dcterms:W3CDTF">2006-04-26T09:45:07Z</dcterms:created>
  <dcterms:modified xsi:type="dcterms:W3CDTF">2014-03-12T16:17:01Z</dcterms:modified>
</cp:coreProperties>
</file>